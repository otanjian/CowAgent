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oneagent-multi-hmt\skills\pmc-scheduler-hmt-qd\templates\"/>
    </mc:Choice>
  </mc:AlternateContent>
  <bookViews>
    <workbookView windowWidth="24750" windowHeight="12080" firstSheet="2"/>
  </bookViews>
  <sheets>
    <sheet name="sheet1" sheetId="5" r:id="rId1"/>
  </sheets>
  <definedNames>
    <definedName name="_xlnm._FilterDatabase" localSheetId="0" hidden="1">sheet1!$A$5:$BG$29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<sst xmlns="http://schemas.openxmlformats.org/spreadsheetml/2006/main" count="196" uniqueCount="96">
  <si>
    <t>缝纫周生产计划（表头红色字体只有参考不做生产标准）</t>
  </si>
  <si>
    <t>客户</t>
  </si>
  <si>
    <t>课别</t>
  </si>
  <si>
    <t>区域</t>
  </si>
  <si>
    <t>日期 Date</t>
  </si>
  <si>
    <t>生产线情况</t>
  </si>
  <si>
    <t>班组</t>
  </si>
  <si>
    <t>20220804更新检验人员</t>
  </si>
  <si>
    <t>11小时产量/班（技术的BJ产能）</t>
  </si>
  <si>
    <t>20230804更新缝纫人员</t>
  </si>
  <si>
    <t>合计</t>
  </si>
  <si>
    <t>实际产能</t>
  </si>
  <si>
    <t>满箱数量</t>
  </si>
  <si>
    <t>给业务最大产量</t>
  </si>
  <si>
    <t>年Year:2026     周Week:31</t>
  </si>
  <si>
    <t>星期三</t>
  </si>
  <si>
    <t>星期四</t>
  </si>
  <si>
    <t>星期五</t>
  </si>
  <si>
    <t>星期六</t>
  </si>
  <si>
    <t>星期日</t>
  </si>
  <si>
    <t>星期一</t>
  </si>
  <si>
    <t>星期二</t>
  </si>
  <si>
    <t>生产线</t>
  </si>
  <si>
    <t>零件号</t>
  </si>
  <si>
    <t>产品名称</t>
  </si>
  <si>
    <t>SAP物料号</t>
  </si>
  <si>
    <t>零件名称</t>
  </si>
  <si>
    <t>基布</t>
  </si>
  <si>
    <t>早</t>
  </si>
  <si>
    <t>夜</t>
  </si>
  <si>
    <t>比亚迪</t>
  </si>
  <si>
    <t>二课</t>
  </si>
  <si>
    <t>B1</t>
  </si>
  <si>
    <t>S0302</t>
  </si>
  <si>
    <t>195P30E</t>
  </si>
  <si>
    <t>LKPAB-40 E状态</t>
  </si>
  <si>
    <t>P31141 P60111 H50721</t>
  </si>
  <si>
    <t>吴俊</t>
  </si>
  <si>
    <t>上海奥托立夫</t>
  </si>
  <si>
    <t>S0306</t>
  </si>
  <si>
    <t>23BP089B</t>
  </si>
  <si>
    <t>CAT PAB B状态</t>
  </si>
  <si>
    <t>刘新磊</t>
  </si>
  <si>
    <t>转班</t>
  </si>
  <si>
    <t>S0601</t>
  </si>
  <si>
    <t>195P30B  LK PAB-40 PAB E状态</t>
  </si>
  <si>
    <t>王万滨</t>
  </si>
  <si>
    <t>一课</t>
  </si>
  <si>
    <t>A4</t>
  </si>
  <si>
    <t>S2303</t>
  </si>
  <si>
    <t>0601和0302线</t>
  </si>
  <si>
    <t>保定奥托立夫</t>
  </si>
  <si>
    <t>A2</t>
  </si>
  <si>
    <t>S5142</t>
  </si>
  <si>
    <t>231D002C</t>
  </si>
  <si>
    <t>GWM P11 DAB C状态</t>
  </si>
  <si>
    <t>H31232 H20632</t>
  </si>
  <si>
    <t>谢成春</t>
  </si>
  <si>
    <t>1318和同一组人</t>
  </si>
  <si>
    <t>A1</t>
  </si>
  <si>
    <t>S5351</t>
  </si>
  <si>
    <t>248F026CL</t>
  </si>
  <si>
    <t>SQHB-A FAB LH C状态</t>
  </si>
  <si>
    <t>H30432 H21012 H41132 H60531 P31231</t>
  </si>
  <si>
    <t>刘建敏</t>
  </si>
  <si>
    <t>四课</t>
  </si>
  <si>
    <t>D2</t>
  </si>
  <si>
    <t>S6206</t>
  </si>
  <si>
    <t>225S043BL</t>
  </si>
  <si>
    <t>M3 SAB LH B状态</t>
  </si>
  <si>
    <t>H31242 H41142 H24212</t>
  </si>
  <si>
    <t>李霞</t>
  </si>
  <si>
    <t>休息</t>
  </si>
  <si>
    <t>D3</t>
  </si>
  <si>
    <t>S6605</t>
  </si>
  <si>
    <t>黄俊辉</t>
  </si>
  <si>
    <t>1016一课</t>
  </si>
  <si>
    <t>1222一课</t>
  </si>
  <si>
    <t>1411一课</t>
  </si>
  <si>
    <t>S6707</t>
  </si>
  <si>
    <t>丁红</t>
  </si>
  <si>
    <t>三课</t>
  </si>
  <si>
    <t>C2</t>
  </si>
  <si>
    <t>S3803</t>
  </si>
  <si>
    <t>225S043BR</t>
  </si>
  <si>
    <t>M3 SAB RH B状态</t>
  </si>
  <si>
    <t>宋平</t>
  </si>
  <si>
    <t>延锋智能</t>
  </si>
  <si>
    <t>C1</t>
  </si>
  <si>
    <t>S3101</t>
  </si>
  <si>
    <t>248C029L</t>
  </si>
  <si>
    <t>SAIC AH4EM CAB LH</t>
  </si>
  <si>
    <t>H21012 H41132 P31141 P40431</t>
  </si>
  <si>
    <t>248C029R</t>
  </si>
  <si>
    <t>SAIC AH4EM CAB RH</t>
  </si>
  <si>
    <t>鲁旭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</si>
</sst>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  <numFmt numFmtId="178" formatCode="0_);[Red]\(0\)"/>
  </numFmts>
  <fonts count="40">
    <font>
      <sz val="11"/>
      <color theme="1"/>
      <name val="等线"/>
      <charset val="134"/>
      <scheme val="minor"/>
    </font>
    <font>
      <sz val="12"/>
      <name val="宋体"/>
      <charset val="134"/>
    </font>
    <font>
      <sz val="8"/>
      <name val="宋体"/>
      <charset val="134"/>
    </font>
    <font>
      <sz val="10"/>
      <name val="宋体"/>
      <charset val="134"/>
    </font>
    <font>
      <sz val="6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sz val="8"/>
      <color theme="1"/>
      <name val="等线"/>
      <charset val="134"/>
      <scheme val="minor"/>
    </font>
    <font>
      <b/>
      <sz val="8"/>
      <name val="宋体"/>
      <charset val="134"/>
    </font>
    <font>
      <b/>
      <sz val="8"/>
      <color rgb="FFFF0000"/>
      <name val="宋体"/>
      <charset val="134"/>
    </font>
    <font>
      <b/>
      <sz val="18"/>
      <color rgb="FFFF0000"/>
      <name val="宋体"/>
      <charset val="134"/>
    </font>
    <font>
      <sz val="8"/>
      <color rgb="FFFF0000"/>
      <name val="宋体"/>
      <charset val="134"/>
    </font>
    <font>
      <sz val="10"/>
      <color rgb="FFFF0000"/>
      <name val="宋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b/>
      <sz val="12"/>
      <color rgb="FFFF0000"/>
      <name val="宋体"/>
      <charset val="134"/>
    </font>
    <font>
      <sz val="14"/>
      <color theme="1"/>
      <name val="等线"/>
      <charset val="134"/>
      <scheme val="minor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0" fillId="5" borderId="17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18">
      <alignment vertical="center"/>
    </xf>
    <xf numFmtId="0" fontId="26" fillId="0" borderId="18">
      <alignment vertical="center"/>
    </xf>
    <xf numFmtId="0" fontId="27" fillId="0" borderId="19">
      <alignment vertical="center"/>
    </xf>
    <xf numFmtId="0" fontId="27" fillId="0" borderId="0">
      <alignment vertical="center"/>
    </xf>
    <xf numFmtId="0" fontId="28" fillId="6" borderId="20">
      <alignment vertical="center"/>
    </xf>
    <xf numFmtId="0" fontId="29" fillId="7" borderId="21">
      <alignment vertical="center"/>
    </xf>
    <xf numFmtId="0" fontId="30" fillId="7" borderId="20">
      <alignment vertical="center"/>
    </xf>
    <xf numFmtId="0" fontId="31" fillId="8" borderId="22">
      <alignment vertical="center"/>
    </xf>
    <xf numFmtId="0" fontId="32" fillId="0" borderId="23">
      <alignment vertical="center"/>
    </xf>
    <xf numFmtId="0" fontId="33" fillId="0" borderId="24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6" fillId="11" borderId="0">
      <alignment vertical="center"/>
    </xf>
    <xf numFmtId="0" fontId="37" fillId="12" borderId="0">
      <alignment vertical="center"/>
    </xf>
    <xf numFmtId="0" fontId="38" fillId="13" borderId="0">
      <alignment vertical="center"/>
    </xf>
    <xf numFmtId="0" fontId="38" fillId="14" borderId="0">
      <alignment vertical="center"/>
    </xf>
    <xf numFmtId="0" fontId="37" fillId="15" borderId="0">
      <alignment vertical="center"/>
    </xf>
    <xf numFmtId="0" fontId="37" fillId="16" borderId="0">
      <alignment vertical="center"/>
    </xf>
    <xf numFmtId="0" fontId="38" fillId="17" borderId="0">
      <alignment vertical="center"/>
    </xf>
    <xf numFmtId="0" fontId="38" fillId="18" borderId="0">
      <alignment vertical="center"/>
    </xf>
    <xf numFmtId="0" fontId="37" fillId="19" borderId="0">
      <alignment vertical="center"/>
    </xf>
    <xf numFmtId="0" fontId="37" fillId="20" borderId="0">
      <alignment vertical="center"/>
    </xf>
    <xf numFmtId="0" fontId="38" fillId="21" borderId="0">
      <alignment vertical="center"/>
    </xf>
    <xf numFmtId="0" fontId="38" fillId="22" borderId="0">
      <alignment vertical="center"/>
    </xf>
    <xf numFmtId="0" fontId="37" fillId="23" borderId="0">
      <alignment vertical="center"/>
    </xf>
    <xf numFmtId="0" fontId="37" fillId="24" borderId="0">
      <alignment vertical="center"/>
    </xf>
    <xf numFmtId="0" fontId="38" fillId="25" borderId="0">
      <alignment vertical="center"/>
    </xf>
    <xf numFmtId="0" fontId="38" fillId="26" borderId="0">
      <alignment vertical="center"/>
    </xf>
    <xf numFmtId="0" fontId="37" fillId="27" borderId="0">
      <alignment vertical="center"/>
    </xf>
    <xf numFmtId="0" fontId="37" fillId="28" borderId="0">
      <alignment vertical="center"/>
    </xf>
    <xf numFmtId="0" fontId="38" fillId="29" borderId="0">
      <alignment vertical="center"/>
    </xf>
    <xf numFmtId="0" fontId="38" fillId="30" borderId="0">
      <alignment vertical="center"/>
    </xf>
    <xf numFmtId="0" fontId="37" fillId="31" borderId="0">
      <alignment vertical="center"/>
    </xf>
    <xf numFmtId="0" fontId="37" fillId="32" borderId="0">
      <alignment vertical="center"/>
    </xf>
    <xf numFmtId="0" fontId="38" fillId="33" borderId="0">
      <alignment vertical="center"/>
    </xf>
    <xf numFmtId="0" fontId="38" fillId="34" borderId="0">
      <alignment vertical="center"/>
    </xf>
    <xf numFmtId="0" fontId="37" fillId="35" borderId="0">
      <alignment vertical="center"/>
    </xf>
    <xf numFmtId="0" fontId="39" fillId="0" borderId="0"/>
    <xf numFmtId="0" fontId="0" fillId="0" borderId="0"/>
    <xf numFmtId="0" fontId="1" fillId="0" borderId="0">
      <alignment vertical="center"/>
    </xf>
  </cellStyleXfs>
  <cellXfs count="72">
    <xf numFmtId="0" fontId="0" fillId="0" borderId="0" xfId="0" applyAlignment="1">
      <alignment vertical="center"/>
    </xf>
    <xf numFmtId="0" fontId="0" fillId="2" borderId="0" xfId="51" applyFont="1" applyFill="1" applyAlignment="1">
      <alignment vertical="center"/>
    </xf>
    <xf numFmtId="0" fontId="1" fillId="2" borderId="0" xfId="51" applyFill="1" applyAlignment="1">
      <alignment vertical="center"/>
    </xf>
    <xf numFmtId="0" fontId="2" fillId="3" borderId="0" xfId="51" applyFont="1" applyFill="1" applyAlignment="1">
      <alignment horizontal="center" vertical="center" wrapText="1"/>
    </xf>
    <xf numFmtId="0" fontId="1" fillId="0" borderId="0" xfId="51" applyAlignment="1">
      <alignment vertical="center"/>
    </xf>
    <xf numFmtId="0" fontId="1" fillId="3" borderId="0" xfId="51" applyFill="1" applyAlignment="1">
      <alignment vertical="center"/>
    </xf>
    <xf numFmtId="0" fontId="3" fillId="3" borderId="0" xfId="51" applyFont="1" applyFill="1" applyAlignment="1">
      <alignment horizontal="center" vertical="center"/>
    </xf>
    <xf numFmtId="0" fontId="1" fillId="3" borderId="0" xfId="51" applyFill="1" applyAlignment="1">
      <alignment horizontal="center" vertical="center"/>
    </xf>
    <xf numFmtId="0" fontId="4" fillId="0" borderId="0" xfId="51" applyFont="1" applyAlignment="1">
      <alignment horizontal="center" vertical="center"/>
    </xf>
    <xf numFmtId="0" fontId="1" fillId="0" borderId="0" xfId="51" applyAlignment="1">
      <alignment horizontal="center" vertical="center"/>
    </xf>
    <xf numFmtId="0" fontId="5" fillId="0" borderId="0" xfId="51" applyFont="1" applyAlignment="1">
      <alignment horizontal="center" vertical="center" wrapText="1"/>
    </xf>
    <xf numFmtId="176" fontId="5" fillId="0" borderId="0" xfId="51" applyNumberFormat="1" applyFont="1" applyAlignment="1">
      <alignment horizontal="center" vertical="center" wrapText="1"/>
    </xf>
    <xf numFmtId="176" fontId="6" fillId="0" borderId="0" xfId="51" applyNumberFormat="1" applyFont="1" applyAlignment="1">
      <alignment horizontal="center" vertical="center" wrapText="1"/>
    </xf>
    <xf numFmtId="0" fontId="7" fillId="0" borderId="0" xfId="51" applyFont="1" applyAlignment="1">
      <alignment wrapText="1"/>
    </xf>
    <xf numFmtId="0" fontId="8" fillId="0" borderId="0" xfId="51" applyFont="1" applyAlignment="1">
      <alignment horizontal="center" vertical="center"/>
    </xf>
    <xf numFmtId="0" fontId="9" fillId="0" borderId="0" xfId="51" applyFont="1" applyAlignment="1">
      <alignment horizontal="center" vertical="center"/>
    </xf>
    <xf numFmtId="0" fontId="9" fillId="0" borderId="0" xfId="51" applyFont="1" applyAlignment="1">
      <alignment horizontal="center" vertical="center" wrapText="1"/>
    </xf>
    <xf numFmtId="0" fontId="10" fillId="0" borderId="0" xfId="51" applyFont="1" applyAlignment="1">
      <alignment vertical="center"/>
    </xf>
    <xf numFmtId="0" fontId="8" fillId="0" borderId="0" xfId="51" applyFont="1" applyAlignment="1">
      <alignment horizontal="center" vertical="center" wrapText="1"/>
    </xf>
    <xf numFmtId="0" fontId="11" fillId="0" borderId="1" xfId="51" applyFont="1" applyBorder="1" applyAlignment="1">
      <alignment horizontal="center" vertical="center" wrapText="1"/>
    </xf>
    <xf numFmtId="0" fontId="12" fillId="0" borderId="1" xfId="51" applyFont="1" applyBorder="1" applyAlignment="1">
      <alignment horizontal="center" vertical="center"/>
    </xf>
    <xf numFmtId="0" fontId="13" fillId="3" borderId="1" xfId="5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3" borderId="1" xfId="51" applyFont="1" applyFill="1" applyBorder="1" applyAlignment="1">
      <alignment horizontal="center" vertical="center"/>
    </xf>
    <xf numFmtId="0" fontId="6" fillId="3" borderId="1" xfId="51" applyFont="1" applyFill="1" applyBorder="1" applyAlignment="1">
      <alignment horizontal="center" vertical="center" wrapText="1"/>
    </xf>
    <xf numFmtId="0" fontId="6" fillId="0" borderId="1" xfId="51" applyFont="1" applyBorder="1" applyAlignment="1">
      <alignment horizontal="center" vertical="center" wrapText="1"/>
    </xf>
    <xf numFmtId="0" fontId="11" fillId="3" borderId="1" xfId="51" applyFont="1" applyFill="1" applyBorder="1" applyAlignment="1">
      <alignment horizontal="center" vertical="center" wrapText="1"/>
    </xf>
    <xf numFmtId="0" fontId="2" fillId="0" borderId="1" xfId="51" applyFont="1" applyBorder="1" applyAlignment="1">
      <alignment horizontal="center" vertical="center" wrapText="1"/>
    </xf>
    <xf numFmtId="14" fontId="14" fillId="0" borderId="1" xfId="51" applyNumberFormat="1" applyFont="1" applyBorder="1" applyAlignment="1">
      <alignment horizontal="center" vertical="center" wrapText="1"/>
    </xf>
    <xf numFmtId="177" fontId="14" fillId="0" borderId="1" xfId="51" applyNumberFormat="1" applyFont="1" applyBorder="1" applyAlignment="1">
      <alignment horizontal="center" vertical="center" wrapText="1"/>
    </xf>
    <xf numFmtId="177" fontId="15" fillId="0" borderId="1" xfId="51" applyNumberFormat="1" applyFont="1" applyBorder="1" applyAlignment="1">
      <alignment horizontal="center" vertical="center" wrapText="1"/>
    </xf>
    <xf numFmtId="0" fontId="0" fillId="0" borderId="4" xfId="0" applyBorder="1"/>
    <xf numFmtId="178" fontId="16" fillId="4" borderId="1" xfId="51" applyNumberFormat="1" applyFont="1" applyFill="1" applyBorder="1" applyAlignment="1">
      <alignment horizontal="center" vertical="center" wrapText="1"/>
    </xf>
    <xf numFmtId="0" fontId="17" fillId="0" borderId="1" xfId="51" applyFont="1" applyBorder="1" applyAlignment="1">
      <alignment horizontal="center" wrapText="1"/>
    </xf>
    <xf numFmtId="0" fontId="0" fillId="0" borderId="5" xfId="0" applyBorder="1"/>
    <xf numFmtId="0" fontId="3" fillId="3" borderId="1" xfId="51" applyFont="1" applyFill="1" applyBorder="1" applyAlignment="1">
      <alignment vertical="center"/>
    </xf>
    <xf numFmtId="176" fontId="14" fillId="0" borderId="1" xfId="51" applyNumberFormat="1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5" fillId="0" borderId="1" xfId="51" applyFont="1" applyBorder="1" applyAlignment="1">
      <alignment horizontal="center" vertical="center" wrapText="1"/>
    </xf>
    <xf numFmtId="0" fontId="7" fillId="0" borderId="1" xfId="51" applyFont="1" applyBorder="1" applyAlignment="1">
      <alignment wrapText="1"/>
    </xf>
    <xf numFmtId="0" fontId="0" fillId="0" borderId="8" xfId="0" applyBorder="1"/>
    <xf numFmtId="0" fontId="3" fillId="3" borderId="1" xfId="51" applyFont="1" applyFill="1" applyBorder="1" applyAlignment="1">
      <alignment horizontal="center" vertical="center" wrapText="1"/>
    </xf>
    <xf numFmtId="176" fontId="15" fillId="0" borderId="1" xfId="51" applyNumberFormat="1" applyFont="1" applyBorder="1" applyAlignment="1">
      <alignment horizontal="center" vertical="center" wrapText="1"/>
    </xf>
    <xf numFmtId="176" fontId="15" fillId="0" borderId="9" xfId="51" applyNumberFormat="1" applyFont="1" applyBorder="1" applyAlignment="1">
      <alignment horizontal="center" vertical="center" wrapText="1"/>
    </xf>
    <xf numFmtId="0" fontId="2" fillId="2" borderId="3" xfId="51" applyFont="1" applyFill="1" applyBorder="1" applyAlignment="1">
      <alignment horizontal="center" vertical="center" wrapText="1"/>
    </xf>
    <xf numFmtId="0" fontId="3" fillId="2" borderId="1" xfId="51" applyFont="1" applyFill="1" applyBorder="1" applyAlignment="1">
      <alignment horizontal="center" vertical="center" wrapText="1"/>
    </xf>
    <xf numFmtId="0" fontId="3" fillId="2" borderId="10" xfId="51" applyFont="1" applyFill="1" applyBorder="1" applyAlignment="1">
      <alignment horizontal="center" vertical="center" wrapText="1"/>
    </xf>
    <xf numFmtId="0" fontId="3" fillId="2" borderId="11" xfId="51" applyFont="1" applyFill="1" applyBorder="1" applyAlignment="1">
      <alignment horizontal="center" vertical="center" wrapText="1"/>
    </xf>
    <xf numFmtId="0" fontId="18" fillId="2" borderId="1" xfId="51" applyFont="1" applyFill="1" applyBorder="1" applyAlignment="1">
      <alignment horizontal="center" vertical="center" wrapText="1"/>
    </xf>
    <xf numFmtId="0" fontId="3" fillId="2" borderId="12" xfId="51" applyFont="1" applyFill="1" applyBorder="1" applyAlignment="1">
      <alignment horizontal="center" vertical="center" wrapText="1"/>
    </xf>
    <xf numFmtId="0" fontId="4" fillId="2" borderId="12" xfId="51" applyFont="1" applyFill="1" applyBorder="1" applyAlignment="1">
      <alignment horizontal="center" vertical="center" wrapText="1"/>
    </xf>
    <xf numFmtId="0" fontId="3" fillId="2" borderId="9" xfId="51" applyFont="1" applyFill="1" applyBorder="1" applyAlignment="1">
      <alignment horizontal="center" vertical="center"/>
    </xf>
    <xf numFmtId="0" fontId="5" fillId="2" borderId="1" xfId="51" applyFont="1" applyFill="1" applyBorder="1" applyAlignment="1">
      <alignment horizontal="center" vertical="center" wrapText="1"/>
    </xf>
    <xf numFmtId="176" fontId="5" fillId="2" borderId="13" xfId="51" applyNumberFormat="1" applyFont="1" applyFill="1" applyBorder="1" applyAlignment="1">
      <alignment horizontal="center" vertical="center" wrapText="1"/>
    </xf>
    <xf numFmtId="176" fontId="6" fillId="2" borderId="13" xfId="51" applyNumberFormat="1" applyFont="1" applyFill="1" applyBorder="1" applyAlignment="1">
      <alignment horizontal="center" vertical="center" wrapText="1"/>
    </xf>
    <xf numFmtId="176" fontId="6" fillId="2" borderId="14" xfId="51" applyNumberFormat="1" applyFont="1" applyFill="1" applyBorder="1" applyAlignment="1">
      <alignment horizontal="center" vertical="center" wrapText="1"/>
    </xf>
    <xf numFmtId="0" fontId="7" fillId="2" borderId="1" xfId="51" applyFont="1" applyFill="1" applyBorder="1" applyAlignment="1">
      <alignment wrapText="1"/>
    </xf>
    <xf numFmtId="0" fontId="3" fillId="2" borderId="15" xfId="51" applyFont="1" applyFill="1" applyBorder="1" applyAlignment="1">
      <alignment horizontal="center" vertical="center" wrapText="1"/>
    </xf>
    <xf numFmtId="176" fontId="5" fillId="2" borderId="1" xfId="51" applyNumberFormat="1" applyFont="1" applyFill="1" applyBorder="1" applyAlignment="1">
      <alignment horizontal="center" vertical="center" wrapText="1"/>
    </xf>
    <xf numFmtId="176" fontId="6" fillId="2" borderId="1" xfId="51" applyNumberFormat="1" applyFont="1" applyFill="1" applyBorder="1" applyAlignment="1">
      <alignment horizontal="center" vertical="center" wrapText="1"/>
    </xf>
    <xf numFmtId="176" fontId="6" fillId="2" borderId="9" xfId="51" applyNumberFormat="1" applyFont="1" applyFill="1" applyBorder="1" applyAlignment="1">
      <alignment horizontal="center" vertical="center" wrapText="1"/>
    </xf>
    <xf numFmtId="0" fontId="4" fillId="3" borderId="15" xfId="51" applyFont="1" applyFill="1" applyBorder="1" applyAlignment="1">
      <alignment horizontal="center" vertical="center" wrapText="1"/>
    </xf>
    <xf numFmtId="0" fontId="0" fillId="0" borderId="15" xfId="0" applyBorder="1"/>
    <xf numFmtId="0" fontId="19" fillId="2" borderId="1" xfId="51" applyFont="1" applyFill="1" applyBorder="1" applyAlignment="1">
      <alignment horizontal="center" vertical="center" wrapText="1"/>
    </xf>
    <xf numFmtId="0" fontId="5" fillId="2" borderId="12" xfId="51" applyFont="1" applyFill="1" applyBorder="1" applyAlignment="1">
      <alignment horizontal="center" vertical="center" wrapText="1"/>
    </xf>
    <xf numFmtId="0" fontId="2" fillId="2" borderId="12" xfId="51" applyFont="1" applyFill="1" applyBorder="1" applyAlignment="1">
      <alignment horizontal="center" vertical="center" wrapText="1"/>
    </xf>
    <xf numFmtId="176" fontId="6" fillId="2" borderId="0" xfId="51" applyNumberFormat="1" applyFont="1" applyFill="1" applyAlignment="1">
      <alignment horizontal="center" vertical="center" wrapText="1"/>
    </xf>
    <xf numFmtId="0" fontId="3" fillId="2" borderId="3" xfId="51" applyFont="1" applyFill="1" applyBorder="1" applyAlignment="1">
      <alignment horizontal="center" vertical="center" wrapText="1"/>
    </xf>
    <xf numFmtId="0" fontId="0" fillId="0" borderId="16" xfId="0" applyBorder="1"/>
    <xf numFmtId="176" fontId="5" fillId="2" borderId="8" xfId="51" applyNumberFormat="1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9"/>
  <sheetViews>
    <sheetView tabSelected="1" workbookViewId="0">
      <selection activeCell="H10" sqref="H10:H11"/>
    </sheetView>
  </sheetViews>
  <sheetFormatPr defaultColWidth="9.6" defaultRowHeight="15"/>
  <cols>
    <col min="1" max="1" width="5.2" style="3" customWidth="1"/>
    <col min="2" max="3" width="4.26666666666667" style="4" customWidth="1"/>
    <col min="4" max="4" width="6.26666666666667" style="5" customWidth="1"/>
    <col min="5" max="5" width="9.46666666666667" style="5" customWidth="1"/>
    <col min="6" max="6" width="13.3333333333333" style="5" customWidth="1"/>
    <col min="7" max="7" width="17.5333333333333" style="5" customWidth="1"/>
    <col min="8" max="8" width="10.5333333333333" style="6" customWidth="1"/>
    <col min="9" max="9" width="8.26666666666667" style="7" customWidth="1"/>
    <col min="10" max="10" width="4" style="7" customWidth="1"/>
    <col min="11" max="11" width="5.33333333333333" style="8" customWidth="1"/>
    <col min="12" max="12" width="5.33333333333333" style="4" customWidth="1"/>
    <col min="13" max="13" width="6.26666666666667" style="7" customWidth="1"/>
    <col min="14" max="14" width="5.33333333333333" style="9" customWidth="1"/>
    <col min="15" max="15" width="5.33333333333333" style="4" customWidth="1"/>
    <col min="16" max="16" width="4.93333333333333" style="10" customWidth="1"/>
    <col min="17" max="28" width="4.8" style="11" hidden="1" customWidth="1"/>
    <col min="29" max="56" width="4.8" style="11" customWidth="1"/>
    <col min="57" max="58" width="4.93333333333333" style="12" customWidth="1"/>
    <col min="59" max="59" width="6" style="10" customWidth="1"/>
    <col min="60" max="60" width="9.6" style="13" customWidth="1"/>
  </cols>
  <sheetData>
    <row r="1" ht="21" customHeight="1" spans="1:60">
      <c r="A1" s="14" t="s">
        <v>0</v>
      </c>
      <c r="Q1" s="15"/>
      <c r="S1" s="15"/>
      <c r="U1" s="15"/>
      <c r="W1" s="15"/>
      <c r="Y1" s="15"/>
      <c r="AA1" s="15"/>
      <c r="AC1" s="15"/>
      <c r="AE1" s="15"/>
      <c r="AG1" s="15"/>
      <c r="AI1" s="15"/>
      <c r="AK1" s="16"/>
      <c r="AO1" s="15"/>
      <c r="AQ1" s="15"/>
      <c r="AS1" s="15"/>
      <c r="AU1" s="15"/>
      <c r="AW1" s="15"/>
      <c r="AY1" s="16"/>
      <c r="BC1" s="15"/>
      <c r="BE1" s="17"/>
      <c r="BF1" s="17"/>
      <c r="BG1" s="18"/>
    </row>
    <row r="2" ht="21" customHeight="1" spans="1:60">
      <c r="BE2" s="17"/>
      <c r="BF2" s="17"/>
      <c r="BG2" s="18"/>
    </row>
    <row r="3" ht="23.25" customHeight="1" spans="1:60">
      <c r="A3" s="19" t="s">
        <v>1</v>
      </c>
      <c r="B3" s="20" t="s">
        <v>2</v>
      </c>
      <c r="C3" s="20" t="s">
        <v>3</v>
      </c>
      <c r="D3" s="21" t="s">
        <v>4</v>
      </c>
      <c r="E3" s="22"/>
      <c r="F3" s="22"/>
      <c r="G3" s="22"/>
      <c r="H3" s="23"/>
      <c r="I3" s="24"/>
      <c r="J3" s="25" t="s">
        <v>5</v>
      </c>
      <c r="K3" s="26" t="s">
        <v>6</v>
      </c>
      <c r="L3" s="19" t="s">
        <v>7</v>
      </c>
      <c r="M3" s="27" t="s">
        <v>8</v>
      </c>
      <c r="N3" s="28" t="s">
        <v>9</v>
      </c>
      <c r="O3" s="28" t="s">
        <v>7</v>
      </c>
      <c r="P3" s="29" t="s">
        <v>10</v>
      </c>
      <c r="Q3" s="30">
        <v>46225</v>
      </c>
      <c r="R3" s="23"/>
      <c r="S3" s="30">
        <v>46226</v>
      </c>
      <c r="T3" s="23"/>
      <c r="U3" s="30">
        <v>46227</v>
      </c>
      <c r="V3" s="23"/>
      <c r="W3" s="30">
        <v>46228</v>
      </c>
      <c r="X3" s="23"/>
      <c r="Y3" s="30">
        <v>46229</v>
      </c>
      <c r="Z3" s="23"/>
      <c r="AA3" s="30">
        <v>46230</v>
      </c>
      <c r="AB3" s="23"/>
      <c r="AC3" s="30">
        <v>46231</v>
      </c>
      <c r="AD3" s="23"/>
      <c r="AE3" s="30">
        <v>46232</v>
      </c>
      <c r="AF3" s="23"/>
      <c r="AG3" s="30">
        <v>46233</v>
      </c>
      <c r="AH3" s="23"/>
      <c r="AI3" s="30">
        <v>46234</v>
      </c>
      <c r="AJ3" s="23"/>
      <c r="AK3" s="30">
        <v>46235</v>
      </c>
      <c r="AL3" s="23"/>
      <c r="AM3" s="30">
        <v>46236</v>
      </c>
      <c r="AN3" s="23"/>
      <c r="AO3" s="30">
        <v>46237</v>
      </c>
      <c r="AP3" s="23"/>
      <c r="AQ3" s="30">
        <v>46238</v>
      </c>
      <c r="AR3" s="23"/>
      <c r="AS3" s="30">
        <v>46239</v>
      </c>
      <c r="AT3" s="23"/>
      <c r="AU3" s="30">
        <v>46240</v>
      </c>
      <c r="AV3" s="23"/>
      <c r="AW3" s="30">
        <v>46241</v>
      </c>
      <c r="AX3" s="23"/>
      <c r="AY3" s="30">
        <v>46242</v>
      </c>
      <c r="AZ3" s="23"/>
      <c r="BA3" s="30">
        <v>46243</v>
      </c>
      <c r="BB3" s="23"/>
      <c r="BC3" s="30">
        <v>46244</v>
      </c>
      <c r="BD3" s="23"/>
      <c r="BE3" s="31" t="s">
        <v>11</v>
      </c>
      <c r="BF3" s="32"/>
      <c r="BG3" s="33" t="s">
        <v>12</v>
      </c>
      <c r="BH3" s="34" t="s">
        <v>13</v>
      </c>
    </row>
    <row r="4" ht="23.25" customHeight="1" spans="1:60">
      <c r="A4" s="35"/>
      <c r="B4" s="35"/>
      <c r="C4" s="35"/>
      <c r="D4" s="36" t="s">
        <v>14</v>
      </c>
      <c r="E4" s="36"/>
      <c r="F4" s="36"/>
      <c r="G4" s="36"/>
      <c r="H4" s="24"/>
      <c r="I4" s="24"/>
      <c r="J4" s="35"/>
      <c r="K4" s="35"/>
      <c r="L4" s="35"/>
      <c r="M4" s="35"/>
      <c r="N4" s="35"/>
      <c r="O4" s="35"/>
      <c r="P4" s="35"/>
      <c r="Q4" s="37" t="s">
        <v>15</v>
      </c>
      <c r="R4" s="23"/>
      <c r="S4" s="37" t="s">
        <v>16</v>
      </c>
      <c r="T4" s="23"/>
      <c r="U4" s="37" t="s">
        <v>17</v>
      </c>
      <c r="V4" s="23"/>
      <c r="W4" s="37" t="s">
        <v>18</v>
      </c>
      <c r="X4" s="23"/>
      <c r="Y4" s="37" t="s">
        <v>19</v>
      </c>
      <c r="Z4" s="23"/>
      <c r="AA4" s="37" t="s">
        <v>20</v>
      </c>
      <c r="AB4" s="23"/>
      <c r="AC4" s="37" t="s">
        <v>21</v>
      </c>
      <c r="AD4" s="23"/>
      <c r="AE4" s="37" t="s">
        <v>15</v>
      </c>
      <c r="AF4" s="23"/>
      <c r="AG4" s="37" t="s">
        <v>16</v>
      </c>
      <c r="AH4" s="23"/>
      <c r="AI4" s="37" t="s">
        <v>17</v>
      </c>
      <c r="AJ4" s="23"/>
      <c r="AK4" s="37" t="s">
        <v>18</v>
      </c>
      <c r="AL4" s="23"/>
      <c r="AM4" s="37" t="s">
        <v>19</v>
      </c>
      <c r="AN4" s="23"/>
      <c r="AO4" s="37" t="s">
        <v>20</v>
      </c>
      <c r="AP4" s="23"/>
      <c r="AQ4" s="37" t="s">
        <v>21</v>
      </c>
      <c r="AR4" s="23"/>
      <c r="AS4" s="37" t="s">
        <v>15</v>
      </c>
      <c r="AT4" s="23"/>
      <c r="AU4" s="37" t="s">
        <v>16</v>
      </c>
      <c r="AV4" s="23"/>
      <c r="AW4" s="37" t="s">
        <v>17</v>
      </c>
      <c r="AX4" s="23"/>
      <c r="AY4" s="37" t="s">
        <v>18</v>
      </c>
      <c r="AZ4" s="23"/>
      <c r="BA4" s="37" t="s">
        <v>19</v>
      </c>
      <c r="BB4" s="23"/>
      <c r="BC4" s="37" t="s">
        <v>20</v>
      </c>
      <c r="BD4" s="23"/>
      <c r="BE4" s="38"/>
      <c r="BF4" s="39"/>
      <c r="BG4" s="40"/>
      <c r="BH4" s="41"/>
    </row>
    <row r="5" ht="23.65" customHeight="1" spans="1:60">
      <c r="A5" s="42"/>
      <c r="B5" s="42"/>
      <c r="C5" s="42"/>
      <c r="D5" s="43" t="s">
        <v>22</v>
      </c>
      <c r="E5" s="43" t="s">
        <v>23</v>
      </c>
      <c r="F5" s="43" t="s">
        <v>24</v>
      </c>
      <c r="G5" s="43" t="s">
        <v>25</v>
      </c>
      <c r="H5" s="43" t="s">
        <v>26</v>
      </c>
      <c r="I5" s="43" t="s">
        <v>27</v>
      </c>
      <c r="J5" s="42"/>
      <c r="K5" s="42"/>
      <c r="L5" s="42"/>
      <c r="M5" s="42"/>
      <c r="N5" s="42"/>
      <c r="O5" s="42"/>
      <c r="P5" s="42"/>
      <c r="Q5" s="37" t="s">
        <v>28</v>
      </c>
      <c r="R5" s="37" t="s">
        <v>29</v>
      </c>
      <c r="S5" s="37" t="s">
        <v>28</v>
      </c>
      <c r="T5" s="37" t="s">
        <v>29</v>
      </c>
      <c r="U5" s="37" t="s">
        <v>28</v>
      </c>
      <c r="V5" s="37" t="s">
        <v>29</v>
      </c>
      <c r="W5" s="37" t="s">
        <v>28</v>
      </c>
      <c r="X5" s="37" t="s">
        <v>29</v>
      </c>
      <c r="Y5" s="37" t="s">
        <v>28</v>
      </c>
      <c r="Z5" s="37" t="s">
        <v>29</v>
      </c>
      <c r="AA5" s="37" t="s">
        <v>28</v>
      </c>
      <c r="AB5" s="37" t="s">
        <v>29</v>
      </c>
      <c r="AC5" s="37" t="s">
        <v>28</v>
      </c>
      <c r="AD5" s="37" t="s">
        <v>29</v>
      </c>
      <c r="AE5" s="37" t="s">
        <v>28</v>
      </c>
      <c r="AF5" s="37" t="s">
        <v>29</v>
      </c>
      <c r="AG5" s="37" t="s">
        <v>28</v>
      </c>
      <c r="AH5" s="37" t="s">
        <v>29</v>
      </c>
      <c r="AI5" s="37" t="s">
        <v>28</v>
      </c>
      <c r="AJ5" s="37" t="s">
        <v>29</v>
      </c>
      <c r="AK5" s="37" t="s">
        <v>28</v>
      </c>
      <c r="AL5" s="37" t="s">
        <v>29</v>
      </c>
      <c r="AM5" s="37" t="s">
        <v>28</v>
      </c>
      <c r="AN5" s="37" t="s">
        <v>29</v>
      </c>
      <c r="AO5" s="37" t="s">
        <v>28</v>
      </c>
      <c r="AP5" s="37" t="s">
        <v>29</v>
      </c>
      <c r="AQ5" s="37" t="s">
        <v>28</v>
      </c>
      <c r="AR5" s="37" t="s">
        <v>29</v>
      </c>
      <c r="AS5" s="37" t="s">
        <v>28</v>
      </c>
      <c r="AT5" s="37" t="s">
        <v>29</v>
      </c>
      <c r="AU5" s="37" t="s">
        <v>28</v>
      </c>
      <c r="AV5" s="37" t="s">
        <v>29</v>
      </c>
      <c r="AW5" s="37" t="s">
        <v>28</v>
      </c>
      <c r="AX5" s="37" t="s">
        <v>29</v>
      </c>
      <c r="AY5" s="37" t="s">
        <v>28</v>
      </c>
      <c r="AZ5" s="37" t="s">
        <v>29</v>
      </c>
      <c r="BA5" s="37" t="s">
        <v>28</v>
      </c>
      <c r="BB5" s="37" t="s">
        <v>29</v>
      </c>
      <c r="BC5" s="37" t="s">
        <v>28</v>
      </c>
      <c r="BD5" s="37" t="s">
        <v>29</v>
      </c>
      <c r="BE5" s="44" t="s">
        <v>28</v>
      </c>
      <c r="BF5" s="45" t="s">
        <v>29</v>
      </c>
      <c r="BG5" s="40"/>
      <c r="BH5" s="41"/>
    </row>
    <row r="6" s="1" customFormat="1" ht="30" customHeight="1" spans="1:60">
      <c r="A6" s="46" t="s">
        <v>30</v>
      </c>
      <c r="B6" s="47" t="s">
        <v>31</v>
      </c>
      <c r="C6" s="48" t="s">
        <v>32</v>
      </c>
      <c r="D6" s="47" t="s">
        <v>33</v>
      </c>
      <c r="E6" s="47" t="s">
        <v>34</v>
      </c>
      <c r="F6" s="49" t="s">
        <v>35</v>
      </c>
      <c r="G6" s="49">
        <v>8000004406</v>
      </c>
      <c r="H6" s="50" t="s">
        <v>35</v>
      </c>
      <c r="I6" s="47" t="s">
        <v>36</v>
      </c>
      <c r="J6" s="51"/>
      <c r="K6" s="52" t="s">
        <v>37</v>
      </c>
      <c r="L6" s="53">
        <v>3</v>
      </c>
      <c r="M6" s="51">
        <v>1500</v>
      </c>
      <c r="N6" s="51">
        <v>13</v>
      </c>
      <c r="O6" s="53">
        <v>3</v>
      </c>
      <c r="P6" s="54">
        <f t="shared" ref="P6:P29" si="0">SUM(AG6:AJ6)</f>
        <v>0</v>
      </c>
      <c r="Q6" s="55">
        <v>2050</v>
      </c>
      <c r="R6" s="55"/>
      <c r="S6" s="55">
        <v>2050</v>
      </c>
      <c r="T6" s="55"/>
      <c r="U6" s="55">
        <v>2050</v>
      </c>
      <c r="V6" s="55"/>
      <c r="W6" s="55">
        <v>2050</v>
      </c>
      <c r="X6" s="55"/>
      <c r="Y6" s="55">
        <v>2050</v>
      </c>
      <c r="Z6" s="55"/>
      <c r="AA6" s="55">
        <v>2050</v>
      </c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6"/>
      <c r="BF6" s="57"/>
      <c r="BG6" s="54"/>
      <c r="BH6" s="58"/>
    </row>
    <row r="7" s="1" customFormat="1" ht="30" customHeight="1" spans="1:60">
      <c r="A7" s="46">
        <v>0</v>
      </c>
      <c r="B7" s="47">
        <v>0</v>
      </c>
      <c r="C7" s="48">
        <v>0</v>
      </c>
      <c r="D7" s="42"/>
      <c r="E7" s="42"/>
      <c r="F7" s="49" t="e">
        <v>#N/A</v>
      </c>
      <c r="G7" s="49" t="e">
        <v>#N/A</v>
      </c>
      <c r="H7" s="42"/>
      <c r="I7" s="42"/>
      <c r="J7" s="59"/>
      <c r="K7" s="52"/>
      <c r="L7" s="53">
        <v>0</v>
      </c>
      <c r="M7" s="51">
        <v>0</v>
      </c>
      <c r="N7" s="51">
        <v>0</v>
      </c>
      <c r="O7" s="53">
        <v>0</v>
      </c>
      <c r="P7" s="54">
        <f t="shared" si="0"/>
        <v>0</v>
      </c>
      <c r="Q7" s="60">
        <v>1817</v>
      </c>
      <c r="R7" s="60"/>
      <c r="S7" s="60">
        <v>1665</v>
      </c>
      <c r="T7" s="60"/>
      <c r="U7" s="60">
        <v>1939</v>
      </c>
      <c r="V7" s="60"/>
      <c r="W7" s="60">
        <v>2053</v>
      </c>
      <c r="X7" s="60"/>
      <c r="Y7" s="60">
        <v>2066</v>
      </c>
      <c r="Z7" s="60"/>
      <c r="AA7" s="60">
        <v>1928</v>
      </c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  <c r="BF7" s="62"/>
      <c r="BG7" s="54"/>
      <c r="BH7" s="58"/>
    </row>
    <row r="8" s="1" customFormat="1" ht="30" customHeight="1" spans="1:60">
      <c r="A8" s="46" t="s">
        <v>38</v>
      </c>
      <c r="B8" s="47" t="s">
        <v>31</v>
      </c>
      <c r="C8" s="48" t="s">
        <v>32</v>
      </c>
      <c r="D8" s="47" t="s">
        <v>39</v>
      </c>
      <c r="E8" s="47" t="s">
        <v>40</v>
      </c>
      <c r="F8" s="49" t="s">
        <v>41</v>
      </c>
      <c r="G8" s="49">
        <v>8000004887</v>
      </c>
      <c r="H8" s="47" t="s">
        <v>41</v>
      </c>
      <c r="I8" s="47" t="s">
        <v>40</v>
      </c>
      <c r="J8" s="63"/>
      <c r="K8" s="52" t="s">
        <v>42</v>
      </c>
      <c r="L8" s="53">
        <v>4</v>
      </c>
      <c r="M8" s="51">
        <v>1000</v>
      </c>
      <c r="N8" s="51">
        <v>34</v>
      </c>
      <c r="O8" s="53">
        <v>4</v>
      </c>
      <c r="P8" s="54">
        <f t="shared" si="0"/>
        <v>0</v>
      </c>
      <c r="Q8" s="60">
        <v>1400</v>
      </c>
      <c r="R8" s="60">
        <v>1400</v>
      </c>
      <c r="S8" s="60">
        <v>1400</v>
      </c>
      <c r="T8" s="60">
        <v>1400</v>
      </c>
      <c r="U8" s="60">
        <v>1400</v>
      </c>
      <c r="V8" s="60">
        <v>1400</v>
      </c>
      <c r="W8" s="60">
        <v>1400</v>
      </c>
      <c r="X8" s="60">
        <v>1400</v>
      </c>
      <c r="Y8" s="60">
        <v>1400</v>
      </c>
      <c r="Z8" s="60">
        <v>0</v>
      </c>
      <c r="AA8" s="60">
        <v>1400</v>
      </c>
      <c r="AB8" s="60">
        <v>1400</v>
      </c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  <c r="BF8" s="62"/>
      <c r="BG8" s="54"/>
      <c r="BH8" s="58"/>
    </row>
    <row r="9" s="1" customFormat="1" ht="30" customHeight="1" spans="1:60">
      <c r="A9" s="46">
        <v>0</v>
      </c>
      <c r="B9" s="47">
        <v>0</v>
      </c>
      <c r="C9" s="48">
        <v>0</v>
      </c>
      <c r="D9" s="42"/>
      <c r="E9" s="42"/>
      <c r="F9" s="49" t="e">
        <v>#N/A</v>
      </c>
      <c r="G9" s="49" t="e">
        <v>#N/A</v>
      </c>
      <c r="H9" s="42"/>
      <c r="I9" s="42"/>
      <c r="J9" s="64"/>
      <c r="K9" s="52"/>
      <c r="L9" s="53">
        <v>0</v>
      </c>
      <c r="M9" s="51">
        <v>0</v>
      </c>
      <c r="N9" s="51">
        <v>0</v>
      </c>
      <c r="O9" s="53">
        <v>0</v>
      </c>
      <c r="P9" s="54">
        <f t="shared" si="0"/>
        <v>0</v>
      </c>
      <c r="Q9" s="60">
        <v>1240</v>
      </c>
      <c r="R9" s="60">
        <v>1434</v>
      </c>
      <c r="S9" s="60">
        <v>1368</v>
      </c>
      <c r="T9" s="60">
        <v>1427</v>
      </c>
      <c r="U9" s="60">
        <v>1458</v>
      </c>
      <c r="V9" s="60">
        <v>1414</v>
      </c>
      <c r="W9" s="60">
        <v>1405</v>
      </c>
      <c r="X9" s="60">
        <v>1421</v>
      </c>
      <c r="Y9" s="60">
        <v>1385</v>
      </c>
      <c r="Z9" s="60" t="s">
        <v>43</v>
      </c>
      <c r="AA9" s="60">
        <v>1364</v>
      </c>
      <c r="AB9" s="60">
        <v>1425</v>
      </c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  <c r="BF9" s="62"/>
      <c r="BG9" s="54"/>
      <c r="BH9" s="58"/>
    </row>
    <row r="10" s="1" customFormat="1" ht="30" customHeight="1" spans="1:60">
      <c r="A10" s="46" t="s">
        <v>30</v>
      </c>
      <c r="B10" s="47" t="s">
        <v>31</v>
      </c>
      <c r="C10" s="48" t="s">
        <v>32</v>
      </c>
      <c r="D10" s="47" t="s">
        <v>44</v>
      </c>
      <c r="E10" s="47" t="s">
        <v>34</v>
      </c>
      <c r="F10" s="49" t="s">
        <v>35</v>
      </c>
      <c r="G10" s="49">
        <v>8000004406</v>
      </c>
      <c r="H10" s="65" t="s">
        <v>45</v>
      </c>
      <c r="I10" s="47" t="s">
        <v>36</v>
      </c>
      <c r="J10" s="66"/>
      <c r="K10" s="52" t="s">
        <v>46</v>
      </c>
      <c r="L10" s="53">
        <v>2</v>
      </c>
      <c r="M10" s="51">
        <v>1500</v>
      </c>
      <c r="N10" s="51">
        <v>14</v>
      </c>
      <c r="O10" s="53">
        <v>2</v>
      </c>
      <c r="P10" s="54">
        <f t="shared" si="0"/>
        <v>0</v>
      </c>
      <c r="Q10" s="55">
        <v>1900</v>
      </c>
      <c r="R10" s="55"/>
      <c r="S10" s="55">
        <v>1950</v>
      </c>
      <c r="T10" s="55"/>
      <c r="U10" s="55">
        <v>1950</v>
      </c>
      <c r="V10" s="55"/>
      <c r="W10" s="55">
        <v>0</v>
      </c>
      <c r="X10" s="55"/>
      <c r="Y10" s="55">
        <v>1950</v>
      </c>
      <c r="Z10" s="55"/>
      <c r="AA10" s="55">
        <v>1950</v>
      </c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6"/>
      <c r="BF10" s="57"/>
      <c r="BG10" s="54"/>
      <c r="BH10" s="58"/>
    </row>
    <row r="11" s="1" customFormat="1" ht="30" customHeight="1" spans="1:60">
      <c r="A11" s="46">
        <v>0</v>
      </c>
      <c r="B11" s="47">
        <v>0</v>
      </c>
      <c r="C11" s="48">
        <v>0</v>
      </c>
      <c r="D11" s="42"/>
      <c r="E11" s="42"/>
      <c r="F11" s="49" t="e">
        <v>#N/A</v>
      </c>
      <c r="G11" s="49" t="e">
        <v>#N/A</v>
      </c>
      <c r="H11" s="42"/>
      <c r="I11" s="42"/>
      <c r="J11" s="64"/>
      <c r="K11" s="52"/>
      <c r="L11" s="53">
        <v>0</v>
      </c>
      <c r="M11" s="51">
        <v>0</v>
      </c>
      <c r="N11" s="51">
        <v>0</v>
      </c>
      <c r="O11" s="53">
        <v>0</v>
      </c>
      <c r="P11" s="54">
        <f t="shared" si="0"/>
        <v>0</v>
      </c>
      <c r="Q11" s="55">
        <v>1713</v>
      </c>
      <c r="R11" s="55"/>
      <c r="S11" s="55">
        <v>1736</v>
      </c>
      <c r="T11" s="55"/>
      <c r="U11" s="55">
        <v>1906</v>
      </c>
      <c r="V11" s="55"/>
      <c r="W11" s="55"/>
      <c r="X11" s="55"/>
      <c r="Y11" s="55">
        <v>1909</v>
      </c>
      <c r="Z11" s="55"/>
      <c r="AA11" s="55">
        <v>1912</v>
      </c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61"/>
      <c r="BF11" s="62"/>
      <c r="BG11" s="54"/>
      <c r="BH11" s="58"/>
    </row>
    <row r="12" s="1" customFormat="1" ht="30" customHeight="1" spans="1:60">
      <c r="A12" s="46" t="s">
        <v>30</v>
      </c>
      <c r="B12" s="47" t="s">
        <v>47</v>
      </c>
      <c r="C12" s="48" t="s">
        <v>48</v>
      </c>
      <c r="D12" s="47" t="s">
        <v>49</v>
      </c>
      <c r="E12" s="47" t="s">
        <v>34</v>
      </c>
      <c r="F12" s="49" t="s">
        <v>35</v>
      </c>
      <c r="G12" s="49">
        <v>8000004406</v>
      </c>
      <c r="H12" s="47" t="s">
        <v>35</v>
      </c>
      <c r="I12" s="47"/>
      <c r="J12" s="67" t="s">
        <v>50</v>
      </c>
      <c r="K12" s="52"/>
      <c r="L12" s="53">
        <v>2</v>
      </c>
      <c r="M12" s="51">
        <v>1500</v>
      </c>
      <c r="N12" s="51">
        <v>14</v>
      </c>
      <c r="O12" s="53">
        <v>2</v>
      </c>
      <c r="P12" s="54">
        <f t="shared" si="0"/>
        <v>0</v>
      </c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  <c r="BF12" s="62"/>
      <c r="BG12" s="54"/>
      <c r="BH12" s="58"/>
    </row>
    <row r="13" s="1" customFormat="1" ht="30" customHeight="1" spans="1:60">
      <c r="A13" s="46">
        <v>0</v>
      </c>
      <c r="B13" s="47">
        <v>0</v>
      </c>
      <c r="C13" s="48">
        <v>0</v>
      </c>
      <c r="D13" s="42"/>
      <c r="E13" s="42"/>
      <c r="F13" s="49" t="e">
        <v>#N/A</v>
      </c>
      <c r="G13" s="49" t="e">
        <v>#N/A</v>
      </c>
      <c r="H13" s="42"/>
      <c r="I13" s="42"/>
      <c r="J13" s="64"/>
      <c r="K13" s="52"/>
      <c r="L13" s="53">
        <v>0</v>
      </c>
      <c r="M13" s="51">
        <v>0</v>
      </c>
      <c r="N13" s="51">
        <v>0</v>
      </c>
      <c r="O13" s="53">
        <v>0</v>
      </c>
      <c r="P13" s="54">
        <f t="shared" si="0"/>
        <v>0</v>
      </c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  <c r="BF13" s="62"/>
      <c r="BG13" s="54"/>
      <c r="BH13" s="58"/>
    </row>
    <row r="14" s="1" customFormat="1" ht="30" customHeight="1" spans="1:60">
      <c r="A14" s="46" t="s">
        <v>51</v>
      </c>
      <c r="B14" s="47" t="s">
        <v>47</v>
      </c>
      <c r="C14" s="48" t="s">
        <v>52</v>
      </c>
      <c r="D14" s="47" t="s">
        <v>53</v>
      </c>
      <c r="E14" s="47" t="s">
        <v>54</v>
      </c>
      <c r="F14" s="49" t="s">
        <v>55</v>
      </c>
      <c r="G14" s="49">
        <v>8000004083</v>
      </c>
      <c r="H14" s="47" t="s">
        <v>55</v>
      </c>
      <c r="I14" s="47" t="s">
        <v>56</v>
      </c>
      <c r="J14" s="51" t="s">
        <v>54</v>
      </c>
      <c r="K14" s="52" t="s">
        <v>57</v>
      </c>
      <c r="L14" s="53">
        <v>2</v>
      </c>
      <c r="M14" s="51">
        <v>1050</v>
      </c>
      <c r="N14" s="51">
        <v>10</v>
      </c>
      <c r="O14" s="53">
        <v>2</v>
      </c>
      <c r="P14" s="54">
        <f t="shared" si="0"/>
        <v>0</v>
      </c>
      <c r="Q14" s="60">
        <v>1400</v>
      </c>
      <c r="R14" s="60"/>
      <c r="S14" s="60">
        <v>1500</v>
      </c>
      <c r="T14" s="60"/>
      <c r="U14" s="60">
        <v>1500</v>
      </c>
      <c r="V14" s="60"/>
      <c r="W14" s="60">
        <v>0</v>
      </c>
      <c r="X14" s="60"/>
      <c r="Y14" s="60">
        <v>1400</v>
      </c>
      <c r="Z14" s="60"/>
      <c r="AA14" s="60">
        <v>1500</v>
      </c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  <c r="BF14" s="62"/>
      <c r="BG14" s="54"/>
      <c r="BH14" s="58"/>
    </row>
    <row r="15" s="1" customFormat="1" ht="30" customHeight="1" spans="1:60">
      <c r="A15" s="46">
        <v>0</v>
      </c>
      <c r="B15" s="47">
        <v>0</v>
      </c>
      <c r="C15" s="48">
        <v>0</v>
      </c>
      <c r="D15" s="42"/>
      <c r="E15" s="42"/>
      <c r="F15" s="49" t="e">
        <v>#N/A</v>
      </c>
      <c r="G15" s="49" t="e">
        <v>#N/A</v>
      </c>
      <c r="H15" s="42"/>
      <c r="I15" s="42"/>
      <c r="J15" s="64"/>
      <c r="K15" s="52"/>
      <c r="L15" s="53">
        <v>0</v>
      </c>
      <c r="M15" s="51">
        <v>0</v>
      </c>
      <c r="N15" s="51">
        <v>0</v>
      </c>
      <c r="O15" s="53">
        <v>0</v>
      </c>
      <c r="P15" s="54">
        <f t="shared" si="0"/>
        <v>0</v>
      </c>
      <c r="Q15" s="60">
        <v>1278</v>
      </c>
      <c r="R15" s="60"/>
      <c r="S15" s="60">
        <v>1340</v>
      </c>
      <c r="T15" s="60"/>
      <c r="U15" s="60">
        <v>1458</v>
      </c>
      <c r="V15" s="60"/>
      <c r="W15" s="60"/>
      <c r="X15" s="60"/>
      <c r="Y15" s="60" t="s">
        <v>58</v>
      </c>
      <c r="Z15" s="60"/>
      <c r="AA15" s="60">
        <v>1442</v>
      </c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  <c r="BF15" s="62"/>
      <c r="BG15" s="54"/>
      <c r="BH15" s="58"/>
    </row>
    <row r="16" s="1" customFormat="1" ht="30" customHeight="1" spans="1:60">
      <c r="A16" s="46">
        <v>0</v>
      </c>
      <c r="B16" s="47" t="s">
        <v>47</v>
      </c>
      <c r="C16" s="48" t="s">
        <v>59</v>
      </c>
      <c r="D16" s="47" t="s">
        <v>60</v>
      </c>
      <c r="E16" s="47" t="s">
        <v>61</v>
      </c>
      <c r="F16" s="49" t="s">
        <v>62</v>
      </c>
      <c r="G16" s="49">
        <v>8000005268</v>
      </c>
      <c r="H16" s="47" t="s">
        <v>62</v>
      </c>
      <c r="I16" s="47" t="s">
        <v>63</v>
      </c>
      <c r="J16" s="52"/>
      <c r="K16" s="52" t="s">
        <v>64</v>
      </c>
      <c r="L16" s="53">
        <v>2</v>
      </c>
      <c r="M16" s="51">
        <v>1200</v>
      </c>
      <c r="N16" s="51">
        <v>15</v>
      </c>
      <c r="O16" s="53">
        <v>2</v>
      </c>
      <c r="P16" s="54">
        <f t="shared" si="0"/>
        <v>0</v>
      </c>
      <c r="Q16" s="60"/>
      <c r="R16" s="60"/>
      <c r="S16" s="60">
        <v>1400</v>
      </c>
      <c r="T16" s="60">
        <v>1300</v>
      </c>
      <c r="U16" s="60">
        <v>1400</v>
      </c>
      <c r="V16" s="60">
        <v>1350</v>
      </c>
      <c r="W16" s="60"/>
      <c r="X16" s="60">
        <v>1350</v>
      </c>
      <c r="Y16" s="60">
        <v>1400</v>
      </c>
      <c r="Z16" s="60">
        <v>1350</v>
      </c>
      <c r="AA16" s="60">
        <v>1400</v>
      </c>
      <c r="AB16" s="60">
        <v>1350</v>
      </c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  <c r="BF16" s="62"/>
      <c r="BG16" s="54"/>
      <c r="BH16" s="58"/>
    </row>
    <row r="17" s="1" customFormat="1" ht="30" customHeight="1" spans="1:60">
      <c r="A17" s="46">
        <v>0</v>
      </c>
      <c r="B17" s="47">
        <v>0</v>
      </c>
      <c r="C17" s="48">
        <v>0</v>
      </c>
      <c r="D17" s="42"/>
      <c r="E17" s="42"/>
      <c r="F17" s="49" t="e">
        <v>#N/A</v>
      </c>
      <c r="G17" s="49" t="e">
        <v>#N/A</v>
      </c>
      <c r="H17" s="42"/>
      <c r="I17" s="42"/>
      <c r="J17" s="64"/>
      <c r="K17" s="52"/>
      <c r="L17" s="53">
        <v>0</v>
      </c>
      <c r="M17" s="51">
        <v>0</v>
      </c>
      <c r="N17" s="51">
        <v>0</v>
      </c>
      <c r="O17" s="53">
        <v>0</v>
      </c>
      <c r="P17" s="54">
        <f t="shared" si="0"/>
        <v>0</v>
      </c>
      <c r="Q17" s="60"/>
      <c r="R17" s="60"/>
      <c r="S17" s="60">
        <v>1203</v>
      </c>
      <c r="T17" s="60">
        <v>1240</v>
      </c>
      <c r="U17" s="60">
        <v>1438</v>
      </c>
      <c r="V17" s="60">
        <v>1347</v>
      </c>
      <c r="W17" s="60"/>
      <c r="X17" s="60">
        <v>1328</v>
      </c>
      <c r="Y17" s="60">
        <v>1408</v>
      </c>
      <c r="Z17" s="60">
        <v>1356</v>
      </c>
      <c r="AA17" s="60">
        <v>1411</v>
      </c>
      <c r="AB17" s="60">
        <v>1377</v>
      </c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  <c r="BF17" s="62"/>
      <c r="BG17" s="54"/>
      <c r="BH17" s="58"/>
    </row>
    <row r="18" s="2" customFormat="1" ht="30" customHeight="1" spans="1:60">
      <c r="A18" s="46" t="s">
        <v>38</v>
      </c>
      <c r="B18" s="47" t="s">
        <v>65</v>
      </c>
      <c r="C18" s="48" t="s">
        <v>66</v>
      </c>
      <c r="D18" s="47" t="s">
        <v>67</v>
      </c>
      <c r="E18" s="47" t="s">
        <v>68</v>
      </c>
      <c r="F18" s="49" t="s">
        <v>69</v>
      </c>
      <c r="G18" s="49">
        <v>8000003925</v>
      </c>
      <c r="H18" s="47" t="s">
        <v>69</v>
      </c>
      <c r="I18" s="47" t="s">
        <v>70</v>
      </c>
      <c r="J18" s="51" t="s">
        <v>68</v>
      </c>
      <c r="K18" s="52" t="s">
        <v>71</v>
      </c>
      <c r="L18" s="53">
        <v>2</v>
      </c>
      <c r="M18" s="51">
        <v>1300</v>
      </c>
      <c r="N18" s="51">
        <v>13</v>
      </c>
      <c r="O18" s="53">
        <v>2</v>
      </c>
      <c r="P18" s="54">
        <f t="shared" si="0"/>
        <v>0</v>
      </c>
      <c r="Q18" s="60">
        <v>2150</v>
      </c>
      <c r="R18" s="60">
        <v>2150</v>
      </c>
      <c r="S18" s="60">
        <v>2150</v>
      </c>
      <c r="T18" s="60">
        <v>2150</v>
      </c>
      <c r="U18" s="60">
        <v>2150</v>
      </c>
      <c r="V18" s="60">
        <v>2150</v>
      </c>
      <c r="W18" s="60">
        <v>2150</v>
      </c>
      <c r="X18" s="60" t="s">
        <v>43</v>
      </c>
      <c r="Y18" s="60">
        <v>2150</v>
      </c>
      <c r="Z18" s="60" t="s">
        <v>72</v>
      </c>
      <c r="AA18" s="60">
        <v>2150</v>
      </c>
      <c r="AB18" s="60">
        <v>2150</v>
      </c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8"/>
      <c r="BF18" s="62"/>
      <c r="BG18" s="54"/>
      <c r="BH18" s="58"/>
    </row>
    <row r="19" s="2" customFormat="1" ht="30" customHeight="1" spans="1:60">
      <c r="A19" s="46">
        <v>0</v>
      </c>
      <c r="B19" s="47">
        <v>0</v>
      </c>
      <c r="C19" s="48">
        <v>0</v>
      </c>
      <c r="D19" s="42"/>
      <c r="E19" s="42"/>
      <c r="F19" s="49" t="e">
        <v>#N/A</v>
      </c>
      <c r="G19" s="49" t="e">
        <v>#N/A</v>
      </c>
      <c r="H19" s="42"/>
      <c r="I19" s="42"/>
      <c r="J19" s="59"/>
      <c r="K19" s="52"/>
      <c r="L19" s="53">
        <v>0</v>
      </c>
      <c r="M19" s="51">
        <v>0</v>
      </c>
      <c r="N19" s="51">
        <v>0</v>
      </c>
      <c r="O19" s="53">
        <v>0</v>
      </c>
      <c r="P19" s="54">
        <f t="shared" si="0"/>
        <v>0</v>
      </c>
      <c r="Q19" s="60">
        <v>2159</v>
      </c>
      <c r="R19" s="60">
        <v>2168</v>
      </c>
      <c r="S19" s="60">
        <v>2180</v>
      </c>
      <c r="T19" s="60">
        <v>2170</v>
      </c>
      <c r="U19" s="60">
        <v>2162</v>
      </c>
      <c r="V19" s="60">
        <v>2179</v>
      </c>
      <c r="W19" s="60">
        <v>2163</v>
      </c>
      <c r="X19" s="60"/>
      <c r="Y19" s="60">
        <v>2178</v>
      </c>
      <c r="Z19" s="60"/>
      <c r="AA19" s="60">
        <v>2185</v>
      </c>
      <c r="AB19" s="60">
        <v>2175</v>
      </c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  <c r="BF19" s="62"/>
      <c r="BG19" s="54"/>
      <c r="BH19" s="58"/>
    </row>
    <row r="20" s="1" customFormat="1" ht="30" customHeight="1" spans="1:60">
      <c r="A20" s="46" t="s">
        <v>51</v>
      </c>
      <c r="B20" s="47" t="s">
        <v>65</v>
      </c>
      <c r="C20" s="48" t="s">
        <v>73</v>
      </c>
      <c r="D20" s="47" t="s">
        <v>74</v>
      </c>
      <c r="E20" s="47" t="s">
        <v>54</v>
      </c>
      <c r="F20" s="49" t="s">
        <v>55</v>
      </c>
      <c r="G20" s="49">
        <v>8000004083</v>
      </c>
      <c r="H20" s="49" t="s">
        <v>55</v>
      </c>
      <c r="I20" s="47" t="s">
        <v>56</v>
      </c>
      <c r="J20" s="51"/>
      <c r="K20" s="52" t="s">
        <v>75</v>
      </c>
      <c r="L20" s="53">
        <v>2</v>
      </c>
      <c r="M20" s="51">
        <v>960</v>
      </c>
      <c r="N20" s="51">
        <v>10</v>
      </c>
      <c r="O20" s="53">
        <v>2</v>
      </c>
      <c r="P20" s="54">
        <f t="shared" si="0"/>
        <v>0</v>
      </c>
      <c r="Q20" s="60">
        <v>1400</v>
      </c>
      <c r="R20" s="60"/>
      <c r="S20" s="60">
        <v>1400</v>
      </c>
      <c r="T20" s="60"/>
      <c r="U20" s="60">
        <v>1400</v>
      </c>
      <c r="V20" s="60"/>
      <c r="W20" s="60">
        <v>0</v>
      </c>
      <c r="X20" s="60"/>
      <c r="Y20" s="60">
        <v>0</v>
      </c>
      <c r="Z20" s="60"/>
      <c r="AA20" s="60">
        <v>1400</v>
      </c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  <c r="BF20" s="62"/>
      <c r="BG20" s="54"/>
      <c r="BH20" s="58"/>
    </row>
    <row r="21" s="1" customFormat="1" ht="30" customHeight="1" spans="1:60">
      <c r="A21" s="46">
        <v>0</v>
      </c>
      <c r="B21" s="47">
        <v>0</v>
      </c>
      <c r="C21" s="48">
        <v>0</v>
      </c>
      <c r="D21" s="42"/>
      <c r="E21" s="42"/>
      <c r="F21" s="49" t="e">
        <v>#N/A</v>
      </c>
      <c r="G21" s="49" t="e">
        <v>#N/A</v>
      </c>
      <c r="H21" s="35"/>
      <c r="I21" s="42"/>
      <c r="J21" s="59"/>
      <c r="K21" s="52"/>
      <c r="L21" s="53">
        <v>0</v>
      </c>
      <c r="M21" s="51">
        <v>0</v>
      </c>
      <c r="N21" s="51">
        <v>0</v>
      </c>
      <c r="O21" s="53">
        <v>0</v>
      </c>
      <c r="P21" s="54">
        <f t="shared" si="0"/>
        <v>0</v>
      </c>
      <c r="Q21" s="60" t="s">
        <v>76</v>
      </c>
      <c r="R21" s="60"/>
      <c r="S21" s="60" t="s">
        <v>77</v>
      </c>
      <c r="T21" s="60"/>
      <c r="U21" s="60" t="s">
        <v>78</v>
      </c>
      <c r="V21" s="60"/>
      <c r="W21" s="60"/>
      <c r="X21" s="60"/>
      <c r="Y21" s="60"/>
      <c r="Z21" s="60"/>
      <c r="AA21" s="60">
        <v>866</v>
      </c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  <c r="BF21" s="62"/>
      <c r="BG21" s="54"/>
      <c r="BH21" s="58"/>
    </row>
    <row r="22" s="1" customFormat="1" ht="30" customHeight="1" spans="1:60">
      <c r="A22" s="46">
        <v>0</v>
      </c>
      <c r="B22" s="47" t="s">
        <v>65</v>
      </c>
      <c r="C22" s="48" t="s">
        <v>73</v>
      </c>
      <c r="D22" s="47" t="s">
        <v>79</v>
      </c>
      <c r="E22" s="47" t="s">
        <v>40</v>
      </c>
      <c r="F22" s="49" t="s">
        <v>41</v>
      </c>
      <c r="G22" s="49">
        <v>8000004887</v>
      </c>
      <c r="H22" s="49" t="s">
        <v>41</v>
      </c>
      <c r="I22" s="47"/>
      <c r="J22" s="51"/>
      <c r="K22" s="52" t="s">
        <v>80</v>
      </c>
      <c r="L22" s="53">
        <v>2</v>
      </c>
      <c r="M22" s="51">
        <v>1100</v>
      </c>
      <c r="N22" s="51">
        <v>10</v>
      </c>
      <c r="O22" s="53">
        <v>2</v>
      </c>
      <c r="P22" s="54">
        <f t="shared" si="0"/>
        <v>0</v>
      </c>
      <c r="Q22" s="60">
        <v>1100</v>
      </c>
      <c r="R22" s="60"/>
      <c r="S22" s="60">
        <v>1200</v>
      </c>
      <c r="T22" s="60"/>
      <c r="U22" s="60">
        <v>1200</v>
      </c>
      <c r="V22" s="60"/>
      <c r="W22" s="60">
        <v>1200</v>
      </c>
      <c r="X22" s="60"/>
      <c r="Y22" s="60">
        <v>1200</v>
      </c>
      <c r="Z22" s="60"/>
      <c r="AA22" s="60">
        <v>1100</v>
      </c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  <c r="BF22" s="62"/>
      <c r="BG22" s="54"/>
      <c r="BH22" s="58"/>
    </row>
    <row r="23" s="1" customFormat="1" ht="30" customHeight="1" spans="1:60">
      <c r="A23" s="46">
        <v>0</v>
      </c>
      <c r="B23" s="47">
        <v>0</v>
      </c>
      <c r="C23" s="48">
        <v>0</v>
      </c>
      <c r="D23" s="42"/>
      <c r="E23" s="42"/>
      <c r="F23" s="49" t="e">
        <v>#N/A</v>
      </c>
      <c r="G23" s="49" t="e">
        <v>#N/A</v>
      </c>
      <c r="H23" s="35"/>
      <c r="I23" s="42"/>
      <c r="J23" s="59"/>
      <c r="K23" s="52"/>
      <c r="L23" s="53">
        <v>0</v>
      </c>
      <c r="M23" s="51">
        <v>0</v>
      </c>
      <c r="N23" s="51">
        <v>0</v>
      </c>
      <c r="O23" s="53">
        <v>0</v>
      </c>
      <c r="P23" s="54">
        <f t="shared" si="0"/>
        <v>0</v>
      </c>
      <c r="Q23" s="60">
        <v>1000</v>
      </c>
      <c r="R23" s="60"/>
      <c r="S23" s="60">
        <v>1067</v>
      </c>
      <c r="T23" s="60"/>
      <c r="U23" s="60">
        <v>1203</v>
      </c>
      <c r="V23" s="60"/>
      <c r="W23" s="60">
        <v>1205</v>
      </c>
      <c r="X23" s="60"/>
      <c r="Y23" s="60">
        <v>1219</v>
      </c>
      <c r="Z23" s="60"/>
      <c r="AA23" s="60">
        <v>1251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  <c r="BF23" s="62"/>
      <c r="BG23" s="54"/>
      <c r="BH23" s="58"/>
    </row>
    <row r="24" s="1" customFormat="1" ht="30" customHeight="1" spans="1:60">
      <c r="A24" s="46" t="s">
        <v>38</v>
      </c>
      <c r="B24" s="47" t="s">
        <v>81</v>
      </c>
      <c r="C24" s="48" t="s">
        <v>82</v>
      </c>
      <c r="D24" s="69" t="s">
        <v>83</v>
      </c>
      <c r="E24" s="47" t="s">
        <v>84</v>
      </c>
      <c r="F24" s="49" t="s">
        <v>85</v>
      </c>
      <c r="G24" s="49">
        <v>8000003926</v>
      </c>
      <c r="H24" s="47" t="s">
        <v>85</v>
      </c>
      <c r="I24" s="47" t="s">
        <v>70</v>
      </c>
      <c r="J24" s="51"/>
      <c r="K24" s="52" t="s">
        <v>86</v>
      </c>
      <c r="L24" s="53">
        <v>2</v>
      </c>
      <c r="M24" s="51">
        <v>1300</v>
      </c>
      <c r="N24" s="51">
        <v>13</v>
      </c>
      <c r="O24" s="53">
        <v>2</v>
      </c>
      <c r="P24" s="54">
        <f t="shared" si="0"/>
        <v>0</v>
      </c>
      <c r="Q24" s="55">
        <v>2200</v>
      </c>
      <c r="R24" s="55">
        <v>2200</v>
      </c>
      <c r="S24" s="55">
        <v>2200</v>
      </c>
      <c r="T24" s="55">
        <v>2200</v>
      </c>
      <c r="U24" s="55">
        <v>2200</v>
      </c>
      <c r="V24" s="55">
        <v>2200</v>
      </c>
      <c r="W24" s="55">
        <v>0</v>
      </c>
      <c r="X24" s="55">
        <v>0</v>
      </c>
      <c r="Y24" s="55">
        <v>0</v>
      </c>
      <c r="Z24" s="55">
        <v>0</v>
      </c>
      <c r="AA24" s="55">
        <v>2200</v>
      </c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61"/>
      <c r="BF24" s="62"/>
      <c r="BG24" s="54"/>
      <c r="BH24" s="58"/>
    </row>
    <row r="25" s="1" customFormat="1" ht="30" customHeight="1" spans="1:60">
      <c r="A25" s="46">
        <v>0</v>
      </c>
      <c r="B25" s="47">
        <v>0</v>
      </c>
      <c r="C25" s="48">
        <v>0</v>
      </c>
      <c r="D25" s="70"/>
      <c r="E25" s="42"/>
      <c r="F25" s="49" t="e">
        <v>#N/A</v>
      </c>
      <c r="G25" s="49" t="e">
        <v>#N/A</v>
      </c>
      <c r="H25" s="42"/>
      <c r="I25" s="42"/>
      <c r="J25" s="59"/>
      <c r="K25" s="52"/>
      <c r="L25" s="53">
        <v>0</v>
      </c>
      <c r="M25" s="51">
        <v>0</v>
      </c>
      <c r="N25" s="51">
        <v>0</v>
      </c>
      <c r="O25" s="53">
        <v>0</v>
      </c>
      <c r="P25" s="54">
        <f t="shared" si="0"/>
        <v>0</v>
      </c>
      <c r="Q25" s="60">
        <v>2046</v>
      </c>
      <c r="R25" s="71">
        <v>2210</v>
      </c>
      <c r="S25" s="60">
        <v>2009</v>
      </c>
      <c r="T25" s="71">
        <v>2208</v>
      </c>
      <c r="U25" s="60">
        <v>2209</v>
      </c>
      <c r="V25" s="71">
        <v>2219</v>
      </c>
      <c r="W25" s="60"/>
      <c r="X25" s="71"/>
      <c r="Y25" s="60"/>
      <c r="Z25" s="71"/>
      <c r="AA25" s="60">
        <v>2199</v>
      </c>
      <c r="AB25" s="71"/>
      <c r="AC25" s="60"/>
      <c r="AD25" s="71"/>
      <c r="AE25" s="60"/>
      <c r="AF25" s="71"/>
      <c r="AG25" s="60"/>
      <c r="AH25" s="71"/>
      <c r="AI25" s="60"/>
      <c r="AJ25" s="71"/>
      <c r="AK25" s="60"/>
      <c r="AL25" s="71"/>
      <c r="AM25" s="60"/>
      <c r="AN25" s="71"/>
      <c r="AO25" s="60"/>
      <c r="AP25" s="71"/>
      <c r="AQ25" s="60"/>
      <c r="AR25" s="71"/>
      <c r="AS25" s="60"/>
      <c r="AT25" s="71"/>
      <c r="AU25" s="60"/>
      <c r="AV25" s="71"/>
      <c r="AW25" s="60"/>
      <c r="AX25" s="71"/>
      <c r="AY25" s="60"/>
      <c r="AZ25" s="71"/>
      <c r="BA25" s="60"/>
      <c r="BB25" s="71"/>
      <c r="BC25" s="60"/>
      <c r="BD25" s="71"/>
      <c r="BE25" s="68"/>
      <c r="BF25" s="62"/>
      <c r="BG25" s="54"/>
      <c r="BH25" s="58"/>
    </row>
    <row r="26" s="1" customFormat="1" ht="30" customHeight="1" spans="1:60">
      <c r="A26" s="46" t="s">
        <v>87</v>
      </c>
      <c r="B26" s="47" t="s">
        <v>81</v>
      </c>
      <c r="C26" s="48" t="s">
        <v>88</v>
      </c>
      <c r="D26" s="47" t="s">
        <v>89</v>
      </c>
      <c r="E26" s="47" t="s">
        <v>90</v>
      </c>
      <c r="F26" s="49" t="s">
        <v>91</v>
      </c>
      <c r="G26" s="49">
        <v>8000004361</v>
      </c>
      <c r="H26" s="47" t="s">
        <v>91</v>
      </c>
      <c r="I26" s="47" t="s">
        <v>92</v>
      </c>
      <c r="J26" s="51"/>
      <c r="K26" s="52"/>
      <c r="L26" s="53">
        <v>0</v>
      </c>
      <c r="M26" s="51">
        <v>400</v>
      </c>
      <c r="N26" s="51">
        <v>4</v>
      </c>
      <c r="O26" s="53">
        <v>2</v>
      </c>
      <c r="P26" s="54">
        <f t="shared" si="0"/>
        <v>0</v>
      </c>
      <c r="Q26" s="60">
        <v>450</v>
      </c>
      <c r="R26" s="60">
        <v>450</v>
      </c>
      <c r="S26" s="60">
        <v>450</v>
      </c>
      <c r="T26" s="60">
        <v>450</v>
      </c>
      <c r="U26" s="60">
        <v>450</v>
      </c>
      <c r="V26" s="60">
        <v>450</v>
      </c>
      <c r="W26" s="60"/>
      <c r="X26" s="60"/>
      <c r="Y26" s="60"/>
      <c r="Z26" s="60"/>
      <c r="AA26" s="60">
        <v>450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  <c r="BF26" s="62"/>
      <c r="BG26" s="54"/>
      <c r="BH26" s="58"/>
    </row>
    <row r="27" s="1" customFormat="1" ht="30" customHeight="1" spans="1:60">
      <c r="A27" s="46">
        <v>0</v>
      </c>
      <c r="B27" s="47">
        <v>0</v>
      </c>
      <c r="C27" s="48">
        <v>0</v>
      </c>
      <c r="D27" s="42"/>
      <c r="E27" s="42"/>
      <c r="F27" s="49" t="e">
        <v>#N/A</v>
      </c>
      <c r="G27" s="49" t="e">
        <v>#N/A</v>
      </c>
      <c r="H27" s="42"/>
      <c r="I27" s="42"/>
      <c r="J27" s="59"/>
      <c r="K27" s="52"/>
      <c r="L27" s="53">
        <v>0</v>
      </c>
      <c r="M27" s="51">
        <v>0</v>
      </c>
      <c r="N27" s="51">
        <v>0</v>
      </c>
      <c r="O27" s="53">
        <v>0</v>
      </c>
      <c r="P27" s="54">
        <f t="shared" si="0"/>
        <v>0</v>
      </c>
      <c r="Q27" s="60">
        <v>380</v>
      </c>
      <c r="R27" s="60">
        <v>451</v>
      </c>
      <c r="S27" s="60">
        <v>452</v>
      </c>
      <c r="T27" s="60">
        <v>430</v>
      </c>
      <c r="U27" s="60">
        <v>452</v>
      </c>
      <c r="V27" s="60">
        <v>451</v>
      </c>
      <c r="W27" s="60"/>
      <c r="X27" s="60"/>
      <c r="Y27" s="60"/>
      <c r="Z27" s="60"/>
      <c r="AA27" s="60">
        <v>411</v>
      </c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  <c r="BF27" s="62"/>
      <c r="BG27" s="54"/>
      <c r="BH27" s="58"/>
    </row>
    <row r="28" s="1" customFormat="1" ht="30" customHeight="1" spans="1:60">
      <c r="A28" s="46" t="s">
        <v>87</v>
      </c>
      <c r="B28" s="47" t="s">
        <v>81</v>
      </c>
      <c r="C28" s="48" t="s">
        <v>88</v>
      </c>
      <c r="D28" s="47" t="s">
        <v>89</v>
      </c>
      <c r="E28" s="47" t="s">
        <v>93</v>
      </c>
      <c r="F28" s="49" t="s">
        <v>94</v>
      </c>
      <c r="G28" s="49">
        <v>8000004362</v>
      </c>
      <c r="H28" s="47" t="s">
        <v>94</v>
      </c>
      <c r="I28" s="47" t="s">
        <v>92</v>
      </c>
      <c r="J28" s="51"/>
      <c r="K28" s="52" t="s">
        <v>95</v>
      </c>
      <c r="L28" s="53">
        <v>0</v>
      </c>
      <c r="M28" s="51">
        <v>400</v>
      </c>
      <c r="N28" s="51">
        <v>4</v>
      </c>
      <c r="O28" s="53">
        <v>2</v>
      </c>
      <c r="P28" s="54">
        <f t="shared" si="0"/>
        <v>0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  <c r="BF28" s="62"/>
      <c r="BG28" s="54"/>
      <c r="BH28" s="58"/>
    </row>
    <row r="29" s="1" customFormat="1" ht="30" customHeight="1" spans="1:60">
      <c r="A29" s="46">
        <v>0</v>
      </c>
      <c r="B29" s="47">
        <v>0</v>
      </c>
      <c r="C29" s="48">
        <v>0</v>
      </c>
      <c r="D29" s="42"/>
      <c r="E29" s="42"/>
      <c r="F29" s="49" t="e">
        <v>#N/A</v>
      </c>
      <c r="G29" s="49" t="e">
        <v>#N/A</v>
      </c>
      <c r="H29" s="42"/>
      <c r="I29" s="42"/>
      <c r="J29" s="59"/>
      <c r="K29" s="52"/>
      <c r="L29" s="53">
        <v>0</v>
      </c>
      <c r="M29" s="51">
        <v>0</v>
      </c>
      <c r="N29" s="51">
        <v>0</v>
      </c>
      <c r="O29" s="53">
        <v>0</v>
      </c>
      <c r="P29" s="54">
        <f t="shared" si="0"/>
        <v>0</v>
      </c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  <c r="BF29" s="62"/>
      <c r="BG29" s="54"/>
      <c r="BH29" s="58"/>
    </row>
  </sheetData>
  <autoFilter xmlns:etc="http://www.wps.cn/officeDocument/2017/etCustomData" ref="A5:BG29" etc:filterBottomFollowUsedRange="0">
    <extLst/>
  </autoFilter>
  <mergeCells count="126">
    <mergeCell ref="D3:H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A3:A5"/>
    <mergeCell ref="B3:B5"/>
    <mergeCell ref="C3:C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J3:J5"/>
    <mergeCell ref="J8:J9"/>
    <mergeCell ref="J10:J11"/>
    <mergeCell ref="J12:J13"/>
    <mergeCell ref="J14:J15"/>
    <mergeCell ref="J16:J17"/>
    <mergeCell ref="K3:K5"/>
    <mergeCell ref="L3:L5"/>
    <mergeCell ref="M3:M5"/>
    <mergeCell ref="N3:N5"/>
    <mergeCell ref="O3:O5"/>
    <mergeCell ref="P3:P5"/>
    <mergeCell ref="BG3:BG5"/>
    <mergeCell ref="BH3:BH5"/>
    <mergeCell ref="Q1:R2"/>
    <mergeCell ref="S1:T2"/>
    <mergeCell ref="U1:V2"/>
    <mergeCell ref="W1:X2"/>
    <mergeCell ref="Y1:Z2"/>
    <mergeCell ref="AA1:AB2"/>
    <mergeCell ref="AC1:AD2"/>
    <mergeCell ref="AE1:AF2"/>
    <mergeCell ref="AG1:AH2"/>
    <mergeCell ref="AI1:AJ2"/>
    <mergeCell ref="AO1:AP2"/>
    <mergeCell ref="AQ1:AR2"/>
    <mergeCell ref="AS1:AT2"/>
    <mergeCell ref="AU1:AV2"/>
    <mergeCell ref="AW1:AX2"/>
    <mergeCell ref="BC1:BD2"/>
    <mergeCell ref="AK1:AN2"/>
    <mergeCell ref="AY1:BB2"/>
    <mergeCell ref="A1:P2"/>
    <mergeCell ref="BE3:BF4"/>
  </mergeCells>
  <conditionalFormatting sqref="E6">
    <cfRule type="duplicateValues" dxfId="0" priority="18"/>
  </conditionalFormatting>
  <conditionalFormatting sqref="E10">
    <cfRule type="duplicateValues" dxfId="0" priority="14"/>
  </conditionalFormatting>
  <conditionalFormatting sqref="E11">
    <cfRule type="duplicateValues" dxfId="0" priority="12"/>
  </conditionalFormatting>
  <conditionalFormatting sqref="E20">
    <cfRule type="duplicateValues" dxfId="0" priority="30"/>
  </conditionalFormatting>
  <conditionalFormatting sqref="E3:E5">
    <cfRule type="duplicateValues" dxfId="0" priority="50"/>
  </conditionalFormatting>
  <conditionalFormatting sqref="E6:E7">
    <cfRule type="duplicateValues" dxfId="0" priority="16"/>
  </conditionalFormatting>
  <conditionalFormatting sqref="E8:E9">
    <cfRule type="duplicateValues" dxfId="0" priority="43"/>
  </conditionalFormatting>
  <conditionalFormatting sqref="E10:E11">
    <cfRule type="duplicateValues" dxfId="0" priority="10"/>
  </conditionalFormatting>
  <conditionalFormatting sqref="E12:E13">
    <cfRule type="duplicateValues" dxfId="0" priority="27"/>
  </conditionalFormatting>
  <conditionalFormatting sqref="E14:E15">
    <cfRule type="duplicateValues" dxfId="0" priority="6"/>
  </conditionalFormatting>
  <conditionalFormatting sqref="E16:E17">
    <cfRule type="duplicateValues" dxfId="0" priority="2"/>
  </conditionalFormatting>
  <conditionalFormatting sqref="E18:E19">
    <cfRule type="duplicateValues" dxfId="0" priority="46"/>
  </conditionalFormatting>
  <conditionalFormatting sqref="E20:E21">
    <cfRule type="duplicateValues" dxfId="0" priority="28"/>
  </conditionalFormatting>
  <conditionalFormatting sqref="E22:E23">
    <cfRule type="duplicateValues" dxfId="0" priority="36"/>
  </conditionalFormatting>
  <conditionalFormatting sqref="E26:E27">
    <cfRule type="duplicateValues" dxfId="0" priority="23"/>
  </conditionalFormatting>
  <conditionalFormatting sqref="E28:E29">
    <cfRule type="duplicateValues" dxfId="0" priority="34"/>
  </conditionalFormatting>
  <conditionalFormatting sqref="K$1:K$1048576">
    <cfRule type="duplicateValues" dxfId="0" priority="1"/>
  </conditionalFormatting>
  <conditionalFormatting sqref="E3:E5 E28:E1048576">
    <cfRule type="duplicateValues" dxfId="0" priority="4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</cp:lastModifiedBy>
  <dcterms:created xsi:type="dcterms:W3CDTF">2026-08-05T14:50:00Z</dcterms:created>
  <dcterms:modified xsi:type="dcterms:W3CDTF">2026-08-21T05:53:18Z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88DE733276544CFA8C222061F1716D0C_13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