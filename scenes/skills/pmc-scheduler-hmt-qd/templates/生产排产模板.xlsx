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oneagent-multi-hmt\skills\pmc-scheduler-hmt-qd\templates\"/>
    </mc:Choice>
  </mc:AlternateContent>
  <bookViews>
    <workbookView windowWidth="24750" windowHeight="11630"/>
  </bookViews>
  <sheets>
    <sheet name="sheet1" sheetId="1" r:id="rId1"/>
  </sheets>
  <externalReferences>
    <externalReference r:id="rId2"/>
  </externalReferences>
  <definedNames>
    <definedName name="_xlnm._FilterDatabase" localSheetId="0" hidden="1">sheet1!$A$5:$BV$2683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XXF</author>
  </authors>
  <commentList>
    <comment ref="BK3" authorId="0">
      <text>
        <r>
          <rPr>
            <sz val="6"/>
            <rFont val="宋体"/>
            <charset val="134"/>
          </rPr>
          <t>作业菜单--切割布料接收作业（大货）--最后面--布种数量汇总</t>
        </r>
      </text>
    </comment>
    <comment ref="BQ3" authorId="0">
      <text>
        <r>
          <rPr>
            <sz val="6"/>
            <rFont val="宋体"/>
            <charset val="134"/>
          </rPr>
          <t>作业菜单--切割布料接收作业（大货）--最后面--布种数量汇总</t>
        </r>
      </text>
    </comment>
  </commentList>
</comments>
</file>

<file path=xl/sharedStrings.xml><?xml version="1.0" encoding="utf-8"?>
<sst xmlns="http://schemas.openxmlformats.org/spreadsheetml/2006/main" count="9540" uniqueCount="4101">
  <si>
    <r>
      <rPr>
        <b/>
        <sz val="8"/>
        <rFont val="宋体"/>
        <charset val="134"/>
      </rPr>
      <t>缝纫周生产计划</t>
    </r>
    <r>
      <rPr>
        <b/>
        <sz val="8"/>
        <color rgb="FFFF0000"/>
        <rFont val="宋体"/>
        <charset val="134"/>
      </rPr>
      <t>（表头红色字体只有参考不做生产标准）</t>
    </r>
  </si>
  <si>
    <t>友情提醒：这四列的量只是为了区分生产线左右边不是要安排生产的量</t>
  </si>
  <si>
    <t>每天更新一次</t>
  </si>
  <si>
    <t>C21开头的布会缩一定要注意</t>
  </si>
  <si>
    <t>客户</t>
  </si>
  <si>
    <t>课别</t>
  </si>
  <si>
    <t>区域</t>
  </si>
  <si>
    <t>日期 Date</t>
  </si>
  <si>
    <t>生产线情况</t>
  </si>
  <si>
    <t>生产线类别</t>
  </si>
  <si>
    <t>20220804更新检验人员</t>
  </si>
  <si>
    <t>11小时产量/班（技术的BJ产能）</t>
  </si>
  <si>
    <t>20230804更新缝纫人员</t>
  </si>
  <si>
    <t>合计</t>
  </si>
  <si>
    <t>实际产能</t>
  </si>
  <si>
    <t>满箱数量</t>
  </si>
  <si>
    <t>布</t>
  </si>
  <si>
    <t>单耗</t>
  </si>
  <si>
    <t>切割</t>
  </si>
  <si>
    <t>A级库存量</t>
  </si>
  <si>
    <r>
      <rPr>
        <b/>
        <sz val="10"/>
        <rFont val="宋体"/>
        <charset val="134"/>
      </rPr>
      <t>待成检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待缴库</t>
    </r>
  </si>
  <si>
    <t>待上胶</t>
  </si>
  <si>
    <t>给业务最大产量</t>
  </si>
  <si>
    <t>年Year:2026     周Week:33</t>
  </si>
  <si>
    <t>星期三</t>
  </si>
  <si>
    <t>星期四</t>
  </si>
  <si>
    <t>星期五</t>
  </si>
  <si>
    <t>星期六</t>
  </si>
  <si>
    <t>星期日</t>
  </si>
  <si>
    <t>星期一</t>
  </si>
  <si>
    <t>星期二</t>
  </si>
  <si>
    <t>业务出货量</t>
  </si>
  <si>
    <t>可以生产多少袋子</t>
  </si>
  <si>
    <t>生产线</t>
  </si>
  <si>
    <t>零件号</t>
  </si>
  <si>
    <t>产品名称</t>
  </si>
  <si>
    <t>SAP物料号</t>
  </si>
  <si>
    <t>零件名称</t>
  </si>
  <si>
    <t>基布</t>
  </si>
  <si>
    <t>早</t>
  </si>
  <si>
    <t>夜</t>
  </si>
  <si>
    <t>临港均胜</t>
  </si>
  <si>
    <t>二课</t>
  </si>
  <si>
    <t>B1</t>
  </si>
  <si>
    <t>S0109</t>
  </si>
  <si>
    <t>155S17BL</t>
  </si>
  <si>
    <t>000000008000002759</t>
  </si>
  <si>
    <t>B311 SAB LH （埃）</t>
  </si>
  <si>
    <t>P31131 H41132 P40431 H22411</t>
  </si>
  <si>
    <t>20260104业务通知不备货</t>
  </si>
  <si>
    <t>155S17BR</t>
  </si>
  <si>
    <t>000000008000002760</t>
  </si>
  <si>
    <t>B311 SAB RH （埃）</t>
  </si>
  <si>
    <t>147S29L</t>
  </si>
  <si>
    <t>000000008000001184</t>
  </si>
  <si>
    <t>SGM 258 EXT SAB LH</t>
  </si>
  <si>
    <t>P31131 H22412 P40431 H41132</t>
  </si>
  <si>
    <t>20241024业务EOP调查10月31号开始收尾11月8号收尾完成</t>
  </si>
  <si>
    <t>147S29R</t>
  </si>
  <si>
    <t>000000008000001185</t>
  </si>
  <si>
    <t>SGM 258 EXT SAB RH</t>
  </si>
  <si>
    <t>14CS56L</t>
  </si>
  <si>
    <t>000000008000001190</t>
  </si>
  <si>
    <t>SGM 358 SAB LH</t>
  </si>
  <si>
    <t>P31131
H22411
P40431</t>
  </si>
  <si>
    <t>量少按业务预估</t>
  </si>
  <si>
    <t>14CS56R</t>
  </si>
  <si>
    <t>000000008000001191</t>
  </si>
  <si>
    <t>SGM 358 SAB RH</t>
  </si>
  <si>
    <t>157S22L</t>
  </si>
  <si>
    <t>000000008000001200</t>
  </si>
  <si>
    <t>CHANGAN C202 VAVE SABL</t>
  </si>
  <si>
    <t>P31131 H22411 H41132</t>
  </si>
  <si>
    <t>157S22R</t>
  </si>
  <si>
    <t>000000008000001201</t>
  </si>
  <si>
    <t>CHANGAN C202 VAVE SABR</t>
  </si>
  <si>
    <t>124S07L</t>
  </si>
  <si>
    <t>000000008000001047</t>
  </si>
  <si>
    <t>CHANA S101 SAB-LH</t>
  </si>
  <si>
    <t>H31532
H40232</t>
  </si>
  <si>
    <t>售后件</t>
  </si>
  <si>
    <t>124S07R</t>
  </si>
  <si>
    <t>000000008000001048</t>
  </si>
  <si>
    <t>CHANA S101 SAB-RH</t>
  </si>
  <si>
    <t>14AS49L</t>
  </si>
  <si>
    <t>000000008000001188</t>
  </si>
  <si>
    <t>BAIC C51E SAB LH</t>
  </si>
  <si>
    <t>P31131 H41132 H21011</t>
  </si>
  <si>
    <t>14AS49R</t>
  </si>
  <si>
    <t>000000008000001189</t>
  </si>
  <si>
    <t>BAIC C51E SAB RH</t>
  </si>
  <si>
    <t>S0108</t>
  </si>
  <si>
    <t>141S01</t>
  </si>
  <si>
    <t>000000008000001175</t>
  </si>
  <si>
    <t>SVW NMS RSAB</t>
  </si>
  <si>
    <t>P40431
H22411</t>
  </si>
  <si>
    <t>延锋智能</t>
  </si>
  <si>
    <t>178S41BL</t>
  </si>
  <si>
    <t>000000008000005091</t>
  </si>
  <si>
    <t>SMCV SV51 SAB LH B状态</t>
  </si>
  <si>
    <t>H22412 P31141 P40431 H61332</t>
  </si>
  <si>
    <t>178S41BR</t>
  </si>
  <si>
    <t>000000008000005092</t>
  </si>
  <si>
    <t>SMCV SV51 SAB RH B状态</t>
  </si>
  <si>
    <t>20BS004AL</t>
  </si>
  <si>
    <t>000000008000005099</t>
  </si>
  <si>
    <t>SAIC EP22 MCE EU SAB LH A状态</t>
  </si>
  <si>
    <t>H21012 H61732 H61332</t>
  </si>
  <si>
    <t>20BS004AR</t>
  </si>
  <si>
    <t>000000008000005100</t>
  </si>
  <si>
    <t>SAIC EP22 MCE EU SAB RH A状态</t>
  </si>
  <si>
    <t>206S38L</t>
  </si>
  <si>
    <t>000000008000002384</t>
  </si>
  <si>
    <t>206S38L SAIC EP21 MCE EU SAB LH</t>
  </si>
  <si>
    <t>H40242 H41132 H21012</t>
  </si>
  <si>
    <t>206S38R</t>
  </si>
  <si>
    <t>000000008000002385</t>
  </si>
  <si>
    <t>206S38R SAIC EP21 MCE EU SAB RH</t>
  </si>
  <si>
    <t>172S09AL</t>
  </si>
  <si>
    <t>000000008000001891</t>
  </si>
  <si>
    <t>S302 SAB LH A状态</t>
  </si>
  <si>
    <t>P31141 P40431 H24012</t>
  </si>
  <si>
    <t>172S09AR</t>
  </si>
  <si>
    <t>000000008000001892</t>
  </si>
  <si>
    <t>S302 SAB RH A状态</t>
  </si>
  <si>
    <t>22BS094L</t>
  </si>
  <si>
    <t>000000008000003460</t>
  </si>
  <si>
    <t>EV31 SAB L</t>
  </si>
  <si>
    <t>H40242 P40431 P31141 H22412</t>
  </si>
  <si>
    <t>22BS094R</t>
  </si>
  <si>
    <t>000000008000003461</t>
  </si>
  <si>
    <t>EV31 SAB R</t>
  </si>
  <si>
    <t>S0106</t>
  </si>
  <si>
    <t>177D42A</t>
  </si>
  <si>
    <t>000000008000002691</t>
  </si>
  <si>
    <t>CHANGAN C211 DAB(INVISTA面料)</t>
  </si>
  <si>
    <t>H10332 H20642</t>
  </si>
  <si>
    <t>136D39</t>
  </si>
  <si>
    <t>000000008000000505</t>
  </si>
  <si>
    <t>JAC BCROSS DAB</t>
  </si>
  <si>
    <t>P60111 P31131 P40431</t>
  </si>
  <si>
    <t>181D08</t>
  </si>
  <si>
    <t>000000008000000447</t>
  </si>
  <si>
    <t>S302 DAB</t>
  </si>
  <si>
    <t>171D03</t>
  </si>
  <si>
    <t>000000008000000476</t>
  </si>
  <si>
    <t>CHANGAN S301 VAVE DAB</t>
  </si>
  <si>
    <t>H30632 H40232</t>
  </si>
  <si>
    <t>138D52</t>
  </si>
  <si>
    <t>000000008000000460</t>
  </si>
  <si>
    <t>S301 DAB</t>
  </si>
  <si>
    <t>11BD08</t>
  </si>
  <si>
    <t>000000008000000456</t>
  </si>
  <si>
    <t>CHANA CD101 DAB</t>
  </si>
  <si>
    <t>134D28</t>
  </si>
  <si>
    <t>000000008000000504</t>
  </si>
  <si>
    <t>DFL 719  DAB</t>
  </si>
  <si>
    <t>P31131 P40431 P60111 H40232</t>
  </si>
  <si>
    <t>131D07</t>
  </si>
  <si>
    <t>000000008000000503</t>
  </si>
  <si>
    <t>131D07
CH071 DAB</t>
  </si>
  <si>
    <t>P20331
H41432</t>
  </si>
  <si>
    <t>124D15</t>
  </si>
  <si>
    <t>000000008000000457</t>
  </si>
  <si>
    <t>124D15 S101DAB</t>
  </si>
  <si>
    <t>上海奥托立夫</t>
  </si>
  <si>
    <t>S0105</t>
  </si>
  <si>
    <t>247S103BL</t>
  </si>
  <si>
    <t>000000008000004622</t>
  </si>
  <si>
    <t>V446K FSAB LH B状态</t>
  </si>
  <si>
    <t>H41142</t>
  </si>
  <si>
    <t>247S103BR</t>
  </si>
  <si>
    <t>000000008000004623</t>
  </si>
  <si>
    <t>V446K FSAB RH B状态</t>
  </si>
  <si>
    <t>211S002CL</t>
  </si>
  <si>
    <t>000000008000004306</t>
  </si>
  <si>
    <r>
      <rPr>
        <sz val="10"/>
        <rFont val="宋体"/>
        <charset val="134"/>
      </rPr>
      <t xml:space="preserve">EF1E SAB LH
</t>
    </r>
    <r>
      <rPr>
        <sz val="12"/>
        <color rgb="FFFF0000"/>
        <rFont val="宋体"/>
        <charset val="134"/>
      </rPr>
      <t>C状态</t>
    </r>
  </si>
  <si>
    <t>211S002CR</t>
  </si>
  <si>
    <t>000000008000004307</t>
  </si>
  <si>
    <r>
      <rPr>
        <sz val="10"/>
        <rFont val="宋体"/>
        <charset val="134"/>
      </rPr>
      <t xml:space="preserve">EF1E SAB RH
</t>
    </r>
    <r>
      <rPr>
        <sz val="14"/>
        <color rgb="FFFF0000"/>
        <rFont val="宋体"/>
        <charset val="134"/>
      </rPr>
      <t>C状态</t>
    </r>
  </si>
  <si>
    <t>232S012L</t>
  </si>
  <si>
    <t>000000008000003988</t>
  </si>
  <si>
    <t>GEELY CM2E SAB LH</t>
  </si>
  <si>
    <t>H41132 P31141</t>
  </si>
  <si>
    <t>要变更</t>
  </si>
  <si>
    <t>232S012R</t>
  </si>
  <si>
    <t>000000008000003989</t>
  </si>
  <si>
    <t>GEELY CM2E SAB RH</t>
  </si>
  <si>
    <t>V216 FSAB C状态 L</t>
  </si>
  <si>
    <t>223S019CL</t>
  </si>
  <si>
    <t>V216 FSAB C状态 R</t>
  </si>
  <si>
    <t>223S019CR</t>
  </si>
  <si>
    <t>12AD30</t>
  </si>
  <si>
    <t>12AD30
CH041 DAB</t>
  </si>
  <si>
    <t>H30632
H40232
H30732</t>
  </si>
  <si>
    <t>生产线不能做</t>
  </si>
  <si>
    <t>136D36</t>
  </si>
  <si>
    <t>KC-1 DAB （国捻）</t>
  </si>
  <si>
    <t>H30732
H40232</t>
  </si>
  <si>
    <t>139D58</t>
  </si>
  <si>
    <t>139D58
KIA KC DAB</t>
  </si>
  <si>
    <t>H20631
H30732</t>
  </si>
  <si>
    <t>15CD33A</t>
  </si>
  <si>
    <t>15CD33A
KC-1B DAB</t>
  </si>
  <si>
    <t>H30632 H41612 H21911</t>
  </si>
  <si>
    <t>139D56A</t>
  </si>
  <si>
    <t>CHERY A3II DAB (埃)</t>
  </si>
  <si>
    <t>H24212 H41612 H30632</t>
  </si>
  <si>
    <t>164D10</t>
  </si>
  <si>
    <t>FE-3AC DAB （国产缝纫线）</t>
  </si>
  <si>
    <t>H30732 H40232</t>
  </si>
  <si>
    <t>比亚迪</t>
  </si>
  <si>
    <t>S0104</t>
  </si>
  <si>
    <t>193D06E</t>
  </si>
  <si>
    <t>000000008000005009</t>
  </si>
  <si>
    <t>SA3F DAB E状态</t>
  </si>
  <si>
    <t>H21142 H41132 H50741</t>
  </si>
  <si>
    <t>20260725变更后只有这一条线可以做</t>
  </si>
  <si>
    <t>738同</t>
  </si>
  <si>
    <t>181D07D</t>
  </si>
  <si>
    <t>000000008000004843</t>
  </si>
  <si>
    <t>HAD DAB D状态</t>
  </si>
  <si>
    <t>1518新状态</t>
  </si>
  <si>
    <t>23BD052B</t>
  </si>
  <si>
    <t>000000008000005010</t>
  </si>
  <si>
    <t>SA3F DAB D1 B状态</t>
  </si>
  <si>
    <t>193D05A</t>
  </si>
  <si>
    <t>HC DAB A状态</t>
  </si>
  <si>
    <t>H30732 H41132</t>
  </si>
  <si>
    <t>HC DAB C状态</t>
  </si>
  <si>
    <t>193D05C</t>
  </si>
  <si>
    <t>S0103</t>
  </si>
  <si>
    <t>232S006AL</t>
  </si>
  <si>
    <t>000000008000004022</t>
  </si>
  <si>
    <t>GEELY E171 SAB LH A状态</t>
  </si>
  <si>
    <t>H41132 H23932</t>
  </si>
  <si>
    <t>232S006AR</t>
  </si>
  <si>
    <t>000000008000004023</t>
  </si>
  <si>
    <t>GEELY E171 SAB RH A状态</t>
  </si>
  <si>
    <t>226S054L</t>
  </si>
  <si>
    <t>000000008000003986</t>
  </si>
  <si>
    <r>
      <rPr>
        <sz val="10"/>
        <rFont val="宋体"/>
        <charset val="134"/>
      </rPr>
      <t xml:space="preserve">GEELY XE08 </t>
    </r>
    <r>
      <rPr>
        <sz val="20"/>
        <color rgb="FFFF0000"/>
        <rFont val="宋体"/>
        <charset val="134"/>
      </rPr>
      <t>F</t>
    </r>
    <r>
      <rPr>
        <sz val="10"/>
        <rFont val="宋体"/>
        <charset val="134"/>
      </rPr>
      <t>SAB LH</t>
    </r>
  </si>
  <si>
    <t>H41132</t>
  </si>
  <si>
    <t>226S054R</t>
  </si>
  <si>
    <t>000000008000003987</t>
  </si>
  <si>
    <r>
      <rPr>
        <sz val="10"/>
        <rFont val="宋体"/>
        <charset val="134"/>
      </rPr>
      <t xml:space="preserve">GEELY XE08 </t>
    </r>
    <r>
      <rPr>
        <sz val="20"/>
        <color rgb="FFFF0000"/>
        <rFont val="宋体"/>
        <charset val="134"/>
      </rPr>
      <t>F</t>
    </r>
    <r>
      <rPr>
        <sz val="10"/>
        <rFont val="宋体"/>
        <charset val="134"/>
      </rPr>
      <t>SAB RH</t>
    </r>
  </si>
  <si>
    <t>保定奥托立夫</t>
  </si>
  <si>
    <t>236S058L</t>
  </si>
  <si>
    <t>000000008000004071</t>
  </si>
  <si>
    <r>
      <rPr>
        <sz val="10"/>
        <rFont val="宋体"/>
        <charset val="134"/>
      </rPr>
      <t xml:space="preserve">BAIC C71KB </t>
    </r>
    <r>
      <rPr>
        <sz val="20"/>
        <color rgb="FFFF0000"/>
        <rFont val="宋体"/>
        <charset val="134"/>
      </rPr>
      <t>F</t>
    </r>
    <r>
      <rPr>
        <sz val="10"/>
        <rFont val="宋体"/>
        <charset val="134"/>
      </rPr>
      <t>SAB LH</t>
    </r>
  </si>
  <si>
    <t>H31242 H41142</t>
  </si>
  <si>
    <t>20250911业务通知暂停生产</t>
  </si>
  <si>
    <t>236S058R</t>
  </si>
  <si>
    <t>000000008000004072</t>
  </si>
  <si>
    <r>
      <rPr>
        <sz val="10"/>
        <rFont val="宋体"/>
        <charset val="134"/>
      </rPr>
      <t xml:space="preserve">BAIC C71KB </t>
    </r>
    <r>
      <rPr>
        <sz val="20"/>
        <color rgb="FFFF0000"/>
        <rFont val="宋体"/>
        <charset val="134"/>
      </rPr>
      <t>F</t>
    </r>
    <r>
      <rPr>
        <sz val="10"/>
        <rFont val="宋体"/>
        <charset val="134"/>
      </rPr>
      <t>SAB RH</t>
    </r>
  </si>
  <si>
    <t>163D06</t>
  </si>
  <si>
    <r>
      <rPr>
        <sz val="10"/>
        <rFont val="宋体"/>
        <charset val="134"/>
      </rPr>
      <t>163D06  CN210M DAB</t>
    </r>
    <r>
      <rPr>
        <b/>
        <sz val="12"/>
        <rFont val="宋体"/>
        <charset val="134"/>
      </rPr>
      <t>预估很少</t>
    </r>
  </si>
  <si>
    <t>167D15</t>
  </si>
  <si>
    <r>
      <rPr>
        <sz val="10"/>
        <rFont val="宋体"/>
        <charset val="134"/>
      </rPr>
      <t xml:space="preserve">167D15  SA DAB-40   </t>
    </r>
    <r>
      <rPr>
        <b/>
        <sz val="12"/>
        <rFont val="宋体"/>
        <charset val="134"/>
      </rPr>
      <t>没有预估</t>
    </r>
  </si>
  <si>
    <t>H21131 H30732 H41132</t>
  </si>
  <si>
    <t>S0102</t>
  </si>
  <si>
    <t>243S024CL</t>
  </si>
  <si>
    <t>000000008000004581</t>
  </si>
  <si>
    <t>MX11 FSAB  LH C状态</t>
  </si>
  <si>
    <t>5172线</t>
  </si>
  <si>
    <t>1334同</t>
  </si>
  <si>
    <t>243S024CR</t>
  </si>
  <si>
    <t>000000008000004582</t>
  </si>
  <si>
    <t>MX11 FSAB  RH C状态</t>
  </si>
  <si>
    <t>S0209</t>
  </si>
  <si>
    <t>177P43</t>
  </si>
  <si>
    <t>000000008000000554</t>
  </si>
  <si>
    <t>177P43  JBSC PAB</t>
  </si>
  <si>
    <t>H31532 H40242</t>
  </si>
  <si>
    <t>183P16</t>
  </si>
  <si>
    <t>000000008000001788</t>
  </si>
  <si>
    <t>SV51  PAB</t>
  </si>
  <si>
    <t>H11842 H23142</t>
  </si>
  <si>
    <t>196P54</t>
  </si>
  <si>
    <t>000000008000002342</t>
  </si>
  <si>
    <t>SK83  PAB</t>
  </si>
  <si>
    <t>EOP量少按业务预估</t>
  </si>
  <si>
    <t>18AP52</t>
  </si>
  <si>
    <t>000000008000001914</t>
  </si>
  <si>
    <t>EX21 PAB</t>
  </si>
  <si>
    <t>20240605通知EOP按售后件</t>
  </si>
  <si>
    <t>184P23A</t>
  </si>
  <si>
    <t>000000008000001890</t>
  </si>
  <si>
    <t>184P23A GE11 PAB  A状态</t>
  </si>
  <si>
    <t>H11842 H20642</t>
  </si>
  <si>
    <t>20250519按业务通知量收尾</t>
  </si>
  <si>
    <t>17BP52B</t>
  </si>
  <si>
    <t>000000008000002882</t>
  </si>
  <si>
    <t>NL-3B PAB B状态</t>
  </si>
  <si>
    <t>S0208</t>
  </si>
  <si>
    <t>254S062L</t>
  </si>
  <si>
    <t>000000008000004618</t>
  </si>
  <si>
    <t>C71KS-M01 SAB L</t>
  </si>
  <si>
    <t>254S062R</t>
  </si>
  <si>
    <t>000000008000004619</t>
  </si>
  <si>
    <t>C71KS-M01 SAB R</t>
  </si>
  <si>
    <t>24CS202AL</t>
  </si>
  <si>
    <t>000000008000004812</t>
  </si>
  <si>
    <t>VW416/9 FSAB L A状态</t>
  </si>
  <si>
    <t>24CS202AR</t>
  </si>
  <si>
    <t>000000008000004813</t>
  </si>
  <si>
    <t>VW416/9 FSAB R A状态</t>
  </si>
  <si>
    <t>S0207</t>
  </si>
  <si>
    <t>149P44A</t>
  </si>
  <si>
    <t>000000008000000633</t>
  </si>
  <si>
    <t>149P44A CN200S PAB</t>
  </si>
  <si>
    <t>P30941 P60111</t>
  </si>
  <si>
    <t>131P05</t>
  </si>
  <si>
    <t>000000008000000583</t>
  </si>
  <si>
    <t>131P05   JAC B2 PAB</t>
  </si>
  <si>
    <t>H31532
P20331</t>
  </si>
  <si>
    <t>154P21</t>
  </si>
  <si>
    <t>000000008000000637</t>
  </si>
  <si>
    <t>154P21  B311 PAB</t>
  </si>
  <si>
    <t>P30931 P60119</t>
  </si>
  <si>
    <t>172P09</t>
  </si>
  <si>
    <t>000000008000000642</t>
  </si>
  <si>
    <t>172P09 C201-16 PAB</t>
  </si>
  <si>
    <t>20250218已经按业务通知量收尾完</t>
  </si>
  <si>
    <t>119P01</t>
  </si>
  <si>
    <t>000000008000000572</t>
  </si>
  <si>
    <t>119P01 ZOTYE A01 PAB</t>
  </si>
  <si>
    <t>H40232
H30632</t>
  </si>
  <si>
    <t>12BP36A</t>
  </si>
  <si>
    <t>000000008000000581</t>
  </si>
  <si>
    <t>12BP36A JAC 5AT PAB</t>
  </si>
  <si>
    <r>
      <rPr>
        <sz val="10"/>
        <rFont val="宋体"/>
        <charset val="134"/>
      </rPr>
      <t xml:space="preserve">132P17
CH071 PAB </t>
    </r>
    <r>
      <rPr>
        <sz val="10"/>
        <color rgb="FFFF0000"/>
        <rFont val="宋体"/>
        <charset val="134"/>
      </rPr>
      <t>0305经常做</t>
    </r>
  </si>
  <si>
    <t xml:space="preserve">      P30931 P20331
</t>
  </si>
  <si>
    <t>139P55</t>
  </si>
  <si>
    <t>000000008000000627</t>
  </si>
  <si>
    <t>139P55  B211 PAB</t>
  </si>
  <si>
    <t>P31131 P40431</t>
  </si>
  <si>
    <t>124P09</t>
  </si>
  <si>
    <t>000000008000000575</t>
  </si>
  <si>
    <t>124P09 CHANA S101 PAB</t>
  </si>
  <si>
    <t>126P15</t>
  </si>
  <si>
    <t>000000008000000621</t>
  </si>
  <si>
    <t>126P15  C50E  PAB</t>
  </si>
  <si>
    <t xml:space="preserve">P20331 P30931 </t>
  </si>
  <si>
    <t>133P22</t>
  </si>
  <si>
    <t>000000008000000624</t>
  </si>
  <si>
    <t>133P22
S301 PAB</t>
  </si>
  <si>
    <t>P30931 P20331</t>
  </si>
  <si>
    <t>S0206</t>
  </si>
  <si>
    <t>19CP110C</t>
  </si>
  <si>
    <t>000000008000002699</t>
  </si>
  <si>
    <t>NISSAN P42QR PAB C状态</t>
  </si>
  <si>
    <t>H31242  H30432</t>
  </si>
  <si>
    <t>236P036</t>
  </si>
  <si>
    <t>000000008000003695</t>
  </si>
  <si>
    <t>P42R PAB</t>
  </si>
  <si>
    <t>H30432 H31242</t>
  </si>
  <si>
    <t>S0205</t>
  </si>
  <si>
    <t>204K05D</t>
  </si>
  <si>
    <t>000000008000004894</t>
  </si>
  <si>
    <t>204K05D  HC KAB    D状态</t>
  </si>
  <si>
    <t>H60431 H50741</t>
  </si>
  <si>
    <t>LD-14</t>
  </si>
  <si>
    <t>18CS44XL</t>
  </si>
  <si>
    <t>000000005000007104</t>
  </si>
  <si>
    <t>U625 SAB 防档片 L</t>
  </si>
  <si>
    <t>H30432</t>
  </si>
  <si>
    <t>18CS44XR</t>
  </si>
  <si>
    <t>000000005000007105</t>
  </si>
  <si>
    <t>U625 SAB 防档片 R</t>
  </si>
  <si>
    <t>18CS44L</t>
  </si>
  <si>
    <t>000000008000002028</t>
  </si>
  <si>
    <t>U625 SAB L</t>
  </si>
  <si>
    <t>H41132  H21012</t>
  </si>
  <si>
    <t>18CS44R</t>
  </si>
  <si>
    <t>000000008000002029</t>
  </si>
  <si>
    <t>U625 SAB R</t>
  </si>
  <si>
    <t>165K10L</t>
  </si>
  <si>
    <t>000000008000001237</t>
  </si>
  <si>
    <t>165K10 L A30  KAB L</t>
  </si>
  <si>
    <t>H40242 H11611 H41132 H30432 H31942</t>
  </si>
  <si>
    <t>按业务预估做</t>
  </si>
  <si>
    <t>165K10R</t>
  </si>
  <si>
    <t>000000008000001238</t>
  </si>
  <si>
    <t>165K10 R A30  KAB R</t>
  </si>
  <si>
    <t>124K01</t>
  </si>
  <si>
    <t>000000008000001239</t>
  </si>
  <si>
    <t>124K01
A7 KAB</t>
  </si>
  <si>
    <t>H40232
H41132
H30432
H31932
H11611</t>
  </si>
  <si>
    <t>临港均胜业务通知在做</t>
  </si>
  <si>
    <t>19BK15</t>
  </si>
  <si>
    <t>000000008000002120</t>
  </si>
  <si>
    <t>19BK15. FAW-VW MQB A7 KAB</t>
  </si>
  <si>
    <t>延锋智能订单来了再安排</t>
  </si>
  <si>
    <t>246K007</t>
  </si>
  <si>
    <t>000000008000004203</t>
  </si>
  <si>
    <t>HXHA-D2 KAB</t>
  </si>
  <si>
    <t>H50731 H60531</t>
  </si>
  <si>
    <t>164K09</t>
  </si>
  <si>
    <t>164K09 FAW-VW SportVan  KAB</t>
  </si>
  <si>
    <t>16AK14A</t>
  </si>
  <si>
    <t>16AK14A S401 KAB A状态</t>
  </si>
  <si>
    <t>P20331 H11611 H30432 H22411 P10241</t>
  </si>
  <si>
    <t>LD07A</t>
  </si>
  <si>
    <t>SFH KAB外拉带</t>
  </si>
  <si>
    <t>24BK031T</t>
  </si>
  <si>
    <t>SFH KAB</t>
  </si>
  <si>
    <t>24BK031</t>
  </si>
  <si>
    <t>MRHK KAB KAB</t>
  </si>
  <si>
    <t>255K014</t>
  </si>
  <si>
    <t>广州奥托立夫</t>
  </si>
  <si>
    <t>S0204</t>
  </si>
  <si>
    <t>245P068</t>
  </si>
  <si>
    <t>000000008000004432</t>
  </si>
  <si>
    <t>XPG E29 PAB</t>
  </si>
  <si>
    <t>H31242 H40742 P31141</t>
  </si>
  <si>
    <t>249P109</t>
  </si>
  <si>
    <t>000000008000004589</t>
  </si>
  <si>
    <t>E0S(D01) PAB</t>
  </si>
  <si>
    <t>H31242 P31141 P40841</t>
  </si>
  <si>
    <t>真空包装400</t>
  </si>
  <si>
    <t>S0203</t>
  </si>
  <si>
    <t>193D08</t>
  </si>
  <si>
    <t>000000008000002605</t>
  </si>
  <si>
    <t>EX11 DAB DAB</t>
  </si>
  <si>
    <t>H40732 H30732 H41612</t>
  </si>
  <si>
    <t>253D008A</t>
  </si>
  <si>
    <t>000000008000004930</t>
  </si>
  <si>
    <t>JMC JP360ICA DAB A状态</t>
  </si>
  <si>
    <t>P31141 P40841</t>
  </si>
  <si>
    <t>24CD081A</t>
  </si>
  <si>
    <t>000000008000004486</t>
  </si>
  <si>
    <r>
      <rPr>
        <sz val="11"/>
        <rFont val="宋体"/>
        <charset val="134"/>
      </rPr>
      <t>JMC JP</t>
    </r>
    <r>
      <rPr>
        <sz val="14"/>
        <color rgb="FFFF0000"/>
        <rFont val="宋体"/>
        <charset val="134"/>
      </rPr>
      <t>560</t>
    </r>
    <r>
      <rPr>
        <sz val="11"/>
        <rFont val="宋体"/>
        <charset val="134"/>
      </rPr>
      <t xml:space="preserve"> DAB</t>
    </r>
    <r>
      <rPr>
        <sz val="10"/>
        <rFont val="宋体"/>
        <charset val="134"/>
      </rPr>
      <t xml:space="preserve"> A状态</t>
    </r>
  </si>
  <si>
    <t>P31141  P40841</t>
  </si>
  <si>
    <t>221D003A</t>
  </si>
  <si>
    <t>000000008000004124</t>
  </si>
  <si>
    <t>FORD P789 DAB A状态</t>
  </si>
  <si>
    <t>H30732 H40232 H41612 H21912</t>
  </si>
  <si>
    <t>254D018</t>
  </si>
  <si>
    <t>000000008000004948</t>
  </si>
  <si>
    <t>JMC V837 DAB</t>
  </si>
  <si>
    <t>206D31</t>
  </si>
  <si>
    <t>000000008000002850</t>
  </si>
  <si>
    <t>GAMMA 2 DAB</t>
  </si>
  <si>
    <t>H20632 H30732</t>
  </si>
  <si>
    <t>194D13</t>
  </si>
  <si>
    <t>000000008000002453</t>
  </si>
  <si>
    <t>LYNK&amp;CO DC1E DAB</t>
  </si>
  <si>
    <t>量少按业务预估售后件</t>
  </si>
  <si>
    <t>494按量做</t>
  </si>
  <si>
    <t>218D035</t>
  </si>
  <si>
    <t>000000008000003044</t>
  </si>
  <si>
    <t>LYNK&amp;CO EF1E DAB</t>
  </si>
  <si>
    <t>20240529通知要EOP量少按业务预估</t>
  </si>
  <si>
    <t>S0202</t>
  </si>
  <si>
    <t>18CP56B</t>
  </si>
  <si>
    <t>000000008000002830</t>
  </si>
  <si>
    <t>GEELY EX11 PAB B状态</t>
  </si>
  <si>
    <t>H40732 H31242</t>
  </si>
  <si>
    <t>209P36E</t>
  </si>
  <si>
    <t>000000008000003392</t>
  </si>
  <si>
    <t>NIO FORCE PAB E状态</t>
  </si>
  <si>
    <t>B2</t>
  </si>
  <si>
    <t>S0201</t>
  </si>
  <si>
    <t>138C31BL</t>
  </si>
  <si>
    <t>000000008000002844</t>
  </si>
  <si>
    <t>A3II CAB LH B状态 (埃)</t>
  </si>
  <si>
    <t>H20631 H41612 H21019 H41132 H30732</t>
  </si>
  <si>
    <t>138C31BR</t>
  </si>
  <si>
    <t>000000008000002845</t>
  </si>
  <si>
    <t>A3II CAB RH B状态 (埃)</t>
  </si>
  <si>
    <t>10收尾</t>
  </si>
  <si>
    <t>A3II CAB LH C状态 (埃)</t>
  </si>
  <si>
    <t>138C31CL</t>
  </si>
  <si>
    <t>A3II CAB RH C状态 (埃)</t>
  </si>
  <si>
    <t>138C31CR</t>
  </si>
  <si>
    <t>12AC17CR</t>
  </si>
  <si>
    <t>000000008000000790</t>
  </si>
  <si>
    <t xml:space="preserve">12AC17CR CHB021 IC RH       </t>
  </si>
  <si>
    <t>H40232
H30732
H41612
H41132</t>
  </si>
  <si>
    <t>12AC17CL</t>
  </si>
  <si>
    <t>000000008000000789</t>
  </si>
  <si>
    <r>
      <rPr>
        <sz val="10"/>
        <rFont val="宋体"/>
        <charset val="134"/>
      </rPr>
      <t xml:space="preserve">12AC17CL CHB021 IC LH   </t>
    </r>
    <r>
      <rPr>
        <sz val="10"/>
        <color rgb="FFFF0000"/>
        <rFont val="宋体"/>
        <charset val="134"/>
      </rPr>
      <t xml:space="preserve">0201线还未生产过左边 </t>
    </r>
    <r>
      <rPr>
        <sz val="10"/>
        <rFont val="宋体"/>
        <charset val="134"/>
      </rPr>
      <t xml:space="preserve">   </t>
    </r>
  </si>
  <si>
    <t>S0301</t>
  </si>
  <si>
    <t>25CS145L</t>
  </si>
  <si>
    <t>000000008000005037</t>
  </si>
  <si>
    <t>SX11 FSAB LH</t>
  </si>
  <si>
    <t>25CS145R</t>
  </si>
  <si>
    <t>000000008000005038</t>
  </si>
  <si>
    <t>SX11 FSAB RH</t>
  </si>
  <si>
    <t>236S066L</t>
  </si>
  <si>
    <t>000000008000004135</t>
  </si>
  <si>
    <t>LIXIANG W02 SAB LH</t>
  </si>
  <si>
    <t>H20942</t>
  </si>
  <si>
    <t>236S066R</t>
  </si>
  <si>
    <t>000000008000004136</t>
  </si>
  <si>
    <t>LIXIANG W02 SAB RH</t>
  </si>
  <si>
    <t>S0302</t>
  </si>
  <si>
    <t>195P30E</t>
  </si>
  <si>
    <t>000000008000004406</t>
  </si>
  <si>
    <t>LKPAB-40 E状态</t>
  </si>
  <si>
    <t>P31141 P60111 H50721</t>
  </si>
  <si>
    <t>LK PAB-40 C状态E（出口）</t>
  </si>
  <si>
    <t>000000008000004412</t>
  </si>
  <si>
    <r>
      <rPr>
        <b/>
        <sz val="10"/>
        <color rgb="FFFF0000"/>
        <rFont val="宋体"/>
        <charset val="134"/>
      </rPr>
      <t>LK PAB-40 C状态E</t>
    </r>
    <r>
      <rPr>
        <b/>
        <sz val="11"/>
        <color rgb="FFFF0000"/>
        <rFont val="宋体"/>
        <charset val="134"/>
      </rPr>
      <t>（出口）</t>
    </r>
  </si>
  <si>
    <t>只能在这条线做40/纸箱</t>
  </si>
  <si>
    <t>22BP078</t>
  </si>
  <si>
    <t>000000008000003637</t>
  </si>
  <si>
    <t>LK PAB-35</t>
  </si>
  <si>
    <t>P31141 P60111 H50731</t>
  </si>
  <si>
    <t>S0303</t>
  </si>
  <si>
    <t>21CF024BL</t>
  </si>
  <si>
    <t>000000008000003582</t>
  </si>
  <si>
    <t>CHERY T19C FCA DLH B状态</t>
  </si>
  <si>
    <t>H22642 H20932 H24212 H30432 2C</t>
  </si>
  <si>
    <t>在6402线21CF024BL</t>
  </si>
  <si>
    <t>CHERY T19C FCA DRH B状态</t>
  </si>
  <si>
    <t>在6402线</t>
  </si>
  <si>
    <t>23AF028L</t>
  </si>
  <si>
    <t>000000008000003913</t>
  </si>
  <si>
    <t>SE3168 FCAB LHD</t>
  </si>
  <si>
    <t>H20632 H24212 H20932</t>
  </si>
  <si>
    <t>23AF028R</t>
  </si>
  <si>
    <t>000000008000003914</t>
  </si>
  <si>
    <t>SE3168 FCAB RHD</t>
  </si>
  <si>
    <t>S0304</t>
  </si>
  <si>
    <t>223S018AL</t>
  </si>
  <si>
    <t>000000008000004053</t>
  </si>
  <si>
    <t>VW491/1 FSAB LH   A状态</t>
  </si>
  <si>
    <t>H31232 H41132 H21912</t>
  </si>
  <si>
    <t>223S018AR</t>
  </si>
  <si>
    <t>000000008000004054</t>
  </si>
  <si>
    <t>VW491/1 FSAB RH   A状态</t>
  </si>
  <si>
    <t>229S075L</t>
  </si>
  <si>
    <t>000000008000004162</t>
  </si>
  <si>
    <t>VW426 FSAB LH</t>
  </si>
  <si>
    <t>H31232 H41132</t>
  </si>
  <si>
    <t>229S075R</t>
  </si>
  <si>
    <t>000000008000004163</t>
  </si>
  <si>
    <t>VW426 FSAB RH</t>
  </si>
  <si>
    <t>长春奥托立夫</t>
  </si>
  <si>
    <t>235S039AL</t>
  </si>
  <si>
    <t>000000008000004073</t>
  </si>
  <si>
    <t>AUDI AU416 RSAB LH   A状态</t>
  </si>
  <si>
    <t>235S039AR</t>
  </si>
  <si>
    <t>000000008000004074</t>
  </si>
  <si>
    <t>AUDI AU416 RSAB RH   A状态</t>
  </si>
  <si>
    <t>S0305</t>
  </si>
  <si>
    <t>149P44A    CN200S PAB</t>
  </si>
  <si>
    <t>P30931 P60111</t>
  </si>
  <si>
    <t>18CP59</t>
  </si>
  <si>
    <t>000000008000002050</t>
  </si>
  <si>
    <t>M36T PAB</t>
  </si>
  <si>
    <t>148P39</t>
  </si>
  <si>
    <t>000000008000000631</t>
  </si>
  <si>
    <t>148P39  SGM 328 PAB</t>
  </si>
  <si>
    <t>132P17</t>
  </si>
  <si>
    <t>000000008000000622</t>
  </si>
  <si>
    <t>132P17
CH071 PAB</t>
  </si>
  <si>
    <t>153P12</t>
  </si>
  <si>
    <t>000000008000000636</t>
  </si>
  <si>
    <t>153P12 CN201 PAB</t>
  </si>
  <si>
    <t>199P78</t>
  </si>
  <si>
    <t>000000008000002065</t>
  </si>
  <si>
    <t>CHANGAN F202 PAB</t>
  </si>
  <si>
    <t>P30941 P60119</t>
  </si>
  <si>
    <t>LD-46</t>
  </si>
  <si>
    <t>23BP089BQ</t>
  </si>
  <si>
    <t>000000005000020694</t>
  </si>
  <si>
    <t>CAT PAB B状态导流袋半成品</t>
  </si>
  <si>
    <t>一个月是59000一周是14583</t>
  </si>
  <si>
    <t>S0306</t>
  </si>
  <si>
    <t>23BP089B</t>
  </si>
  <si>
    <t>000000008000004887</t>
  </si>
  <si>
    <t>CAT PAB B状态</t>
  </si>
  <si>
    <t>CAT PAB C状态导流袋半成品</t>
  </si>
  <si>
    <t>23BP089CQ</t>
  </si>
  <si>
    <t>技术要试生产</t>
  </si>
  <si>
    <t>25PPAP.</t>
  </si>
  <si>
    <t>CAT PAB C状态</t>
  </si>
  <si>
    <t>S0307</t>
  </si>
  <si>
    <t>161P01A</t>
  </si>
  <si>
    <t>000000008000000640</t>
  </si>
  <si>
    <t>161P01A SK81 PAB</t>
  </si>
  <si>
    <t>P31141 P60119</t>
  </si>
  <si>
    <t>223P019</t>
  </si>
  <si>
    <t>000000008000003771</t>
  </si>
  <si>
    <t>SGM 358-2 PAB</t>
  </si>
  <si>
    <t>P31141 P40431</t>
  </si>
  <si>
    <t>22BP079</t>
  </si>
  <si>
    <t>000000008000003599</t>
  </si>
  <si>
    <t>SMCV SK83-B2 PAB</t>
  </si>
  <si>
    <t>152P04</t>
  </si>
  <si>
    <t>000000008000000634</t>
  </si>
  <si>
    <t>152P04  358 PAB</t>
  </si>
  <si>
    <t>146P29</t>
  </si>
  <si>
    <t>000000008000000630</t>
  </si>
  <si>
    <t>146P24  E17 PAB</t>
  </si>
  <si>
    <t>P31131 P60119</t>
  </si>
  <si>
    <t>16CP49</t>
  </si>
  <si>
    <t>000000008000000641</t>
  </si>
  <si>
    <t>16CP49  SV91 PAB</t>
  </si>
  <si>
    <t>CN200S PAB A状态</t>
  </si>
  <si>
    <t>在0207线做</t>
  </si>
  <si>
    <t>152P06</t>
  </si>
  <si>
    <t>000000008000000635</t>
  </si>
  <si>
    <t>152P06  F102 PAB</t>
  </si>
  <si>
    <t>P31131 P60111</t>
  </si>
  <si>
    <t>175P32</t>
  </si>
  <si>
    <t>000000008000000643</t>
  </si>
  <si>
    <t>175P32 R102 PAB</t>
  </si>
  <si>
    <t>S0308</t>
  </si>
  <si>
    <t>172P04B</t>
  </si>
  <si>
    <t>000000008000002876</t>
  </si>
  <si>
    <t>FC-3AC PAB B状态</t>
  </si>
  <si>
    <t>H11832 H20642</t>
  </si>
  <si>
    <t>172P12</t>
  </si>
  <si>
    <t>000000008000000599</t>
  </si>
  <si>
    <t>172P12  FE-6 PAB</t>
  </si>
  <si>
    <t>H31532  H40242</t>
  </si>
  <si>
    <t>20250221按业务通知量已经收尾</t>
  </si>
  <si>
    <t>173P22A</t>
  </si>
  <si>
    <t>000000008000002877</t>
  </si>
  <si>
    <t>FE-5A PAB A状态</t>
  </si>
  <si>
    <t>173P24</t>
  </si>
  <si>
    <t>000000008000000549</t>
  </si>
  <si>
    <t>173P24  M31T PAB</t>
  </si>
  <si>
    <t>H11842 H40242</t>
  </si>
  <si>
    <t>233P013</t>
  </si>
  <si>
    <t>000000008000003678</t>
  </si>
  <si>
    <t>GEELY E51 PAB</t>
  </si>
  <si>
    <t>H31532 H40232</t>
  </si>
  <si>
    <t>S0401</t>
  </si>
  <si>
    <t>235S045AL</t>
  </si>
  <si>
    <t>000000008000005254</t>
  </si>
  <si>
    <t>EM2EU SAB LH A状态</t>
  </si>
  <si>
    <t>H21012 H21912 H60632 H50741</t>
  </si>
  <si>
    <t>545按量出货量</t>
  </si>
  <si>
    <t>235S045AR</t>
  </si>
  <si>
    <t>000000008000005255</t>
  </si>
  <si>
    <t>EM2EU SAB RH A状态</t>
  </si>
  <si>
    <t>620按量出货量</t>
  </si>
  <si>
    <t>EM2EU SAB LH A状态(出口)</t>
  </si>
  <si>
    <t>000000008000005252</t>
  </si>
  <si>
    <r>
      <rPr>
        <sz val="10"/>
        <color rgb="FFFF0000"/>
        <rFont val="宋体"/>
        <charset val="134"/>
      </rPr>
      <t>EM2EU SAB LH A状态</t>
    </r>
    <r>
      <rPr>
        <sz val="11"/>
        <color rgb="FFFF0000"/>
        <rFont val="宋体"/>
        <charset val="134"/>
      </rPr>
      <t>(出口)</t>
    </r>
  </si>
  <si>
    <t>EM2EU SAB RH A状态(出口)</t>
  </si>
  <si>
    <t>000000008000005253</t>
  </si>
  <si>
    <r>
      <rPr>
        <sz val="10"/>
        <color rgb="FFFF0000"/>
        <rFont val="宋体"/>
        <charset val="134"/>
      </rPr>
      <t>EM2EU SAB RH A状态</t>
    </r>
    <r>
      <rPr>
        <sz val="11"/>
        <color rgb="FFFF0000"/>
        <rFont val="宋体"/>
        <charset val="134"/>
      </rPr>
      <t>(出口)</t>
    </r>
  </si>
  <si>
    <t>226S051L</t>
  </si>
  <si>
    <t>000000008000003873</t>
  </si>
  <si>
    <t>SGHA SAB  LH</t>
  </si>
  <si>
    <t>H21012 H41132 H21912</t>
  </si>
  <si>
    <t>226S051R</t>
  </si>
  <si>
    <t>000000008000003874</t>
  </si>
  <si>
    <t>SGHA SAB  RH</t>
  </si>
  <si>
    <t>233S027L</t>
  </si>
  <si>
    <t>SQHB SAB SAB  LH</t>
  </si>
  <si>
    <t>H21012 H21912 H60531</t>
  </si>
  <si>
    <t>20250526按业务量已经安排收尾20250904业务通知裁片报废</t>
  </si>
  <si>
    <t>233S027R</t>
  </si>
  <si>
    <t>SQHB SAB SAB  RH</t>
  </si>
  <si>
    <t>234S036L</t>
  </si>
  <si>
    <t>EKEB SAB  LH</t>
  </si>
  <si>
    <t>234S036R</t>
  </si>
  <si>
    <t>EKEB SAB  RH</t>
  </si>
  <si>
    <t>EHEAU SAB  LH</t>
  </si>
  <si>
    <t>241S004L</t>
  </si>
  <si>
    <t>EHEAU SAB  RH</t>
  </si>
  <si>
    <t>241S004R</t>
  </si>
  <si>
    <t>S0402</t>
  </si>
  <si>
    <t>138S40L</t>
  </si>
  <si>
    <t>000000008000002805</t>
  </si>
  <si>
    <t>CHERY A3II SAB LH (埃)</t>
  </si>
  <si>
    <t>H40732  H24212</t>
  </si>
  <si>
    <t>138S40R</t>
  </si>
  <si>
    <t>000000008000002806</t>
  </si>
  <si>
    <t>CHERY A3II SAB RH (埃)</t>
  </si>
  <si>
    <t>138S42L</t>
  </si>
  <si>
    <t>000000008000001078</t>
  </si>
  <si>
    <t>138S42 L  FE-3 SAB LH</t>
  </si>
  <si>
    <t>H40732
H21911
85G无纺布</t>
  </si>
  <si>
    <t>138S42R</t>
  </si>
  <si>
    <t>000000008000001079</t>
  </si>
  <si>
    <t>138S42 R FE-3 SAB RH</t>
  </si>
  <si>
    <t>12BS37BL</t>
  </si>
  <si>
    <t>000000008000002547</t>
  </si>
  <si>
    <t>12BS37BL K6 SAB L</t>
  </si>
  <si>
    <t xml:space="preserve">H40732 H21911 PET无纺布85g </t>
  </si>
  <si>
    <t>12BS37BR</t>
  </si>
  <si>
    <t>000000008000002548</t>
  </si>
  <si>
    <t>12BS37BR K6 SAB R</t>
  </si>
  <si>
    <t>K6 SAB LH C状态</t>
  </si>
  <si>
    <t>12BS37CL</t>
  </si>
  <si>
    <t>K6 SAB RH C状态</t>
  </si>
  <si>
    <t>12BS37CR</t>
  </si>
  <si>
    <t>133S21L</t>
  </si>
  <si>
    <t>000000008000002660</t>
  </si>
  <si>
    <t>133S21L   KC-1 SABL</t>
  </si>
  <si>
    <t>H40732 H21911   85G无纺布</t>
  </si>
  <si>
    <t>133S21R</t>
  </si>
  <si>
    <t>000000008000002661</t>
  </si>
  <si>
    <t>133S21R   KC-1 SABR</t>
  </si>
  <si>
    <t>137S31L</t>
  </si>
  <si>
    <t>000000008000001066</t>
  </si>
  <si>
    <t xml:space="preserve">137S31L    LC SAB L </t>
  </si>
  <si>
    <t>H40732 H21911  85G无纺布</t>
  </si>
  <si>
    <t>137S31R</t>
  </si>
  <si>
    <t>000000008000001067</t>
  </si>
  <si>
    <t xml:space="preserve">137S31R    LC SAB R </t>
  </si>
  <si>
    <t>185S20L</t>
  </si>
  <si>
    <t>000000008000002822</t>
  </si>
  <si>
    <t>185S20L D568 MCA SAB L</t>
  </si>
  <si>
    <t>H41132 H21912   85G无纺布</t>
  </si>
  <si>
    <t>185S20R</t>
  </si>
  <si>
    <t>000000008000002823</t>
  </si>
  <si>
    <t>185S20R D568 MCA SAB R</t>
  </si>
  <si>
    <t>S0403</t>
  </si>
  <si>
    <t>22BS093BL</t>
  </si>
  <si>
    <t>000000008000003978</t>
  </si>
  <si>
    <t>BMW G6x RSAB LH B状态</t>
  </si>
  <si>
    <t>H31242 H21038 H41142</t>
  </si>
  <si>
    <t>22BS093BR</t>
  </si>
  <si>
    <t>000000008000003979</t>
  </si>
  <si>
    <t>BMW G6x RSAB RH B状态</t>
  </si>
  <si>
    <t>1435同</t>
  </si>
  <si>
    <t>S0404</t>
  </si>
  <si>
    <t>24CS204AL</t>
  </si>
  <si>
    <t>000000008000004561</t>
  </si>
  <si>
    <t>EHEA-E SAB LH A状态</t>
  </si>
  <si>
    <t>H21012 P41331 H60632</t>
  </si>
  <si>
    <t>24CS204AR</t>
  </si>
  <si>
    <t>000000008000004562</t>
  </si>
  <si>
    <t>EHEA-E SAB RH A状态</t>
  </si>
  <si>
    <t>S0405</t>
  </si>
  <si>
    <t>148S40L</t>
  </si>
  <si>
    <t>000000008000001186</t>
  </si>
  <si>
    <t>148S40 L   E17 SAB L</t>
  </si>
  <si>
    <t>P31131 P40431 H22411</t>
  </si>
  <si>
    <t>148S40R</t>
  </si>
  <si>
    <t>000000008000001187</t>
  </si>
  <si>
    <t>148S40 R  E17 SAB R</t>
  </si>
  <si>
    <t>17CS59AL</t>
  </si>
  <si>
    <t>000000008000002779</t>
  </si>
  <si>
    <t>GAC A06 SAB LH（埃）</t>
  </si>
  <si>
    <t>P40431 P31141 H22412</t>
  </si>
  <si>
    <t>202511月21业务通知停</t>
  </si>
  <si>
    <t>17CS59AR</t>
  </si>
  <si>
    <t>000000008000002780</t>
  </si>
  <si>
    <t>GAC A06 SAB RH（埃）</t>
  </si>
  <si>
    <t>132S06L</t>
  </si>
  <si>
    <t>000000008000001170</t>
  </si>
  <si>
    <t>132S06L CH071 SAB LH</t>
  </si>
  <si>
    <t>P40431
P31131
H41132
H22411</t>
  </si>
  <si>
    <t>132S06R</t>
  </si>
  <si>
    <t>000000008000001171</t>
  </si>
  <si>
    <t>132S06R CH071 SAB RH</t>
  </si>
  <si>
    <t>174S25L</t>
  </si>
  <si>
    <t>000000008000001222</t>
  </si>
  <si>
    <t>174S25L   A12 SAB L</t>
  </si>
  <si>
    <t>H41132 P31131 P40431 H22411</t>
  </si>
  <si>
    <t>174S25R</t>
  </si>
  <si>
    <t>000000008000001223</t>
  </si>
  <si>
    <t>174S25R    A12 SAB R</t>
  </si>
  <si>
    <t>144S20</t>
  </si>
  <si>
    <t>000000008000001165</t>
  </si>
  <si>
    <t>144S20 B211 SAB</t>
  </si>
  <si>
    <t xml:space="preserve">H41132 P40431 H21011 P31131 </t>
  </si>
  <si>
    <t>S0406</t>
  </si>
  <si>
    <t>209S58BL</t>
  </si>
  <si>
    <t>000000008000002731</t>
  </si>
  <si>
    <t>209S58AL 825B RSAB L B状态</t>
  </si>
  <si>
    <t>H30732 H40742 H31242</t>
  </si>
  <si>
    <t>209S58BR</t>
  </si>
  <si>
    <t>000000008000002732</t>
  </si>
  <si>
    <t>209S58AR 825B RSAB R B状态</t>
  </si>
  <si>
    <t>TOYOTA 825B RSAB LH B状态(广州)</t>
  </si>
  <si>
    <t>209S58AL 825B RSAB L B状态  (广州）</t>
  </si>
  <si>
    <t>TOYOTA 825B RSAB RH B状态(广州)</t>
  </si>
  <si>
    <t>209S58AL 825B RSAB R B状态  (广州）</t>
  </si>
  <si>
    <t>S0407</t>
  </si>
  <si>
    <t>243S026AL</t>
  </si>
  <si>
    <t>000000008000005195</t>
  </si>
  <si>
    <t>SC3EAE SAB LH A状态</t>
  </si>
  <si>
    <t>H21012 P40431 H60531</t>
  </si>
  <si>
    <t>243S026AR</t>
  </si>
  <si>
    <t>000000008000005196</t>
  </si>
  <si>
    <t>SC3EAE SAB RH A状态</t>
  </si>
  <si>
    <t>241S010L</t>
  </si>
  <si>
    <t>SA5HA SAB LH</t>
  </si>
  <si>
    <t>H21012 H21912 H60632</t>
  </si>
  <si>
    <t>20250526/02050806按业务量已经安排收尾20250904业务通知裁片报废</t>
  </si>
  <si>
    <t>241S010R</t>
  </si>
  <si>
    <t>SA5HA SAB RH</t>
  </si>
  <si>
    <t>SFHB SAB LH</t>
  </si>
  <si>
    <t>24BS185L</t>
  </si>
  <si>
    <t>SFHB SAB RH</t>
  </si>
  <si>
    <t>24BS185R</t>
  </si>
  <si>
    <t>S0408</t>
  </si>
  <si>
    <t>243S023BL</t>
  </si>
  <si>
    <t>000000008000004849</t>
  </si>
  <si>
    <t>EKEA-A D1 SAB LH B状态</t>
  </si>
  <si>
    <t>H21012 H21912 P40431</t>
  </si>
  <si>
    <t>1332按量做只有这么多量</t>
  </si>
  <si>
    <t>1266按量做只有这么多量</t>
  </si>
  <si>
    <t>243S023BR</t>
  </si>
  <si>
    <t>000000008000004850</t>
  </si>
  <si>
    <t>EKEA-A D1 SAB RH B状态</t>
  </si>
  <si>
    <t>1487按量做只有这么多量</t>
  </si>
  <si>
    <t>282按量做只有这么多量</t>
  </si>
  <si>
    <t>HA5H SAB LH A状态</t>
  </si>
  <si>
    <t>6501线</t>
  </si>
  <si>
    <t>23BS109AR</t>
  </si>
  <si>
    <t>000000008000004856</t>
  </si>
  <si>
    <t>HA5H SAB RH A状态</t>
  </si>
  <si>
    <t>HXHA SAB A状态 LH</t>
  </si>
  <si>
    <t>235S051AL</t>
  </si>
  <si>
    <t>HXHA SAB A状态 RH</t>
  </si>
  <si>
    <t>235S051AR</t>
  </si>
  <si>
    <t>S0501</t>
  </si>
  <si>
    <t>142S11BL</t>
  </si>
  <si>
    <t>000000008000002339</t>
  </si>
  <si>
    <t>142S11BL CN200 SAB LH B状态</t>
  </si>
  <si>
    <r>
      <rPr>
        <sz val="10"/>
        <rFont val="宋体"/>
        <charset val="134"/>
      </rPr>
      <t xml:space="preserve">P40431 P31131
</t>
    </r>
    <r>
      <rPr>
        <sz val="10"/>
        <color rgb="FFFF0000"/>
        <rFont val="宋体"/>
        <charset val="134"/>
      </rPr>
      <t>H24212</t>
    </r>
  </si>
  <si>
    <t>142S11BR</t>
  </si>
  <si>
    <t>000000008000002340</t>
  </si>
  <si>
    <t>142S11BR CN200 SAB RH B状态</t>
  </si>
  <si>
    <t>15AS28L</t>
  </si>
  <si>
    <t>000000008000001204</t>
  </si>
  <si>
    <t>CHANGAN S101 VAVE SABL</t>
  </si>
  <si>
    <t>15AS28R</t>
  </si>
  <si>
    <t>000000008000001205</t>
  </si>
  <si>
    <t>CHANGAN S101 VAVE SABR</t>
  </si>
  <si>
    <t>S0511</t>
  </si>
  <si>
    <t>24AS167AL</t>
  </si>
  <si>
    <t>000000008000005205</t>
  </si>
  <si>
    <t>SA2HRU SAB LH A状态</t>
  </si>
  <si>
    <t>H21012 P40431 H60632</t>
  </si>
  <si>
    <t>24AS167AR</t>
  </si>
  <si>
    <t>000000008000005206</t>
  </si>
  <si>
    <t>SA2HRU SAB RH A状态</t>
  </si>
  <si>
    <t>22BS092L</t>
  </si>
  <si>
    <t>STEBU SAB LH</t>
  </si>
  <si>
    <t>H21012 H21912  H60632</t>
  </si>
  <si>
    <t>还未大货</t>
  </si>
  <si>
    <t>22BS092R</t>
  </si>
  <si>
    <t>STEBU SAB RH</t>
  </si>
  <si>
    <t>UKEA  SAB LH</t>
  </si>
  <si>
    <t>24BS178L</t>
  </si>
  <si>
    <t>UKEA  SAB RH</t>
  </si>
  <si>
    <t>24BS178R</t>
  </si>
  <si>
    <t>236S057L</t>
  </si>
  <si>
    <t>000000008000004125</t>
  </si>
  <si>
    <t>S59 SAB LH</t>
  </si>
  <si>
    <t>H21012 H21912 H60531 H60632</t>
  </si>
  <si>
    <t>外单有给订单在安排</t>
  </si>
  <si>
    <t>236S057R</t>
  </si>
  <si>
    <t>000000008000004126</t>
  </si>
  <si>
    <t>S59 SAB RH</t>
  </si>
  <si>
    <t>0407线已经收尾0511没有未满箱</t>
  </si>
  <si>
    <t>22CS095BL</t>
  </si>
  <si>
    <t>EQEA SAB LH B状态</t>
  </si>
  <si>
    <t>20250526按业务量已经安排收尾，20250904通知裁片报废</t>
  </si>
  <si>
    <t>22CS095BR</t>
  </si>
  <si>
    <t>EQEA SAB RH B状态</t>
  </si>
  <si>
    <t>S0512</t>
  </si>
  <si>
    <t>248S119L</t>
  </si>
  <si>
    <t>000000008000004400</t>
  </si>
  <si>
    <t>E0S(D01) FSAB L</t>
  </si>
  <si>
    <t>431同</t>
  </si>
  <si>
    <t>248S119R</t>
  </si>
  <si>
    <t>000000008000004401</t>
  </si>
  <si>
    <t>E0S(D01) FSAB R</t>
  </si>
  <si>
    <t>25CS146L</t>
  </si>
  <si>
    <t>000000008000004944</t>
  </si>
  <si>
    <t>T1L FSAB</t>
  </si>
  <si>
    <t>S0513</t>
  </si>
  <si>
    <t>222S013BL</t>
  </si>
  <si>
    <t>000000008000005264</t>
  </si>
  <si>
    <t>MR SAB L  B状态</t>
  </si>
  <si>
    <t>H11612 H21012 H60531</t>
  </si>
  <si>
    <t>222S013BR</t>
  </si>
  <si>
    <t>000000008000005265</t>
  </si>
  <si>
    <t>MR SAB R  B状态</t>
  </si>
  <si>
    <t>24BS175AL</t>
  </si>
  <si>
    <t>000000008000004851</t>
  </si>
  <si>
    <t>HA5H-A SAB LH A状态</t>
  </si>
  <si>
    <t>H21012 P40431 P41331</t>
  </si>
  <si>
    <t>24BS175AR</t>
  </si>
  <si>
    <t>000000008000004852</t>
  </si>
  <si>
    <t>HA5H-A SAB RH A状态</t>
  </si>
  <si>
    <t>SK2F-1 SAB LH</t>
  </si>
  <si>
    <t>24BS188L</t>
  </si>
  <si>
    <t>SK2F-1 SAB RH</t>
  </si>
  <si>
    <t>24BS188R</t>
  </si>
  <si>
    <t>S0514</t>
  </si>
  <si>
    <t>219S069L</t>
  </si>
  <si>
    <t>000000008000003131</t>
  </si>
  <si>
    <t>WX SAB D1 LH</t>
  </si>
  <si>
    <t>H11842 H11612 H21012</t>
  </si>
  <si>
    <t>219S069R</t>
  </si>
  <si>
    <t>000000008000003132</t>
  </si>
  <si>
    <t>WX SAB D1 RH</t>
  </si>
  <si>
    <t>21CS091AL</t>
  </si>
  <si>
    <t>000000008000005395</t>
  </si>
  <si>
    <t>SC2EM SAB LH A状态</t>
  </si>
  <si>
    <t>H41132 H24212 H21012</t>
  </si>
  <si>
    <t>21CS091AR</t>
  </si>
  <si>
    <t>000000008000005396</t>
  </si>
  <si>
    <t>SC2EM SAB RH A状态</t>
  </si>
  <si>
    <t>SC2EM SAB LH A状态 (出口)</t>
  </si>
  <si>
    <t>000000008000005398</t>
  </si>
  <si>
    <t>SC2EM SAB LH (出口)</t>
  </si>
  <si>
    <t>824首次大货</t>
  </si>
  <si>
    <t>SC2EM SAB RH A状态 (出口)</t>
  </si>
  <si>
    <t>000000008000005399</t>
  </si>
  <si>
    <t>SC2EM SAB RH (出口)</t>
  </si>
  <si>
    <t>542首次大货</t>
  </si>
  <si>
    <t>272同</t>
  </si>
  <si>
    <t>EKEC-D1 SAB LH</t>
  </si>
  <si>
    <t>247S101L</t>
  </si>
  <si>
    <t>EKEC-D1 SAB RH</t>
  </si>
  <si>
    <t>247S101R</t>
  </si>
  <si>
    <t>S0515</t>
  </si>
  <si>
    <t>24CS209L</t>
  </si>
  <si>
    <t>000000008000004827</t>
  </si>
  <si>
    <t>CKEA SAB LH</t>
  </si>
  <si>
    <t>1399按量做</t>
  </si>
  <si>
    <t>24CS209R</t>
  </si>
  <si>
    <t>000000008000004828</t>
  </si>
  <si>
    <t>CKEA SAB RH</t>
  </si>
  <si>
    <t>251S002L</t>
  </si>
  <si>
    <t>000000008000004537</t>
  </si>
  <si>
    <t>PAHT SAB LH</t>
  </si>
  <si>
    <t>251S002R</t>
  </si>
  <si>
    <t>000000008000004538</t>
  </si>
  <si>
    <t>PAHT SAB RH</t>
  </si>
  <si>
    <t>EKEA-1 SAB LH</t>
  </si>
  <si>
    <t>252S011L</t>
  </si>
  <si>
    <t>EKEA-1 SAB RH</t>
  </si>
  <si>
    <t>252S011R</t>
  </si>
  <si>
    <t>252S012L</t>
  </si>
  <si>
    <t>000000008000004631</t>
  </si>
  <si>
    <t>EQEA-B SAB LH</t>
  </si>
  <si>
    <t>252S012R</t>
  </si>
  <si>
    <t>000000008000004632</t>
  </si>
  <si>
    <t>EQEA-B SAB RH</t>
  </si>
  <si>
    <t>EQEA-B SAB LH A状态</t>
  </si>
  <si>
    <t>252S012AL</t>
  </si>
  <si>
    <t>EQEA-B SAB RH A状态</t>
  </si>
  <si>
    <t>252S012AR</t>
  </si>
  <si>
    <t>S0601</t>
  </si>
  <si>
    <t>195P30B  LK PAB-40 PAB E状态</t>
  </si>
  <si>
    <t>S0602</t>
  </si>
  <si>
    <t>237D034</t>
  </si>
  <si>
    <t>000000008000003861</t>
  </si>
  <si>
    <t>CHANGAN C385 ICA2 DAB</t>
  </si>
  <si>
    <t>H10332 P10241 H20632</t>
  </si>
  <si>
    <t>LD-50</t>
  </si>
  <si>
    <t>243P046HL</t>
  </si>
  <si>
    <t>000000005000017786</t>
  </si>
  <si>
    <t>P702 PAB 左侧半成品</t>
  </si>
  <si>
    <t>PPAP</t>
  </si>
  <si>
    <t>100PPAP.</t>
  </si>
  <si>
    <t>500PPAP.</t>
  </si>
  <si>
    <t>1200PPAP.</t>
  </si>
  <si>
    <t>600PPAP.</t>
  </si>
  <si>
    <t>LD50A</t>
  </si>
  <si>
    <t>243P046VL</t>
  </si>
  <si>
    <t>000000005000017759</t>
  </si>
  <si>
    <t>P702 PAB 拉带半成品</t>
  </si>
  <si>
    <t>LD-51</t>
  </si>
  <si>
    <t>243P046HR</t>
  </si>
  <si>
    <t>000000005000017787</t>
  </si>
  <si>
    <t>P702 PAB 右侧半成品</t>
  </si>
  <si>
    <t>LD51A</t>
  </si>
  <si>
    <t>243P046QL</t>
  </si>
  <si>
    <t>000000005000017788</t>
  </si>
  <si>
    <t>P702 PAB 导流袋半成品</t>
  </si>
  <si>
    <t>LD51C</t>
  </si>
  <si>
    <t>243P046VM</t>
  </si>
  <si>
    <t>000000005000017790</t>
  </si>
  <si>
    <t>P702 PAB 拉带加强片半成品</t>
  </si>
  <si>
    <t>S0701</t>
  </si>
  <si>
    <t>243P046</t>
  </si>
  <si>
    <t>000000008000004366</t>
  </si>
  <si>
    <t>FORD P702 PAB</t>
  </si>
  <si>
    <t>H30432 H31242 H41132</t>
  </si>
  <si>
    <t>50PPAP.</t>
  </si>
  <si>
    <t>200PPAP.</t>
  </si>
  <si>
    <t>300PPAP.</t>
  </si>
  <si>
    <t>400PPPAP.</t>
  </si>
  <si>
    <t>350PPAP.</t>
  </si>
  <si>
    <t>S0702</t>
  </si>
  <si>
    <t>232S003L</t>
  </si>
  <si>
    <t>000000008000004312</t>
  </si>
  <si>
    <t>NISSAN TNF1S FSAB L</t>
  </si>
  <si>
    <t>H31232  H41132</t>
  </si>
  <si>
    <t>232S003R</t>
  </si>
  <si>
    <t>000000008000004313</t>
  </si>
  <si>
    <t>NISSAN TNF1S FSAB R</t>
  </si>
  <si>
    <t>摩比斯</t>
  </si>
  <si>
    <t>S0801</t>
  </si>
  <si>
    <t>246S080L</t>
  </si>
  <si>
    <t>000000008000004420</t>
  </si>
  <si>
    <t>OE RE FSAB L</t>
  </si>
  <si>
    <t>P41041 P31441</t>
  </si>
  <si>
    <t>246S080R</t>
  </si>
  <si>
    <t>000000008000004421</t>
  </si>
  <si>
    <t>OE RE FSAB R</t>
  </si>
  <si>
    <t>252S030L</t>
  </si>
  <si>
    <t>000000008000004585</t>
  </si>
  <si>
    <t>SC3E-A SAB L</t>
  </si>
  <si>
    <t>H21012 H60531 P41331</t>
  </si>
  <si>
    <t>20260324业务已经通知收尾20260325通知接着安排20260414业务通知不在生产</t>
  </si>
  <si>
    <t>252S030R</t>
  </si>
  <si>
    <t>000000008000004586</t>
  </si>
  <si>
    <t>SC3E-A SAB R</t>
  </si>
  <si>
    <t>252S031L</t>
  </si>
  <si>
    <t>000000008000004583</t>
  </si>
  <si>
    <t>SC2E-1 SAB L</t>
  </si>
  <si>
    <t>H21012 H60531  P41331</t>
  </si>
  <si>
    <t>20250812业务通知按量做完后面不做了</t>
  </si>
  <si>
    <t>252S031R</t>
  </si>
  <si>
    <t>000000008000004584</t>
  </si>
  <si>
    <t>SC2E-1 SAB R</t>
  </si>
  <si>
    <t>S0802</t>
  </si>
  <si>
    <t>263S038AL</t>
  </si>
  <si>
    <t>000000008000005404</t>
  </si>
  <si>
    <t>L W04B RSAB LH   A状态</t>
  </si>
  <si>
    <t>H21912 P31141</t>
  </si>
  <si>
    <t>263S038AR</t>
  </si>
  <si>
    <t>000000008000005405</t>
  </si>
  <si>
    <t>L W04B RSAB RH   A状态</t>
  </si>
  <si>
    <t>244S040L</t>
  </si>
  <si>
    <t>000000008000004530</t>
  </si>
  <si>
    <t>LIXIANG W04 RSAB L</t>
  </si>
  <si>
    <t>244S040R</t>
  </si>
  <si>
    <t>000000008000004531</t>
  </si>
  <si>
    <t>LIXIANG W04 RSAB R</t>
  </si>
  <si>
    <t>S0803</t>
  </si>
  <si>
    <t>24CF055BL</t>
  </si>
  <si>
    <t>000000008000004548</t>
  </si>
  <si>
    <t>AS33 X6 FCA LHD   B状态</t>
  </si>
  <si>
    <t>H30432  H40232 H21912</t>
  </si>
  <si>
    <t>24CF055BR</t>
  </si>
  <si>
    <t>000000008000004549</t>
  </si>
  <si>
    <t>AS33 X6 FCA RHD   B状态</t>
  </si>
  <si>
    <t>644同</t>
  </si>
  <si>
    <t>257F023B</t>
  </si>
  <si>
    <t>000000008000005098</t>
  </si>
  <si>
    <t>N80KS FCA B状态</t>
  </si>
  <si>
    <t>H21018 H21912 P31141</t>
  </si>
  <si>
    <t>257F026B</t>
  </si>
  <si>
    <t>000000008000005326</t>
  </si>
  <si>
    <t>VW316-6 CNX FCA   B状态</t>
  </si>
  <si>
    <t>P31141  H24212 P40241</t>
  </si>
  <si>
    <t>800其中有裁片</t>
  </si>
  <si>
    <t>一课</t>
  </si>
  <si>
    <t>A3</t>
  </si>
  <si>
    <t>S2101</t>
  </si>
  <si>
    <t>172S10BL</t>
  </si>
  <si>
    <t>000000008000002838</t>
  </si>
  <si>
    <t>172S10BL  G20 SAB LH B状态</t>
  </si>
  <si>
    <t>H41132 H31242 H24212</t>
  </si>
  <si>
    <t>172S10BR</t>
  </si>
  <si>
    <t>000000008000002839</t>
  </si>
  <si>
    <t>172S10BR  G20 SAB RH B状态</t>
  </si>
  <si>
    <t>165S22AL</t>
  </si>
  <si>
    <t>165S22AL A88C F SAB L</t>
  </si>
  <si>
    <t>H41132 H21912</t>
  </si>
  <si>
    <t>165S22AR</t>
  </si>
  <si>
    <t>165S22AR A88C F SAB L</t>
  </si>
  <si>
    <t>A2</t>
  </si>
  <si>
    <t>S2102</t>
  </si>
  <si>
    <t>164D09A</t>
  </si>
  <si>
    <t>000000008000002920</t>
  </si>
  <si>
    <t>VOLVO SPA EU DAB A状态 (国埃)</t>
  </si>
  <si>
    <t>H40732 H31232 H30732 H41612 H21911</t>
  </si>
  <si>
    <t>19AD64A</t>
  </si>
  <si>
    <t>000000008000002843</t>
  </si>
  <si>
    <t>DPCA E43C DAB A状态</t>
  </si>
  <si>
    <t>H20632 H30632 H21018 H21912</t>
  </si>
  <si>
    <t>193D09B</t>
  </si>
  <si>
    <t>000000008000004248</t>
  </si>
  <si>
    <t>GEELY CX11 EU DAB B状态 (捻埃)</t>
  </si>
  <si>
    <t xml:space="preserve">H20632 H30732 H41612 H21912 </t>
  </si>
  <si>
    <t>178D45A</t>
  </si>
  <si>
    <t>000000008000002921</t>
  </si>
  <si>
    <t>DCY11 DAB A状态 (国埃)</t>
  </si>
  <si>
    <t>S2103</t>
  </si>
  <si>
    <t>164S16AL</t>
  </si>
  <si>
    <t>000000008000002814</t>
  </si>
  <si>
    <t>E2UL SAB LH A状态 (埃)</t>
  </si>
  <si>
    <r>
      <rPr>
        <sz val="10"/>
        <rFont val="宋体"/>
        <charset val="134"/>
      </rPr>
      <t xml:space="preserve">H41132 </t>
    </r>
    <r>
      <rPr>
        <sz val="10"/>
        <color rgb="FFFF0000"/>
        <rFont val="宋体"/>
        <charset val="134"/>
      </rPr>
      <t xml:space="preserve">H24212 </t>
    </r>
    <r>
      <rPr>
        <sz val="10"/>
        <rFont val="宋体"/>
        <charset val="134"/>
      </rPr>
      <t>H30732 H31232</t>
    </r>
  </si>
  <si>
    <t>20241108业务预估备注EOP</t>
  </si>
  <si>
    <t>164S16AR</t>
  </si>
  <si>
    <t>000000008000002815</t>
  </si>
  <si>
    <t>E2UL SAB RH A状态 (埃)</t>
  </si>
  <si>
    <r>
      <rPr>
        <sz val="10"/>
        <rFont val="宋体"/>
        <charset val="134"/>
      </rPr>
      <t xml:space="preserve">H41132 </t>
    </r>
    <r>
      <rPr>
        <sz val="10"/>
        <color rgb="FFFF0000"/>
        <rFont val="宋体"/>
        <charset val="134"/>
      </rPr>
      <t>H24212</t>
    </r>
    <r>
      <rPr>
        <sz val="10"/>
        <rFont val="宋体"/>
        <charset val="134"/>
      </rPr>
      <t xml:space="preserve"> H30732 H31232</t>
    </r>
  </si>
  <si>
    <t>S2104</t>
  </si>
  <si>
    <t>194D12</t>
  </si>
  <si>
    <t>000000008000002922</t>
  </si>
  <si>
    <t>GEELY SX11 LA DAB (埃)</t>
  </si>
  <si>
    <t>H30632 H41612 H21912</t>
  </si>
  <si>
    <t>AUTOLIV HI</t>
  </si>
  <si>
    <t>19CD80</t>
  </si>
  <si>
    <t>000000008000002143</t>
  </si>
  <si>
    <t>GEELY SX11 RA  DAB</t>
  </si>
  <si>
    <t>国外</t>
  </si>
  <si>
    <t>16CD35A</t>
  </si>
  <si>
    <t>000000008000002912</t>
  </si>
  <si>
    <t>SX11 DAB A状态 (埃)</t>
  </si>
  <si>
    <t>H30632 H20632 H21912 H21018</t>
  </si>
  <si>
    <t>16BD29A</t>
  </si>
  <si>
    <t>000000008000002796</t>
  </si>
  <si>
    <t>A16 DAB A状态 (埃)</t>
  </si>
  <si>
    <t>H30732 H41612 H21911</t>
  </si>
  <si>
    <t>174D24A</t>
  </si>
  <si>
    <t>000000008000002911</t>
  </si>
  <si>
    <t>DNL-5 DAB A状态 (埃)</t>
  </si>
  <si>
    <t>H30632 H21018 H20632 H21912</t>
  </si>
  <si>
    <t>17AD54A</t>
  </si>
  <si>
    <t>000000008000002544</t>
  </si>
  <si>
    <t>17AD54A  KC-2 DAB  A状态</t>
  </si>
  <si>
    <t>A4</t>
  </si>
  <si>
    <t>S2201</t>
  </si>
  <si>
    <t>216P034A</t>
  </si>
  <si>
    <t>000000008000002831</t>
  </si>
  <si>
    <t>GWM P06 PAB A状态</t>
  </si>
  <si>
    <t>H31242</t>
  </si>
  <si>
    <t>2204会</t>
  </si>
  <si>
    <t>244P052B</t>
  </si>
  <si>
    <t>000000008000004258</t>
  </si>
  <si>
    <t>SGMW F710C PAB B状态</t>
  </si>
  <si>
    <t>16AP34</t>
  </si>
  <si>
    <t>000000008000000596</t>
  </si>
  <si>
    <t>16AP34  GAC A16 PAB</t>
  </si>
  <si>
    <t>H31232 H30732</t>
  </si>
  <si>
    <t>15AP37A</t>
  </si>
  <si>
    <t>000000008000002522</t>
  </si>
  <si>
    <t>GEELY FE-3AC PAB A状态</t>
  </si>
  <si>
    <t>S2202</t>
  </si>
  <si>
    <t>16BP41A</t>
  </si>
  <si>
    <t>000000008000002526</t>
  </si>
  <si>
    <t>16BP41A GEELY SX11 PAB A状态</t>
  </si>
  <si>
    <t>H31232</t>
  </si>
  <si>
    <t>16CP48C</t>
  </si>
  <si>
    <t>000000008000002519</t>
  </si>
  <si>
    <t>GEELY  DNL-5 PAB     C状态</t>
  </si>
  <si>
    <t>193P16</t>
  </si>
  <si>
    <t>000000008000001963</t>
  </si>
  <si>
    <t>GEELY SX11 RA PAB</t>
  </si>
  <si>
    <t>173P13A</t>
  </si>
  <si>
    <t>000000008000002646</t>
  </si>
  <si>
    <t>173P13 CHB121V PAB</t>
  </si>
  <si>
    <t>H31232 H30432</t>
  </si>
  <si>
    <t>S2203</t>
  </si>
  <si>
    <t>232P009</t>
  </si>
  <si>
    <t>000000008000003885</t>
  </si>
  <si>
    <t>GWM P11 PAB</t>
  </si>
  <si>
    <t>H31242 P31141</t>
  </si>
  <si>
    <t>252P014</t>
  </si>
  <si>
    <t>000000008000004541</t>
  </si>
  <si>
    <t>SGMW CE110M PAB</t>
  </si>
  <si>
    <t>S2204</t>
  </si>
  <si>
    <t>15CP46B</t>
  </si>
  <si>
    <t>000000008000002645</t>
  </si>
  <si>
    <t>15CP46B GWM CH051X PAB B状态</t>
  </si>
  <si>
    <t xml:space="preserve">H31242 P31141 </t>
  </si>
  <si>
    <t>2605线和2201线</t>
  </si>
  <si>
    <t>S2205</t>
  </si>
  <si>
    <t>24BF048CL</t>
  </si>
  <si>
    <t>000000008000005178</t>
  </si>
  <si>
    <t>SQHB-D FAB LH C状态</t>
  </si>
  <si>
    <t>H30432 H21012 H41132 H60531 P31231</t>
  </si>
  <si>
    <t>24BF048CR</t>
  </si>
  <si>
    <t>000000008000005179</t>
  </si>
  <si>
    <t>SQHB-D FAB RH  C状态</t>
  </si>
  <si>
    <t>226S053BL</t>
  </si>
  <si>
    <t>000000008000005266</t>
  </si>
  <si>
    <t>EM2EU FAB LH B状态</t>
  </si>
  <si>
    <t>H30432 H21012 H41132</t>
  </si>
  <si>
    <t>226S053BR</t>
  </si>
  <si>
    <t>000000008000005267</t>
  </si>
  <si>
    <t>EM2EU FAB RH B状态</t>
  </si>
  <si>
    <t>249F033BL</t>
  </si>
  <si>
    <t>000000008000005190</t>
  </si>
  <si>
    <t>SZHA FAB LH B状态</t>
  </si>
  <si>
    <t>H30432 H21012 H60531 P31231 H50741</t>
  </si>
  <si>
    <t>249F033BR</t>
  </si>
  <si>
    <t>000000008000005191</t>
  </si>
  <si>
    <t>SZHA FAB RH B状态</t>
  </si>
  <si>
    <t>25CF050L</t>
  </si>
  <si>
    <t>000000008000005001</t>
  </si>
  <si>
    <t>UNEA FAB LH</t>
  </si>
  <si>
    <t>H30432 H21012 H60531 P41331</t>
  </si>
  <si>
    <t>25CF050R</t>
  </si>
  <si>
    <t>000000008000005002</t>
  </si>
  <si>
    <t>UNEA FAB RH</t>
  </si>
  <si>
    <t>256F019L</t>
  </si>
  <si>
    <t>000000008000004999</t>
  </si>
  <si>
    <t>HBE FAB LH</t>
  </si>
  <si>
    <t>256F019R</t>
  </si>
  <si>
    <t>000000008000005000</t>
  </si>
  <si>
    <t>HBE FAB RH</t>
  </si>
  <si>
    <t>HBE FAB LH A状态</t>
  </si>
  <si>
    <t>256F019AL</t>
  </si>
  <si>
    <t>120PPAP.</t>
  </si>
  <si>
    <t>HXHA-1 SAB LH A状态</t>
  </si>
  <si>
    <t>256F019AR</t>
  </si>
  <si>
    <t>30PPAP.</t>
  </si>
  <si>
    <t>HYEA FAB LH</t>
  </si>
  <si>
    <t>25CF057L</t>
  </si>
  <si>
    <t>HYEA FAB RH</t>
  </si>
  <si>
    <t>25CF057R</t>
  </si>
  <si>
    <t>60PPAP.</t>
  </si>
  <si>
    <t>SQHB-B FAB LH</t>
  </si>
  <si>
    <t>249F035L</t>
  </si>
  <si>
    <t>SQHB-B FAB RH</t>
  </si>
  <si>
    <t>249F035R</t>
  </si>
  <si>
    <t>171P02</t>
  </si>
  <si>
    <t>171P02   GM 9BUX PAB</t>
  </si>
  <si>
    <t>H30732 H31232 H40732</t>
  </si>
  <si>
    <t>20250120通知生产线已拆</t>
  </si>
  <si>
    <t>S2301</t>
  </si>
  <si>
    <t>264R005</t>
  </si>
  <si>
    <t>000000008000005259</t>
  </si>
  <si>
    <t>F03 BAB</t>
  </si>
  <si>
    <t>238P059</t>
  </si>
  <si>
    <t>000000008000004228</t>
  </si>
  <si>
    <t>HKHA PAB</t>
  </si>
  <si>
    <t>P31141 P60119 H50731</t>
  </si>
  <si>
    <t>20250325业务统计量</t>
  </si>
  <si>
    <t>VDEBU PAB</t>
  </si>
  <si>
    <t>23AP079</t>
  </si>
  <si>
    <t>JAC X6U BAB</t>
  </si>
  <si>
    <t>263R002</t>
  </si>
  <si>
    <t>三课</t>
  </si>
  <si>
    <t>C3</t>
  </si>
  <si>
    <t>LD36A</t>
  </si>
  <si>
    <t>227C012BT</t>
  </si>
  <si>
    <t>000000005000022471</t>
  </si>
  <si>
    <t>SV65 IC B状态 拉带</t>
  </si>
  <si>
    <t>LD-36</t>
  </si>
  <si>
    <t>227C012BQ</t>
  </si>
  <si>
    <t>000000005000022470</t>
  </si>
  <si>
    <t>SV65 IC B状态 导气袋</t>
  </si>
  <si>
    <t>S2302</t>
  </si>
  <si>
    <t>227C012BL</t>
  </si>
  <si>
    <t>000000008000005257</t>
  </si>
  <si>
    <t>SAIC SV65 IC LH B状态</t>
  </si>
  <si>
    <t>227C012BR</t>
  </si>
  <si>
    <t>000000008000005258</t>
  </si>
  <si>
    <t>SAIC SV65 IC RH B状态</t>
  </si>
  <si>
    <t>177C29AL</t>
  </si>
  <si>
    <t>000000008000001999</t>
  </si>
  <si>
    <r>
      <rPr>
        <sz val="10"/>
        <rFont val="宋体"/>
        <charset val="134"/>
      </rPr>
      <t>GM 9BYC</t>
    </r>
    <r>
      <rPr>
        <b/>
        <sz val="16"/>
        <color rgb="FFFF0000"/>
        <rFont val="宋体"/>
        <charset val="134"/>
      </rPr>
      <t>-S</t>
    </r>
    <r>
      <rPr>
        <sz val="10"/>
        <rFont val="宋体"/>
        <charset val="134"/>
      </rPr>
      <t xml:space="preserve"> IC LH</t>
    </r>
  </si>
  <si>
    <r>
      <rPr>
        <sz val="9"/>
        <rFont val="宋体"/>
        <charset val="134"/>
      </rPr>
      <t>量少按业务预估，半成品线已拆后续生产线只排成品，</t>
    </r>
    <r>
      <rPr>
        <sz val="9"/>
        <color rgb="FFFF0000"/>
        <rFont val="宋体"/>
        <charset val="134"/>
      </rPr>
      <t>如果业务要生产提前通知技术和产销，技术安排半成品</t>
    </r>
  </si>
  <si>
    <t>177C29AR</t>
  </si>
  <si>
    <t>000000008000002000</t>
  </si>
  <si>
    <r>
      <rPr>
        <sz val="10"/>
        <rFont val="宋体"/>
        <charset val="134"/>
      </rPr>
      <t>GM 9BYC</t>
    </r>
    <r>
      <rPr>
        <b/>
        <sz val="16"/>
        <color rgb="FFFF0000"/>
        <rFont val="宋体"/>
        <charset val="134"/>
      </rPr>
      <t>-S</t>
    </r>
    <r>
      <rPr>
        <sz val="10"/>
        <rFont val="宋体"/>
        <charset val="134"/>
      </rPr>
      <t xml:space="preserve"> IC RH</t>
    </r>
  </si>
  <si>
    <t>177C28GL</t>
  </si>
  <si>
    <t>000000008000002824</t>
  </si>
  <si>
    <t>GM 9BYB C&amp;S IC LH G状态</t>
  </si>
  <si>
    <t>H40232 H30432 H30732 H41132 H21912</t>
  </si>
  <si>
    <t>177C28GR</t>
  </si>
  <si>
    <t>000000008000002825</t>
  </si>
  <si>
    <t>GM 9BYB C&amp;S IC RH G状态</t>
  </si>
  <si>
    <t>194C13BL</t>
  </si>
  <si>
    <t>000000008000002818</t>
  </si>
  <si>
    <r>
      <rPr>
        <sz val="10"/>
        <rFont val="宋体"/>
        <charset val="134"/>
      </rPr>
      <t xml:space="preserve">GM </t>
    </r>
    <r>
      <rPr>
        <sz val="12"/>
        <rFont val="宋体"/>
        <charset val="134"/>
      </rPr>
      <t>9BYC</t>
    </r>
    <r>
      <rPr>
        <b/>
        <sz val="16"/>
        <rFont val="宋体"/>
        <charset val="134"/>
      </rPr>
      <t>-D</t>
    </r>
    <r>
      <rPr>
        <sz val="16"/>
        <rFont val="宋体"/>
        <charset val="134"/>
      </rPr>
      <t xml:space="preserve"> </t>
    </r>
    <r>
      <rPr>
        <sz val="10"/>
        <rFont val="宋体"/>
        <charset val="134"/>
      </rPr>
      <t>IC LH B状态</t>
    </r>
  </si>
  <si>
    <t>194C13BR</t>
  </si>
  <si>
    <t>000000008000002819</t>
  </si>
  <si>
    <r>
      <rPr>
        <sz val="10"/>
        <rFont val="宋体"/>
        <charset val="134"/>
      </rPr>
      <t xml:space="preserve">GM </t>
    </r>
    <r>
      <rPr>
        <sz val="11"/>
        <rFont val="宋体"/>
        <charset val="134"/>
      </rPr>
      <t>9BYC</t>
    </r>
    <r>
      <rPr>
        <b/>
        <sz val="16"/>
        <rFont val="宋体"/>
        <charset val="134"/>
      </rPr>
      <t>-D</t>
    </r>
    <r>
      <rPr>
        <sz val="10"/>
        <rFont val="宋体"/>
        <charset val="134"/>
      </rPr>
      <t xml:space="preserve"> IC RH B状态</t>
    </r>
  </si>
  <si>
    <t>LD-26</t>
  </si>
  <si>
    <t>X81KS RWIC导气袋</t>
  </si>
  <si>
    <t>263C004Q</t>
  </si>
  <si>
    <t>BAIC X81KS RWIC</t>
  </si>
  <si>
    <t>S2303</t>
  </si>
  <si>
    <t>246P086</t>
  </si>
  <si>
    <t>000000008000004255</t>
  </si>
  <si>
    <t>EWEA PAB</t>
  </si>
  <si>
    <t>22CP089</t>
  </si>
  <si>
    <t>000000008000003775</t>
  </si>
  <si>
    <t>B41V PAB</t>
  </si>
  <si>
    <t>外单业务给了在做</t>
  </si>
  <si>
    <t>24CP168</t>
  </si>
  <si>
    <t>000000008000004719</t>
  </si>
  <si>
    <t>LK-D4 PAB</t>
  </si>
  <si>
    <t>P31141 P60111 H50741</t>
  </si>
  <si>
    <t>一次性订单</t>
  </si>
  <si>
    <t>253P027</t>
  </si>
  <si>
    <t>000000008000004664</t>
  </si>
  <si>
    <r>
      <rPr>
        <sz val="10"/>
        <color rgb="FF000000"/>
        <rFont val="宋体"/>
        <charset val="134"/>
      </rPr>
      <t xml:space="preserve">EWEA </t>
    </r>
    <r>
      <rPr>
        <sz val="18"/>
        <color rgb="FFFF0000"/>
        <rFont val="宋体"/>
        <charset val="134"/>
      </rPr>
      <t>D2</t>
    </r>
    <r>
      <rPr>
        <sz val="10"/>
        <color rgb="FF000000"/>
        <rFont val="宋体"/>
        <charset val="134"/>
      </rPr>
      <t xml:space="preserve"> PAB</t>
    </r>
  </si>
  <si>
    <t>P31141 P60119 H50741</t>
  </si>
  <si>
    <t>24CP176</t>
  </si>
  <si>
    <t>000000008000004374</t>
  </si>
  <si>
    <t>EWEA D1 PAB</t>
  </si>
  <si>
    <t>0601和0302线</t>
  </si>
  <si>
    <t>HC PAB</t>
  </si>
  <si>
    <t>192P11</t>
  </si>
  <si>
    <t>EWEA D3 PAB</t>
  </si>
  <si>
    <t>267P113</t>
  </si>
  <si>
    <t>170PPAP.</t>
  </si>
  <si>
    <t>S2304</t>
  </si>
  <si>
    <t>205S29L</t>
  </si>
  <si>
    <t>000000008000002541</t>
  </si>
  <si>
    <t>205S29L Chery T1D RSAB L</t>
  </si>
  <si>
    <t>H31232 H21912</t>
  </si>
  <si>
    <t>S5132线</t>
  </si>
  <si>
    <t>205S29R</t>
  </si>
  <si>
    <t>000000008000002542</t>
  </si>
  <si>
    <t>205S29R Chery T1D RSAB R</t>
  </si>
  <si>
    <t>223S016AL</t>
  </si>
  <si>
    <t>000000008000003976</t>
  </si>
  <si>
    <t>VW336_0 FSAB LH A状态</t>
  </si>
  <si>
    <t>223S016AR</t>
  </si>
  <si>
    <t>000000008000003977</t>
  </si>
  <si>
    <t>VW336_0 FSAB RH A状态</t>
  </si>
  <si>
    <t>216S031AL</t>
  </si>
  <si>
    <t>VW371/8 FSAB L    A状态</t>
  </si>
  <si>
    <t>20240511业务通知暂停生产</t>
  </si>
  <si>
    <t>216S031AR</t>
  </si>
  <si>
    <t>VW371/8 FSAB R    A状态</t>
  </si>
  <si>
    <t>A1</t>
  </si>
  <si>
    <t>S2401</t>
  </si>
  <si>
    <t>23AS104L</t>
  </si>
  <si>
    <t>000000008000004147</t>
  </si>
  <si>
    <t>ZEEKR CX1E FSAB LH</t>
  </si>
  <si>
    <t>23AS104R</t>
  </si>
  <si>
    <t>000000008000004148</t>
  </si>
  <si>
    <t>ZEEKR CX1E FSAB RH</t>
  </si>
  <si>
    <t>242S015AL</t>
  </si>
  <si>
    <t>000000008000004328</t>
  </si>
  <si>
    <t>GWM P01-2 SAB LH A状态</t>
  </si>
  <si>
    <t>H31242 H40742 H41142</t>
  </si>
  <si>
    <t>242S015AR</t>
  </si>
  <si>
    <t>000000008000004329</t>
  </si>
  <si>
    <t>GWM P01-2 SAB RH A状态</t>
  </si>
  <si>
    <t>2404线.</t>
  </si>
  <si>
    <t>246S077L</t>
  </si>
  <si>
    <t>000000008000004256</t>
  </si>
  <si>
    <t>XPENG F01 FSAB LH</t>
  </si>
  <si>
    <t>246S077R</t>
  </si>
  <si>
    <t>000000008000004257</t>
  </si>
  <si>
    <t>XPENG F01 FSAB RH</t>
  </si>
  <si>
    <t>258S092L</t>
  </si>
  <si>
    <t>000000008000004796</t>
  </si>
  <si>
    <r>
      <rPr>
        <sz val="10"/>
        <rFont val="宋体"/>
        <charset val="134"/>
      </rPr>
      <t>XPENG F01</t>
    </r>
    <r>
      <rPr>
        <sz val="14"/>
        <color rgb="FFFF0000"/>
        <rFont val="宋体"/>
        <charset val="134"/>
      </rPr>
      <t>S</t>
    </r>
    <r>
      <rPr>
        <sz val="10"/>
        <rFont val="宋体"/>
        <charset val="134"/>
      </rPr>
      <t xml:space="preserve"> FSAB LH</t>
    </r>
  </si>
  <si>
    <t>258S092R</t>
  </si>
  <si>
    <t>000000008000004797</t>
  </si>
  <si>
    <r>
      <rPr>
        <sz val="10"/>
        <rFont val="宋体"/>
        <charset val="134"/>
      </rPr>
      <t>XPENG F01</t>
    </r>
    <r>
      <rPr>
        <sz val="14"/>
        <color rgb="FFFF0000"/>
        <rFont val="宋体"/>
        <charset val="134"/>
      </rPr>
      <t>S</t>
    </r>
    <r>
      <rPr>
        <sz val="10"/>
        <rFont val="宋体"/>
        <charset val="134"/>
      </rPr>
      <t xml:space="preserve"> FSAB RH</t>
    </r>
  </si>
  <si>
    <t>S2403</t>
  </si>
  <si>
    <t>138S41A</t>
  </si>
  <si>
    <t>S301 SAB（埃）</t>
  </si>
  <si>
    <t>P31131
P40431
H22411 H41132</t>
  </si>
  <si>
    <t>20240115收尾完20240522同已经EOP</t>
  </si>
  <si>
    <t>177S37L ThaRu  L</t>
  </si>
  <si>
    <t>177S37R ThaRu  R</t>
  </si>
  <si>
    <t>S2404</t>
  </si>
  <si>
    <t>15AS26AL</t>
  </si>
  <si>
    <t>000000008000002761</t>
  </si>
  <si>
    <t>Chery T17 SAB LH（埃）</t>
  </si>
  <si>
    <t>P31141 P40431 H41132 H22411</t>
  </si>
  <si>
    <t>15AS26AR</t>
  </si>
  <si>
    <t>000000008000002762</t>
  </si>
  <si>
    <t>Chery T17 SAB RH（埃）</t>
  </si>
  <si>
    <t>217S043L</t>
  </si>
  <si>
    <t>000000008000002709</t>
  </si>
  <si>
    <t>SMCV SV91 SAB LH</t>
  </si>
  <si>
    <t>H20632 P40431 H21012 H41132</t>
  </si>
  <si>
    <t>217S043R</t>
  </si>
  <si>
    <t>000000008000002710</t>
  </si>
  <si>
    <t>SMCV SV91 SAB RH</t>
  </si>
  <si>
    <t>164S14AL</t>
  </si>
  <si>
    <t>000000008000002763</t>
  </si>
  <si>
    <t>A30 SAB LH （埃）</t>
  </si>
  <si>
    <t>164S14AR</t>
  </si>
  <si>
    <t>000000008000002764</t>
  </si>
  <si>
    <t>A30 SAB RH （埃）</t>
  </si>
  <si>
    <t>15CS36AL</t>
  </si>
  <si>
    <t>000000008000001210</t>
  </si>
  <si>
    <t>15CS36AL SK81 SABL</t>
  </si>
  <si>
    <t>P31131 P40431 H41132 H22411</t>
  </si>
  <si>
    <t>15CS36AR</t>
  </si>
  <si>
    <t>000000008000001211</t>
  </si>
  <si>
    <t>15CS36AR SK81 SABR</t>
  </si>
  <si>
    <t>16BS38L</t>
  </si>
  <si>
    <t>000000008000001146</t>
  </si>
  <si>
    <t>SMCV SV63 SAB L</t>
  </si>
  <si>
    <t>P40431 H41132 H20632 H21012</t>
  </si>
  <si>
    <t>16BS38R</t>
  </si>
  <si>
    <t>000000008000001147</t>
  </si>
  <si>
    <t>SMCV SV63 SAB R</t>
  </si>
  <si>
    <t>246S063AL</t>
  </si>
  <si>
    <t>SMCV SV65 SAB LH A状态</t>
  </si>
  <si>
    <t>H21012 P40431 H61732 H61332</t>
  </si>
  <si>
    <t>246S063AR</t>
  </si>
  <si>
    <t>SMCV SV65 SAB RH A状态</t>
  </si>
  <si>
    <t>165S17AL</t>
  </si>
  <si>
    <t>000000008000002765</t>
  </si>
  <si>
    <t>165S17L   JAC S7 SAB L</t>
  </si>
  <si>
    <t>P31141 P40431 H22411</t>
  </si>
  <si>
    <t>165S17AR</t>
  </si>
  <si>
    <t>000000008000002766</t>
  </si>
  <si>
    <t xml:space="preserve">165S17R   JAC S7 SAB R </t>
  </si>
  <si>
    <t>171S07AL</t>
  </si>
  <si>
    <t>000000008000002767</t>
  </si>
  <si>
    <t>171S07L   A5H SAB LH</t>
  </si>
  <si>
    <r>
      <rPr>
        <sz val="10"/>
        <rFont val="宋体"/>
        <charset val="134"/>
      </rPr>
      <t xml:space="preserve">P31131 P40431 </t>
    </r>
    <r>
      <rPr>
        <sz val="10"/>
        <color rgb="FFFF0000"/>
        <rFont val="宋体"/>
        <charset val="134"/>
      </rPr>
      <t>H24212</t>
    </r>
  </si>
  <si>
    <t>171S07AR</t>
  </si>
  <si>
    <t>000000008000002768</t>
  </si>
  <si>
    <t>171S07R   A5H SAB RH</t>
  </si>
  <si>
    <t>S2501</t>
  </si>
  <si>
    <t>24CS212AL</t>
  </si>
  <si>
    <t>000000008000005213</t>
  </si>
  <si>
    <t>SQHB-1 SAB LH A状态</t>
  </si>
  <si>
    <t>24CS212AR</t>
  </si>
  <si>
    <t>000000008000005214</t>
  </si>
  <si>
    <t>SQHB-1 SAB RH A状态</t>
  </si>
  <si>
    <t>2100
有裁片</t>
  </si>
  <si>
    <t>22BS088DL</t>
  </si>
  <si>
    <t>000000008000005364</t>
  </si>
  <si>
    <t>EKEA SAB LH D状态</t>
  </si>
  <si>
    <t>22BS088DR</t>
  </si>
  <si>
    <t>000000008000005365</t>
  </si>
  <si>
    <t>EKEA SAB RH D状态</t>
  </si>
  <si>
    <t>24BS184AL</t>
  </si>
  <si>
    <t>000000008000005217</t>
  </si>
  <si>
    <t>HA3H SAB LH A状态</t>
  </si>
  <si>
    <t>24BS184AR</t>
  </si>
  <si>
    <t>000000008000005218</t>
  </si>
  <si>
    <t>HA3H SAB RH A状态</t>
  </si>
  <si>
    <t>241S003AL</t>
  </si>
  <si>
    <t>EKEA-B SAB LH A状态</t>
  </si>
  <si>
    <t>只要2400个不要多</t>
  </si>
  <si>
    <t>S2502</t>
  </si>
  <si>
    <t>24BS183BL</t>
  </si>
  <si>
    <t>000000008000005233</t>
  </si>
  <si>
    <t>EHEA-C SAB LH B状态</t>
  </si>
  <si>
    <t>24BS183BR</t>
  </si>
  <si>
    <t>000000008000005234</t>
  </si>
  <si>
    <t>EHEA-C SAB RH B状态</t>
  </si>
  <si>
    <t>UG2EA SAB LH</t>
  </si>
  <si>
    <t>25AS121L</t>
  </si>
  <si>
    <t>UG2EA SAB RH</t>
  </si>
  <si>
    <t>25AS121R</t>
  </si>
  <si>
    <t>255S069L</t>
  </si>
  <si>
    <t>000000008000004951</t>
  </si>
  <si>
    <t>HKHAU SAB LH</t>
  </si>
  <si>
    <t>255S069R</t>
  </si>
  <si>
    <t>000000008000004952</t>
  </si>
  <si>
    <t>HKHAU SAB RH</t>
  </si>
  <si>
    <t>S2503</t>
  </si>
  <si>
    <t>181D04A</t>
  </si>
  <si>
    <t>000000008000002852</t>
  </si>
  <si>
    <t>GEELY NL-3B DAB(INVISTA面料)</t>
  </si>
  <si>
    <t>H31532 H40242 P30941 P60119 H11612</t>
  </si>
  <si>
    <t>183D17A</t>
  </si>
  <si>
    <t>000000008000002883</t>
  </si>
  <si>
    <t>GEELY VF12 DAB A状态</t>
  </si>
  <si>
    <t>176D39A</t>
  </si>
  <si>
    <t>000000008000002847</t>
  </si>
  <si>
    <t>GEELY FE-6 DAB(INVISTA面料)</t>
  </si>
  <si>
    <t>H31532 H40242 P30941 P60119 H11611</t>
  </si>
  <si>
    <t>179D52A</t>
  </si>
  <si>
    <t>000000008000001871</t>
  </si>
  <si>
    <t>179D52A VF11 DAB</t>
  </si>
  <si>
    <t>P30941 P20331 H11612</t>
  </si>
  <si>
    <t>188D42</t>
  </si>
  <si>
    <t>000000008000001820</t>
  </si>
  <si>
    <t>LX-1AB DAB</t>
  </si>
  <si>
    <t>H11832 H20632 P60119 H11612</t>
  </si>
  <si>
    <t>2025年1月15号通知S2503 暂时先不动，等内部做完PPAP再转移，现在有需求都可以在S2503生产</t>
  </si>
  <si>
    <t>S2504</t>
  </si>
  <si>
    <t>187D39B</t>
  </si>
  <si>
    <t>000000008000001918</t>
  </si>
  <si>
    <t>187D39B CN210S DAB</t>
  </si>
  <si>
    <t>H11832 H20632 P30941 P20341</t>
  </si>
  <si>
    <t>194D14</t>
  </si>
  <si>
    <t>000000008000001954</t>
  </si>
  <si>
    <r>
      <rPr>
        <sz val="10"/>
        <rFont val="宋体"/>
        <charset val="134"/>
      </rPr>
      <t>194D14 SGMW CN210</t>
    </r>
    <r>
      <rPr>
        <sz val="16"/>
        <color rgb="FFFF0000"/>
        <rFont val="宋体"/>
        <charset val="134"/>
      </rPr>
      <t>M</t>
    </r>
    <r>
      <rPr>
        <sz val="10"/>
        <rFont val="宋体"/>
        <charset val="134"/>
      </rPr>
      <t xml:space="preserve"> DAB</t>
    </r>
  </si>
  <si>
    <t>201D04</t>
  </si>
  <si>
    <t>000000008000002205</t>
  </si>
  <si>
    <t>CN180S MY DAB</t>
  </si>
  <si>
    <t>H31532 H40242 P30941 P20341</t>
  </si>
  <si>
    <t>20240805收了五次尾然后取消EOP20240530EOP调查量少按业务预估</t>
  </si>
  <si>
    <t>185D25</t>
  </si>
  <si>
    <t>000000008000001766</t>
  </si>
  <si>
    <t>185D25    TCROSS DAB</t>
  </si>
  <si>
    <t>P20341 P30941 P60119 H11612</t>
  </si>
  <si>
    <t>185D31</t>
  </si>
  <si>
    <t>000000008000001842</t>
  </si>
  <si>
    <t>185D31 Super PA DAB</t>
  </si>
  <si>
    <t>P30941 P20331 P30941 P60119 H11612</t>
  </si>
  <si>
    <t>已经按业务量收尾完成</t>
  </si>
  <si>
    <t>S2505</t>
  </si>
  <si>
    <t>189D46</t>
  </si>
  <si>
    <t>000000008000001904</t>
  </si>
  <si>
    <t>189D46  A26 DAB</t>
  </si>
  <si>
    <t>H10332 P60119 H11612</t>
  </si>
  <si>
    <t>20241219业务通知减量</t>
  </si>
  <si>
    <t>175D27</t>
  </si>
  <si>
    <t>000000008000000515</t>
  </si>
  <si>
    <t>175D27  S3-17 DAB</t>
  </si>
  <si>
    <t>P31141 P40431 P60119</t>
  </si>
  <si>
    <t>183D10A</t>
  </si>
  <si>
    <t>000000008000002692</t>
  </si>
  <si>
    <t>GAC A06 DAB(INVISTA面料)</t>
  </si>
  <si>
    <t>189D48A</t>
  </si>
  <si>
    <t>189D48A AS28 DAB A状态</t>
  </si>
  <si>
    <t>H31532 H40242 P30941</t>
  </si>
  <si>
    <t>194D15</t>
  </si>
  <si>
    <t>000000008000001998</t>
  </si>
  <si>
    <t>MPC-CN6 DAB</t>
  </si>
  <si>
    <t>R103 DAB</t>
  </si>
  <si>
    <t>151D01</t>
  </si>
  <si>
    <t>147D22</t>
  </si>
  <si>
    <t>147D22  GAC A28 DAB</t>
  </si>
  <si>
    <t xml:space="preserve">P30931 P20331 P60111  H11611 </t>
  </si>
  <si>
    <t>打样室做</t>
  </si>
  <si>
    <t>176D37</t>
  </si>
  <si>
    <t>176D37 M432 DAB</t>
  </si>
  <si>
    <t>P30941 P20341 P60119 H11611</t>
  </si>
  <si>
    <t>S2506</t>
  </si>
  <si>
    <t>197P59</t>
  </si>
  <si>
    <t>197P59 PTP3 PAB</t>
  </si>
  <si>
    <t>S2601</t>
  </si>
  <si>
    <t>15BP44</t>
  </si>
  <si>
    <t>000000008000000638</t>
  </si>
  <si>
    <t>15BP44 IP31 PAB</t>
  </si>
  <si>
    <t>没布</t>
  </si>
  <si>
    <t>S2602</t>
  </si>
  <si>
    <t>213P015</t>
  </si>
  <si>
    <t>000000008000002680</t>
  </si>
  <si>
    <t>CHANGAN S202 PAB</t>
  </si>
  <si>
    <t>197P63</t>
  </si>
  <si>
    <t>000000008000002040</t>
  </si>
  <si>
    <t>197P63 SGMW CN180S MCE PAB</t>
  </si>
  <si>
    <t>S2603</t>
  </si>
  <si>
    <t>207P25A</t>
  </si>
  <si>
    <t>000000008000005093</t>
  </si>
  <si>
    <t>SGMW CN202K PAB A状态</t>
  </si>
  <si>
    <t>P60119 H50942 P10241</t>
  </si>
  <si>
    <t>186P39B</t>
  </si>
  <si>
    <t>000000008000005146</t>
  </si>
  <si>
    <t>186P39A IP32 PAB 延锋智能   B状态</t>
  </si>
  <si>
    <t>H30432 H31532 P60119</t>
  </si>
  <si>
    <t>221P001</t>
  </si>
  <si>
    <t>000000008000003078</t>
  </si>
  <si>
    <t>SAIC ZS12 MCE HEV PAB</t>
  </si>
  <si>
    <t>H11832 P60119</t>
  </si>
  <si>
    <t>214P026</t>
  </si>
  <si>
    <t>000000008000003147</t>
  </si>
  <si>
    <t>SAIC IS31 PAB</t>
  </si>
  <si>
    <t>H11842 P60119</t>
  </si>
  <si>
    <t>208P32</t>
  </si>
  <si>
    <t>000000008000003711</t>
  </si>
  <si>
    <t>SAIC ZS11 MCE PAB</t>
  </si>
  <si>
    <t>25BP123</t>
  </si>
  <si>
    <t>000000008000004835</t>
  </si>
  <si>
    <t>ZS11 TNACP PAB</t>
  </si>
  <si>
    <t>P60119 H11832</t>
  </si>
  <si>
    <t>S2604</t>
  </si>
  <si>
    <t>183P14B</t>
  </si>
  <si>
    <t>000000008000005090</t>
  </si>
  <si>
    <r>
      <rPr>
        <sz val="10"/>
        <rFont val="宋体"/>
        <charset val="134"/>
      </rPr>
      <t xml:space="preserve">183P14A AS28 PAB   B状态      </t>
    </r>
    <r>
      <rPr>
        <sz val="10"/>
        <color rgb="FFFF0000"/>
        <rFont val="宋体"/>
        <charset val="134"/>
      </rPr>
      <t>延锋智能</t>
    </r>
  </si>
  <si>
    <t>H31532 P60119</t>
  </si>
  <si>
    <t>1400其中补片收尾</t>
  </si>
  <si>
    <t>S2603线</t>
  </si>
  <si>
    <t>S2605</t>
  </si>
  <si>
    <t>169P25B</t>
  </si>
  <si>
    <t>000000008000002081</t>
  </si>
  <si>
    <t>SX12 PAB  B状态</t>
  </si>
  <si>
    <t>181P07B</t>
  </si>
  <si>
    <t>000000008000002172</t>
  </si>
  <si>
    <t>LYNK&amp;CO BX11 PAB B状态</t>
  </si>
  <si>
    <t>187P46</t>
  </si>
  <si>
    <t>000000008000002425</t>
  </si>
  <si>
    <t>187P46  FE-7B PAB</t>
  </si>
  <si>
    <t>S2606</t>
  </si>
  <si>
    <t>25BP129</t>
  </si>
  <si>
    <t>000000008000005270</t>
  </si>
  <si>
    <t>KO11 PAB</t>
  </si>
  <si>
    <t>去2303.</t>
  </si>
  <si>
    <t>183P20A</t>
  </si>
  <si>
    <t>000000008000002636</t>
  </si>
  <si>
    <t>GWM P3011 PAB A状态</t>
  </si>
  <si>
    <t>H31242 H30432</t>
  </si>
  <si>
    <t>21BP074A</t>
  </si>
  <si>
    <t>000000008000003114</t>
  </si>
  <si>
    <t>GWM EC24 PAB A状态</t>
  </si>
  <si>
    <t>189P48B P33A PAB</t>
  </si>
  <si>
    <t>PZ1A PAB</t>
  </si>
  <si>
    <t>19CP111</t>
  </si>
  <si>
    <t>S2607</t>
  </si>
  <si>
    <t>218S047AL</t>
  </si>
  <si>
    <t>000000008000002967</t>
  </si>
  <si>
    <t>SK2F SAB LH A状态</t>
  </si>
  <si>
    <t>H60531 H21012 H21912</t>
  </si>
  <si>
    <t>218S047BR</t>
  </si>
  <si>
    <t>000000008000003333</t>
  </si>
  <si>
    <t>SK2F SAB RH B状态</t>
  </si>
  <si>
    <t>24BS179L</t>
  </si>
  <si>
    <t>000000008000004656</t>
  </si>
  <si>
    <t>SFHAX-D1 SAB LH</t>
  </si>
  <si>
    <t>24BS179R</t>
  </si>
  <si>
    <t>000000008000004657</t>
  </si>
  <si>
    <t>SFHAX-D1 SAB RH</t>
  </si>
  <si>
    <t>1600其中补片收尾</t>
  </si>
  <si>
    <t>UFEA-A D1 SAB LH</t>
  </si>
  <si>
    <t>24CS207L</t>
  </si>
  <si>
    <t>UFEA-A D1 SAB RH</t>
  </si>
  <si>
    <t>24CS207R</t>
  </si>
  <si>
    <t>S2608</t>
  </si>
  <si>
    <t>221D001A</t>
  </si>
  <si>
    <t>000000008000003848</t>
  </si>
  <si>
    <t>GEELY DX11 DAB A状态</t>
  </si>
  <si>
    <t>P60119 H20642 H11832</t>
  </si>
  <si>
    <t>23BD051</t>
  </si>
  <si>
    <t>000000008000004065</t>
  </si>
  <si>
    <t>GEELY L743 DAB</t>
  </si>
  <si>
    <t>H20632 P60119 H11832</t>
  </si>
  <si>
    <t>20250717按业务通知量收尾完成</t>
  </si>
  <si>
    <t>23CD066</t>
  </si>
  <si>
    <t>000000008000004006</t>
  </si>
  <si>
    <t>Changan C673-R DAB</t>
  </si>
  <si>
    <t>20240820变更调查</t>
  </si>
  <si>
    <t>22BD048</t>
  </si>
  <si>
    <t>000000008000003555</t>
  </si>
  <si>
    <t>CHANGAN C673 DAB</t>
  </si>
  <si>
    <t>227D026</t>
  </si>
  <si>
    <t>000000008000003422</t>
  </si>
  <si>
    <t>GEELY G733 DAB</t>
  </si>
  <si>
    <t>H11832 H20632 P60119</t>
  </si>
  <si>
    <t>2024年10月23号通知最后收尾10月29号收尾完成20241018变更调查</t>
  </si>
  <si>
    <t>S2609</t>
  </si>
  <si>
    <t>209S52L</t>
  </si>
  <si>
    <t>000000008000002482</t>
  </si>
  <si>
    <t>SGM 458 SAB LH</t>
  </si>
  <si>
    <t>P40431 H40242 H31942 H22412</t>
  </si>
  <si>
    <t>209S52R</t>
  </si>
  <si>
    <t>000000008000002483</t>
  </si>
  <si>
    <t>SGM 458 SAB RH</t>
  </si>
  <si>
    <t>209S53L</t>
  </si>
  <si>
    <t>000000008000002480</t>
  </si>
  <si>
    <t>209S53L  358 MY22 SAB L</t>
  </si>
  <si>
    <t>H22412 P40431 P31141</t>
  </si>
  <si>
    <t>20240325业务通知收尾量</t>
  </si>
  <si>
    <t>209S53R</t>
  </si>
  <si>
    <t>000000008000002481</t>
  </si>
  <si>
    <t>209S53R  358 MY22 SAB R</t>
  </si>
  <si>
    <t>S5111</t>
  </si>
  <si>
    <t>162D04</t>
  </si>
  <si>
    <t>000000008000002527</t>
  </si>
  <si>
    <t>162D04 CH051X DAB</t>
  </si>
  <si>
    <t>S5112</t>
  </si>
  <si>
    <t>171S02DL</t>
  </si>
  <si>
    <t>000000008000002188</t>
  </si>
  <si>
    <t>171S02DL A2LL SAB L D状态</t>
  </si>
  <si>
    <t>H40742
H21191</t>
  </si>
  <si>
    <t>2101线会</t>
  </si>
  <si>
    <t>5132线会</t>
  </si>
  <si>
    <t>171S02DR</t>
  </si>
  <si>
    <t>000000008000002189</t>
  </si>
  <si>
    <t>171S02DR A2LL SAB R D状态</t>
  </si>
  <si>
    <t>S5113</t>
  </si>
  <si>
    <t>179S43L</t>
  </si>
  <si>
    <t>000000008000000985</t>
  </si>
  <si>
    <t>SX12 SAB L</t>
  </si>
  <si>
    <t>179S43R</t>
  </si>
  <si>
    <t>000000008000000986</t>
  </si>
  <si>
    <t>SX12 SAB R</t>
  </si>
  <si>
    <t>193S11L</t>
  </si>
  <si>
    <t>000000008000002203</t>
  </si>
  <si>
    <t>193S11L GEELY SX11  RA SAB L</t>
  </si>
  <si>
    <t>193S11R</t>
  </si>
  <si>
    <t>000000008000002204</t>
  </si>
  <si>
    <t>193S11R GEELY SX11  RA SAB R</t>
  </si>
  <si>
    <t>S5121</t>
  </si>
  <si>
    <t>236S054L</t>
  </si>
  <si>
    <t>000000008000004066</t>
  </si>
  <si>
    <t>BAIC C71KB RSAB L</t>
  </si>
  <si>
    <t>H21018 P31141 P40841</t>
  </si>
  <si>
    <t>236S054R</t>
  </si>
  <si>
    <t>000000008000004067</t>
  </si>
  <si>
    <t>BAIC C71KB RSAB R</t>
  </si>
  <si>
    <t>1850
有裁片</t>
  </si>
  <si>
    <t>1491只有这么多包布</t>
  </si>
  <si>
    <t>246S073L</t>
  </si>
  <si>
    <t>F510S FSAB LH (广州)</t>
  </si>
  <si>
    <t>8000004704</t>
  </si>
  <si>
    <t>F510S FSAB LH（广州）</t>
  </si>
  <si>
    <t>H40742 H24212</t>
  </si>
  <si>
    <t>246S073R</t>
  </si>
  <si>
    <t>F510S FSAB RH (广州)</t>
  </si>
  <si>
    <t>8000004705</t>
  </si>
  <si>
    <t>F510S FSAB RH（广州）</t>
  </si>
  <si>
    <t>25CS144L</t>
  </si>
  <si>
    <t>000000008000005016</t>
  </si>
  <si>
    <t>CHANGAN E15 MCA1 RSAB LH</t>
  </si>
  <si>
    <t>按预估做真空包装</t>
  </si>
  <si>
    <t>25CS144R</t>
  </si>
  <si>
    <t>000000008000005017</t>
  </si>
  <si>
    <t>CHANGAN E15 MCA1 RSAB RH</t>
  </si>
  <si>
    <t>25CS147L</t>
  </si>
  <si>
    <t>000000008000005021</t>
  </si>
  <si>
    <t>F520S FSAB LH</t>
  </si>
  <si>
    <t>2160补片收尾</t>
  </si>
  <si>
    <t>2208出货量</t>
  </si>
  <si>
    <t>25CS147R</t>
  </si>
  <si>
    <t>000000008000005022</t>
  </si>
  <si>
    <t>F520S FSAB RH</t>
  </si>
  <si>
    <t>2188出货量</t>
  </si>
  <si>
    <t>232S007BL</t>
  </si>
  <si>
    <t>000000008000004555</t>
  </si>
  <si>
    <t>CHANGAN C236 FSAB LH B状态</t>
  </si>
  <si>
    <t>232S007BR</t>
  </si>
  <si>
    <t>000000008000004556</t>
  </si>
  <si>
    <t>CHANGAN C236 FSAB RH B状态</t>
  </si>
  <si>
    <t>23AS101AL</t>
  </si>
  <si>
    <t>000000008000004553</t>
  </si>
  <si>
    <t>CHANGAN E15 RSAB LH A状态</t>
  </si>
  <si>
    <t>23AS101AR</t>
  </si>
  <si>
    <t>000000008000004554</t>
  </si>
  <si>
    <t>CHANGAN E15 RSAB RH A状态</t>
  </si>
  <si>
    <t>000000008000004253</t>
  </si>
  <si>
    <t>F510S FSAB L</t>
  </si>
  <si>
    <t>000000008000004254</t>
  </si>
  <si>
    <t>F510S FSAB R</t>
  </si>
  <si>
    <t>S5122</t>
  </si>
  <si>
    <t>179S44AL</t>
  </si>
  <si>
    <t>179S44AL  J42H SAB L</t>
  </si>
  <si>
    <t>H40732 H21911</t>
  </si>
  <si>
    <t>ALV JAPAN</t>
  </si>
  <si>
    <t>179S44AR</t>
  </si>
  <si>
    <t>179S44AR J42H SAB R</t>
  </si>
  <si>
    <t>S5123</t>
  </si>
  <si>
    <t>184S14BL</t>
  </si>
  <si>
    <t>000000008000002249</t>
  </si>
  <si>
    <t>184S14BL GEELY BX11 SAB L</t>
  </si>
  <si>
    <t xml:space="preserve">H30732 H21912 H41132 </t>
  </si>
  <si>
    <t>184S14BR</t>
  </si>
  <si>
    <t>000000008000002250</t>
  </si>
  <si>
    <t>184S14BR GEELY BX11 SAB R</t>
  </si>
  <si>
    <t>16AS33AL</t>
  </si>
  <si>
    <t>000000008000002918</t>
  </si>
  <si>
    <t>16AS33AL GEELY SX11 SAB L     A状态</t>
  </si>
  <si>
    <t>H41132 H21912 H24212</t>
  </si>
  <si>
    <t>16AS33AR</t>
  </si>
  <si>
    <t>000000008000002919</t>
  </si>
  <si>
    <t>16AS33AR GEELY SX11 SAB R     A状态</t>
  </si>
  <si>
    <t>16CS41BL</t>
  </si>
  <si>
    <t>000000008000002914</t>
  </si>
  <si>
    <t>DNL-5 SAB LH  B状态</t>
  </si>
  <si>
    <t>16CS41BR</t>
  </si>
  <si>
    <t>000000008000002915</t>
  </si>
  <si>
    <t>DNL-5 SAB RH  B状态</t>
  </si>
  <si>
    <t>S5131</t>
  </si>
  <si>
    <t>24AS166L</t>
  </si>
  <si>
    <t>000000008000004515</t>
  </si>
  <si>
    <t>AH4EM SAB LH</t>
  </si>
  <si>
    <t>P31141 P60119 H61732</t>
  </si>
  <si>
    <t>24AS166R</t>
  </si>
  <si>
    <t>000000008000004516</t>
  </si>
  <si>
    <t>AH4EM SAB RH</t>
  </si>
  <si>
    <t>245S048AL</t>
  </si>
  <si>
    <t>000000008000005192</t>
  </si>
  <si>
    <t>ZS3EM SAB LH A状态</t>
  </si>
  <si>
    <t>H41132 P31141  P60119</t>
  </si>
  <si>
    <t>1919新状态中维</t>
  </si>
  <si>
    <t>245S048AR</t>
  </si>
  <si>
    <t>000000008000005193</t>
  </si>
  <si>
    <t>ZS3EM SAB RH A状态</t>
  </si>
  <si>
    <t>量少按预估</t>
  </si>
  <si>
    <t>24BS170L</t>
  </si>
  <si>
    <t>000000008000004520</t>
  </si>
  <si>
    <t>SGM 358-2 SAB LH</t>
  </si>
  <si>
    <t>H21012 P42041</t>
  </si>
  <si>
    <t>24BS170R</t>
  </si>
  <si>
    <t>000000008000004521</t>
  </si>
  <si>
    <t>SGM 358-2 SAB RH</t>
  </si>
  <si>
    <t>248S124AL</t>
  </si>
  <si>
    <t>000000008000005094</t>
  </si>
  <si>
    <t>SGMW F510S SAB LH A状态</t>
  </si>
  <si>
    <t>P40431 H61732</t>
  </si>
  <si>
    <t>248S124AR</t>
  </si>
  <si>
    <t>000000008000005095</t>
  </si>
  <si>
    <t>SGMW F510S SAB RH A状态</t>
  </si>
  <si>
    <t>203S19CL</t>
  </si>
  <si>
    <t>TESLA TES 3 TX SAB LH C状态 (埃)</t>
  </si>
  <si>
    <t>203S19CR</t>
  </si>
  <si>
    <t>TESLA TES 3 TX SAB RH C状态 (埃)</t>
  </si>
  <si>
    <t>右边库存很多</t>
  </si>
  <si>
    <t>S5132</t>
  </si>
  <si>
    <t>249S146L</t>
  </si>
  <si>
    <t>000000008000004489</t>
  </si>
  <si>
    <t>NIO CETUS RSAB LH</t>
  </si>
  <si>
    <t>249S146R</t>
  </si>
  <si>
    <t>000000008000004490</t>
  </si>
  <si>
    <t>NIO CETUS RSAB RH</t>
  </si>
  <si>
    <t>20BS67AL</t>
  </si>
  <si>
    <t>000000008000004753</t>
  </si>
  <si>
    <t>FORD CX743 SAB L A状态</t>
  </si>
  <si>
    <t>H31232 H41142</t>
  </si>
  <si>
    <t>20260115窄幅变更为宽幅</t>
  </si>
  <si>
    <t>1750其中补片收尾</t>
  </si>
  <si>
    <t>20BS67AR</t>
  </si>
  <si>
    <t>000000008000004754</t>
  </si>
  <si>
    <t>FORD CX743 SAB R A状态</t>
  </si>
  <si>
    <t>5271线.</t>
  </si>
  <si>
    <t>2304线</t>
  </si>
  <si>
    <t>17BS55L</t>
  </si>
  <si>
    <t>000000008000002664</t>
  </si>
  <si>
    <t>17BS55 L GEELY DCY11 SAB L</t>
  </si>
  <si>
    <t>17BS55R</t>
  </si>
  <si>
    <t>000000008000002665</t>
  </si>
  <si>
    <t>17BS55 R GEELY DCY11 SAB R</t>
  </si>
  <si>
    <t>219S065L</t>
  </si>
  <si>
    <t>000000008000002998</t>
  </si>
  <si>
    <t>ES24 RSAB L</t>
  </si>
  <si>
    <t>H24212 H31242</t>
  </si>
  <si>
    <t>2022年产品已经没有量</t>
  </si>
  <si>
    <t>219S065R</t>
  </si>
  <si>
    <t>000000008000002999</t>
  </si>
  <si>
    <t>ES24 RSAB R</t>
  </si>
  <si>
    <t>EM3 RSAB LH</t>
  </si>
  <si>
    <t>212S003L</t>
  </si>
  <si>
    <t>EM3 RSAB RH</t>
  </si>
  <si>
    <t>S5133</t>
  </si>
  <si>
    <t>CHERY M1E FSAB LH   A状态</t>
  </si>
  <si>
    <t>H41142 H31242</t>
  </si>
  <si>
    <t>在6406线</t>
  </si>
  <si>
    <t>219S064AR</t>
  </si>
  <si>
    <t>000000008000003471</t>
  </si>
  <si>
    <t>CHERY M1E FSAB RH   A状态</t>
  </si>
  <si>
    <t>5221线.</t>
  </si>
  <si>
    <t>2100
（有裁片）</t>
  </si>
  <si>
    <t>供货按2万3,M1E SAB优先</t>
  </si>
  <si>
    <t>243S028L</t>
  </si>
  <si>
    <t>000000008000004139</t>
  </si>
  <si>
    <t>GEELY EF1E MR SAB LH</t>
  </si>
  <si>
    <t>H41132 H24212</t>
  </si>
  <si>
    <t>193S13AL</t>
  </si>
  <si>
    <t>000000008000002678</t>
  </si>
  <si>
    <t>193S13AL GEELY DC1E SAB L     A状态</t>
  </si>
  <si>
    <t>803按量做不要多</t>
  </si>
  <si>
    <t>193S13AR</t>
  </si>
  <si>
    <t>000000008000002679</t>
  </si>
  <si>
    <t>193S13AR GEELY DC1E SAB R     A状态</t>
  </si>
  <si>
    <t>801按量做不要多</t>
  </si>
  <si>
    <t>193S13AL GEELY DC1E SAB L     B状态</t>
  </si>
  <si>
    <t>193S13BL</t>
  </si>
  <si>
    <t>193S13AR GEELY DC1E SAB R     B状态</t>
  </si>
  <si>
    <t>193S13BR</t>
  </si>
  <si>
    <t>193S16L</t>
  </si>
  <si>
    <t>000000008000002503</t>
  </si>
  <si>
    <t>EX11 SAB L</t>
  </si>
  <si>
    <t>193S16R</t>
  </si>
  <si>
    <t>000000008000002504</t>
  </si>
  <si>
    <t>EX11 SAB R</t>
  </si>
  <si>
    <t>193S16AL</t>
  </si>
  <si>
    <t>193S16AR</t>
  </si>
  <si>
    <t>211S002BL</t>
  </si>
  <si>
    <t>000000008000003779</t>
  </si>
  <si>
    <t>GEELY EF1E SAB LH B状态</t>
  </si>
  <si>
    <t>211S002BR</t>
  </si>
  <si>
    <t>000000008000003780</t>
  </si>
  <si>
    <t>GEELY EF1E SAB RH B状态</t>
  </si>
  <si>
    <t>S5142</t>
  </si>
  <si>
    <t>231D002C</t>
  </si>
  <si>
    <t>000000008000004083</t>
  </si>
  <si>
    <t>GWM P11 DAB C状态</t>
  </si>
  <si>
    <t>H31232 H20632</t>
  </si>
  <si>
    <t>256D030A</t>
  </si>
  <si>
    <t>000000008000004761</t>
  </si>
  <si>
    <t>GEELY DC1E A3 DAB A状态</t>
  </si>
  <si>
    <t>H30732 H40232L</t>
  </si>
  <si>
    <t>215D019</t>
  </si>
  <si>
    <t>000000008000002742</t>
  </si>
  <si>
    <t>GWM P06 DAB</t>
  </si>
  <si>
    <t>25AD061</t>
  </si>
  <si>
    <t>000000008000004886</t>
  </si>
  <si>
    <t>CC1E-U DAB</t>
  </si>
  <si>
    <t>H30732 H41132 P31141 H40232L</t>
  </si>
  <si>
    <t>227D027B</t>
  </si>
  <si>
    <t>000000008000003844</t>
  </si>
  <si>
    <t>ROX01 DAB B状态</t>
  </si>
  <si>
    <t>H30732 H41612 H21912</t>
  </si>
  <si>
    <t>213D007</t>
  </si>
  <si>
    <t>000000008000002695</t>
  </si>
  <si>
    <t>GWM P05 DAB</t>
  </si>
  <si>
    <t>H20632 H30732 H24212 H24018</t>
  </si>
  <si>
    <t>183D15B</t>
  </si>
  <si>
    <t>000000008000002197</t>
  </si>
  <si>
    <t>SX12 DAB  B状态</t>
  </si>
  <si>
    <t>已经没有量了</t>
  </si>
  <si>
    <t>M82-1 DAB</t>
  </si>
  <si>
    <t>266D058</t>
  </si>
  <si>
    <t>S5151</t>
  </si>
  <si>
    <t>174S26L</t>
  </si>
  <si>
    <t>000000008000000992</t>
  </si>
  <si>
    <t>VW371 SAB L</t>
  </si>
  <si>
    <t xml:space="preserve">H40742 C1775008 H21912 </t>
  </si>
  <si>
    <t>174S26R</t>
  </si>
  <si>
    <t>000000008000000993</t>
  </si>
  <si>
    <t>VW371 SAB R</t>
  </si>
  <si>
    <t>S5152</t>
  </si>
  <si>
    <t>216D020</t>
  </si>
  <si>
    <t>000000008000003216</t>
  </si>
  <si>
    <t>CDX707 SS DAB</t>
  </si>
  <si>
    <t>H20632 H30732 H20932 H24018</t>
  </si>
  <si>
    <t>259D055A</t>
  </si>
  <si>
    <t>000000008000005159</t>
  </si>
  <si>
    <r>
      <rPr>
        <sz val="10"/>
        <rFont val="宋体"/>
        <charset val="134"/>
      </rPr>
      <t>CX483</t>
    </r>
    <r>
      <rPr>
        <sz val="16"/>
        <color rgb="FFFF0000"/>
        <rFont val="宋体"/>
        <charset val="134"/>
      </rPr>
      <t>N</t>
    </r>
    <r>
      <rPr>
        <sz val="10"/>
        <rFont val="宋体"/>
        <charset val="134"/>
      </rPr>
      <t xml:space="preserve"> DAB A状态</t>
    </r>
  </si>
  <si>
    <t xml:space="preserve">H30732 H24018 H20932 H20632L </t>
  </si>
  <si>
    <t>S5161</t>
  </si>
  <si>
    <t>237K016A</t>
  </si>
  <si>
    <t>000000008000004710</t>
  </si>
  <si>
    <t>TOYOTA 312D KAB A状态</t>
  </si>
  <si>
    <t>H31232 H40732</t>
  </si>
  <si>
    <t>S5162</t>
  </si>
  <si>
    <t>238P056</t>
  </si>
  <si>
    <t>000000008000004552</t>
  </si>
  <si>
    <t>W02 PAB</t>
  </si>
  <si>
    <t>248P103A</t>
  </si>
  <si>
    <t>000000008000004630</t>
  </si>
  <si>
    <t>NIO CETUS PAB A状态</t>
  </si>
  <si>
    <t>249P136</t>
  </si>
  <si>
    <t>000000008000004687</t>
  </si>
  <si>
    <t>CX835 PAB</t>
  </si>
  <si>
    <t>LD-57</t>
  </si>
  <si>
    <t>N50AS LHD PAB侧片半成品</t>
  </si>
  <si>
    <t>265P078H</t>
  </si>
  <si>
    <t>N50AS LHD PAB</t>
  </si>
  <si>
    <t>265P078</t>
  </si>
  <si>
    <r>
      <rPr>
        <sz val="10"/>
        <rFont val="宋体"/>
        <charset val="134"/>
      </rPr>
      <t xml:space="preserve">N50AS </t>
    </r>
    <r>
      <rPr>
        <sz val="16"/>
        <color rgb="FFFF0000"/>
        <rFont val="宋体"/>
        <charset val="134"/>
      </rPr>
      <t>R</t>
    </r>
    <r>
      <rPr>
        <sz val="10"/>
        <rFont val="宋体"/>
        <charset val="134"/>
      </rPr>
      <t>HD PAB侧片半成品</t>
    </r>
  </si>
  <si>
    <t>264P057H</t>
  </si>
  <si>
    <r>
      <rPr>
        <sz val="10"/>
        <rFont val="宋体"/>
        <charset val="134"/>
      </rPr>
      <t xml:space="preserve"> N50AS </t>
    </r>
    <r>
      <rPr>
        <sz val="16"/>
        <color rgb="FFFF0000"/>
        <rFont val="宋体"/>
        <charset val="134"/>
      </rPr>
      <t>R</t>
    </r>
    <r>
      <rPr>
        <sz val="10"/>
        <rFont val="宋体"/>
        <charset val="134"/>
      </rPr>
      <t>HD PAB</t>
    </r>
  </si>
  <si>
    <t>P162-G PAB</t>
  </si>
  <si>
    <t>263P018</t>
  </si>
  <si>
    <t>S5171</t>
  </si>
  <si>
    <t>208K17A</t>
  </si>
  <si>
    <t>000000008000002492</t>
  </si>
  <si>
    <t>208K17A  GWM V71 DKAB A状态</t>
  </si>
  <si>
    <t>H20632 H21018 H30732</t>
  </si>
  <si>
    <t>丝网印刷</t>
  </si>
  <si>
    <t>201K03C</t>
  </si>
  <si>
    <t>000000008000002717</t>
  </si>
  <si>
    <t>201K03C FORD CD542 DKAB C状态</t>
  </si>
  <si>
    <t xml:space="preserve">H40232 H30732 </t>
  </si>
  <si>
    <t>209K19B</t>
  </si>
  <si>
    <t>000000008000003659</t>
  </si>
  <si>
    <r>
      <rPr>
        <sz val="10"/>
        <rFont val="宋体"/>
        <charset val="134"/>
      </rPr>
      <t xml:space="preserve">U6 </t>
    </r>
    <r>
      <rPr>
        <sz val="16"/>
        <color rgb="FFFF0000"/>
        <rFont val="宋体"/>
        <charset val="134"/>
      </rPr>
      <t>P</t>
    </r>
    <r>
      <rPr>
        <sz val="10"/>
        <rFont val="宋体"/>
        <charset val="134"/>
      </rPr>
      <t>KAB   B状态</t>
    </r>
  </si>
  <si>
    <t>H30432 H30732 H40232 H41132</t>
  </si>
  <si>
    <t>209K18B</t>
  </si>
  <si>
    <t>000000008000003658</t>
  </si>
  <si>
    <r>
      <rPr>
        <sz val="10"/>
        <rFont val="宋体"/>
        <charset val="134"/>
      </rPr>
      <t xml:space="preserve">U6 </t>
    </r>
    <r>
      <rPr>
        <sz val="14"/>
        <color rgb="FFFF0000"/>
        <rFont val="宋体"/>
        <charset val="134"/>
      </rPr>
      <t>D</t>
    </r>
    <r>
      <rPr>
        <sz val="10"/>
        <rFont val="宋体"/>
        <charset val="134"/>
      </rPr>
      <t>KAB B状态</t>
    </r>
  </si>
  <si>
    <t>S5172</t>
  </si>
  <si>
    <t>S0102线</t>
  </si>
  <si>
    <t>203P16B</t>
  </si>
  <si>
    <t>Tesla PAB B状态</t>
  </si>
  <si>
    <t>生产线已拆售后减业务通知在做</t>
  </si>
  <si>
    <t>203P16A</t>
  </si>
  <si>
    <t>203P16A.Tesla PAB A状态 波兰</t>
  </si>
  <si>
    <t>生产线已拆2024年10月10日已经收尾完</t>
  </si>
  <si>
    <t>S5181</t>
  </si>
  <si>
    <t>252F004</t>
  </si>
  <si>
    <t>000000008000004568</t>
  </si>
  <si>
    <t>F1L FCAB</t>
  </si>
  <si>
    <t>P31141 H21038 H23932 P40241</t>
  </si>
  <si>
    <t>600/拖</t>
  </si>
  <si>
    <t>24CF058L</t>
  </si>
  <si>
    <t>000000008000004696</t>
  </si>
  <si>
    <t>E02 FCA LH</t>
  </si>
  <si>
    <t>H21912 P31141 H21038 P40241</t>
  </si>
  <si>
    <t>24CF058R</t>
  </si>
  <si>
    <t>000000008000004697</t>
  </si>
  <si>
    <t>E02 FCA RH</t>
  </si>
  <si>
    <t>S5182</t>
  </si>
  <si>
    <t>248K019A</t>
  </si>
  <si>
    <t>000000008000004724</t>
  </si>
  <si>
    <t>FORD CX835 KAB A状态</t>
  </si>
  <si>
    <t>P31141 H21038 P40841 H23932</t>
  </si>
  <si>
    <t>S5211</t>
  </si>
  <si>
    <t>259S103L</t>
  </si>
  <si>
    <t>000000008000004814</t>
  </si>
  <si>
    <t>IM S31L RSAB L</t>
  </si>
  <si>
    <t>P60119 P42041</t>
  </si>
  <si>
    <t>259S103R</t>
  </si>
  <si>
    <t>000000008000004815</t>
  </si>
  <si>
    <t>IM S31L RSAB R</t>
  </si>
  <si>
    <t>246S061L</t>
  </si>
  <si>
    <t>000000008000005003</t>
  </si>
  <si>
    <t>GEELY HS11-P SAB L</t>
  </si>
  <si>
    <t>P60119 H61642</t>
  </si>
  <si>
    <t>246S061R</t>
  </si>
  <si>
    <t>000000008000005004</t>
  </si>
  <si>
    <t>GEELY HS11-P SAB R</t>
  </si>
  <si>
    <t>25BS128L</t>
  </si>
  <si>
    <t>000000008000005071</t>
  </si>
  <si>
    <t>JH-C RSAB LH</t>
  </si>
  <si>
    <t>H21012 H61642</t>
  </si>
  <si>
    <t>25BS128R</t>
  </si>
  <si>
    <t>000000008000005072</t>
  </si>
  <si>
    <t>JH-C RSAB RH</t>
  </si>
  <si>
    <t>258S099L</t>
  </si>
  <si>
    <t>000000008000004831</t>
  </si>
  <si>
    <t>SGMW F510S SAB-国内 LH</t>
  </si>
  <si>
    <t>258S099R</t>
  </si>
  <si>
    <t>000000008000004832</t>
  </si>
  <si>
    <t>SGMW F510S SAB-国内 RH</t>
  </si>
  <si>
    <t>BYD UG FSAB L</t>
  </si>
  <si>
    <t>24AS164L</t>
  </si>
  <si>
    <t>BYD UG FSAB R</t>
  </si>
  <si>
    <t>24AS164R</t>
  </si>
  <si>
    <t>V32 RSAB LH</t>
  </si>
  <si>
    <t>266S072L</t>
  </si>
  <si>
    <t>V32 RSAB RH</t>
  </si>
  <si>
    <t>266S072R</t>
  </si>
  <si>
    <t>S5221</t>
  </si>
  <si>
    <t>173S15L</t>
  </si>
  <si>
    <t>000000008000001152</t>
  </si>
  <si>
    <t>173S15L Audi C8 SAB L</t>
  </si>
  <si>
    <t>P40431 P31141</t>
  </si>
  <si>
    <t>10收尾
与共线</t>
  </si>
  <si>
    <t>173S15R</t>
  </si>
  <si>
    <t>000000008000001153</t>
  </si>
  <si>
    <t>173S15R Audi C8 SAB R</t>
  </si>
  <si>
    <t>167S26CL</t>
  </si>
  <si>
    <t>000000008000002771</t>
  </si>
  <si>
    <t>ES8 SAB LH（埃）</t>
  </si>
  <si>
    <t>167S26CR</t>
  </si>
  <si>
    <t>000000008000002772</t>
  </si>
  <si>
    <t>ES8 SAB RH（埃）</t>
  </si>
  <si>
    <t>S5231</t>
  </si>
  <si>
    <t>17BS57AL</t>
  </si>
  <si>
    <t>000000008000002775</t>
  </si>
  <si>
    <t>GEELY VF11 FSAB LH（埃）</t>
  </si>
  <si>
    <t>H40242 H41132 H22412</t>
  </si>
  <si>
    <t>17BS57AR</t>
  </si>
  <si>
    <t>000000008000002776</t>
  </si>
  <si>
    <t>GEELY VF11 FSAB RH（埃）</t>
  </si>
  <si>
    <t>224S028AL</t>
  </si>
  <si>
    <t>000000008000003638</t>
  </si>
  <si>
    <t>GEELY FS12 SAB LH A状态</t>
  </si>
  <si>
    <t>H20632 H41132 P41331</t>
  </si>
  <si>
    <t>2024年10月23号通知最后收尾10月19号收尾完成20241018业务通知暂停生产20241220业务通知取消EOP</t>
  </si>
  <si>
    <t>224S028AR</t>
  </si>
  <si>
    <t>000000008000003639</t>
  </si>
  <si>
    <t>GEELY FS12 SAB RH A状态</t>
  </si>
  <si>
    <t>173S14AL</t>
  </si>
  <si>
    <t>000000008000002773</t>
  </si>
  <si>
    <t>GEELY FE-6 SAB LH</t>
  </si>
  <si>
    <t>H40212 H41132 H22411</t>
  </si>
  <si>
    <t>173S14AR</t>
  </si>
  <si>
    <t>000000008000002774</t>
  </si>
  <si>
    <t>GEELY FE-6 SAB RH</t>
  </si>
  <si>
    <t>S5241</t>
  </si>
  <si>
    <t>181S05AL</t>
  </si>
  <si>
    <t>000000008000002872</t>
  </si>
  <si>
    <t>181S05L NL-3B SAB L</t>
  </si>
  <si>
    <t>181S05AR</t>
  </si>
  <si>
    <t>000000008000002873</t>
  </si>
  <si>
    <t>N181S05R NL-3B SAB R</t>
  </si>
  <si>
    <t>166S24BL</t>
  </si>
  <si>
    <t>000000008000002689</t>
  </si>
  <si>
    <t>M31T SAB LH(INVISTA面料)</t>
  </si>
  <si>
    <t>H11612 H20642</t>
  </si>
  <si>
    <t>166S24BR</t>
  </si>
  <si>
    <t>000000008000002690</t>
  </si>
  <si>
    <t>M31T SAB RH(INVISTA面料)</t>
  </si>
  <si>
    <t>176S35AL</t>
  </si>
  <si>
    <t>000000008000002769</t>
  </si>
  <si>
    <t>176S35 L  FE-5A SAB L</t>
  </si>
  <si>
    <t>H40232 H41132 H22411</t>
  </si>
  <si>
    <t>2024年产品已经没有量</t>
  </si>
  <si>
    <t>176S35AR</t>
  </si>
  <si>
    <t>000000008000002770</t>
  </si>
  <si>
    <t>FE-5A SAB RH</t>
  </si>
  <si>
    <t>S5261</t>
  </si>
  <si>
    <t>175S27L</t>
  </si>
  <si>
    <t>000000008000000994</t>
  </si>
  <si>
    <t>NMS NF SAB L</t>
  </si>
  <si>
    <t>H31942 P40431 H21012</t>
  </si>
  <si>
    <t>175S27R</t>
  </si>
  <si>
    <t>000000008000000995</t>
  </si>
  <si>
    <t>NMS NF SAB R</t>
  </si>
  <si>
    <t>207S48L</t>
  </si>
  <si>
    <t>000000008000002330</t>
  </si>
  <si>
    <t>SVW VW421 1CS SAB L</t>
  </si>
  <si>
    <t>207S48R</t>
  </si>
  <si>
    <t>000000008000002331</t>
  </si>
  <si>
    <t>SVW VW421 1CS SAB R</t>
  </si>
  <si>
    <t>S5271</t>
  </si>
  <si>
    <t>122S01BL</t>
  </si>
  <si>
    <t>000000008000003496</t>
  </si>
  <si>
    <t>CFMA J53R SAB B状态 L</t>
  </si>
  <si>
    <t>H10332 H41132 H22412</t>
  </si>
  <si>
    <t>122S01BR</t>
  </si>
  <si>
    <t>000000008000003497</t>
  </si>
  <si>
    <t>CFMA J53R SAB B状态 R</t>
  </si>
  <si>
    <t>246S068L</t>
  </si>
  <si>
    <t>000000008000004263</t>
  </si>
  <si>
    <r>
      <rPr>
        <sz val="10"/>
        <rFont val="宋体"/>
        <charset val="134"/>
      </rPr>
      <t xml:space="preserve">SGMW F710C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>SAB LH</t>
    </r>
  </si>
  <si>
    <t>246S068R</t>
  </si>
  <si>
    <t>000000008000004264</t>
  </si>
  <si>
    <r>
      <rPr>
        <sz val="10"/>
        <rFont val="宋体"/>
        <charset val="134"/>
      </rPr>
      <t xml:space="preserve">SGMW F710C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>SAB RH</t>
    </r>
  </si>
  <si>
    <t>000000008000004442</t>
  </si>
  <si>
    <t>BYD UG FSAB LH</t>
  </si>
  <si>
    <t>P60119 H61642 H61732</t>
  </si>
  <si>
    <t>000000008000004443</t>
  </si>
  <si>
    <t>BYD UG FSAB RH</t>
  </si>
  <si>
    <t>246S060L</t>
  </si>
  <si>
    <t>000000008000004261</t>
  </si>
  <si>
    <r>
      <rPr>
        <sz val="10"/>
        <rFont val="宋体"/>
        <charset val="134"/>
      </rPr>
      <t xml:space="preserve">SGMW F710C </t>
    </r>
    <r>
      <rPr>
        <sz val="18"/>
        <color rgb="FFFF0000"/>
        <rFont val="宋体"/>
        <charset val="134"/>
      </rPr>
      <t>R</t>
    </r>
    <r>
      <rPr>
        <sz val="10"/>
        <rFont val="宋体"/>
        <charset val="134"/>
      </rPr>
      <t>SAB L</t>
    </r>
  </si>
  <si>
    <t>246S060R</t>
  </si>
  <si>
    <t>000000008000004262</t>
  </si>
  <si>
    <r>
      <rPr>
        <sz val="10"/>
        <rFont val="宋体"/>
        <charset val="134"/>
      </rPr>
      <t xml:space="preserve">SGMW F710C </t>
    </r>
    <r>
      <rPr>
        <sz val="18"/>
        <color rgb="FFFF0000"/>
        <rFont val="宋体"/>
        <charset val="134"/>
      </rPr>
      <t>R</t>
    </r>
    <r>
      <rPr>
        <sz val="10"/>
        <rFont val="宋体"/>
        <charset val="134"/>
      </rPr>
      <t>SAB R</t>
    </r>
  </si>
  <si>
    <t>SAIC IM S31L RSAB LH</t>
  </si>
  <si>
    <t>SAIC IM S31L RSAB RH</t>
  </si>
  <si>
    <t>S5281</t>
  </si>
  <si>
    <t>185S21L</t>
  </si>
  <si>
    <t>000000008000001850</t>
  </si>
  <si>
    <r>
      <rPr>
        <sz val="10"/>
        <rFont val="宋体"/>
        <charset val="134"/>
      </rPr>
      <t xml:space="preserve">SAIC IP32 SAB L    </t>
    </r>
    <r>
      <rPr>
        <sz val="10"/>
        <color rgb="FFFF0000"/>
        <rFont val="宋体"/>
        <charset val="134"/>
      </rPr>
      <t>延锋智能</t>
    </r>
  </si>
  <si>
    <t>P40431 H41132 H21012</t>
  </si>
  <si>
    <t>尽量两个班切换</t>
  </si>
  <si>
    <t>185S21R</t>
  </si>
  <si>
    <t>000000008000001851</t>
  </si>
  <si>
    <r>
      <rPr>
        <sz val="10"/>
        <rFont val="宋体"/>
        <charset val="134"/>
      </rPr>
      <t xml:space="preserve">SAIC IP32 SAB R    </t>
    </r>
    <r>
      <rPr>
        <sz val="10"/>
        <color rgb="FFFF0000"/>
        <rFont val="宋体"/>
        <charset val="134"/>
      </rPr>
      <t>延锋智能</t>
    </r>
  </si>
  <si>
    <t>S5291</t>
  </si>
  <si>
    <t>18CS45L</t>
  </si>
  <si>
    <t>000000008000001893</t>
  </si>
  <si>
    <t>MAZDA J59R SAB L</t>
  </si>
  <si>
    <t>H20642 P40431 H22412</t>
  </si>
  <si>
    <t>18CS45R</t>
  </si>
  <si>
    <t>000000008000001894</t>
  </si>
  <si>
    <t>MAZDA J59R SAB R</t>
  </si>
  <si>
    <t>187S29AL</t>
  </si>
  <si>
    <r>
      <rPr>
        <sz val="10"/>
        <rFont val="宋体"/>
        <charset val="134"/>
      </rPr>
      <t xml:space="preserve">187S29AL J59C </t>
    </r>
    <r>
      <rPr>
        <sz val="18"/>
        <color rgb="FFFF0000"/>
        <rFont val="宋体"/>
        <charset val="134"/>
      </rPr>
      <t>WS</t>
    </r>
    <r>
      <rPr>
        <sz val="10"/>
        <rFont val="宋体"/>
        <charset val="134"/>
      </rPr>
      <t xml:space="preserve"> SAB L</t>
    </r>
  </si>
  <si>
    <t>H40242 P40431 H22412</t>
  </si>
  <si>
    <t>187S29AR</t>
  </si>
  <si>
    <r>
      <rPr>
        <sz val="10"/>
        <rFont val="宋体"/>
        <charset val="134"/>
      </rPr>
      <t xml:space="preserve">187S29AR J59C </t>
    </r>
    <r>
      <rPr>
        <sz val="18"/>
        <color rgb="FFFF0000"/>
        <rFont val="宋体"/>
        <charset val="134"/>
      </rPr>
      <t>WS</t>
    </r>
    <r>
      <rPr>
        <sz val="10"/>
        <rFont val="宋体"/>
        <charset val="134"/>
      </rPr>
      <t xml:space="preserve"> SAB R</t>
    </r>
  </si>
  <si>
    <t>S5311</t>
  </si>
  <si>
    <t>174D18A</t>
  </si>
  <si>
    <t>000000008000001888</t>
  </si>
  <si>
    <t>174D18A  GM GEM JBSC DAB  A状态</t>
  </si>
  <si>
    <t>H40242 H21012</t>
  </si>
  <si>
    <t>S5321</t>
  </si>
  <si>
    <t>182D09A</t>
  </si>
  <si>
    <t>000000008000005111</t>
  </si>
  <si>
    <r>
      <rPr>
        <sz val="10"/>
        <rFont val="宋体"/>
        <charset val="134"/>
      </rPr>
      <t xml:space="preserve">IP32 DAB  A状态 </t>
    </r>
    <r>
      <rPr>
        <sz val="10"/>
        <color rgb="FFFF0000"/>
        <rFont val="宋体"/>
        <charset val="134"/>
      </rPr>
      <t>延锋智能</t>
    </r>
  </si>
  <si>
    <t>H30632 H40242 P30941 P10241</t>
  </si>
  <si>
    <t xml:space="preserve">ZS12 MCE </t>
  </si>
  <si>
    <t>206D39</t>
  </si>
  <si>
    <t>R&amp;D DAB</t>
  </si>
  <si>
    <t>19CD87</t>
  </si>
  <si>
    <t>IM31 DAB</t>
  </si>
  <si>
    <t>206D38</t>
  </si>
  <si>
    <t>AP32 DAB</t>
  </si>
  <si>
    <t>S5331</t>
  </si>
  <si>
    <t>189D45B</t>
  </si>
  <si>
    <t>FAW TCROSS DAB B状态</t>
  </si>
  <si>
    <t xml:space="preserve">H11732 H21232 P60119 H11612 </t>
  </si>
  <si>
    <t>20240305通知EOP按售后件</t>
  </si>
  <si>
    <t>H11732</t>
  </si>
  <si>
    <t>H21232</t>
  </si>
  <si>
    <t>192D03</t>
  </si>
  <si>
    <t>192D03 SAIC EX21 DAB</t>
  </si>
  <si>
    <t>P30941 P20341</t>
  </si>
  <si>
    <t>S5341</t>
  </si>
  <si>
    <t xml:space="preserve">BMW G58 RSAB LH </t>
  </si>
  <si>
    <t>242S017L</t>
  </si>
  <si>
    <t xml:space="preserve">BMW G58 RSAB RH </t>
  </si>
  <si>
    <t>242S017R</t>
  </si>
  <si>
    <r>
      <rPr>
        <sz val="10"/>
        <rFont val="宋体"/>
        <charset val="134"/>
      </rPr>
      <t xml:space="preserve">BMW G58 </t>
    </r>
    <r>
      <rPr>
        <sz val="22"/>
        <color rgb="FFFF0000"/>
        <rFont val="宋体"/>
        <charset val="134"/>
      </rPr>
      <t>F</t>
    </r>
    <r>
      <rPr>
        <sz val="10"/>
        <rFont val="宋体"/>
        <charset val="134"/>
      </rPr>
      <t xml:space="preserve">SAB LH </t>
    </r>
  </si>
  <si>
    <t>242S016L</t>
  </si>
  <si>
    <r>
      <rPr>
        <sz val="10"/>
        <rFont val="宋体"/>
        <charset val="134"/>
      </rPr>
      <t xml:space="preserve">BMW G58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 xml:space="preserve">SAB RH </t>
    </r>
  </si>
  <si>
    <t>242S016R</t>
  </si>
  <si>
    <t xml:space="preserve">BMW G58 FCAB CN LHD </t>
  </si>
  <si>
    <t>242F005L</t>
  </si>
  <si>
    <t>S5351</t>
  </si>
  <si>
    <t>24BF041BL</t>
  </si>
  <si>
    <t>000000008000005180</t>
  </si>
  <si>
    <t>SQHB-C FAB LH B状态</t>
  </si>
  <si>
    <t>24BF041BR</t>
  </si>
  <si>
    <t>000000008000005181</t>
  </si>
  <si>
    <t>SQHB-C FAB RH B状态</t>
  </si>
  <si>
    <t>25AF042L</t>
  </si>
  <si>
    <t>000000008000004974</t>
  </si>
  <si>
    <t>SHHA FAB LH</t>
  </si>
  <si>
    <t>H21012 H60531 P41331 H50741</t>
  </si>
  <si>
    <t>25AF042R</t>
  </si>
  <si>
    <t>000000008000004975</t>
  </si>
  <si>
    <t>SHHA FAB RH</t>
  </si>
  <si>
    <t>248F026CL</t>
  </si>
  <si>
    <t>000000008000005268</t>
  </si>
  <si>
    <r>
      <rPr>
        <sz val="10"/>
        <rFont val="宋体"/>
        <charset val="134"/>
      </rPr>
      <t>SQHB</t>
    </r>
    <r>
      <rPr>
        <sz val="18"/>
        <color rgb="FFFF0000"/>
        <rFont val="宋体"/>
        <charset val="134"/>
      </rPr>
      <t>-A</t>
    </r>
    <r>
      <rPr>
        <sz val="10"/>
        <rFont val="宋体"/>
        <charset val="134"/>
      </rPr>
      <t xml:space="preserve"> FAB LH C状态</t>
    </r>
  </si>
  <si>
    <t>248F026CR</t>
  </si>
  <si>
    <t>000000008000005269</t>
  </si>
  <si>
    <r>
      <rPr>
        <sz val="10"/>
        <rFont val="宋体"/>
        <charset val="134"/>
      </rPr>
      <t>SQHB</t>
    </r>
    <r>
      <rPr>
        <sz val="18"/>
        <color rgb="FFFF0000"/>
        <rFont val="宋体"/>
        <charset val="134"/>
      </rPr>
      <t>-A</t>
    </r>
    <r>
      <rPr>
        <sz val="10"/>
        <rFont val="宋体"/>
        <charset val="134"/>
      </rPr>
      <t xml:space="preserve"> FAB RH C状态</t>
    </r>
  </si>
  <si>
    <t>25AF040L</t>
  </si>
  <si>
    <t>000000008000004972</t>
  </si>
  <si>
    <t>QZHF FAB LH</t>
  </si>
  <si>
    <t>296首次大货出货量</t>
  </si>
  <si>
    <t>25AF040R</t>
  </si>
  <si>
    <t>000000008000004973</t>
  </si>
  <si>
    <t>QZHF FAB RH</t>
  </si>
  <si>
    <t>23CF039L</t>
  </si>
  <si>
    <t>000000008000004277</t>
  </si>
  <si>
    <t>HTH FAB L</t>
  </si>
  <si>
    <t>HTH FAB LH A状态</t>
  </si>
  <si>
    <t>23CF039AL</t>
  </si>
  <si>
    <t>243F007L</t>
  </si>
  <si>
    <t>000000008000004158</t>
  </si>
  <si>
    <t>SQHB FAB LH</t>
  </si>
  <si>
    <t>20250929业务通知11月没有量了</t>
  </si>
  <si>
    <t>6107线拆了就再5351</t>
  </si>
  <si>
    <t>SFHAU FAB LH</t>
  </si>
  <si>
    <t>24CF057L</t>
  </si>
  <si>
    <t>SFHAU FAB RH</t>
  </si>
  <si>
    <t>24CF057R</t>
  </si>
  <si>
    <t>SGHL FAB LH</t>
  </si>
  <si>
    <t>25AF041L</t>
  </si>
  <si>
    <t>SGHL FAB RH</t>
  </si>
  <si>
    <t>25AF041R</t>
  </si>
  <si>
    <t>S5361</t>
  </si>
  <si>
    <t>216S034L</t>
  </si>
  <si>
    <t>000000008000002640</t>
  </si>
  <si>
    <t>SVW Lavida MP22 SAB LH</t>
  </si>
  <si>
    <t>P40431 H40242 H21012</t>
  </si>
  <si>
    <t>216S034R</t>
  </si>
  <si>
    <t>000000008000002641</t>
  </si>
  <si>
    <t>SVW Lavida MP22 SAB RH</t>
  </si>
  <si>
    <t>188S36AL</t>
  </si>
  <si>
    <t>000000008000002073</t>
  </si>
  <si>
    <t>POLO SAB L A状态</t>
  </si>
  <si>
    <t>188S36AR</t>
  </si>
  <si>
    <t>000000008000002074</t>
  </si>
  <si>
    <t>POLO SAB R A状态</t>
  </si>
  <si>
    <t>192S08L</t>
  </si>
  <si>
    <t>000000008000002046</t>
  </si>
  <si>
    <t>Tharu BEV SAB L</t>
  </si>
  <si>
    <t>H20632 P40431 H41132 H22412</t>
  </si>
  <si>
    <t>192S08R</t>
  </si>
  <si>
    <t>000000008000002047</t>
  </si>
  <si>
    <t>Tharu BEV SAB R</t>
  </si>
  <si>
    <t>四课</t>
  </si>
  <si>
    <t>D3</t>
  </si>
  <si>
    <t>S6001</t>
  </si>
  <si>
    <t>245F013</t>
  </si>
  <si>
    <t>000000008000004367</t>
  </si>
  <si>
    <t>NIO Blanc FCA</t>
  </si>
  <si>
    <t>H40232 H21912 H24018</t>
  </si>
  <si>
    <t>900其中补片收尾</t>
  </si>
  <si>
    <t>2025年7月21号开始H40232开始加L</t>
  </si>
  <si>
    <t>S6002</t>
  </si>
  <si>
    <t>245F015A</t>
  </si>
  <si>
    <t>000000008000004474</t>
  </si>
  <si>
    <t>L946 FCA A状态</t>
  </si>
  <si>
    <t>H30432 H40742 H41132 H21912</t>
  </si>
  <si>
    <t>D1</t>
  </si>
  <si>
    <t>LD-49</t>
  </si>
  <si>
    <t>THAMP2 PAB 左侧半成品</t>
  </si>
  <si>
    <t>LD49A</t>
  </si>
  <si>
    <t>THAMP2 PAB 右侧半成品</t>
  </si>
  <si>
    <t>S6003</t>
  </si>
  <si>
    <t>HONDA THAMP2 PAB</t>
  </si>
  <si>
    <t>245P065</t>
  </si>
  <si>
    <t>LD40A</t>
  </si>
  <si>
    <t>218C035T</t>
  </si>
  <si>
    <t>EM2E-T CAB 拉带</t>
  </si>
  <si>
    <t>LD-40</t>
  </si>
  <si>
    <t>218C035Q</t>
  </si>
  <si>
    <t>EM2E-T CAB 导气袋</t>
  </si>
  <si>
    <t>218C035L</t>
  </si>
  <si>
    <t>EM2E-T CAB LH</t>
  </si>
  <si>
    <t xml:space="preserve">P40431 P41731 P41331 P31141 </t>
  </si>
  <si>
    <t>218C035R</t>
  </si>
  <si>
    <t>EM2E-T CAB RH</t>
  </si>
  <si>
    <t>22BC032T</t>
  </si>
  <si>
    <t>EM2E-S CAB 拉带</t>
  </si>
  <si>
    <t>22BC032Q</t>
  </si>
  <si>
    <t>EM2E-S CAB 导气袋</t>
  </si>
  <si>
    <t>22BC032L</t>
  </si>
  <si>
    <t>EM2E-S CAB LH</t>
  </si>
  <si>
    <t>P40431 P41731 P41331 P31141</t>
  </si>
  <si>
    <t>22BC032R</t>
  </si>
  <si>
    <t>EM2E-S CAB RH</t>
  </si>
  <si>
    <t>A3F CAB LH</t>
  </si>
  <si>
    <t>229C023L</t>
  </si>
  <si>
    <t>A3F CAB RH</t>
  </si>
  <si>
    <t>229C023R</t>
  </si>
  <si>
    <t>C11 CAB LH</t>
  </si>
  <si>
    <t>228C016L</t>
  </si>
  <si>
    <t>C11 CAB RH</t>
  </si>
  <si>
    <t>228C016R</t>
  </si>
  <si>
    <t>S6004</t>
  </si>
  <si>
    <t>265D050</t>
  </si>
  <si>
    <t>000000008000005273</t>
  </si>
  <si>
    <r>
      <rPr>
        <sz val="10"/>
        <rFont val="宋体"/>
        <charset val="134"/>
      </rPr>
      <t xml:space="preserve">CM1E </t>
    </r>
    <r>
      <rPr>
        <sz val="16"/>
        <color rgb="FFFF0000"/>
        <rFont val="宋体"/>
        <charset val="134"/>
      </rPr>
      <t>US</t>
    </r>
    <r>
      <rPr>
        <sz val="10"/>
        <rFont val="宋体"/>
        <charset val="134"/>
      </rPr>
      <t xml:space="preserve"> DAB</t>
    </r>
  </si>
  <si>
    <t>H31232 H40732 H41612 P31141</t>
  </si>
  <si>
    <t>245D030</t>
  </si>
  <si>
    <t>000000008000004479</t>
  </si>
  <si>
    <t>V446K DAB</t>
  </si>
  <si>
    <t>H30732 H40232 P31141</t>
  </si>
  <si>
    <t>239D048</t>
  </si>
  <si>
    <t>000000008000004113</t>
  </si>
  <si>
    <t>GEELY E335 DAB</t>
  </si>
  <si>
    <t>233D008B</t>
  </si>
  <si>
    <t>000000008000004514</t>
  </si>
  <si>
    <t>CM1E DAB B状态</t>
  </si>
  <si>
    <t>22AD040</t>
  </si>
  <si>
    <t>000000008000004005</t>
  </si>
  <si>
    <t>GEELY XE08 DAB</t>
  </si>
  <si>
    <t>H30732 H20632</t>
  </si>
  <si>
    <t>Xpeng X3 DAB</t>
  </si>
  <si>
    <t>246D037</t>
  </si>
  <si>
    <t>S6005</t>
  </si>
  <si>
    <t>23AF029B</t>
  </si>
  <si>
    <t>000000008000004880</t>
  </si>
  <si>
    <t>HKHA FCA  B状态</t>
  </si>
  <si>
    <t>24BF045BL</t>
  </si>
  <si>
    <t>000000008000004881</t>
  </si>
  <si>
    <r>
      <rPr>
        <sz val="10"/>
        <rFont val="宋体"/>
        <charset val="134"/>
      </rPr>
      <t xml:space="preserve">HKHA </t>
    </r>
    <r>
      <rPr>
        <sz val="16"/>
        <color rgb="FFFF0000"/>
        <rFont val="宋体"/>
        <charset val="134"/>
      </rPr>
      <t>EU</t>
    </r>
    <r>
      <rPr>
        <sz val="10"/>
        <rFont val="宋体"/>
        <charset val="134"/>
      </rPr>
      <t xml:space="preserve"> FCA LH    B状态</t>
    </r>
  </si>
  <si>
    <t>24BF045BR</t>
  </si>
  <si>
    <t>000000008000004882</t>
  </si>
  <si>
    <r>
      <rPr>
        <sz val="10"/>
        <rFont val="宋体"/>
        <charset val="134"/>
      </rPr>
      <t xml:space="preserve">HKHA </t>
    </r>
    <r>
      <rPr>
        <sz val="14"/>
        <color rgb="FFFF0000"/>
        <rFont val="宋体"/>
        <charset val="134"/>
      </rPr>
      <t>EU</t>
    </r>
    <r>
      <rPr>
        <sz val="10"/>
        <rFont val="宋体"/>
        <charset val="134"/>
      </rPr>
      <t xml:space="preserve"> FCA RH    B状态</t>
    </r>
  </si>
  <si>
    <t>257F025</t>
  </si>
  <si>
    <t>000000008000004826</t>
  </si>
  <si>
    <t>HKHAR FCA</t>
  </si>
  <si>
    <t>WK2C FCAB</t>
  </si>
  <si>
    <t>261F007</t>
  </si>
  <si>
    <t>50打样打样室做.</t>
  </si>
  <si>
    <t>S6006</t>
  </si>
  <si>
    <t>223D010</t>
  </si>
  <si>
    <t>000000008000004059</t>
  </si>
  <si>
    <t>BENZ V5x DAB</t>
  </si>
  <si>
    <t>H30632 H40232 H40742 H24212</t>
  </si>
  <si>
    <t>258D050</t>
  </si>
  <si>
    <t>000000008000004864</t>
  </si>
  <si>
    <t>BENZ X244 X248 DAB</t>
  </si>
  <si>
    <t>H30632 H40742 H24212 H20632L</t>
  </si>
  <si>
    <t>D2</t>
  </si>
  <si>
    <t>S6101</t>
  </si>
  <si>
    <t>217D029B</t>
  </si>
  <si>
    <t>000000008000003995</t>
  </si>
  <si>
    <t>GWM J01 CN DAB B状态</t>
  </si>
  <si>
    <t>22BD046A</t>
  </si>
  <si>
    <t>000000008000004018</t>
  </si>
  <si>
    <t>GWM J05 CN DAB A状态</t>
  </si>
  <si>
    <t>218D034</t>
  </si>
  <si>
    <t>000000008000002991</t>
  </si>
  <si>
    <t>GWM EC24 DAB</t>
  </si>
  <si>
    <t>H20632 H31232</t>
  </si>
  <si>
    <t>218D039</t>
  </si>
  <si>
    <t>000000008000003051</t>
  </si>
  <si>
    <t>Xpeng E38 DAB</t>
  </si>
  <si>
    <t>H30732 H20632 H41612 H24212</t>
  </si>
  <si>
    <t>22CD051</t>
  </si>
  <si>
    <t>000000008000003739</t>
  </si>
  <si>
    <t>XPENG H93 DAB</t>
  </si>
  <si>
    <t>S6102</t>
  </si>
  <si>
    <t>218S051L</t>
  </si>
  <si>
    <t>000000008000003336</t>
  </si>
  <si>
    <t>GAC A79 FSAB L</t>
  </si>
  <si>
    <t>H20932 H31232</t>
  </si>
  <si>
    <t>218S051R</t>
  </si>
  <si>
    <t>000000008000003337</t>
  </si>
  <si>
    <t>GAC A79 FSAB R</t>
  </si>
  <si>
    <t>221S006AL</t>
  </si>
  <si>
    <t>000000008000003590</t>
  </si>
  <si>
    <t>VW316/8 RSAB L</t>
  </si>
  <si>
    <t>H31232 H41612</t>
  </si>
  <si>
    <t>221S006AR</t>
  </si>
  <si>
    <t>000000008000003591</t>
  </si>
  <si>
    <t>VW316/8 RSAB R</t>
  </si>
  <si>
    <t>213S015L</t>
  </si>
  <si>
    <t>000000008000003283</t>
  </si>
  <si>
    <t>LOTUS LAMBDA SAB LH</t>
  </si>
  <si>
    <t>213S015R</t>
  </si>
  <si>
    <t>000000008000003284</t>
  </si>
  <si>
    <t>LOTUS LAMBDA SAB RH</t>
  </si>
  <si>
    <t>214S026L</t>
  </si>
  <si>
    <t>000000008000003223</t>
  </si>
  <si>
    <t>HYUNDAI NU2 SAB LH</t>
  </si>
  <si>
    <t>H22642 H31242</t>
  </si>
  <si>
    <t>214S026U</t>
  </si>
  <si>
    <t>000000008000003225</t>
  </si>
  <si>
    <r>
      <rPr>
        <sz val="10"/>
        <rFont val="宋体"/>
        <charset val="134"/>
      </rPr>
      <t xml:space="preserve">HYUNDAI NU2 SAB </t>
    </r>
    <r>
      <rPr>
        <sz val="14"/>
        <color rgb="FFFF0000"/>
        <rFont val="宋体"/>
        <charset val="134"/>
      </rPr>
      <t xml:space="preserve">RH </t>
    </r>
    <r>
      <rPr>
        <sz val="12"/>
        <rFont val="宋体"/>
        <charset val="134"/>
      </rPr>
      <t>FOLD</t>
    </r>
  </si>
  <si>
    <t>214S026R</t>
  </si>
  <si>
    <t>000000008000003224</t>
  </si>
  <si>
    <r>
      <rPr>
        <sz val="10"/>
        <rFont val="宋体"/>
        <charset val="134"/>
      </rPr>
      <t xml:space="preserve">HYUNDAI NU2 SAB </t>
    </r>
    <r>
      <rPr>
        <sz val="11"/>
        <color rgb="FFFF0000"/>
        <rFont val="宋体"/>
        <charset val="134"/>
      </rPr>
      <t>RH</t>
    </r>
    <r>
      <rPr>
        <sz val="16"/>
        <color rgb="FFFF0000"/>
        <rFont val="宋体"/>
        <charset val="134"/>
      </rPr>
      <t xml:space="preserve"> </t>
    </r>
    <r>
      <rPr>
        <sz val="11"/>
        <rFont val="宋体"/>
        <charset val="134"/>
      </rPr>
      <t xml:space="preserve">MNL     </t>
    </r>
    <r>
      <rPr>
        <sz val="11"/>
        <color rgb="FFFF0000"/>
        <rFont val="宋体"/>
        <charset val="134"/>
      </rPr>
      <t>不生产</t>
    </r>
  </si>
  <si>
    <t>没有预估</t>
  </si>
  <si>
    <t>S6103</t>
  </si>
  <si>
    <t>216S031L</t>
  </si>
  <si>
    <t>000000008000003035</t>
  </si>
  <si>
    <t>VW 371/8 FSAB L</t>
  </si>
  <si>
    <t>20240511业务通知接着做老大状态，新状态暂停</t>
  </si>
  <si>
    <t>216S031R</t>
  </si>
  <si>
    <t>000000008000003036</t>
  </si>
  <si>
    <t>VW 371/8 FSAB R</t>
  </si>
  <si>
    <t>226S044AL</t>
  </si>
  <si>
    <t>000000008000004884</t>
  </si>
  <si>
    <t>BAIC N50 SAB L A状态</t>
  </si>
  <si>
    <t>P40841 H24212</t>
  </si>
  <si>
    <t>226S044AR</t>
  </si>
  <si>
    <t>000000008000004885</t>
  </si>
  <si>
    <t>BAIC N50 SAB R A状态</t>
  </si>
  <si>
    <t>256S076L</t>
  </si>
  <si>
    <t>000000008000004714</t>
  </si>
  <si>
    <t>H93AES FSAB L</t>
  </si>
  <si>
    <t>H21018 H41142</t>
  </si>
  <si>
    <t>256S076R</t>
  </si>
  <si>
    <t>000000008000004715</t>
  </si>
  <si>
    <t>H93AES FSAB R</t>
  </si>
  <si>
    <t>219S074AL</t>
  </si>
  <si>
    <t>000000008000003683</t>
  </si>
  <si>
    <t>GWM D03 SAB LH A状态</t>
  </si>
  <si>
    <t>219S074AR</t>
  </si>
  <si>
    <t>000000008000003684</t>
  </si>
  <si>
    <t>GWM D03 SAB RH A状态</t>
  </si>
  <si>
    <t>233S019CL</t>
  </si>
  <si>
    <t>000000008000004888</t>
  </si>
  <si>
    <t>XE08 RSAB LH C状态</t>
  </si>
  <si>
    <t>H40742 H21912</t>
  </si>
  <si>
    <t>233S019CR</t>
  </si>
  <si>
    <t>000000008000004889</t>
  </si>
  <si>
    <t>XE08 RSAB RH C状态</t>
  </si>
  <si>
    <t>GWM D01 SAB L</t>
  </si>
  <si>
    <t>217S042L</t>
  </si>
  <si>
    <t>GWM D01 SAB R</t>
  </si>
  <si>
    <t>217S042R</t>
  </si>
  <si>
    <t>226S044L</t>
  </si>
  <si>
    <t>BAIC N50 SAB L</t>
  </si>
  <si>
    <t>H24212 H20932</t>
  </si>
  <si>
    <t>老状态没有收尾突然变更没有提前通知业务说备货太多异常</t>
  </si>
  <si>
    <t>226S044R</t>
  </si>
  <si>
    <t>BAIC N50 SAB R</t>
  </si>
  <si>
    <t>S6104</t>
  </si>
  <si>
    <t>186S27FL</t>
  </si>
  <si>
    <t>000000008000004845</t>
  </si>
  <si>
    <t>SA3F SAB LH F状态</t>
  </si>
  <si>
    <t>P40431 P41331</t>
  </si>
  <si>
    <t>SA3F SAB RH F状态</t>
  </si>
  <si>
    <t>238S087AL</t>
  </si>
  <si>
    <t>000000008000004199</t>
  </si>
  <si>
    <t>HTH-D1 SAB LH A状态</t>
  </si>
  <si>
    <t>H21012 H21912 H50731</t>
  </si>
  <si>
    <t>20250904业务通知裁片报废</t>
  </si>
  <si>
    <t>1624按量做出货量</t>
  </si>
  <si>
    <t>238S087AR</t>
  </si>
  <si>
    <t>000000008000004200</t>
  </si>
  <si>
    <t>HTH-D1 SAB RH A状态</t>
  </si>
  <si>
    <t>1620按量做出货量</t>
  </si>
  <si>
    <t>227S057L</t>
  </si>
  <si>
    <t>000000008000003344</t>
  </si>
  <si>
    <t>X1 SAB L</t>
  </si>
  <si>
    <t>H41132 H21012 H21912</t>
  </si>
  <si>
    <t>227S057R</t>
  </si>
  <si>
    <t>000000008000003345</t>
  </si>
  <si>
    <t>X1 SAB R</t>
  </si>
  <si>
    <t>MRHD SAB D1 LH</t>
  </si>
  <si>
    <t>235S052L</t>
  </si>
  <si>
    <t>MRHD SAB D1 RH</t>
  </si>
  <si>
    <t>235S052R</t>
  </si>
  <si>
    <t>238S086L</t>
  </si>
  <si>
    <t>SZHA SAB L</t>
  </si>
  <si>
    <t>238S086R</t>
  </si>
  <si>
    <t>SZHA SAB R</t>
  </si>
  <si>
    <t>LD-41</t>
  </si>
  <si>
    <t>222P010CQ</t>
  </si>
  <si>
    <t>000000005000015311</t>
  </si>
  <si>
    <t>M3 PAB 导流袋 C状态</t>
  </si>
  <si>
    <t>S6105</t>
  </si>
  <si>
    <t>222P010C</t>
  </si>
  <si>
    <t>000000008000003917</t>
  </si>
  <si>
    <t>M3 PAB C状态</t>
  </si>
  <si>
    <t>H31242 P31141 P40841 H24212</t>
  </si>
  <si>
    <t>20260724业务通知已经EOP</t>
  </si>
  <si>
    <t>S6106</t>
  </si>
  <si>
    <t>233S017AL</t>
  </si>
  <si>
    <t>000000008000003892</t>
  </si>
  <si>
    <t>CHANGAN E12 RSAB LH A状态</t>
  </si>
  <si>
    <t>H31232 H24212</t>
  </si>
  <si>
    <t>233S017AR</t>
  </si>
  <si>
    <t>000000008000003893</t>
  </si>
  <si>
    <t>CHANGAN E12 RSAB RH A状态</t>
  </si>
  <si>
    <t>226S050L</t>
  </si>
  <si>
    <t>000000008000003646</t>
  </si>
  <si>
    <t>RENAULT BBG FSAB L</t>
  </si>
  <si>
    <t>H31242 H40742 H21912</t>
  </si>
  <si>
    <t>226S050R</t>
  </si>
  <si>
    <t>000000008000003647</t>
  </si>
  <si>
    <t>RENAULT BBG FSAB R</t>
  </si>
  <si>
    <t>22AS083L</t>
  </si>
  <si>
    <t>000000008000003681</t>
  </si>
  <si>
    <t>Xpeng H93 SAB LH</t>
  </si>
  <si>
    <t>20241012客人调查</t>
  </si>
  <si>
    <t>22AS083R</t>
  </si>
  <si>
    <t>000000008000003682</t>
  </si>
  <si>
    <t>Xpeng H93 SAB RH</t>
  </si>
  <si>
    <t>223S015L</t>
  </si>
  <si>
    <t>000000008000003886</t>
  </si>
  <si>
    <t>LIXIANG W01 SAB LH</t>
  </si>
  <si>
    <t>H20932</t>
  </si>
  <si>
    <t>223S015R</t>
  </si>
  <si>
    <t>000000008000003887</t>
  </si>
  <si>
    <t>LIXIANG W01 SAB RH</t>
  </si>
  <si>
    <t>S6107</t>
  </si>
  <si>
    <t>HTH FAB LH</t>
  </si>
  <si>
    <t>S6108</t>
  </si>
  <si>
    <t>25AP117</t>
  </si>
  <si>
    <t>000000008000004844</t>
  </si>
  <si>
    <t>H93AEVR PAB</t>
  </si>
  <si>
    <t>23BP096A</t>
  </si>
  <si>
    <t>000000008000004175</t>
  </si>
  <si>
    <t>GWM C01-1 PAB A状态</t>
  </si>
  <si>
    <t>按预估做真空包装400/箱</t>
  </si>
  <si>
    <t>C01-1 PAB B状态</t>
  </si>
  <si>
    <t>23BP096B</t>
  </si>
  <si>
    <t>C01-1 PAB C状态</t>
  </si>
  <si>
    <t>23BP096C</t>
  </si>
  <si>
    <t>22BP081E</t>
  </si>
  <si>
    <t>000000008000004793</t>
  </si>
  <si>
    <t>XPG H93 PAB E状态</t>
  </si>
  <si>
    <t>22BP081C</t>
  </si>
  <si>
    <t>XPG H93 PAB C状态</t>
  </si>
  <si>
    <t>老状态业务通知在安排</t>
  </si>
  <si>
    <t>S6109</t>
  </si>
  <si>
    <t>24AP151</t>
  </si>
  <si>
    <t>000000008000004542</t>
  </si>
  <si>
    <t>P177 PAB</t>
  </si>
  <si>
    <t>H31242  H40732 P31141</t>
  </si>
  <si>
    <t>S6201</t>
  </si>
  <si>
    <t>202P06BL</t>
  </si>
  <si>
    <t>000000008000003704</t>
  </si>
  <si>
    <t>GEELY SMART HX11 PAB LH B状态</t>
  </si>
  <si>
    <t>H31532  P60119</t>
  </si>
  <si>
    <t>6405、6403、6303</t>
  </si>
  <si>
    <t>202P06BR</t>
  </si>
  <si>
    <t>000000008000003705</t>
  </si>
  <si>
    <t>GEELY SMART HX11 PAB RH B状态</t>
  </si>
  <si>
    <t>S6202</t>
  </si>
  <si>
    <t>247S094L</t>
  </si>
  <si>
    <t>000000008000004386</t>
  </si>
  <si>
    <t>Anhui X6 RSAB L</t>
  </si>
  <si>
    <t>H31942 H21012 H40242 P40431</t>
  </si>
  <si>
    <t>通用线尽量不切换</t>
  </si>
  <si>
    <t>247S094R</t>
  </si>
  <si>
    <t>000000008000004387</t>
  </si>
  <si>
    <t>Anhui X6 RSAB R</t>
  </si>
  <si>
    <t>213S011L</t>
  </si>
  <si>
    <t>000000008000003112</t>
  </si>
  <si>
    <r>
      <rPr>
        <sz val="10"/>
        <color rgb="FFFF0000"/>
        <rFont val="宋体"/>
        <charset val="134"/>
      </rPr>
      <t xml:space="preserve">E2LB-2 </t>
    </r>
    <r>
      <rPr>
        <sz val="20"/>
        <color rgb="FFFF0000"/>
        <rFont val="宋体"/>
        <charset val="134"/>
      </rPr>
      <t>F</t>
    </r>
    <r>
      <rPr>
        <sz val="10"/>
        <color rgb="FFFF0000"/>
        <rFont val="宋体"/>
        <charset val="134"/>
      </rPr>
      <t>SAB L</t>
    </r>
  </si>
  <si>
    <t>H40242 H31942 H22412 P40431</t>
  </si>
  <si>
    <t>213S011R</t>
  </si>
  <si>
    <t>000000008000003113</t>
  </si>
  <si>
    <r>
      <rPr>
        <sz val="10"/>
        <color rgb="FFFF0000"/>
        <rFont val="宋体"/>
        <charset val="134"/>
      </rPr>
      <t xml:space="preserve">E2LB-2 </t>
    </r>
    <r>
      <rPr>
        <sz val="20"/>
        <color rgb="FFFF0000"/>
        <rFont val="宋体"/>
        <charset val="134"/>
      </rPr>
      <t>F</t>
    </r>
    <r>
      <rPr>
        <sz val="10"/>
        <color rgb="FFFF0000"/>
        <rFont val="宋体"/>
        <charset val="134"/>
      </rPr>
      <t>SAB R</t>
    </r>
  </si>
  <si>
    <t>213S012L</t>
  </si>
  <si>
    <t>000000008000003237</t>
  </si>
  <si>
    <r>
      <rPr>
        <sz val="10"/>
        <color rgb="FFFF0000"/>
        <rFont val="宋体"/>
        <charset val="134"/>
      </rPr>
      <t xml:space="preserve">E2LB-2 </t>
    </r>
    <r>
      <rPr>
        <sz val="20"/>
        <color rgb="FFFF0000"/>
        <rFont val="宋体"/>
        <charset val="134"/>
      </rPr>
      <t>R</t>
    </r>
    <r>
      <rPr>
        <sz val="10"/>
        <color rgb="FFFF0000"/>
        <rFont val="宋体"/>
        <charset val="134"/>
      </rPr>
      <t>SAB L</t>
    </r>
  </si>
  <si>
    <t>213S012R</t>
  </si>
  <si>
    <t>000000008000003238</t>
  </si>
  <si>
    <r>
      <rPr>
        <sz val="10"/>
        <color rgb="FFFF0000"/>
        <rFont val="宋体"/>
        <charset val="134"/>
      </rPr>
      <t xml:space="preserve">E2LB-2 </t>
    </r>
    <r>
      <rPr>
        <sz val="20"/>
        <color rgb="FFFF0000"/>
        <rFont val="宋体"/>
        <charset val="134"/>
      </rPr>
      <t>R</t>
    </r>
    <r>
      <rPr>
        <sz val="10"/>
        <color rgb="FFFF0000"/>
        <rFont val="宋体"/>
        <charset val="134"/>
      </rPr>
      <t>SAB R</t>
    </r>
  </si>
  <si>
    <t>S6203</t>
  </si>
  <si>
    <t>25BS124L</t>
  </si>
  <si>
    <t>000000008000005197</t>
  </si>
  <si>
    <t>Chery E0V 3ROW RSAB LH</t>
  </si>
  <si>
    <t>P31141 H41142 H24212</t>
  </si>
  <si>
    <t>25BS124R</t>
  </si>
  <si>
    <t>000000008000005198</t>
  </si>
  <si>
    <t>Chery E0V 3ROW RSAB RH</t>
  </si>
  <si>
    <t>219S073BL</t>
  </si>
  <si>
    <t>000000008000003462</t>
  </si>
  <si>
    <t>NIO Gemini SAB B状态</t>
  </si>
  <si>
    <t>H20932 H24212</t>
  </si>
  <si>
    <t>219S073BR</t>
  </si>
  <si>
    <t>000000008000003463</t>
  </si>
  <si>
    <t>228S066L</t>
  </si>
  <si>
    <t>000000008000003577</t>
  </si>
  <si>
    <t>Lyra SAB L</t>
  </si>
  <si>
    <t>228S066R</t>
  </si>
  <si>
    <t>000000008000003578</t>
  </si>
  <si>
    <t>Lyra SAB R</t>
  </si>
  <si>
    <t>213S016L</t>
  </si>
  <si>
    <t>000000008000003609</t>
  </si>
  <si>
    <t>POLESTAR P611 SAB L</t>
  </si>
  <si>
    <t>H30632 H31232 H20932</t>
  </si>
  <si>
    <t>213S016R</t>
  </si>
  <si>
    <t>000000008000003610</t>
  </si>
  <si>
    <t>POLESTAR P611 SAB R</t>
  </si>
  <si>
    <t>S6204</t>
  </si>
  <si>
    <t>217S039AL</t>
  </si>
  <si>
    <t>000000008000003211</t>
  </si>
  <si>
    <t>NIO Pegasus SAB LH A状态</t>
  </si>
  <si>
    <t>H20932 H31242 H22642</t>
  </si>
  <si>
    <t>217S039AR</t>
  </si>
  <si>
    <t>000000008000003212</t>
  </si>
  <si>
    <t>NIO Pegasus SAB RH A状态</t>
  </si>
  <si>
    <t>21BS084AL</t>
  </si>
  <si>
    <t>000000008000003597</t>
  </si>
  <si>
    <t>VW 316/8 FSAB LH A状态</t>
  </si>
  <si>
    <t>H31242 H20932</t>
  </si>
  <si>
    <t>21BS084AR</t>
  </si>
  <si>
    <t>000000008000003598</t>
  </si>
  <si>
    <t>VW 316/8 FSAB RH A状态</t>
  </si>
  <si>
    <t>218S048DL</t>
  </si>
  <si>
    <t>000000008000003900</t>
  </si>
  <si>
    <t>Changan E11 SAB LH D状态</t>
  </si>
  <si>
    <t>H31232 H41132 H24212</t>
  </si>
  <si>
    <t>218S048DR</t>
  </si>
  <si>
    <t>000000008000003901</t>
  </si>
  <si>
    <t>Changan E11 SAB RH D状态</t>
  </si>
  <si>
    <t>225S042AL</t>
  </si>
  <si>
    <t>000000008000003644</t>
  </si>
  <si>
    <t>NIO ARIES SAB LH A状态</t>
  </si>
  <si>
    <t>225S042AR</t>
  </si>
  <si>
    <t>000000008000003645</t>
  </si>
  <si>
    <t>NIO ARIES SAB RH A状态</t>
  </si>
  <si>
    <t>S6205</t>
  </si>
  <si>
    <t>247S104L</t>
  </si>
  <si>
    <t>000000008000004204</t>
  </si>
  <si>
    <t>Changan C673 ICA FSAB LH</t>
  </si>
  <si>
    <t>1000/真空</t>
  </si>
  <si>
    <t>247S104R</t>
  </si>
  <si>
    <t>000000008000004205</t>
  </si>
  <si>
    <t>Changan C673 ICA FSAB RH</t>
  </si>
  <si>
    <t>3600套/周</t>
  </si>
  <si>
    <t>234S030AL</t>
  </si>
  <si>
    <t>000000008000004208</t>
  </si>
  <si>
    <t>NIO LEO RSAB LH A状态</t>
  </si>
  <si>
    <t>6205和6306只能其中的一条线做工装只有一个</t>
  </si>
  <si>
    <t>3500套/周</t>
  </si>
  <si>
    <t>234S030AR</t>
  </si>
  <si>
    <t>000000008000004209</t>
  </si>
  <si>
    <t>NIO LEO RSAB RH A状态</t>
  </si>
  <si>
    <t>23BS116BL</t>
  </si>
  <si>
    <t>000000008000004296</t>
  </si>
  <si>
    <t>E16 FSAB LH B状态</t>
  </si>
  <si>
    <t>H31242 H41142 H24212</t>
  </si>
  <si>
    <t>20250506业务通知暂停生产</t>
  </si>
  <si>
    <t>23BS116BR</t>
  </si>
  <si>
    <t>000000008000004297</t>
  </si>
  <si>
    <t>E16 FSAB RH B状态</t>
  </si>
  <si>
    <t>22BS089AL</t>
  </si>
  <si>
    <t>000000008000003611</t>
  </si>
  <si>
    <t>Xpeng E28A SAB LH A状态</t>
  </si>
  <si>
    <t>22BS089AR</t>
  </si>
  <si>
    <t>000000008000003612</t>
  </si>
  <si>
    <t>Xpeng E28A SAB RH A状态</t>
  </si>
  <si>
    <t>235S044BL</t>
  </si>
  <si>
    <t>000000008000003915</t>
  </si>
  <si>
    <t>CHANGAN E12 FSAB LH B状态</t>
  </si>
  <si>
    <t>235S044BR</t>
  </si>
  <si>
    <t>000000008000003916</t>
  </si>
  <si>
    <t>CHANGAN E12 FSAB RH B状态</t>
  </si>
  <si>
    <t>CHANGAN E12 FSAB LH C状态</t>
  </si>
  <si>
    <t>235S044CL</t>
  </si>
  <si>
    <t>CHANGAN E12 FSAB RH C状态</t>
  </si>
  <si>
    <t>235S044CR</t>
  </si>
  <si>
    <t>GWM EC31 SAB LH A状态</t>
  </si>
  <si>
    <t>225S040AL</t>
  </si>
  <si>
    <t>GWM EC31 SAB RH A状态</t>
  </si>
  <si>
    <t>225S040AR</t>
  </si>
  <si>
    <t>S6206</t>
  </si>
  <si>
    <t>225S043BL</t>
  </si>
  <si>
    <t>000000008000003925</t>
  </si>
  <si>
    <t>M3 SAB LH B状态</t>
  </si>
  <si>
    <t>M3 SAB RH B状态</t>
  </si>
  <si>
    <t>在S3803线</t>
  </si>
  <si>
    <t>M3 SAB LH C状态</t>
  </si>
  <si>
    <t>225S043CL</t>
  </si>
  <si>
    <t>M3 SAB RH C状态</t>
  </si>
  <si>
    <t>225S043CR</t>
  </si>
  <si>
    <t>M3 SAB LH B状态（垒帝）</t>
  </si>
  <si>
    <t>M3 SAB RH B状态（垒帝）</t>
  </si>
  <si>
    <t>225S043BR</t>
  </si>
  <si>
    <t>S6301</t>
  </si>
  <si>
    <t>252S015AL</t>
  </si>
  <si>
    <t>000000008000004720</t>
  </si>
  <si>
    <t>CC1E FSAB LH A状态</t>
  </si>
  <si>
    <t>252S015AR</t>
  </si>
  <si>
    <t>000000008000004721</t>
  </si>
  <si>
    <t>CC1E FSAB RH A状态</t>
  </si>
  <si>
    <t>25BS126AL</t>
  </si>
  <si>
    <t>000000008000005051</t>
  </si>
  <si>
    <t>F520SR PT FSAB LH A状态</t>
  </si>
  <si>
    <t>H41142 H24212</t>
  </si>
  <si>
    <t>6102线.</t>
  </si>
  <si>
    <t>25BS126AR</t>
  </si>
  <si>
    <t>000000008000005052</t>
  </si>
  <si>
    <t>F520SR PT FSAB RH A状态</t>
  </si>
  <si>
    <t>20AS62CL</t>
  </si>
  <si>
    <t>000000008000003894</t>
  </si>
  <si>
    <t>LI X01 SAB LH C状态</t>
  </si>
  <si>
    <t>H41142 H31232</t>
  </si>
  <si>
    <t>20AS62CR</t>
  </si>
  <si>
    <t>000000008000003895</t>
  </si>
  <si>
    <t>LI X01 SAB RH C状态</t>
  </si>
  <si>
    <t>229S079CL</t>
  </si>
  <si>
    <t>000000008000004433</t>
  </si>
  <si>
    <t>GEELY CS1E FSAB C状态 LH</t>
  </si>
  <si>
    <t>229S079CR</t>
  </si>
  <si>
    <t>000000008000004434</t>
  </si>
  <si>
    <t>GEELY CS1E FSAB C状态 RH</t>
  </si>
  <si>
    <t>S6302</t>
  </si>
  <si>
    <t>227D024A</t>
  </si>
  <si>
    <t>000000008000003999</t>
  </si>
  <si>
    <t>SK2H DAB A状态</t>
  </si>
  <si>
    <t>H60431 H50731 H60632</t>
  </si>
  <si>
    <t>227D025A</t>
  </si>
  <si>
    <t>000000008000004000</t>
  </si>
  <si>
    <t>SGH DAB A状态</t>
  </si>
  <si>
    <t>H50731 H60431 H60632</t>
  </si>
  <si>
    <t>235D022A</t>
  </si>
  <si>
    <t>000000008000004002</t>
  </si>
  <si>
    <t>STEBU DAB A状态</t>
  </si>
  <si>
    <t>H50731 H60531 H60632</t>
  </si>
  <si>
    <t>C11 DAB   A状态</t>
  </si>
  <si>
    <t>229D037A</t>
  </si>
  <si>
    <t>S6303</t>
  </si>
  <si>
    <t>223P015A</t>
  </si>
  <si>
    <t>000000008000003689</t>
  </si>
  <si>
    <t>GWM P3011-2 PAB A状态</t>
  </si>
  <si>
    <t>6403、6405、6201</t>
  </si>
  <si>
    <t>217P052</t>
  </si>
  <si>
    <t>000000008000003518</t>
  </si>
  <si>
    <t>GWM D03 PAB</t>
  </si>
  <si>
    <t>H31232 P31141</t>
  </si>
  <si>
    <t>221P008</t>
  </si>
  <si>
    <t>000000008000003425</t>
  </si>
  <si>
    <t>GWM B07 PAB</t>
  </si>
  <si>
    <t>222P013</t>
  </si>
  <si>
    <t>000000008000003280</t>
  </si>
  <si>
    <t>GWM C01 PAB</t>
  </si>
  <si>
    <t>H31232  P31141</t>
  </si>
  <si>
    <t>GWM D01 PAB</t>
  </si>
  <si>
    <t>232P006</t>
  </si>
  <si>
    <t>S6304</t>
  </si>
  <si>
    <t>226D022B</t>
  </si>
  <si>
    <t>000000008000003858</t>
  </si>
  <si>
    <t>Volvo V216 CN DAB B状态</t>
  </si>
  <si>
    <t>H30632 H20632 H41612</t>
  </si>
  <si>
    <t>6503线.</t>
  </si>
  <si>
    <t>221D004</t>
  </si>
  <si>
    <t>000000008000003533</t>
  </si>
  <si>
    <r>
      <rPr>
        <sz val="10"/>
        <rFont val="宋体"/>
        <charset val="134"/>
      </rPr>
      <t xml:space="preserve">Volvo V216 </t>
    </r>
    <r>
      <rPr>
        <sz val="18"/>
        <color rgb="FFFF0000"/>
        <rFont val="宋体"/>
        <charset val="134"/>
      </rPr>
      <t>US</t>
    </r>
    <r>
      <rPr>
        <sz val="10"/>
        <rFont val="宋体"/>
        <charset val="134"/>
      </rPr>
      <t xml:space="preserve"> DAB</t>
    </r>
  </si>
  <si>
    <t>S6305</t>
  </si>
  <si>
    <t>233S018AL</t>
  </si>
  <si>
    <t>000000008000004008</t>
  </si>
  <si>
    <t>Changan CD701 RSAB LH A状态</t>
  </si>
  <si>
    <t>H21018 P31141 P40841 H24212</t>
  </si>
  <si>
    <t>233S018AR</t>
  </si>
  <si>
    <t>000000008000004009</t>
  </si>
  <si>
    <t>Changan CD701 RSAB RH A状态</t>
  </si>
  <si>
    <t>248S129L</t>
  </si>
  <si>
    <t>000000008000004665</t>
  </si>
  <si>
    <t>FORD CX835 FSAB LH</t>
  </si>
  <si>
    <t>248S129R</t>
  </si>
  <si>
    <t>000000008000004666</t>
  </si>
  <si>
    <t>FORD CX835 FSAB RH</t>
  </si>
  <si>
    <t>234S038L</t>
  </si>
  <si>
    <t>JIDU VENUS SAB LH</t>
  </si>
  <si>
    <t>20241213通知EOP</t>
  </si>
  <si>
    <t>234S038R</t>
  </si>
  <si>
    <t>JIDU VENUS SAB RH</t>
  </si>
  <si>
    <t>F510S PT FSAB LH</t>
  </si>
  <si>
    <t>246S074L</t>
  </si>
  <si>
    <t>F510S PT FSAB RH</t>
  </si>
  <si>
    <t>246S074R</t>
  </si>
  <si>
    <t>S6306</t>
  </si>
  <si>
    <t>235S040L</t>
  </si>
  <si>
    <t>000000008000004003</t>
  </si>
  <si>
    <t>NIO ALPS DOM SAB LH</t>
  </si>
  <si>
    <t>尽量一边做完在做另外一边</t>
  </si>
  <si>
    <t>235S040R</t>
  </si>
  <si>
    <t>000000008000004004</t>
  </si>
  <si>
    <t>NIO ALPS DOM SAB RH</t>
  </si>
  <si>
    <t>229S082L</t>
  </si>
  <si>
    <t>000000008000004251</t>
  </si>
  <si>
    <r>
      <rPr>
        <sz val="10"/>
        <rFont val="宋体"/>
        <charset val="134"/>
      </rPr>
      <t xml:space="preserve">CM1E US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>SAB LH</t>
    </r>
  </si>
  <si>
    <t>H31242 H41132</t>
  </si>
  <si>
    <t>229S082R</t>
  </si>
  <si>
    <t>000000008000004252</t>
  </si>
  <si>
    <r>
      <rPr>
        <sz val="10"/>
        <rFont val="宋体"/>
        <charset val="134"/>
      </rPr>
      <t xml:space="preserve">CM1E US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>SAB RH</t>
    </r>
  </si>
  <si>
    <t>CM1E US RSAB LH</t>
  </si>
  <si>
    <t>229S081L</t>
  </si>
  <si>
    <t>CM1E US RSAB RH</t>
  </si>
  <si>
    <t>229S081R</t>
  </si>
  <si>
    <t>228P054Q</t>
  </si>
  <si>
    <t>000000005000014000</t>
  </si>
  <si>
    <t>GEELY DX11 PAB导流袋</t>
  </si>
  <si>
    <t>H24212</t>
  </si>
  <si>
    <t>S6401</t>
  </si>
  <si>
    <t>228P054</t>
  </si>
  <si>
    <t>000000008000003654</t>
  </si>
  <si>
    <t>GEELY DX11 PAB</t>
  </si>
  <si>
    <t>H31242 H21018 P40841</t>
  </si>
  <si>
    <t>21BP076AQ</t>
  </si>
  <si>
    <t>000000005000013999</t>
  </si>
  <si>
    <t>VW 316/8 PAB 导流袋 A状态</t>
  </si>
  <si>
    <t>21BP076A</t>
  </si>
  <si>
    <t>000000008000003651</t>
  </si>
  <si>
    <t>VW 316/8 PAB A状态</t>
  </si>
  <si>
    <t>P40841 H31242</t>
  </si>
  <si>
    <t>258P077</t>
  </si>
  <si>
    <t>000000008000004824</t>
  </si>
  <si>
    <t>E15 ASE PAB</t>
  </si>
  <si>
    <t>H31242 H21912 P31141</t>
  </si>
  <si>
    <t>20CP007</t>
  </si>
  <si>
    <t>EE4 PAB</t>
  </si>
  <si>
    <t>EE4 PAB A状态</t>
  </si>
  <si>
    <t>20CP007A</t>
  </si>
  <si>
    <t>S6402</t>
  </si>
  <si>
    <t>21CF024BR</t>
  </si>
  <si>
    <t>000000008000003583</t>
  </si>
  <si>
    <t>21BF022BL</t>
  </si>
  <si>
    <t>000000008000003789</t>
  </si>
  <si>
    <r>
      <rPr>
        <sz val="12"/>
        <rFont val="宋体"/>
        <charset val="134"/>
      </rPr>
      <t>VW3168 FCAB LHD</t>
    </r>
    <r>
      <rPr>
        <sz val="10"/>
        <rFont val="宋体"/>
        <charset val="134"/>
      </rPr>
      <t xml:space="preserve">  </t>
    </r>
    <r>
      <rPr>
        <sz val="12"/>
        <rFont val="宋体"/>
        <charset val="134"/>
      </rPr>
      <t>B状态</t>
    </r>
  </si>
  <si>
    <t>21BF022BR</t>
  </si>
  <si>
    <t>000000008000003790</t>
  </si>
  <si>
    <t>VW3168 FCAB RHD  B状态</t>
  </si>
  <si>
    <t>219F016AL</t>
  </si>
  <si>
    <t>000000008000003579</t>
  </si>
  <si>
    <t>Lotus Lambda FCA DLH A状态</t>
  </si>
  <si>
    <t>H40742 H24212  H41132 H30432 H21038 85G</t>
  </si>
  <si>
    <t>219F016AR</t>
  </si>
  <si>
    <t>000000008000003580</t>
  </si>
  <si>
    <t>Lotus Lambda FCA DRH A状态</t>
  </si>
  <si>
    <t>21BS081BL</t>
  </si>
  <si>
    <t>000000008000004201</t>
  </si>
  <si>
    <t>EF1E HTSAB LH B状态</t>
  </si>
  <si>
    <t>21BS081BR</t>
  </si>
  <si>
    <t>000000008000004202</t>
  </si>
  <si>
    <t>EF1E HTSAB RH B状态</t>
  </si>
  <si>
    <t>EF1E HTSAB LH C状态</t>
  </si>
  <si>
    <t>21BS081CL</t>
  </si>
  <si>
    <t>EF1E HTSAB RH C状态</t>
  </si>
  <si>
    <t>21BS081CR</t>
  </si>
  <si>
    <t>S6403</t>
  </si>
  <si>
    <t>224P026A</t>
  </si>
  <si>
    <t>GEELY G733 PAB A状态</t>
  </si>
  <si>
    <t>S6405</t>
  </si>
  <si>
    <t>23BP097</t>
  </si>
  <si>
    <t>000000008000003994</t>
  </si>
  <si>
    <r>
      <rPr>
        <sz val="10"/>
        <color rgb="FFFF0000"/>
        <rFont val="宋体"/>
        <charset val="134"/>
      </rPr>
      <t xml:space="preserve">CHANGAN C673 </t>
    </r>
    <r>
      <rPr>
        <sz val="16"/>
        <color rgb="FFFF0000"/>
        <rFont val="宋体"/>
        <charset val="134"/>
      </rPr>
      <t>EU</t>
    </r>
    <r>
      <rPr>
        <sz val="10"/>
        <color rgb="FFFF0000"/>
        <rFont val="宋体"/>
        <charset val="134"/>
      </rPr>
      <t xml:space="preserve"> PAB</t>
    </r>
  </si>
  <si>
    <t>H20642 H11842</t>
  </si>
  <si>
    <t>10其中未满箱个加未满箱一共做够不要多不要少</t>
  </si>
  <si>
    <t>其中未满箱15个加未满箱一共做够25不要多不要少</t>
  </si>
  <si>
    <t>CHANGAN C673-G PAB</t>
  </si>
  <si>
    <t>266P089</t>
  </si>
  <si>
    <t>232P010</t>
  </si>
  <si>
    <t>CHANGAN C236 PAB</t>
  </si>
  <si>
    <t>业务调查量</t>
  </si>
  <si>
    <t>22BP080</t>
  </si>
  <si>
    <t>CHANGAN C673 PAB</t>
  </si>
  <si>
    <t>S6406</t>
  </si>
  <si>
    <t>219S064AL</t>
  </si>
  <si>
    <t>000000008000003470</t>
  </si>
  <si>
    <t>S6501</t>
  </si>
  <si>
    <t>23BS109AL</t>
  </si>
  <si>
    <t>000000008000004855</t>
  </si>
  <si>
    <t>0408线</t>
  </si>
  <si>
    <t>19CS92BL</t>
  </si>
  <si>
    <t>000000008000004847</t>
  </si>
  <si>
    <t>DAEA SAB L B状态</t>
  </si>
  <si>
    <t>H11612 H21012 P40431</t>
  </si>
  <si>
    <t>19CS92BR</t>
  </si>
  <si>
    <t>000000008000004848</t>
  </si>
  <si>
    <t>DAEA SAB R B状态</t>
  </si>
  <si>
    <t>229S074L</t>
  </si>
  <si>
    <t>000000008000003575</t>
  </si>
  <si>
    <t>C11 SAB L</t>
  </si>
  <si>
    <t>H50731 H21912 H60531 H21012</t>
  </si>
  <si>
    <t>229S074R</t>
  </si>
  <si>
    <t>000000008000003576</t>
  </si>
  <si>
    <t>C11 SAB R</t>
  </si>
  <si>
    <t>EREA SAB L</t>
  </si>
  <si>
    <t>241S007L</t>
  </si>
  <si>
    <t>EREA SAB R</t>
  </si>
  <si>
    <t>241S007R</t>
  </si>
  <si>
    <t>S6502</t>
  </si>
  <si>
    <t>186S27FR</t>
  </si>
  <si>
    <t>000000008000004846</t>
  </si>
  <si>
    <t>SA3F SAB LH F状态（出口）</t>
  </si>
  <si>
    <t>000000008000004862</t>
  </si>
  <si>
    <r>
      <rPr>
        <sz val="10"/>
        <color rgb="FFFF0000"/>
        <rFont val="宋体"/>
        <charset val="134"/>
      </rPr>
      <t>SA3F SAB LH F状态</t>
    </r>
    <r>
      <rPr>
        <sz val="12"/>
        <color rgb="FFFF0000"/>
        <rFont val="宋体"/>
        <charset val="134"/>
      </rPr>
      <t>（出口）</t>
    </r>
  </si>
  <si>
    <t>只能在这条线做100/纸箱按量做</t>
  </si>
  <si>
    <t>SA3F SAB RH F状态（出口）</t>
  </si>
  <si>
    <t>000000008000004863</t>
  </si>
  <si>
    <r>
      <rPr>
        <sz val="10"/>
        <color rgb="FFFF0000"/>
        <rFont val="宋体"/>
        <charset val="134"/>
      </rPr>
      <t>SA3F SAB RH F状态</t>
    </r>
    <r>
      <rPr>
        <sz val="12"/>
        <color rgb="FFFF0000"/>
        <rFont val="宋体"/>
        <charset val="134"/>
      </rPr>
      <t>（出口）</t>
    </r>
  </si>
  <si>
    <t>S6503</t>
  </si>
  <si>
    <t>253D012A</t>
  </si>
  <si>
    <t>000000008000004774</t>
  </si>
  <si>
    <t>Xpeng G01 DAB A状态</t>
  </si>
  <si>
    <t>261D007</t>
  </si>
  <si>
    <t>000000008000005013</t>
  </si>
  <si>
    <t>G01 DAB</t>
  </si>
  <si>
    <t>6304线.</t>
  </si>
  <si>
    <t>221D005</t>
  </si>
  <si>
    <t>000000008000003421</t>
  </si>
  <si>
    <t>GWM B07 DAB</t>
  </si>
  <si>
    <t>H20632 H31242</t>
  </si>
  <si>
    <t>GWM D03 DAB</t>
  </si>
  <si>
    <t>217D031</t>
  </si>
  <si>
    <t>GWM ES11-7 DAB</t>
  </si>
  <si>
    <t>266D057</t>
  </si>
  <si>
    <t>S6504</t>
  </si>
  <si>
    <t>223S019BL</t>
  </si>
  <si>
    <t>000000008000003935</t>
  </si>
  <si>
    <r>
      <rPr>
        <sz val="10"/>
        <rFont val="宋体"/>
        <charset val="134"/>
      </rPr>
      <t xml:space="preserve">Volvo V216 SAB </t>
    </r>
    <r>
      <rPr>
        <sz val="14"/>
        <color rgb="FFFF0000"/>
        <rFont val="宋体"/>
        <charset val="134"/>
      </rPr>
      <t>CN&amp;EU</t>
    </r>
    <r>
      <rPr>
        <sz val="10"/>
        <rFont val="宋体"/>
        <charset val="134"/>
      </rPr>
      <t xml:space="preserve"> LH B状态</t>
    </r>
  </si>
  <si>
    <t>223S019BR</t>
  </si>
  <si>
    <t>000000008000003936</t>
  </si>
  <si>
    <r>
      <rPr>
        <sz val="10"/>
        <rFont val="宋体"/>
        <charset val="134"/>
      </rPr>
      <t xml:space="preserve">Volvo V216 SAB </t>
    </r>
    <r>
      <rPr>
        <sz val="14"/>
        <color rgb="FFFF0000"/>
        <rFont val="宋体"/>
        <charset val="134"/>
      </rPr>
      <t>CN&amp;EU</t>
    </r>
    <r>
      <rPr>
        <sz val="10"/>
        <rFont val="宋体"/>
        <charset val="134"/>
      </rPr>
      <t xml:space="preserve"> RH B状态</t>
    </r>
  </si>
  <si>
    <t>163S10AL</t>
  </si>
  <si>
    <t>000000008000005274</t>
  </si>
  <si>
    <t>SGMW CN210M SAB LH</t>
  </si>
  <si>
    <t>H31232  H21912 H24212</t>
  </si>
  <si>
    <t>163S10AR</t>
  </si>
  <si>
    <t>000000008000005275</t>
  </si>
  <si>
    <t>SGMW CN210M SAB RH</t>
  </si>
  <si>
    <t>228S064AL</t>
  </si>
  <si>
    <t>000000008000003558</t>
  </si>
  <si>
    <t>DCY11 A2 SAB L A 状态</t>
  </si>
  <si>
    <t>228S064AR</t>
  </si>
  <si>
    <t>000000008000003559</t>
  </si>
  <si>
    <t>DCY11 A2 SAB R A 状态</t>
  </si>
  <si>
    <t>237S071AL</t>
  </si>
  <si>
    <t>000000008000003937</t>
  </si>
  <si>
    <t>VOLVO V216 SAB US L  A状态</t>
  </si>
  <si>
    <t>237S071AR</t>
  </si>
  <si>
    <t>000000008000003938</t>
  </si>
  <si>
    <t>VOLVO V216 SAB US R  A状态</t>
  </si>
  <si>
    <t>223S014BL</t>
  </si>
  <si>
    <t>000000008000004057</t>
  </si>
  <si>
    <t>GEELY BX1E SAB L B状态</t>
  </si>
  <si>
    <t>223S014BR</t>
  </si>
  <si>
    <t>000000008000004058</t>
  </si>
  <si>
    <t>GEELY BX1E SAB R B状态</t>
  </si>
  <si>
    <t>S6505</t>
  </si>
  <si>
    <t>233S026CL</t>
  </si>
  <si>
    <t>Changan CD701 FSAB LH C状态(上海)</t>
  </si>
  <si>
    <t>000000008000005059</t>
  </si>
  <si>
    <r>
      <rPr>
        <sz val="10"/>
        <rFont val="宋体"/>
        <charset val="134"/>
      </rPr>
      <t>Changan CD701 FSAB LH C状态</t>
    </r>
    <r>
      <rPr>
        <sz val="14"/>
        <color rgb="FFFF0000"/>
        <rFont val="宋体"/>
        <charset val="134"/>
      </rPr>
      <t>(上海)</t>
    </r>
  </si>
  <si>
    <t>H21912 H41142 H20932</t>
  </si>
  <si>
    <t>上海</t>
  </si>
  <si>
    <t>233S026CR</t>
  </si>
  <si>
    <t>Changan CD701 FSAB RH C状态(上海)</t>
  </si>
  <si>
    <t>000000008000005060</t>
  </si>
  <si>
    <r>
      <rPr>
        <sz val="10"/>
        <rFont val="宋体"/>
        <charset val="134"/>
      </rPr>
      <t>Changan CD701 FSAB RH C状态</t>
    </r>
    <r>
      <rPr>
        <sz val="16"/>
        <color rgb="FFFF0000"/>
        <rFont val="宋体"/>
        <charset val="134"/>
      </rPr>
      <t>(上海)</t>
    </r>
  </si>
  <si>
    <t>000000008000004185</t>
  </si>
  <si>
    <r>
      <rPr>
        <sz val="10"/>
        <rFont val="宋体"/>
        <charset val="134"/>
      </rPr>
      <t xml:space="preserve">Changan CD701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>SAB LH C状态</t>
    </r>
  </si>
  <si>
    <t>000000008000004186</t>
  </si>
  <si>
    <r>
      <rPr>
        <sz val="10"/>
        <rFont val="宋体"/>
        <charset val="134"/>
      </rPr>
      <t xml:space="preserve">Changan CD701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>SAB RH C状态</t>
    </r>
  </si>
  <si>
    <t>224S034BL</t>
  </si>
  <si>
    <t>000000008000004045</t>
  </si>
  <si>
    <t>ROX01 SAB LH B状态</t>
  </si>
  <si>
    <t>224S034BR</t>
  </si>
  <si>
    <t>000000008000004046</t>
  </si>
  <si>
    <t>ROX01 SAB RH B状态</t>
  </si>
  <si>
    <t>249S154AL</t>
  </si>
  <si>
    <t>000000008000005335</t>
  </si>
  <si>
    <t>CHANGAN B216 ME FSAB LH A状态</t>
  </si>
  <si>
    <t>517首次大货</t>
  </si>
  <si>
    <t>249S154AR</t>
  </si>
  <si>
    <t>000000008000005336</t>
  </si>
  <si>
    <t>CHANGAN B216 ME FSAB RH A状态</t>
  </si>
  <si>
    <t>522首次大货</t>
  </si>
  <si>
    <t>22AS084L</t>
  </si>
  <si>
    <t>000000008000003467</t>
  </si>
  <si>
    <t>Changan C673 SAB LH</t>
  </si>
  <si>
    <t>6402会</t>
  </si>
  <si>
    <t>22AS084R</t>
  </si>
  <si>
    <t>000000008000003468</t>
  </si>
  <si>
    <t>Changan C673 SAB RH</t>
  </si>
  <si>
    <t>233S026BL</t>
  </si>
  <si>
    <r>
      <rPr>
        <sz val="10"/>
        <rFont val="宋体"/>
        <charset val="134"/>
      </rPr>
      <t xml:space="preserve">Changan CD701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>SAB LH B状态</t>
    </r>
  </si>
  <si>
    <t>20240819通知不收尾裁片隔离20240827通知收尾，但是要12月产品才能拉走</t>
  </si>
  <si>
    <t>233S026BR</t>
  </si>
  <si>
    <r>
      <rPr>
        <sz val="10"/>
        <rFont val="宋体"/>
        <charset val="134"/>
      </rPr>
      <t xml:space="preserve">Changan CD701 </t>
    </r>
    <r>
      <rPr>
        <sz val="18"/>
        <color rgb="FFFF0000"/>
        <rFont val="宋体"/>
        <charset val="134"/>
      </rPr>
      <t>F</t>
    </r>
    <r>
      <rPr>
        <sz val="10"/>
        <rFont val="宋体"/>
        <charset val="134"/>
      </rPr>
      <t>SAB RH B状态</t>
    </r>
  </si>
  <si>
    <t>Changan E15 FSAB LH</t>
  </si>
  <si>
    <t>23AS106L</t>
  </si>
  <si>
    <t>Changan E15 FSAB RH</t>
  </si>
  <si>
    <t>23AS106R</t>
  </si>
  <si>
    <t>CHANGAN P275-2 FSAB LH</t>
  </si>
  <si>
    <t>25BS127L</t>
  </si>
  <si>
    <t>CHANGAN P275-2 FSAB RH</t>
  </si>
  <si>
    <t>25BS127R</t>
  </si>
  <si>
    <t>S6506</t>
  </si>
  <si>
    <t>263S040L</t>
  </si>
  <si>
    <t>000000008000005296</t>
  </si>
  <si>
    <t>D01 JFL1 RSAB LH</t>
  </si>
  <si>
    <t>P31141 H24212</t>
  </si>
  <si>
    <t>263S040R</t>
  </si>
  <si>
    <t>000000008000005297</t>
  </si>
  <si>
    <t>D01 JFL1 RSAB RH</t>
  </si>
  <si>
    <t>248S118L</t>
  </si>
  <si>
    <t>000000008000004487</t>
  </si>
  <si>
    <t>E0S (D01) RSAB LH</t>
  </si>
  <si>
    <t>248S118R</t>
  </si>
  <si>
    <t>000000008000004488</t>
  </si>
  <si>
    <t>E0S (D01) RSAB RH</t>
  </si>
  <si>
    <t>23AS102AL</t>
  </si>
  <si>
    <t>000000008000005327</t>
  </si>
  <si>
    <t>C673 OVERSEA FSAB LH   A状态</t>
  </si>
  <si>
    <t>海外版</t>
  </si>
  <si>
    <t>1050首次大货包布只有这么多</t>
  </si>
  <si>
    <t>23AS102AR</t>
  </si>
  <si>
    <t>000000008000005328</t>
  </si>
  <si>
    <t>C673 OVERSEA FSAB RH   A状态</t>
  </si>
  <si>
    <t>1047首次大货包布只有这么多</t>
  </si>
  <si>
    <t>22AS084BL</t>
  </si>
  <si>
    <t>000000008000003729</t>
  </si>
  <si>
    <t>Changan C673 FSAB LH B状态</t>
  </si>
  <si>
    <t>业务通知在安排</t>
  </si>
  <si>
    <t>22AS084BR</t>
  </si>
  <si>
    <t>000000008000003730</t>
  </si>
  <si>
    <t>Changan C673 FSAB RH B状态</t>
  </si>
  <si>
    <t>S6507</t>
  </si>
  <si>
    <t>228P049B</t>
  </si>
  <si>
    <t>000000008000003888</t>
  </si>
  <si>
    <t>VOLVO V216 US PAB B状态</t>
  </si>
  <si>
    <t>H30432 H31030 H31242 P31141</t>
  </si>
  <si>
    <t>221P006A</t>
  </si>
  <si>
    <t>000000008000003726</t>
  </si>
  <si>
    <t>Ford P789 PAB A状态</t>
  </si>
  <si>
    <t>切换比较忙尽量一次多做</t>
  </si>
  <si>
    <t>223P018A</t>
  </si>
  <si>
    <t>000000008000004982</t>
  </si>
  <si>
    <t>V216 CN PAB A状态</t>
  </si>
  <si>
    <t>H30432  H31030 H31242 P31141</t>
  </si>
  <si>
    <t>S6601</t>
  </si>
  <si>
    <t>218S049AL</t>
  </si>
  <si>
    <t>000000008000003309</t>
  </si>
  <si>
    <t>XPENG E38 FSAB L A状态</t>
  </si>
  <si>
    <t>218S049AR</t>
  </si>
  <si>
    <t>000000008000003310</t>
  </si>
  <si>
    <t>XPENG E38 FSAB R A状态</t>
  </si>
  <si>
    <t>S6602</t>
  </si>
  <si>
    <t>214D015B</t>
  </si>
  <si>
    <t>000000008000003982</t>
  </si>
  <si>
    <t>GWM J01 EU DAB A状态</t>
  </si>
  <si>
    <t>H40232 H30732 H30632 H24212</t>
  </si>
  <si>
    <t>2025年7月19号开始H40232开始加L</t>
  </si>
  <si>
    <t>S6603</t>
  </si>
  <si>
    <t>20CP005C</t>
  </si>
  <si>
    <t>000000008000003246</t>
  </si>
  <si>
    <t>X01 PAB C状态</t>
  </si>
  <si>
    <t>H31242 H22642</t>
  </si>
  <si>
    <t>S6604</t>
  </si>
  <si>
    <t>223P014D</t>
  </si>
  <si>
    <t>000000008000003847</t>
  </si>
  <si>
    <t>ZEEKR BX1E PAB D状态</t>
  </si>
  <si>
    <t>H31242 H40742</t>
  </si>
  <si>
    <t>233P015A</t>
  </si>
  <si>
    <t>000000008000004177</t>
  </si>
  <si>
    <t>DC1E A2 PAB A状态</t>
  </si>
  <si>
    <t>H31232 H40732 P31141</t>
  </si>
  <si>
    <t>239P068A</t>
  </si>
  <si>
    <t>000000008000004195</t>
  </si>
  <si>
    <t>GEELY E335 PAB A状态</t>
  </si>
  <si>
    <t>开会的时候现场反馈折叠比较难量上不去</t>
  </si>
  <si>
    <t>S6605</t>
  </si>
  <si>
    <t>23CD068</t>
  </si>
  <si>
    <t>000000008000004142</t>
  </si>
  <si>
    <r>
      <rPr>
        <sz val="10"/>
        <rFont val="宋体"/>
        <charset val="134"/>
      </rPr>
      <t xml:space="preserve">GEELY </t>
    </r>
    <r>
      <rPr>
        <sz val="12"/>
        <color rgb="FFFF0000"/>
        <rFont val="宋体"/>
        <charset val="134"/>
      </rPr>
      <t>CX1E</t>
    </r>
    <r>
      <rPr>
        <sz val="10"/>
        <rFont val="宋体"/>
        <charset val="134"/>
      </rPr>
      <t xml:space="preserve"> DAB</t>
    </r>
  </si>
  <si>
    <t>H30732 H40232 H41132 P31141</t>
  </si>
  <si>
    <t>22AD041</t>
  </si>
  <si>
    <t>000000008000003723</t>
  </si>
  <si>
    <r>
      <rPr>
        <sz val="10"/>
        <rFont val="宋体"/>
        <charset val="134"/>
      </rPr>
      <t xml:space="preserve">VOLVO </t>
    </r>
    <r>
      <rPr>
        <sz val="14"/>
        <color rgb="FFFF0000"/>
        <rFont val="宋体"/>
        <charset val="134"/>
      </rPr>
      <t>P417 CN</t>
    </r>
    <r>
      <rPr>
        <sz val="10"/>
        <rFont val="宋体"/>
        <charset val="134"/>
      </rPr>
      <t xml:space="preserve"> DAB</t>
    </r>
  </si>
  <si>
    <t>241D003</t>
  </si>
  <si>
    <t>000000008000004102</t>
  </si>
  <si>
    <t>GEELY EF1E-M-R DAB</t>
  </si>
  <si>
    <t>232D006</t>
  </si>
  <si>
    <t>000000008000003762</t>
  </si>
  <si>
    <r>
      <rPr>
        <sz val="10"/>
        <rFont val="宋体"/>
        <charset val="134"/>
      </rPr>
      <t xml:space="preserve">GEELY </t>
    </r>
    <r>
      <rPr>
        <sz val="12"/>
        <color rgb="FFFF0000"/>
        <rFont val="宋体"/>
        <charset val="134"/>
      </rPr>
      <t>DC1E A2</t>
    </r>
    <r>
      <rPr>
        <sz val="10"/>
        <rFont val="宋体"/>
        <charset val="134"/>
      </rPr>
      <t xml:space="preserve"> DAB</t>
    </r>
  </si>
  <si>
    <t>226D023</t>
  </si>
  <si>
    <t>000000008000003877</t>
  </si>
  <si>
    <r>
      <rPr>
        <sz val="10"/>
        <rFont val="宋体"/>
        <charset val="134"/>
      </rPr>
      <t xml:space="preserve">Geely </t>
    </r>
    <r>
      <rPr>
        <sz val="12"/>
        <color rgb="FFFF0000"/>
        <rFont val="宋体"/>
        <charset val="134"/>
      </rPr>
      <t>CS1E</t>
    </r>
    <r>
      <rPr>
        <sz val="10"/>
        <rFont val="宋体"/>
        <charset val="134"/>
      </rPr>
      <t xml:space="preserve"> DAB</t>
    </r>
  </si>
  <si>
    <t>H30732 H40232 H41132</t>
  </si>
  <si>
    <t>22AD042A</t>
  </si>
  <si>
    <t>000000008000004198</t>
  </si>
  <si>
    <t>VOLVO P417 US DAB A状态</t>
  </si>
  <si>
    <t>H30632 H40232 P31141 P40241</t>
  </si>
  <si>
    <t>GWM H01 DAB</t>
  </si>
  <si>
    <t>267D086</t>
  </si>
  <si>
    <t>S6701</t>
  </si>
  <si>
    <t>23BS111L</t>
  </si>
  <si>
    <t>000000008000004539</t>
  </si>
  <si>
    <t>VW313 FSAB LH</t>
  </si>
  <si>
    <t>H31242  H21912 H20932</t>
  </si>
  <si>
    <t>23BS111R</t>
  </si>
  <si>
    <t>000000008000004540</t>
  </si>
  <si>
    <t>VW313 FSAB RH</t>
  </si>
  <si>
    <t>S6702</t>
  </si>
  <si>
    <t>24CS205BL</t>
  </si>
  <si>
    <t>000000008000005209</t>
  </si>
  <si>
    <t>HC2EA SAB LH B状态</t>
  </si>
  <si>
    <t>24CS205BR</t>
  </si>
  <si>
    <t>000000008000005210</t>
  </si>
  <si>
    <t>HC2EA SAB RH B状态</t>
  </si>
  <si>
    <t>HC2EA SAB LH B状态 (出口)</t>
  </si>
  <si>
    <t>HC2EA SAB LH B状态(出口）</t>
  </si>
  <si>
    <t>HC2EA SAB RH B状态 (出口)</t>
  </si>
  <si>
    <t>HC2EA SAB RH B状态（出口）</t>
  </si>
  <si>
    <t>254S048L</t>
  </si>
  <si>
    <t>SHHA SAB LH</t>
  </si>
  <si>
    <t>254S048R</t>
  </si>
  <si>
    <t>SHHA SAB RH</t>
  </si>
  <si>
    <t>SHHA SAB LH A状态</t>
  </si>
  <si>
    <t>254S048AL</t>
  </si>
  <si>
    <t>SHHA SAB RH A状态</t>
  </si>
  <si>
    <t>254S048AR</t>
  </si>
  <si>
    <t>252S033L</t>
  </si>
  <si>
    <t>HXHA-1 SAB LH</t>
  </si>
  <si>
    <t>252S033R</t>
  </si>
  <si>
    <t>HXHA-1 SAB RH</t>
  </si>
  <si>
    <t>252S033AL</t>
  </si>
  <si>
    <t>180PPAP.</t>
  </si>
  <si>
    <t>HXHA-1 SAB RH A状态</t>
  </si>
  <si>
    <t>252S033AR</t>
  </si>
  <si>
    <t>252S013L</t>
  </si>
  <si>
    <t>000000008000004571</t>
  </si>
  <si>
    <t>HKHA-A SAB LH</t>
  </si>
  <si>
    <t>252S013R</t>
  </si>
  <si>
    <t>000000008000004572</t>
  </si>
  <si>
    <t>HKHA-A SAB RH</t>
  </si>
  <si>
    <t>HKHA-A SAB LH A状态</t>
  </si>
  <si>
    <t>252S013AL</t>
  </si>
  <si>
    <t>HKHA-A SAB RH A状态</t>
  </si>
  <si>
    <t>252S013AR</t>
  </si>
  <si>
    <t>S6703</t>
  </si>
  <si>
    <t>252S032AL</t>
  </si>
  <si>
    <t>000000008000005211</t>
  </si>
  <si>
    <t>SA5HA-1 SAB LH A状态</t>
  </si>
  <si>
    <t>252S032AR</t>
  </si>
  <si>
    <t>000000008000005212</t>
  </si>
  <si>
    <t>SA5HA-1 SAB RH A状态</t>
  </si>
  <si>
    <t>257S083AL</t>
  </si>
  <si>
    <t>000000008000005215</t>
  </si>
  <si>
    <t>SC2EGE SAB LH A状态</t>
  </si>
  <si>
    <t>257S083AR</t>
  </si>
  <si>
    <t>000000008000005216</t>
  </si>
  <si>
    <t>SC2EGE SAB RH A状态</t>
  </si>
  <si>
    <t>EHEA-1 SAB LH</t>
  </si>
  <si>
    <t>252S034L</t>
  </si>
  <si>
    <t>EHEA-1 SAB RH</t>
  </si>
  <si>
    <t>252S034R</t>
  </si>
  <si>
    <t>SRH SAB LH</t>
  </si>
  <si>
    <t>24BS186L</t>
  </si>
  <si>
    <t>SRH SAB RH</t>
  </si>
  <si>
    <t>24BS186R</t>
  </si>
  <si>
    <t>S6704</t>
  </si>
  <si>
    <t>252S028AL</t>
  </si>
  <si>
    <t>000000008000004914</t>
  </si>
  <si>
    <t>EHEA-D1 SAB LH A状态</t>
  </si>
  <si>
    <t>H21012  P40431 P41331</t>
  </si>
  <si>
    <t>1675三课</t>
  </si>
  <si>
    <t>1852三课</t>
  </si>
  <si>
    <t>252S028AR</t>
  </si>
  <si>
    <t>000000008000004915</t>
  </si>
  <si>
    <t>EHEA-D1 SAB RH A状态</t>
  </si>
  <si>
    <t>252S029AL</t>
  </si>
  <si>
    <t>000000008000004912</t>
  </si>
  <si>
    <t>SGHL-D1 SAB LH A状态</t>
  </si>
  <si>
    <t>252S029AR</t>
  </si>
  <si>
    <t>000000008000004913</t>
  </si>
  <si>
    <t>SGHL-D1 SAB RH A状态</t>
  </si>
  <si>
    <t>S6705</t>
  </si>
  <si>
    <t>24AD076A</t>
  </si>
  <si>
    <t>000000008000004858</t>
  </si>
  <si>
    <t>EHEA DAB A状态</t>
  </si>
  <si>
    <t>P31141 H60431 H60531 H60632</t>
  </si>
  <si>
    <t>243D022A</t>
  </si>
  <si>
    <t>000000008000004860</t>
  </si>
  <si>
    <t>HA3H DAB A状态</t>
  </si>
  <si>
    <t>234D017A</t>
  </si>
  <si>
    <t>000000008000004861</t>
  </si>
  <si>
    <t>EKEB DAB A状态</t>
  </si>
  <si>
    <t>S6706</t>
  </si>
  <si>
    <t>249D060B</t>
  </si>
  <si>
    <t>000000008000004565</t>
  </si>
  <si>
    <t>E0S(D01)DAB B状态</t>
  </si>
  <si>
    <t>LD-53</t>
  </si>
  <si>
    <t>S6707</t>
  </si>
  <si>
    <t>23BP89C</t>
  </si>
  <si>
    <t>S0107</t>
  </si>
  <si>
    <t>138S43AL</t>
  </si>
  <si>
    <t>000000008000002756</t>
  </si>
  <si>
    <t>JAC BII SAB LH（埃）</t>
  </si>
  <si>
    <t>P40431 P31131 H22411</t>
  </si>
  <si>
    <t>FL001</t>
  </si>
  <si>
    <t>柔性产线   在发料旁边</t>
  </si>
  <si>
    <t>138S43AR</t>
  </si>
  <si>
    <t>000000008000002757</t>
  </si>
  <si>
    <t>JAC BII SAB RH（埃）</t>
  </si>
  <si>
    <t>123C03</t>
  </si>
  <si>
    <t>123C03  C70G CAB</t>
  </si>
  <si>
    <t>H31532
H41132</t>
  </si>
  <si>
    <t>123S02L</t>
  </si>
  <si>
    <t>000000008000001045</t>
  </si>
  <si>
    <t>123S02L C70G SABL</t>
  </si>
  <si>
    <t>H31532
H40232
H41132
H21011</t>
  </si>
  <si>
    <t>123S02R</t>
  </si>
  <si>
    <t>000000008000001046</t>
  </si>
  <si>
    <t>123S02R C70G SABR</t>
  </si>
  <si>
    <t>126S09L</t>
  </si>
  <si>
    <t>126S09L C50E 
SAB-LH</t>
  </si>
  <si>
    <t xml:space="preserve"> H22411 H31532 H41132</t>
  </si>
  <si>
    <t>126S09R</t>
  </si>
  <si>
    <t>126S09R C50E 
SAB-RH</t>
  </si>
  <si>
    <t>12BS29L</t>
  </si>
  <si>
    <t>000000008000001168</t>
  </si>
  <si>
    <t>12BS29L JAC 5AT SABL</t>
  </si>
  <si>
    <t>P31131
P40431</t>
  </si>
  <si>
    <t>12BS29R</t>
  </si>
  <si>
    <t>000000008000001169</t>
  </si>
  <si>
    <t>12BS29R JAC 5AT SABR</t>
  </si>
  <si>
    <t>13AS60LH</t>
  </si>
  <si>
    <t>000000008000001089</t>
  </si>
  <si>
    <t>J36R SAB-LH</t>
  </si>
  <si>
    <t>H22411 H41132 H30632</t>
  </si>
  <si>
    <t>13AS60RH</t>
  </si>
  <si>
    <t>000000008000001091</t>
  </si>
  <si>
    <t>J36R SAB-RH</t>
  </si>
  <si>
    <t>C2</t>
  </si>
  <si>
    <t>LD-03</t>
  </si>
  <si>
    <t>13CC55</t>
  </si>
  <si>
    <t>000000008000000861</t>
  </si>
  <si>
    <t>CHANGAN B211 CAB 拉带</t>
  </si>
  <si>
    <t>CHANGAN B211 CAB</t>
  </si>
  <si>
    <t xml:space="preserve">P31131 H41132 H30432 </t>
  </si>
  <si>
    <t>S2402</t>
  </si>
  <si>
    <t>146S25L</t>
  </si>
  <si>
    <t>000000008000001182</t>
  </si>
  <si>
    <t>146S25L  NL-3 SABL</t>
  </si>
  <si>
    <t>P31131
H41132
H21011</t>
  </si>
  <si>
    <t>146S25R</t>
  </si>
  <si>
    <t>000000008000001183</t>
  </si>
  <si>
    <t>146S25R  NL-3 SABR</t>
  </si>
  <si>
    <t>S2405</t>
  </si>
  <si>
    <t>16AS34L</t>
  </si>
  <si>
    <t>000000008000001128</t>
  </si>
  <si>
    <t>16AS34L  SVW LAVIDA NF SAB L</t>
  </si>
  <si>
    <t>H31942 P40431 H21011</t>
  </si>
  <si>
    <t>16AS34R</t>
  </si>
  <si>
    <t>000000008000001129</t>
  </si>
  <si>
    <t>16AS34R  SVW LAVIDA NF SAB R</t>
  </si>
  <si>
    <t>178S40L</t>
  </si>
  <si>
    <t>000000008000001138</t>
  </si>
  <si>
    <t>178S40L SKODA KAROQ SAB LH</t>
  </si>
  <si>
    <t xml:space="preserve">H40242 P40431 H21011 H31942 </t>
  </si>
  <si>
    <t>20250610收尾完成</t>
  </si>
  <si>
    <t>178S40R</t>
  </si>
  <si>
    <t>000000008000001139</t>
  </si>
  <si>
    <t>178S40R SKODA KAROQ SAB RH</t>
  </si>
  <si>
    <t>174S22L</t>
  </si>
  <si>
    <t>000000008000001134</t>
  </si>
  <si>
    <t>174S22L SKODA MODEL Q SAB L</t>
  </si>
  <si>
    <t>H21011 P40431 H31942</t>
  </si>
  <si>
    <t>20250505收尾完成</t>
  </si>
  <si>
    <t>174S22R</t>
  </si>
  <si>
    <t>000000008000001135</t>
  </si>
  <si>
    <t>174S22R SKODA MODEL Q SAB R</t>
  </si>
  <si>
    <t>171S05AL</t>
  </si>
  <si>
    <t>000000008000002011</t>
  </si>
  <si>
    <t>Kodiaq Coupe SAB L A状态</t>
  </si>
  <si>
    <t>H40242 P40431 H21012</t>
  </si>
  <si>
    <t>EOP</t>
  </si>
  <si>
    <t>171S05AR</t>
  </si>
  <si>
    <t>000000008000002012</t>
  </si>
  <si>
    <t>Kodiaq Coupe SAB R A状态</t>
  </si>
  <si>
    <t>S5141</t>
  </si>
  <si>
    <t>174S19AL</t>
  </si>
  <si>
    <t>000000008000001017</t>
  </si>
  <si>
    <t>AU276(X55) SAB L A状态</t>
  </si>
  <si>
    <t>H21912 H40742 H21018</t>
  </si>
  <si>
    <t>174S19AR</t>
  </si>
  <si>
    <t>000000008000001018</t>
  </si>
  <si>
    <t>AU276(X55) SAB R A状态</t>
  </si>
  <si>
    <t>S5251</t>
  </si>
  <si>
    <t>15BS34AL</t>
  </si>
  <si>
    <t>000000008000001206</t>
  </si>
  <si>
    <t>SAIC IP31 SAB LH</t>
  </si>
  <si>
    <t>H21011 P40431 H41132</t>
  </si>
  <si>
    <t>15BS34AR</t>
  </si>
  <si>
    <t>000000008000001207</t>
  </si>
  <si>
    <t>15BS34AR IP31 SAB RH</t>
  </si>
  <si>
    <t>DY001</t>
  </si>
  <si>
    <t>12AS22AL</t>
  </si>
  <si>
    <t>000000008000002797</t>
  </si>
  <si>
    <t>CHB021 SAB LH A状态 (埃)</t>
  </si>
  <si>
    <t>660PPAP.</t>
  </si>
  <si>
    <t>900PPAP.</t>
  </si>
  <si>
    <t>12AS22AR</t>
  </si>
  <si>
    <t>000000008000002798</t>
  </si>
  <si>
    <t>CHB021 SAB RH A状态 (埃)</t>
  </si>
  <si>
    <t>S3201</t>
  </si>
  <si>
    <t>257F020</t>
  </si>
  <si>
    <t>000000008000005112</t>
  </si>
  <si>
    <t>GAC T09-M FCAB</t>
  </si>
  <si>
    <t>H21038 P31141 H23932 P40241</t>
  </si>
  <si>
    <t>S3203</t>
  </si>
  <si>
    <t>257F027</t>
  </si>
  <si>
    <t>000000008000004953</t>
  </si>
  <si>
    <t>V32 FCA</t>
  </si>
  <si>
    <t>25AF036A</t>
  </si>
  <si>
    <t>000000008000005124</t>
  </si>
  <si>
    <t>C06 FCA   A状态</t>
  </si>
  <si>
    <t>H21912 H21038 P40841 P40241</t>
  </si>
  <si>
    <t>263F016L</t>
  </si>
  <si>
    <t>000000008000005311</t>
  </si>
  <si>
    <t>N50AS FCAB LHD</t>
  </si>
  <si>
    <t>H21912 P31141 H21038 H40232L</t>
  </si>
  <si>
    <t>141首次大货</t>
  </si>
  <si>
    <t>263F016R</t>
  </si>
  <si>
    <t>000000008000005312</t>
  </si>
  <si>
    <t>N50AS FCAB RHD</t>
  </si>
  <si>
    <t>134首次大货</t>
  </si>
  <si>
    <t>S3405</t>
  </si>
  <si>
    <t>P800 DAB</t>
  </si>
  <si>
    <t>24AD071</t>
  </si>
  <si>
    <t>HYEA DAB</t>
  </si>
  <si>
    <t>25CD072</t>
  </si>
  <si>
    <t>P800 DAB A状态</t>
  </si>
  <si>
    <t>24AD071A</t>
  </si>
  <si>
    <t>S3504</t>
  </si>
  <si>
    <t>249S145L</t>
  </si>
  <si>
    <t>000000008000004511</t>
  </si>
  <si>
    <t>NIO Cetus FSAB LH</t>
  </si>
  <si>
    <t>H30432 H21912 H41142</t>
  </si>
  <si>
    <t>249S145R</t>
  </si>
  <si>
    <t>000000008000004512</t>
  </si>
  <si>
    <t>NIO Cetus FSAB RH</t>
  </si>
  <si>
    <t>248S128L</t>
  </si>
  <si>
    <t>000000008000004596</t>
  </si>
  <si>
    <t>FORD CX835 RSAB LH</t>
  </si>
  <si>
    <t>248S128R</t>
  </si>
  <si>
    <t>000000008000004597</t>
  </si>
  <si>
    <t>FORD CX835 RSAB RH</t>
  </si>
  <si>
    <t>C1</t>
  </si>
  <si>
    <t>S3604</t>
  </si>
  <si>
    <t>000000008000005027</t>
  </si>
  <si>
    <t>HYEA DAB A状态</t>
  </si>
  <si>
    <t>25CD072A</t>
  </si>
  <si>
    <t>251D001</t>
  </si>
  <si>
    <t>000000008000004545</t>
  </si>
  <si>
    <t>UGE DAB</t>
  </si>
  <si>
    <t>H60431 H60531 H60632</t>
  </si>
  <si>
    <t>HA3H DAB</t>
  </si>
  <si>
    <t>25CD073</t>
  </si>
  <si>
    <t>SHEA DAB</t>
  </si>
  <si>
    <t>243D022</t>
  </si>
  <si>
    <t>URECU DAB</t>
  </si>
  <si>
    <t>25CD076</t>
  </si>
  <si>
    <t>SHHAU DAB</t>
  </si>
  <si>
    <t>262D013</t>
  </si>
  <si>
    <t>S3611</t>
  </si>
  <si>
    <t>215D018</t>
  </si>
  <si>
    <t>000000008000002624</t>
  </si>
  <si>
    <t>SAIC AS32 DAB</t>
  </si>
  <si>
    <t>H30632 H23142 P30941</t>
  </si>
  <si>
    <t>235D024</t>
  </si>
  <si>
    <t>000000008000003776</t>
  </si>
  <si>
    <t>ZP22 DAB</t>
  </si>
  <si>
    <t>H30632  P30941 H23142</t>
  </si>
  <si>
    <t>206D33A</t>
  </si>
  <si>
    <t>000000008000004859</t>
  </si>
  <si>
    <t>HX11 DAB A状态</t>
  </si>
  <si>
    <t>H31232 H31532 H40232 P30941 P20331</t>
  </si>
  <si>
    <t>22AD044</t>
  </si>
  <si>
    <t>000000008000003567</t>
  </si>
  <si>
    <t>INEOS US DAB</t>
  </si>
  <si>
    <t>H21232 H11832 P60119 H11612 P30941</t>
  </si>
  <si>
    <t>237D037</t>
  </si>
  <si>
    <t>000000008000003769</t>
  </si>
  <si>
    <t>INEOS US-2 DAB</t>
  </si>
  <si>
    <t>H11612 P30941 P60119 H21232 H11832</t>
  </si>
  <si>
    <t>NIO Pegasus DAB</t>
  </si>
  <si>
    <t>218D036</t>
  </si>
  <si>
    <t>S3612</t>
  </si>
  <si>
    <t>217D033</t>
  </si>
  <si>
    <t>000000008000002851</t>
  </si>
  <si>
    <t>CHANGAN S311-MCA DAB</t>
  </si>
  <si>
    <t>H10332 H20632</t>
  </si>
  <si>
    <t>217D024</t>
  </si>
  <si>
    <t>000000008000002700</t>
  </si>
  <si>
    <t>KX11 HEV DAB</t>
  </si>
  <si>
    <t>H11832 P60119 H20632</t>
  </si>
  <si>
    <t>21CD062A</t>
  </si>
  <si>
    <t>000000008000003377</t>
  </si>
  <si>
    <t>FX11 DAB A状态</t>
  </si>
  <si>
    <t>S3613</t>
  </si>
  <si>
    <t>25AS116L</t>
  </si>
  <si>
    <t>000000008000005172</t>
  </si>
  <si>
    <t>IS4PR FSAB LH</t>
  </si>
  <si>
    <t>P31141 H21038 P40841</t>
  </si>
  <si>
    <t>25AS116R</t>
  </si>
  <si>
    <t>000000008000005173</t>
  </si>
  <si>
    <t>IS4PR FSAB RH</t>
  </si>
  <si>
    <t>264R004A</t>
  </si>
  <si>
    <t>000000008000005363</t>
  </si>
  <si>
    <t>G19 PRC   A状态</t>
  </si>
  <si>
    <t>10收尾有片同一组</t>
  </si>
  <si>
    <r>
      <rPr>
        <sz val="10"/>
        <rFont val="宋体"/>
        <charset val="134"/>
      </rPr>
      <t>SAIC IS4</t>
    </r>
    <r>
      <rPr>
        <sz val="14"/>
        <color rgb="FFFF0000"/>
        <rFont val="宋体"/>
        <charset val="134"/>
      </rPr>
      <t>GR</t>
    </r>
    <r>
      <rPr>
        <sz val="10"/>
        <rFont val="宋体"/>
        <charset val="134"/>
      </rPr>
      <t xml:space="preserve"> RSAB LH</t>
    </r>
  </si>
  <si>
    <t>264S045L</t>
  </si>
  <si>
    <t>5试生产.</t>
  </si>
  <si>
    <t>90PPAP.</t>
  </si>
  <si>
    <r>
      <rPr>
        <sz val="10"/>
        <rFont val="宋体"/>
        <charset val="134"/>
      </rPr>
      <t>SAIC IS4</t>
    </r>
    <r>
      <rPr>
        <sz val="14"/>
        <color rgb="FFFF0000"/>
        <rFont val="宋体"/>
        <charset val="134"/>
      </rPr>
      <t>GR</t>
    </r>
    <r>
      <rPr>
        <sz val="10"/>
        <rFont val="宋体"/>
        <charset val="134"/>
      </rPr>
      <t xml:space="preserve"> RSAB RH</t>
    </r>
  </si>
  <si>
    <t>264S045R</t>
  </si>
  <si>
    <t>Model M RSAB LH</t>
  </si>
  <si>
    <t>251S007L</t>
  </si>
  <si>
    <t>Model M RSAB RH</t>
  </si>
  <si>
    <t>251S007R</t>
  </si>
  <si>
    <t>S3701</t>
  </si>
  <si>
    <t>236S055BL</t>
  </si>
  <si>
    <t>000000008000004310</t>
  </si>
  <si>
    <t>AUDI AU4010 FSAB LH   B状态</t>
  </si>
  <si>
    <t>1200出货量</t>
  </si>
  <si>
    <t>236S055BR</t>
  </si>
  <si>
    <t>000000008000004311</t>
  </si>
  <si>
    <t>AUDI AU4010 FSAB RH   B状态</t>
  </si>
  <si>
    <t>AUDI AU4010 FSAB LH   C状态</t>
  </si>
  <si>
    <t>236S055CL</t>
  </si>
  <si>
    <t>AUDI AU4010 FSAB RH   C状态</t>
  </si>
  <si>
    <t>236S055CR</t>
  </si>
  <si>
    <t>AUDI AU336 RSAB LH</t>
  </si>
  <si>
    <t>AUDI AU336 RSAB RH</t>
  </si>
  <si>
    <t>S3702</t>
  </si>
  <si>
    <t>207P24A</t>
  </si>
  <si>
    <t>000000008000004170</t>
  </si>
  <si>
    <t>HONDA TH82P1 A状态</t>
  </si>
  <si>
    <t>H40742</t>
  </si>
  <si>
    <t>AUTOLIV TH</t>
  </si>
  <si>
    <t>HONDA TH82P1 PAB A状态（泰国）</t>
  </si>
  <si>
    <t>S3703</t>
  </si>
  <si>
    <t>218D042</t>
  </si>
  <si>
    <t>000000008000002950</t>
  </si>
  <si>
    <t>FORD CDX706 DAB</t>
  </si>
  <si>
    <t>S3704</t>
  </si>
  <si>
    <t>21AS078L</t>
  </si>
  <si>
    <t>000000008000003498</t>
  </si>
  <si>
    <t>GWM M81 M83 SAB LH</t>
  </si>
  <si>
    <t>21AS078R</t>
  </si>
  <si>
    <t>000000008000003499</t>
  </si>
  <si>
    <t>GWM M81 M83 SAB RH</t>
  </si>
  <si>
    <t>241S005AL</t>
  </si>
  <si>
    <t>000000008000004438</t>
  </si>
  <si>
    <t>FY RSAB LH A状态</t>
  </si>
  <si>
    <t>241S005AR</t>
  </si>
  <si>
    <t>000000008000004439</t>
  </si>
  <si>
    <t>FY RSAB RH A状态</t>
  </si>
  <si>
    <t>219S066L</t>
  </si>
  <si>
    <t>000000008000002961</t>
  </si>
  <si>
    <t>GWM A08 SAB LH</t>
  </si>
  <si>
    <t>H41132 H31232</t>
  </si>
  <si>
    <t>219S066R</t>
  </si>
  <si>
    <t>000000008000002962</t>
  </si>
  <si>
    <t>GWM A08 SAB RH</t>
  </si>
  <si>
    <t>246S076L</t>
  </si>
  <si>
    <t>000000008000004304</t>
  </si>
  <si>
    <t>CHANGAN D587 FSAB LH</t>
  </si>
  <si>
    <t>H31242 H21912 H41142</t>
  </si>
  <si>
    <t>246S076R</t>
  </si>
  <si>
    <t>000000008000004305</t>
  </si>
  <si>
    <t>CHANGAN D587 FSAB RH</t>
  </si>
  <si>
    <t>221S008L</t>
  </si>
  <si>
    <t>000000008000003896</t>
  </si>
  <si>
    <t>GWM B16 SAB LH</t>
  </si>
  <si>
    <t>221S008R</t>
  </si>
  <si>
    <t>000000008000003897</t>
  </si>
  <si>
    <t>GWM B16 SAB RH</t>
  </si>
  <si>
    <t>218S059AL</t>
  </si>
  <si>
    <t>GWM EC24 SAB LH A状态</t>
  </si>
  <si>
    <t>218S059AR</t>
  </si>
  <si>
    <t>GWM EC24 SAB RH A状态</t>
  </si>
  <si>
    <t>S3705</t>
  </si>
  <si>
    <t>214S022BL</t>
  </si>
  <si>
    <t>000000008000005262</t>
  </si>
  <si>
    <t>Ford CDX707 FSAB LH B状态</t>
  </si>
  <si>
    <t>214S022BR</t>
  </si>
  <si>
    <t>000000008000005263</t>
  </si>
  <si>
    <t>Ford CDX707 FSAB RH B状态</t>
  </si>
  <si>
    <t>213S018AL</t>
  </si>
  <si>
    <t>000000008000004755</t>
  </si>
  <si>
    <t>FORD CDX706 SAB LH A状态</t>
  </si>
  <si>
    <t>20260805业务通知暂停生产.</t>
  </si>
  <si>
    <t>931不要多不要少不要留未满箱</t>
  </si>
  <si>
    <t>左边未满箱49</t>
  </si>
  <si>
    <t>213S018AR</t>
  </si>
  <si>
    <t>000000008000004756</t>
  </si>
  <si>
    <t>FORD CDX706 SAB RH A状态</t>
  </si>
  <si>
    <t>9不要多不要少不要留未满箱</t>
  </si>
  <si>
    <t>右边未满箱61</t>
  </si>
  <si>
    <t>FORD CDX706 SAB LH B状态</t>
  </si>
  <si>
    <t>213S018BL</t>
  </si>
  <si>
    <t>FORD CDX706 SAB RH B状态</t>
  </si>
  <si>
    <t>213S018BR</t>
  </si>
  <si>
    <t>229S076L</t>
  </si>
  <si>
    <t>000000008000004149</t>
  </si>
  <si>
    <t>VW426/1 RSAB SAB LH</t>
  </si>
  <si>
    <t>229S076R</t>
  </si>
  <si>
    <t>000000008000004150</t>
  </si>
  <si>
    <t>VW426/1 RSAB SAB RH</t>
  </si>
  <si>
    <t>S3706</t>
  </si>
  <si>
    <t>20BS005BL</t>
  </si>
  <si>
    <t>000000008000003709</t>
  </si>
  <si>
    <t>BMW G68 FSAB LH B状态</t>
  </si>
  <si>
    <t>20BS005BR</t>
  </si>
  <si>
    <t>000000008000003710</t>
  </si>
  <si>
    <t>BMW G68 FSAB RH B状态</t>
  </si>
  <si>
    <t>S3711</t>
  </si>
  <si>
    <t>203P13</t>
  </si>
  <si>
    <t>000000008000002993</t>
  </si>
  <si>
    <t>MIFA PAB</t>
  </si>
  <si>
    <t>P31141 P31141-2C P60119</t>
  </si>
  <si>
    <t>249P138</t>
  </si>
  <si>
    <t>000000008000004363</t>
  </si>
  <si>
    <t>SGM 557 PAB</t>
  </si>
  <si>
    <t>H31232 P60119 H60731</t>
  </si>
  <si>
    <t>YANFENG AU</t>
  </si>
  <si>
    <t>19CP112A</t>
  </si>
  <si>
    <t>000000008000003255</t>
  </si>
  <si>
    <t>INEOS PAB A状态</t>
  </si>
  <si>
    <t>每次出货5000</t>
  </si>
  <si>
    <t>ECE PAB</t>
  </si>
  <si>
    <t>229P066</t>
  </si>
  <si>
    <t>INEOS US PAB</t>
  </si>
  <si>
    <t>231P003</t>
  </si>
  <si>
    <t>MIFA MY25 PAB</t>
  </si>
  <si>
    <t>24BP165</t>
  </si>
  <si>
    <t>S3712</t>
  </si>
  <si>
    <t>193C06CL</t>
  </si>
  <si>
    <t>000000008000003855</t>
  </si>
  <si>
    <t>L42P 19 IC LH C状态</t>
  </si>
  <si>
    <t>H30432 H31232 H40732 H41132 P31141 H24018</t>
  </si>
  <si>
    <t>193C06CR</t>
  </si>
  <si>
    <t>000000008000003856</t>
  </si>
  <si>
    <t>L42P 19 IC RH C状态</t>
  </si>
  <si>
    <t>S3801</t>
  </si>
  <si>
    <t>246S072L</t>
  </si>
  <si>
    <t>000000008000004292</t>
  </si>
  <si>
    <t>CHANGAN D587 RSAB LH</t>
  </si>
  <si>
    <t>232S013L</t>
  </si>
  <si>
    <t>246S072R</t>
  </si>
  <si>
    <t>000000008000004293</t>
  </si>
  <si>
    <t>CHANGAN D587 RSAB RH</t>
  </si>
  <si>
    <t>232S013R</t>
  </si>
  <si>
    <t>216S032AL</t>
  </si>
  <si>
    <t>000000008000004762</t>
  </si>
  <si>
    <t>P06 SAB L A状态</t>
  </si>
  <si>
    <t>216S032AR</t>
  </si>
  <si>
    <t>000000008000004763</t>
  </si>
  <si>
    <t>P06 SAB R A状态</t>
  </si>
  <si>
    <t>217S044L</t>
  </si>
  <si>
    <t>000000008000002826</t>
  </si>
  <si>
    <t>217S044L GWM ES13 SAB L</t>
  </si>
  <si>
    <t>保定</t>
  </si>
  <si>
    <t>217S044R</t>
  </si>
  <si>
    <t>000000008000002827</t>
  </si>
  <si>
    <t>217S044R GWM ES13 SAB R</t>
  </si>
  <si>
    <t>GWM ES13 SAB LH (上海)</t>
  </si>
  <si>
    <t>000000008000003898</t>
  </si>
  <si>
    <r>
      <rPr>
        <sz val="10"/>
        <rFont val="宋体"/>
        <charset val="134"/>
      </rPr>
      <t xml:space="preserve">217S044L GWM ES13 SAB L  </t>
    </r>
    <r>
      <rPr>
        <sz val="11"/>
        <color rgb="FFFF0000"/>
        <rFont val="宋体"/>
        <charset val="134"/>
      </rPr>
      <t>（上海）</t>
    </r>
  </si>
  <si>
    <t>上海很少做</t>
  </si>
  <si>
    <t>GWM ES13 SAB RH (上海)</t>
  </si>
  <si>
    <t>000000008000003899</t>
  </si>
  <si>
    <r>
      <rPr>
        <sz val="10"/>
        <rFont val="宋体"/>
        <charset val="134"/>
      </rPr>
      <t xml:space="preserve">217S044R GWM ES13 SAB R   </t>
    </r>
    <r>
      <rPr>
        <sz val="11"/>
        <color rgb="FFFF0000"/>
        <rFont val="宋体"/>
        <charset val="134"/>
      </rPr>
      <t>（上海）</t>
    </r>
  </si>
  <si>
    <t>214S023L</t>
  </si>
  <si>
    <t>000000008000002676</t>
  </si>
  <si>
    <t>GWM P05 FSAB LH</t>
  </si>
  <si>
    <t>H41132 H31242</t>
  </si>
  <si>
    <t>214S023R</t>
  </si>
  <si>
    <t>000000008000002677</t>
  </si>
  <si>
    <t>GWM P05 FSAB RH</t>
  </si>
  <si>
    <t>235S043L</t>
  </si>
  <si>
    <t>000000008000003661</t>
  </si>
  <si>
    <r>
      <rPr>
        <sz val="10"/>
        <rFont val="宋体"/>
        <charset val="134"/>
      </rPr>
      <t xml:space="preserve">GWM P05 FSAB </t>
    </r>
    <r>
      <rPr>
        <sz val="14"/>
        <color rgb="FFFF0000"/>
        <rFont val="宋体"/>
        <charset val="134"/>
      </rPr>
      <t>AU</t>
    </r>
    <r>
      <rPr>
        <sz val="10"/>
        <rFont val="宋体"/>
        <charset val="134"/>
      </rPr>
      <t xml:space="preserve"> LH</t>
    </r>
  </si>
  <si>
    <t>235S043R</t>
  </si>
  <si>
    <t>000000008000003662</t>
  </si>
  <si>
    <r>
      <rPr>
        <sz val="10"/>
        <rFont val="宋体"/>
        <charset val="134"/>
      </rPr>
      <t xml:space="preserve">GWM P05 FSAB </t>
    </r>
    <r>
      <rPr>
        <sz val="14"/>
        <color rgb="FFFF0000"/>
        <rFont val="宋体"/>
        <charset val="134"/>
      </rPr>
      <t>AU</t>
    </r>
    <r>
      <rPr>
        <sz val="10"/>
        <rFont val="宋体"/>
        <charset val="134"/>
      </rPr>
      <t xml:space="preserve"> RH</t>
    </r>
  </si>
  <si>
    <t>000000008000003875</t>
  </si>
  <si>
    <t>NIO FORCE 1.F SAB LH</t>
  </si>
  <si>
    <t>000000008000003876</t>
  </si>
  <si>
    <t>NIO FORCE 1.F SAB RH</t>
  </si>
  <si>
    <t>209S55BL</t>
  </si>
  <si>
    <t>NIO Force SAB LH B状态</t>
  </si>
  <si>
    <t xml:space="preserve">H41132 H31242 </t>
  </si>
  <si>
    <t>209S55BR</t>
  </si>
  <si>
    <t>NIO Force SAB RH B状态</t>
  </si>
  <si>
    <t>NIO Force SAB LH C状态</t>
  </si>
  <si>
    <t xml:space="preserve">209S55CL </t>
  </si>
  <si>
    <t>NIO Force SAB RH C状态</t>
  </si>
  <si>
    <t xml:space="preserve">209S55CR </t>
  </si>
  <si>
    <t>S3802</t>
  </si>
  <si>
    <t>226S056AL</t>
  </si>
  <si>
    <t>000000008000003537</t>
  </si>
  <si>
    <t>NIO SIRIUS SAB LH A状态</t>
  </si>
  <si>
    <t>H20932 H31242 H22642 H24212</t>
  </si>
  <si>
    <t>226S056AR</t>
  </si>
  <si>
    <t>000000008000003538</t>
  </si>
  <si>
    <t>NIO SIRIUS SAB RH A状态</t>
  </si>
  <si>
    <t>173S12DL</t>
  </si>
  <si>
    <t>000000008000003648</t>
  </si>
  <si>
    <t>AUDI AU326 FSAB C-IASI LH D状态</t>
  </si>
  <si>
    <t>H40232 H21019 H21912 H41132</t>
  </si>
  <si>
    <t>173S12DR</t>
  </si>
  <si>
    <t>000000008000003649</t>
  </si>
  <si>
    <t>AUDI AU326 FSAB C-IASI RH D状态</t>
  </si>
  <si>
    <t>206S40AL</t>
  </si>
  <si>
    <t>VW413/1 CN_B FSAB LH A状态</t>
  </si>
  <si>
    <t>H41142 H21018 H21912 H31232</t>
  </si>
  <si>
    <t>20260604业务通知EOP关闭系统.</t>
  </si>
  <si>
    <t>206S40AR</t>
  </si>
  <si>
    <t>VW413/1 CN_B FSAB RH A状态</t>
  </si>
  <si>
    <t>OE SAB LH</t>
  </si>
  <si>
    <t>20CS008L</t>
  </si>
  <si>
    <t>OE SAB RH</t>
  </si>
  <si>
    <t>20CS008R</t>
  </si>
  <si>
    <t>S3803</t>
  </si>
  <si>
    <t>在S6206线</t>
  </si>
  <si>
    <t>000000008000003926</t>
  </si>
  <si>
    <t>21CS092L</t>
  </si>
  <si>
    <t>000000008000002894</t>
  </si>
  <si>
    <t>TESLA TES Y SAB LH</t>
  </si>
  <si>
    <t>H41142 H31242 H24212</t>
  </si>
  <si>
    <t>20250120左右EOP售后件后续在3803线做</t>
  </si>
  <si>
    <t>21CS092R</t>
  </si>
  <si>
    <t>000000008000002895</t>
  </si>
  <si>
    <t>TESLA TES Y SAB RH</t>
  </si>
  <si>
    <t>TESLA TES Y SAB A状态</t>
  </si>
  <si>
    <t>21CS092AL</t>
  </si>
  <si>
    <t xml:space="preserve">21CS092AR </t>
  </si>
  <si>
    <t>TESLA TES Y SAB EC</t>
  </si>
  <si>
    <t xml:space="preserve">21CS092AL </t>
  </si>
  <si>
    <t>MY SAB C状态</t>
  </si>
  <si>
    <t xml:space="preserve">21CS092BL </t>
  </si>
  <si>
    <t xml:space="preserve">21CS092BR </t>
  </si>
  <si>
    <t>S3811</t>
  </si>
  <si>
    <t>213S017L</t>
  </si>
  <si>
    <t>000000008000003226</t>
  </si>
  <si>
    <t>GEELY FX11 SAB L</t>
  </si>
  <si>
    <t>H20632 H41132 H22412</t>
  </si>
  <si>
    <t>1706同打样</t>
  </si>
  <si>
    <t>213S017R</t>
  </si>
  <si>
    <t>000000008000003227</t>
  </si>
  <si>
    <t>GEELY FX11 SAB R</t>
  </si>
  <si>
    <t>206S41L</t>
  </si>
  <si>
    <t>000000008000002890</t>
  </si>
  <si>
    <r>
      <rPr>
        <sz val="10"/>
        <rFont val="宋体"/>
        <charset val="134"/>
      </rPr>
      <t xml:space="preserve">INEOS Grenadier </t>
    </r>
    <r>
      <rPr>
        <sz val="14"/>
        <color rgb="FFFF0000"/>
        <rFont val="宋体"/>
        <charset val="134"/>
      </rPr>
      <t>ECE</t>
    </r>
    <r>
      <rPr>
        <sz val="10"/>
        <rFont val="宋体"/>
        <charset val="134"/>
      </rPr>
      <t xml:space="preserve"> SAB LH</t>
    </r>
  </si>
  <si>
    <t>H20642 H24012 H41132</t>
  </si>
  <si>
    <t>206S41R</t>
  </si>
  <si>
    <t>000000008000002891</t>
  </si>
  <si>
    <r>
      <rPr>
        <sz val="10"/>
        <rFont val="宋体"/>
        <charset val="134"/>
      </rPr>
      <t xml:space="preserve">INEOS Grenadier </t>
    </r>
    <r>
      <rPr>
        <sz val="14"/>
        <color rgb="FFFF0000"/>
        <rFont val="宋体"/>
        <charset val="134"/>
      </rPr>
      <t>ECE</t>
    </r>
    <r>
      <rPr>
        <sz val="10"/>
        <rFont val="宋体"/>
        <charset val="134"/>
      </rPr>
      <t xml:space="preserve"> SAB RH</t>
    </r>
  </si>
  <si>
    <t>218S060AL</t>
  </si>
  <si>
    <t>000000008000003640</t>
  </si>
  <si>
    <r>
      <rPr>
        <sz val="10"/>
        <rFont val="宋体"/>
        <charset val="134"/>
      </rPr>
      <t xml:space="preserve">INEOS GRENADIER </t>
    </r>
    <r>
      <rPr>
        <sz val="16"/>
        <color rgb="FFFF0000"/>
        <rFont val="宋体"/>
        <charset val="134"/>
      </rPr>
      <t>US</t>
    </r>
    <r>
      <rPr>
        <sz val="10"/>
        <rFont val="宋体"/>
        <charset val="134"/>
      </rPr>
      <t xml:space="preserve"> SAB L A状态</t>
    </r>
  </si>
  <si>
    <t>218S060AR</t>
  </si>
  <si>
    <t>000000008000003641</t>
  </si>
  <si>
    <r>
      <rPr>
        <sz val="10"/>
        <rFont val="宋体"/>
        <charset val="134"/>
      </rPr>
      <t xml:space="preserve">INEOS GRENADIER </t>
    </r>
    <r>
      <rPr>
        <sz val="16"/>
        <color rgb="FFFF0000"/>
        <rFont val="宋体"/>
        <charset val="134"/>
      </rPr>
      <t>US</t>
    </r>
    <r>
      <rPr>
        <sz val="10"/>
        <rFont val="宋体"/>
        <charset val="134"/>
      </rPr>
      <t xml:space="preserve"> SAB R A状态</t>
    </r>
  </si>
  <si>
    <t>204S21L</t>
  </si>
  <si>
    <t>000000008000002987</t>
  </si>
  <si>
    <t>MIFA SAB L</t>
  </si>
  <si>
    <t>H20642 H24012 H41132 P40431</t>
  </si>
  <si>
    <t>204S21R</t>
  </si>
  <si>
    <t>000000008000002988</t>
  </si>
  <si>
    <t>MIFA SAB R</t>
  </si>
  <si>
    <t>S3812</t>
  </si>
  <si>
    <t>205S30CL</t>
  </si>
  <si>
    <t>000000008000003911</t>
  </si>
  <si>
    <t>HONDA TH82S1 FSAB LH C状态</t>
  </si>
  <si>
    <t>205S30CR</t>
  </si>
  <si>
    <t>000000008000003912</t>
  </si>
  <si>
    <t>HONDA TH82S1 FSAB RH C状态</t>
  </si>
  <si>
    <t>LD30A</t>
  </si>
  <si>
    <t>248C029AT</t>
  </si>
  <si>
    <t>000000005000023171</t>
  </si>
  <si>
    <t>AH4EM CAB拉带      A状态</t>
  </si>
  <si>
    <t>LD-30</t>
  </si>
  <si>
    <t>248C029AQ</t>
  </si>
  <si>
    <t>000000005000023172</t>
  </si>
  <si>
    <t>AH4EM CAB导气袋     A状态</t>
  </si>
  <si>
    <t>S3101</t>
  </si>
  <si>
    <t>248C029AL</t>
  </si>
  <si>
    <t>000000008000005444</t>
  </si>
  <si>
    <t>SAIC AH4EM CAB LH    A状态</t>
  </si>
  <si>
    <t>H21012 H41132 P31141 P40431</t>
  </si>
  <si>
    <t>400PPAP.</t>
  </si>
  <si>
    <t>407首次大货</t>
  </si>
  <si>
    <t>248C029AR</t>
  </si>
  <si>
    <t>000000008000005445</t>
  </si>
  <si>
    <t>SAIC AH4EM CAB RH     A状态</t>
  </si>
  <si>
    <t>402首次大货</t>
  </si>
  <si>
    <t>15BC34T</t>
  </si>
  <si>
    <t>000000005000001336</t>
  </si>
  <si>
    <t>15BC34T S401 CAB  拉带</t>
  </si>
  <si>
    <t>LD-08</t>
  </si>
  <si>
    <t>15BC34D</t>
  </si>
  <si>
    <t>000000005000001261</t>
  </si>
  <si>
    <t>15BC34D S401 CAB  导气袋</t>
  </si>
  <si>
    <t>15BC34L</t>
  </si>
  <si>
    <t>000000008000000883</t>
  </si>
  <si>
    <t>15BC34L S401 CAB LH</t>
  </si>
  <si>
    <t xml:space="preserve">P40431 P31131 </t>
  </si>
  <si>
    <t>15BC34R</t>
  </si>
  <si>
    <t>000000008000000884</t>
  </si>
  <si>
    <t>15BC34R S401 CAB RH</t>
  </si>
  <si>
    <t>MD-02</t>
  </si>
  <si>
    <t>174C20XA</t>
  </si>
  <si>
    <t>000000005000009018</t>
  </si>
  <si>
    <t>174C20XA.A06 CAB 导向布 A状态</t>
  </si>
  <si>
    <t>174C20T</t>
  </si>
  <si>
    <t>000000005000001344</t>
  </si>
  <si>
    <t>174C20L  A06 CAB  拉带</t>
  </si>
  <si>
    <t>LD06</t>
  </si>
  <si>
    <t>174C20Q</t>
  </si>
  <si>
    <t>000000005000001268</t>
  </si>
  <si>
    <t>174C20L  A06 CAB  导气袋</t>
  </si>
  <si>
    <t>174C20L</t>
  </si>
  <si>
    <t>000000008000000837</t>
  </si>
  <si>
    <t>174C20L A06 CAB L</t>
  </si>
  <si>
    <t>183C08AT</t>
  </si>
  <si>
    <t>SV51-01 CAB  拉带</t>
  </si>
  <si>
    <t>LD-13</t>
  </si>
  <si>
    <t>183C08AQ</t>
  </si>
  <si>
    <t>SV51-01 CAB 导气袋</t>
  </si>
  <si>
    <t>183C08AL</t>
  </si>
  <si>
    <t>SV51-01 CAB L</t>
  </si>
  <si>
    <t>H40202 H31532 H41132 H42612</t>
  </si>
  <si>
    <t>183C08AR</t>
  </si>
  <si>
    <t>SV51-01 CAB R</t>
  </si>
  <si>
    <t>B211 CAB 导气袋</t>
  </si>
  <si>
    <t>13CC55Q</t>
  </si>
  <si>
    <t>B211 CAB 拉带</t>
  </si>
  <si>
    <t>13CC55T</t>
  </si>
  <si>
    <t>B211 CAB</t>
  </si>
  <si>
    <t>163C08X</t>
  </si>
  <si>
    <t>000000005000001262</t>
  </si>
  <si>
    <t>K256 CAB  导气袋</t>
  </si>
  <si>
    <t>163C08T</t>
  </si>
  <si>
    <t>000000005000001339</t>
  </si>
  <si>
    <t>K256 CAB  拉带</t>
  </si>
  <si>
    <t>163C08L</t>
  </si>
  <si>
    <t>000000008000000885</t>
  </si>
  <si>
    <t>163C08L K256 CAB L</t>
  </si>
  <si>
    <t>163C08R</t>
  </si>
  <si>
    <t>000000008000000886</t>
  </si>
  <si>
    <t>163C08R K256 CAB R</t>
  </si>
  <si>
    <t>LD09</t>
  </si>
  <si>
    <t xml:space="preserve">NL-3 CAB 新状态 
导气袋   </t>
  </si>
  <si>
    <t xml:space="preserve"> H30432 H41132</t>
  </si>
  <si>
    <t xml:space="preserve"> NL-3 CAB 拉带    </t>
  </si>
  <si>
    <t>S3103</t>
  </si>
  <si>
    <t xml:space="preserve">146C14BL NL-3 CAB 第三次变更 </t>
  </si>
  <si>
    <t xml:space="preserve">P31131 </t>
  </si>
  <si>
    <t>LD04</t>
  </si>
  <si>
    <t>000000005000001348</t>
  </si>
  <si>
    <t>C51E CAB 拉带</t>
  </si>
  <si>
    <t>LD03</t>
  </si>
  <si>
    <t>DQ04</t>
  </si>
  <si>
    <t>000000005000001271</t>
  </si>
  <si>
    <t>C51E CAB 导气袋</t>
  </si>
  <si>
    <t>14AC35L</t>
  </si>
  <si>
    <t>14AC35 L C51E CAB L</t>
  </si>
  <si>
    <t>P31131 
H41132
H30432</t>
  </si>
  <si>
    <t>14AC35R</t>
  </si>
  <si>
    <t>14AC35 R C51E CAB R</t>
  </si>
  <si>
    <t>LD-06</t>
  </si>
  <si>
    <t>166C22D</t>
  </si>
  <si>
    <t>000000005000001263</t>
  </si>
  <si>
    <t>A5H 导气袋</t>
  </si>
  <si>
    <t>166C22T</t>
  </si>
  <si>
    <t>000000005000001340</t>
  </si>
  <si>
    <t xml:space="preserve"> A5H CAB   拉带</t>
  </si>
  <si>
    <t>166C22L</t>
  </si>
  <si>
    <t>166C22L  A5H CABL</t>
  </si>
  <si>
    <t>JBUC CAB导气袋</t>
  </si>
  <si>
    <t xml:space="preserve">H41132 H42612 </t>
  </si>
  <si>
    <t xml:space="preserve">JBUC CAB L   </t>
  </si>
  <si>
    <t xml:space="preserve">C2106  H31532 </t>
  </si>
  <si>
    <t xml:space="preserve">JBUC CAB R   </t>
  </si>
  <si>
    <t xml:space="preserve">C2106 H31532 </t>
  </si>
  <si>
    <t>9930 CAB 导气袋</t>
  </si>
  <si>
    <t>9930 CAB 拉带</t>
  </si>
  <si>
    <t xml:space="preserve">9930 CAB L   </t>
  </si>
  <si>
    <t>183C07Q</t>
  </si>
  <si>
    <t>000000005000005518</t>
  </si>
  <si>
    <t>NL-3RA CAB 导气袋</t>
  </si>
  <si>
    <t>183C07T</t>
  </si>
  <si>
    <t>000000005000005517</t>
  </si>
  <si>
    <t>NL-3RA CAB 拉带</t>
  </si>
  <si>
    <t>183C07L</t>
  </si>
  <si>
    <t>000000008000000845</t>
  </si>
  <si>
    <t>NL-3RA CAB L</t>
  </si>
  <si>
    <t>P31131 H30432 H41132 H42612</t>
  </si>
  <si>
    <t>183C07R</t>
  </si>
  <si>
    <t>000000008000000846</t>
  </si>
  <si>
    <t>NL-3RA CAB R</t>
  </si>
  <si>
    <t>LD15A</t>
  </si>
  <si>
    <t>186C19T</t>
  </si>
  <si>
    <t>000000005000006401</t>
  </si>
  <si>
    <t>ZS11 CAB 拉带</t>
  </si>
  <si>
    <t>700按量做</t>
  </si>
  <si>
    <t>LD-15</t>
  </si>
  <si>
    <t>186C19Q</t>
  </si>
  <si>
    <t>000000005000006402</t>
  </si>
  <si>
    <t>ZS11 CAB 导气袋</t>
  </si>
  <si>
    <t>650按量做</t>
  </si>
  <si>
    <t>186C19L</t>
  </si>
  <si>
    <t>000000008000001905</t>
  </si>
  <si>
    <t>ZS11 CAB L 延锋智能</t>
  </si>
  <si>
    <t>ZS11 CAB 3103线有两台机可以做550</t>
  </si>
  <si>
    <t>100收尾</t>
  </si>
  <si>
    <t>490出货量按量做</t>
  </si>
  <si>
    <t>LD-56</t>
  </si>
  <si>
    <t>257C011Q</t>
  </si>
  <si>
    <t>000000005000021836</t>
  </si>
  <si>
    <t>SAIC IP5PM CAB 导气袋</t>
  </si>
  <si>
    <t>LD56A</t>
  </si>
  <si>
    <t>257C011T</t>
  </si>
  <si>
    <t>000000005000021837</t>
  </si>
  <si>
    <t>SAIC IP5PM CAB 拉带</t>
  </si>
  <si>
    <t>257C011L</t>
  </si>
  <si>
    <t>000000008000005120</t>
  </si>
  <si>
    <t>SAIC IP5PM CAB L</t>
  </si>
  <si>
    <t>H21012 P31141 P42031</t>
  </si>
  <si>
    <t>257C011R</t>
  </si>
  <si>
    <t>000000008000005121</t>
  </si>
  <si>
    <t>SAIC IP5PM CAB R</t>
  </si>
  <si>
    <t>248C028T</t>
  </si>
  <si>
    <t>000000005000016987</t>
  </si>
  <si>
    <t>GEELY E245 CAB 拉带</t>
  </si>
  <si>
    <t>248C028Q</t>
  </si>
  <si>
    <t>000000005000017012</t>
  </si>
  <si>
    <t>GEELY E245 CAB 导气袋</t>
  </si>
  <si>
    <t>S3104</t>
  </si>
  <si>
    <t>248C028L</t>
  </si>
  <si>
    <t>000000008000004224</t>
  </si>
  <si>
    <t>GEELY E245 CAB L</t>
  </si>
  <si>
    <t>252同一组</t>
  </si>
  <si>
    <t>GEELY E245 CAB R</t>
  </si>
  <si>
    <t>3107线</t>
  </si>
  <si>
    <t>20BC001T</t>
  </si>
  <si>
    <t>000000005000009057</t>
  </si>
  <si>
    <t>20BC001T EP22 EU CAB 拉带</t>
  </si>
  <si>
    <t>20BC001Q</t>
  </si>
  <si>
    <t>000000005000009056</t>
  </si>
  <si>
    <t>20BC001Q EP22 EU CAB 导气袋</t>
  </si>
  <si>
    <t>20BC001L</t>
  </si>
  <si>
    <t>000000008000002501</t>
  </si>
  <si>
    <t>20BC001L EP22 EU CAB L</t>
  </si>
  <si>
    <t>P40431 P31141 H41132 H42612</t>
  </si>
  <si>
    <t>171C01AQ</t>
  </si>
  <si>
    <t>171C01AQ  CUV CAB  导气袋</t>
  </si>
  <si>
    <t>20250509已经收尾完成</t>
  </si>
  <si>
    <t>171C01AL</t>
  </si>
  <si>
    <t>171C01AL   CUV CAB L</t>
  </si>
  <si>
    <t>171C01AR</t>
  </si>
  <si>
    <t>171C01AR   CUV CAB R</t>
  </si>
  <si>
    <t>S3103线生产3104已经没有未满箱</t>
  </si>
  <si>
    <t>137C29L S301 CAB</t>
  </si>
  <si>
    <t>P31131 H21011 H41132</t>
  </si>
  <si>
    <t>S3105线生产3104已经没有未满箱</t>
  </si>
  <si>
    <t>177C27Q</t>
  </si>
  <si>
    <t>000000005000001269</t>
  </si>
  <si>
    <t>177C27Q CN202S CAB 导气袋</t>
  </si>
  <si>
    <t>H42612 H41132</t>
  </si>
  <si>
    <t>177C27LT</t>
  </si>
  <si>
    <t>000000005000001345</t>
  </si>
  <si>
    <t>177C27LT CN202S CAB 拉带</t>
  </si>
  <si>
    <t>DW102</t>
  </si>
  <si>
    <t>S3105</t>
  </si>
  <si>
    <t>177C27L</t>
  </si>
  <si>
    <t>000000008000000893</t>
  </si>
  <si>
    <t>177C27L CN202S CAB L</t>
  </si>
  <si>
    <t>P31141 P31131 H41132 H42612</t>
  </si>
  <si>
    <t>157补片收尾</t>
  </si>
  <si>
    <t>177C27RT</t>
  </si>
  <si>
    <t>000000005000001346</t>
  </si>
  <si>
    <t>177C27RT CN202S CAB 拉带</t>
  </si>
  <si>
    <t>177C27R</t>
  </si>
  <si>
    <t>000000008000000894</t>
  </si>
  <si>
    <t>177C27R CN202S CAB R</t>
  </si>
  <si>
    <t>3104线</t>
  </si>
  <si>
    <t>DQ05</t>
  </si>
  <si>
    <t>000000005000001272</t>
  </si>
  <si>
    <t>S301 CAB 导气袋</t>
  </si>
  <si>
    <t>137C29D</t>
  </si>
  <si>
    <t>000000005000001349</t>
  </si>
  <si>
    <t>S301 CAB  拉带</t>
  </si>
  <si>
    <t>137C29L</t>
  </si>
  <si>
    <t>000000008000000856</t>
  </si>
  <si>
    <t>S301 CAB</t>
  </si>
  <si>
    <t>179C36BT</t>
  </si>
  <si>
    <t>AS23 CAB  拉带</t>
  </si>
  <si>
    <t>179C36BQ</t>
  </si>
  <si>
    <t>AS23 CAB  导气袋</t>
  </si>
  <si>
    <t>179C36BL</t>
  </si>
  <si>
    <t>AS23 CAB L B状态</t>
  </si>
  <si>
    <t>H40222 H30432 H42612 P31131</t>
  </si>
  <si>
    <t>179C36BR</t>
  </si>
  <si>
    <t>AS23 CAB R B状态</t>
  </si>
  <si>
    <t>179C36CT</t>
  </si>
  <si>
    <t>000000005000022024</t>
  </si>
  <si>
    <t>AS23 CAB C状态拉带</t>
  </si>
  <si>
    <t>179C36CQ</t>
  </si>
  <si>
    <t>000000005000022025</t>
  </si>
  <si>
    <t>AS23 CAB C状态导气袋</t>
  </si>
  <si>
    <t>179C36CL</t>
  </si>
  <si>
    <t>000000008000005170</t>
  </si>
  <si>
    <t>SAIC AS23 CAB LH C状态</t>
  </si>
  <si>
    <t>179C36CR</t>
  </si>
  <si>
    <t>000000008000005171</t>
  </si>
  <si>
    <t>SAIC AS23 CAB RH C状态</t>
  </si>
  <si>
    <t>185C18Q</t>
  </si>
  <si>
    <t>000000005000006125</t>
  </si>
  <si>
    <t>ZS11 E CAB 导气袋</t>
  </si>
  <si>
    <t>185C18T</t>
  </si>
  <si>
    <t>000000005000006126</t>
  </si>
  <si>
    <t>ZS11 E CAB 拉带</t>
  </si>
  <si>
    <t>185C18</t>
  </si>
  <si>
    <t>000000008000001874</t>
  </si>
  <si>
    <t>ZS11 E CAB</t>
  </si>
  <si>
    <t>P40431 P31131 H30432</t>
  </si>
  <si>
    <t>3101线</t>
  </si>
  <si>
    <t>15AC31D</t>
  </si>
  <si>
    <t>000000005000001260</t>
  </si>
  <si>
    <t>SK81导气袋</t>
  </si>
  <si>
    <t>15AC31T</t>
  </si>
  <si>
    <t>000000005000001335</t>
  </si>
  <si>
    <t>SK81 CAB拉带</t>
  </si>
  <si>
    <t>S3106</t>
  </si>
  <si>
    <t>15AC31L</t>
  </si>
  <si>
    <t>000000008000000880</t>
  </si>
  <si>
    <t>15AC31L SK81 CAB LH</t>
  </si>
  <si>
    <t>H30432 P31131 P60119 P40431</t>
  </si>
  <si>
    <t>15AC31R</t>
  </si>
  <si>
    <t>000000008000000881</t>
  </si>
  <si>
    <t>15AC31R SK81 CAB RH</t>
  </si>
  <si>
    <t>169C32Q</t>
  </si>
  <si>
    <t>000000005000001264</t>
  </si>
  <si>
    <t>169C32Q EP22 CAB LH 导气袋</t>
  </si>
  <si>
    <t>169C32T</t>
  </si>
  <si>
    <t>000000005000001341</t>
  </si>
  <si>
    <t>169C32T EP22 CAB LH 拉带</t>
  </si>
  <si>
    <t>拉带跟主片一起安排一个班按500</t>
  </si>
  <si>
    <t>169C32L</t>
  </si>
  <si>
    <t>000000008000000895</t>
  </si>
  <si>
    <t>169C32L EP22 CAB LH</t>
  </si>
  <si>
    <t>146C14AQ</t>
  </si>
  <si>
    <t>000000005000001257</t>
  </si>
  <si>
    <t>NL-3 CAB 新状态 
导气袋</t>
  </si>
  <si>
    <t>000000005000001347</t>
  </si>
  <si>
    <t>NL-3 CAB 拉带</t>
  </si>
  <si>
    <t>146C14BL</t>
  </si>
  <si>
    <t>000000008000000865</t>
  </si>
  <si>
    <t>146C14BL NL-3 CAB 第三次变更</t>
  </si>
  <si>
    <t>S3105线生产3106已经没有未满箱</t>
  </si>
  <si>
    <t>AH4EM CAB拉带</t>
  </si>
  <si>
    <t>AH4EM CAB导气袋</t>
  </si>
  <si>
    <t>SAIC AH4EM CAB LH</t>
  </si>
  <si>
    <t>248C029L</t>
  </si>
  <si>
    <t>还未批准</t>
  </si>
  <si>
    <t>SAIC AH4EM CAB RH</t>
  </si>
  <si>
    <t>248C029R</t>
  </si>
  <si>
    <t>S3107</t>
  </si>
  <si>
    <t>GEELY E245 CAB LH</t>
  </si>
  <si>
    <t>C2148</t>
  </si>
  <si>
    <t>248C028R</t>
  </si>
  <si>
    <t>000000008000004225</t>
  </si>
  <si>
    <t>GEELY E245 CAB RH</t>
  </si>
  <si>
    <t>185W31BT</t>
  </si>
  <si>
    <t>000000005000006663</t>
  </si>
  <si>
    <t>M32T OPW 拉带      B状态</t>
  </si>
  <si>
    <t>185W31BQ</t>
  </si>
  <si>
    <t>000000005000006662</t>
  </si>
  <si>
    <t>M32T OPW
导气袋     B状态</t>
  </si>
  <si>
    <t>185W31BL</t>
  </si>
  <si>
    <t>000000008000001956</t>
  </si>
  <si>
    <t>M32T CAB OPW LH 
B状态</t>
  </si>
  <si>
    <t>185W31BR</t>
  </si>
  <si>
    <t>000000008000001957</t>
  </si>
  <si>
    <t>M32T CAB OPW RH 
B状态</t>
  </si>
  <si>
    <t>131C02AD</t>
  </si>
  <si>
    <t>000000005000001256</t>
  </si>
  <si>
    <t>CH071 CAB 导气袋</t>
  </si>
  <si>
    <t>H30432 H41132</t>
  </si>
  <si>
    <t>131C02AT</t>
  </si>
  <si>
    <t>000000005000001321</t>
  </si>
  <si>
    <t>CH071 CAB 拉带</t>
  </si>
  <si>
    <t>131C02AL</t>
  </si>
  <si>
    <t>000000008000000850</t>
  </si>
  <si>
    <t>131C02AL CH071 CAB L</t>
  </si>
  <si>
    <t xml:space="preserve">P31131 H30432 </t>
  </si>
  <si>
    <t>131C02AR</t>
  </si>
  <si>
    <t>000000008000000851</t>
  </si>
  <si>
    <t>131C02AR CH071 CAB R</t>
  </si>
  <si>
    <t>183C09T</t>
  </si>
  <si>
    <t>000000005000006208</t>
  </si>
  <si>
    <t>SV51-03 CAB  拉带</t>
  </si>
  <si>
    <t>183C09Q</t>
  </si>
  <si>
    <t>000000005000006207</t>
  </si>
  <si>
    <t>SV51-03 CAB 导气袋</t>
  </si>
  <si>
    <t>183C09L</t>
  </si>
  <si>
    <t>000000008000000707</t>
  </si>
  <si>
    <t>SV51-03 CAB L</t>
  </si>
  <si>
    <t>183C09R</t>
  </si>
  <si>
    <t>000000008000000708</t>
  </si>
  <si>
    <t>SV51-03 CAB R</t>
  </si>
  <si>
    <t>S3105线生产3107已经没有未满箱</t>
  </si>
  <si>
    <t>500三课</t>
  </si>
  <si>
    <t>185C17T</t>
  </si>
  <si>
    <t>000000005000005885</t>
  </si>
  <si>
    <t>IP32 CAB 拉带</t>
  </si>
  <si>
    <t>185C17Q</t>
  </si>
  <si>
    <t>000000005000005887</t>
  </si>
  <si>
    <t>IP32 CAB 导气袋</t>
  </si>
  <si>
    <t>S3204</t>
  </si>
  <si>
    <t>185C17L</t>
  </si>
  <si>
    <t>000000008000001852</t>
  </si>
  <si>
    <r>
      <rPr>
        <sz val="10"/>
        <rFont val="宋体"/>
        <charset val="134"/>
      </rPr>
      <t xml:space="preserve">IP32 CAB L </t>
    </r>
    <r>
      <rPr>
        <sz val="12"/>
        <color rgb="FFFF0000"/>
        <rFont val="宋体"/>
        <charset val="134"/>
      </rPr>
      <t>延锋智能</t>
    </r>
  </si>
  <si>
    <t>P40431 P31131 H41132 H42612</t>
  </si>
  <si>
    <t>ZS11 CAB 3204只有一台机只能做260</t>
  </si>
  <si>
    <t>205C09Q</t>
  </si>
  <si>
    <t>000000005000010894</t>
  </si>
  <si>
    <t>INEOS CAB 导气袋</t>
  </si>
  <si>
    <t>S3301</t>
  </si>
  <si>
    <t>205C09L</t>
  </si>
  <si>
    <t>000000008000002980</t>
  </si>
  <si>
    <t>INEOS CAB L</t>
  </si>
  <si>
    <t>P40431 H30432 H41132 H43412</t>
  </si>
  <si>
    <t>205C09R</t>
  </si>
  <si>
    <t>000000008000002981</t>
  </si>
  <si>
    <t>INEOS CAB R</t>
  </si>
  <si>
    <t>RQ-01</t>
  </si>
  <si>
    <t>216X007A</t>
  </si>
  <si>
    <t>GWM B02 CAB STRAP A状态</t>
  </si>
  <si>
    <t>5000013353</t>
  </si>
  <si>
    <r>
      <rPr>
        <sz val="10"/>
        <rFont val="宋体"/>
        <charset val="134"/>
      </rPr>
      <t xml:space="preserve"> GWM B02 </t>
    </r>
    <r>
      <rPr>
        <sz val="16"/>
        <color rgb="FFFF0000"/>
        <rFont val="宋体"/>
        <charset val="134"/>
      </rPr>
      <t>CAB</t>
    </r>
    <r>
      <rPr>
        <sz val="10"/>
        <rFont val="宋体"/>
        <charset val="134"/>
      </rPr>
      <t xml:space="preserve"> STRAP A状态</t>
    </r>
  </si>
  <si>
    <t>一箱1000</t>
  </si>
  <si>
    <t>20CX004</t>
  </si>
  <si>
    <t>GWM P03 CAB STRAP</t>
  </si>
  <si>
    <t>5000010207</t>
  </si>
  <si>
    <t>20CX004 GWM P03 CAB STRAP</t>
  </si>
  <si>
    <t>209X12</t>
  </si>
  <si>
    <t>A02 拉带</t>
  </si>
  <si>
    <t>5000008647</t>
  </si>
  <si>
    <t>197X12A</t>
  </si>
  <si>
    <t>DW119 拉带</t>
  </si>
  <si>
    <t>5000008648</t>
  </si>
  <si>
    <t>197X12A DW119 拉带</t>
  </si>
  <si>
    <r>
      <rPr>
        <sz val="8"/>
        <rFont val="宋体"/>
        <charset val="134"/>
      </rPr>
      <t>一箱</t>
    </r>
    <r>
      <rPr>
        <sz val="8"/>
        <color rgb="FFFF0000"/>
        <rFont val="宋体"/>
        <charset val="134"/>
      </rPr>
      <t>400</t>
    </r>
  </si>
  <si>
    <t>217X012</t>
  </si>
  <si>
    <t>GWM B02 KAB STRAP</t>
  </si>
  <si>
    <t>5000009789</t>
  </si>
  <si>
    <r>
      <rPr>
        <sz val="10"/>
        <rFont val="宋体"/>
        <charset val="134"/>
      </rPr>
      <t xml:space="preserve">217X012 GWM B02 </t>
    </r>
    <r>
      <rPr>
        <sz val="16"/>
        <color rgb="FFFF0000"/>
        <rFont val="宋体"/>
        <charset val="134"/>
      </rPr>
      <t>KAB</t>
    </r>
    <r>
      <rPr>
        <sz val="10"/>
        <rFont val="宋体"/>
        <charset val="134"/>
      </rPr>
      <t xml:space="preserve"> STRAP</t>
    </r>
  </si>
  <si>
    <t>218X013</t>
  </si>
  <si>
    <t>SGM BEV3 CAB STRAP</t>
  </si>
  <si>
    <t>5000010208</t>
  </si>
  <si>
    <t>218X013 SGM BEV3 CAB STRAP</t>
  </si>
  <si>
    <t>25BX027</t>
  </si>
  <si>
    <t>CHERY EHV HAB气袋拉带</t>
  </si>
  <si>
    <t>5000020721</t>
  </si>
  <si>
    <t>25BX027 CHERY EHV HAB气袋拉带</t>
  </si>
  <si>
    <t>一箱500</t>
  </si>
  <si>
    <t>延锋柳州</t>
  </si>
  <si>
    <t>上海蔚来</t>
  </si>
  <si>
    <t>LD23B</t>
  </si>
  <si>
    <t>212X001</t>
  </si>
  <si>
    <t>000000005000009882</t>
  </si>
  <si>
    <t>NIO FORCE绑带总成-12V电池</t>
  </si>
  <si>
    <t>DW136</t>
  </si>
  <si>
    <t>蔚来科技</t>
  </si>
  <si>
    <t>219X020</t>
  </si>
  <si>
    <t>000000005000010742</t>
  </si>
  <si>
    <t>NIO PEGASUS LHD绑带总成-12V电池</t>
  </si>
  <si>
    <t>DW124</t>
  </si>
  <si>
    <t>223X004</t>
  </si>
  <si>
    <t>000000005000013400</t>
  </si>
  <si>
    <t>223X004 SIRIUS电池绑带</t>
  </si>
  <si>
    <t>22BX010</t>
  </si>
  <si>
    <t>000000005000015337</t>
  </si>
  <si>
    <t>NIO LEO LHD 绑带总成-12V电池</t>
  </si>
  <si>
    <t>关于售后件流程</t>
  </si>
  <si>
    <t>生产线有拆直接按技术给的表格排单</t>
  </si>
  <si>
    <t>生产线没有拆的产销直接按业务预估排单</t>
  </si>
  <si>
    <t>如果系统有问题直接找叶延鹏</t>
  </si>
  <si>
    <t>如果业务开函关系统产销一周之后确认是否有关，如果没有关还是找小叶</t>
  </si>
  <si>
    <t>下任务打.</t>
  </si>
  <si>
    <t>只要有打点“.”不管后面是什么都不用下任务“.”试生产“.” PPAP“.”打样“.”生产线“.”</t>
  </si>
  <si>
    <t>需要按固定模板导入，不需要的数是后面加上小数点.，否则则提取第一个出现的数字为计划量，数是为收尾的默认10</t>
  </si>
  <si>
    <t>“收尾”两个字在前面不管后面写什么字要下任务10</t>
  </si>
  <si>
    <t>8小时公式</t>
  </si>
  <si>
    <t>/11*7.5</t>
  </si>
  <si>
    <t>补片收尾</t>
  </si>
  <si>
    <t>把差的裁片补配套然后做完可以有未满箱</t>
  </si>
  <si>
    <t>按量做</t>
  </si>
  <si>
    <t>业务要出货的量可以有未满箱</t>
  </si>
  <si>
    <t>3.1满箱收尾
3.2按量做不要多不要少</t>
  </si>
  <si>
    <r>
      <rPr>
        <sz val="12"/>
        <rFont val="宋体"/>
        <charset val="134"/>
      </rPr>
      <t>按满箱做</t>
    </r>
    <r>
      <rPr>
        <sz val="12"/>
        <color rgb="FFFF0000"/>
        <rFont val="宋体"/>
        <charset val="134"/>
      </rPr>
      <t>不能</t>
    </r>
    <r>
      <rPr>
        <sz val="12"/>
        <rFont val="宋体"/>
        <charset val="134"/>
      </rPr>
      <t>有未满箱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</si>
</sst>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  <numFmt numFmtId="178" formatCode="0_);[Red]\(0\)"/>
  </numFmts>
  <fonts count="72"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8"/>
      <name val="宋体"/>
      <charset val="134"/>
    </font>
    <font>
      <sz val="10"/>
      <name val="宋体"/>
      <charset val="134"/>
    </font>
    <font>
      <sz val="6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b/>
      <sz val="6"/>
      <name val="宋体"/>
      <charset val="134"/>
    </font>
    <font>
      <b/>
      <sz val="8"/>
      <color rgb="FFFF0000"/>
      <name val="宋体"/>
      <charset val="134"/>
    </font>
    <font>
      <b/>
      <sz val="18"/>
      <color rgb="FFFF0000"/>
      <name val="宋体"/>
      <charset val="134"/>
    </font>
    <font>
      <b/>
      <sz val="18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sz val="8"/>
      <color rgb="FFFF0000"/>
      <name val="宋体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sz val="7"/>
      <color rgb="FFFF0000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2"/>
      <color rgb="FFFF0000"/>
      <name val="宋体"/>
      <charset val="134"/>
    </font>
    <font>
      <sz val="14"/>
      <color theme="1"/>
      <name val="宋体"/>
      <charset val="134"/>
      <scheme val="minor"/>
    </font>
    <font>
      <b/>
      <sz val="10"/>
      <name val="Arial"/>
      <charset val="134"/>
    </font>
    <font>
      <b/>
      <sz val="14"/>
      <color rgb="FFFF0000"/>
      <name val="宋体"/>
      <charset val="134"/>
    </font>
    <font>
      <sz val="7.5"/>
      <name val="宋体"/>
      <charset val="134"/>
    </font>
    <font>
      <sz val="6"/>
      <color rgb="FFFF0000"/>
      <name val="宋体"/>
      <charset val="134"/>
    </font>
    <font>
      <sz val="8"/>
      <color rgb="FFFF0000"/>
      <name val="宋体"/>
      <charset val="134"/>
      <scheme val="minor"/>
    </font>
    <font>
      <sz val="12"/>
      <color rgb="FFFF0000"/>
      <name val="宋体"/>
      <charset val="134"/>
    </font>
    <font>
      <b/>
      <sz val="10"/>
      <color rgb="FFFF0000"/>
      <name val="宋体"/>
      <charset val="134"/>
    </font>
    <font>
      <sz val="11"/>
      <name val="宋体"/>
      <charset val="134"/>
    </font>
    <font>
      <b/>
      <sz val="10"/>
      <color theme="1"/>
      <name val="宋体"/>
      <charset val="134"/>
    </font>
    <font>
      <b/>
      <sz val="10"/>
      <color theme="3" tint="0.396649067659536"/>
      <name val="宋体"/>
      <charset val="134"/>
    </font>
    <font>
      <sz val="8"/>
      <name val="宋体"/>
      <charset val="134"/>
      <scheme val="minor"/>
    </font>
    <font>
      <sz val="7"/>
      <name val="宋体"/>
      <charset val="134"/>
    </font>
    <font>
      <sz val="16"/>
      <color rgb="FFFF0000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5"/>
      <name val="宋体"/>
      <charset val="134"/>
    </font>
    <font>
      <sz val="14"/>
      <color rgb="FFFF0000"/>
      <name val="宋体"/>
      <charset val="134"/>
    </font>
    <font>
      <sz val="18"/>
      <color rgb="FFFF0000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20"/>
      <color rgb="FFFF0000"/>
      <name val="宋体"/>
      <charset val="134"/>
    </font>
    <font>
      <b/>
      <sz val="16"/>
      <color rgb="FFFF0000"/>
      <name val="宋体"/>
      <charset val="134"/>
    </font>
    <font>
      <b/>
      <sz val="16"/>
      <name val="宋体"/>
      <charset val="134"/>
    </font>
    <font>
      <sz val="22"/>
      <color rgb="FFFF0000"/>
      <name val="宋体"/>
      <charset val="134"/>
    </font>
    <font>
      <sz val="16"/>
      <name val="宋体"/>
      <charset val="134"/>
    </font>
    <font>
      <b/>
      <sz val="11"/>
      <color rgb="FFFF0000"/>
      <name val="宋体"/>
      <charset val="134"/>
    </font>
    <font>
      <sz val="6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396649067659536"/>
        <bgColor indexed="64"/>
      </patternFill>
    </fill>
    <fill>
      <patternFill patternType="solid">
        <fgColor theme="0"/>
        <bgColor theme="4" tint="-0.249946592608417"/>
      </patternFill>
    </fill>
    <fill>
      <patternFill patternType="solid">
        <fgColor rgb="FFFFC00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rgb="FFFFFF00"/>
        <bgColor theme="4" tint="-0.249946592608417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8" borderId="23" applyNumberFormat="0" applyAlignment="0" applyProtection="0">
      <alignment vertical="center"/>
    </xf>
    <xf numFmtId="0" fontId="54" fillId="19" borderId="24" applyNumberFormat="0" applyAlignment="0" applyProtection="0">
      <alignment vertical="center"/>
    </xf>
    <xf numFmtId="0" fontId="55" fillId="19" borderId="23" applyNumberFormat="0" applyAlignment="0" applyProtection="0">
      <alignment vertical="center"/>
    </xf>
    <xf numFmtId="0" fontId="56" fillId="20" borderId="25" applyNumberFormat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2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3" fillId="0" borderId="0"/>
  </cellStyleXfs>
  <cellXfs count="30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176" fontId="7" fillId="0" borderId="0" xfId="0" applyNumberFormat="1" applyFont="1" applyFill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wrapText="1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>
      <alignment horizontal="center" vertical="center" wrapText="1"/>
    </xf>
    <xf numFmtId="177" fontId="21" fillId="0" borderId="1" xfId="0" applyNumberFormat="1" applyFont="1" applyFill="1" applyBorder="1" applyAlignment="1">
      <alignment horizontal="center" vertical="center" wrapText="1"/>
    </xf>
    <xf numFmtId="177" fontId="22" fillId="0" borderId="2" xfId="0" applyNumberFormat="1" applyFont="1" applyFill="1" applyBorder="1" applyAlignment="1">
      <alignment horizontal="center" vertical="center" wrapText="1"/>
    </xf>
    <xf numFmtId="177" fontId="22" fillId="0" borderId="3" xfId="0" applyNumberFormat="1" applyFont="1" applyFill="1" applyBorder="1" applyAlignment="1">
      <alignment horizontal="center" vertical="center" wrapText="1"/>
    </xf>
    <xf numFmtId="178" fontId="23" fillId="5" borderId="0" xfId="0" applyNumberFormat="1" applyFont="1" applyFill="1" applyAlignment="1">
      <alignment horizontal="center" vertical="center" wrapText="1"/>
    </xf>
    <xf numFmtId="178" fontId="23" fillId="0" borderId="0" xfId="0" applyNumberFormat="1" applyFont="1" applyFill="1" applyAlignment="1">
      <alignment horizontal="center" vertical="center" wrapText="1"/>
    </xf>
    <xf numFmtId="178" fontId="23" fillId="6" borderId="0" xfId="0" applyNumberFormat="1" applyFont="1" applyFill="1" applyAlignment="1">
      <alignment horizontal="center" vertical="center" wrapText="1"/>
    </xf>
    <xf numFmtId="178" fontId="23" fillId="7" borderId="0" xfId="0" applyNumberFormat="1" applyFont="1" applyFill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4" fillId="0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vertical="center"/>
    </xf>
    <xf numFmtId="176" fontId="21" fillId="0" borderId="1" xfId="0" applyNumberFormat="1" applyFont="1" applyFill="1" applyBorder="1" applyAlignment="1">
      <alignment horizontal="center" vertical="center" wrapText="1"/>
    </xf>
    <xf numFmtId="177" fontId="22" fillId="0" borderId="5" xfId="0" applyNumberFormat="1" applyFont="1" applyFill="1" applyBorder="1" applyAlignment="1">
      <alignment horizontal="center" vertical="center" wrapText="1"/>
    </xf>
    <xf numFmtId="177" fontId="22" fillId="0" borderId="6" xfId="0" applyNumberFormat="1" applyFont="1" applyFill="1" applyBorder="1" applyAlignment="1">
      <alignment horizontal="center" vertical="center" wrapText="1"/>
    </xf>
    <xf numFmtId="0" fontId="25" fillId="8" borderId="7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178" fontId="26" fillId="9" borderId="0" xfId="0" applyNumberFormat="1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22" fillId="0" borderId="1" xfId="0" applyNumberFormat="1" applyFont="1" applyFill="1" applyBorder="1" applyAlignment="1">
      <alignment horizontal="center"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76" fontId="7" fillId="0" borderId="14" xfId="0" applyNumberFormat="1" applyFont="1" applyFill="1" applyBorder="1" applyAlignment="1" applyProtection="1">
      <alignment horizontal="center" vertical="center" wrapText="1"/>
    </xf>
    <xf numFmtId="176" fontId="7" fillId="0" borderId="14" xfId="0" applyNumberFormat="1" applyFont="1" applyFill="1" applyBorder="1" applyAlignment="1">
      <alignment horizontal="center" vertical="center" wrapText="1"/>
    </xf>
    <xf numFmtId="176" fontId="8" fillId="0" borderId="14" xfId="0" applyNumberFormat="1" applyFont="1" applyFill="1" applyBorder="1" applyAlignment="1" applyProtection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wrapText="1"/>
    </xf>
    <xf numFmtId="0" fontId="30" fillId="0" borderId="0" xfId="0" applyFont="1">
      <alignment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 vertical="top" wrapText="1"/>
    </xf>
    <xf numFmtId="0" fontId="5" fillId="13" borderId="10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top" wrapText="1"/>
    </xf>
    <xf numFmtId="0" fontId="19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176" fontId="7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center" vertical="center" wrapText="1"/>
    </xf>
    <xf numFmtId="0" fontId="33" fillId="0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34" fillId="2" borderId="12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35" fillId="0" borderId="0" xfId="0" applyFont="1" applyFill="1" applyAlignment="1">
      <alignment wrapText="1"/>
    </xf>
    <xf numFmtId="0" fontId="0" fillId="0" borderId="0" xfId="0" applyFont="1">
      <alignment vertical="center"/>
    </xf>
    <xf numFmtId="0" fontId="31" fillId="0" borderId="1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1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/>
    </xf>
    <xf numFmtId="0" fontId="5" fillId="15" borderId="16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vertical="center" wrapText="1"/>
    </xf>
    <xf numFmtId="0" fontId="5" fillId="15" borderId="4" xfId="0" applyFont="1" applyFill="1" applyBorder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57" fontId="36" fillId="3" borderId="2" xfId="0" applyNumberFormat="1" applyFont="1" applyFill="1" applyBorder="1" applyAlignment="1">
      <alignment horizontal="center" vertical="center" wrapText="1"/>
    </xf>
    <xf numFmtId="57" fontId="36" fillId="3" borderId="7" xfId="0" applyNumberFormat="1" applyFont="1" applyFill="1" applyBorder="1" applyAlignment="1">
      <alignment horizontal="center" vertical="center" wrapText="1"/>
    </xf>
    <xf numFmtId="0" fontId="37" fillId="0" borderId="2" xfId="0" applyFont="1" applyFill="1" applyBorder="1" applyAlignment="1">
      <alignment horizontal="center" vertical="center" wrapText="1"/>
    </xf>
    <xf numFmtId="0" fontId="37" fillId="0" borderId="7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38" fillId="2" borderId="10" xfId="49" applyFont="1" applyFill="1" applyBorder="1" applyAlignment="1">
      <alignment horizontal="center" vertical="center" wrapText="1"/>
    </xf>
    <xf numFmtId="0" fontId="38" fillId="2" borderId="12" xfId="49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39" fillId="2" borderId="17" xfId="0" applyFont="1" applyFill="1" applyBorder="1" applyAlignment="1" applyProtection="1">
      <alignment horizontal="center" vertical="center" wrapText="1"/>
    </xf>
    <xf numFmtId="0" fontId="39" fillId="2" borderId="18" xfId="0" applyFont="1" applyFill="1" applyBorder="1" applyAlignment="1" applyProtection="1">
      <alignment horizontal="center" vertical="center" wrapText="1"/>
    </xf>
    <xf numFmtId="0" fontId="0" fillId="2" borderId="11" xfId="0" applyFont="1" applyFill="1" applyBorder="1" applyAlignment="1">
      <alignment vertical="center"/>
    </xf>
    <xf numFmtId="0" fontId="5" fillId="4" borderId="12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0" fillId="3" borderId="2" xfId="0" applyFont="1" applyFill="1" applyBorder="1" applyAlignment="1">
      <alignment horizontal="center" vertical="center" wrapText="1"/>
    </xf>
    <xf numFmtId="0" fontId="40" fillId="3" borderId="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176" fontId="7" fillId="4" borderId="14" xfId="0" applyNumberFormat="1" applyFont="1" applyFill="1" applyBorder="1" applyAlignment="1" applyProtection="1">
      <alignment horizontal="center"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36" fillId="4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41" fillId="2" borderId="10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41" fillId="2" borderId="12" xfId="0" applyFont="1" applyFill="1" applyBorder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28" fillId="4" borderId="7" xfId="0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49" fontId="18" fillId="4" borderId="10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43" fillId="2" borderId="7" xfId="0" applyFont="1" applyFill="1" applyBorder="1" applyAlignment="1">
      <alignment horizontal="center" vertical="center" wrapText="1"/>
    </xf>
    <xf numFmtId="0" fontId="42" fillId="4" borderId="2" xfId="0" applyFont="1" applyFill="1" applyBorder="1" applyAlignment="1">
      <alignment horizontal="center" vertical="center" wrapText="1"/>
    </xf>
    <xf numFmtId="0" fontId="42" fillId="4" borderId="7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176" fontId="7" fillId="0" borderId="12" xfId="0" applyNumberFormat="1" applyFont="1" applyFill="1" applyBorder="1" applyAlignment="1">
      <alignment horizontal="center" vertical="center" wrapText="1"/>
    </xf>
    <xf numFmtId="0" fontId="38" fillId="0" borderId="15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15" xfId="0" applyFont="1" applyFill="1" applyBorder="1" applyAlignment="1">
      <alignment horizontal="center" vertical="center" wrapText="1"/>
    </xf>
    <xf numFmtId="0" fontId="38" fillId="2" borderId="7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44" fillId="2" borderId="10" xfId="0" applyFont="1" applyFill="1" applyBorder="1" applyAlignment="1">
      <alignment horizontal="center" vertical="center" wrapText="1"/>
    </xf>
    <xf numFmtId="0" fontId="44" fillId="2" borderId="12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30" fillId="0" borderId="0" xfId="0" applyFont="1" applyFill="1">
      <alignment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9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5" fillId="2" borderId="10" xfId="0" applyFont="1" applyFill="1" applyBorder="1" applyAlignment="1" quotePrefix="1">
      <alignment horizontal="center" vertical="center" wrapText="1"/>
    </xf>
    <xf numFmtId="0" fontId="18" fillId="2" borderId="10" xfId="0" applyFont="1" applyFill="1" applyBorder="1" applyAlignment="1" quotePrefix="1">
      <alignment horizontal="center" vertical="center" wrapText="1"/>
    </xf>
    <xf numFmtId="0" fontId="31" fillId="0" borderId="10" xfId="0" applyFont="1" applyFill="1" applyBorder="1" applyAlignment="1" quotePrefix="1">
      <alignment horizontal="center" vertical="center" wrapText="1"/>
    </xf>
    <xf numFmtId="0" fontId="5" fillId="4" borderId="10" xfId="0" applyFont="1" applyFill="1" applyBorder="1" applyAlignment="1" quotePrefix="1">
      <alignment horizontal="center" vertical="center" wrapText="1"/>
    </xf>
    <xf numFmtId="0" fontId="16" fillId="2" borderId="10" xfId="0" applyFont="1" applyFill="1" applyBorder="1" applyAlignment="1" quotePrefix="1">
      <alignment horizontal="center" vertical="center" wrapText="1"/>
    </xf>
    <xf numFmtId="0" fontId="44" fillId="2" borderId="10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RC\&#39033;&#30446;\HMT\AI\&#25490;&#20135;\&#24211;&#2338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库存"/>
    </sheetNames>
    <sheetDataSet>
      <sheetData sheetId="0" refreshError="1">
        <row r="1">
          <cell r="B1" t="str">
            <v>物料代码</v>
          </cell>
          <cell r="C1" t="str">
            <v>产品名称</v>
          </cell>
        </row>
        <row r="2">
          <cell r="B2" t="str">
            <v>226W065</v>
          </cell>
          <cell r="C2" t="str">
            <v>180D CAB OPW</v>
          </cell>
        </row>
        <row r="3">
          <cell r="B3" t="str">
            <v>243W033Q</v>
          </cell>
          <cell r="C3" t="str">
            <v>313D CAB OPW 导气袋</v>
          </cell>
        </row>
        <row r="4">
          <cell r="B4" t="str">
            <v>235W052L</v>
          </cell>
          <cell r="C4" t="str">
            <v>313D MR CAB OPW LH</v>
          </cell>
        </row>
        <row r="5">
          <cell r="B5" t="str">
            <v>235W052R</v>
          </cell>
          <cell r="C5" t="str">
            <v>313D MR CAB OPW RH</v>
          </cell>
        </row>
        <row r="6">
          <cell r="B6" t="str">
            <v>243W033L</v>
          </cell>
          <cell r="C6" t="str">
            <v>313D PR CAB OPW LH</v>
          </cell>
        </row>
        <row r="7">
          <cell r="B7" t="str">
            <v>243W033R</v>
          </cell>
          <cell r="C7" t="str">
            <v>313D PR CAB OPW RH</v>
          </cell>
        </row>
        <row r="8">
          <cell r="B8" t="str">
            <v>219W164AL</v>
          </cell>
          <cell r="C8" t="str">
            <v>381D CAB OPW LH A状态</v>
          </cell>
        </row>
        <row r="9">
          <cell r="B9" t="str">
            <v>219W164AR</v>
          </cell>
          <cell r="C9" t="str">
            <v>381D CAB OPW RH A状态</v>
          </cell>
        </row>
        <row r="10">
          <cell r="B10" t="str">
            <v>219W164Q</v>
          </cell>
          <cell r="C10" t="str">
            <v>381D CAB OPW 导气袋</v>
          </cell>
        </row>
        <row r="11">
          <cell r="B11" t="str">
            <v>219W164AT</v>
          </cell>
          <cell r="C11" t="str">
            <v>381D CAB OPW 拉带 A状态</v>
          </cell>
        </row>
        <row r="12">
          <cell r="B12" t="str">
            <v>244W047X</v>
          </cell>
          <cell r="C12" t="str">
            <v>427 CAB OPW</v>
          </cell>
        </row>
        <row r="13">
          <cell r="B13" t="str">
            <v>208W94X</v>
          </cell>
          <cell r="C13" t="str">
            <v>458 4 Seat Front CAB OPW</v>
          </cell>
        </row>
        <row r="14">
          <cell r="B14" t="str">
            <v>208W95X</v>
          </cell>
          <cell r="C14" t="str">
            <v>458 4 Seat Rear CAB OPW</v>
          </cell>
        </row>
        <row r="15">
          <cell r="B15" t="str">
            <v>25BW237L</v>
          </cell>
          <cell r="C15" t="str">
            <v>630D CAB OPW LH</v>
          </cell>
        </row>
        <row r="16">
          <cell r="B16" t="str">
            <v>25BW237R</v>
          </cell>
          <cell r="C16" t="str">
            <v>630D CAB OPW RH</v>
          </cell>
        </row>
        <row r="17">
          <cell r="B17" t="str">
            <v>185C17L</v>
          </cell>
          <cell r="C17" t="str">
            <v>9999315 IP32 CAB</v>
          </cell>
        </row>
        <row r="18">
          <cell r="B18" t="str">
            <v>185C17Q</v>
          </cell>
          <cell r="C18" t="str">
            <v>9999315 IP32 导气袋</v>
          </cell>
        </row>
        <row r="19">
          <cell r="B19" t="str">
            <v>185C17T</v>
          </cell>
          <cell r="C19" t="str">
            <v>9999315 IP32 拉带</v>
          </cell>
        </row>
        <row r="20">
          <cell r="B20" t="str">
            <v>185C17T</v>
          </cell>
          <cell r="C20" t="str">
            <v>9999315 IP32 拉带</v>
          </cell>
        </row>
        <row r="21">
          <cell r="B21" t="str">
            <v>18BW74AL</v>
          </cell>
          <cell r="C21" t="str">
            <v>A SUVe CAB OPW LH A状态</v>
          </cell>
        </row>
        <row r="22">
          <cell r="B22" t="str">
            <v>18BW74AR</v>
          </cell>
          <cell r="C22" t="str">
            <v>A SUVe CAB OPW RH A状态</v>
          </cell>
        </row>
        <row r="23">
          <cell r="B23" t="str">
            <v>174C20XA</v>
          </cell>
          <cell r="C23" t="str">
            <v>A06 CAB 导向布 A状态</v>
          </cell>
        </row>
        <row r="24">
          <cell r="B24" t="str">
            <v>188W52L</v>
          </cell>
          <cell r="C24" t="str">
            <v>A12 CAB OPW LH</v>
          </cell>
        </row>
        <row r="25">
          <cell r="B25" t="str">
            <v>188W52R</v>
          </cell>
          <cell r="C25" t="str">
            <v>A12 CAB OPW RH</v>
          </cell>
        </row>
        <row r="26">
          <cell r="B26" t="str">
            <v>188W52PL</v>
          </cell>
          <cell r="C26" t="str">
            <v>A12 CAB OPW 保护套LH</v>
          </cell>
        </row>
        <row r="27">
          <cell r="B27" t="str">
            <v>188W52PR</v>
          </cell>
          <cell r="C27" t="str">
            <v>A12 CAB OPW 保护套RH</v>
          </cell>
        </row>
        <row r="28">
          <cell r="B28" t="str">
            <v>188W52Q</v>
          </cell>
          <cell r="C28" t="str">
            <v>A12 OPW 导气袋</v>
          </cell>
        </row>
        <row r="29">
          <cell r="B29" t="str">
            <v>188W52T</v>
          </cell>
          <cell r="C29" t="str">
            <v>A12 OPW 拉带</v>
          </cell>
        </row>
        <row r="30">
          <cell r="B30" t="str">
            <v>205W48L</v>
          </cell>
          <cell r="C30" t="str">
            <v>A13 CAB OPW LH</v>
          </cell>
        </row>
        <row r="31">
          <cell r="B31" t="str">
            <v>205W48R</v>
          </cell>
          <cell r="C31" t="str">
            <v>A13 CAB OPW RH</v>
          </cell>
        </row>
        <row r="32">
          <cell r="B32" t="str">
            <v>205W48Q</v>
          </cell>
          <cell r="C32" t="str">
            <v>A13 OPW 导气袋</v>
          </cell>
        </row>
        <row r="33">
          <cell r="B33" t="str">
            <v>205W48T</v>
          </cell>
          <cell r="C33" t="str">
            <v>A13 OPW 拉带</v>
          </cell>
        </row>
        <row r="34">
          <cell r="B34" t="str">
            <v>16BD29A</v>
          </cell>
          <cell r="C34" t="str">
            <v>A16 DAB A状态 (埃)</v>
          </cell>
        </row>
        <row r="35">
          <cell r="B35" t="str">
            <v>16CW58PL</v>
          </cell>
          <cell r="C35" t="str">
            <v>A16 OPW保护套L</v>
          </cell>
        </row>
        <row r="36">
          <cell r="B36" t="str">
            <v>16CW58PR</v>
          </cell>
          <cell r="C36" t="str">
            <v>A16 OPW保护套R</v>
          </cell>
        </row>
        <row r="37">
          <cell r="B37" t="str">
            <v>16CW58Q</v>
          </cell>
          <cell r="C37" t="str">
            <v>A16 OPW导气袋</v>
          </cell>
        </row>
        <row r="38">
          <cell r="B38" t="str">
            <v>16CW58T</v>
          </cell>
          <cell r="C38" t="str">
            <v>A16 OPW拉带</v>
          </cell>
        </row>
        <row r="39">
          <cell r="B39" t="str">
            <v>16CW58L</v>
          </cell>
          <cell r="C39" t="str">
            <v>A16 OPW气袋L</v>
          </cell>
        </row>
        <row r="40">
          <cell r="B40" t="str">
            <v>16CW58R</v>
          </cell>
          <cell r="C40" t="str">
            <v>A16 OPW气袋R</v>
          </cell>
        </row>
        <row r="41">
          <cell r="B41" t="str">
            <v>18AW67L</v>
          </cell>
          <cell r="C41" t="str">
            <v>A18 CAB OPW LH</v>
          </cell>
        </row>
        <row r="42">
          <cell r="B42" t="str">
            <v>18AW67R</v>
          </cell>
          <cell r="C42" t="str">
            <v>A18 CAB OPW RH</v>
          </cell>
        </row>
        <row r="43">
          <cell r="B43" t="str">
            <v>18AW67PL</v>
          </cell>
          <cell r="C43" t="str">
            <v>A18 CAB OPW 保护套 LH</v>
          </cell>
        </row>
        <row r="44">
          <cell r="B44" t="str">
            <v>18AW67PR</v>
          </cell>
          <cell r="C44" t="str">
            <v>A18 CAB OPW 保护套 RH</v>
          </cell>
        </row>
        <row r="45">
          <cell r="B45" t="str">
            <v>18AW67Q</v>
          </cell>
          <cell r="C45" t="str">
            <v>A18 CAB OPW 导气袋</v>
          </cell>
        </row>
        <row r="46">
          <cell r="B46" t="str">
            <v>18AW67T</v>
          </cell>
          <cell r="C46" t="str">
            <v>A18 CAB OPW 拉带</v>
          </cell>
        </row>
        <row r="47">
          <cell r="B47" t="str">
            <v>171S02DL</v>
          </cell>
          <cell r="C47" t="str">
            <v>A2LL SAB LH D状态</v>
          </cell>
        </row>
        <row r="48">
          <cell r="B48" t="str">
            <v>171S02EL</v>
          </cell>
          <cell r="C48" t="str">
            <v>A2LL SAB LH E状态</v>
          </cell>
        </row>
        <row r="49">
          <cell r="B49" t="str">
            <v>171S02DR</v>
          </cell>
          <cell r="C49" t="str">
            <v>A2LL SAB RH D状态</v>
          </cell>
        </row>
        <row r="50">
          <cell r="B50" t="str">
            <v>171S02ER</v>
          </cell>
          <cell r="C50" t="str">
            <v>A2LL SAB RH E状态</v>
          </cell>
        </row>
        <row r="51">
          <cell r="B51" t="str">
            <v>165K10L</v>
          </cell>
          <cell r="C51" t="str">
            <v>A30 KAB LH</v>
          </cell>
        </row>
        <row r="52">
          <cell r="B52" t="str">
            <v>165K10R</v>
          </cell>
          <cell r="C52" t="str">
            <v>A30 KAB RH</v>
          </cell>
        </row>
        <row r="53">
          <cell r="B53" t="str">
            <v>164S14AL</v>
          </cell>
          <cell r="C53" t="str">
            <v>A30 SAB LH （埃）</v>
          </cell>
        </row>
        <row r="54">
          <cell r="B54" t="str">
            <v>164S14AR</v>
          </cell>
          <cell r="C54" t="str">
            <v>A30 SAB RH （埃）</v>
          </cell>
        </row>
        <row r="55">
          <cell r="B55" t="str">
            <v>188W50T</v>
          </cell>
          <cell r="C55" t="str">
            <v>A39-1 CAB OPW拉带</v>
          </cell>
        </row>
        <row r="56">
          <cell r="B56" t="str">
            <v>194W15L</v>
          </cell>
          <cell r="C56" t="str">
            <v>A39-3 CAB OPW LH</v>
          </cell>
        </row>
        <row r="57">
          <cell r="B57" t="str">
            <v>194W15R</v>
          </cell>
          <cell r="C57" t="str">
            <v>A39-3 CAB OPW RH</v>
          </cell>
        </row>
        <row r="58">
          <cell r="B58" t="str">
            <v>194W15PL</v>
          </cell>
          <cell r="C58" t="str">
            <v>A39-3 CAB OPW 保护套 LH</v>
          </cell>
        </row>
        <row r="59">
          <cell r="B59" t="str">
            <v>194W15PR</v>
          </cell>
          <cell r="C59" t="str">
            <v>A39-3 CAB OPW 保护套 RH</v>
          </cell>
        </row>
        <row r="60">
          <cell r="B60" t="str">
            <v>194W15Q</v>
          </cell>
          <cell r="C60" t="str">
            <v>A39-3 CAB OPW 导气袋</v>
          </cell>
        </row>
        <row r="61">
          <cell r="B61" t="str">
            <v>194W15T</v>
          </cell>
          <cell r="C61" t="str">
            <v>A39-3 CAB OPW 拉带</v>
          </cell>
        </row>
        <row r="62">
          <cell r="B62" t="str">
            <v>138C31BL</v>
          </cell>
          <cell r="C62" t="str">
            <v>A3II CAB LH B状态 (埃)</v>
          </cell>
        </row>
        <row r="63">
          <cell r="B63" t="str">
            <v>138C31BR</v>
          </cell>
          <cell r="C63" t="str">
            <v>A3II CAB RH B状态 (埃)</v>
          </cell>
        </row>
        <row r="64">
          <cell r="B64" t="str">
            <v>215W074L</v>
          </cell>
          <cell r="C64" t="str">
            <v>A58 CAB OPW LH</v>
          </cell>
        </row>
        <row r="65">
          <cell r="B65" t="str">
            <v>215W074R</v>
          </cell>
          <cell r="C65" t="str">
            <v>A58 CAB OPW RH</v>
          </cell>
        </row>
        <row r="66">
          <cell r="B66" t="str">
            <v>171S07AL</v>
          </cell>
          <cell r="C66" t="str">
            <v>A5H SAB LH（埃）</v>
          </cell>
        </row>
        <row r="67">
          <cell r="B67" t="str">
            <v>171S07AR</v>
          </cell>
          <cell r="C67" t="str">
            <v>A5H SAB RH（埃）</v>
          </cell>
        </row>
        <row r="68">
          <cell r="B68" t="str">
            <v>243W032L</v>
          </cell>
          <cell r="C68" t="str">
            <v>A66 CAB OPW LH</v>
          </cell>
        </row>
        <row r="69">
          <cell r="B69" t="str">
            <v>243W032R</v>
          </cell>
          <cell r="C69" t="str">
            <v>A66 CAB OPW RH</v>
          </cell>
        </row>
        <row r="70">
          <cell r="B70" t="str">
            <v>248C029AQ</v>
          </cell>
          <cell r="C70" t="str">
            <v>AH4EM CAB导气袋 A状态</v>
          </cell>
        </row>
        <row r="71">
          <cell r="B71" t="str">
            <v>248C029AT</v>
          </cell>
          <cell r="C71" t="str">
            <v>AH4EM CAB拉带 A状态</v>
          </cell>
        </row>
        <row r="72">
          <cell r="B72" t="str">
            <v>24AS166L</v>
          </cell>
          <cell r="C72" t="str">
            <v>AH4EM SAB LH</v>
          </cell>
        </row>
        <row r="73">
          <cell r="B73" t="str">
            <v>24AS166R</v>
          </cell>
          <cell r="C73" t="str">
            <v>AH4EM SAB RH</v>
          </cell>
        </row>
        <row r="74">
          <cell r="B74" t="str">
            <v>164W12</v>
          </cell>
          <cell r="C74" t="str">
            <v>AIRBAG OPW PANEL</v>
          </cell>
        </row>
        <row r="75">
          <cell r="B75" t="str">
            <v>247S094L</v>
          </cell>
          <cell r="C75" t="str">
            <v>Anhui X6 RSAB LH</v>
          </cell>
        </row>
        <row r="76">
          <cell r="B76" t="str">
            <v>247S094R</v>
          </cell>
          <cell r="C76" t="str">
            <v>Anhui X6 RSAB RH</v>
          </cell>
        </row>
        <row r="77">
          <cell r="B77" t="str">
            <v>146C11XL</v>
          </cell>
          <cell r="C77" t="str">
            <v>AP13 CABL防尘罩</v>
          </cell>
        </row>
        <row r="78">
          <cell r="B78" t="str">
            <v>146C11XR</v>
          </cell>
          <cell r="C78" t="str">
            <v>AP13 CABR防尘罩</v>
          </cell>
        </row>
        <row r="79">
          <cell r="B79" t="str">
            <v>179C36CQ</v>
          </cell>
          <cell r="C79" t="str">
            <v>AS23 CAB C状态导气袋</v>
          </cell>
        </row>
        <row r="80">
          <cell r="B80" t="str">
            <v>179C36CT</v>
          </cell>
          <cell r="C80" t="str">
            <v>AS23 CAB C状态拉带</v>
          </cell>
        </row>
        <row r="81">
          <cell r="B81" t="str">
            <v>20AW121L</v>
          </cell>
          <cell r="C81" t="str">
            <v>AS28 M2 CAB OPW LH</v>
          </cell>
        </row>
        <row r="82">
          <cell r="B82" t="str">
            <v>20AW121R</v>
          </cell>
          <cell r="C82" t="str">
            <v>AS28 M2 CAB OPW RH</v>
          </cell>
        </row>
        <row r="83">
          <cell r="B83" t="str">
            <v>20AW121Q</v>
          </cell>
          <cell r="C83" t="str">
            <v>AS28 M2 CAB OPW 导气袋</v>
          </cell>
        </row>
        <row r="84">
          <cell r="B84" t="str">
            <v>20AW121T</v>
          </cell>
          <cell r="C84" t="str">
            <v>AS28 M2 CAB OPW 拉带</v>
          </cell>
        </row>
        <row r="85">
          <cell r="B85" t="str">
            <v>215W079AL</v>
          </cell>
          <cell r="C85" t="str">
            <v>AS33 CAB OPW LH A状态</v>
          </cell>
        </row>
        <row r="86">
          <cell r="B86" t="str">
            <v>215W079AR</v>
          </cell>
          <cell r="C86" t="str">
            <v>AS33 CAB OPW RH A状态</v>
          </cell>
        </row>
        <row r="87">
          <cell r="B87" t="str">
            <v>215W079AQ</v>
          </cell>
          <cell r="C87" t="str">
            <v>AS33 CAB OPW 导气袋 A状态</v>
          </cell>
        </row>
        <row r="88">
          <cell r="B88" t="str">
            <v>215W079AT</v>
          </cell>
          <cell r="C88" t="str">
            <v>AS33 CAB OPW 拉带 A状态</v>
          </cell>
        </row>
        <row r="89">
          <cell r="B89" t="str">
            <v>24CF055BL</v>
          </cell>
          <cell r="C89" t="str">
            <v>AS33 X6 FCA LHD B状态</v>
          </cell>
        </row>
        <row r="90">
          <cell r="B90" t="str">
            <v>24CF055BR</v>
          </cell>
          <cell r="C90" t="str">
            <v>AS33 X6 FCA RHD B状态</v>
          </cell>
        </row>
        <row r="91">
          <cell r="B91" t="str">
            <v>174S19AL</v>
          </cell>
          <cell r="C91" t="str">
            <v>AU276 X55 SAB LH A状态</v>
          </cell>
        </row>
        <row r="92">
          <cell r="B92" t="str">
            <v>174S19AR</v>
          </cell>
          <cell r="C92" t="str">
            <v>AU276 X55 SAB RH A状态</v>
          </cell>
        </row>
        <row r="93">
          <cell r="B93" t="str">
            <v>173S12DL</v>
          </cell>
          <cell r="C93" t="str">
            <v>AUDI AU326 FSAB C-IASI LH D状态</v>
          </cell>
        </row>
        <row r="94">
          <cell r="B94" t="str">
            <v>173S12DR</v>
          </cell>
          <cell r="C94" t="str">
            <v>AUDI AU326 FSAB C-IASI RH D状态</v>
          </cell>
        </row>
        <row r="95">
          <cell r="B95" t="str">
            <v>236S055BL</v>
          </cell>
          <cell r="C95" t="str">
            <v>AUDI AU4010 FSAB LH B状态</v>
          </cell>
        </row>
        <row r="96">
          <cell r="B96" t="str">
            <v>236S055CL</v>
          </cell>
          <cell r="C96" t="str">
            <v>AUDI AU4010 FSAB LH C状态</v>
          </cell>
        </row>
        <row r="97">
          <cell r="B97" t="str">
            <v>236S055BR</v>
          </cell>
          <cell r="C97" t="str">
            <v>AUDI AU4010 FSAB RH B状态</v>
          </cell>
        </row>
        <row r="98">
          <cell r="B98" t="str">
            <v>236S055CR</v>
          </cell>
          <cell r="C98" t="str">
            <v>AUDI AU4010 FSAB RH C状态</v>
          </cell>
        </row>
        <row r="99">
          <cell r="B99" t="str">
            <v>235S039AL</v>
          </cell>
          <cell r="C99" t="str">
            <v>AUDI AU416 RSAB LH A状态</v>
          </cell>
        </row>
        <row r="100">
          <cell r="B100" t="str">
            <v>235S039AR</v>
          </cell>
          <cell r="C100" t="str">
            <v>AUDI AU416 RSAB RH A状态</v>
          </cell>
        </row>
        <row r="101">
          <cell r="B101" t="str">
            <v>173S15L</v>
          </cell>
          <cell r="C101" t="str">
            <v>AUDI C8 SAB LH</v>
          </cell>
        </row>
        <row r="102">
          <cell r="B102" t="str">
            <v>173S15R</v>
          </cell>
          <cell r="C102" t="str">
            <v>AUDI C8 SAB RH</v>
          </cell>
        </row>
        <row r="103">
          <cell r="B103" t="str">
            <v>146W14BT</v>
          </cell>
          <cell r="C103" t="str">
            <v>B01 OPW拉带</v>
          </cell>
        </row>
        <row r="104">
          <cell r="B104" t="str">
            <v>175W26P</v>
          </cell>
          <cell r="C104" t="str">
            <v>B10 CAB OPW 保护套</v>
          </cell>
        </row>
        <row r="105">
          <cell r="B105" t="str">
            <v>175W26Q</v>
          </cell>
          <cell r="C105" t="str">
            <v>B10 CAB OPW导气袋</v>
          </cell>
        </row>
        <row r="106">
          <cell r="B106" t="str">
            <v>175W26T</v>
          </cell>
          <cell r="C106" t="str">
            <v>B10 CAB OPW拉带</v>
          </cell>
        </row>
        <row r="107">
          <cell r="B107" t="str">
            <v>15BC38T</v>
          </cell>
          <cell r="C107" t="str">
            <v>B17 CAB拉带</v>
          </cell>
        </row>
        <row r="108">
          <cell r="B108" t="str">
            <v>156C16T</v>
          </cell>
          <cell r="C108" t="str">
            <v>B20A CAB拉带</v>
          </cell>
        </row>
        <row r="109">
          <cell r="B109" t="str">
            <v>144S20</v>
          </cell>
          <cell r="C109" t="str">
            <v>B211 SAB</v>
          </cell>
        </row>
        <row r="110">
          <cell r="B110" t="str">
            <v>254W073L</v>
          </cell>
          <cell r="C110" t="str">
            <v>B216 CAB OPW LH</v>
          </cell>
        </row>
        <row r="111">
          <cell r="B111" t="str">
            <v>254W073R</v>
          </cell>
          <cell r="C111" t="str">
            <v>B216 CAB OPW RH</v>
          </cell>
        </row>
        <row r="112">
          <cell r="B112" t="str">
            <v>254W073Q</v>
          </cell>
          <cell r="C112" t="str">
            <v>B216 CAB OPW 导气袋</v>
          </cell>
        </row>
        <row r="113">
          <cell r="B113" t="str">
            <v>254W073T1</v>
          </cell>
          <cell r="C113" t="str">
            <v>B216 CAB OPW 拉带A</v>
          </cell>
        </row>
        <row r="114">
          <cell r="B114" t="str">
            <v>254W073T2</v>
          </cell>
          <cell r="C114" t="str">
            <v>B216 CAB OPW 拉带B</v>
          </cell>
        </row>
        <row r="115">
          <cell r="B115" t="str">
            <v>154P21</v>
          </cell>
          <cell r="C115" t="str">
            <v>B311 PAB</v>
          </cell>
        </row>
        <row r="116">
          <cell r="B116" t="str">
            <v>155S17BL</v>
          </cell>
          <cell r="C116" t="str">
            <v>B311 SAB LH （埃）</v>
          </cell>
        </row>
        <row r="117">
          <cell r="B117" t="str">
            <v>155S17BR</v>
          </cell>
          <cell r="C117" t="str">
            <v>B311 SAB RH （埃）</v>
          </cell>
        </row>
        <row r="118">
          <cell r="B118" t="str">
            <v>228W091L</v>
          </cell>
          <cell r="C118" t="str">
            <v>B41V CAB OPW LH</v>
          </cell>
        </row>
        <row r="119">
          <cell r="B119" t="str">
            <v>228W091R</v>
          </cell>
          <cell r="C119" t="str">
            <v>B41V CAB OPW RH</v>
          </cell>
        </row>
        <row r="120">
          <cell r="B120" t="str">
            <v>228W091Q</v>
          </cell>
          <cell r="C120" t="str">
            <v>B41V CAB OPW 导气袋</v>
          </cell>
        </row>
        <row r="121">
          <cell r="B121" t="str">
            <v>228W091T</v>
          </cell>
          <cell r="C121" t="str">
            <v>B41V CAB OPW 拉带</v>
          </cell>
        </row>
        <row r="122">
          <cell r="B122" t="str">
            <v>22CP089</v>
          </cell>
          <cell r="C122" t="str">
            <v>B41V PAB</v>
          </cell>
        </row>
        <row r="123">
          <cell r="B123" t="str">
            <v>216W099AL</v>
          </cell>
          <cell r="C123" t="str">
            <v>B60V CAB OPW LH A状态</v>
          </cell>
        </row>
        <row r="124">
          <cell r="B124" t="str">
            <v>216W099AR</v>
          </cell>
          <cell r="C124" t="str">
            <v>B60V CAB OPW RH A状态</v>
          </cell>
        </row>
        <row r="125">
          <cell r="B125" t="str">
            <v>216W099AT</v>
          </cell>
          <cell r="C125" t="str">
            <v>B60V CAB OPW 拉带 A状态</v>
          </cell>
        </row>
        <row r="126">
          <cell r="B126" t="str">
            <v>126P15</v>
          </cell>
          <cell r="C126" t="str">
            <v>BAIC C50E PAB</v>
          </cell>
        </row>
        <row r="127">
          <cell r="B127" t="str">
            <v>14AS49L</v>
          </cell>
          <cell r="C127" t="str">
            <v>BAIC C51E SAB LH</v>
          </cell>
        </row>
        <row r="128">
          <cell r="B128" t="str">
            <v>14AS49R</v>
          </cell>
          <cell r="C128" t="str">
            <v>BAIC C51E SAB RH</v>
          </cell>
        </row>
        <row r="129">
          <cell r="B129" t="str">
            <v>13AC52AL</v>
          </cell>
          <cell r="C129" t="str">
            <v>BAIC C60F CAB LH</v>
          </cell>
        </row>
        <row r="130">
          <cell r="B130" t="str">
            <v>13AC52AR</v>
          </cell>
          <cell r="C130" t="str">
            <v>BAIC C60F CAB RH</v>
          </cell>
        </row>
        <row r="131">
          <cell r="B131" t="str">
            <v>13AS58AL</v>
          </cell>
          <cell r="C131" t="str">
            <v>BAIC C60F SABL 新状态</v>
          </cell>
        </row>
        <row r="132">
          <cell r="B132" t="str">
            <v>13AS58AR</v>
          </cell>
          <cell r="C132" t="str">
            <v>BAIC C60F SABR 新状态</v>
          </cell>
        </row>
        <row r="133">
          <cell r="B133" t="str">
            <v>123P05</v>
          </cell>
          <cell r="C133" t="str">
            <v>BAIC C70G PAB</v>
          </cell>
        </row>
        <row r="134">
          <cell r="B134" t="str">
            <v>123S02L</v>
          </cell>
          <cell r="C134" t="str">
            <v>BAIC C70G SAB-LH</v>
          </cell>
        </row>
        <row r="135">
          <cell r="B135" t="str">
            <v>123S02R</v>
          </cell>
          <cell r="C135" t="str">
            <v>BAIC C70G SAB-RH</v>
          </cell>
        </row>
        <row r="136">
          <cell r="B136" t="str">
            <v>236S058L</v>
          </cell>
          <cell r="C136" t="str">
            <v>BAIC C71KB FSAB LH</v>
          </cell>
        </row>
        <row r="137">
          <cell r="B137" t="str">
            <v>236S058R</v>
          </cell>
          <cell r="C137" t="str">
            <v>BAIC C71KB FSAB RH</v>
          </cell>
        </row>
        <row r="138">
          <cell r="B138" t="str">
            <v>236S054L</v>
          </cell>
          <cell r="C138" t="str">
            <v>BAIC C71KB RSAB LH</v>
          </cell>
        </row>
        <row r="139">
          <cell r="B139" t="str">
            <v>236S054R</v>
          </cell>
          <cell r="C139" t="str">
            <v>BAIC C71KB RSAB RH</v>
          </cell>
        </row>
        <row r="140">
          <cell r="B140" t="str">
            <v>14AC36L</v>
          </cell>
          <cell r="C140" t="str">
            <v>BAIC C80G CAB LH</v>
          </cell>
        </row>
        <row r="141">
          <cell r="B141" t="str">
            <v>226S044AL</v>
          </cell>
          <cell r="C141" t="str">
            <v>BAIC N50 SAB LH A状态</v>
          </cell>
        </row>
        <row r="142">
          <cell r="B142" t="str">
            <v>226S044AR</v>
          </cell>
          <cell r="C142" t="str">
            <v>BAIC N50 SAB RH A状态</v>
          </cell>
        </row>
        <row r="143">
          <cell r="B143" t="str">
            <v>263C004</v>
          </cell>
          <cell r="C143" t="str">
            <v>BAIC X81KS RWIC</v>
          </cell>
        </row>
        <row r="144">
          <cell r="B144" t="str">
            <v>223D010</v>
          </cell>
          <cell r="C144" t="str">
            <v>BENZ V5x DAB</v>
          </cell>
        </row>
        <row r="145">
          <cell r="B145" t="str">
            <v>258D050</v>
          </cell>
          <cell r="C145" t="str">
            <v>BENZ X244 X248 DAB</v>
          </cell>
        </row>
        <row r="146">
          <cell r="B146" t="str">
            <v>185W35L</v>
          </cell>
          <cell r="C146" t="str">
            <v>BMPV CAB OPW LH</v>
          </cell>
        </row>
        <row r="147">
          <cell r="B147" t="str">
            <v>185W35R</v>
          </cell>
          <cell r="C147" t="str">
            <v>BMPV CAB OPW RH</v>
          </cell>
        </row>
        <row r="148">
          <cell r="B148" t="str">
            <v>22CW110XA</v>
          </cell>
          <cell r="C148" t="str">
            <v>BMPV MP24 CAB OPW A状态</v>
          </cell>
        </row>
        <row r="149">
          <cell r="B149" t="str">
            <v>185W35Q</v>
          </cell>
          <cell r="C149" t="str">
            <v>BMPV OPW 导气袋</v>
          </cell>
        </row>
        <row r="150">
          <cell r="B150" t="str">
            <v>172S10BL</v>
          </cell>
          <cell r="C150" t="str">
            <v>BMW G20 SAB LH B状态 (埃)</v>
          </cell>
        </row>
        <row r="151">
          <cell r="B151" t="str">
            <v>172S10BR</v>
          </cell>
          <cell r="C151" t="str">
            <v>BMW G20 SAB RH B状态 (埃)</v>
          </cell>
        </row>
        <row r="152">
          <cell r="B152" t="str">
            <v>242W021L</v>
          </cell>
          <cell r="C152" t="str">
            <v>BMW G58 CAB OPW LH</v>
          </cell>
        </row>
        <row r="153">
          <cell r="B153" t="str">
            <v>242W021TB</v>
          </cell>
          <cell r="C153" t="str">
            <v>BMW G58 CAB OPW LH长拉带</v>
          </cell>
        </row>
        <row r="154">
          <cell r="B154" t="str">
            <v>242W021R</v>
          </cell>
          <cell r="C154" t="str">
            <v>BMW G58 CAB OPW RH</v>
          </cell>
        </row>
        <row r="155">
          <cell r="B155" t="str">
            <v>242W021TC</v>
          </cell>
          <cell r="C155" t="str">
            <v>BMW G58 CAB OPW RH长拉带</v>
          </cell>
        </row>
        <row r="156">
          <cell r="B156" t="str">
            <v>242W021TA</v>
          </cell>
          <cell r="C156" t="str">
            <v>BMW G58 CAB OPW 短拉带</v>
          </cell>
        </row>
        <row r="157">
          <cell r="B157" t="str">
            <v>242F005L</v>
          </cell>
          <cell r="C157" t="str">
            <v>BMW G58 FCAB CN LHD</v>
          </cell>
        </row>
        <row r="158">
          <cell r="B158" t="str">
            <v>242S016L</v>
          </cell>
          <cell r="C158" t="str">
            <v>BMW G58 FSAB LH</v>
          </cell>
        </row>
        <row r="159">
          <cell r="B159" t="str">
            <v>242S016R</v>
          </cell>
          <cell r="C159" t="str">
            <v>BMW G58 FSAB RH</v>
          </cell>
        </row>
        <row r="160">
          <cell r="B160" t="str">
            <v>242S017AL</v>
          </cell>
          <cell r="C160" t="str">
            <v>BMW G58 RSAB LH A状态</v>
          </cell>
        </row>
        <row r="161">
          <cell r="B161" t="str">
            <v>242S017AR</v>
          </cell>
          <cell r="C161" t="str">
            <v>BMW G58 RSAB RH A状态</v>
          </cell>
        </row>
        <row r="162">
          <cell r="B162" t="str">
            <v>20BS005BL</v>
          </cell>
          <cell r="C162" t="str">
            <v>BMW G68 FSAB LH B状态</v>
          </cell>
        </row>
        <row r="163">
          <cell r="B163" t="str">
            <v>20BS005BR</v>
          </cell>
          <cell r="C163" t="str">
            <v>BMW G68 FSAB RH B状态</v>
          </cell>
        </row>
        <row r="164">
          <cell r="B164" t="str">
            <v>22BS093BL</v>
          </cell>
          <cell r="C164" t="str">
            <v>BMW G6x RSAB LH B状态</v>
          </cell>
        </row>
        <row r="165">
          <cell r="B165" t="str">
            <v>22BS093BR</v>
          </cell>
          <cell r="C165" t="str">
            <v>BMW G6x RSAB RH B状态</v>
          </cell>
        </row>
        <row r="166">
          <cell r="B166" t="str">
            <v>242W022L</v>
          </cell>
          <cell r="C166" t="str">
            <v>BMW NA8 CAB OPW LH</v>
          </cell>
        </row>
        <row r="167">
          <cell r="B167" t="str">
            <v>242W022R</v>
          </cell>
          <cell r="C167" t="str">
            <v>BMW NA8 CAB OPW RH</v>
          </cell>
        </row>
        <row r="168">
          <cell r="B168" t="str">
            <v>242W022TB</v>
          </cell>
          <cell r="C168" t="str">
            <v>BMW NA8 CAB OPW 长拉带</v>
          </cell>
        </row>
        <row r="169">
          <cell r="B169" t="str">
            <v>242W022Q</v>
          </cell>
          <cell r="C169" t="str">
            <v>BMW NA8 CAB OPW 导气袋</v>
          </cell>
        </row>
        <row r="170">
          <cell r="B170" t="str">
            <v>242W022TA</v>
          </cell>
          <cell r="C170" t="str">
            <v>BMW NA8 CAB OPW 短拉带</v>
          </cell>
        </row>
        <row r="171">
          <cell r="B171" t="str">
            <v>21BW178AT</v>
          </cell>
          <cell r="C171" t="str">
            <v>BYD SERIES TETHER TWO A状态</v>
          </cell>
        </row>
        <row r="172">
          <cell r="B172" t="str">
            <v>21BW178Q</v>
          </cell>
          <cell r="C172" t="str">
            <v>BYD SERIES Y-SOCK TWO</v>
          </cell>
        </row>
        <row r="173">
          <cell r="B173" t="str">
            <v>21BW177T</v>
          </cell>
          <cell r="C173" t="str">
            <v>BYD TETHER 1 拉带</v>
          </cell>
        </row>
        <row r="174">
          <cell r="B174" t="str">
            <v>224W040T</v>
          </cell>
          <cell r="C174" t="str">
            <v>BYD TETHER 4</v>
          </cell>
        </row>
        <row r="175">
          <cell r="B175" t="str">
            <v>24AS164L</v>
          </cell>
          <cell r="C175" t="str">
            <v>BYD UG FSAB LH</v>
          </cell>
        </row>
        <row r="176">
          <cell r="B176" t="str">
            <v>24AS164R</v>
          </cell>
          <cell r="C176" t="str">
            <v>BYD UG FSAB RH</v>
          </cell>
        </row>
        <row r="177">
          <cell r="B177" t="str">
            <v>225W056L</v>
          </cell>
          <cell r="C177" t="str">
            <v>BYD X1 CAB OPW LH</v>
          </cell>
        </row>
        <row r="178">
          <cell r="B178" t="str">
            <v>225W056R</v>
          </cell>
          <cell r="C178" t="str">
            <v>BYD X1 CAB OPW RH</v>
          </cell>
        </row>
        <row r="179">
          <cell r="B179" t="str">
            <v>225W056Q</v>
          </cell>
          <cell r="C179" t="str">
            <v>BYD X1 CAB OPW 导气袋</v>
          </cell>
        </row>
        <row r="180">
          <cell r="B180" t="str">
            <v>225W056T</v>
          </cell>
          <cell r="C180" t="str">
            <v>BYD X1 CAB OPW 拉带</v>
          </cell>
        </row>
        <row r="181">
          <cell r="B181" t="str">
            <v>21BW177Q</v>
          </cell>
          <cell r="C181" t="str">
            <v>BYD Y-SOCK 1</v>
          </cell>
        </row>
        <row r="182">
          <cell r="B182" t="str">
            <v>21BW179Q</v>
          </cell>
          <cell r="C182" t="str">
            <v>BYD Y-SOCK 3</v>
          </cell>
        </row>
        <row r="183">
          <cell r="B183" t="str">
            <v>25AF036A</v>
          </cell>
          <cell r="C183" t="str">
            <v>C06 FCA A状态</v>
          </cell>
        </row>
        <row r="184">
          <cell r="B184" t="str">
            <v>229S074L</v>
          </cell>
          <cell r="C184" t="str">
            <v>C11 SAB LH</v>
          </cell>
        </row>
        <row r="185">
          <cell r="B185" t="str">
            <v>229S074R</v>
          </cell>
          <cell r="C185" t="str">
            <v>C11 SAB RH</v>
          </cell>
        </row>
        <row r="186">
          <cell r="B186" t="str">
            <v>172P09</v>
          </cell>
          <cell r="C186" t="str">
            <v>C201-16 PAB</v>
          </cell>
        </row>
        <row r="187">
          <cell r="B187" t="str">
            <v>259W181</v>
          </cell>
          <cell r="C187" t="str">
            <v>C35 OPW</v>
          </cell>
        </row>
        <row r="188">
          <cell r="B188" t="str">
            <v>259W182</v>
          </cell>
          <cell r="C188" t="str">
            <v>C45 OPW</v>
          </cell>
        </row>
        <row r="189">
          <cell r="B189" t="str">
            <v>LD04</v>
          </cell>
          <cell r="C189" t="str">
            <v>C51E CAB 拉带</v>
          </cell>
        </row>
        <row r="190">
          <cell r="B190" t="str">
            <v>DQ04</v>
          </cell>
          <cell r="C190" t="str">
            <v>C51E CAB导气袋</v>
          </cell>
        </row>
        <row r="191">
          <cell r="B191" t="str">
            <v>13AC52AT</v>
          </cell>
          <cell r="C191" t="str">
            <v>C60F CAB 拉带</v>
          </cell>
        </row>
        <row r="192">
          <cell r="B192" t="str">
            <v>13CD83</v>
          </cell>
          <cell r="C192" t="str">
            <v>C60F DAB</v>
          </cell>
        </row>
        <row r="193">
          <cell r="B193" t="str">
            <v>23AS102AL</v>
          </cell>
          <cell r="C193" t="str">
            <v>C673 OVERSEA FSAB LH A状态</v>
          </cell>
        </row>
        <row r="194">
          <cell r="B194" t="str">
            <v>23AS102AR</v>
          </cell>
          <cell r="C194" t="str">
            <v>C673 OVERSEA FSAB RH A状态</v>
          </cell>
        </row>
        <row r="195">
          <cell r="B195" t="str">
            <v>254S062L</v>
          </cell>
          <cell r="C195" t="str">
            <v>C71KS-M01 SAB LH</v>
          </cell>
        </row>
        <row r="196">
          <cell r="B196" t="str">
            <v>254S062R</v>
          </cell>
          <cell r="C196" t="str">
            <v>C71KS-M01 SAB RH</v>
          </cell>
        </row>
        <row r="197">
          <cell r="B197" t="str">
            <v>14AC36T</v>
          </cell>
          <cell r="C197" t="str">
            <v>C80G CAB拉带</v>
          </cell>
        </row>
        <row r="198">
          <cell r="B198" t="str">
            <v>23BP089B</v>
          </cell>
          <cell r="C198" t="str">
            <v>CAT PAB B状态</v>
          </cell>
        </row>
        <row r="199">
          <cell r="B199" t="str">
            <v>23BP089BQ</v>
          </cell>
          <cell r="C199" t="str">
            <v>CAT PAB B状态导流袋半成品</v>
          </cell>
        </row>
        <row r="200">
          <cell r="B200" t="str">
            <v>23BP089C</v>
          </cell>
          <cell r="C200" t="str">
            <v>CAT PAB C状态</v>
          </cell>
        </row>
        <row r="201">
          <cell r="B201" t="str">
            <v>23BP089CQ</v>
          </cell>
          <cell r="C201" t="str">
            <v>CAT PAB C状态导流袋半成品</v>
          </cell>
        </row>
        <row r="202">
          <cell r="B202" t="str">
            <v>252S015AL</v>
          </cell>
          <cell r="C202" t="str">
            <v>CC1E FSAB LH A状态</v>
          </cell>
        </row>
        <row r="203">
          <cell r="B203" t="str">
            <v>252S015AR</v>
          </cell>
          <cell r="C203" t="str">
            <v>CC1E FSAB RH A状态</v>
          </cell>
        </row>
        <row r="204">
          <cell r="B204" t="str">
            <v>25AD061</v>
          </cell>
          <cell r="C204" t="str">
            <v>CC1E-U DAB</v>
          </cell>
        </row>
        <row r="205">
          <cell r="B205" t="str">
            <v>20CW065AL</v>
          </cell>
          <cell r="C205" t="str">
            <v>CD764 CAB OPW LH A状态</v>
          </cell>
        </row>
        <row r="206">
          <cell r="B206" t="str">
            <v>20CW065AR</v>
          </cell>
          <cell r="C206" t="str">
            <v>CD764 CAB OPW RH A状态</v>
          </cell>
        </row>
        <row r="207">
          <cell r="B207" t="str">
            <v>20CW065AQ</v>
          </cell>
          <cell r="C207" t="str">
            <v>CD764 OPW 导气袋 A状态</v>
          </cell>
        </row>
        <row r="208">
          <cell r="B208" t="str">
            <v>20CW065AT</v>
          </cell>
          <cell r="C208" t="str">
            <v>CD764 OPW 拉带 A状态</v>
          </cell>
        </row>
        <row r="209">
          <cell r="B209" t="str">
            <v>20CW062CL</v>
          </cell>
          <cell r="C209" t="str">
            <v>CDX706 IC OPW LH C状态</v>
          </cell>
        </row>
        <row r="210">
          <cell r="B210" t="str">
            <v>20CW062DL</v>
          </cell>
          <cell r="C210" t="str">
            <v>CDX706 IC OPW LH D状态</v>
          </cell>
        </row>
        <row r="211">
          <cell r="B211" t="str">
            <v>20CW062CR</v>
          </cell>
          <cell r="C211" t="str">
            <v>CDX706 IC OPW RH C状态</v>
          </cell>
        </row>
        <row r="212">
          <cell r="B212" t="str">
            <v>20CW062DR</v>
          </cell>
          <cell r="C212" t="str">
            <v>CDX706 IC OPW RH D状态</v>
          </cell>
        </row>
        <row r="213">
          <cell r="B213" t="str">
            <v>20CW062CQ</v>
          </cell>
          <cell r="C213" t="str">
            <v>CDX706 IC OPW 导气袋 C状态</v>
          </cell>
        </row>
        <row r="214">
          <cell r="B214" t="str">
            <v>20CW062DQ</v>
          </cell>
          <cell r="C214" t="str">
            <v>CDX706 IC OPW 导气袋 D状态</v>
          </cell>
        </row>
        <row r="215">
          <cell r="B215" t="str">
            <v>20CW062CT</v>
          </cell>
          <cell r="C215" t="str">
            <v>CDX706 IC OPW 拉带 C状态</v>
          </cell>
        </row>
        <row r="216">
          <cell r="B216" t="str">
            <v>206W57X</v>
          </cell>
          <cell r="C216" t="str">
            <v>CDX707 CAB OPW</v>
          </cell>
        </row>
        <row r="217">
          <cell r="B217" t="str">
            <v>216D020</v>
          </cell>
          <cell r="C217" t="str">
            <v>CDX707 SS DAB</v>
          </cell>
        </row>
        <row r="218">
          <cell r="B218" t="str">
            <v>122S01BL</v>
          </cell>
          <cell r="C218" t="str">
            <v>CFMA J53R SAB LH B状态</v>
          </cell>
        </row>
        <row r="219">
          <cell r="B219" t="str">
            <v>122S01BR</v>
          </cell>
          <cell r="C219" t="str">
            <v>CFMA J53R SAB RH B状态</v>
          </cell>
        </row>
        <row r="220">
          <cell r="B220" t="str">
            <v>162D04</v>
          </cell>
          <cell r="C220" t="str">
            <v>CH051X DAB</v>
          </cell>
        </row>
        <row r="221">
          <cell r="B221" t="str">
            <v>131C02AD</v>
          </cell>
          <cell r="C221" t="str">
            <v>CH071 CAB导气袋</v>
          </cell>
        </row>
        <row r="222">
          <cell r="B222" t="str">
            <v>131C02AT</v>
          </cell>
          <cell r="C222" t="str">
            <v>CH071 CAB拉带</v>
          </cell>
        </row>
        <row r="223">
          <cell r="B223" t="str">
            <v>11BD08</v>
          </cell>
          <cell r="C223" t="str">
            <v>CHANA CD101 DAB</v>
          </cell>
        </row>
        <row r="224">
          <cell r="B224" t="str">
            <v>124D15</v>
          </cell>
          <cell r="C224" t="str">
            <v>CHANA S101 DAB</v>
          </cell>
        </row>
        <row r="225">
          <cell r="B225" t="str">
            <v>124S07L</v>
          </cell>
          <cell r="C225" t="str">
            <v>CHANA S101 SAB-LH</v>
          </cell>
        </row>
        <row r="226">
          <cell r="B226" t="str">
            <v>124S07R</v>
          </cell>
          <cell r="C226" t="str">
            <v>CHANA S101 SAB-RH</v>
          </cell>
        </row>
        <row r="227">
          <cell r="B227" t="str">
            <v>152P06</v>
          </cell>
          <cell r="C227" t="str">
            <v>CHANG AN F102 PAB</v>
          </cell>
        </row>
        <row r="228">
          <cell r="B228" t="str">
            <v>19AW66L</v>
          </cell>
          <cell r="C228" t="str">
            <v>CHANGAN  CD569 CAB OPW LH</v>
          </cell>
        </row>
        <row r="229">
          <cell r="B229" t="str">
            <v>13CC55</v>
          </cell>
          <cell r="C229" t="str">
            <v>CHANGAN B211 CAB</v>
          </cell>
        </row>
        <row r="230">
          <cell r="B230" t="str">
            <v>13CC55T</v>
          </cell>
          <cell r="C230" t="str">
            <v>CHANGAN B211 CAB 拉带</v>
          </cell>
        </row>
        <row r="231">
          <cell r="B231" t="str">
            <v>139P55</v>
          </cell>
          <cell r="C231" t="str">
            <v>CHANGAN B211 PAB</v>
          </cell>
        </row>
        <row r="232">
          <cell r="B232" t="str">
            <v>249S154AL</v>
          </cell>
          <cell r="C232" t="str">
            <v>CHANGAN B216 ME FSAB LH A状态</v>
          </cell>
        </row>
        <row r="233">
          <cell r="B233" t="str">
            <v>249S154AR</v>
          </cell>
          <cell r="C233" t="str">
            <v>CHANGAN B216 ME FSAB RH A状态</v>
          </cell>
        </row>
        <row r="234">
          <cell r="B234" t="str">
            <v>157S22L</v>
          </cell>
          <cell r="C234" t="str">
            <v>CHANGAN C202 VAVE SABL</v>
          </cell>
        </row>
        <row r="235">
          <cell r="B235" t="str">
            <v>157S22R</v>
          </cell>
          <cell r="C235" t="str">
            <v>CHANGAN C202 VAVE SABR</v>
          </cell>
        </row>
        <row r="236">
          <cell r="B236" t="str">
            <v>177D42A</v>
          </cell>
          <cell r="C236" t="str">
            <v>CHANGAN C211 DAB(INVISTA面料)</v>
          </cell>
        </row>
        <row r="237">
          <cell r="B237" t="str">
            <v>232S007BL</v>
          </cell>
          <cell r="C237" t="str">
            <v>CHANGAN C236 FSAB LH B状态</v>
          </cell>
        </row>
        <row r="238">
          <cell r="B238" t="str">
            <v>232S007BR</v>
          </cell>
          <cell r="C238" t="str">
            <v>CHANGAN C236 FSAB RH B状态</v>
          </cell>
        </row>
        <row r="239">
          <cell r="B239" t="str">
            <v>206W60L</v>
          </cell>
          <cell r="C239" t="str">
            <v>CHANGAN C281 CAB OPW LH</v>
          </cell>
        </row>
        <row r="240">
          <cell r="B240" t="str">
            <v>206W60R</v>
          </cell>
          <cell r="C240" t="str">
            <v>CHANGAN C281 CAB OPW RH</v>
          </cell>
        </row>
        <row r="241">
          <cell r="B241" t="str">
            <v>206W60Q</v>
          </cell>
          <cell r="C241" t="str">
            <v>CHANGAN C281 CAB OPW 导气袋</v>
          </cell>
        </row>
        <row r="242">
          <cell r="B242" t="str">
            <v>206W60T</v>
          </cell>
          <cell r="C242" t="str">
            <v>CHANGAN C281 CAB OPW 拉带</v>
          </cell>
        </row>
        <row r="243">
          <cell r="B243" t="str">
            <v>237D034</v>
          </cell>
          <cell r="C243" t="str">
            <v>CHANGAN C385 ICA2 DAB</v>
          </cell>
        </row>
        <row r="244">
          <cell r="B244" t="str">
            <v>22BD048</v>
          </cell>
          <cell r="C244" t="str">
            <v>CHANGAN C673 DAB</v>
          </cell>
        </row>
        <row r="245">
          <cell r="B245" t="str">
            <v>23BP097</v>
          </cell>
          <cell r="C245" t="str">
            <v>CHANGAN C673 EU PAB</v>
          </cell>
        </row>
        <row r="246">
          <cell r="B246" t="str">
            <v>22AS084L</v>
          </cell>
          <cell r="C246" t="str">
            <v>Changan C673 FSAB LH</v>
          </cell>
        </row>
        <row r="247">
          <cell r="B247" t="str">
            <v>22AS084BL</v>
          </cell>
          <cell r="C247" t="str">
            <v>Changan C673 FSAB LH B状态</v>
          </cell>
        </row>
        <row r="248">
          <cell r="B248" t="str">
            <v>22AS084R</v>
          </cell>
          <cell r="C248" t="str">
            <v>Changan C673 FSAB RH</v>
          </cell>
        </row>
        <row r="249">
          <cell r="B249" t="str">
            <v>22AS084BR</v>
          </cell>
          <cell r="C249" t="str">
            <v>Changan C673 FSAB RH B状态</v>
          </cell>
        </row>
        <row r="250">
          <cell r="B250" t="str">
            <v>247S104L</v>
          </cell>
          <cell r="C250" t="str">
            <v>Changan C673 ICA FSAB LH</v>
          </cell>
        </row>
        <row r="251">
          <cell r="B251" t="str">
            <v>247S104R</v>
          </cell>
          <cell r="C251" t="str">
            <v>Changan C673 ICA FSAB RH</v>
          </cell>
        </row>
        <row r="252">
          <cell r="B252" t="str">
            <v>266P089</v>
          </cell>
          <cell r="C252" t="str">
            <v>CHANGAN C673-G PAB</v>
          </cell>
        </row>
        <row r="253">
          <cell r="B253" t="str">
            <v>23CD066</v>
          </cell>
          <cell r="C253" t="str">
            <v>CHANGAN C673-R DAB</v>
          </cell>
        </row>
        <row r="254">
          <cell r="B254" t="str">
            <v>19AW66R</v>
          </cell>
          <cell r="C254" t="str">
            <v>CHANGAN CD569 CAB OPW RH</v>
          </cell>
        </row>
        <row r="255">
          <cell r="B255" t="str">
            <v>19AW66T</v>
          </cell>
          <cell r="C255" t="str">
            <v>CHANGAN CD569 CAB OPW 拉带</v>
          </cell>
        </row>
        <row r="256">
          <cell r="B256" t="str">
            <v>233S026CL</v>
          </cell>
          <cell r="C256" t="str">
            <v>Changan CD701 FSAB LH C状态</v>
          </cell>
        </row>
        <row r="257">
          <cell r="B257" t="str">
            <v>233S026CL</v>
          </cell>
          <cell r="C257" t="str">
            <v>Changan CD701 FSAB LH C状态(上海)</v>
          </cell>
        </row>
        <row r="258">
          <cell r="B258" t="str">
            <v>233S026CR</v>
          </cell>
          <cell r="C258" t="str">
            <v>Changan CD701 FSAB RH C状态</v>
          </cell>
        </row>
        <row r="259">
          <cell r="B259" t="str">
            <v>233S026CR</v>
          </cell>
          <cell r="C259" t="str">
            <v>Changan CD701 FSAB RH C状态(上海)</v>
          </cell>
        </row>
        <row r="260">
          <cell r="B260" t="str">
            <v>233S018AL</v>
          </cell>
          <cell r="C260" t="str">
            <v>Changan CD701 RSAB LH A状态</v>
          </cell>
        </row>
        <row r="261">
          <cell r="B261" t="str">
            <v>233S018AR</v>
          </cell>
          <cell r="C261" t="str">
            <v>Changan CD701 RSAB RH A状态</v>
          </cell>
        </row>
        <row r="262">
          <cell r="B262" t="str">
            <v>246S076L</v>
          </cell>
          <cell r="C262" t="str">
            <v>CHANGAN D587 FSAB LH</v>
          </cell>
        </row>
        <row r="263">
          <cell r="B263" t="str">
            <v>246S076R</v>
          </cell>
          <cell r="C263" t="str">
            <v>CHANGAN D587 FSAB RH</v>
          </cell>
        </row>
        <row r="264">
          <cell r="B264" t="str">
            <v>246S072L</v>
          </cell>
          <cell r="C264" t="str">
            <v>CHANGAN D587 RSAB LH</v>
          </cell>
        </row>
        <row r="265">
          <cell r="B265" t="str">
            <v>246S072R</v>
          </cell>
          <cell r="C265" t="str">
            <v>CHANGAN D587 RSAB RH</v>
          </cell>
        </row>
        <row r="266">
          <cell r="B266" t="str">
            <v>218S048DL</v>
          </cell>
          <cell r="C266" t="str">
            <v>Changan E11 SAB LH D状态</v>
          </cell>
        </row>
        <row r="267">
          <cell r="B267" t="str">
            <v>218S048DR</v>
          </cell>
          <cell r="C267" t="str">
            <v>Changan E11 SAB RH D状态</v>
          </cell>
        </row>
        <row r="268">
          <cell r="B268" t="str">
            <v>235S044BL</v>
          </cell>
          <cell r="C268" t="str">
            <v>CHANGAN E12 FSAB LH B状态</v>
          </cell>
        </row>
        <row r="269">
          <cell r="B269" t="str">
            <v>235S044BR</v>
          </cell>
          <cell r="C269" t="str">
            <v>CHANGAN E12 FSAB RH B状态</v>
          </cell>
        </row>
        <row r="270">
          <cell r="B270" t="str">
            <v>233S017AL</v>
          </cell>
          <cell r="C270" t="str">
            <v>CHANGAN E12 RSAB LH A状态</v>
          </cell>
        </row>
        <row r="271">
          <cell r="B271" t="str">
            <v>233S017AR</v>
          </cell>
          <cell r="C271" t="str">
            <v>CHANGAN E12 RSAB RH A状态</v>
          </cell>
        </row>
        <row r="272">
          <cell r="B272" t="str">
            <v>25CS144L</v>
          </cell>
          <cell r="C272" t="str">
            <v>CHANGAN E15 MCA1 RSAB LH</v>
          </cell>
        </row>
        <row r="273">
          <cell r="B273" t="str">
            <v>25CS144R</v>
          </cell>
          <cell r="C273" t="str">
            <v>CHANGAN E15 MCA1 RSAB RH</v>
          </cell>
        </row>
        <row r="274">
          <cell r="B274" t="str">
            <v>23AS101AL</v>
          </cell>
          <cell r="C274" t="str">
            <v>CHANGAN E15 RSAB LH A状态</v>
          </cell>
        </row>
        <row r="275">
          <cell r="B275" t="str">
            <v>23AS101AL</v>
          </cell>
          <cell r="C275" t="str">
            <v>CHANGAN E15 RSAB LH A状态（上海）</v>
          </cell>
        </row>
        <row r="276">
          <cell r="B276" t="str">
            <v>23AS101AR</v>
          </cell>
          <cell r="C276" t="str">
            <v>CHANGAN E15 RSAB RH A状态</v>
          </cell>
        </row>
        <row r="277">
          <cell r="B277" t="str">
            <v>23AS101AR</v>
          </cell>
          <cell r="C277" t="str">
            <v>CHANGAN E15 RSAB RH A状态（上海）</v>
          </cell>
        </row>
        <row r="278">
          <cell r="B278" t="str">
            <v>199P78</v>
          </cell>
          <cell r="C278" t="str">
            <v>CHANGAN F202 PAB</v>
          </cell>
        </row>
        <row r="279">
          <cell r="B279" t="str">
            <v>25BS127L</v>
          </cell>
          <cell r="C279" t="str">
            <v>CHANGAN P275-2 FSAB LH</v>
          </cell>
        </row>
        <row r="280">
          <cell r="B280" t="str">
            <v>25BS127R</v>
          </cell>
          <cell r="C280" t="str">
            <v>CHANGAN P275-2 FSAB RH</v>
          </cell>
        </row>
        <row r="281">
          <cell r="B281" t="str">
            <v>124P09</v>
          </cell>
          <cell r="C281" t="str">
            <v>CHANGAN S101 PAB</v>
          </cell>
        </row>
        <row r="282">
          <cell r="B282" t="str">
            <v>15AS28L</v>
          </cell>
          <cell r="C282" t="str">
            <v>CHANGAN S101 VAVE SABL</v>
          </cell>
        </row>
        <row r="283">
          <cell r="B283" t="str">
            <v>15AS28R</v>
          </cell>
          <cell r="C283" t="str">
            <v>CHANGAN S101 VAVE SABR</v>
          </cell>
        </row>
        <row r="284">
          <cell r="B284" t="str">
            <v>213P015</v>
          </cell>
          <cell r="C284" t="str">
            <v>CHANGAN S202 PAB</v>
          </cell>
        </row>
        <row r="285">
          <cell r="B285" t="str">
            <v>133P22</v>
          </cell>
          <cell r="C285" t="str">
            <v>CHANGAN S301 PAB</v>
          </cell>
        </row>
        <row r="286">
          <cell r="B286" t="str">
            <v>171D03</v>
          </cell>
          <cell r="C286" t="str">
            <v>CHANGAN S301 VAVE DAB</v>
          </cell>
        </row>
        <row r="287">
          <cell r="B287" t="str">
            <v>181D08</v>
          </cell>
          <cell r="C287" t="str">
            <v>CHANGAN S302 DAB</v>
          </cell>
        </row>
        <row r="288">
          <cell r="B288" t="str">
            <v>217D033</v>
          </cell>
          <cell r="C288" t="str">
            <v>CHANGAN S311 MCA DAB</v>
          </cell>
        </row>
        <row r="289">
          <cell r="B289" t="str">
            <v>12AC16AL</v>
          </cell>
          <cell r="C289" t="str">
            <v>CHB011 IC LH</v>
          </cell>
        </row>
        <row r="290">
          <cell r="B290" t="str">
            <v>12AC16AR</v>
          </cell>
          <cell r="C290" t="str">
            <v>CHB011 IC RH</v>
          </cell>
        </row>
        <row r="291">
          <cell r="B291" t="str">
            <v>12AC17CL</v>
          </cell>
          <cell r="C291" t="str">
            <v>CHB021 IC LH C</v>
          </cell>
        </row>
        <row r="292">
          <cell r="B292" t="str">
            <v>12AC17CR</v>
          </cell>
          <cell r="C292" t="str">
            <v>CHB021 IC RH C</v>
          </cell>
        </row>
        <row r="293">
          <cell r="B293" t="str">
            <v>12AC17CX</v>
          </cell>
          <cell r="C293" t="str">
            <v>CHB021 IC拉带头</v>
          </cell>
        </row>
        <row r="294">
          <cell r="B294" t="str">
            <v>12AS22AL</v>
          </cell>
          <cell r="C294" t="str">
            <v>CHB021 SAB LH A状态 (埃)</v>
          </cell>
        </row>
        <row r="295">
          <cell r="B295" t="str">
            <v>12AS22AR</v>
          </cell>
          <cell r="C295" t="str">
            <v>CHB021 SAB RH A状态 (埃)</v>
          </cell>
        </row>
        <row r="296">
          <cell r="B296" t="str">
            <v>138S40L</v>
          </cell>
          <cell r="C296" t="str">
            <v>CHERY A3II SAB LH (埃)</v>
          </cell>
        </row>
        <row r="297">
          <cell r="B297" t="str">
            <v>138S40R</v>
          </cell>
          <cell r="C297" t="str">
            <v>CHERY A3II SAB RH (埃)</v>
          </cell>
        </row>
        <row r="298">
          <cell r="B298" t="str">
            <v>25BS124L</v>
          </cell>
          <cell r="C298" t="str">
            <v>Chery E0V 3ROW RSAB LH</v>
          </cell>
        </row>
        <row r="299">
          <cell r="B299" t="str">
            <v>25BS124R</v>
          </cell>
          <cell r="C299" t="str">
            <v>Chery E0V 3ROW RSAB RH</v>
          </cell>
        </row>
        <row r="300">
          <cell r="B300" t="str">
            <v>219S064AL</v>
          </cell>
          <cell r="C300" t="str">
            <v>CHERY M1E FSAB LH A状态</v>
          </cell>
        </row>
        <row r="301">
          <cell r="B301" t="str">
            <v>219S064AR</v>
          </cell>
          <cell r="C301" t="str">
            <v>CHERY M1E FSAB RH A状态</v>
          </cell>
        </row>
        <row r="302">
          <cell r="B302" t="str">
            <v>219W151AL</v>
          </cell>
          <cell r="C302" t="str">
            <v>Chery M1E IC OPW LH A状态</v>
          </cell>
        </row>
        <row r="303">
          <cell r="B303" t="str">
            <v>219W151BL</v>
          </cell>
          <cell r="C303" t="str">
            <v>Chery M1E IC OPW LH B状态</v>
          </cell>
        </row>
        <row r="304">
          <cell r="B304" t="str">
            <v>219W151AR</v>
          </cell>
          <cell r="C304" t="str">
            <v>Chery M1E IC OPW RH A状态</v>
          </cell>
        </row>
        <row r="305">
          <cell r="B305" t="str">
            <v>219W151BR</v>
          </cell>
          <cell r="C305" t="str">
            <v>Chery M1E IC OPW RH B状态</v>
          </cell>
        </row>
        <row r="306">
          <cell r="B306" t="str">
            <v>219W151AT1</v>
          </cell>
          <cell r="C306" t="str">
            <v>Chery M1E IC OPW 长拉带 A状态</v>
          </cell>
        </row>
        <row r="307">
          <cell r="B307" t="str">
            <v>219W151AQ</v>
          </cell>
          <cell r="C307" t="str">
            <v>Chery M1E IC OPW 导气袋 A状态</v>
          </cell>
        </row>
        <row r="308">
          <cell r="B308" t="str">
            <v>219W151BQ</v>
          </cell>
          <cell r="C308" t="str">
            <v>Chery M1E IC OPW 导气袋 B状态</v>
          </cell>
        </row>
        <row r="309">
          <cell r="B309" t="str">
            <v>219W151AT2</v>
          </cell>
          <cell r="C309" t="str">
            <v>Chery M1E IC OPW 短拉带 A状态</v>
          </cell>
        </row>
        <row r="310">
          <cell r="B310" t="str">
            <v>18CP59</v>
          </cell>
          <cell r="C310" t="str">
            <v>CHERY M36T PAB</v>
          </cell>
        </row>
        <row r="311">
          <cell r="B311" t="str">
            <v>15AS26AL</v>
          </cell>
          <cell r="C311" t="str">
            <v>Chery T17 SAB LH（埃）</v>
          </cell>
        </row>
        <row r="312">
          <cell r="B312" t="str">
            <v>15AS26AR</v>
          </cell>
          <cell r="C312" t="str">
            <v>Chery T17 SAB RH（埃）</v>
          </cell>
        </row>
        <row r="313">
          <cell r="B313" t="str">
            <v>21CF024BL</v>
          </cell>
          <cell r="C313" t="str">
            <v>CHERY T19C FCA DLH B状态</v>
          </cell>
        </row>
        <row r="314">
          <cell r="B314" t="str">
            <v>21CF024BR</v>
          </cell>
          <cell r="C314" t="str">
            <v>CHERY T19C FCA DRH B状态</v>
          </cell>
        </row>
        <row r="315">
          <cell r="B315" t="str">
            <v>205S29L</v>
          </cell>
          <cell r="C315" t="str">
            <v>CHERY T1D RSAB LH （国产缝纫线）</v>
          </cell>
        </row>
        <row r="316">
          <cell r="B316" t="str">
            <v>205S29R</v>
          </cell>
          <cell r="C316" t="str">
            <v>CHERY T1D RSAB RH （国产缝纫线）</v>
          </cell>
        </row>
        <row r="317">
          <cell r="B317" t="str">
            <v>24BW223L</v>
          </cell>
          <cell r="C317" t="str">
            <v>CKEA CAB OPW LH</v>
          </cell>
        </row>
        <row r="318">
          <cell r="B318" t="str">
            <v>24BW223R</v>
          </cell>
          <cell r="C318" t="str">
            <v>CKEA CAB OPW RH</v>
          </cell>
        </row>
        <row r="319">
          <cell r="B319" t="str">
            <v>24BW223Q</v>
          </cell>
          <cell r="C319" t="str">
            <v>CKEA CAB OPW 导气袋</v>
          </cell>
        </row>
        <row r="320">
          <cell r="B320" t="str">
            <v>24BW223T</v>
          </cell>
          <cell r="C320" t="str">
            <v>CKEA CAB OPW 拉带</v>
          </cell>
        </row>
        <row r="321">
          <cell r="B321" t="str">
            <v>24CS209L</v>
          </cell>
          <cell r="C321" t="str">
            <v>CKEA SAB LH</v>
          </cell>
        </row>
        <row r="322">
          <cell r="B322" t="str">
            <v>24CS209R</v>
          </cell>
          <cell r="C322" t="str">
            <v>CKEA SAB RH</v>
          </cell>
        </row>
        <row r="323">
          <cell r="B323" t="str">
            <v>233D008B</v>
          </cell>
          <cell r="C323" t="str">
            <v>CM1E DAB B状态</v>
          </cell>
        </row>
        <row r="324">
          <cell r="B324" t="str">
            <v>265D050</v>
          </cell>
          <cell r="C324" t="str">
            <v>CM1E US DAB</v>
          </cell>
        </row>
        <row r="325">
          <cell r="B325" t="str">
            <v>229S082L</v>
          </cell>
          <cell r="C325" t="str">
            <v>CM1E US FSAB LH</v>
          </cell>
        </row>
        <row r="326">
          <cell r="B326" t="str">
            <v>229S082R</v>
          </cell>
          <cell r="C326" t="str">
            <v>CM1E US FSAB RH</v>
          </cell>
        </row>
        <row r="327">
          <cell r="B327" t="str">
            <v>229S081L</v>
          </cell>
          <cell r="C327" t="str">
            <v>CM1E US RSAB LH</v>
          </cell>
        </row>
        <row r="328">
          <cell r="B328" t="str">
            <v>229S081R</v>
          </cell>
          <cell r="C328" t="str">
            <v>CM1E US RSAB RH</v>
          </cell>
        </row>
        <row r="329">
          <cell r="B329" t="str">
            <v>146C18DQ</v>
          </cell>
          <cell r="C329" t="str">
            <v>CN200S CAB 导气袋</v>
          </cell>
        </row>
        <row r="330">
          <cell r="B330" t="str">
            <v>146C18LD</v>
          </cell>
          <cell r="C330" t="str">
            <v>CN200S CAB 拉带</v>
          </cell>
        </row>
        <row r="331">
          <cell r="B331" t="str">
            <v>149P44A</v>
          </cell>
          <cell r="C331" t="str">
            <v>CN200S PAB A状态</v>
          </cell>
        </row>
        <row r="332">
          <cell r="B332" t="str">
            <v>177C27L</v>
          </cell>
          <cell r="C332" t="str">
            <v>CN202S CAB LH</v>
          </cell>
        </row>
        <row r="333">
          <cell r="B333" t="str">
            <v>177C27LT</v>
          </cell>
          <cell r="C333" t="str">
            <v>CN202S CAB LH拉带</v>
          </cell>
        </row>
        <row r="334">
          <cell r="B334" t="str">
            <v>177C27R</v>
          </cell>
          <cell r="C334" t="str">
            <v>CN202S CAB RH</v>
          </cell>
        </row>
        <row r="335">
          <cell r="B335" t="str">
            <v>177C27RT</v>
          </cell>
          <cell r="C335" t="str">
            <v>CN202S CAB RH拉带</v>
          </cell>
        </row>
        <row r="336">
          <cell r="B336" t="str">
            <v>177C27Q</v>
          </cell>
          <cell r="C336" t="str">
            <v>CN202S CAB导气袋</v>
          </cell>
        </row>
        <row r="337">
          <cell r="B337" t="str">
            <v>163S10AL</v>
          </cell>
          <cell r="C337" t="str">
            <v>CN210M SAB LH A状态</v>
          </cell>
        </row>
        <row r="338">
          <cell r="B338" t="str">
            <v>163S10AR</v>
          </cell>
          <cell r="C338" t="str">
            <v>CN210M SAB RH A状态</v>
          </cell>
        </row>
        <row r="339">
          <cell r="B339" t="str">
            <v>243W030L</v>
          </cell>
          <cell r="C339" t="str">
            <v>CN8c CAB OPW LH</v>
          </cell>
        </row>
        <row r="340">
          <cell r="B340" t="str">
            <v>243W030R</v>
          </cell>
          <cell r="C340" t="str">
            <v>CN8c CAB OPW RH</v>
          </cell>
        </row>
        <row r="341">
          <cell r="B341" t="str">
            <v>243W030Q</v>
          </cell>
          <cell r="C341" t="str">
            <v>CN8c CAB OPW 导气袋</v>
          </cell>
        </row>
        <row r="342">
          <cell r="B342" t="str">
            <v>243W030T</v>
          </cell>
          <cell r="C342" t="str">
            <v>CN8c CAB OPW 拉带</v>
          </cell>
        </row>
        <row r="343">
          <cell r="B343" t="str">
            <v>253W044L</v>
          </cell>
          <cell r="C343" t="str">
            <v>CNEAU CAB OPW LH</v>
          </cell>
        </row>
        <row r="344">
          <cell r="B344" t="str">
            <v>253W044R</v>
          </cell>
          <cell r="C344" t="str">
            <v>CNEAU CAB OPW RH</v>
          </cell>
        </row>
        <row r="345">
          <cell r="B345" t="str">
            <v>253W044Q</v>
          </cell>
          <cell r="C345" t="str">
            <v>CNEAU CAB OPW 导气袋</v>
          </cell>
        </row>
        <row r="346">
          <cell r="B346" t="str">
            <v>264W097L</v>
          </cell>
          <cell r="C346" t="str">
            <v>CQEA CAB OPW LH</v>
          </cell>
        </row>
        <row r="347">
          <cell r="B347" t="str">
            <v>264W097R</v>
          </cell>
          <cell r="C347" t="str">
            <v>CQEA CAB OPW RH</v>
          </cell>
        </row>
        <row r="348">
          <cell r="B348" t="str">
            <v>264W097Q</v>
          </cell>
          <cell r="C348" t="str">
            <v>CQEA CAB OPW 导气袋</v>
          </cell>
        </row>
        <row r="349">
          <cell r="B349" t="str">
            <v>264W097T</v>
          </cell>
          <cell r="C349" t="str">
            <v>CQEA CAB OPW 拉带</v>
          </cell>
        </row>
        <row r="350">
          <cell r="B350" t="str">
            <v>229S079CL</v>
          </cell>
          <cell r="C350" t="str">
            <v>CS1E FSAB LH C状态</v>
          </cell>
        </row>
        <row r="351">
          <cell r="B351" t="str">
            <v>229S079CR</v>
          </cell>
          <cell r="C351" t="str">
            <v>CS1E FSAB RH C状态</v>
          </cell>
        </row>
        <row r="352">
          <cell r="B352" t="str">
            <v>259D055A</v>
          </cell>
          <cell r="C352" t="str">
            <v>CX483N DAB A状态</v>
          </cell>
        </row>
        <row r="353">
          <cell r="B353" t="str">
            <v>20BW134BL</v>
          </cell>
          <cell r="C353" t="str">
            <v>CX743 IC OPW LH B状态</v>
          </cell>
        </row>
        <row r="354">
          <cell r="B354" t="str">
            <v>20BW134BR</v>
          </cell>
          <cell r="C354" t="str">
            <v>CX743 IC OPW RH B状态</v>
          </cell>
        </row>
        <row r="355">
          <cell r="B355" t="str">
            <v>20BW134BQ</v>
          </cell>
          <cell r="C355" t="str">
            <v>CX743 IC OPW 导气袋 B状态</v>
          </cell>
        </row>
        <row r="356">
          <cell r="B356" t="str">
            <v>20BW134AT</v>
          </cell>
          <cell r="C356" t="str">
            <v>CX743 IC OPW 拉带 A状态</v>
          </cell>
        </row>
        <row r="357">
          <cell r="B357" t="str">
            <v>249P136</v>
          </cell>
          <cell r="C357" t="str">
            <v>CX835 PAB</v>
          </cell>
        </row>
        <row r="358">
          <cell r="B358" t="str">
            <v>263S040L</v>
          </cell>
          <cell r="C358" t="str">
            <v>D01 JFL1 RSAB LH</v>
          </cell>
        </row>
        <row r="359">
          <cell r="B359" t="str">
            <v>263S040R</v>
          </cell>
          <cell r="C359" t="str">
            <v>D01 JFL1 RSAB RH</v>
          </cell>
        </row>
        <row r="360">
          <cell r="B360" t="str">
            <v>166W26Q</v>
          </cell>
          <cell r="C360" t="str">
            <v>D090 OPW 导气袋</v>
          </cell>
        </row>
        <row r="361">
          <cell r="B361" t="str">
            <v>166W26T</v>
          </cell>
          <cell r="C361" t="str">
            <v>D090 OPW 拉带</v>
          </cell>
        </row>
        <row r="362">
          <cell r="B362" t="str">
            <v>19AW58</v>
          </cell>
          <cell r="C362" t="str">
            <v>D2.R6 2XL OPW</v>
          </cell>
        </row>
        <row r="363">
          <cell r="B363" t="str">
            <v>19AW59</v>
          </cell>
          <cell r="C363" t="str">
            <v>D2.R6 LXL OPW</v>
          </cell>
        </row>
        <row r="364">
          <cell r="B364" t="str">
            <v>19AW60</v>
          </cell>
          <cell r="C364" t="str">
            <v>D2.R6 SM OPW</v>
          </cell>
        </row>
        <row r="365">
          <cell r="B365" t="str">
            <v>19AW61</v>
          </cell>
          <cell r="C365" t="str">
            <v>D2.R6 XS OPW</v>
          </cell>
        </row>
        <row r="366">
          <cell r="B366" t="str">
            <v>187W43L</v>
          </cell>
          <cell r="C366" t="str">
            <v>D53EV CAB OPW LH</v>
          </cell>
        </row>
        <row r="367">
          <cell r="B367" t="str">
            <v>187W43R</v>
          </cell>
          <cell r="C367" t="str">
            <v>D53EV CAB OPW RH</v>
          </cell>
        </row>
        <row r="368">
          <cell r="B368" t="str">
            <v>187W43AP</v>
          </cell>
          <cell r="C368" t="str">
            <v>D53EV CAB OPW 保护套 A状态</v>
          </cell>
        </row>
        <row r="369">
          <cell r="B369" t="str">
            <v>187W43Q</v>
          </cell>
          <cell r="C369" t="str">
            <v>D53EV OPW 导气袋</v>
          </cell>
        </row>
        <row r="370">
          <cell r="B370" t="str">
            <v>187W43T</v>
          </cell>
          <cell r="C370" t="str">
            <v>D53EV OPW 拉带</v>
          </cell>
        </row>
        <row r="371">
          <cell r="B371" t="str">
            <v>185S20L</v>
          </cell>
          <cell r="C371" t="str">
            <v>D568 MCA SAB LH (埃)</v>
          </cell>
        </row>
        <row r="372">
          <cell r="B372" t="str">
            <v>185S20R</v>
          </cell>
          <cell r="C372" t="str">
            <v>D568 MCA SAB RH (埃)</v>
          </cell>
        </row>
        <row r="373">
          <cell r="B373" t="str">
            <v>19CS92BL</v>
          </cell>
          <cell r="C373" t="str">
            <v>DAEA SAB LH B状态</v>
          </cell>
        </row>
        <row r="374">
          <cell r="B374" t="str">
            <v>19CS92BR</v>
          </cell>
          <cell r="C374" t="str">
            <v>DAEA SAB RH B状态</v>
          </cell>
        </row>
        <row r="375">
          <cell r="B375" t="str">
            <v>233P015A</v>
          </cell>
          <cell r="C375" t="str">
            <v>DC1E A2 PAB A状态</v>
          </cell>
        </row>
        <row r="376">
          <cell r="B376" t="str">
            <v>178D45A</v>
          </cell>
          <cell r="C376" t="str">
            <v>DCY11 DAB A状态 (国埃)</v>
          </cell>
        </row>
        <row r="377">
          <cell r="B377" t="str">
            <v>17BS55L</v>
          </cell>
          <cell r="C377" t="str">
            <v>DCY11 SAB LH （国产缝纫线）</v>
          </cell>
        </row>
        <row r="378">
          <cell r="B378" t="str">
            <v>17BS55R</v>
          </cell>
          <cell r="C378" t="str">
            <v>DCY11 SAB RH （国产缝纫线）</v>
          </cell>
        </row>
        <row r="379">
          <cell r="B379" t="str">
            <v>134D28</v>
          </cell>
          <cell r="C379" t="str">
            <v>DFL 719  DAB</v>
          </cell>
        </row>
        <row r="380">
          <cell r="B380" t="str">
            <v>193W09PL</v>
          </cell>
          <cell r="C380" t="str">
            <v>DNL-5 CAB OPW 保护套 LH</v>
          </cell>
        </row>
        <row r="381">
          <cell r="B381" t="str">
            <v>193W09PR</v>
          </cell>
          <cell r="C381" t="str">
            <v>DNL-5 CAB OPW 保护套 RH</v>
          </cell>
        </row>
        <row r="382">
          <cell r="B382" t="str">
            <v>193W09Q</v>
          </cell>
          <cell r="C382" t="str">
            <v>DNL-5 CAB OPW 导气袋</v>
          </cell>
        </row>
        <row r="383">
          <cell r="B383" t="str">
            <v>193W09TL</v>
          </cell>
          <cell r="C383" t="str">
            <v>DNL-5 CAB OPW 拉带 LH</v>
          </cell>
        </row>
        <row r="384">
          <cell r="B384" t="str">
            <v>193W09TR</v>
          </cell>
          <cell r="C384" t="str">
            <v>DNL-5 CAB OPW 拉带 RH</v>
          </cell>
        </row>
        <row r="385">
          <cell r="B385" t="str">
            <v>174D24A</v>
          </cell>
          <cell r="C385" t="str">
            <v>DNL-5 DAB A状态 (埃)</v>
          </cell>
        </row>
        <row r="386">
          <cell r="B386" t="str">
            <v>16CS41BL</v>
          </cell>
          <cell r="C386" t="str">
            <v>DNL-5 SAB LH B状态 (国埃)</v>
          </cell>
        </row>
        <row r="387">
          <cell r="B387" t="str">
            <v>16CS41BR</v>
          </cell>
          <cell r="C387" t="str">
            <v>DNL-5 SAB RH B状态 (国埃)</v>
          </cell>
        </row>
        <row r="388">
          <cell r="B388" t="str">
            <v>19AD64A</v>
          </cell>
          <cell r="C388" t="str">
            <v>DPCA E43C DAB A状态</v>
          </cell>
        </row>
        <row r="389">
          <cell r="B389" t="str">
            <v>146W12XA</v>
          </cell>
          <cell r="C389" t="str">
            <v>DPCA G95 CAB OPW软档片</v>
          </cell>
        </row>
        <row r="390">
          <cell r="B390" t="str">
            <v>15BC35T</v>
          </cell>
          <cell r="C390" t="str">
            <v>DX3 CAB 拉带</v>
          </cell>
        </row>
        <row r="391">
          <cell r="B391" t="str">
            <v>24CF058L</v>
          </cell>
          <cell r="C391" t="str">
            <v>E02 FCA LH</v>
          </cell>
        </row>
        <row r="392">
          <cell r="B392" t="str">
            <v>24CF058R</v>
          </cell>
          <cell r="C392" t="str">
            <v>E02 FCA RH</v>
          </cell>
        </row>
        <row r="393">
          <cell r="B393" t="str">
            <v>248S118L</v>
          </cell>
          <cell r="C393" t="str">
            <v>E0S (D01) RSAB LH</v>
          </cell>
        </row>
        <row r="394">
          <cell r="B394" t="str">
            <v>248S118R</v>
          </cell>
          <cell r="C394" t="str">
            <v>E0S (D01) RSAB RH</v>
          </cell>
        </row>
        <row r="395">
          <cell r="B395" t="str">
            <v>249D060B</v>
          </cell>
          <cell r="C395" t="str">
            <v>E0S(D01) DAB B状态</v>
          </cell>
        </row>
        <row r="396">
          <cell r="B396" t="str">
            <v>248S119L</v>
          </cell>
          <cell r="C396" t="str">
            <v>E0S(D01) FSAB LH</v>
          </cell>
        </row>
        <row r="397">
          <cell r="B397" t="str">
            <v>248S119R</v>
          </cell>
          <cell r="C397" t="str">
            <v>E0S(D01) FSAB RH</v>
          </cell>
        </row>
        <row r="398">
          <cell r="B398" t="str">
            <v>249P109</v>
          </cell>
          <cell r="C398" t="str">
            <v>E0S(D01) PAB</v>
          </cell>
        </row>
        <row r="399">
          <cell r="B399" t="str">
            <v>218W124DL</v>
          </cell>
          <cell r="C399" t="str">
            <v>E11 IC OPW LH D状态</v>
          </cell>
        </row>
        <row r="400">
          <cell r="B400" t="str">
            <v>218W124DR</v>
          </cell>
          <cell r="C400" t="str">
            <v>E11 IC OPW RH D状态</v>
          </cell>
        </row>
        <row r="401">
          <cell r="B401" t="str">
            <v>218W124DQ</v>
          </cell>
          <cell r="C401" t="str">
            <v>E11 IC OPW 导气袋 D状态</v>
          </cell>
        </row>
        <row r="402">
          <cell r="B402" t="str">
            <v>218W124DT</v>
          </cell>
          <cell r="C402" t="str">
            <v>E11 IC OPW 拉带 D状态</v>
          </cell>
        </row>
        <row r="403">
          <cell r="B403" t="str">
            <v>258P077</v>
          </cell>
          <cell r="C403" t="str">
            <v>E15 ASE PAB</v>
          </cell>
        </row>
        <row r="404">
          <cell r="B404" t="str">
            <v>23BS116BL</v>
          </cell>
          <cell r="C404" t="str">
            <v>E16 FSAB LH B状态</v>
          </cell>
        </row>
        <row r="405">
          <cell r="B405" t="str">
            <v>23BS116BR</v>
          </cell>
          <cell r="C405" t="str">
            <v>E16 FSAB RH B状态</v>
          </cell>
        </row>
        <row r="406">
          <cell r="B406" t="str">
            <v>248C028Q</v>
          </cell>
          <cell r="C406" t="str">
            <v>E245 CAB导气袋</v>
          </cell>
        </row>
        <row r="407">
          <cell r="B407" t="str">
            <v>248C028T</v>
          </cell>
          <cell r="C407" t="str">
            <v>E245 CAB拉带</v>
          </cell>
        </row>
        <row r="408">
          <cell r="B408" t="str">
            <v>164S16AL</v>
          </cell>
          <cell r="C408" t="str">
            <v>E2UL SAB LH A状态 (埃)</v>
          </cell>
        </row>
        <row r="409">
          <cell r="B409" t="str">
            <v>164S16AR</v>
          </cell>
          <cell r="C409" t="str">
            <v>E2UL SAB RH A状态 (埃)</v>
          </cell>
        </row>
        <row r="410">
          <cell r="B410" t="str">
            <v>248W145L</v>
          </cell>
          <cell r="C410" t="str">
            <v>EA1c CAB OPW LH</v>
          </cell>
        </row>
        <row r="411">
          <cell r="B411" t="str">
            <v>248W145R</v>
          </cell>
          <cell r="C411" t="str">
            <v>EA1c CAB OPW RH</v>
          </cell>
        </row>
        <row r="412">
          <cell r="B412" t="str">
            <v>248W145Q</v>
          </cell>
          <cell r="C412" t="str">
            <v>EA1c CAB OPW 导气袋</v>
          </cell>
        </row>
        <row r="413">
          <cell r="B413" t="str">
            <v>248W145T</v>
          </cell>
          <cell r="C413" t="str">
            <v>EA1c CAB OPW 拉带</v>
          </cell>
        </row>
        <row r="414">
          <cell r="B414" t="str">
            <v>21BS081BL</v>
          </cell>
          <cell r="C414" t="str">
            <v>EF1E HTSAB LH B状态</v>
          </cell>
        </row>
        <row r="415">
          <cell r="B415" t="str">
            <v>21BS081CL</v>
          </cell>
          <cell r="C415" t="str">
            <v>EF1E HTSAB LH C状态</v>
          </cell>
        </row>
        <row r="416">
          <cell r="B416" t="str">
            <v>21BS081BR</v>
          </cell>
          <cell r="C416" t="str">
            <v>EF1E HTSAB RH B状态</v>
          </cell>
        </row>
        <row r="417">
          <cell r="B417" t="str">
            <v>21BS081CR</v>
          </cell>
          <cell r="C417" t="str">
            <v>EF1E HTSAB RH C状态</v>
          </cell>
        </row>
        <row r="418">
          <cell r="B418" t="str">
            <v>211S002CL</v>
          </cell>
          <cell r="C418" t="str">
            <v>EF1E SAB LH C状态</v>
          </cell>
        </row>
        <row r="419">
          <cell r="B419" t="str">
            <v>211S002CR</v>
          </cell>
          <cell r="C419" t="str">
            <v>EF1E SAB RH C状态</v>
          </cell>
        </row>
        <row r="420">
          <cell r="B420" t="str">
            <v>238W090L</v>
          </cell>
          <cell r="C420" t="str">
            <v>EHEA CAB OPW LH</v>
          </cell>
        </row>
        <row r="421">
          <cell r="B421" t="str">
            <v>238W090R</v>
          </cell>
          <cell r="C421" t="str">
            <v>EHEA CAB OPW RH</v>
          </cell>
        </row>
        <row r="422">
          <cell r="B422" t="str">
            <v>238W090Q</v>
          </cell>
          <cell r="C422" t="str">
            <v>EHEA CAB OPW 导气袋</v>
          </cell>
        </row>
        <row r="423">
          <cell r="B423" t="str">
            <v>238W090T</v>
          </cell>
          <cell r="C423" t="str">
            <v>EHEA CAB OPW 拉带</v>
          </cell>
        </row>
        <row r="424">
          <cell r="B424" t="str">
            <v>24AD076A</v>
          </cell>
          <cell r="C424" t="str">
            <v>EHEA DAB A状态</v>
          </cell>
        </row>
        <row r="425">
          <cell r="B425" t="str">
            <v>252S034L</v>
          </cell>
          <cell r="C425" t="str">
            <v>EHEA-1 SAB LH</v>
          </cell>
        </row>
        <row r="426">
          <cell r="B426" t="str">
            <v>252S034R</v>
          </cell>
          <cell r="C426" t="str">
            <v>EHEA-1 SAB RH</v>
          </cell>
        </row>
        <row r="427">
          <cell r="B427" t="str">
            <v>24BS183BL</v>
          </cell>
          <cell r="C427" t="str">
            <v>EHEA-C SAB LH B状态</v>
          </cell>
        </row>
        <row r="428">
          <cell r="B428" t="str">
            <v>24BS183BR</v>
          </cell>
          <cell r="C428" t="str">
            <v>EHEA-C SAB RH B状态</v>
          </cell>
        </row>
        <row r="429">
          <cell r="B429" t="str">
            <v>252S028AL</v>
          </cell>
          <cell r="C429" t="str">
            <v>EHEA-D1 SAB LH A状态</v>
          </cell>
        </row>
        <row r="430">
          <cell r="B430" t="str">
            <v>252S028AR</v>
          </cell>
          <cell r="C430" t="str">
            <v>EHEA-D1 SAB RH A状态</v>
          </cell>
        </row>
        <row r="431">
          <cell r="B431" t="str">
            <v>24CS204AL</v>
          </cell>
          <cell r="C431" t="str">
            <v>EHEA-E SAB LH A状态</v>
          </cell>
        </row>
        <row r="432">
          <cell r="B432" t="str">
            <v>24CS204AR</v>
          </cell>
          <cell r="C432" t="str">
            <v>EHEA-E SAB RH  A状态</v>
          </cell>
        </row>
        <row r="433">
          <cell r="B433" t="str">
            <v>218W144AL</v>
          </cell>
          <cell r="C433" t="str">
            <v>EKEA CAB OPW LH A状态</v>
          </cell>
        </row>
        <row r="434">
          <cell r="B434" t="str">
            <v>218W144AR</v>
          </cell>
          <cell r="C434" t="str">
            <v>EKEA CAB OPW RH A状态</v>
          </cell>
        </row>
        <row r="435">
          <cell r="B435" t="str">
            <v>22BS088DL</v>
          </cell>
          <cell r="C435" t="str">
            <v>EKEA SAB LH D状态</v>
          </cell>
        </row>
        <row r="436">
          <cell r="B436" t="str">
            <v>22BS088DR</v>
          </cell>
          <cell r="C436" t="str">
            <v>EKEA SAB RH D状态</v>
          </cell>
        </row>
        <row r="437">
          <cell r="B437" t="str">
            <v>252S011L</v>
          </cell>
          <cell r="C437" t="str">
            <v>EKEA-1 SAB LH</v>
          </cell>
        </row>
        <row r="438">
          <cell r="B438" t="str">
            <v>252S011R</v>
          </cell>
          <cell r="C438" t="str">
            <v>EKEA-1 SAB RH</v>
          </cell>
        </row>
        <row r="439">
          <cell r="B439" t="str">
            <v>243S023BL</v>
          </cell>
          <cell r="C439" t="str">
            <v>EKEA-A D1 SAB LH B状态</v>
          </cell>
        </row>
        <row r="440">
          <cell r="B440" t="str">
            <v>243S023BR</v>
          </cell>
          <cell r="C440" t="str">
            <v>EKEA-A D1 SAB RH B状态</v>
          </cell>
        </row>
        <row r="441">
          <cell r="B441" t="str">
            <v>234D017A</v>
          </cell>
          <cell r="C441" t="str">
            <v>EKEB DAB A状态</v>
          </cell>
        </row>
        <row r="442">
          <cell r="B442" t="str">
            <v>235W053L</v>
          </cell>
          <cell r="C442" t="str">
            <v>EKEB-C CAB OPW LH</v>
          </cell>
        </row>
        <row r="443">
          <cell r="B443" t="str">
            <v>235W053R</v>
          </cell>
          <cell r="C443" t="str">
            <v>EKEB-C CAB OPW RH</v>
          </cell>
        </row>
        <row r="444">
          <cell r="B444" t="str">
            <v>218W122L</v>
          </cell>
          <cell r="C444" t="str">
            <v>EM2E CAB OPW LH</v>
          </cell>
        </row>
        <row r="445">
          <cell r="B445" t="str">
            <v>218W122R</v>
          </cell>
          <cell r="C445" t="str">
            <v>EM2E CAB OPW RH</v>
          </cell>
        </row>
        <row r="446">
          <cell r="B446" t="str">
            <v>218W122Q</v>
          </cell>
          <cell r="C446" t="str">
            <v>EM2E CAB OPW 导气袋</v>
          </cell>
        </row>
        <row r="447">
          <cell r="B447" t="str">
            <v>222W025L</v>
          </cell>
          <cell r="C447" t="str">
            <v>EM2EU CAB OPW LH</v>
          </cell>
        </row>
        <row r="448">
          <cell r="B448" t="str">
            <v>222W025AL</v>
          </cell>
          <cell r="C448" t="str">
            <v>EM2EU CAB OPW LH A状态</v>
          </cell>
        </row>
        <row r="449">
          <cell r="B449" t="str">
            <v>222W025AL</v>
          </cell>
          <cell r="C449" t="str">
            <v>EM2EU CAB OPW LH A状态 (出口)</v>
          </cell>
        </row>
        <row r="450">
          <cell r="B450" t="str">
            <v>222W025R</v>
          </cell>
          <cell r="C450" t="str">
            <v>EM2EU CAB OPW RH</v>
          </cell>
        </row>
        <row r="451">
          <cell r="B451" t="str">
            <v>222W025AR</v>
          </cell>
          <cell r="C451" t="str">
            <v>EM2EU CAB OPW RH A状态</v>
          </cell>
        </row>
        <row r="452">
          <cell r="B452" t="str">
            <v>222W025AR</v>
          </cell>
          <cell r="C452" t="str">
            <v>EM2EU CAB OPW RH A状态 (出口)</v>
          </cell>
        </row>
        <row r="453">
          <cell r="B453" t="str">
            <v>222W025Q</v>
          </cell>
          <cell r="C453" t="str">
            <v>EM2EU CAB OPW 导气袋</v>
          </cell>
        </row>
        <row r="454">
          <cell r="B454" t="str">
            <v>222W025T</v>
          </cell>
          <cell r="C454" t="str">
            <v>EM2EU CAB OPW 拉带</v>
          </cell>
        </row>
        <row r="455">
          <cell r="B455" t="str">
            <v>226S053BL</v>
          </cell>
          <cell r="C455" t="str">
            <v>EM2EU FAB LH B状态</v>
          </cell>
        </row>
        <row r="456">
          <cell r="B456" t="str">
            <v>226S053BR</v>
          </cell>
          <cell r="C456" t="str">
            <v>EM2EU FAB RH B状态</v>
          </cell>
        </row>
        <row r="457">
          <cell r="B457" t="str">
            <v>235S045AL</v>
          </cell>
          <cell r="C457" t="str">
            <v>EM2EU SAB LH A状态</v>
          </cell>
        </row>
        <row r="458">
          <cell r="B458" t="str">
            <v>235S045AL</v>
          </cell>
          <cell r="C458" t="str">
            <v>EM2EU SAB LH A状态(出口)</v>
          </cell>
        </row>
        <row r="459">
          <cell r="B459" t="str">
            <v>235S045AR</v>
          </cell>
          <cell r="C459" t="str">
            <v>EM2EU SAB RH A状态</v>
          </cell>
        </row>
        <row r="460">
          <cell r="B460" t="str">
            <v>235S045AR</v>
          </cell>
          <cell r="C460" t="str">
            <v>EM2EU SAB RH A状态(出口)</v>
          </cell>
        </row>
        <row r="461">
          <cell r="B461" t="str">
            <v>169C32L</v>
          </cell>
          <cell r="C461" t="str">
            <v>EP22 CAB LH</v>
          </cell>
        </row>
        <row r="462">
          <cell r="B462" t="str">
            <v>169C32Q</v>
          </cell>
          <cell r="C462" t="str">
            <v>EP22 CAB导气袋</v>
          </cell>
        </row>
        <row r="463">
          <cell r="B463" t="str">
            <v>169C32T</v>
          </cell>
          <cell r="C463" t="str">
            <v>EP22 CAB拉带</v>
          </cell>
        </row>
        <row r="464">
          <cell r="B464" t="str">
            <v>20BC001Q</v>
          </cell>
          <cell r="C464" t="str">
            <v>EP22 EU CAB 导气袋</v>
          </cell>
        </row>
        <row r="465">
          <cell r="B465" t="str">
            <v>20BC001T</v>
          </cell>
          <cell r="C465" t="str">
            <v>EP22 EU CAB 拉带</v>
          </cell>
        </row>
        <row r="466">
          <cell r="B466" t="str">
            <v>212W028L</v>
          </cell>
          <cell r="C466" t="str">
            <v>EP33L CAB OPW LH</v>
          </cell>
        </row>
        <row r="467">
          <cell r="B467" t="str">
            <v>212W028R</v>
          </cell>
          <cell r="C467" t="str">
            <v>EP33L CAB OPW RH</v>
          </cell>
        </row>
        <row r="468">
          <cell r="B468" t="str">
            <v>212W028Q</v>
          </cell>
          <cell r="C468" t="str">
            <v>EP33L CAB OPW 导气袋</v>
          </cell>
        </row>
        <row r="469">
          <cell r="B469" t="str">
            <v>212W028T</v>
          </cell>
          <cell r="C469" t="str">
            <v>EP33L CAB OPW 拉带</v>
          </cell>
        </row>
        <row r="470">
          <cell r="B470" t="str">
            <v>217W111L</v>
          </cell>
          <cell r="C470" t="str">
            <v>EP40 CAB OPW LH</v>
          </cell>
        </row>
        <row r="471">
          <cell r="B471" t="str">
            <v>217W111R</v>
          </cell>
          <cell r="C471" t="str">
            <v>EP40 CAB OPW RH</v>
          </cell>
        </row>
        <row r="472">
          <cell r="B472" t="str">
            <v>23AW112L</v>
          </cell>
          <cell r="C472" t="str">
            <v>EP41 CAB OPW LH</v>
          </cell>
        </row>
        <row r="473">
          <cell r="B473" t="str">
            <v>23AW112R</v>
          </cell>
          <cell r="C473" t="str">
            <v>EP41 CAB OPW RH</v>
          </cell>
        </row>
        <row r="474">
          <cell r="B474" t="str">
            <v>221W009Q</v>
          </cell>
          <cell r="C474" t="str">
            <v>EQEA CAB OPW 导气袋</v>
          </cell>
        </row>
        <row r="475">
          <cell r="B475" t="str">
            <v>221W009QZ</v>
          </cell>
          <cell r="C475" t="str">
            <v>EQEA CAB OPW 导气袋(自动化）</v>
          </cell>
        </row>
        <row r="476">
          <cell r="B476" t="str">
            <v>252S012L</v>
          </cell>
          <cell r="C476" t="str">
            <v>EQEA-B SAB LH</v>
          </cell>
        </row>
        <row r="477">
          <cell r="B477" t="str">
            <v>252S012AL</v>
          </cell>
          <cell r="C477" t="str">
            <v>EQEA-B SAB LH A状态</v>
          </cell>
        </row>
        <row r="478">
          <cell r="B478" t="str">
            <v>252S012R</v>
          </cell>
          <cell r="C478" t="str">
            <v>EQEA-B SAB RH</v>
          </cell>
        </row>
        <row r="479">
          <cell r="B479" t="str">
            <v>252S012AR</v>
          </cell>
          <cell r="C479" t="str">
            <v>EQEA-B SAB RH A状态</v>
          </cell>
        </row>
        <row r="480">
          <cell r="B480" t="str">
            <v>252W031AL</v>
          </cell>
          <cell r="C480" t="str">
            <v>EQEAU CAB OPW LH A状态</v>
          </cell>
        </row>
        <row r="481">
          <cell r="B481" t="str">
            <v>252W031AR</v>
          </cell>
          <cell r="C481" t="str">
            <v>EQEAU CAB OPW RH A状态</v>
          </cell>
        </row>
        <row r="482">
          <cell r="B482" t="str">
            <v>241S007L</v>
          </cell>
          <cell r="C482" t="str">
            <v>EREA SAB LH</v>
          </cell>
        </row>
        <row r="483">
          <cell r="B483" t="str">
            <v>241S007R</v>
          </cell>
          <cell r="C483" t="str">
            <v>EREA SAB RH</v>
          </cell>
        </row>
        <row r="484">
          <cell r="B484" t="str">
            <v>218W136AL</v>
          </cell>
          <cell r="C484" t="str">
            <v>ES13 IC OPW LH</v>
          </cell>
        </row>
        <row r="485">
          <cell r="B485" t="str">
            <v>218W136AR</v>
          </cell>
          <cell r="C485" t="str">
            <v>ES13 IC OPW RH</v>
          </cell>
        </row>
        <row r="486">
          <cell r="B486" t="str">
            <v>218W136AT</v>
          </cell>
          <cell r="C486" t="str">
            <v>ES13 IC OPW 拉带</v>
          </cell>
        </row>
        <row r="487">
          <cell r="B487" t="str">
            <v>218W136AQ</v>
          </cell>
          <cell r="C487" t="str">
            <v>ES13 IC OPW导气袋</v>
          </cell>
        </row>
        <row r="488">
          <cell r="B488" t="str">
            <v>167S26CL</v>
          </cell>
          <cell r="C488" t="str">
            <v>ES8 SAB LH（埃）</v>
          </cell>
        </row>
        <row r="489">
          <cell r="B489" t="str">
            <v>167S26CR</v>
          </cell>
          <cell r="C489" t="str">
            <v>ES8 SAB RH（埃）</v>
          </cell>
        </row>
        <row r="490">
          <cell r="B490" t="str">
            <v>25BW244L</v>
          </cell>
          <cell r="C490" t="str">
            <v>EUHB CAB OPW LH</v>
          </cell>
        </row>
        <row r="491">
          <cell r="B491" t="str">
            <v>25BW244R</v>
          </cell>
          <cell r="C491" t="str">
            <v>EUHB CAB OPW RH</v>
          </cell>
        </row>
        <row r="492">
          <cell r="B492" t="str">
            <v>25BW244Q</v>
          </cell>
          <cell r="C492" t="str">
            <v>EUHB CAB OPW 导气袋</v>
          </cell>
        </row>
        <row r="493">
          <cell r="B493" t="str">
            <v>25BW244T</v>
          </cell>
          <cell r="C493" t="str">
            <v>EUHB CAB OPW 拉带</v>
          </cell>
        </row>
        <row r="494">
          <cell r="B494" t="str">
            <v>22BS094L</v>
          </cell>
          <cell r="C494" t="str">
            <v>EV31 SAB LH</v>
          </cell>
        </row>
        <row r="495">
          <cell r="B495" t="str">
            <v>22BS094R</v>
          </cell>
          <cell r="C495" t="str">
            <v>EV31 SAB RH</v>
          </cell>
        </row>
        <row r="496">
          <cell r="B496" t="str">
            <v>24CP176</v>
          </cell>
          <cell r="C496" t="str">
            <v>EWEA D1 PAB</v>
          </cell>
        </row>
        <row r="497">
          <cell r="B497" t="str">
            <v>253P027</v>
          </cell>
          <cell r="C497" t="str">
            <v>EWEA D2 PAB</v>
          </cell>
        </row>
        <row r="498">
          <cell r="B498" t="str">
            <v>267P113</v>
          </cell>
          <cell r="C498" t="str">
            <v>EWEA D3 PAB</v>
          </cell>
        </row>
        <row r="499">
          <cell r="B499" t="str">
            <v>246P086</v>
          </cell>
          <cell r="C499" t="str">
            <v>EWEA PAB</v>
          </cell>
        </row>
        <row r="500">
          <cell r="B500" t="str">
            <v>259W166L</v>
          </cell>
          <cell r="C500" t="str">
            <v>EWHA CAB OPW LH</v>
          </cell>
        </row>
        <row r="501">
          <cell r="B501" t="str">
            <v>259W166R</v>
          </cell>
          <cell r="C501" t="str">
            <v>EWHA CAB OPW RH</v>
          </cell>
        </row>
        <row r="502">
          <cell r="B502" t="str">
            <v>259W166TB</v>
          </cell>
          <cell r="C502" t="str">
            <v>EWHA CAB OPW 长拉带</v>
          </cell>
        </row>
        <row r="503">
          <cell r="B503" t="str">
            <v>259W166Q</v>
          </cell>
          <cell r="C503" t="str">
            <v>EWHA CAB OPW 导气袋</v>
          </cell>
        </row>
        <row r="504">
          <cell r="B504" t="str">
            <v>259W166TA</v>
          </cell>
          <cell r="C504" t="str">
            <v>EWHA CAB OPW 短拉带</v>
          </cell>
        </row>
        <row r="505">
          <cell r="B505" t="str">
            <v>248W150L</v>
          </cell>
          <cell r="C505" t="str">
            <v>EXEA CAB OPW LH</v>
          </cell>
        </row>
        <row r="506">
          <cell r="B506" t="str">
            <v>248W150R</v>
          </cell>
          <cell r="C506" t="str">
            <v>EXEA CAB OPW RH</v>
          </cell>
        </row>
        <row r="507">
          <cell r="B507" t="str">
            <v>248W150Q</v>
          </cell>
          <cell r="C507" t="str">
            <v>EXEA CAB OPW 导气袋</v>
          </cell>
        </row>
        <row r="508">
          <cell r="B508" t="str">
            <v>248W150T</v>
          </cell>
          <cell r="C508" t="str">
            <v>EXEA CAB OPW 拉带</v>
          </cell>
        </row>
        <row r="509">
          <cell r="B509" t="str">
            <v>25CW257L</v>
          </cell>
          <cell r="C509" t="str">
            <v>EXEA-B CAB OPW LH</v>
          </cell>
        </row>
        <row r="510">
          <cell r="B510" t="str">
            <v>25CW257R</v>
          </cell>
          <cell r="C510" t="str">
            <v>EXEA-B CAB OPW RH</v>
          </cell>
        </row>
        <row r="511">
          <cell r="B511" t="str">
            <v>218W139L</v>
          </cell>
          <cell r="C511" t="str">
            <v>F1 CAB OPW LH</v>
          </cell>
        </row>
        <row r="512">
          <cell r="B512" t="str">
            <v>218W139R</v>
          </cell>
          <cell r="C512" t="str">
            <v>F1 CAB OPW RH</v>
          </cell>
        </row>
        <row r="513">
          <cell r="B513" t="str">
            <v>252F004</v>
          </cell>
          <cell r="C513" t="str">
            <v>F1L FCAB</v>
          </cell>
        </row>
        <row r="514">
          <cell r="B514" t="str">
            <v>245W066AL</v>
          </cell>
          <cell r="C514" t="str">
            <v>F3 5seat CAB OPW LH A状态</v>
          </cell>
        </row>
        <row r="515">
          <cell r="B515" t="str">
            <v>245W066AR</v>
          </cell>
          <cell r="C515" t="str">
            <v>F3 5seat CAB OPW RH A状态</v>
          </cell>
        </row>
        <row r="516">
          <cell r="B516" t="str">
            <v>245W066Q</v>
          </cell>
          <cell r="C516" t="str">
            <v>F3 5seat CAB OPW 导气袋</v>
          </cell>
        </row>
        <row r="517">
          <cell r="B517" t="str">
            <v>245W066T</v>
          </cell>
          <cell r="C517" t="str">
            <v>F3 5Seat CAB OPW 拉带</v>
          </cell>
        </row>
        <row r="518">
          <cell r="B518" t="str">
            <v>245W066X</v>
          </cell>
          <cell r="C518" t="str">
            <v>F3 5seat CAB OPW 软挡片</v>
          </cell>
        </row>
        <row r="519">
          <cell r="B519" t="str">
            <v>245W067AQ</v>
          </cell>
          <cell r="C519" t="str">
            <v>F3 6seat CAB OPW A状态 导气袋</v>
          </cell>
        </row>
        <row r="520">
          <cell r="B520" t="str">
            <v>245W067L</v>
          </cell>
          <cell r="C520" t="str">
            <v>F3 6seat CAB OPW LH</v>
          </cell>
        </row>
        <row r="521">
          <cell r="B521" t="str">
            <v>245W067AL</v>
          </cell>
          <cell r="C521" t="str">
            <v>F3 6seat CAB OPW LH A状态</v>
          </cell>
        </row>
        <row r="522">
          <cell r="B522" t="str">
            <v>245W067R</v>
          </cell>
          <cell r="C522" t="str">
            <v>F3 6seat CAB OPW RH</v>
          </cell>
        </row>
        <row r="523">
          <cell r="B523" t="str">
            <v>245W067AR</v>
          </cell>
          <cell r="C523" t="str">
            <v>F3 6seat CAB OPW RH A状态</v>
          </cell>
        </row>
        <row r="524">
          <cell r="B524" t="str">
            <v>245W067Q</v>
          </cell>
          <cell r="C524" t="str">
            <v>F3 6seat CAB OPW 导气袋</v>
          </cell>
        </row>
        <row r="525">
          <cell r="B525" t="str">
            <v>245W067T</v>
          </cell>
          <cell r="C525" t="str">
            <v>F3 6seat CAB OPW 拉带</v>
          </cell>
        </row>
        <row r="526">
          <cell r="B526" t="str">
            <v>246S073L</v>
          </cell>
          <cell r="C526" t="str">
            <v>F510S FSAB LH</v>
          </cell>
        </row>
        <row r="527">
          <cell r="B527" t="str">
            <v>246S073L</v>
          </cell>
          <cell r="C527" t="str">
            <v>F510S FSAB LH (广州)</v>
          </cell>
        </row>
        <row r="528">
          <cell r="B528" t="str">
            <v>246S073R</v>
          </cell>
          <cell r="C528" t="str">
            <v>F510S FSAB RH</v>
          </cell>
        </row>
        <row r="529">
          <cell r="B529" t="str">
            <v>246S073R</v>
          </cell>
          <cell r="C529" t="str">
            <v>F510S FSAB RH (广州)</v>
          </cell>
        </row>
        <row r="530">
          <cell r="B530" t="str">
            <v>25CS147L</v>
          </cell>
          <cell r="C530" t="str">
            <v>F520S FSAB LH</v>
          </cell>
        </row>
        <row r="531">
          <cell r="B531" t="str">
            <v>25CS147R</v>
          </cell>
          <cell r="C531" t="str">
            <v>F520S FSAB RH</v>
          </cell>
        </row>
        <row r="532">
          <cell r="B532" t="str">
            <v>25BS126L</v>
          </cell>
          <cell r="C532" t="str">
            <v>F520SR PT FSAB LH</v>
          </cell>
        </row>
        <row r="533">
          <cell r="B533" t="str">
            <v>25BS126AL</v>
          </cell>
          <cell r="C533" t="str">
            <v>F520SR PT FSAB LH A状态</v>
          </cell>
        </row>
        <row r="534">
          <cell r="B534" t="str">
            <v>25BS126R</v>
          </cell>
          <cell r="C534" t="str">
            <v>F520SR PT FSAB RH</v>
          </cell>
        </row>
        <row r="535">
          <cell r="B535" t="str">
            <v>25BS126AR</v>
          </cell>
          <cell r="C535" t="str">
            <v>F520SR PT FSAB RH A状态</v>
          </cell>
        </row>
        <row r="536">
          <cell r="B536" t="str">
            <v>165W22AL</v>
          </cell>
          <cell r="C536" t="str">
            <v>FAW-VW Bora CAB OPW LH</v>
          </cell>
        </row>
        <row r="537">
          <cell r="B537" t="str">
            <v>165W22AR</v>
          </cell>
          <cell r="C537" t="str">
            <v>FAW-VW Bora CAB OPW RH</v>
          </cell>
        </row>
        <row r="538">
          <cell r="B538" t="str">
            <v>19BK15</v>
          </cell>
          <cell r="C538" t="str">
            <v>FAW-VW MQB A7 KAB</v>
          </cell>
        </row>
        <row r="539">
          <cell r="B539" t="str">
            <v>172P04B</v>
          </cell>
          <cell r="C539" t="str">
            <v>FC-3AC PAB B状态</v>
          </cell>
        </row>
        <row r="540">
          <cell r="B540" t="str">
            <v>171W06AL</v>
          </cell>
          <cell r="C540" t="str">
            <v>FE-5A CAB OPW LH A状态</v>
          </cell>
        </row>
        <row r="541">
          <cell r="B541" t="str">
            <v>171W06AR</v>
          </cell>
          <cell r="C541" t="str">
            <v>FE-5A CAB OPW RH A状态</v>
          </cell>
        </row>
        <row r="542">
          <cell r="B542" t="str">
            <v>171W06AQ</v>
          </cell>
          <cell r="C542" t="str">
            <v>FE-5A CAB OPW 导气袋 A状态</v>
          </cell>
        </row>
        <row r="543">
          <cell r="B543" t="str">
            <v>171W06AT</v>
          </cell>
          <cell r="C543" t="str">
            <v>FE-5A CAB OPW 拉带 A状态</v>
          </cell>
        </row>
        <row r="544">
          <cell r="B544" t="str">
            <v>176S35AL</v>
          </cell>
          <cell r="C544" t="str">
            <v>FE-5A SAB LH（埃）</v>
          </cell>
        </row>
        <row r="545">
          <cell r="B545" t="str">
            <v>176S35AR</v>
          </cell>
          <cell r="C545" t="str">
            <v>FE-5A SAB RH（埃）</v>
          </cell>
        </row>
        <row r="546">
          <cell r="B546" t="str">
            <v>162W02L</v>
          </cell>
          <cell r="C546" t="str">
            <v>FE-6 CAB OPW LH</v>
          </cell>
        </row>
        <row r="547">
          <cell r="B547" t="str">
            <v>162W02R</v>
          </cell>
          <cell r="C547" t="str">
            <v>FE-6 CAB OPW RH</v>
          </cell>
        </row>
        <row r="548">
          <cell r="B548" t="str">
            <v>162W02Q</v>
          </cell>
          <cell r="C548" t="str">
            <v>FE-6 CAB OPW 导气袋</v>
          </cell>
        </row>
        <row r="549">
          <cell r="B549" t="str">
            <v>162W02T</v>
          </cell>
          <cell r="C549" t="str">
            <v>FE-6 CAB OPW 拉带</v>
          </cell>
        </row>
        <row r="550">
          <cell r="B550" t="str">
            <v>172P12A</v>
          </cell>
          <cell r="C550" t="str">
            <v>FE-6 PAB A状态</v>
          </cell>
        </row>
        <row r="551">
          <cell r="B551" t="str">
            <v>172P12</v>
          </cell>
          <cell r="C551" t="str">
            <v>FE-6 PAB气袋</v>
          </cell>
        </row>
        <row r="552">
          <cell r="B552" t="str">
            <v>173S14AL</v>
          </cell>
          <cell r="C552" t="str">
            <v>FE-6 SAB LH（埃）</v>
          </cell>
        </row>
        <row r="553">
          <cell r="B553" t="str">
            <v>173S14AR</v>
          </cell>
          <cell r="C553" t="str">
            <v>FE-6 SAB RH（埃）</v>
          </cell>
        </row>
        <row r="554">
          <cell r="B554" t="str">
            <v>171W07BQ</v>
          </cell>
          <cell r="C554" t="str">
            <v>FE-7A OPW 导气袋 B状态</v>
          </cell>
        </row>
        <row r="555">
          <cell r="B555" t="str">
            <v>171W07BT</v>
          </cell>
          <cell r="C555" t="str">
            <v>FE-7A OPW 拉带 B状态</v>
          </cell>
        </row>
        <row r="556">
          <cell r="B556" t="str">
            <v>201K03C</v>
          </cell>
          <cell r="C556" t="str">
            <v>FORD CD542 DKAB C状态</v>
          </cell>
        </row>
        <row r="557">
          <cell r="B557" t="str">
            <v>218D042</v>
          </cell>
          <cell r="C557" t="str">
            <v>FORD CDX706 DAB</v>
          </cell>
        </row>
        <row r="558">
          <cell r="B558" t="str">
            <v>213S018AL</v>
          </cell>
          <cell r="C558" t="str">
            <v>FORD CDX706 SAB LH A状态</v>
          </cell>
        </row>
        <row r="559">
          <cell r="B559" t="str">
            <v>213S018AR</v>
          </cell>
          <cell r="C559" t="str">
            <v>FORD CDX706 SAB RH A状态</v>
          </cell>
        </row>
        <row r="560">
          <cell r="B560" t="str">
            <v>214S022BL</v>
          </cell>
          <cell r="C560" t="str">
            <v>FORD CDX707 FSAB LH B状态</v>
          </cell>
        </row>
        <row r="561">
          <cell r="B561" t="str">
            <v>214S022BR</v>
          </cell>
          <cell r="C561" t="str">
            <v>FORD CDX707 FSAB RH B状态</v>
          </cell>
        </row>
        <row r="562">
          <cell r="B562" t="str">
            <v>203W13</v>
          </cell>
          <cell r="C562" t="str">
            <v>FORD CX483 CAB OPW</v>
          </cell>
        </row>
        <row r="563">
          <cell r="B563" t="str">
            <v>20BS67AL</v>
          </cell>
          <cell r="C563" t="str">
            <v>FORD CX743 SAB LH A状态</v>
          </cell>
        </row>
        <row r="564">
          <cell r="B564" t="str">
            <v>20BS67AR</v>
          </cell>
          <cell r="C564" t="str">
            <v>FORD CX743 SAB RH A状态</v>
          </cell>
        </row>
        <row r="565">
          <cell r="B565" t="str">
            <v>248S129L</v>
          </cell>
          <cell r="C565" t="str">
            <v>FORD CX835 FSAB LH</v>
          </cell>
        </row>
        <row r="566">
          <cell r="B566" t="str">
            <v>248S129R</v>
          </cell>
          <cell r="C566" t="str">
            <v>FORD CX835 FSAB RH</v>
          </cell>
        </row>
        <row r="567">
          <cell r="B567" t="str">
            <v>248K019A</v>
          </cell>
          <cell r="C567" t="str">
            <v>FORD CX835 KAB A状态</v>
          </cell>
        </row>
        <row r="568">
          <cell r="B568" t="str">
            <v>248S128L</v>
          </cell>
          <cell r="C568" t="str">
            <v>FORD CX835 RSAB LH</v>
          </cell>
        </row>
        <row r="569">
          <cell r="B569" t="str">
            <v>248S128R</v>
          </cell>
          <cell r="C569" t="str">
            <v>FORD CX835 RSAB RH</v>
          </cell>
        </row>
        <row r="570">
          <cell r="B570" t="str">
            <v>243P046</v>
          </cell>
          <cell r="C570" t="str">
            <v>FORD P702 PAB</v>
          </cell>
        </row>
        <row r="571">
          <cell r="B571" t="str">
            <v>221D003A</v>
          </cell>
          <cell r="C571" t="str">
            <v>FORD P789 DAB A状态</v>
          </cell>
        </row>
        <row r="572">
          <cell r="B572" t="str">
            <v>221P006A</v>
          </cell>
          <cell r="C572" t="str">
            <v>Ford P789 PAB A状态</v>
          </cell>
        </row>
        <row r="573">
          <cell r="B573" t="str">
            <v>18CS44L</v>
          </cell>
          <cell r="C573" t="str">
            <v>FORD U625 SAB LH</v>
          </cell>
        </row>
        <row r="574">
          <cell r="B574" t="str">
            <v>18CS44XL</v>
          </cell>
          <cell r="C574" t="str">
            <v>FORD U625 SAB LH 防挡片</v>
          </cell>
        </row>
        <row r="575">
          <cell r="B575" t="str">
            <v>18CS44R</v>
          </cell>
          <cell r="C575" t="str">
            <v>FORD U625 SAB RH</v>
          </cell>
        </row>
        <row r="576">
          <cell r="B576" t="str">
            <v>18CS44XR</v>
          </cell>
          <cell r="C576" t="str">
            <v>FORD U625 SAB RH 防挡片</v>
          </cell>
        </row>
        <row r="577">
          <cell r="B577" t="str">
            <v>213W035AL</v>
          </cell>
          <cell r="C577" t="str">
            <v>FX11 CAB OPW LH A状态</v>
          </cell>
        </row>
        <row r="578">
          <cell r="B578" t="str">
            <v>213W035AR</v>
          </cell>
          <cell r="C578" t="str">
            <v>FX11 CAB OPW RH A状态</v>
          </cell>
        </row>
        <row r="579">
          <cell r="B579" t="str">
            <v>213W035AQ</v>
          </cell>
          <cell r="C579" t="str">
            <v>FX11 CAB OPW 导气袋 A状态</v>
          </cell>
        </row>
        <row r="580">
          <cell r="B580" t="str">
            <v>213W035AT</v>
          </cell>
          <cell r="C580" t="str">
            <v>FX11 CAB OPW 拉带 A状态</v>
          </cell>
        </row>
        <row r="581">
          <cell r="B581" t="str">
            <v>241S005AL</v>
          </cell>
          <cell r="C581" t="str">
            <v>FY RSAB LH A状态</v>
          </cell>
        </row>
        <row r="582">
          <cell r="B582" t="str">
            <v>241S005AR</v>
          </cell>
          <cell r="C582" t="str">
            <v>FY RSAB RH A状态</v>
          </cell>
        </row>
        <row r="583">
          <cell r="B583" t="str">
            <v>261D007</v>
          </cell>
          <cell r="C583" t="str">
            <v>G01 DAB</v>
          </cell>
        </row>
        <row r="584">
          <cell r="B584" t="str">
            <v>264R004A</v>
          </cell>
          <cell r="C584" t="str">
            <v>G19 PRC A状态</v>
          </cell>
        </row>
        <row r="585">
          <cell r="B585" t="str">
            <v>174C20L</v>
          </cell>
          <cell r="C585" t="str">
            <v>GAC A06 CAB LH</v>
          </cell>
        </row>
        <row r="586">
          <cell r="B586" t="str">
            <v>174C20Q</v>
          </cell>
          <cell r="C586" t="str">
            <v>GAC A06 CAB导气袋</v>
          </cell>
        </row>
        <row r="587">
          <cell r="B587" t="str">
            <v>174C20T</v>
          </cell>
          <cell r="C587" t="str">
            <v>GAC A06 CAB拉带</v>
          </cell>
        </row>
        <row r="588">
          <cell r="B588" t="str">
            <v>183D10A</v>
          </cell>
          <cell r="C588" t="str">
            <v>GAC A06 DAB(INVISTA面料)</v>
          </cell>
        </row>
        <row r="589">
          <cell r="B589" t="str">
            <v>17CS59AL</v>
          </cell>
          <cell r="C589" t="str">
            <v>GAC A06 SAB LH（埃）</v>
          </cell>
        </row>
        <row r="590">
          <cell r="B590" t="str">
            <v>17CS59AR</v>
          </cell>
          <cell r="C590" t="str">
            <v>GAC A06 SAB RH（埃）</v>
          </cell>
        </row>
        <row r="591">
          <cell r="B591" t="str">
            <v>16AP34</v>
          </cell>
          <cell r="C591" t="str">
            <v>GAC A16 PAB</v>
          </cell>
        </row>
        <row r="592">
          <cell r="B592" t="str">
            <v>189D46</v>
          </cell>
          <cell r="C592" t="str">
            <v>GAC A26 DAB</v>
          </cell>
        </row>
        <row r="593">
          <cell r="B593" t="str">
            <v>166C22D</v>
          </cell>
          <cell r="C593" t="str">
            <v>GAC A5H CAB导气袋</v>
          </cell>
        </row>
        <row r="594">
          <cell r="B594" t="str">
            <v>166C22T</v>
          </cell>
          <cell r="C594" t="str">
            <v>GAC A5H CAB拉带</v>
          </cell>
        </row>
        <row r="595">
          <cell r="B595" t="str">
            <v>218S051L</v>
          </cell>
          <cell r="C595" t="str">
            <v>GAC A79 FSAB LH</v>
          </cell>
        </row>
        <row r="596">
          <cell r="B596" t="str">
            <v>218S051R</v>
          </cell>
          <cell r="C596" t="str">
            <v>GAC A79 FSAB RH</v>
          </cell>
        </row>
        <row r="597">
          <cell r="B597" t="str">
            <v>219W157AL</v>
          </cell>
          <cell r="C597" t="str">
            <v>GAC A79 IC OPW LH A状态</v>
          </cell>
        </row>
        <row r="598">
          <cell r="B598" t="str">
            <v>219W157AR</v>
          </cell>
          <cell r="C598" t="str">
            <v>GAC A79 IC OPW RH A状态</v>
          </cell>
        </row>
        <row r="599">
          <cell r="B599" t="str">
            <v>219W157AQ</v>
          </cell>
          <cell r="C599" t="str">
            <v>GAC A79 IC OPW 导气袋 A状态</v>
          </cell>
        </row>
        <row r="600">
          <cell r="B600" t="str">
            <v>219W157AT</v>
          </cell>
          <cell r="C600" t="str">
            <v>GAC A79 IC OPW 拉带 A状态</v>
          </cell>
        </row>
        <row r="601">
          <cell r="B601" t="str">
            <v>264R005</v>
          </cell>
          <cell r="C601" t="str">
            <v>GAC F03 BAB</v>
          </cell>
        </row>
        <row r="602">
          <cell r="B602" t="str">
            <v>257F020</v>
          </cell>
          <cell r="C602" t="str">
            <v>GAC T09-M FCAB</v>
          </cell>
        </row>
        <row r="603">
          <cell r="B603" t="str">
            <v>184P23A</v>
          </cell>
          <cell r="C603" t="str">
            <v>GE11 PAB A状态</v>
          </cell>
        </row>
        <row r="604">
          <cell r="B604" t="str">
            <v>18AW71BL</v>
          </cell>
          <cell r="C604" t="str">
            <v>GE13 CAB OPW LH B状态</v>
          </cell>
        </row>
        <row r="605">
          <cell r="B605" t="str">
            <v>18AW71BR</v>
          </cell>
          <cell r="C605" t="str">
            <v>GE13 CAB OPW RH B状态</v>
          </cell>
        </row>
        <row r="606">
          <cell r="B606" t="str">
            <v>18AW71BQ</v>
          </cell>
          <cell r="C606" t="str">
            <v>GE13 CAB OPW 导气袋B状态</v>
          </cell>
        </row>
        <row r="607">
          <cell r="B607" t="str">
            <v>18AW71BT</v>
          </cell>
          <cell r="C607" t="str">
            <v>GE13 CAB OPW 拉带B状态</v>
          </cell>
        </row>
        <row r="608">
          <cell r="B608" t="str">
            <v>184S14BL</v>
          </cell>
          <cell r="C608" t="str">
            <v>GEELY BX11 SAB LH B状态</v>
          </cell>
        </row>
        <row r="609">
          <cell r="B609" t="str">
            <v>184S14BR</v>
          </cell>
          <cell r="C609" t="str">
            <v>GEELY BX11 SAB RH B状态</v>
          </cell>
        </row>
        <row r="610">
          <cell r="B610" t="str">
            <v>223S014BL</v>
          </cell>
          <cell r="C610" t="str">
            <v>GEELY BX1E SAB LH B状态</v>
          </cell>
        </row>
        <row r="611">
          <cell r="B611" t="str">
            <v>223S014BR</v>
          </cell>
          <cell r="C611" t="str">
            <v>GEELY BX1E SAB RH B状态</v>
          </cell>
        </row>
        <row r="612">
          <cell r="B612" t="str">
            <v>232S012L</v>
          </cell>
          <cell r="C612" t="str">
            <v>GEELY CM2E SAB LH</v>
          </cell>
        </row>
        <row r="613">
          <cell r="B613" t="str">
            <v>232S012R</v>
          </cell>
          <cell r="C613" t="str">
            <v>GEELY CM2E SAB RH</v>
          </cell>
        </row>
        <row r="614">
          <cell r="B614" t="str">
            <v>226D023</v>
          </cell>
          <cell r="C614" t="str">
            <v>Geely CS1E DAB</v>
          </cell>
        </row>
        <row r="615">
          <cell r="B615" t="str">
            <v>193D09B</v>
          </cell>
          <cell r="C615" t="str">
            <v>GEELY CX11 EU DAB B状态(埃)</v>
          </cell>
        </row>
        <row r="616">
          <cell r="B616" t="str">
            <v>23CD068</v>
          </cell>
          <cell r="C616" t="str">
            <v>GEELY CX1E DAB</v>
          </cell>
        </row>
        <row r="617">
          <cell r="B617" t="str">
            <v>232D006</v>
          </cell>
          <cell r="C617" t="str">
            <v>GEELY DC1E A2 DAB</v>
          </cell>
        </row>
        <row r="618">
          <cell r="B618" t="str">
            <v>256D030A</v>
          </cell>
          <cell r="C618" t="str">
            <v>GEELY DC1E A3 DAB A状态</v>
          </cell>
        </row>
        <row r="619">
          <cell r="B619" t="str">
            <v>193S13AL</v>
          </cell>
          <cell r="C619" t="str">
            <v>GEELY DC1E SAB LH A状态</v>
          </cell>
        </row>
        <row r="620">
          <cell r="B620" t="str">
            <v>193S13AR</v>
          </cell>
          <cell r="C620" t="str">
            <v>GEELY DC1E SAB RH A状态</v>
          </cell>
        </row>
        <row r="621">
          <cell r="B621" t="str">
            <v>228S064AL</v>
          </cell>
          <cell r="C621" t="str">
            <v>GEELY DCY11 A2 SAB LH A状态</v>
          </cell>
        </row>
        <row r="622">
          <cell r="B622" t="str">
            <v>228S064AR</v>
          </cell>
          <cell r="C622" t="str">
            <v>GEELY DCY11 A2 SAB RH A状态</v>
          </cell>
        </row>
        <row r="623">
          <cell r="B623" t="str">
            <v>16CP48C</v>
          </cell>
          <cell r="C623" t="str">
            <v>GEELY DNL-5 PAB C状态</v>
          </cell>
        </row>
        <row r="624">
          <cell r="B624" t="str">
            <v>221D001A</v>
          </cell>
          <cell r="C624" t="str">
            <v>GEELY DX11 DAB A状态</v>
          </cell>
        </row>
        <row r="625">
          <cell r="B625" t="str">
            <v>228P054</v>
          </cell>
          <cell r="C625" t="str">
            <v>GEELY DX11 PAB</v>
          </cell>
        </row>
        <row r="626">
          <cell r="B626" t="str">
            <v>228P054Q</v>
          </cell>
          <cell r="C626" t="str">
            <v>GEELY DX11 PAB 导流袋</v>
          </cell>
        </row>
        <row r="627">
          <cell r="B627" t="str">
            <v>232S006AL</v>
          </cell>
          <cell r="C627" t="str">
            <v>GEELY E171 SAB A状态 LH</v>
          </cell>
        </row>
        <row r="628">
          <cell r="B628" t="str">
            <v>232S006AR</v>
          </cell>
          <cell r="C628" t="str">
            <v>GEELY E171 SAB A状态 RH</v>
          </cell>
        </row>
        <row r="629">
          <cell r="B629" t="str">
            <v>248C028L</v>
          </cell>
          <cell r="C629" t="str">
            <v>GEELY E245 CAB LH</v>
          </cell>
        </row>
        <row r="630">
          <cell r="B630" t="str">
            <v>248C028R</v>
          </cell>
          <cell r="C630" t="str">
            <v>GEELY E245 CAB RH</v>
          </cell>
        </row>
        <row r="631">
          <cell r="B631" t="str">
            <v>239D048</v>
          </cell>
          <cell r="C631" t="str">
            <v>GEELY E335 DAB</v>
          </cell>
        </row>
        <row r="632">
          <cell r="B632" t="str">
            <v>239P068A</v>
          </cell>
          <cell r="C632" t="str">
            <v>GEELY E335 PAB A状态</v>
          </cell>
        </row>
        <row r="633">
          <cell r="B633" t="str">
            <v>233P013</v>
          </cell>
          <cell r="C633" t="str">
            <v>GEELY E51 PAB</v>
          </cell>
        </row>
        <row r="634">
          <cell r="B634" t="str">
            <v>243S028L</v>
          </cell>
          <cell r="C634" t="str">
            <v>GEELY EF1E MR SAB LH</v>
          </cell>
        </row>
        <row r="635">
          <cell r="B635" t="str">
            <v>211S002BL</v>
          </cell>
          <cell r="C635" t="str">
            <v>GEELY EF1E SAB LH B状态</v>
          </cell>
        </row>
        <row r="636">
          <cell r="B636" t="str">
            <v>211S002BR</v>
          </cell>
          <cell r="C636" t="str">
            <v>GEELY EF1E SAB RH B状态</v>
          </cell>
        </row>
        <row r="637">
          <cell r="B637" t="str">
            <v>241D003</v>
          </cell>
          <cell r="C637" t="str">
            <v>GEELY EF1E-M-R DAB</v>
          </cell>
        </row>
        <row r="638">
          <cell r="B638" t="str">
            <v>193D08</v>
          </cell>
          <cell r="C638" t="str">
            <v>GEELY EX11 DAB</v>
          </cell>
        </row>
        <row r="639">
          <cell r="B639" t="str">
            <v>18CP56B</v>
          </cell>
          <cell r="C639" t="str">
            <v>GEELY EX11 PAB B状态</v>
          </cell>
        </row>
        <row r="640">
          <cell r="B640" t="str">
            <v>193S16L</v>
          </cell>
          <cell r="C640" t="str">
            <v>GEELY EX11 SAB LH</v>
          </cell>
        </row>
        <row r="641">
          <cell r="B641" t="str">
            <v>193S16R</v>
          </cell>
          <cell r="C641" t="str">
            <v>GEELY EX11 SAB RH</v>
          </cell>
        </row>
        <row r="642">
          <cell r="B642" t="str">
            <v>138S42L</v>
          </cell>
          <cell r="C642" t="str">
            <v>Geely FE-3 SABL</v>
          </cell>
        </row>
        <row r="643">
          <cell r="B643" t="str">
            <v>138S42R</v>
          </cell>
          <cell r="C643" t="str">
            <v>Geely FE-3 SABR</v>
          </cell>
        </row>
        <row r="644">
          <cell r="B644" t="str">
            <v>15AP37A</v>
          </cell>
          <cell r="C644" t="str">
            <v>GEELY FE-3AC PAB A状态</v>
          </cell>
        </row>
        <row r="645">
          <cell r="B645" t="str">
            <v>171W06X</v>
          </cell>
          <cell r="C645" t="str">
            <v>GEELY FE-5A CAB OPW软档片</v>
          </cell>
        </row>
        <row r="646">
          <cell r="B646" t="str">
            <v>173P22A</v>
          </cell>
          <cell r="C646" t="str">
            <v>Geely FE-5A PAB A状态</v>
          </cell>
        </row>
        <row r="647">
          <cell r="B647" t="str">
            <v>193W10L</v>
          </cell>
          <cell r="C647" t="str">
            <v>GEELY FE-6 CAB OPW LH</v>
          </cell>
        </row>
        <row r="648">
          <cell r="B648" t="str">
            <v>193W10R</v>
          </cell>
          <cell r="C648" t="str">
            <v>GEELY FE-6 CAB OPW RH</v>
          </cell>
        </row>
        <row r="649">
          <cell r="B649" t="str">
            <v>193W10PL</v>
          </cell>
          <cell r="C649" t="str">
            <v>GEELY FE-6 CAB OPW 保护套 LH</v>
          </cell>
        </row>
        <row r="650">
          <cell r="B650" t="str">
            <v>193W10PAL</v>
          </cell>
          <cell r="C650" t="str">
            <v>GEELY FE-6 CAB OPW 保护套 LH A状态</v>
          </cell>
        </row>
        <row r="651">
          <cell r="B651" t="str">
            <v>193W10PR</v>
          </cell>
          <cell r="C651" t="str">
            <v>GEELY FE-6 CAB OPW 保护套 RH</v>
          </cell>
        </row>
        <row r="652">
          <cell r="B652" t="str">
            <v>193W10PAR</v>
          </cell>
          <cell r="C652" t="str">
            <v>GEELY FE-6 CAB OPW 保护套 RH A状态</v>
          </cell>
        </row>
        <row r="653">
          <cell r="B653" t="str">
            <v>193W10Q</v>
          </cell>
          <cell r="C653" t="str">
            <v>GEELY FE-6 CAB OPW导气袋</v>
          </cell>
        </row>
        <row r="654">
          <cell r="B654" t="str">
            <v>193W10T</v>
          </cell>
          <cell r="C654" t="str">
            <v>GEELY FE-6 CAB OPW拉带</v>
          </cell>
        </row>
        <row r="655">
          <cell r="B655" t="str">
            <v>176D39A</v>
          </cell>
          <cell r="C655" t="str">
            <v>GEELY FE-6 DAB(INVISTA面料)</v>
          </cell>
        </row>
        <row r="656">
          <cell r="B656" t="str">
            <v>187P46</v>
          </cell>
          <cell r="C656" t="str">
            <v>GEELY FE-7B PAB</v>
          </cell>
        </row>
        <row r="657">
          <cell r="B657" t="str">
            <v>224S028AL</v>
          </cell>
          <cell r="C657" t="str">
            <v>GEELY FS12 SAB LH A状态</v>
          </cell>
        </row>
        <row r="658">
          <cell r="B658" t="str">
            <v>224S028AR</v>
          </cell>
          <cell r="C658" t="str">
            <v>GEELY FS12 SAB RH A状态</v>
          </cell>
        </row>
        <row r="659">
          <cell r="B659" t="str">
            <v>21CD062A</v>
          </cell>
          <cell r="C659" t="str">
            <v>GEELY FX11 DAB A状态</v>
          </cell>
        </row>
        <row r="660">
          <cell r="B660" t="str">
            <v>213S017L</v>
          </cell>
          <cell r="C660" t="str">
            <v>GEELY FX11 SAB LH</v>
          </cell>
        </row>
        <row r="661">
          <cell r="B661" t="str">
            <v>213S017R</v>
          </cell>
          <cell r="C661" t="str">
            <v>GEELY FX11 SAB RH</v>
          </cell>
        </row>
        <row r="662">
          <cell r="B662" t="str">
            <v>227D026</v>
          </cell>
          <cell r="C662" t="str">
            <v>GEELY G733 DAB</v>
          </cell>
        </row>
        <row r="663">
          <cell r="B663" t="str">
            <v>246S061L</v>
          </cell>
          <cell r="C663" t="str">
            <v>GEELY HS11-P SAB LH</v>
          </cell>
        </row>
        <row r="664">
          <cell r="B664" t="str">
            <v>246S061R</v>
          </cell>
          <cell r="C664" t="str">
            <v>GEELY HS11-P SAB RH</v>
          </cell>
        </row>
        <row r="665">
          <cell r="B665" t="str">
            <v>206D33A</v>
          </cell>
          <cell r="C665" t="str">
            <v>GEELY HX11 DAB A状态</v>
          </cell>
        </row>
        <row r="666">
          <cell r="B666" t="str">
            <v>217D024</v>
          </cell>
          <cell r="C666" t="str">
            <v>Geely KX11 HEV DAB</v>
          </cell>
        </row>
        <row r="667">
          <cell r="B667" t="str">
            <v>23BD051</v>
          </cell>
          <cell r="C667" t="str">
            <v>GEELY L743 DAB</v>
          </cell>
        </row>
        <row r="668">
          <cell r="B668" t="str">
            <v>188D42</v>
          </cell>
          <cell r="C668" t="str">
            <v>GEELY LX-1AB DAB</v>
          </cell>
        </row>
        <row r="669">
          <cell r="B669" t="str">
            <v>194D15</v>
          </cell>
          <cell r="C669" t="str">
            <v>GEELY MPC CN6 DAB</v>
          </cell>
        </row>
        <row r="670">
          <cell r="B670" t="str">
            <v>146S25L</v>
          </cell>
          <cell r="C670" t="str">
            <v>Geely NL-3 SAB LH</v>
          </cell>
        </row>
        <row r="671">
          <cell r="B671" t="str">
            <v>146S25R</v>
          </cell>
          <cell r="C671" t="str">
            <v>Geely NL-3 SAB RH</v>
          </cell>
        </row>
        <row r="672">
          <cell r="B672" t="str">
            <v>181D04A</v>
          </cell>
          <cell r="C672" t="str">
            <v>GEELY NL-3B DAB(INVISTA面料)</v>
          </cell>
        </row>
        <row r="673">
          <cell r="B673" t="str">
            <v>183C07L</v>
          </cell>
          <cell r="C673" t="str">
            <v>GEELY NL-3RA CAB LH</v>
          </cell>
        </row>
        <row r="674">
          <cell r="B674" t="str">
            <v>183C07R</v>
          </cell>
          <cell r="C674" t="str">
            <v>GEELY NL-3RA CAB RH</v>
          </cell>
        </row>
        <row r="675">
          <cell r="B675" t="str">
            <v>202P06BL</v>
          </cell>
          <cell r="C675" t="str">
            <v>GEELY SMART HX11 PAB LH B状态</v>
          </cell>
        </row>
        <row r="676">
          <cell r="B676" t="str">
            <v>202P06BR</v>
          </cell>
          <cell r="C676" t="str">
            <v>GEELY SMART HX11 PAB RH B状态</v>
          </cell>
        </row>
        <row r="677">
          <cell r="B677" t="str">
            <v>194D12</v>
          </cell>
          <cell r="C677" t="str">
            <v>GEELY SX11 LA DAB (埃)</v>
          </cell>
        </row>
        <row r="678">
          <cell r="B678" t="str">
            <v>16BP41A</v>
          </cell>
          <cell r="C678" t="str">
            <v>GEELY SX11 PAB A状态</v>
          </cell>
        </row>
        <row r="679">
          <cell r="B679" t="str">
            <v>19CD80</v>
          </cell>
          <cell r="C679" t="str">
            <v>GEELY SX11 RA DAB</v>
          </cell>
        </row>
        <row r="680">
          <cell r="B680" t="str">
            <v>193P16</v>
          </cell>
          <cell r="C680" t="str">
            <v>GEELY SX11 RA PAB</v>
          </cell>
        </row>
        <row r="681">
          <cell r="B681" t="str">
            <v>169P25B</v>
          </cell>
          <cell r="C681" t="str">
            <v>GEELY SX12 PAB B状态</v>
          </cell>
        </row>
        <row r="682">
          <cell r="B682" t="str">
            <v>179S43L</v>
          </cell>
          <cell r="C682" t="str">
            <v>GEELY SX12 SAB LH</v>
          </cell>
        </row>
        <row r="683">
          <cell r="B683" t="str">
            <v>179S43R</v>
          </cell>
          <cell r="C683" t="str">
            <v>GEELY SX12 SAB RH</v>
          </cell>
        </row>
        <row r="684">
          <cell r="B684" t="str">
            <v>179D52A</v>
          </cell>
          <cell r="C684" t="str">
            <v>GEELY VF11 DAB A状态</v>
          </cell>
        </row>
        <row r="685">
          <cell r="B685" t="str">
            <v>17BS57AL</v>
          </cell>
          <cell r="C685" t="str">
            <v>GEELY VF11 FSAB LH（埃）</v>
          </cell>
        </row>
        <row r="686">
          <cell r="B686" t="str">
            <v>17BS57AR</v>
          </cell>
          <cell r="C686" t="str">
            <v>GEELY VF11 FSAB RH（埃）</v>
          </cell>
        </row>
        <row r="687">
          <cell r="B687" t="str">
            <v>178S39AL</v>
          </cell>
          <cell r="C687" t="str">
            <v>GEELY VF11 RSAB LH（埃）</v>
          </cell>
        </row>
        <row r="688">
          <cell r="B688" t="str">
            <v>178S39AR</v>
          </cell>
          <cell r="C688" t="str">
            <v>GEELY VF11 RSAB RH（埃）</v>
          </cell>
        </row>
        <row r="689">
          <cell r="B689" t="str">
            <v>173W14L</v>
          </cell>
          <cell r="C689" t="str">
            <v>GEELY VF12 CAB OPW LH</v>
          </cell>
        </row>
        <row r="690">
          <cell r="B690" t="str">
            <v>173W14R</v>
          </cell>
          <cell r="C690" t="str">
            <v>GEELY VF12 CAB OPW RH</v>
          </cell>
        </row>
        <row r="691">
          <cell r="B691" t="str">
            <v>183D17A</v>
          </cell>
          <cell r="C691" t="str">
            <v>GEELY VF12 DAB A状态</v>
          </cell>
        </row>
        <row r="692">
          <cell r="B692" t="str">
            <v>22AD040</v>
          </cell>
          <cell r="C692" t="str">
            <v>GEELY XE08 DAB</v>
          </cell>
        </row>
        <row r="693">
          <cell r="B693" t="str">
            <v>226S054L</v>
          </cell>
          <cell r="C693" t="str">
            <v>GEELY XE08 FSAB LH</v>
          </cell>
        </row>
        <row r="694">
          <cell r="B694" t="str">
            <v>226S054R</v>
          </cell>
          <cell r="C694" t="str">
            <v>GEELY XE08 FSAB RH</v>
          </cell>
        </row>
        <row r="695">
          <cell r="B695" t="str">
            <v>177C28GL</v>
          </cell>
          <cell r="C695" t="str">
            <v>GM 9BYB IC LH G状态 (埃)</v>
          </cell>
        </row>
        <row r="696">
          <cell r="B696" t="str">
            <v>177C28GR</v>
          </cell>
          <cell r="C696" t="str">
            <v>GM 9BYB IC RH G状态 (埃)</v>
          </cell>
        </row>
        <row r="697">
          <cell r="B697" t="str">
            <v>194C13BL</v>
          </cell>
          <cell r="C697" t="str">
            <v>GM 9BYC-D IC LH B状态 (埃)</v>
          </cell>
        </row>
        <row r="698">
          <cell r="B698" t="str">
            <v>194C13BR</v>
          </cell>
          <cell r="C698" t="str">
            <v>GM 9BYC-D IC RH B状态 (埃)</v>
          </cell>
        </row>
        <row r="699">
          <cell r="B699" t="str">
            <v>177C29AL</v>
          </cell>
          <cell r="C699" t="str">
            <v>GM 9BYC-S IC LH A状态</v>
          </cell>
        </row>
        <row r="700">
          <cell r="B700" t="str">
            <v>177C29AL</v>
          </cell>
          <cell r="C700" t="str">
            <v>GM 9BYC-S IC LH A状态 (埃)</v>
          </cell>
        </row>
        <row r="701">
          <cell r="B701" t="str">
            <v>177C29AR</v>
          </cell>
          <cell r="C701" t="str">
            <v>GM 9BYC-S IC RH A状态</v>
          </cell>
        </row>
        <row r="702">
          <cell r="B702" t="str">
            <v>177C29AR</v>
          </cell>
          <cell r="C702" t="str">
            <v>GM 9BYC-S IC RH A状态 (埃)</v>
          </cell>
        </row>
        <row r="703">
          <cell r="B703" t="str">
            <v>174D18A</v>
          </cell>
          <cell r="C703" t="str">
            <v>GM GEM JBSC DAB A状态</v>
          </cell>
        </row>
        <row r="704">
          <cell r="B704" t="str">
            <v>182W02L</v>
          </cell>
          <cell r="C704" t="str">
            <v>GPM1 CAB OPW LH</v>
          </cell>
        </row>
        <row r="705">
          <cell r="B705" t="str">
            <v>182W02R</v>
          </cell>
          <cell r="C705" t="str">
            <v>GPM1 CAB OPW RH</v>
          </cell>
        </row>
        <row r="706">
          <cell r="B706" t="str">
            <v>182W02P</v>
          </cell>
          <cell r="C706" t="str">
            <v>GPM1 CAB OPW 保护套</v>
          </cell>
        </row>
        <row r="707">
          <cell r="B707" t="str">
            <v>182W02Q</v>
          </cell>
          <cell r="C707" t="str">
            <v>GPM1 CAB OPW 导气袋</v>
          </cell>
        </row>
        <row r="708">
          <cell r="B708" t="str">
            <v>182W02T</v>
          </cell>
          <cell r="C708" t="str">
            <v>GPM1 CAB OPW 拉带</v>
          </cell>
        </row>
        <row r="709">
          <cell r="B709" t="str">
            <v>198W50</v>
          </cell>
          <cell r="C709" t="str">
            <v>GW B06 CAB OPW</v>
          </cell>
        </row>
        <row r="710">
          <cell r="B710" t="str">
            <v>198W50Q</v>
          </cell>
          <cell r="C710" t="str">
            <v>GW B06 CAB OPW 导气袋</v>
          </cell>
        </row>
        <row r="711">
          <cell r="B711" t="str">
            <v>219S066L</v>
          </cell>
          <cell r="C711" t="str">
            <v>GWM A08 SAB LH</v>
          </cell>
        </row>
        <row r="712">
          <cell r="B712" t="str">
            <v>219S066R</v>
          </cell>
          <cell r="C712" t="str">
            <v>GWM A08 SAB RH</v>
          </cell>
        </row>
        <row r="713">
          <cell r="B713" t="str">
            <v>221D005</v>
          </cell>
          <cell r="C713" t="str">
            <v>GWM B07 DAB</v>
          </cell>
        </row>
        <row r="714">
          <cell r="B714" t="str">
            <v>221P008</v>
          </cell>
          <cell r="C714" t="str">
            <v>GWM B07 PAB</v>
          </cell>
        </row>
        <row r="715">
          <cell r="B715" t="str">
            <v>221S008L</v>
          </cell>
          <cell r="C715" t="str">
            <v>GWM B16 SAB LH</v>
          </cell>
        </row>
        <row r="716">
          <cell r="B716" t="str">
            <v>221S008R</v>
          </cell>
          <cell r="C716" t="str">
            <v>GWM B16 SAB RH</v>
          </cell>
        </row>
        <row r="717">
          <cell r="B717" t="str">
            <v>217W117Q</v>
          </cell>
          <cell r="C717" t="str">
            <v>GWM B30-1 CAB OPW 导气袋</v>
          </cell>
        </row>
        <row r="718">
          <cell r="B718" t="str">
            <v>217W117</v>
          </cell>
          <cell r="C718" t="str">
            <v>GWM B30-1 CAB OPW 气袋</v>
          </cell>
        </row>
        <row r="719">
          <cell r="B719" t="str">
            <v>222P013</v>
          </cell>
          <cell r="C719" t="str">
            <v>GWM C01 PAB</v>
          </cell>
        </row>
        <row r="720">
          <cell r="B720" t="str">
            <v>23BP096A</v>
          </cell>
          <cell r="C720" t="str">
            <v>GWM C01-1 PAB A状态</v>
          </cell>
        </row>
        <row r="721">
          <cell r="B721" t="str">
            <v>23BP096B</v>
          </cell>
          <cell r="C721" t="str">
            <v>GWM C01-1 PAB B状态</v>
          </cell>
        </row>
        <row r="722">
          <cell r="B722" t="str">
            <v>23BP096C</v>
          </cell>
          <cell r="C722" t="str">
            <v>GWM C01-1 PAB C状态</v>
          </cell>
        </row>
        <row r="723">
          <cell r="B723" t="str">
            <v>15CP46B</v>
          </cell>
          <cell r="C723" t="str">
            <v>GWM CH051X PAB B状态</v>
          </cell>
        </row>
        <row r="724">
          <cell r="B724" t="str">
            <v>131C02AL</v>
          </cell>
          <cell r="C724" t="str">
            <v>GWM CH071 CAB-LH</v>
          </cell>
        </row>
        <row r="725">
          <cell r="B725" t="str">
            <v>131C02AR</v>
          </cell>
          <cell r="C725" t="str">
            <v>GWM CH071 CAB-RH</v>
          </cell>
        </row>
        <row r="726">
          <cell r="B726" t="str">
            <v>131D07</v>
          </cell>
          <cell r="C726" t="str">
            <v>GWM CH071 DAB</v>
          </cell>
        </row>
        <row r="727">
          <cell r="B727" t="str">
            <v>132P17</v>
          </cell>
          <cell r="C727" t="str">
            <v>GWM CH071 PAB</v>
          </cell>
        </row>
        <row r="728">
          <cell r="B728" t="str">
            <v>132S06L</v>
          </cell>
          <cell r="C728" t="str">
            <v>GWM CH071 SAB LH</v>
          </cell>
        </row>
        <row r="729">
          <cell r="B729" t="str">
            <v>132S06R</v>
          </cell>
          <cell r="C729" t="str">
            <v>GWM CH071 SAB RH</v>
          </cell>
        </row>
        <row r="730">
          <cell r="B730" t="str">
            <v>173P13A</v>
          </cell>
          <cell r="C730" t="str">
            <v>GWM CHB121V PAB A状态</v>
          </cell>
        </row>
        <row r="731">
          <cell r="B731" t="str">
            <v>232P006</v>
          </cell>
          <cell r="C731" t="str">
            <v>GWM D01 PAB</v>
          </cell>
        </row>
        <row r="732">
          <cell r="B732" t="str">
            <v>217S042L</v>
          </cell>
          <cell r="C732" t="str">
            <v>GWM D01 SAB LH</v>
          </cell>
        </row>
        <row r="733">
          <cell r="B733" t="str">
            <v>217S042R</v>
          </cell>
          <cell r="C733" t="str">
            <v>GWM D01 SAB RH</v>
          </cell>
        </row>
        <row r="734">
          <cell r="B734" t="str">
            <v>217D031</v>
          </cell>
          <cell r="C734" t="str">
            <v>GWM D03 DAB</v>
          </cell>
        </row>
        <row r="735">
          <cell r="B735" t="str">
            <v>217P052</v>
          </cell>
          <cell r="C735" t="str">
            <v>GWM D03 PAB</v>
          </cell>
        </row>
        <row r="736">
          <cell r="B736" t="str">
            <v>219S074AL</v>
          </cell>
          <cell r="C736" t="str">
            <v>GWM D03 SAB LH A状态</v>
          </cell>
        </row>
        <row r="737">
          <cell r="B737" t="str">
            <v>219S074AR</v>
          </cell>
          <cell r="C737" t="str">
            <v>GWM D03 SAB RH A状态</v>
          </cell>
        </row>
        <row r="738">
          <cell r="B738" t="str">
            <v>218D034</v>
          </cell>
          <cell r="C738" t="str">
            <v>GWM EC24 DAB</v>
          </cell>
        </row>
        <row r="739">
          <cell r="B739" t="str">
            <v>21BP074A</v>
          </cell>
          <cell r="C739" t="str">
            <v>GWM EC24 PAB A状态</v>
          </cell>
        </row>
        <row r="740">
          <cell r="B740" t="str">
            <v>225S040AL</v>
          </cell>
          <cell r="C740" t="str">
            <v>GWM EC31 SAB LH A状态</v>
          </cell>
        </row>
        <row r="741">
          <cell r="B741" t="str">
            <v>225S040AR</v>
          </cell>
          <cell r="C741" t="str">
            <v>GWM EC31 SAB RH A状态</v>
          </cell>
        </row>
        <row r="742">
          <cell r="B742" t="str">
            <v>266D057</v>
          </cell>
          <cell r="C742" t="str">
            <v>GWM ES11-7 DAB</v>
          </cell>
        </row>
        <row r="743">
          <cell r="B743" t="str">
            <v>217S044L</v>
          </cell>
          <cell r="C743" t="str">
            <v>GWM ES13 SAB LH</v>
          </cell>
        </row>
        <row r="744">
          <cell r="B744" t="str">
            <v>217S044L</v>
          </cell>
          <cell r="C744" t="str">
            <v>GWM ES13 SAB LH (上海)</v>
          </cell>
        </row>
        <row r="745">
          <cell r="B745" t="str">
            <v>217S044R</v>
          </cell>
          <cell r="C745" t="str">
            <v>GWM ES13 SAB RH</v>
          </cell>
        </row>
        <row r="746">
          <cell r="B746" t="str">
            <v>217S044R</v>
          </cell>
          <cell r="C746" t="str">
            <v>GWM ES13 SAB RH (上海)</v>
          </cell>
        </row>
        <row r="747">
          <cell r="B747" t="str">
            <v>219S065L</v>
          </cell>
          <cell r="C747" t="str">
            <v>GWM ES24 RSAB LH</v>
          </cell>
        </row>
        <row r="748">
          <cell r="B748" t="str">
            <v>219S065R</v>
          </cell>
          <cell r="C748" t="str">
            <v>GWM ES24 RSAB RH</v>
          </cell>
        </row>
        <row r="749">
          <cell r="B749" t="str">
            <v>217D029B</v>
          </cell>
          <cell r="C749" t="str">
            <v>GWM J01 CN DAB B状态</v>
          </cell>
        </row>
        <row r="750">
          <cell r="B750" t="str">
            <v>214D015B</v>
          </cell>
          <cell r="C750" t="str">
            <v>GWM J01 EU DAB B状态</v>
          </cell>
        </row>
        <row r="751">
          <cell r="B751" t="str">
            <v>22BD046A</v>
          </cell>
          <cell r="C751" t="str">
            <v>GWM J05 CN DAB A状态</v>
          </cell>
        </row>
        <row r="752">
          <cell r="B752" t="str">
            <v>21AS078L</v>
          </cell>
          <cell r="C752" t="str">
            <v>GWM M81M83 SAB LH</v>
          </cell>
        </row>
        <row r="753">
          <cell r="B753" t="str">
            <v>21AS078R</v>
          </cell>
          <cell r="C753" t="str">
            <v>GWM M81M83 SAB RH</v>
          </cell>
        </row>
        <row r="754">
          <cell r="B754" t="str">
            <v>242S015AL</v>
          </cell>
          <cell r="C754" t="str">
            <v>GWM P01-2 SAB LH A状态</v>
          </cell>
        </row>
        <row r="755">
          <cell r="B755" t="str">
            <v>242S015AR</v>
          </cell>
          <cell r="C755" t="str">
            <v>GWM P01-2 SAB RH A状态</v>
          </cell>
        </row>
        <row r="756">
          <cell r="B756" t="str">
            <v>213D007</v>
          </cell>
          <cell r="C756" t="str">
            <v>GWM P05 DAB</v>
          </cell>
        </row>
        <row r="757">
          <cell r="B757" t="str">
            <v>235S043L</v>
          </cell>
          <cell r="C757" t="str">
            <v>GWM P05 FSAB AU LH</v>
          </cell>
        </row>
        <row r="758">
          <cell r="B758" t="str">
            <v>235S043R</v>
          </cell>
          <cell r="C758" t="str">
            <v>GWM P05 FSAB AU RH</v>
          </cell>
        </row>
        <row r="759">
          <cell r="B759" t="str">
            <v>214S023L</v>
          </cell>
          <cell r="C759" t="str">
            <v>GWM P05 FSAB LH</v>
          </cell>
        </row>
        <row r="760">
          <cell r="B760" t="str">
            <v>214S023R</v>
          </cell>
          <cell r="C760" t="str">
            <v>GWM P05 FSAB RH</v>
          </cell>
        </row>
        <row r="761">
          <cell r="B761" t="str">
            <v>215D019</v>
          </cell>
          <cell r="C761" t="str">
            <v>GWM P06 DAB</v>
          </cell>
        </row>
        <row r="762">
          <cell r="B762" t="str">
            <v>216P034A</v>
          </cell>
          <cell r="C762" t="str">
            <v>GWM P06 PAB A状态</v>
          </cell>
        </row>
        <row r="763">
          <cell r="B763" t="str">
            <v>216S032AL</v>
          </cell>
          <cell r="C763" t="str">
            <v>GWM P06 SAB LH A状态</v>
          </cell>
        </row>
        <row r="764">
          <cell r="B764" t="str">
            <v>216S032AR</v>
          </cell>
          <cell r="C764" t="str">
            <v>GWM P06 SAB RH A状态</v>
          </cell>
        </row>
        <row r="765">
          <cell r="B765" t="str">
            <v>231D002C</v>
          </cell>
          <cell r="C765" t="str">
            <v>GWM P11 DAB C状态</v>
          </cell>
        </row>
        <row r="766">
          <cell r="B766" t="str">
            <v>232P009</v>
          </cell>
          <cell r="C766" t="str">
            <v>GWM P11 PAB</v>
          </cell>
        </row>
        <row r="767">
          <cell r="B767" t="str">
            <v>183P20A</v>
          </cell>
          <cell r="C767" t="str">
            <v>GWM P3011 PAB A状态</v>
          </cell>
        </row>
        <row r="768">
          <cell r="B768" t="str">
            <v>223P015A</v>
          </cell>
          <cell r="C768" t="str">
            <v>GWM P3011-2 PAB A状态</v>
          </cell>
        </row>
        <row r="769">
          <cell r="B769" t="str">
            <v>208K17A</v>
          </cell>
          <cell r="C769" t="str">
            <v>GWM V71 DKAB A状态</v>
          </cell>
        </row>
        <row r="770">
          <cell r="B770" t="str">
            <v>256S076L</v>
          </cell>
          <cell r="C770" t="str">
            <v>H93AES FSAB LH</v>
          </cell>
        </row>
        <row r="771">
          <cell r="B771" t="str">
            <v>256S076R</v>
          </cell>
          <cell r="C771" t="str">
            <v>H93AES FSAB RH</v>
          </cell>
        </row>
        <row r="772">
          <cell r="B772" t="str">
            <v>25AP117</v>
          </cell>
          <cell r="C772" t="str">
            <v>H93AEVR PAB</v>
          </cell>
        </row>
        <row r="773">
          <cell r="B773" t="str">
            <v>19CW78AL</v>
          </cell>
          <cell r="C773" t="str">
            <v>H97 CAB OPW LH A状态</v>
          </cell>
        </row>
        <row r="774">
          <cell r="B774" t="str">
            <v>19CW78AR</v>
          </cell>
          <cell r="C774" t="str">
            <v>H97 CAB OPW RH A状态</v>
          </cell>
        </row>
        <row r="775">
          <cell r="B775" t="str">
            <v>24BW210AL</v>
          </cell>
          <cell r="C775" t="str">
            <v>HA3H CAB OPW LH A状态</v>
          </cell>
        </row>
        <row r="776">
          <cell r="B776" t="str">
            <v>24BW210AR</v>
          </cell>
          <cell r="C776" t="str">
            <v>HA3H CAB OPW RH A状态</v>
          </cell>
        </row>
        <row r="777">
          <cell r="B777" t="str">
            <v>24BW210Q</v>
          </cell>
          <cell r="C777" t="str">
            <v>HA3H CAB OPW 导气袋</v>
          </cell>
        </row>
        <row r="778">
          <cell r="B778" t="str">
            <v>24BW210T</v>
          </cell>
          <cell r="C778" t="str">
            <v>HA3H CAB OPW 拉带</v>
          </cell>
        </row>
        <row r="779">
          <cell r="B779" t="str">
            <v>243D022A</v>
          </cell>
          <cell r="C779" t="str">
            <v>HA3H DAB A状态</v>
          </cell>
        </row>
        <row r="780">
          <cell r="B780" t="str">
            <v>24BS184AL</v>
          </cell>
          <cell r="C780" t="str">
            <v>HA3H SAB LH A状态</v>
          </cell>
        </row>
        <row r="781">
          <cell r="B781" t="str">
            <v>24BS184AR</v>
          </cell>
          <cell r="C781" t="str">
            <v>HA3H SAB RH A状态</v>
          </cell>
        </row>
        <row r="782">
          <cell r="B782" t="str">
            <v>262W062L</v>
          </cell>
          <cell r="C782" t="str">
            <v>HA3HR CAB OPW LH</v>
          </cell>
        </row>
        <row r="783">
          <cell r="B783" t="str">
            <v>262W062R</v>
          </cell>
          <cell r="C783" t="str">
            <v>HA3HR CAB OPW RH</v>
          </cell>
        </row>
        <row r="784">
          <cell r="B784" t="str">
            <v>262W062Q</v>
          </cell>
          <cell r="C784" t="str">
            <v>HA3HR CAB OPW 导气袋</v>
          </cell>
        </row>
        <row r="785">
          <cell r="B785" t="str">
            <v>262W062T</v>
          </cell>
          <cell r="C785" t="str">
            <v>HA3HR CAB OPW 拉带</v>
          </cell>
        </row>
        <row r="786">
          <cell r="B786" t="str">
            <v>23BS109AL</v>
          </cell>
          <cell r="C786" t="str">
            <v>HA5H SAB LH A状态</v>
          </cell>
        </row>
        <row r="787">
          <cell r="B787" t="str">
            <v>23BS109AR</v>
          </cell>
          <cell r="C787" t="str">
            <v>HA5H SAB RH A状态</v>
          </cell>
        </row>
        <row r="788">
          <cell r="B788" t="str">
            <v>24BS175AL</v>
          </cell>
          <cell r="C788" t="str">
            <v>HA5H-A SAB LH A状态</v>
          </cell>
        </row>
        <row r="789">
          <cell r="B789" t="str">
            <v>24BS175AR</v>
          </cell>
          <cell r="C789" t="str">
            <v>HA5H-A SAB RH A状态</v>
          </cell>
        </row>
        <row r="790">
          <cell r="B790" t="str">
            <v>17AW45F</v>
          </cell>
          <cell r="C790" t="str">
            <v>HAD CAB OPW F状态</v>
          </cell>
        </row>
        <row r="791">
          <cell r="B791" t="str">
            <v>17AW45DQ</v>
          </cell>
          <cell r="C791" t="str">
            <v>HAD CAB OPW 导气袋 D状态</v>
          </cell>
        </row>
        <row r="792">
          <cell r="B792" t="str">
            <v>17AW45DT</v>
          </cell>
          <cell r="C792" t="str">
            <v>HAD CAB OPW 拉带 D状态</v>
          </cell>
        </row>
        <row r="793">
          <cell r="B793" t="str">
            <v>181D07D</v>
          </cell>
          <cell r="C793" t="str">
            <v>HAD DAB D状态</v>
          </cell>
        </row>
        <row r="794">
          <cell r="B794" t="str">
            <v>25CW256</v>
          </cell>
          <cell r="C794" t="str">
            <v>HAD-W CAB OPW</v>
          </cell>
        </row>
        <row r="795">
          <cell r="B795" t="str">
            <v>257W140L</v>
          </cell>
          <cell r="C795" t="str">
            <v>HBE CAB OPW LH</v>
          </cell>
        </row>
        <row r="796">
          <cell r="B796" t="str">
            <v>257W140R</v>
          </cell>
          <cell r="C796" t="str">
            <v>HBE CAB OPW RH</v>
          </cell>
        </row>
        <row r="797">
          <cell r="B797" t="str">
            <v>256F019L</v>
          </cell>
          <cell r="C797" t="str">
            <v>HBE FAB LH</v>
          </cell>
        </row>
        <row r="798">
          <cell r="B798" t="str">
            <v>256F019AL</v>
          </cell>
          <cell r="C798" t="str">
            <v>HBE FAB LH A状态</v>
          </cell>
        </row>
        <row r="799">
          <cell r="B799" t="str">
            <v>256F019R</v>
          </cell>
          <cell r="C799" t="str">
            <v>HBE FAB RH</v>
          </cell>
        </row>
        <row r="800">
          <cell r="B800" t="str">
            <v>256F019AR</v>
          </cell>
          <cell r="C800" t="str">
            <v>HBE FAB RH A状态</v>
          </cell>
        </row>
        <row r="801">
          <cell r="B801" t="str">
            <v>25AW219L</v>
          </cell>
          <cell r="C801" t="str">
            <v>HBHQ CAB OPW LH</v>
          </cell>
        </row>
        <row r="802">
          <cell r="B802" t="str">
            <v>25AW219R</v>
          </cell>
          <cell r="C802" t="str">
            <v>HBHQ CAB OPW RH</v>
          </cell>
        </row>
        <row r="803">
          <cell r="B803" t="str">
            <v>25AW219Q</v>
          </cell>
          <cell r="C803" t="str">
            <v>HBHQ CAB OPW 导气袋</v>
          </cell>
        </row>
        <row r="804">
          <cell r="B804" t="str">
            <v>25AW219T</v>
          </cell>
          <cell r="C804" t="str">
            <v>HBHQ CAB OPW 拉带</v>
          </cell>
        </row>
        <row r="805">
          <cell r="B805" t="str">
            <v>193D05C</v>
          </cell>
          <cell r="C805" t="str">
            <v>HC DAB C状态</v>
          </cell>
        </row>
        <row r="806">
          <cell r="B806" t="str">
            <v>204K05D</v>
          </cell>
          <cell r="C806" t="str">
            <v>HC KAB D状态</v>
          </cell>
        </row>
        <row r="807">
          <cell r="B807" t="str">
            <v>224W051AL</v>
          </cell>
          <cell r="C807" t="str">
            <v>HC PET CAB OPW LH A状态</v>
          </cell>
        </row>
        <row r="808">
          <cell r="B808" t="str">
            <v>224W051BL</v>
          </cell>
          <cell r="C808" t="str">
            <v>HC PET CAB OPW LH B状态</v>
          </cell>
        </row>
        <row r="809">
          <cell r="B809" t="str">
            <v>224W051AR</v>
          </cell>
          <cell r="C809" t="str">
            <v>HC PET CAB OPW RH A状态</v>
          </cell>
        </row>
        <row r="810">
          <cell r="B810" t="str">
            <v>224W051BR</v>
          </cell>
          <cell r="C810" t="str">
            <v>HC PET CAB OPW RH B状态</v>
          </cell>
        </row>
        <row r="811">
          <cell r="B811" t="str">
            <v>224W051AQ</v>
          </cell>
          <cell r="C811" t="str">
            <v>HC PET CAB OPW 导气袋 A状态</v>
          </cell>
        </row>
        <row r="812">
          <cell r="B812" t="str">
            <v>224W051AT</v>
          </cell>
          <cell r="C812" t="str">
            <v>HC PET CAB OPW 拉带 A状态</v>
          </cell>
        </row>
        <row r="813">
          <cell r="B813" t="str">
            <v>216W100AL</v>
          </cell>
          <cell r="C813" t="str">
            <v>HC11 CAB OPW LH A状态</v>
          </cell>
        </row>
        <row r="814">
          <cell r="B814" t="str">
            <v>216W100AR</v>
          </cell>
          <cell r="C814" t="str">
            <v>HC11 CAB OPW RH A状态</v>
          </cell>
        </row>
        <row r="815">
          <cell r="B815" t="str">
            <v>216W100AQ</v>
          </cell>
          <cell r="C815" t="str">
            <v>HC11 CAB OPW 导气袋 A状态</v>
          </cell>
        </row>
        <row r="816">
          <cell r="B816" t="str">
            <v>216W100ATR</v>
          </cell>
          <cell r="C816" t="str">
            <v>HC11 CAB OPW 右件拉带 A状态</v>
          </cell>
        </row>
        <row r="817">
          <cell r="B817" t="str">
            <v>216W100ATL</v>
          </cell>
          <cell r="C817" t="str">
            <v>HC11 CAB OPW 左件拉带 A状态</v>
          </cell>
        </row>
        <row r="818">
          <cell r="B818" t="str">
            <v>238W080L</v>
          </cell>
          <cell r="C818" t="str">
            <v>HC2EA CAB OPW LH</v>
          </cell>
        </row>
        <row r="819">
          <cell r="B819" t="str">
            <v>238W080R</v>
          </cell>
          <cell r="C819" t="str">
            <v>HC2EA CAB OPW RH</v>
          </cell>
        </row>
        <row r="820">
          <cell r="B820" t="str">
            <v>238W080Q</v>
          </cell>
          <cell r="C820" t="str">
            <v>HC2EA CAB OPW 导气袋</v>
          </cell>
        </row>
        <row r="821">
          <cell r="B821" t="str">
            <v>24CS205BL</v>
          </cell>
          <cell r="C821" t="str">
            <v>HC2EA SAB LH B状态</v>
          </cell>
        </row>
        <row r="822">
          <cell r="B822" t="str">
            <v>24CS205BL</v>
          </cell>
          <cell r="C822" t="str">
            <v>HC2EA SAB LH B状态 (出口)</v>
          </cell>
        </row>
        <row r="823">
          <cell r="B823" t="str">
            <v>24CS205BR</v>
          </cell>
          <cell r="C823" t="str">
            <v>HC2EA SAB RH B状态</v>
          </cell>
        </row>
        <row r="824">
          <cell r="B824" t="str">
            <v>24CS205BR</v>
          </cell>
          <cell r="C824" t="str">
            <v>HC2EA SAB RH B状态 (出口)</v>
          </cell>
        </row>
        <row r="825">
          <cell r="B825" t="str">
            <v>20BW131Q</v>
          </cell>
          <cell r="C825" t="str">
            <v>Hengda EE4 IC OPW 导气袋</v>
          </cell>
        </row>
        <row r="826">
          <cell r="B826" t="str">
            <v>20BW131TA</v>
          </cell>
          <cell r="C826" t="str">
            <v>Hengda EE4 IC OPW 拉带A</v>
          </cell>
        </row>
        <row r="827">
          <cell r="B827" t="str">
            <v>20BW131TB</v>
          </cell>
          <cell r="C827" t="str">
            <v>Hengda EE4 IC OPW 拉带B</v>
          </cell>
        </row>
        <row r="828">
          <cell r="B828" t="str">
            <v>236W063L</v>
          </cell>
          <cell r="C828" t="str">
            <v>HKHA CAB OPW LH</v>
          </cell>
        </row>
        <row r="829">
          <cell r="B829" t="str">
            <v>236W063R</v>
          </cell>
          <cell r="C829" t="str">
            <v>HKHA CAB OPW RH</v>
          </cell>
        </row>
        <row r="830">
          <cell r="B830" t="str">
            <v>236W063Q</v>
          </cell>
          <cell r="C830" t="str">
            <v>HKHA CAB OPW 导气袋</v>
          </cell>
        </row>
        <row r="831">
          <cell r="B831" t="str">
            <v>236W063T</v>
          </cell>
          <cell r="C831" t="str">
            <v>HKHA CAB OPW 拉带</v>
          </cell>
        </row>
        <row r="832">
          <cell r="B832" t="str">
            <v>24BF045BL</v>
          </cell>
          <cell r="C832" t="str">
            <v>HKHA EU FCA LH B状态</v>
          </cell>
        </row>
        <row r="833">
          <cell r="B833" t="str">
            <v>24BF045BR</v>
          </cell>
          <cell r="C833" t="str">
            <v>HKHA EU FCA RH B状态</v>
          </cell>
        </row>
        <row r="834">
          <cell r="B834" t="str">
            <v>23AF029B</v>
          </cell>
          <cell r="C834" t="str">
            <v>HKHA FCA B状态</v>
          </cell>
        </row>
        <row r="835">
          <cell r="B835" t="str">
            <v>238P059</v>
          </cell>
          <cell r="C835" t="str">
            <v>HKHA PAB</v>
          </cell>
        </row>
        <row r="836">
          <cell r="B836" t="str">
            <v>238P059A</v>
          </cell>
          <cell r="C836" t="str">
            <v>HKHA PAB A状态</v>
          </cell>
        </row>
        <row r="837">
          <cell r="B837" t="str">
            <v>252S013L</v>
          </cell>
          <cell r="C837" t="str">
            <v>HKHA-A SAB LH</v>
          </cell>
        </row>
        <row r="838">
          <cell r="B838" t="str">
            <v>252S013R</v>
          </cell>
          <cell r="C838" t="str">
            <v>HKHA-A SAB RH</v>
          </cell>
        </row>
        <row r="839">
          <cell r="B839" t="str">
            <v>257F025</v>
          </cell>
          <cell r="C839" t="str">
            <v>HKHAR FCA</v>
          </cell>
        </row>
        <row r="840">
          <cell r="B840" t="str">
            <v>24CW240AL</v>
          </cell>
          <cell r="C840" t="str">
            <v>HKHAU CAB OPW LH A状态</v>
          </cell>
        </row>
        <row r="841">
          <cell r="B841" t="str">
            <v>24CW240AR</v>
          </cell>
          <cell r="C841" t="str">
            <v>HKHAU CAB OPW RH A状态</v>
          </cell>
        </row>
        <row r="842">
          <cell r="B842" t="str">
            <v>24CW240AQ</v>
          </cell>
          <cell r="C842" t="str">
            <v>HKHAU CAB OPW 导气袋 A状态</v>
          </cell>
        </row>
        <row r="843">
          <cell r="B843" t="str">
            <v>255S069L</v>
          </cell>
          <cell r="C843" t="str">
            <v>HKHAU SAB LH</v>
          </cell>
        </row>
        <row r="844">
          <cell r="B844" t="str">
            <v>255S069R</v>
          </cell>
          <cell r="C844" t="str">
            <v>HKHAU SAB RH</v>
          </cell>
        </row>
        <row r="845">
          <cell r="B845" t="str">
            <v>249W171L</v>
          </cell>
          <cell r="C845" t="str">
            <v>HKHCU CAB OPW LH</v>
          </cell>
        </row>
        <row r="846">
          <cell r="B846" t="str">
            <v>249W171R</v>
          </cell>
          <cell r="C846" t="str">
            <v>HKHCU CAB OPW RH</v>
          </cell>
        </row>
        <row r="847">
          <cell r="B847" t="str">
            <v>249W171Q</v>
          </cell>
          <cell r="C847" t="str">
            <v>HKHCU CAB OPW 导气袋</v>
          </cell>
        </row>
        <row r="848">
          <cell r="B848" t="str">
            <v>251W015AL</v>
          </cell>
          <cell r="C848" t="str">
            <v>HKHH CAB OPW LH A状态</v>
          </cell>
        </row>
        <row r="849">
          <cell r="B849" t="str">
            <v>251W015AR</v>
          </cell>
          <cell r="C849" t="str">
            <v>HKHH CAB OPW RH A状态</v>
          </cell>
        </row>
        <row r="850">
          <cell r="B850" t="str">
            <v>251W015AQ</v>
          </cell>
          <cell r="C850" t="str">
            <v>HKHH CAB OPW 导气袋 A状态</v>
          </cell>
        </row>
        <row r="851">
          <cell r="B851" t="str">
            <v>251W015T</v>
          </cell>
          <cell r="C851" t="str">
            <v>HKHH CAB OPW 拉带</v>
          </cell>
        </row>
        <row r="852">
          <cell r="B852" t="str">
            <v>25CW259L</v>
          </cell>
          <cell r="C852" t="str">
            <v>HKHX CAB OPW LH</v>
          </cell>
        </row>
        <row r="853">
          <cell r="B853" t="str">
            <v>25CW259R</v>
          </cell>
          <cell r="C853" t="str">
            <v>HKHX CAB OPW RH</v>
          </cell>
        </row>
        <row r="854">
          <cell r="B854" t="str">
            <v>25CW259Q</v>
          </cell>
          <cell r="C854" t="str">
            <v>HKHX CAB OPW 导气袋</v>
          </cell>
        </row>
        <row r="855">
          <cell r="B855" t="str">
            <v>25CW259T</v>
          </cell>
          <cell r="C855" t="str">
            <v>HKHX CAB OPW 拉带</v>
          </cell>
        </row>
        <row r="856">
          <cell r="B856" t="str">
            <v>18CP58</v>
          </cell>
          <cell r="C856" t="str">
            <v>HKMC NX4A PAB（代工）</v>
          </cell>
        </row>
        <row r="857">
          <cell r="B857" t="str">
            <v>207P24A</v>
          </cell>
          <cell r="C857" t="str">
            <v>HONDA TH82P1 PAB A状态</v>
          </cell>
        </row>
        <row r="858">
          <cell r="B858" t="str">
            <v>207P24A</v>
          </cell>
          <cell r="C858" t="str">
            <v>HONDA TH82P1 PAB A状态（泰国）</v>
          </cell>
        </row>
        <row r="859">
          <cell r="B859" t="str">
            <v>205S30CL</v>
          </cell>
          <cell r="C859" t="str">
            <v>HONDA TH82S1 FSAB LH C状态</v>
          </cell>
        </row>
        <row r="860">
          <cell r="B860" t="str">
            <v>205S30CR</v>
          </cell>
          <cell r="C860" t="str">
            <v>HONDA TH82S1 FSAB RH C状态</v>
          </cell>
        </row>
        <row r="861">
          <cell r="B861" t="str">
            <v>245P065</v>
          </cell>
          <cell r="C861" t="str">
            <v>HONDA THAMP2 PAB</v>
          </cell>
        </row>
        <row r="862">
          <cell r="B862" t="str">
            <v>259W164L</v>
          </cell>
          <cell r="C862" t="str">
            <v>HQHA CAB OPW LH</v>
          </cell>
        </row>
        <row r="863">
          <cell r="B863" t="str">
            <v>259W164R</v>
          </cell>
          <cell r="C863" t="str">
            <v>HQHA CAB OPW RH</v>
          </cell>
        </row>
        <row r="864">
          <cell r="B864" t="str">
            <v>259W164Q</v>
          </cell>
          <cell r="C864" t="str">
            <v>HQHA CAB OPW 导气袋</v>
          </cell>
        </row>
        <row r="865">
          <cell r="B865" t="str">
            <v>259W164TL</v>
          </cell>
          <cell r="C865" t="str">
            <v>HQHA CAB OPW 拉带 LH</v>
          </cell>
        </row>
        <row r="866">
          <cell r="B866" t="str">
            <v>259W164TR</v>
          </cell>
          <cell r="C866" t="str">
            <v>HQHA CAB OPW 拉带 RH</v>
          </cell>
        </row>
        <row r="867">
          <cell r="B867" t="str">
            <v>244W042L</v>
          </cell>
          <cell r="C867" t="str">
            <v>HS11 CAB OPW LH</v>
          </cell>
        </row>
        <row r="868">
          <cell r="B868" t="str">
            <v>244W042R</v>
          </cell>
          <cell r="C868" t="str">
            <v>HS11 CAB OPW RH</v>
          </cell>
        </row>
        <row r="869">
          <cell r="B869" t="str">
            <v>244W042Q</v>
          </cell>
          <cell r="C869" t="str">
            <v>HS11 CAB OPW 导气袋</v>
          </cell>
        </row>
        <row r="870">
          <cell r="B870" t="str">
            <v>244W042TR</v>
          </cell>
          <cell r="C870" t="str">
            <v>HS11 CAB OPW 右件拉带</v>
          </cell>
        </row>
        <row r="871">
          <cell r="B871" t="str">
            <v>244W042TL</v>
          </cell>
          <cell r="C871" t="str">
            <v>HS11 CAB OPW 左件拉带</v>
          </cell>
        </row>
        <row r="872">
          <cell r="B872" t="str">
            <v>23CF039L</v>
          </cell>
          <cell r="C872" t="str">
            <v>HTH FAB LH</v>
          </cell>
        </row>
        <row r="873">
          <cell r="B873" t="str">
            <v>23CF039AL</v>
          </cell>
          <cell r="C873" t="str">
            <v>HTH FAB LH A状态</v>
          </cell>
        </row>
        <row r="874">
          <cell r="B874" t="str">
            <v>238S087AL</v>
          </cell>
          <cell r="C874" t="str">
            <v>HTH-D1 SAB LH A状态</v>
          </cell>
        </row>
        <row r="875">
          <cell r="B875" t="str">
            <v>238S087AR</v>
          </cell>
          <cell r="C875" t="str">
            <v>HTH-D1 SAB RH A状态</v>
          </cell>
        </row>
        <row r="876">
          <cell r="B876" t="str">
            <v>208W99CL</v>
          </cell>
          <cell r="C876" t="str">
            <v>HX11 CAB OPW LH C状态</v>
          </cell>
        </row>
        <row r="877">
          <cell r="B877" t="str">
            <v>208W99CR</v>
          </cell>
          <cell r="C877" t="str">
            <v>HX11 CAB OPW RH C状态</v>
          </cell>
        </row>
        <row r="878">
          <cell r="B878" t="str">
            <v>208W99BQ</v>
          </cell>
          <cell r="C878" t="str">
            <v>HX11 CAB OPW 导气袋 B状态</v>
          </cell>
        </row>
        <row r="879">
          <cell r="B879" t="str">
            <v>208W99BTR</v>
          </cell>
          <cell r="C879" t="str">
            <v>HX11 CAB OPW 右件拉带 B状态</v>
          </cell>
        </row>
        <row r="880">
          <cell r="B880" t="str">
            <v>208W99BTL</v>
          </cell>
          <cell r="C880" t="str">
            <v>HX11 CAB OPW 左件拉带 B状态</v>
          </cell>
        </row>
        <row r="881">
          <cell r="B881" t="str">
            <v>25CW258L</v>
          </cell>
          <cell r="C881" t="str">
            <v>HX2EA CAB OPW LH</v>
          </cell>
        </row>
        <row r="882">
          <cell r="B882" t="str">
            <v>25CW258R</v>
          </cell>
          <cell r="C882" t="str">
            <v>HX2EA CAB OPW RH</v>
          </cell>
        </row>
        <row r="883">
          <cell r="B883" t="str">
            <v>25CW258Q</v>
          </cell>
          <cell r="C883" t="str">
            <v>HX2EA CAB OPW 导气袋</v>
          </cell>
        </row>
        <row r="884">
          <cell r="B884" t="str">
            <v>25CW258T</v>
          </cell>
          <cell r="C884" t="str">
            <v>HX2EA CAB OPW 拉带</v>
          </cell>
        </row>
        <row r="885">
          <cell r="B885" t="str">
            <v>25CW270L</v>
          </cell>
          <cell r="C885" t="str">
            <v>HXEA CAB OPW LH</v>
          </cell>
        </row>
        <row r="886">
          <cell r="B886" t="str">
            <v>25CW270R</v>
          </cell>
          <cell r="C886" t="str">
            <v>HXEA CAB OPW RH</v>
          </cell>
        </row>
        <row r="887">
          <cell r="B887" t="str">
            <v>25CW270Q</v>
          </cell>
          <cell r="C887" t="str">
            <v>HXEA CAB OPW 导气袋</v>
          </cell>
        </row>
        <row r="888">
          <cell r="B888" t="str">
            <v>25CW270T</v>
          </cell>
          <cell r="C888" t="str">
            <v>HXEA CAB OPW 拉带</v>
          </cell>
        </row>
        <row r="889">
          <cell r="B889" t="str">
            <v>225W060AL</v>
          </cell>
          <cell r="C889" t="str">
            <v>HXHA CAB OPW LH A状态</v>
          </cell>
        </row>
        <row r="890">
          <cell r="B890" t="str">
            <v>225W060AR</v>
          </cell>
          <cell r="C890" t="str">
            <v>HXHA CAB OPW RH A状态</v>
          </cell>
        </row>
        <row r="891">
          <cell r="B891" t="str">
            <v>225W060Q</v>
          </cell>
          <cell r="C891" t="str">
            <v>HXHA CAB OPW 导气袋</v>
          </cell>
        </row>
        <row r="892">
          <cell r="B892" t="str">
            <v>225W060T</v>
          </cell>
          <cell r="C892" t="str">
            <v>HXHA CAB OPW 拉带</v>
          </cell>
        </row>
        <row r="893">
          <cell r="B893" t="str">
            <v>252S033AL</v>
          </cell>
          <cell r="C893" t="str">
            <v>HXHA-1 SAB LH A状态</v>
          </cell>
        </row>
        <row r="894">
          <cell r="B894" t="str">
            <v>252S033AR</v>
          </cell>
          <cell r="C894" t="str">
            <v>HXHA-1 SAB RH A状态</v>
          </cell>
        </row>
        <row r="895">
          <cell r="B895" t="str">
            <v>246K007</v>
          </cell>
          <cell r="C895" t="str">
            <v>HXHA-D2 KAB</v>
          </cell>
        </row>
        <row r="896">
          <cell r="B896" t="str">
            <v>24BW225L</v>
          </cell>
          <cell r="C896" t="str">
            <v>HXHAX CAB OPW LH</v>
          </cell>
        </row>
        <row r="897">
          <cell r="B897" t="str">
            <v>24BW225AL</v>
          </cell>
          <cell r="C897" t="str">
            <v>HXHAX CAB OPW LH A状态</v>
          </cell>
        </row>
        <row r="898">
          <cell r="B898" t="str">
            <v>24BW225R</v>
          </cell>
          <cell r="C898" t="str">
            <v>HXHAX CAB OPW RH</v>
          </cell>
        </row>
        <row r="899">
          <cell r="B899" t="str">
            <v>24BW225AR</v>
          </cell>
          <cell r="C899" t="str">
            <v>HXHAX CAB OPW RH A状态</v>
          </cell>
        </row>
        <row r="900">
          <cell r="B900" t="str">
            <v>24BW225Q</v>
          </cell>
          <cell r="C900" t="str">
            <v>HXHAX CAB OPW 导气袋</v>
          </cell>
        </row>
        <row r="901">
          <cell r="B901" t="str">
            <v>253W049L</v>
          </cell>
          <cell r="C901" t="str">
            <v>HYEA CAB OPW LH</v>
          </cell>
        </row>
        <row r="902">
          <cell r="B902" t="str">
            <v>253W049R</v>
          </cell>
          <cell r="C902" t="str">
            <v>HYEA CAB OPW RH</v>
          </cell>
        </row>
        <row r="903">
          <cell r="B903" t="str">
            <v>253W049Q</v>
          </cell>
          <cell r="C903" t="str">
            <v>HYEA CAB OPW 导气袋</v>
          </cell>
        </row>
        <row r="904">
          <cell r="B904" t="str">
            <v>253W049T</v>
          </cell>
          <cell r="C904" t="str">
            <v>HYEA CAB OPW 拉带</v>
          </cell>
        </row>
        <row r="905">
          <cell r="B905" t="str">
            <v>25CD072</v>
          </cell>
          <cell r="C905" t="str">
            <v>HYEA DAB</v>
          </cell>
        </row>
        <row r="906">
          <cell r="B906" t="str">
            <v>25CD072A</v>
          </cell>
          <cell r="C906" t="str">
            <v>HYEA DAB A状态</v>
          </cell>
        </row>
        <row r="907">
          <cell r="B907" t="str">
            <v>25CF057L</v>
          </cell>
          <cell r="C907" t="str">
            <v>HYEA FAB LH</v>
          </cell>
        </row>
        <row r="908">
          <cell r="B908" t="str">
            <v>25CF057R</v>
          </cell>
          <cell r="C908" t="str">
            <v>HYEA FAB RH</v>
          </cell>
        </row>
        <row r="909">
          <cell r="B909" t="str">
            <v>214S026L</v>
          </cell>
          <cell r="C909" t="str">
            <v>HYUNDAI NU2 SAB LH</v>
          </cell>
        </row>
        <row r="910">
          <cell r="B910" t="str">
            <v>214S026U</v>
          </cell>
          <cell r="C910" t="str">
            <v>HYUNDAI NU2 SAB RH FOLD</v>
          </cell>
        </row>
        <row r="911">
          <cell r="B911" t="str">
            <v>214S026R</v>
          </cell>
          <cell r="C911" t="str">
            <v>HYUNDAI NU2 SAB RH MNL</v>
          </cell>
        </row>
        <row r="912">
          <cell r="B912" t="str">
            <v>259S103L</v>
          </cell>
          <cell r="C912" t="str">
            <v>IM S31L RSAB LH</v>
          </cell>
        </row>
        <row r="913">
          <cell r="B913" t="str">
            <v>259S103R</v>
          </cell>
          <cell r="C913" t="str">
            <v>IM S31L RSAB RH</v>
          </cell>
        </row>
        <row r="914">
          <cell r="B914" t="str">
            <v>175W25Q2</v>
          </cell>
          <cell r="C914" t="str">
            <v>IM31 OPW 后导气袋</v>
          </cell>
        </row>
        <row r="915">
          <cell r="B915" t="str">
            <v>175W25T</v>
          </cell>
          <cell r="C915" t="str">
            <v>IM31 OPW 拉带</v>
          </cell>
        </row>
        <row r="916">
          <cell r="B916" t="str">
            <v>175W25Q1</v>
          </cell>
          <cell r="C916" t="str">
            <v>IM31 OPW 前导气袋</v>
          </cell>
        </row>
        <row r="917">
          <cell r="B917" t="str">
            <v>205C09L</v>
          </cell>
          <cell r="C917" t="str">
            <v>INEOS CAB LH</v>
          </cell>
        </row>
        <row r="918">
          <cell r="B918" t="str">
            <v>202W12L</v>
          </cell>
          <cell r="C918" t="str">
            <v>INEOS CAB OPW LH</v>
          </cell>
        </row>
        <row r="919">
          <cell r="B919" t="str">
            <v>202W12R</v>
          </cell>
          <cell r="C919" t="str">
            <v>INEOS CAB OPW RH</v>
          </cell>
        </row>
        <row r="920">
          <cell r="B920" t="str">
            <v>205C09R</v>
          </cell>
          <cell r="C920" t="str">
            <v>INEOS CAB RH</v>
          </cell>
        </row>
        <row r="921">
          <cell r="B921" t="str">
            <v>205C09Q</v>
          </cell>
          <cell r="C921" t="str">
            <v>INEOS CAB导气袋</v>
          </cell>
        </row>
        <row r="922">
          <cell r="B922" t="str">
            <v>206S41L</v>
          </cell>
          <cell r="C922" t="str">
            <v>INEOS Grenadier ECE SAB LH</v>
          </cell>
        </row>
        <row r="923">
          <cell r="B923" t="str">
            <v>206S41R</v>
          </cell>
          <cell r="C923" t="str">
            <v>INEOS Grenadier ECE SAB RH</v>
          </cell>
        </row>
        <row r="924">
          <cell r="B924" t="str">
            <v>218S060AL</v>
          </cell>
          <cell r="C924" t="str">
            <v>INEOS Grenadier US SAB LH A状态</v>
          </cell>
        </row>
        <row r="925">
          <cell r="B925" t="str">
            <v>218S060AR</v>
          </cell>
          <cell r="C925" t="str">
            <v>INEOS Grenadier US SAB RH A状态</v>
          </cell>
        </row>
        <row r="926">
          <cell r="B926" t="str">
            <v>202W12Q</v>
          </cell>
          <cell r="C926" t="str">
            <v>INEOS OPW 导气袋</v>
          </cell>
        </row>
        <row r="927">
          <cell r="B927" t="str">
            <v>202W12T</v>
          </cell>
          <cell r="C927" t="str">
            <v>INEOS OPW 拉带</v>
          </cell>
        </row>
        <row r="928">
          <cell r="B928" t="str">
            <v>19CP112A</v>
          </cell>
          <cell r="C928" t="str">
            <v>INEOS PAB A状态</v>
          </cell>
        </row>
        <row r="929">
          <cell r="B929" t="str">
            <v>22AD044</v>
          </cell>
          <cell r="C929" t="str">
            <v>INEOS US DAB</v>
          </cell>
        </row>
        <row r="930">
          <cell r="B930" t="str">
            <v>237D037</v>
          </cell>
          <cell r="C930" t="str">
            <v>INEOS US-2 DAB</v>
          </cell>
        </row>
        <row r="931">
          <cell r="B931" t="str">
            <v>257C011Q</v>
          </cell>
          <cell r="C931" t="str">
            <v>IP5PM CAB导气袋</v>
          </cell>
        </row>
        <row r="932">
          <cell r="B932" t="str">
            <v>257C011T</v>
          </cell>
          <cell r="C932" t="str">
            <v>IP5PM CAB拉带</v>
          </cell>
        </row>
        <row r="933">
          <cell r="B933" t="str">
            <v>188W47</v>
          </cell>
          <cell r="C933" t="str">
            <v>IS31 CAB OPW</v>
          </cell>
        </row>
        <row r="934">
          <cell r="B934" t="str">
            <v>188W47Q</v>
          </cell>
          <cell r="C934" t="str">
            <v>IS31 CAB OPW 导气袋</v>
          </cell>
        </row>
        <row r="935">
          <cell r="B935" t="str">
            <v>188W47T</v>
          </cell>
          <cell r="C935" t="str">
            <v>IS31 CAB OPW 拉带</v>
          </cell>
        </row>
        <row r="936">
          <cell r="B936" t="str">
            <v>24BW222AL</v>
          </cell>
          <cell r="C936" t="str">
            <v>IS31 X2 CAB OPW LH A状态</v>
          </cell>
        </row>
        <row r="937">
          <cell r="B937" t="str">
            <v>24BW222AR</v>
          </cell>
          <cell r="C937" t="str">
            <v>IS31 X2 CAB OPW RH A状态</v>
          </cell>
        </row>
        <row r="938">
          <cell r="B938" t="str">
            <v>25AS116L</v>
          </cell>
          <cell r="C938" t="str">
            <v>IS4PR FSAB LH</v>
          </cell>
        </row>
        <row r="939">
          <cell r="B939" t="str">
            <v>25AS116R</v>
          </cell>
          <cell r="C939" t="str">
            <v>IS4PR FSAB RH</v>
          </cell>
        </row>
        <row r="940">
          <cell r="B940" t="str">
            <v>13AS60LH</v>
          </cell>
          <cell r="C940" t="str">
            <v>J36R SAB-LH</v>
          </cell>
        </row>
        <row r="941">
          <cell r="B941" t="str">
            <v>13AS60RH</v>
          </cell>
          <cell r="C941" t="str">
            <v>J36R SAB-RH</v>
          </cell>
        </row>
        <row r="942">
          <cell r="B942" t="str">
            <v>12BS29L</v>
          </cell>
          <cell r="C942" t="str">
            <v>JAC 5AT SAB-LH</v>
          </cell>
        </row>
        <row r="943">
          <cell r="B943" t="str">
            <v>12BS29R</v>
          </cell>
          <cell r="C943" t="str">
            <v>JAC 5AT SAB-RH</v>
          </cell>
        </row>
        <row r="944">
          <cell r="B944" t="str">
            <v>131P05</v>
          </cell>
          <cell r="C944" t="str">
            <v>JAC B2 PAB</v>
          </cell>
        </row>
        <row r="945">
          <cell r="B945" t="str">
            <v>136D39</v>
          </cell>
          <cell r="C945" t="str">
            <v>JAC BCROSS DAB</v>
          </cell>
        </row>
        <row r="946">
          <cell r="B946" t="str">
            <v>138S43AL</v>
          </cell>
          <cell r="C946" t="str">
            <v>JAC BII SAB LH（埃）</v>
          </cell>
        </row>
        <row r="947">
          <cell r="B947" t="str">
            <v>138S43AR</v>
          </cell>
          <cell r="C947" t="str">
            <v>JAC BII SAB RH（埃）</v>
          </cell>
        </row>
        <row r="948">
          <cell r="B948" t="str">
            <v>12BP36A</v>
          </cell>
          <cell r="C948" t="str">
            <v>JAC REFINE II 5AT PAB A状态</v>
          </cell>
        </row>
        <row r="949">
          <cell r="B949" t="str">
            <v>165S17AL</v>
          </cell>
          <cell r="C949" t="str">
            <v>JAC S7 SAB LH（埃）</v>
          </cell>
        </row>
        <row r="950">
          <cell r="B950" t="str">
            <v>165S17AR</v>
          </cell>
          <cell r="C950" t="str">
            <v>JAC S7 SAB RH（埃）</v>
          </cell>
        </row>
        <row r="951">
          <cell r="B951" t="str">
            <v>177P43</v>
          </cell>
          <cell r="C951" t="str">
            <v>JBSC PAB</v>
          </cell>
        </row>
        <row r="952">
          <cell r="B952" t="str">
            <v>25AM001</v>
          </cell>
          <cell r="C952" t="str">
            <v>JH-02 CAB</v>
          </cell>
        </row>
        <row r="953">
          <cell r="B953" t="str">
            <v>25BS128L</v>
          </cell>
          <cell r="C953" t="str">
            <v>JH-C RSAB LH</v>
          </cell>
        </row>
        <row r="954">
          <cell r="B954" t="str">
            <v>25BS128R</v>
          </cell>
          <cell r="C954" t="str">
            <v>JH-C RSAB RH</v>
          </cell>
        </row>
        <row r="955">
          <cell r="B955" t="str">
            <v>253D008A</v>
          </cell>
          <cell r="C955" t="str">
            <v>JMC JP360ICA DAB A状态</v>
          </cell>
        </row>
        <row r="956">
          <cell r="B956" t="str">
            <v>24CD081A</v>
          </cell>
          <cell r="C956" t="str">
            <v>JMC JP560 DAB A状态</v>
          </cell>
        </row>
        <row r="957">
          <cell r="B957" t="str">
            <v>254D018</v>
          </cell>
          <cell r="C957" t="str">
            <v>JMC V837 DAB</v>
          </cell>
        </row>
        <row r="958">
          <cell r="B958" t="str">
            <v>218W131X</v>
          </cell>
          <cell r="C958" t="str">
            <v>K0 CAB OPW 主片</v>
          </cell>
        </row>
        <row r="959">
          <cell r="B959" t="str">
            <v>244W041L</v>
          </cell>
          <cell r="C959" t="str">
            <v>K0 NA CAB OPW LH</v>
          </cell>
        </row>
        <row r="960">
          <cell r="B960" t="str">
            <v>244W041R</v>
          </cell>
          <cell r="C960" t="str">
            <v>K0 NA CAB OPW RH</v>
          </cell>
        </row>
        <row r="961">
          <cell r="B961" t="str">
            <v>244W041Q</v>
          </cell>
          <cell r="C961" t="str">
            <v>K0 NA CAB OPW 导气袋</v>
          </cell>
        </row>
        <row r="962">
          <cell r="B962" t="str">
            <v>244W041T</v>
          </cell>
          <cell r="C962" t="str">
            <v>K0 NA CAB OPW 拉带</v>
          </cell>
        </row>
        <row r="963">
          <cell r="B963" t="str">
            <v>163C08L</v>
          </cell>
          <cell r="C963" t="str">
            <v>K256 CAB LH</v>
          </cell>
        </row>
        <row r="964">
          <cell r="B964" t="str">
            <v>163C08R</v>
          </cell>
          <cell r="C964" t="str">
            <v>K256 CAB RH</v>
          </cell>
        </row>
        <row r="965">
          <cell r="B965" t="str">
            <v>163C08X</v>
          </cell>
          <cell r="C965" t="str">
            <v>K256 CAB导气袋</v>
          </cell>
        </row>
        <row r="966">
          <cell r="B966" t="str">
            <v>163C08T</v>
          </cell>
          <cell r="C966" t="str">
            <v>K256 CAB拉带</v>
          </cell>
        </row>
        <row r="967">
          <cell r="B967" t="str">
            <v>12BS37BL</v>
          </cell>
          <cell r="C967" t="str">
            <v>K6 SAB LH （国产缝纫线）</v>
          </cell>
        </row>
        <row r="968">
          <cell r="B968" t="str">
            <v>12BS37CL</v>
          </cell>
          <cell r="C968" t="str">
            <v>K6 SAB LH C状态</v>
          </cell>
        </row>
        <row r="969">
          <cell r="B969" t="str">
            <v>12BS37BR</v>
          </cell>
          <cell r="C969" t="str">
            <v>K6 SAB RH （国产缝纫线）</v>
          </cell>
        </row>
        <row r="970">
          <cell r="B970" t="str">
            <v>12BS37CR</v>
          </cell>
          <cell r="C970" t="str">
            <v>K6 SAB RH C状态</v>
          </cell>
        </row>
        <row r="971">
          <cell r="B971" t="str">
            <v>178S40L</v>
          </cell>
          <cell r="C971" t="str">
            <v>KAROQ SAB LH</v>
          </cell>
        </row>
        <row r="972">
          <cell r="B972" t="str">
            <v>178S40R</v>
          </cell>
          <cell r="C972" t="str">
            <v>KAROQ SAB RH</v>
          </cell>
        </row>
        <row r="973">
          <cell r="B973" t="str">
            <v>133S21L</v>
          </cell>
          <cell r="C973" t="str">
            <v>KC-1 SAB LH （国产缝纫线）</v>
          </cell>
        </row>
        <row r="974">
          <cell r="B974" t="str">
            <v>133S21R</v>
          </cell>
          <cell r="C974" t="str">
            <v>KC-1 SAB RH （国产缝纫线）</v>
          </cell>
        </row>
        <row r="975">
          <cell r="B975" t="str">
            <v>17AD54A</v>
          </cell>
          <cell r="C975" t="str">
            <v>KC-2 DAB A状态 （国产缝纫线）</v>
          </cell>
        </row>
        <row r="976">
          <cell r="B976" t="str">
            <v>25BP129</v>
          </cell>
          <cell r="C976" t="str">
            <v>KO11 PAB</v>
          </cell>
        </row>
        <row r="977">
          <cell r="B977" t="str">
            <v>171S05AL</v>
          </cell>
          <cell r="C977" t="str">
            <v>kodiaq Coupe SAB LH A状态</v>
          </cell>
        </row>
        <row r="978">
          <cell r="B978" t="str">
            <v>171S05AR</v>
          </cell>
          <cell r="C978" t="str">
            <v>kodiaq Coupe SAB RH A状态</v>
          </cell>
        </row>
        <row r="979">
          <cell r="B979" t="str">
            <v>207W66T</v>
          </cell>
          <cell r="C979" t="str">
            <v>KX11 OPW 系列拉带</v>
          </cell>
        </row>
        <row r="980">
          <cell r="B980" t="str">
            <v>207W66Q</v>
          </cell>
          <cell r="C980" t="str">
            <v>KX11 OPW系列导气袋</v>
          </cell>
        </row>
        <row r="981">
          <cell r="B981" t="str">
            <v>207W66AQ</v>
          </cell>
          <cell r="C981" t="str">
            <v>KX11 系列导气袋A状态</v>
          </cell>
        </row>
        <row r="982">
          <cell r="B982" t="str">
            <v>207W66AT</v>
          </cell>
          <cell r="C982" t="str">
            <v>KX11 系列拉带A状态</v>
          </cell>
        </row>
        <row r="983">
          <cell r="B983" t="str">
            <v>263S038AL</v>
          </cell>
          <cell r="C983" t="str">
            <v>L W04B RSAB LH A状态</v>
          </cell>
        </row>
        <row r="984">
          <cell r="B984" t="str">
            <v>263S038AR</v>
          </cell>
          <cell r="C984" t="str">
            <v>L W04B RSAB RH A状态</v>
          </cell>
        </row>
        <row r="985">
          <cell r="B985" t="str">
            <v>193C06CL</v>
          </cell>
          <cell r="C985" t="str">
            <v>L42P 19 IC LH C 状态</v>
          </cell>
        </row>
        <row r="986">
          <cell r="B986" t="str">
            <v>193C06CR</v>
          </cell>
          <cell r="C986" t="str">
            <v>L42P 19 IC RH C 状态</v>
          </cell>
        </row>
        <row r="987">
          <cell r="B987" t="str">
            <v>245F015A</v>
          </cell>
          <cell r="C987" t="str">
            <v>L946 FCA A状态</v>
          </cell>
        </row>
        <row r="988">
          <cell r="B988" t="str">
            <v>264W113L</v>
          </cell>
          <cell r="C988" t="str">
            <v>L97 5S CAB OPW LH</v>
          </cell>
        </row>
        <row r="989">
          <cell r="B989" t="str">
            <v>264W113R</v>
          </cell>
          <cell r="C989" t="str">
            <v>L97 5S CAB OPW RH</v>
          </cell>
        </row>
        <row r="990">
          <cell r="B990" t="str">
            <v>264W125L</v>
          </cell>
          <cell r="C990" t="str">
            <v>L97 6S CAB OPW LH</v>
          </cell>
        </row>
        <row r="991">
          <cell r="B991" t="str">
            <v>264W125R</v>
          </cell>
          <cell r="C991" t="str">
            <v>L97 6S CAB OPW RH</v>
          </cell>
        </row>
        <row r="992">
          <cell r="B992" t="str">
            <v>239W104Q</v>
          </cell>
          <cell r="C992" t="str">
            <v>Lamando L PA OPW 导气袋（国产线）</v>
          </cell>
        </row>
        <row r="993">
          <cell r="B993" t="str">
            <v>239W104T</v>
          </cell>
          <cell r="C993" t="str">
            <v>Lamando L PA OPW 拉带(国产线)</v>
          </cell>
        </row>
        <row r="994">
          <cell r="B994" t="str">
            <v>213W034BL</v>
          </cell>
          <cell r="C994" t="str">
            <v>LAVIDA CIASI OPW LH B状态</v>
          </cell>
        </row>
        <row r="995">
          <cell r="B995" t="str">
            <v>213W034BR</v>
          </cell>
          <cell r="C995" t="str">
            <v>LAVIDA CIASI OPW RH B状态</v>
          </cell>
        </row>
        <row r="996">
          <cell r="B996" t="str">
            <v>213W034BQ</v>
          </cell>
          <cell r="C996" t="str">
            <v>LAVIDA CIASI OPW 导气袋B状态</v>
          </cell>
        </row>
        <row r="997">
          <cell r="B997" t="str">
            <v>213W034BT</v>
          </cell>
          <cell r="C997" t="str">
            <v>LAVIDA CIASI OPW 拉带B状态</v>
          </cell>
        </row>
        <row r="998">
          <cell r="B998" t="str">
            <v>23CW129XA</v>
          </cell>
          <cell r="C998" t="str">
            <v>Lavida NF NF CAB OPW 主片 A状态</v>
          </cell>
        </row>
        <row r="999">
          <cell r="B999" t="str">
            <v>137S31L</v>
          </cell>
          <cell r="C999" t="str">
            <v>LC SABL</v>
          </cell>
        </row>
        <row r="1000">
          <cell r="B1000" t="str">
            <v>137S31R</v>
          </cell>
          <cell r="C1000" t="str">
            <v>LC SABR</v>
          </cell>
        </row>
        <row r="1001">
          <cell r="B1001" t="str">
            <v>20AS62CL</v>
          </cell>
          <cell r="C1001" t="str">
            <v>LI X01 SAB LH C状态</v>
          </cell>
        </row>
        <row r="1002">
          <cell r="B1002" t="str">
            <v>20AS62CR</v>
          </cell>
          <cell r="C1002" t="str">
            <v>LI X01 SAB RH C状态</v>
          </cell>
        </row>
        <row r="1003">
          <cell r="B1003" t="str">
            <v>223S015L</v>
          </cell>
          <cell r="C1003" t="str">
            <v>LIXIANG W01 SAB LH</v>
          </cell>
        </row>
        <row r="1004">
          <cell r="B1004" t="str">
            <v>223S015R</v>
          </cell>
          <cell r="C1004" t="str">
            <v>LIXIANG W01 SAB RH</v>
          </cell>
        </row>
        <row r="1005">
          <cell r="B1005" t="str">
            <v>236S066L</v>
          </cell>
          <cell r="C1005" t="str">
            <v>LIXIANG W02 SAB LH</v>
          </cell>
        </row>
        <row r="1006">
          <cell r="B1006" t="str">
            <v>236S066R</v>
          </cell>
          <cell r="C1006" t="str">
            <v>LIXIANG W02 SAB RH</v>
          </cell>
        </row>
        <row r="1007">
          <cell r="B1007" t="str">
            <v>244S040L</v>
          </cell>
          <cell r="C1007" t="str">
            <v>LIXIANG W04 RSAB LH</v>
          </cell>
        </row>
        <row r="1008">
          <cell r="B1008" t="str">
            <v>244S040R</v>
          </cell>
          <cell r="C1008" t="str">
            <v>LIXIANG W04 RSAB RH</v>
          </cell>
        </row>
        <row r="1009">
          <cell r="B1009" t="str">
            <v>22BP078</v>
          </cell>
          <cell r="C1009" t="str">
            <v>LK PAB-35</v>
          </cell>
        </row>
        <row r="1010">
          <cell r="B1010" t="str">
            <v>24CP168</v>
          </cell>
          <cell r="C1010" t="str">
            <v>LK-D4 PAB</v>
          </cell>
        </row>
        <row r="1011">
          <cell r="B1011" t="str">
            <v>195P30E</v>
          </cell>
          <cell r="C1011" t="str">
            <v>LKPAB-40 E状态</v>
          </cell>
        </row>
        <row r="1012">
          <cell r="B1012" t="str">
            <v>195P30E</v>
          </cell>
          <cell r="C1012" t="str">
            <v>LKPAB-40 E状态(出口)</v>
          </cell>
        </row>
        <row r="1013">
          <cell r="B1013" t="str">
            <v>206D31</v>
          </cell>
          <cell r="C1013" t="str">
            <v>LOTUS GAMMA 2 DAB</v>
          </cell>
        </row>
        <row r="1014">
          <cell r="B1014" t="str">
            <v>219F016AL</v>
          </cell>
          <cell r="C1014" t="str">
            <v>Lotus Lambda FCA DLH A状态</v>
          </cell>
        </row>
        <row r="1015">
          <cell r="B1015" t="str">
            <v>219F016BL</v>
          </cell>
          <cell r="C1015" t="str">
            <v>Lotus Lambda FCA DLH B状态</v>
          </cell>
        </row>
        <row r="1016">
          <cell r="B1016" t="str">
            <v>219F016AR</v>
          </cell>
          <cell r="C1016" t="str">
            <v>Lotus Lambda FCA DRH A状态</v>
          </cell>
        </row>
        <row r="1017">
          <cell r="B1017" t="str">
            <v>219F016BR</v>
          </cell>
          <cell r="C1017" t="str">
            <v>Lotus Lambda FCA DRH B状态</v>
          </cell>
        </row>
        <row r="1018">
          <cell r="B1018" t="str">
            <v>213S015L</v>
          </cell>
          <cell r="C1018" t="str">
            <v>LOTUS LAMBDA SAB LH</v>
          </cell>
        </row>
        <row r="1019">
          <cell r="B1019" t="str">
            <v>213S015R</v>
          </cell>
          <cell r="C1019" t="str">
            <v>LOTUS LAMBDA SAB RH</v>
          </cell>
        </row>
        <row r="1020">
          <cell r="B1020" t="str">
            <v>181P07B</v>
          </cell>
          <cell r="C1020" t="str">
            <v>LYNK&amp;CO BX11 PAB B状态</v>
          </cell>
        </row>
        <row r="1021">
          <cell r="B1021" t="str">
            <v>194D13</v>
          </cell>
          <cell r="C1021" t="str">
            <v>LYNK&amp;CO DC1E DAB</v>
          </cell>
        </row>
        <row r="1022">
          <cell r="B1022" t="str">
            <v>218D035</v>
          </cell>
          <cell r="C1022" t="str">
            <v>LYNK&amp;CO EF1E DAB</v>
          </cell>
        </row>
        <row r="1023">
          <cell r="B1023" t="str">
            <v>228S066L</v>
          </cell>
          <cell r="C1023" t="str">
            <v>Lyra SAB LH</v>
          </cell>
        </row>
        <row r="1024">
          <cell r="B1024" t="str">
            <v>228S066R</v>
          </cell>
          <cell r="C1024" t="str">
            <v>Lyra SAB RH</v>
          </cell>
        </row>
        <row r="1025">
          <cell r="B1025" t="str">
            <v>166W28AP</v>
          </cell>
          <cell r="C1025" t="str">
            <v>M11 OPW CAB 保护套 A状态</v>
          </cell>
        </row>
        <row r="1026">
          <cell r="B1026" t="str">
            <v>222P010C</v>
          </cell>
          <cell r="C1026" t="str">
            <v>M3 PAB C状态</v>
          </cell>
        </row>
        <row r="1027">
          <cell r="B1027" t="str">
            <v>222P010CQ</v>
          </cell>
          <cell r="C1027" t="str">
            <v>M3 PAB 导流袋 C状态</v>
          </cell>
        </row>
        <row r="1028">
          <cell r="B1028" t="str">
            <v>225S043BL</v>
          </cell>
          <cell r="C1028" t="str">
            <v>M3 SAB LH B状态</v>
          </cell>
        </row>
        <row r="1029">
          <cell r="B1029" t="str">
            <v>225S043CL</v>
          </cell>
          <cell r="C1029" t="str">
            <v>M3 SAB LH C状态</v>
          </cell>
        </row>
        <row r="1030">
          <cell r="B1030" t="str">
            <v>225S043BR</v>
          </cell>
          <cell r="C1030" t="str">
            <v>M3 SAB RH B状态</v>
          </cell>
        </row>
        <row r="1031">
          <cell r="B1031" t="str">
            <v>225S043CR</v>
          </cell>
          <cell r="C1031" t="str">
            <v>M3 SAB RH C状态</v>
          </cell>
        </row>
        <row r="1032">
          <cell r="B1032" t="str">
            <v>173P24</v>
          </cell>
          <cell r="C1032" t="str">
            <v>M31T PAB</v>
          </cell>
        </row>
        <row r="1033">
          <cell r="B1033" t="str">
            <v>166S24BL</v>
          </cell>
          <cell r="C1033" t="str">
            <v>M31T SAB LH(INVISTA面料)</v>
          </cell>
        </row>
        <row r="1034">
          <cell r="B1034" t="str">
            <v>166S24BR</v>
          </cell>
          <cell r="C1034" t="str">
            <v>M31T SAB RH(INVISTA面料)</v>
          </cell>
        </row>
        <row r="1035">
          <cell r="B1035" t="str">
            <v>185W31BL</v>
          </cell>
          <cell r="C1035" t="str">
            <v>M32T CAB OPW LH B状态</v>
          </cell>
        </row>
        <row r="1036">
          <cell r="B1036" t="str">
            <v>185W31BR</v>
          </cell>
          <cell r="C1036" t="str">
            <v>M32T CAB OPW RH B状态</v>
          </cell>
        </row>
        <row r="1037">
          <cell r="B1037" t="str">
            <v>185W31BQ</v>
          </cell>
          <cell r="C1037" t="str">
            <v>M32T CAB OPW 导气袋 B状态</v>
          </cell>
        </row>
        <row r="1038">
          <cell r="B1038" t="str">
            <v>185W31BT</v>
          </cell>
          <cell r="C1038" t="str">
            <v>M32T CAB OPW 拉带 B状态</v>
          </cell>
        </row>
        <row r="1039">
          <cell r="B1039" t="str">
            <v>186W39AL</v>
          </cell>
          <cell r="C1039" t="str">
            <v>M36T CAB OPW LH A状态</v>
          </cell>
        </row>
        <row r="1040">
          <cell r="B1040" t="str">
            <v>186W39AR</v>
          </cell>
          <cell r="C1040" t="str">
            <v>M36T CAB OPW RH A状态</v>
          </cell>
        </row>
        <row r="1041">
          <cell r="B1041" t="str">
            <v>186W39AQ</v>
          </cell>
          <cell r="C1041" t="str">
            <v>M36T CAB OPW导气袋 A状态</v>
          </cell>
        </row>
        <row r="1042">
          <cell r="B1042" t="str">
            <v>186W39AT</v>
          </cell>
          <cell r="C1042" t="str">
            <v>M36T CAB OPW拉带 A状态</v>
          </cell>
        </row>
        <row r="1043">
          <cell r="B1043" t="str">
            <v>20CW064DL</v>
          </cell>
          <cell r="C1043" t="str">
            <v>M81 IC OPW LH D状态</v>
          </cell>
        </row>
        <row r="1044">
          <cell r="B1044" t="str">
            <v>20CW064DR</v>
          </cell>
          <cell r="C1044" t="str">
            <v>M81 IC OPW RH D状态</v>
          </cell>
        </row>
        <row r="1045">
          <cell r="B1045" t="str">
            <v>20CW064CQ02</v>
          </cell>
          <cell r="C1045" t="str">
            <v>M81 IC OPW 后导气袋 C状态</v>
          </cell>
        </row>
        <row r="1046">
          <cell r="B1046" t="str">
            <v>20CW064CT</v>
          </cell>
          <cell r="C1046" t="str">
            <v>M81 IC OPW 拉带 C状态</v>
          </cell>
        </row>
        <row r="1047">
          <cell r="B1047" t="str">
            <v>20CW064CQ01</v>
          </cell>
          <cell r="C1047" t="str">
            <v>M81 IC OPW 前导气袋 C状态</v>
          </cell>
        </row>
        <row r="1048">
          <cell r="B1048" t="str">
            <v>266D058</v>
          </cell>
          <cell r="C1048" t="str">
            <v>M82-1 DAB</v>
          </cell>
        </row>
        <row r="1049">
          <cell r="B1049" t="str">
            <v>205W39BL</v>
          </cell>
          <cell r="C1049" t="str">
            <v>M83 IC OPW LH B状态</v>
          </cell>
        </row>
        <row r="1050">
          <cell r="B1050" t="str">
            <v>205W39BR</v>
          </cell>
          <cell r="C1050" t="str">
            <v>M83 IC OPW RH B状态</v>
          </cell>
        </row>
        <row r="1051">
          <cell r="B1051" t="str">
            <v>205W39AQ02</v>
          </cell>
          <cell r="C1051" t="str">
            <v>M83 IC OPW 后导气袋 A状态</v>
          </cell>
        </row>
        <row r="1052">
          <cell r="B1052" t="str">
            <v>205W39AT</v>
          </cell>
          <cell r="C1052" t="str">
            <v>M83 IC OPW 拉带 A状态</v>
          </cell>
        </row>
        <row r="1053">
          <cell r="B1053" t="str">
            <v>205W39AQ01</v>
          </cell>
          <cell r="C1053" t="str">
            <v>M83 IC OPW 前导气袋 A状态</v>
          </cell>
        </row>
        <row r="1054">
          <cell r="B1054" t="str">
            <v>183W16PL</v>
          </cell>
          <cell r="C1054" t="str">
            <v>MAS861 CAB OPW 保护套LH</v>
          </cell>
        </row>
        <row r="1055">
          <cell r="B1055" t="str">
            <v>183W16PR</v>
          </cell>
          <cell r="C1055" t="str">
            <v>MAS861 CAB OPW 保护套RH</v>
          </cell>
        </row>
        <row r="1056">
          <cell r="B1056" t="str">
            <v>183W16Q</v>
          </cell>
          <cell r="C1056" t="str">
            <v>MAS861 OPW 导气袋</v>
          </cell>
        </row>
        <row r="1057">
          <cell r="B1057" t="str">
            <v>183W16T</v>
          </cell>
          <cell r="C1057" t="str">
            <v>MAS861 OPW 拉带</v>
          </cell>
        </row>
        <row r="1058">
          <cell r="B1058" t="str">
            <v>18CS45L</v>
          </cell>
          <cell r="C1058" t="str">
            <v>MAZDA J59R SAB LH</v>
          </cell>
        </row>
        <row r="1059">
          <cell r="B1059" t="str">
            <v>18CS45R</v>
          </cell>
          <cell r="C1059" t="str">
            <v>MAZDA J59R SAB RH</v>
          </cell>
        </row>
        <row r="1060">
          <cell r="B1060" t="str">
            <v>234W047L</v>
          </cell>
          <cell r="C1060" t="str">
            <v>MEH-A CAB OPW LH</v>
          </cell>
        </row>
        <row r="1061">
          <cell r="B1061" t="str">
            <v>234W047R</v>
          </cell>
          <cell r="C1061" t="str">
            <v>MEH-A CAB OPW RH</v>
          </cell>
        </row>
        <row r="1062">
          <cell r="B1062" t="str">
            <v>234W047Q</v>
          </cell>
          <cell r="C1062" t="str">
            <v>MEH-A CAB OPW 导气袋</v>
          </cell>
        </row>
        <row r="1063">
          <cell r="B1063" t="str">
            <v>234W047T</v>
          </cell>
          <cell r="C1063" t="str">
            <v>MEH-A CAB OPW 拉带</v>
          </cell>
        </row>
        <row r="1064">
          <cell r="B1064" t="str">
            <v>255W083L</v>
          </cell>
          <cell r="C1064" t="str">
            <v>MEHYB CAB OPW LH</v>
          </cell>
        </row>
        <row r="1065">
          <cell r="B1065" t="str">
            <v>255W083R</v>
          </cell>
          <cell r="C1065" t="str">
            <v>MEHYB CAB OPW RH</v>
          </cell>
        </row>
        <row r="1066">
          <cell r="B1066" t="str">
            <v>255W083Q</v>
          </cell>
          <cell r="C1066" t="str">
            <v>MEHYB CAB OPW 导气袋</v>
          </cell>
        </row>
        <row r="1067">
          <cell r="B1067" t="str">
            <v>255W083T</v>
          </cell>
          <cell r="C1067" t="str">
            <v>MEHYB CAB OPW 拉带</v>
          </cell>
        </row>
        <row r="1068">
          <cell r="B1068" t="str">
            <v>222W022X</v>
          </cell>
          <cell r="C1068" t="str">
            <v>MIFA CEAB OPW 海外版</v>
          </cell>
        </row>
        <row r="1069">
          <cell r="B1069" t="str">
            <v>24BS191L</v>
          </cell>
          <cell r="C1069" t="str">
            <v>Model M RSAB LH</v>
          </cell>
        </row>
        <row r="1070">
          <cell r="B1070" t="str">
            <v>24BS191R</v>
          </cell>
          <cell r="C1070" t="str">
            <v>Model M RSAB RH</v>
          </cell>
        </row>
        <row r="1071">
          <cell r="B1071" t="str">
            <v>193C09X</v>
          </cell>
          <cell r="C1071" t="str">
            <v>MPC-1 CAB 右长 保护套</v>
          </cell>
        </row>
        <row r="1072">
          <cell r="B1072" t="str">
            <v>193C09Q</v>
          </cell>
          <cell r="C1072" t="str">
            <v>MPC-1 CAB 右长 导气袋</v>
          </cell>
        </row>
        <row r="1073">
          <cell r="B1073" t="str">
            <v>193C09T</v>
          </cell>
          <cell r="C1073" t="str">
            <v>MPC-1 CAB 右长 拉带</v>
          </cell>
        </row>
        <row r="1074">
          <cell r="B1074" t="str">
            <v>193C08X</v>
          </cell>
          <cell r="C1074" t="str">
            <v>MPC-1 CAB 左长 保护套</v>
          </cell>
        </row>
        <row r="1075">
          <cell r="B1075" t="str">
            <v>193C08Q</v>
          </cell>
          <cell r="C1075" t="str">
            <v>MPC-1 CAB 左长 导气袋</v>
          </cell>
        </row>
        <row r="1076">
          <cell r="B1076" t="str">
            <v>193C08T</v>
          </cell>
          <cell r="C1076" t="str">
            <v>MPC-1 CAB 左长 拉带</v>
          </cell>
        </row>
        <row r="1077">
          <cell r="B1077" t="str">
            <v>193C07X</v>
          </cell>
          <cell r="C1077" t="str">
            <v>MPC-1 CAB 左短 保护套</v>
          </cell>
        </row>
        <row r="1078">
          <cell r="B1078" t="str">
            <v>193C07Q</v>
          </cell>
          <cell r="C1078" t="str">
            <v>MPC-1 CAB 左短 导气袋</v>
          </cell>
        </row>
        <row r="1079">
          <cell r="B1079" t="str">
            <v>193C07T</v>
          </cell>
          <cell r="C1079" t="str">
            <v>MPC-1 CAB 左短 拉带</v>
          </cell>
        </row>
        <row r="1080">
          <cell r="B1080" t="str">
            <v>124K01</v>
          </cell>
          <cell r="C1080" t="str">
            <v>MQB A7 KAB</v>
          </cell>
        </row>
        <row r="1081">
          <cell r="B1081" t="str">
            <v>11BP09</v>
          </cell>
          <cell r="C1081" t="str">
            <v>MQB PAB</v>
          </cell>
        </row>
        <row r="1082">
          <cell r="B1082" t="str">
            <v>216W093AL</v>
          </cell>
          <cell r="C1082" t="str">
            <v>MR CAB OPW LH A状态</v>
          </cell>
        </row>
        <row r="1083">
          <cell r="B1083" t="str">
            <v>216W093AR</v>
          </cell>
          <cell r="C1083" t="str">
            <v>MR CAB OPW RH A状态</v>
          </cell>
        </row>
        <row r="1084">
          <cell r="B1084" t="str">
            <v>216W093Q</v>
          </cell>
          <cell r="C1084" t="str">
            <v>MR CAB OPW 导气袋</v>
          </cell>
        </row>
        <row r="1085">
          <cell r="B1085" t="str">
            <v>216W093T</v>
          </cell>
          <cell r="C1085" t="str">
            <v>MR CAB OPW 拉带</v>
          </cell>
        </row>
        <row r="1086">
          <cell r="B1086" t="str">
            <v>222S013BL</v>
          </cell>
          <cell r="C1086" t="str">
            <v>MR SAB LH B状态</v>
          </cell>
        </row>
        <row r="1087">
          <cell r="B1087" t="str">
            <v>222S013BR</v>
          </cell>
          <cell r="C1087" t="str">
            <v>MR SAB RH B状态</v>
          </cell>
        </row>
        <row r="1088">
          <cell r="B1088" t="str">
            <v>24BW211L</v>
          </cell>
          <cell r="C1088" t="str">
            <v>MR2HA CAB OPW LH</v>
          </cell>
        </row>
        <row r="1089">
          <cell r="B1089" t="str">
            <v>24BW211R</v>
          </cell>
          <cell r="C1089" t="str">
            <v>MR2HA CAB OPW RH</v>
          </cell>
        </row>
        <row r="1090">
          <cell r="B1090" t="str">
            <v>24BW211Q</v>
          </cell>
          <cell r="C1090" t="str">
            <v>MR2HA CAB OPW 导气袋</v>
          </cell>
        </row>
        <row r="1091">
          <cell r="B1091" t="str">
            <v>24BW211T</v>
          </cell>
          <cell r="C1091" t="str">
            <v>MR2HA CAB OPW 拉带</v>
          </cell>
        </row>
        <row r="1092">
          <cell r="B1092" t="str">
            <v>235S052L</v>
          </cell>
          <cell r="C1092" t="str">
            <v>MRHD SAB D1 LH</v>
          </cell>
        </row>
        <row r="1093">
          <cell r="B1093" t="str">
            <v>235S052R</v>
          </cell>
          <cell r="C1093" t="str">
            <v>MRHD SAB D1 RH</v>
          </cell>
        </row>
        <row r="1094">
          <cell r="B1094" t="str">
            <v>234W045L</v>
          </cell>
          <cell r="C1094" t="str">
            <v>MRHD-A CAB OPW LH</v>
          </cell>
        </row>
        <row r="1095">
          <cell r="B1095" t="str">
            <v>234W045R</v>
          </cell>
          <cell r="C1095" t="str">
            <v>MRHD-A CAB OPW RH</v>
          </cell>
        </row>
        <row r="1096">
          <cell r="B1096" t="str">
            <v>234W045Q</v>
          </cell>
          <cell r="C1096" t="str">
            <v>MRHD-A CAB OPW 导气袋</v>
          </cell>
        </row>
        <row r="1097">
          <cell r="B1097" t="str">
            <v>234W045T</v>
          </cell>
          <cell r="C1097" t="str">
            <v>MRHD-A CAB OPW 拉带</v>
          </cell>
        </row>
        <row r="1098">
          <cell r="B1098" t="str">
            <v>234W046L</v>
          </cell>
          <cell r="C1098" t="str">
            <v>MRHD-B CAB OPW LH</v>
          </cell>
        </row>
        <row r="1099">
          <cell r="B1099" t="str">
            <v>234W046R</v>
          </cell>
          <cell r="C1099" t="str">
            <v>MRHD-B CAB OPW RH</v>
          </cell>
        </row>
        <row r="1100">
          <cell r="B1100" t="str">
            <v>234W046Q</v>
          </cell>
          <cell r="C1100" t="str">
            <v>MRHD-B CAB OPW 导气袋</v>
          </cell>
        </row>
        <row r="1101">
          <cell r="B1101" t="str">
            <v>234W046T</v>
          </cell>
          <cell r="C1101" t="str">
            <v>MRHD-B CAB OPW 拉带</v>
          </cell>
        </row>
        <row r="1102">
          <cell r="B1102" t="str">
            <v>251W005L</v>
          </cell>
          <cell r="C1102" t="str">
            <v>MRHGU CAB OPW LH</v>
          </cell>
        </row>
        <row r="1103">
          <cell r="B1103" t="str">
            <v>251W005R</v>
          </cell>
          <cell r="C1103" t="str">
            <v>MRHGU CAB OPW RH</v>
          </cell>
        </row>
        <row r="1104">
          <cell r="B1104" t="str">
            <v>251W005Q</v>
          </cell>
          <cell r="C1104" t="str">
            <v>MRHGU CAB OPW 导气袋</v>
          </cell>
        </row>
        <row r="1105">
          <cell r="B1105" t="str">
            <v>255K014</v>
          </cell>
          <cell r="C1105" t="str">
            <v>MRHK KAB</v>
          </cell>
        </row>
        <row r="1106">
          <cell r="B1106" t="str">
            <v>243S024CL</v>
          </cell>
          <cell r="C1106" t="str">
            <v>MX11 FSAB LH C状态</v>
          </cell>
        </row>
        <row r="1107">
          <cell r="B1107" t="str">
            <v>243S024CR</v>
          </cell>
          <cell r="C1107" t="str">
            <v>MX11 FSAB RH C状态</v>
          </cell>
        </row>
        <row r="1108">
          <cell r="B1108" t="str">
            <v>261W031L</v>
          </cell>
          <cell r="C1108" t="str">
            <v>MYHB CAB OPW LH</v>
          </cell>
        </row>
        <row r="1109">
          <cell r="B1109" t="str">
            <v>261W031R</v>
          </cell>
          <cell r="C1109" t="str">
            <v>MYHB CAB OPW RH</v>
          </cell>
        </row>
        <row r="1110">
          <cell r="B1110" t="str">
            <v>261W031Q</v>
          </cell>
          <cell r="C1110" t="str">
            <v>MYHB CAB OPW 导气袋</v>
          </cell>
        </row>
        <row r="1111">
          <cell r="B1111" t="str">
            <v>261W031T</v>
          </cell>
          <cell r="C1111" t="str">
            <v>MYHB CAB OPW 拉带</v>
          </cell>
        </row>
        <row r="1112">
          <cell r="B1112" t="str">
            <v>263F016L</v>
          </cell>
          <cell r="C1112" t="str">
            <v>N50AS FCAB LHD</v>
          </cell>
        </row>
        <row r="1113">
          <cell r="B1113" t="str">
            <v>263F016R</v>
          </cell>
          <cell r="C1113" t="str">
            <v>N50AS FCAB RHD</v>
          </cell>
        </row>
        <row r="1114">
          <cell r="B1114" t="str">
            <v>265P078</v>
          </cell>
          <cell r="C1114" t="str">
            <v>N50AS LHD PAB</v>
          </cell>
        </row>
        <row r="1115">
          <cell r="B1115" t="str">
            <v>265P078H</v>
          </cell>
          <cell r="C1115" t="str">
            <v>N50AS LHD PAB侧片半成品</v>
          </cell>
        </row>
        <row r="1116">
          <cell r="B1116" t="str">
            <v>264P057</v>
          </cell>
          <cell r="C1116" t="str">
            <v>N50AS RHD PAB</v>
          </cell>
        </row>
        <row r="1117">
          <cell r="B1117" t="str">
            <v>264P057H</v>
          </cell>
          <cell r="C1117" t="str">
            <v>N50AS RHD PAB拉绳侧片半成品</v>
          </cell>
        </row>
        <row r="1118">
          <cell r="B1118" t="str">
            <v>20CW057L</v>
          </cell>
          <cell r="C1118" t="str">
            <v>N61C01 IC OPW LH</v>
          </cell>
        </row>
        <row r="1119">
          <cell r="B1119" t="str">
            <v>20CW057R</v>
          </cell>
          <cell r="C1119" t="str">
            <v>N61C01 IC OPW RH</v>
          </cell>
        </row>
        <row r="1120">
          <cell r="B1120" t="str">
            <v>20CW057Q</v>
          </cell>
          <cell r="C1120" t="str">
            <v>N61C01 IC OPW 导气袋</v>
          </cell>
        </row>
        <row r="1121">
          <cell r="B1121" t="str">
            <v>20CW057T</v>
          </cell>
          <cell r="C1121" t="str">
            <v>N61C01 IC OPW 拉带</v>
          </cell>
        </row>
        <row r="1122">
          <cell r="B1122" t="str">
            <v>257F023B</v>
          </cell>
          <cell r="C1122" t="str">
            <v>N80KS FCAB B状态</v>
          </cell>
        </row>
        <row r="1123">
          <cell r="B1123" t="str">
            <v>199W54Q</v>
          </cell>
          <cell r="C1123" t="str">
            <v>NEC CAB OPW 导气袋</v>
          </cell>
        </row>
        <row r="1124">
          <cell r="B1124" t="str">
            <v>199W54T</v>
          </cell>
          <cell r="C1124" t="str">
            <v>NEC CAB OPW 拉带</v>
          </cell>
        </row>
        <row r="1125">
          <cell r="B1125" t="str">
            <v>235S040L</v>
          </cell>
          <cell r="C1125" t="str">
            <v>NIO ALPS DOM SAB LH</v>
          </cell>
        </row>
        <row r="1126">
          <cell r="B1126" t="str">
            <v>235S040R</v>
          </cell>
          <cell r="C1126" t="str">
            <v>NIO ALPS DOM SAB RH</v>
          </cell>
        </row>
        <row r="1127">
          <cell r="B1127" t="str">
            <v>225S042AL</v>
          </cell>
          <cell r="C1127" t="str">
            <v>NIO ARIES SAB LH A状态</v>
          </cell>
        </row>
        <row r="1128">
          <cell r="B1128" t="str">
            <v>225S042AR</v>
          </cell>
          <cell r="C1128" t="str">
            <v>NIO ARIES SAB RH A状态</v>
          </cell>
        </row>
        <row r="1129">
          <cell r="B1129" t="str">
            <v>245F013</v>
          </cell>
          <cell r="C1129" t="str">
            <v>NIO BLANC FCA</v>
          </cell>
        </row>
        <row r="1130">
          <cell r="B1130" t="str">
            <v>249S145L</v>
          </cell>
          <cell r="C1130" t="str">
            <v>NIO Cetus FSAB LH</v>
          </cell>
        </row>
        <row r="1131">
          <cell r="B1131" t="str">
            <v>249S145R</v>
          </cell>
          <cell r="C1131" t="str">
            <v>NIO Cetus FSAB RH</v>
          </cell>
        </row>
        <row r="1132">
          <cell r="B1132" t="str">
            <v>248P103A</v>
          </cell>
          <cell r="C1132" t="str">
            <v>NIO CETUS PAB A状态</v>
          </cell>
        </row>
        <row r="1133">
          <cell r="B1133" t="str">
            <v>249S146L</v>
          </cell>
          <cell r="C1133" t="str">
            <v>NIO CETUS RSAB LH</v>
          </cell>
        </row>
        <row r="1134">
          <cell r="B1134" t="str">
            <v>249S146R</v>
          </cell>
          <cell r="C1134" t="str">
            <v>NIO CETUS RSAB RH</v>
          </cell>
        </row>
        <row r="1135">
          <cell r="B1135" t="str">
            <v>232S013L</v>
          </cell>
          <cell r="C1135" t="str">
            <v>NIO FORCE 1.F SAB LH</v>
          </cell>
        </row>
        <row r="1136">
          <cell r="B1136" t="str">
            <v>232S013R</v>
          </cell>
          <cell r="C1136" t="str">
            <v>NIO FORCE 1.F SAB RH</v>
          </cell>
        </row>
        <row r="1137">
          <cell r="B1137" t="str">
            <v>209W109DL</v>
          </cell>
          <cell r="C1137" t="str">
            <v>NIO Force IC OPW LH D状态</v>
          </cell>
        </row>
        <row r="1138">
          <cell r="B1138" t="str">
            <v>209W109EL</v>
          </cell>
          <cell r="C1138" t="str">
            <v>NIO Force IC OPW LH E状态</v>
          </cell>
        </row>
        <row r="1139">
          <cell r="B1139" t="str">
            <v>209W109DR</v>
          </cell>
          <cell r="C1139" t="str">
            <v>NIO Force IC OPW RH D状态</v>
          </cell>
        </row>
        <row r="1140">
          <cell r="B1140" t="str">
            <v>209W109ER</v>
          </cell>
          <cell r="C1140" t="str">
            <v>NIO Force IC OPW RH E状态</v>
          </cell>
        </row>
        <row r="1141">
          <cell r="B1141" t="str">
            <v>209W109DQ</v>
          </cell>
          <cell r="C1141" t="str">
            <v>NIO Force IC OPW 导气袋 D状态</v>
          </cell>
        </row>
        <row r="1142">
          <cell r="B1142" t="str">
            <v>209W109EQ</v>
          </cell>
          <cell r="C1142" t="str">
            <v>NIO Force IC OPW 导气袋 E状态</v>
          </cell>
        </row>
        <row r="1143">
          <cell r="B1143" t="str">
            <v>209W109DT</v>
          </cell>
          <cell r="C1143" t="str">
            <v>NIO Force IC OPW 拉带  D状态</v>
          </cell>
        </row>
        <row r="1144">
          <cell r="B1144" t="str">
            <v>209P36E</v>
          </cell>
          <cell r="C1144" t="str">
            <v>NIO FORCE PAB E状态</v>
          </cell>
        </row>
        <row r="1145">
          <cell r="B1145" t="str">
            <v>212X001</v>
          </cell>
          <cell r="C1145" t="str">
            <v>NIO FORCE 绑带总成-12V电池</v>
          </cell>
        </row>
        <row r="1146">
          <cell r="B1146" t="str">
            <v>219S073BL</v>
          </cell>
          <cell r="C1146" t="str">
            <v>NIO Gemini SAB LH B状态</v>
          </cell>
        </row>
        <row r="1147">
          <cell r="B1147" t="str">
            <v>219S073BR</v>
          </cell>
          <cell r="C1147" t="str">
            <v>NIO Gemini SAB RH B状态</v>
          </cell>
        </row>
        <row r="1148">
          <cell r="B1148" t="str">
            <v>22BX010</v>
          </cell>
          <cell r="C1148" t="str">
            <v>NIO LEO LHD 绑带总成-12V电池</v>
          </cell>
        </row>
        <row r="1149">
          <cell r="B1149" t="str">
            <v>234S030AL</v>
          </cell>
          <cell r="C1149" t="str">
            <v>NIO LEO RSAB LH A状态</v>
          </cell>
        </row>
        <row r="1150">
          <cell r="B1150" t="str">
            <v>234S030AR</v>
          </cell>
          <cell r="C1150" t="str">
            <v>NIO LEO RSAB RH A状态</v>
          </cell>
        </row>
        <row r="1151">
          <cell r="B1151" t="str">
            <v>217W110BL</v>
          </cell>
          <cell r="C1151" t="str">
            <v>Nio Pegasus IC OPW LH B状态</v>
          </cell>
        </row>
        <row r="1152">
          <cell r="B1152" t="str">
            <v>217W110BR</v>
          </cell>
          <cell r="C1152" t="str">
            <v>Nio Pegasus IC OPW RH B状态</v>
          </cell>
        </row>
        <row r="1153">
          <cell r="B1153" t="str">
            <v>217W110BQ</v>
          </cell>
          <cell r="C1153" t="str">
            <v>Nio Pegasus IC OPW 导气袋 B状态</v>
          </cell>
        </row>
        <row r="1154">
          <cell r="B1154" t="str">
            <v>217W110BT</v>
          </cell>
          <cell r="C1154" t="str">
            <v>Nio Pegasus IC OPW 拉带 B状态</v>
          </cell>
        </row>
        <row r="1155">
          <cell r="B1155" t="str">
            <v>219X020</v>
          </cell>
          <cell r="C1155" t="str">
            <v>NIO PEGASUS LHD绑带总成-12V电池</v>
          </cell>
        </row>
        <row r="1156">
          <cell r="B1156" t="str">
            <v>217S039AL</v>
          </cell>
          <cell r="C1156" t="str">
            <v>NIO Pegasus SAB LH A状态</v>
          </cell>
        </row>
        <row r="1157">
          <cell r="B1157" t="str">
            <v>217S039AR</v>
          </cell>
          <cell r="C1157" t="str">
            <v>NIO Pegasus SAB RH A状态</v>
          </cell>
        </row>
        <row r="1158">
          <cell r="B1158" t="str">
            <v>226S056AL</v>
          </cell>
          <cell r="C1158" t="str">
            <v>NIO SIRIUS SAB LH A状态</v>
          </cell>
        </row>
        <row r="1159">
          <cell r="B1159" t="str">
            <v>226S056AR</v>
          </cell>
          <cell r="C1159" t="str">
            <v>NIO SIRIUS SAB RH A状态</v>
          </cell>
        </row>
        <row r="1160">
          <cell r="B1160" t="str">
            <v>223X004</v>
          </cell>
          <cell r="C1160" t="str">
            <v>NIO SIRIUS 绑带总成-12V电池</v>
          </cell>
        </row>
        <row r="1161">
          <cell r="B1161" t="str">
            <v>19CP110C</v>
          </cell>
          <cell r="C1161" t="str">
            <v>NISSAN P42QR PAB C状态</v>
          </cell>
        </row>
        <row r="1162">
          <cell r="B1162" t="str">
            <v>236P036</v>
          </cell>
          <cell r="C1162" t="str">
            <v>NISSAN P42R PAB</v>
          </cell>
        </row>
        <row r="1163">
          <cell r="B1163" t="str">
            <v>232S003L</v>
          </cell>
          <cell r="C1163" t="str">
            <v>NISSAN TNF1S FSAB LH</v>
          </cell>
        </row>
        <row r="1164">
          <cell r="B1164" t="str">
            <v>232S003R</v>
          </cell>
          <cell r="C1164" t="str">
            <v>NISSAN TNF1S FSAB RH</v>
          </cell>
        </row>
        <row r="1165">
          <cell r="B1165" t="str">
            <v>146C14BL</v>
          </cell>
          <cell r="C1165" t="str">
            <v>NL-3 CAB LH</v>
          </cell>
        </row>
        <row r="1166">
          <cell r="B1166" t="str">
            <v>146C14AQ</v>
          </cell>
          <cell r="C1166" t="str">
            <v>NL-3 CAB
新状态导气袋</v>
          </cell>
        </row>
        <row r="1167">
          <cell r="B1167" t="str">
            <v>LD03</v>
          </cell>
          <cell r="C1167" t="str">
            <v>NL-3 CAB拉带</v>
          </cell>
        </row>
        <row r="1168">
          <cell r="B1168" t="str">
            <v>179W40AT</v>
          </cell>
          <cell r="C1168" t="str">
            <v>NL-3B CAB OPW A状态 拉带</v>
          </cell>
        </row>
        <row r="1169">
          <cell r="B1169" t="str">
            <v>179W40AL</v>
          </cell>
          <cell r="C1169" t="str">
            <v>NL-3B CAB OPW LH A状态</v>
          </cell>
        </row>
        <row r="1170">
          <cell r="B1170" t="str">
            <v>179W40AR</v>
          </cell>
          <cell r="C1170" t="str">
            <v>NL-3B CAB OPW RH A状态</v>
          </cell>
        </row>
        <row r="1171">
          <cell r="B1171" t="str">
            <v>17BP52B</v>
          </cell>
          <cell r="C1171" t="str">
            <v>NL-3B PAB B状态</v>
          </cell>
        </row>
        <row r="1172">
          <cell r="B1172" t="str">
            <v>181S05AR</v>
          </cell>
          <cell r="C1172" t="str">
            <v>NL-3BSAB气袋总成 右侧 A状态</v>
          </cell>
        </row>
        <row r="1173">
          <cell r="B1173" t="str">
            <v>181S05AL</v>
          </cell>
          <cell r="C1173" t="str">
            <v>NL-3BSAB气袋总成 左侧 A状态</v>
          </cell>
        </row>
        <row r="1174">
          <cell r="B1174" t="str">
            <v>183C07Q</v>
          </cell>
          <cell r="C1174" t="str">
            <v>NL-3RA CAB导气袋</v>
          </cell>
        </row>
        <row r="1175">
          <cell r="B1175" t="str">
            <v>183C07T</v>
          </cell>
          <cell r="C1175" t="str">
            <v>NL-3RA CAB拉带</v>
          </cell>
        </row>
        <row r="1176">
          <cell r="B1176" t="str">
            <v>146W16</v>
          </cell>
          <cell r="C1176" t="str">
            <v>NMS_GP CAB OPW</v>
          </cell>
        </row>
        <row r="1177">
          <cell r="B1177" t="str">
            <v>214W070AL</v>
          </cell>
          <cell r="C1177" t="str">
            <v>NU2 IC OPW LH A状态</v>
          </cell>
        </row>
        <row r="1178">
          <cell r="B1178" t="str">
            <v>214W070AR</v>
          </cell>
          <cell r="C1178" t="str">
            <v>NU2 IC OPW RH A状态</v>
          </cell>
        </row>
        <row r="1179">
          <cell r="B1179" t="str">
            <v>214W070AQ</v>
          </cell>
          <cell r="C1179" t="str">
            <v>NU2 IC OPW 导气袋 A状态</v>
          </cell>
        </row>
        <row r="1180">
          <cell r="B1180" t="str">
            <v>20CW068AL</v>
          </cell>
          <cell r="C1180" t="str">
            <v>OE RE CAB OPW A状态 LH</v>
          </cell>
        </row>
        <row r="1181">
          <cell r="B1181" t="str">
            <v>20CW068AR</v>
          </cell>
          <cell r="C1181" t="str">
            <v>OE RE CAB OPW A状态 RH</v>
          </cell>
        </row>
        <row r="1182">
          <cell r="B1182" t="str">
            <v>20CW068Q</v>
          </cell>
          <cell r="C1182" t="str">
            <v>OE RE CAB OPW 导气袋</v>
          </cell>
        </row>
        <row r="1183">
          <cell r="B1183" t="str">
            <v>20CW068T</v>
          </cell>
          <cell r="C1183" t="str">
            <v>OE RE CAB OPW 拉带</v>
          </cell>
        </row>
        <row r="1184">
          <cell r="B1184" t="str">
            <v>246S080L</v>
          </cell>
          <cell r="C1184" t="str">
            <v>OE RE FSAB LH</v>
          </cell>
        </row>
        <row r="1185">
          <cell r="B1185" t="str">
            <v>246S080R</v>
          </cell>
          <cell r="C1185" t="str">
            <v>OE RE FSAB RH</v>
          </cell>
        </row>
        <row r="1186">
          <cell r="B1186" t="str">
            <v>255W077</v>
          </cell>
          <cell r="C1186" t="str">
            <v>OPW CUSHION</v>
          </cell>
        </row>
        <row r="1187">
          <cell r="B1187" t="str">
            <v>248W147</v>
          </cell>
          <cell r="C1187" t="str">
            <v>OPW CUSHION-DS CREW SABIC</v>
          </cell>
        </row>
        <row r="1188">
          <cell r="B1188" t="str">
            <v>248W148</v>
          </cell>
          <cell r="C1188" t="str">
            <v>OPW CUSHION-DS MEGA SABIC</v>
          </cell>
        </row>
        <row r="1189">
          <cell r="B1189" t="str">
            <v>248W149</v>
          </cell>
          <cell r="C1189" t="str">
            <v>OPW CUSHION-DS STANDARD SABIC</v>
          </cell>
        </row>
        <row r="1190">
          <cell r="B1190" t="str">
            <v>263P018</v>
          </cell>
          <cell r="C1190" t="str">
            <v>P162-G PAB</v>
          </cell>
        </row>
        <row r="1191">
          <cell r="B1191" t="str">
            <v>24AP151</v>
          </cell>
          <cell r="C1191" t="str">
            <v>P177 PAB</v>
          </cell>
        </row>
        <row r="1192">
          <cell r="B1192" t="str">
            <v>18AW65L</v>
          </cell>
          <cell r="C1192" t="str">
            <v>P203 CAB OPW LH</v>
          </cell>
        </row>
        <row r="1193">
          <cell r="B1193" t="str">
            <v>18AW65R</v>
          </cell>
          <cell r="C1193" t="str">
            <v>P203 CAB OPW RH</v>
          </cell>
        </row>
        <row r="1194">
          <cell r="B1194" t="str">
            <v>18AW65P</v>
          </cell>
          <cell r="C1194" t="str">
            <v>P203 CAB OPW 保护套</v>
          </cell>
        </row>
        <row r="1195">
          <cell r="B1195" t="str">
            <v>18AW65Q</v>
          </cell>
          <cell r="C1195" t="str">
            <v>P203 CAB OPW 导气袋</v>
          </cell>
        </row>
        <row r="1196">
          <cell r="B1196" t="str">
            <v>18AW65T</v>
          </cell>
          <cell r="C1196" t="str">
            <v>P203 CAB OPW 拉带</v>
          </cell>
        </row>
        <row r="1197">
          <cell r="B1197" t="str">
            <v>193W12L</v>
          </cell>
          <cell r="C1197" t="str">
            <v>P24 CAB OPW LH</v>
          </cell>
        </row>
        <row r="1198">
          <cell r="B1198" t="str">
            <v>193W12R</v>
          </cell>
          <cell r="C1198" t="str">
            <v>P24 CAB OPW RH</v>
          </cell>
        </row>
        <row r="1199">
          <cell r="B1199" t="str">
            <v>193W12T</v>
          </cell>
          <cell r="C1199" t="str">
            <v>P24 CAB OPW 拉带</v>
          </cell>
        </row>
        <row r="1200">
          <cell r="B1200" t="str">
            <v>193W12QL</v>
          </cell>
          <cell r="C1200" t="str">
            <v>P24 OPW LH 左件导气袋</v>
          </cell>
        </row>
        <row r="1201">
          <cell r="B1201" t="str">
            <v>193W12QR</v>
          </cell>
          <cell r="C1201" t="str">
            <v>P24 OPW RH 右件导气袋</v>
          </cell>
        </row>
        <row r="1202">
          <cell r="B1202" t="str">
            <v>243P046QL</v>
          </cell>
          <cell r="C1202" t="str">
            <v>P702 PAB 导流袋半成品</v>
          </cell>
        </row>
        <row r="1203">
          <cell r="B1203" t="str">
            <v>243P046VL</v>
          </cell>
          <cell r="C1203" t="str">
            <v>P702 PAB 拉带半成品</v>
          </cell>
        </row>
        <row r="1204">
          <cell r="B1204" t="str">
            <v>243P046VM</v>
          </cell>
          <cell r="C1204" t="str">
            <v>P702 PAB 拉带加强片半成品</v>
          </cell>
        </row>
        <row r="1205">
          <cell r="B1205" t="str">
            <v>243P046HR</v>
          </cell>
          <cell r="C1205" t="str">
            <v>P702 PAB 右侧半成品</v>
          </cell>
        </row>
        <row r="1206">
          <cell r="B1206" t="str">
            <v>243P046HL</v>
          </cell>
          <cell r="C1206" t="str">
            <v>P702 PAB 左侧半成品</v>
          </cell>
        </row>
        <row r="1207">
          <cell r="B1207" t="str">
            <v>24AD071A</v>
          </cell>
          <cell r="C1207" t="str">
            <v>P800 DAB A状态</v>
          </cell>
        </row>
        <row r="1208">
          <cell r="B1208" t="str">
            <v>251S002L</v>
          </cell>
          <cell r="C1208" t="str">
            <v>PAHT SAB LH</v>
          </cell>
        </row>
        <row r="1209">
          <cell r="B1209" t="str">
            <v>251S002R</v>
          </cell>
          <cell r="C1209" t="str">
            <v>PAHT SAB RH</v>
          </cell>
        </row>
        <row r="1210">
          <cell r="B1210" t="str">
            <v>247W131L</v>
          </cell>
          <cell r="C1210" t="str">
            <v>PKHAS CAB OPW LH</v>
          </cell>
        </row>
        <row r="1211">
          <cell r="B1211" t="str">
            <v>247W131R</v>
          </cell>
          <cell r="C1211" t="str">
            <v>PKHAS CAB OPW RH</v>
          </cell>
        </row>
        <row r="1212">
          <cell r="B1212" t="str">
            <v>247W131Q</v>
          </cell>
          <cell r="C1212" t="str">
            <v>PKHAS CAB OPW 导气袋</v>
          </cell>
        </row>
        <row r="1213">
          <cell r="B1213" t="str">
            <v>247W131T</v>
          </cell>
          <cell r="C1213" t="str">
            <v>PKHAS CAB OPW 拉带</v>
          </cell>
        </row>
        <row r="1214">
          <cell r="B1214" t="str">
            <v>213S016L</v>
          </cell>
          <cell r="C1214" t="str">
            <v>POLESTAR P611 SAB LH</v>
          </cell>
        </row>
        <row r="1215">
          <cell r="B1215" t="str">
            <v>213S016R</v>
          </cell>
          <cell r="C1215" t="str">
            <v>POLESTAR P611 SAB RH</v>
          </cell>
        </row>
        <row r="1216">
          <cell r="B1216" t="str">
            <v>188S36AL</v>
          </cell>
          <cell r="C1216" t="str">
            <v>POLO NF SAB LH A状态</v>
          </cell>
        </row>
        <row r="1217">
          <cell r="B1217" t="str">
            <v>188S36AR</v>
          </cell>
          <cell r="C1217" t="str">
            <v>POLO NF SAB RH A状态</v>
          </cell>
        </row>
        <row r="1218">
          <cell r="B1218" t="str">
            <v>263W088L</v>
          </cell>
          <cell r="C1218" t="str">
            <v>PQHBL CAB OPW LH</v>
          </cell>
        </row>
        <row r="1219">
          <cell r="B1219" t="str">
            <v>263W088TL</v>
          </cell>
          <cell r="C1219" t="str">
            <v>PQHBL CAB OPW LH 拉带</v>
          </cell>
        </row>
        <row r="1220">
          <cell r="B1220" t="str">
            <v>263W088R</v>
          </cell>
          <cell r="C1220" t="str">
            <v>PQHBL CAB OPW RH</v>
          </cell>
        </row>
        <row r="1221">
          <cell r="B1221" t="str">
            <v>263W088TR</v>
          </cell>
          <cell r="C1221" t="str">
            <v>PQHBL CAB OPW RH 拉带</v>
          </cell>
        </row>
        <row r="1222">
          <cell r="B1222" t="str">
            <v>263W088Q</v>
          </cell>
          <cell r="C1222" t="str">
            <v>PQHBL CAB OPW 导气袋</v>
          </cell>
        </row>
        <row r="1223">
          <cell r="B1223" t="str">
            <v>261W024L</v>
          </cell>
          <cell r="C1223" t="str">
            <v>PSHAX CAB OPW LH</v>
          </cell>
        </row>
        <row r="1224">
          <cell r="B1224" t="str">
            <v>261W024R</v>
          </cell>
          <cell r="C1224" t="str">
            <v>PSHAX CAB OPW RH</v>
          </cell>
        </row>
        <row r="1225">
          <cell r="B1225" t="str">
            <v>261W024Q</v>
          </cell>
          <cell r="C1225" t="str">
            <v>PSHAX CAB OPW 导气袋</v>
          </cell>
        </row>
        <row r="1226">
          <cell r="B1226" t="str">
            <v>261W024T</v>
          </cell>
          <cell r="C1226" t="str">
            <v>PSHAX CAB OPW 拉带</v>
          </cell>
        </row>
        <row r="1227">
          <cell r="B1227" t="str">
            <v>204W34L</v>
          </cell>
          <cell r="C1227" t="str">
            <v>PT008 CAB OPW LH</v>
          </cell>
        </row>
        <row r="1228">
          <cell r="B1228" t="str">
            <v>204W34R</v>
          </cell>
          <cell r="C1228" t="str">
            <v>PT008 CAB OPW RH</v>
          </cell>
        </row>
        <row r="1229">
          <cell r="B1229" t="str">
            <v>25AW209L</v>
          </cell>
          <cell r="C1229" t="str">
            <v>QBHA CAB OPW LH</v>
          </cell>
        </row>
        <row r="1230">
          <cell r="B1230" t="str">
            <v>25AW209R</v>
          </cell>
          <cell r="C1230" t="str">
            <v>QBHA CAB OPW RH</v>
          </cell>
        </row>
        <row r="1231">
          <cell r="B1231" t="str">
            <v>25AW209Q</v>
          </cell>
          <cell r="C1231" t="str">
            <v>QBHA CAB OPW 导气袋</v>
          </cell>
        </row>
        <row r="1232">
          <cell r="B1232" t="str">
            <v>25AW209T</v>
          </cell>
          <cell r="C1232" t="str">
            <v>QBHA CAB OPW 拉带</v>
          </cell>
        </row>
        <row r="1233">
          <cell r="B1233" t="str">
            <v>25AW208L</v>
          </cell>
          <cell r="C1233" t="str">
            <v>QBHE CAB OPW LH</v>
          </cell>
        </row>
        <row r="1234">
          <cell r="B1234" t="str">
            <v>25AW208R</v>
          </cell>
          <cell r="C1234" t="str">
            <v>QBHE CAB OPW RH</v>
          </cell>
        </row>
        <row r="1235">
          <cell r="B1235" t="str">
            <v>25AW208Q</v>
          </cell>
          <cell r="C1235" t="str">
            <v>QBHE CAB OPW 导气袋</v>
          </cell>
        </row>
        <row r="1236">
          <cell r="B1236" t="str">
            <v>25AW208T</v>
          </cell>
          <cell r="C1236" t="str">
            <v>QBHE CAB OPW 拉带</v>
          </cell>
        </row>
        <row r="1237">
          <cell r="B1237" t="str">
            <v>257W139AL</v>
          </cell>
          <cell r="C1237" t="str">
            <v>QXHA CAB OPW LH A状态</v>
          </cell>
        </row>
        <row r="1238">
          <cell r="B1238" t="str">
            <v>257W139AR</v>
          </cell>
          <cell r="C1238" t="str">
            <v>QXHA CAB OPW RH A状态</v>
          </cell>
        </row>
        <row r="1239">
          <cell r="B1239" t="str">
            <v>257W139Q</v>
          </cell>
          <cell r="C1239" t="str">
            <v>QXHA CAB OPW 导气袋</v>
          </cell>
        </row>
        <row r="1240">
          <cell r="B1240" t="str">
            <v>257W139T</v>
          </cell>
          <cell r="C1240" t="str">
            <v>QXHA CAB OPW 拉带</v>
          </cell>
        </row>
        <row r="1241">
          <cell r="B1241" t="str">
            <v>25BW243L</v>
          </cell>
          <cell r="C1241" t="str">
            <v>QZHCX CAB OPW LH</v>
          </cell>
        </row>
        <row r="1242">
          <cell r="B1242" t="str">
            <v>25BW243R</v>
          </cell>
          <cell r="C1242" t="str">
            <v>QZHCX CAB OPW RH</v>
          </cell>
        </row>
        <row r="1243">
          <cell r="B1243" t="str">
            <v>25BW243Q</v>
          </cell>
          <cell r="C1243" t="str">
            <v>QZHCX CAB OPW 导气袋</v>
          </cell>
        </row>
        <row r="1244">
          <cell r="B1244" t="str">
            <v>25BW243T</v>
          </cell>
          <cell r="C1244" t="str">
            <v>QZHCX CAB OPW 拉带</v>
          </cell>
        </row>
        <row r="1245">
          <cell r="B1245" t="str">
            <v>24BW215L</v>
          </cell>
          <cell r="C1245" t="str">
            <v>QZHF CAB OPW LH</v>
          </cell>
        </row>
        <row r="1246">
          <cell r="B1246" t="str">
            <v>24BW215R</v>
          </cell>
          <cell r="C1246" t="str">
            <v>QZHF CAB OPW RH</v>
          </cell>
        </row>
        <row r="1247">
          <cell r="B1247" t="str">
            <v>24BW215Q</v>
          </cell>
          <cell r="C1247" t="str">
            <v>QZHF CAB OPW 导气袋</v>
          </cell>
        </row>
        <row r="1248">
          <cell r="B1248" t="str">
            <v>25AF040L</v>
          </cell>
          <cell r="C1248" t="str">
            <v>QZHF FAB LH</v>
          </cell>
        </row>
        <row r="1249">
          <cell r="B1249" t="str">
            <v>25AF040R</v>
          </cell>
          <cell r="C1249" t="str">
            <v>QZHF FAB RH</v>
          </cell>
        </row>
        <row r="1250">
          <cell r="B1250" t="str">
            <v>175P32</v>
          </cell>
          <cell r="C1250" t="str">
            <v>R102 PAB</v>
          </cell>
        </row>
        <row r="1251">
          <cell r="B1251" t="str">
            <v>226S050L</v>
          </cell>
          <cell r="C1251" t="str">
            <v>RENAULT BBG FSAB LH</v>
          </cell>
        </row>
        <row r="1252">
          <cell r="B1252" t="str">
            <v>226S050R</v>
          </cell>
          <cell r="C1252" t="str">
            <v>RENAULT BBG FSAB RH</v>
          </cell>
        </row>
        <row r="1253">
          <cell r="B1253" t="str">
            <v>259W184</v>
          </cell>
          <cell r="C1253" t="str">
            <v>R-M OPW</v>
          </cell>
        </row>
        <row r="1254">
          <cell r="B1254" t="str">
            <v>227D027B</v>
          </cell>
          <cell r="C1254" t="str">
            <v>ROX01 DAB B状态</v>
          </cell>
        </row>
        <row r="1255">
          <cell r="B1255" t="str">
            <v>224S034BL</v>
          </cell>
          <cell r="C1255" t="str">
            <v>ROX01 SAB LH B状态</v>
          </cell>
        </row>
        <row r="1256">
          <cell r="B1256" t="str">
            <v>224S034BR</v>
          </cell>
          <cell r="C1256" t="str">
            <v>ROX01 SAB RH B状态</v>
          </cell>
        </row>
        <row r="1257">
          <cell r="B1257" t="str">
            <v>259W183</v>
          </cell>
          <cell r="C1257" t="str">
            <v>R-S OPW</v>
          </cell>
        </row>
        <row r="1258">
          <cell r="B1258" t="str">
            <v>185W26BL</v>
          </cell>
          <cell r="C1258" t="str">
            <v>S106 CAB OPW LH B状态</v>
          </cell>
        </row>
        <row r="1259">
          <cell r="B1259" t="str">
            <v>185W26BR</v>
          </cell>
          <cell r="C1259" t="str">
            <v>S106 CAB OPW RH B状态</v>
          </cell>
        </row>
        <row r="1260">
          <cell r="B1260" t="str">
            <v>185W26BQ</v>
          </cell>
          <cell r="C1260" t="str">
            <v>S106 OPW 导气袋B状态</v>
          </cell>
        </row>
        <row r="1261">
          <cell r="B1261" t="str">
            <v>185W26BT</v>
          </cell>
          <cell r="C1261" t="str">
            <v>S106 OPW 拉带B状态</v>
          </cell>
        </row>
        <row r="1262">
          <cell r="B1262" t="str">
            <v>137C29L</v>
          </cell>
          <cell r="C1262" t="str">
            <v>S301 CAB</v>
          </cell>
        </row>
        <row r="1263">
          <cell r="B1263" t="str">
            <v>DQ05</v>
          </cell>
          <cell r="C1263" t="str">
            <v>S301 CAB 导气袋</v>
          </cell>
        </row>
        <row r="1264">
          <cell r="B1264" t="str">
            <v>137C29D</v>
          </cell>
          <cell r="C1264" t="str">
            <v>S301 CAB 拉带</v>
          </cell>
        </row>
        <row r="1265">
          <cell r="B1265" t="str">
            <v>138D52</v>
          </cell>
          <cell r="C1265" t="str">
            <v>S301 DAB</v>
          </cell>
        </row>
        <row r="1266">
          <cell r="B1266" t="str">
            <v>172S09AL</v>
          </cell>
          <cell r="C1266" t="str">
            <v>S302 SAB LH A状态</v>
          </cell>
        </row>
        <row r="1267">
          <cell r="B1267" t="str">
            <v>172S09AR</v>
          </cell>
          <cell r="C1267" t="str">
            <v>S302 SAB RH A状态</v>
          </cell>
        </row>
        <row r="1268">
          <cell r="B1268" t="str">
            <v>188W51BL</v>
          </cell>
          <cell r="C1268" t="str">
            <v>S311 CAB OPW LH B状态</v>
          </cell>
        </row>
        <row r="1269">
          <cell r="B1269" t="str">
            <v>188W51BR</v>
          </cell>
          <cell r="C1269" t="str">
            <v>S311 CAB OPW RH B状态</v>
          </cell>
        </row>
        <row r="1270">
          <cell r="B1270" t="str">
            <v>175D27</v>
          </cell>
          <cell r="C1270" t="str">
            <v>S3-17 DAB</v>
          </cell>
        </row>
        <row r="1271">
          <cell r="B1271" t="str">
            <v>246W101DL</v>
          </cell>
          <cell r="C1271" t="str">
            <v>S31L CAB OPW LH D状态</v>
          </cell>
        </row>
        <row r="1272">
          <cell r="B1272" t="str">
            <v>246W101DR</v>
          </cell>
          <cell r="C1272" t="str">
            <v>S31L CAB OPW RH D状态</v>
          </cell>
        </row>
        <row r="1273">
          <cell r="B1273" t="str">
            <v>246W101DQ</v>
          </cell>
          <cell r="C1273" t="str">
            <v>S31L CAB OPW 导气袋 D状态</v>
          </cell>
        </row>
        <row r="1274">
          <cell r="B1274" t="str">
            <v>246W101T</v>
          </cell>
          <cell r="C1274" t="str">
            <v>S31L CAB OPW 拉带</v>
          </cell>
        </row>
        <row r="1275">
          <cell r="B1275" t="str">
            <v>255W080L</v>
          </cell>
          <cell r="C1275" t="str">
            <v>S32L 5P CAB OPW LH</v>
          </cell>
        </row>
        <row r="1276">
          <cell r="B1276" t="str">
            <v>255W080R</v>
          </cell>
          <cell r="C1276" t="str">
            <v>S32L 5P CAB OPW RH</v>
          </cell>
        </row>
        <row r="1277">
          <cell r="B1277" t="str">
            <v>255W080Q</v>
          </cell>
          <cell r="C1277" t="str">
            <v>S32L 5P CAB OPW 导气袋</v>
          </cell>
        </row>
        <row r="1278">
          <cell r="B1278" t="str">
            <v>255W081L</v>
          </cell>
          <cell r="C1278" t="str">
            <v>S32L 6P CAB OPW LH</v>
          </cell>
        </row>
        <row r="1279">
          <cell r="B1279" t="str">
            <v>255W081R</v>
          </cell>
          <cell r="C1279" t="str">
            <v>S32L 6P CAB OPW RH</v>
          </cell>
        </row>
        <row r="1280">
          <cell r="B1280" t="str">
            <v>255W081Q</v>
          </cell>
          <cell r="C1280" t="str">
            <v>S32L 6P CAB OPW 导气袋</v>
          </cell>
        </row>
        <row r="1281">
          <cell r="B1281" t="str">
            <v>15BC34L</v>
          </cell>
          <cell r="C1281" t="str">
            <v>S401 CAB LH</v>
          </cell>
        </row>
        <row r="1282">
          <cell r="B1282" t="str">
            <v>15BC34R</v>
          </cell>
          <cell r="C1282" t="str">
            <v>S401 CAB RH</v>
          </cell>
        </row>
        <row r="1283">
          <cell r="B1283" t="str">
            <v>15BC34D</v>
          </cell>
          <cell r="C1283" t="str">
            <v>S401 CAB导气袋</v>
          </cell>
        </row>
        <row r="1284">
          <cell r="B1284" t="str">
            <v>15BC34T</v>
          </cell>
          <cell r="C1284" t="str">
            <v>S401 CAB拉带</v>
          </cell>
        </row>
        <row r="1285">
          <cell r="B1285" t="str">
            <v>233W027L</v>
          </cell>
          <cell r="C1285" t="str">
            <v>S59 CAB OPW LH</v>
          </cell>
        </row>
        <row r="1286">
          <cell r="B1286" t="str">
            <v>233W027R</v>
          </cell>
          <cell r="C1286" t="str">
            <v>S59 CAB OPW RH</v>
          </cell>
        </row>
        <row r="1287">
          <cell r="B1287" t="str">
            <v>233W027Q</v>
          </cell>
          <cell r="C1287" t="str">
            <v>S59 CAB OPW 导气袋</v>
          </cell>
        </row>
        <row r="1288">
          <cell r="B1288" t="str">
            <v>233W027T</v>
          </cell>
          <cell r="C1288" t="str">
            <v>S59 CAB OPW 拉带</v>
          </cell>
        </row>
        <row r="1289">
          <cell r="B1289" t="str">
            <v>236S057L</v>
          </cell>
          <cell r="C1289" t="str">
            <v>S59 SAB LH</v>
          </cell>
        </row>
        <row r="1290">
          <cell r="B1290" t="str">
            <v>236S057R</v>
          </cell>
          <cell r="C1290" t="str">
            <v>S59 SAB RH</v>
          </cell>
        </row>
        <row r="1291">
          <cell r="B1291" t="str">
            <v>248W153L</v>
          </cell>
          <cell r="C1291" t="str">
            <v>SA2HRU CAB OPW LH</v>
          </cell>
        </row>
        <row r="1292">
          <cell r="B1292" t="str">
            <v>248W153R</v>
          </cell>
          <cell r="C1292" t="str">
            <v>SA2HRU CAB OPW RH</v>
          </cell>
        </row>
        <row r="1293">
          <cell r="B1293" t="str">
            <v>248W153Q</v>
          </cell>
          <cell r="C1293" t="str">
            <v>SA2HRU CAB OPW 导气袋</v>
          </cell>
        </row>
        <row r="1294">
          <cell r="B1294" t="str">
            <v>248W153TR</v>
          </cell>
          <cell r="C1294" t="str">
            <v>SA2HRU CAB OPW 右件拉带</v>
          </cell>
        </row>
        <row r="1295">
          <cell r="B1295" t="str">
            <v>248W153TL</v>
          </cell>
          <cell r="C1295" t="str">
            <v>SA2HRU CAB OPW 左件拉带</v>
          </cell>
        </row>
        <row r="1296">
          <cell r="B1296" t="str">
            <v>24AS167AL</v>
          </cell>
          <cell r="C1296" t="str">
            <v>SA2HRU SAB LH A状态</v>
          </cell>
        </row>
        <row r="1297">
          <cell r="B1297" t="str">
            <v>24AS167AR</v>
          </cell>
          <cell r="C1297" t="str">
            <v>SA2HRU SAB RH A状态</v>
          </cell>
        </row>
        <row r="1298">
          <cell r="B1298" t="str">
            <v>209W101BL</v>
          </cell>
          <cell r="C1298" t="str">
            <v>SA3F CAB OPW LH B状态</v>
          </cell>
        </row>
        <row r="1299">
          <cell r="B1299" t="str">
            <v>209W101BR</v>
          </cell>
          <cell r="C1299" t="str">
            <v>SA3F CAB OPW RH B状态</v>
          </cell>
        </row>
        <row r="1300">
          <cell r="B1300" t="str">
            <v>23BD052B</v>
          </cell>
          <cell r="C1300" t="str">
            <v>SA3F DAB D1 B状态</v>
          </cell>
        </row>
        <row r="1301">
          <cell r="B1301" t="str">
            <v>193D06E</v>
          </cell>
          <cell r="C1301" t="str">
            <v>SA3F DAB E状态</v>
          </cell>
        </row>
        <row r="1302">
          <cell r="B1302" t="str">
            <v>186S27FL</v>
          </cell>
          <cell r="C1302" t="str">
            <v>SA3F SAB LH F状态</v>
          </cell>
        </row>
        <row r="1303">
          <cell r="B1303" t="str">
            <v>186S27FL</v>
          </cell>
          <cell r="C1303" t="str">
            <v>SA3F SAB LH F状态（出口）</v>
          </cell>
        </row>
        <row r="1304">
          <cell r="B1304" t="str">
            <v>186S27FR</v>
          </cell>
          <cell r="C1304" t="str">
            <v>SA3F SAB RH F状态</v>
          </cell>
        </row>
        <row r="1305">
          <cell r="B1305" t="str">
            <v>186S27FR</v>
          </cell>
          <cell r="C1305" t="str">
            <v>SA3F SAB RH F状态（出口）</v>
          </cell>
        </row>
        <row r="1306">
          <cell r="B1306" t="str">
            <v>261W004L</v>
          </cell>
          <cell r="C1306" t="str">
            <v>SA3HKA-B CAB OPW LH</v>
          </cell>
        </row>
        <row r="1307">
          <cell r="B1307" t="str">
            <v>261W004R</v>
          </cell>
          <cell r="C1307" t="str">
            <v>SA3HKA-B CAB OPW RH</v>
          </cell>
        </row>
        <row r="1308">
          <cell r="B1308" t="str">
            <v>261W004Q</v>
          </cell>
          <cell r="C1308" t="str">
            <v>SA3HKA-B CAB OPW 导气袋</v>
          </cell>
        </row>
        <row r="1309">
          <cell r="B1309" t="str">
            <v>261W004T</v>
          </cell>
          <cell r="C1309" t="str">
            <v>SA3HKA-B CAB OPW 拉带</v>
          </cell>
        </row>
        <row r="1310">
          <cell r="B1310" t="str">
            <v>234W042L</v>
          </cell>
          <cell r="C1310" t="str">
            <v>SA5HA CAB OPW LH</v>
          </cell>
        </row>
        <row r="1311">
          <cell r="B1311" t="str">
            <v>234W042R</v>
          </cell>
          <cell r="C1311" t="str">
            <v>SA5HA CAB OPW RH</v>
          </cell>
        </row>
        <row r="1312">
          <cell r="B1312" t="str">
            <v>234W042Q</v>
          </cell>
          <cell r="C1312" t="str">
            <v>SA5HA CAB OPW 导气袋</v>
          </cell>
        </row>
        <row r="1313">
          <cell r="B1313" t="str">
            <v>234W042T</v>
          </cell>
          <cell r="C1313" t="str">
            <v>SA5HA CAB OPW 拉带</v>
          </cell>
        </row>
        <row r="1314">
          <cell r="B1314" t="str">
            <v>252S032AL</v>
          </cell>
          <cell r="C1314" t="str">
            <v>SA5HA-1 SAB LH A状态</v>
          </cell>
        </row>
        <row r="1315">
          <cell r="B1315" t="str">
            <v>252S032AR</v>
          </cell>
          <cell r="C1315" t="str">
            <v>SA5HA-1 SAB RH A状态</v>
          </cell>
        </row>
        <row r="1316">
          <cell r="B1316" t="str">
            <v>257W141L</v>
          </cell>
          <cell r="C1316" t="str">
            <v>SA5HH CAB OPW LH</v>
          </cell>
        </row>
        <row r="1317">
          <cell r="B1317" t="str">
            <v>257W141R</v>
          </cell>
          <cell r="C1317" t="str">
            <v>SA5HH CAB OPW RH</v>
          </cell>
        </row>
        <row r="1318">
          <cell r="B1318" t="str">
            <v>257W141Q</v>
          </cell>
          <cell r="C1318" t="str">
            <v>SA5HH CAB OPW 导气袋</v>
          </cell>
        </row>
        <row r="1319">
          <cell r="B1319" t="str">
            <v>257W141T</v>
          </cell>
          <cell r="C1319" t="str">
            <v>SA5HH CAB OPW 拉带</v>
          </cell>
        </row>
        <row r="1320">
          <cell r="B1320" t="str">
            <v>258C018L</v>
          </cell>
          <cell r="C1320" t="str">
            <v>SA6HCN-B CAB LH</v>
          </cell>
        </row>
        <row r="1321">
          <cell r="B1321" t="str">
            <v>258C018R</v>
          </cell>
          <cell r="C1321" t="str">
            <v>SA6HCN-B CAB RH</v>
          </cell>
        </row>
        <row r="1322">
          <cell r="B1322" t="str">
            <v>248C029AL</v>
          </cell>
          <cell r="C1322" t="str">
            <v>SAIC AH4EM CAB LH A状态</v>
          </cell>
        </row>
        <row r="1323">
          <cell r="B1323" t="str">
            <v>248C029AR</v>
          </cell>
          <cell r="C1323" t="str">
            <v>SAIC AH4EM CAB RH A状态</v>
          </cell>
        </row>
        <row r="1324">
          <cell r="B1324" t="str">
            <v>179C36CL</v>
          </cell>
          <cell r="C1324" t="str">
            <v>SAIC AS23 CAB LH C状态</v>
          </cell>
        </row>
        <row r="1325">
          <cell r="B1325" t="str">
            <v>179C36CR</v>
          </cell>
          <cell r="C1325" t="str">
            <v>SAIC AS23 CAB RH C状态</v>
          </cell>
        </row>
        <row r="1326">
          <cell r="B1326" t="str">
            <v>183P14B</v>
          </cell>
          <cell r="C1326" t="str">
            <v>SAIC AS28 PAB B状态</v>
          </cell>
        </row>
        <row r="1327">
          <cell r="B1327" t="str">
            <v>215D018</v>
          </cell>
          <cell r="C1327" t="str">
            <v>SAIC AS32 DAB</v>
          </cell>
        </row>
        <row r="1328">
          <cell r="B1328" t="str">
            <v>215W079XA</v>
          </cell>
          <cell r="C1328" t="str">
            <v>SAIC AS33 CAB OPW 导向布 A状态</v>
          </cell>
        </row>
        <row r="1329">
          <cell r="B1329" t="str">
            <v>206S38L</v>
          </cell>
          <cell r="C1329" t="str">
            <v>SAIC EP21 MCE EU SAB LH</v>
          </cell>
        </row>
        <row r="1330">
          <cell r="B1330" t="str">
            <v>206S38R</v>
          </cell>
          <cell r="C1330" t="str">
            <v>SAIC EP21 MCE EU SAB RH</v>
          </cell>
        </row>
        <row r="1331">
          <cell r="B1331" t="str">
            <v>20BC001L</v>
          </cell>
          <cell r="C1331" t="str">
            <v>SAIC EP22 EU CAB LH</v>
          </cell>
        </row>
        <row r="1332">
          <cell r="B1332" t="str">
            <v>20BS004AL</v>
          </cell>
          <cell r="C1332" t="str">
            <v>SAIC EP22 MCE EU SAB LH A状态</v>
          </cell>
        </row>
        <row r="1333">
          <cell r="B1333" t="str">
            <v>20BS004AR</v>
          </cell>
          <cell r="C1333" t="str">
            <v>SAIC EP22 MCE EU SAB RH A状态</v>
          </cell>
        </row>
        <row r="1334">
          <cell r="B1334" t="str">
            <v>18AP52</v>
          </cell>
          <cell r="C1334" t="str">
            <v>SAIC EX21 PAB</v>
          </cell>
        </row>
        <row r="1335">
          <cell r="B1335" t="str">
            <v>175W25L</v>
          </cell>
          <cell r="C1335" t="str">
            <v>SAIC IM31 CAB OPW LH</v>
          </cell>
        </row>
        <row r="1336">
          <cell r="B1336" t="str">
            <v>175W25R</v>
          </cell>
          <cell r="C1336" t="str">
            <v>SAIC IM31 CAB OPW RH</v>
          </cell>
        </row>
        <row r="1337">
          <cell r="B1337" t="str">
            <v>15BP44</v>
          </cell>
          <cell r="C1337" t="str">
            <v>SAIC IP31 PAB</v>
          </cell>
        </row>
        <row r="1338">
          <cell r="B1338" t="str">
            <v>15BS34AL</v>
          </cell>
          <cell r="C1338" t="str">
            <v>SAIC IP31 SAB LH新状态</v>
          </cell>
        </row>
        <row r="1339">
          <cell r="B1339" t="str">
            <v>15BS34AR</v>
          </cell>
          <cell r="C1339" t="str">
            <v>SAIC IP31 SAB RH新状态</v>
          </cell>
        </row>
        <row r="1340">
          <cell r="B1340" t="str">
            <v>182D09A</v>
          </cell>
          <cell r="C1340" t="str">
            <v>SAIC IP32 DAB A状态</v>
          </cell>
        </row>
        <row r="1341">
          <cell r="B1341" t="str">
            <v>186P39B</v>
          </cell>
          <cell r="C1341" t="str">
            <v>SAIC IP32 PAB B状态</v>
          </cell>
        </row>
        <row r="1342">
          <cell r="B1342" t="str">
            <v>185S21L</v>
          </cell>
          <cell r="C1342" t="str">
            <v>SAIC IP32 SAB LH</v>
          </cell>
        </row>
        <row r="1343">
          <cell r="B1343" t="str">
            <v>185S21R</v>
          </cell>
          <cell r="C1343" t="str">
            <v>SAIC IP32 SAB RH</v>
          </cell>
        </row>
        <row r="1344">
          <cell r="B1344" t="str">
            <v>257C011L</v>
          </cell>
          <cell r="C1344" t="str">
            <v>SAIC IP5PM CAB LH</v>
          </cell>
        </row>
        <row r="1345">
          <cell r="B1345" t="str">
            <v>257C011R</v>
          </cell>
          <cell r="C1345" t="str">
            <v>SAIC IP5PM CAB RH</v>
          </cell>
        </row>
        <row r="1346">
          <cell r="B1346" t="str">
            <v>214P026</v>
          </cell>
          <cell r="C1346" t="str">
            <v>SAIC IS31 PAB</v>
          </cell>
        </row>
        <row r="1347">
          <cell r="B1347" t="str">
            <v>253W038X</v>
          </cell>
          <cell r="C1347" t="str">
            <v>SAIC SHA CAB OPW</v>
          </cell>
        </row>
        <row r="1348">
          <cell r="B1348" t="str">
            <v>161P01A</v>
          </cell>
          <cell r="C1348" t="str">
            <v>SAIC SK81 PAB A状态</v>
          </cell>
        </row>
        <row r="1349">
          <cell r="B1349" t="str">
            <v>227C012BL</v>
          </cell>
          <cell r="C1349" t="str">
            <v>SAIC SV65 IC LH B状态</v>
          </cell>
        </row>
        <row r="1350">
          <cell r="B1350" t="str">
            <v>227C012BR</v>
          </cell>
          <cell r="C1350" t="str">
            <v>SAIC SV65 IC RH B状态</v>
          </cell>
        </row>
        <row r="1351">
          <cell r="B1351" t="str">
            <v>16CP49</v>
          </cell>
          <cell r="C1351" t="str">
            <v>SAIC SV91 LOW CONFIGURE PAB</v>
          </cell>
        </row>
        <row r="1352">
          <cell r="B1352" t="str">
            <v>235D024</v>
          </cell>
          <cell r="C1352" t="str">
            <v>SAIC ZP22 DAB</v>
          </cell>
        </row>
        <row r="1353">
          <cell r="B1353" t="str">
            <v>186C19L</v>
          </cell>
          <cell r="C1353" t="str">
            <v>SAIC ZS11 CAB</v>
          </cell>
        </row>
        <row r="1354">
          <cell r="B1354" t="str">
            <v>208P32</v>
          </cell>
          <cell r="C1354" t="str">
            <v>SAIC ZS11 MCE PAB</v>
          </cell>
        </row>
        <row r="1355">
          <cell r="B1355" t="str">
            <v>185C18</v>
          </cell>
          <cell r="C1355" t="str">
            <v>SAIC ZS11E CAB</v>
          </cell>
        </row>
        <row r="1356">
          <cell r="B1356" t="str">
            <v>221P001</v>
          </cell>
          <cell r="C1356" t="str">
            <v>SAIC ZS12 MCE HEV PAB</v>
          </cell>
        </row>
        <row r="1357">
          <cell r="B1357" t="str">
            <v>219W154L</v>
          </cell>
          <cell r="C1357" t="str">
            <v>SC02 CAB OPW LH</v>
          </cell>
        </row>
        <row r="1358">
          <cell r="B1358" t="str">
            <v>219W154R</v>
          </cell>
          <cell r="C1358" t="str">
            <v>SC02 CAB OPW RH</v>
          </cell>
        </row>
        <row r="1359">
          <cell r="B1359" t="str">
            <v>219W154Q</v>
          </cell>
          <cell r="C1359" t="str">
            <v>SC02 CAB OPW 导气袋</v>
          </cell>
        </row>
        <row r="1360">
          <cell r="B1360" t="str">
            <v>219W154T</v>
          </cell>
          <cell r="C1360" t="str">
            <v>SC02 CAB OPW 拉带</v>
          </cell>
        </row>
        <row r="1361">
          <cell r="B1361" t="str">
            <v>20BW004L</v>
          </cell>
          <cell r="C1361" t="str">
            <v>SC2E CAB OPW LH</v>
          </cell>
        </row>
        <row r="1362">
          <cell r="B1362" t="str">
            <v>20BW004R</v>
          </cell>
          <cell r="C1362" t="str">
            <v>SC2E CAB OPW RH</v>
          </cell>
        </row>
        <row r="1363">
          <cell r="B1363" t="str">
            <v>252S031L</v>
          </cell>
          <cell r="C1363" t="str">
            <v>SC2E-1 SAB LH</v>
          </cell>
        </row>
        <row r="1364">
          <cell r="B1364" t="str">
            <v>252S031R</v>
          </cell>
          <cell r="C1364" t="str">
            <v>SC2E-1 SAB RH</v>
          </cell>
        </row>
        <row r="1365">
          <cell r="B1365" t="str">
            <v>254W064AL</v>
          </cell>
          <cell r="C1365" t="str">
            <v>SC2EGE CAB OPW LH A状态</v>
          </cell>
        </row>
        <row r="1366">
          <cell r="B1366" t="str">
            <v>254W064AR</v>
          </cell>
          <cell r="C1366" t="str">
            <v>SC2EGE CAB OPW RH A状态</v>
          </cell>
        </row>
        <row r="1367">
          <cell r="B1367" t="str">
            <v>254W064AQ</v>
          </cell>
          <cell r="C1367" t="str">
            <v>SC2EGE CAB OPW 导气袋 A状态</v>
          </cell>
        </row>
        <row r="1368">
          <cell r="B1368" t="str">
            <v>257S083AL</v>
          </cell>
          <cell r="C1368" t="str">
            <v>SC2EGE SAB LH A状态</v>
          </cell>
        </row>
        <row r="1369">
          <cell r="B1369" t="str">
            <v>257S083AR</v>
          </cell>
          <cell r="C1369" t="str">
            <v>SC2EGE SAB RH A状态</v>
          </cell>
        </row>
        <row r="1370">
          <cell r="B1370" t="str">
            <v>219W168CL</v>
          </cell>
          <cell r="C1370" t="str">
            <v>SC2EM CAB OPW LH C状态</v>
          </cell>
        </row>
        <row r="1371">
          <cell r="B1371" t="str">
            <v>219W168CL</v>
          </cell>
          <cell r="C1371" t="str">
            <v>SC2EM CAB OPW LH C状态（出口）</v>
          </cell>
        </row>
        <row r="1372">
          <cell r="B1372" t="str">
            <v>219W168CR</v>
          </cell>
          <cell r="C1372" t="str">
            <v>SC2EM CAB OPW RH C状态</v>
          </cell>
        </row>
        <row r="1373">
          <cell r="B1373" t="str">
            <v>219W168CR</v>
          </cell>
          <cell r="C1373" t="str">
            <v>SC2EM CAB OPW RH C状态（出口）</v>
          </cell>
        </row>
        <row r="1374">
          <cell r="B1374" t="str">
            <v>21CS091AL</v>
          </cell>
          <cell r="C1374" t="str">
            <v>SC2EM SAB LH A状态</v>
          </cell>
        </row>
        <row r="1375">
          <cell r="B1375" t="str">
            <v>21CS091AL</v>
          </cell>
          <cell r="C1375" t="str">
            <v>SC2EM SAB LH A状态（出口）</v>
          </cell>
        </row>
        <row r="1376">
          <cell r="B1376" t="str">
            <v>21CS091AR</v>
          </cell>
          <cell r="C1376" t="str">
            <v>SC2EM SAB RH A状态</v>
          </cell>
        </row>
        <row r="1377">
          <cell r="B1377" t="str">
            <v>21CS091AR</v>
          </cell>
          <cell r="C1377" t="str">
            <v>SC2EM SAB RH A状态（出口）</v>
          </cell>
        </row>
        <row r="1378">
          <cell r="B1378" t="str">
            <v>235W058AL</v>
          </cell>
          <cell r="C1378" t="str">
            <v>SC3E CAB OPW LH A状态</v>
          </cell>
        </row>
        <row r="1379">
          <cell r="B1379" t="str">
            <v>235W058AR</v>
          </cell>
          <cell r="C1379" t="str">
            <v>SC3E CAB OPW RH A状态</v>
          </cell>
        </row>
        <row r="1380">
          <cell r="B1380" t="str">
            <v>235W058Q</v>
          </cell>
          <cell r="C1380" t="str">
            <v>SC3E CAB OPW 导气袋</v>
          </cell>
        </row>
        <row r="1381">
          <cell r="B1381" t="str">
            <v>235W058AT</v>
          </cell>
          <cell r="C1381" t="str">
            <v>SC3E CAB OPW 拉带 A状态</v>
          </cell>
        </row>
        <row r="1382">
          <cell r="B1382" t="str">
            <v>252S030L</v>
          </cell>
          <cell r="C1382" t="str">
            <v>SC3E-A SAB LH</v>
          </cell>
        </row>
        <row r="1383">
          <cell r="B1383" t="str">
            <v>252S030R</v>
          </cell>
          <cell r="C1383" t="str">
            <v>SC3E-A SAB RH</v>
          </cell>
        </row>
        <row r="1384">
          <cell r="B1384" t="str">
            <v>243S026AL</v>
          </cell>
          <cell r="C1384" t="str">
            <v>SC3EAE SAB LH A状态</v>
          </cell>
        </row>
        <row r="1385">
          <cell r="B1385" t="str">
            <v>243S026AR</v>
          </cell>
          <cell r="C1385" t="str">
            <v>SC3EAE SAB RH A状态</v>
          </cell>
        </row>
        <row r="1386">
          <cell r="B1386" t="str">
            <v>261W033L</v>
          </cell>
          <cell r="C1386" t="str">
            <v>SC3HHU CAB OPW LH</v>
          </cell>
        </row>
        <row r="1387">
          <cell r="B1387" t="str">
            <v>261W033R</v>
          </cell>
          <cell r="C1387" t="str">
            <v>SC3HHU CAB OPW RH</v>
          </cell>
        </row>
        <row r="1388">
          <cell r="B1388" t="str">
            <v>261W033Q</v>
          </cell>
          <cell r="C1388" t="str">
            <v>SC3HHU CAB OPW 导气袋</v>
          </cell>
        </row>
        <row r="1389">
          <cell r="B1389" t="str">
            <v>261W033T</v>
          </cell>
          <cell r="C1389" t="str">
            <v>SC3HHU CAB OPW 拉带</v>
          </cell>
        </row>
        <row r="1390">
          <cell r="B1390" t="str">
            <v>23AF028L</v>
          </cell>
          <cell r="C1390" t="str">
            <v>SE3168 FCAB LHD</v>
          </cell>
        </row>
        <row r="1391">
          <cell r="B1391" t="str">
            <v>23AF028R</v>
          </cell>
          <cell r="C1391" t="str">
            <v>SE3168 FCAB RHD</v>
          </cell>
        </row>
        <row r="1392">
          <cell r="B1392" t="str">
            <v>24AW203L</v>
          </cell>
          <cell r="C1392" t="str">
            <v>SFH CAB OPW LH</v>
          </cell>
        </row>
        <row r="1393">
          <cell r="B1393" t="str">
            <v>24AW203R</v>
          </cell>
          <cell r="C1393" t="str">
            <v>SFH CAB OPW RH</v>
          </cell>
        </row>
        <row r="1394">
          <cell r="B1394" t="str">
            <v>24AW203Q</v>
          </cell>
          <cell r="C1394" t="str">
            <v>SFH CAB OPW 导气袋</v>
          </cell>
        </row>
        <row r="1395">
          <cell r="B1395" t="str">
            <v>24AW203T</v>
          </cell>
          <cell r="C1395" t="str">
            <v>SFH CAB OPW 拉带</v>
          </cell>
        </row>
        <row r="1396">
          <cell r="B1396" t="str">
            <v>24BK031</v>
          </cell>
          <cell r="C1396" t="str">
            <v>SFH KAB</v>
          </cell>
        </row>
        <row r="1397">
          <cell r="B1397" t="str">
            <v>24BK031T</v>
          </cell>
          <cell r="C1397" t="str">
            <v>SFH KAB外拉带</v>
          </cell>
        </row>
        <row r="1398">
          <cell r="B1398" t="str">
            <v>24CF057L</v>
          </cell>
          <cell r="C1398" t="str">
            <v>SFHAU FAB LH</v>
          </cell>
        </row>
        <row r="1399">
          <cell r="B1399" t="str">
            <v>24CF057R</v>
          </cell>
          <cell r="C1399" t="str">
            <v>SFHAU FAB RH</v>
          </cell>
        </row>
        <row r="1400">
          <cell r="B1400" t="str">
            <v>24BS179L</v>
          </cell>
          <cell r="C1400" t="str">
            <v>SFHAX-D1 SAB LH</v>
          </cell>
        </row>
        <row r="1401">
          <cell r="B1401" t="str">
            <v>24BS179R</v>
          </cell>
          <cell r="C1401" t="str">
            <v>SFHAX-D1 SAB RH</v>
          </cell>
        </row>
        <row r="1402">
          <cell r="B1402" t="str">
            <v>25BW236L</v>
          </cell>
          <cell r="C1402" t="str">
            <v>SFH-B CAB OPW LH</v>
          </cell>
        </row>
        <row r="1403">
          <cell r="B1403" t="str">
            <v>25BW236R</v>
          </cell>
          <cell r="C1403" t="str">
            <v>SFH-B CAB OPW RH</v>
          </cell>
        </row>
        <row r="1404">
          <cell r="B1404" t="str">
            <v>24BS185L</v>
          </cell>
          <cell r="C1404" t="str">
            <v>SFHB SAB LH</v>
          </cell>
        </row>
        <row r="1405">
          <cell r="B1405" t="str">
            <v>24BS185R</v>
          </cell>
          <cell r="C1405" t="str">
            <v>SFHB SAB RH</v>
          </cell>
        </row>
        <row r="1406">
          <cell r="B1406" t="str">
            <v>227D025A</v>
          </cell>
          <cell r="C1406" t="str">
            <v>SGH DAB A状态</v>
          </cell>
        </row>
        <row r="1407">
          <cell r="B1407" t="str">
            <v>226S051L</v>
          </cell>
          <cell r="C1407" t="str">
            <v>SGHA SAB LH</v>
          </cell>
        </row>
        <row r="1408">
          <cell r="B1408" t="str">
            <v>226S051R</v>
          </cell>
          <cell r="C1408" t="str">
            <v>SGHA SAB RH</v>
          </cell>
        </row>
        <row r="1409">
          <cell r="B1409" t="str">
            <v>249W165L</v>
          </cell>
          <cell r="C1409" t="str">
            <v>SGHL CAB OPW LH</v>
          </cell>
        </row>
        <row r="1410">
          <cell r="B1410" t="str">
            <v>249W165R</v>
          </cell>
          <cell r="C1410" t="str">
            <v>SGHL CAB OPW RH</v>
          </cell>
        </row>
        <row r="1411">
          <cell r="B1411" t="str">
            <v>249W165QR</v>
          </cell>
          <cell r="C1411" t="str">
            <v>SGHL CAB OPW 右件导气袋</v>
          </cell>
        </row>
        <row r="1412">
          <cell r="B1412" t="str">
            <v>249W165TR</v>
          </cell>
          <cell r="C1412" t="str">
            <v>SGHL CAB OPW 右件拉带</v>
          </cell>
        </row>
        <row r="1413">
          <cell r="B1413" t="str">
            <v>249W165QL</v>
          </cell>
          <cell r="C1413" t="str">
            <v>SGHL CAB OPW 左件导气袋</v>
          </cell>
        </row>
        <row r="1414">
          <cell r="B1414" t="str">
            <v>249W165TL</v>
          </cell>
          <cell r="C1414" t="str">
            <v>SGHL CAB OPW 左件拉带</v>
          </cell>
        </row>
        <row r="1415">
          <cell r="B1415" t="str">
            <v>25AF041L</v>
          </cell>
          <cell r="C1415" t="str">
            <v>SGHL FAB LH</v>
          </cell>
        </row>
        <row r="1416">
          <cell r="B1416" t="str">
            <v>25AF041R</v>
          </cell>
          <cell r="C1416" t="str">
            <v>SGHL FAB RH</v>
          </cell>
        </row>
        <row r="1417">
          <cell r="B1417" t="str">
            <v>252S029AL</v>
          </cell>
          <cell r="C1417" t="str">
            <v>SGHL-D1 SAB LH A状态</v>
          </cell>
        </row>
        <row r="1418">
          <cell r="B1418" t="str">
            <v>252S029AR</v>
          </cell>
          <cell r="C1418" t="str">
            <v>SGHL-D1 SAB RH A状态</v>
          </cell>
        </row>
        <row r="1419">
          <cell r="B1419" t="str">
            <v>147S29L</v>
          </cell>
          <cell r="C1419" t="str">
            <v>SGM 258 EXT SAB LH</v>
          </cell>
        </row>
        <row r="1420">
          <cell r="B1420" t="str">
            <v>147S29R</v>
          </cell>
          <cell r="C1420" t="str">
            <v>SGM 258 EXT SAB RH</v>
          </cell>
        </row>
        <row r="1421">
          <cell r="B1421" t="str">
            <v>148P39</v>
          </cell>
          <cell r="C1421" t="str">
            <v>SGM 328 PAB</v>
          </cell>
        </row>
        <row r="1422">
          <cell r="B1422" t="str">
            <v>209S53L</v>
          </cell>
          <cell r="C1422" t="str">
            <v>SGM 358 MY22 SAB LH</v>
          </cell>
        </row>
        <row r="1423">
          <cell r="B1423" t="str">
            <v>209S53R</v>
          </cell>
          <cell r="C1423" t="str">
            <v>SGM 358 MY22 SAB RH</v>
          </cell>
        </row>
        <row r="1424">
          <cell r="B1424" t="str">
            <v>152P04</v>
          </cell>
          <cell r="C1424" t="str">
            <v>SGM 358 PAB</v>
          </cell>
        </row>
        <row r="1425">
          <cell r="B1425" t="str">
            <v>14CS56L</v>
          </cell>
          <cell r="C1425" t="str">
            <v>SGM 358 SAB LH</v>
          </cell>
        </row>
        <row r="1426">
          <cell r="B1426" t="str">
            <v>14CS56R</v>
          </cell>
          <cell r="C1426" t="str">
            <v>SGM 358 SAB RH</v>
          </cell>
        </row>
        <row r="1427">
          <cell r="B1427" t="str">
            <v>219W146X</v>
          </cell>
          <cell r="C1427" t="str">
            <v>SGM 358-2 CAB OPW</v>
          </cell>
        </row>
        <row r="1428">
          <cell r="B1428" t="str">
            <v>223P019</v>
          </cell>
          <cell r="C1428" t="str">
            <v>SGM 358-2 PAB</v>
          </cell>
        </row>
        <row r="1429">
          <cell r="B1429" t="str">
            <v>24BS170L</v>
          </cell>
          <cell r="C1429" t="str">
            <v>SGM 358-2 SAB LH</v>
          </cell>
        </row>
        <row r="1430">
          <cell r="B1430" t="str">
            <v>24BS170R</v>
          </cell>
          <cell r="C1430" t="str">
            <v>SGM 358-2 SAB RH</v>
          </cell>
        </row>
        <row r="1431">
          <cell r="B1431" t="str">
            <v>205W43X</v>
          </cell>
          <cell r="C1431" t="str">
            <v>SGM 458 CAB OPW</v>
          </cell>
        </row>
        <row r="1432">
          <cell r="B1432" t="str">
            <v>209S52L</v>
          </cell>
          <cell r="C1432" t="str">
            <v>SGM 458 SAB LH</v>
          </cell>
        </row>
        <row r="1433">
          <cell r="B1433" t="str">
            <v>209S52R</v>
          </cell>
          <cell r="C1433" t="str">
            <v>SGM 458 SAB RH</v>
          </cell>
        </row>
        <row r="1434">
          <cell r="B1434" t="str">
            <v>249P138</v>
          </cell>
          <cell r="C1434" t="str">
            <v>SGM 557 PAB</v>
          </cell>
        </row>
        <row r="1435">
          <cell r="B1435" t="str">
            <v>146W18</v>
          </cell>
          <cell r="C1435" t="str">
            <v>SGM E17 CAB OPW</v>
          </cell>
        </row>
        <row r="1436">
          <cell r="B1436" t="str">
            <v>146P29</v>
          </cell>
          <cell r="C1436" t="str">
            <v>SGM E17 PAB</v>
          </cell>
        </row>
        <row r="1437">
          <cell r="B1437" t="str">
            <v>148S40L</v>
          </cell>
          <cell r="C1437" t="str">
            <v>SGM E17 SAB LH</v>
          </cell>
        </row>
        <row r="1438">
          <cell r="B1438" t="str">
            <v>148S40R</v>
          </cell>
          <cell r="C1438" t="str">
            <v>SGM E17 SAB RH</v>
          </cell>
        </row>
        <row r="1439">
          <cell r="B1439" t="str">
            <v>213S011L</v>
          </cell>
          <cell r="C1439" t="str">
            <v>SGM E2LB-2 FSAB LH</v>
          </cell>
        </row>
        <row r="1440">
          <cell r="B1440" t="str">
            <v>213S011R</v>
          </cell>
          <cell r="C1440" t="str">
            <v>SGM E2LB-2 FSAB RH</v>
          </cell>
        </row>
        <row r="1441">
          <cell r="B1441" t="str">
            <v>213S012L</v>
          </cell>
          <cell r="C1441" t="str">
            <v>SGM E2LB-2 RSAB LH</v>
          </cell>
        </row>
        <row r="1442">
          <cell r="B1442" t="str">
            <v>213S012R</v>
          </cell>
          <cell r="C1442" t="str">
            <v>SGM E2LB-2 RSAB RH</v>
          </cell>
        </row>
        <row r="1443">
          <cell r="B1443" t="str">
            <v>162W03AL</v>
          </cell>
          <cell r="C1443" t="str">
            <v>SGM K256 OPW CAB LH A 状态</v>
          </cell>
        </row>
        <row r="1444">
          <cell r="B1444" t="str">
            <v>162W03AR</v>
          </cell>
          <cell r="C1444" t="str">
            <v>SGM K256 OPW CAB RH A 状态</v>
          </cell>
        </row>
        <row r="1445">
          <cell r="B1445" t="str">
            <v>162W03AT</v>
          </cell>
          <cell r="C1445" t="str">
            <v>SGM K256 OPW拉带 A状态</v>
          </cell>
        </row>
        <row r="1446">
          <cell r="B1446" t="str">
            <v>252P014</v>
          </cell>
          <cell r="C1446" t="str">
            <v>SGMW CE110M PAB</v>
          </cell>
        </row>
        <row r="1447">
          <cell r="B1447" t="str">
            <v>197P63</v>
          </cell>
          <cell r="C1447" t="str">
            <v>SGMW CN180S MCE PAB</v>
          </cell>
        </row>
        <row r="1448">
          <cell r="B1448" t="str">
            <v>201D04</v>
          </cell>
          <cell r="C1448" t="str">
            <v>SGMW CN180S MY DAB</v>
          </cell>
        </row>
        <row r="1449">
          <cell r="B1449" t="str">
            <v>142S11BL</v>
          </cell>
          <cell r="C1449" t="str">
            <v>SGMW CN200 SAB LH B状态</v>
          </cell>
        </row>
        <row r="1450">
          <cell r="B1450" t="str">
            <v>142S11BR</v>
          </cell>
          <cell r="C1450" t="str">
            <v>SGMW CN200 SAB RH B状态</v>
          </cell>
        </row>
        <row r="1451">
          <cell r="B1451" t="str">
            <v>146C18</v>
          </cell>
          <cell r="C1451" t="str">
            <v>SGMW CN200S CAB</v>
          </cell>
        </row>
        <row r="1452">
          <cell r="B1452" t="str">
            <v>153P12</v>
          </cell>
          <cell r="C1452" t="str">
            <v>SGMW CN201 PAB</v>
          </cell>
        </row>
        <row r="1453">
          <cell r="B1453" t="str">
            <v>207P25A</v>
          </cell>
          <cell r="C1453" t="str">
            <v>SGMW CN202K PAB A状态</v>
          </cell>
        </row>
        <row r="1454">
          <cell r="B1454" t="str">
            <v>194D14</v>
          </cell>
          <cell r="C1454" t="str">
            <v>SGMW CN210M DAB</v>
          </cell>
        </row>
        <row r="1455">
          <cell r="B1455" t="str">
            <v>187D39B</v>
          </cell>
          <cell r="C1455" t="str">
            <v>SGMW CN210S DAB B状态</v>
          </cell>
        </row>
        <row r="1456">
          <cell r="B1456" t="str">
            <v>248S124AL</v>
          </cell>
          <cell r="C1456" t="str">
            <v>SGMW F510S SAB LH A状态</v>
          </cell>
        </row>
        <row r="1457">
          <cell r="B1457" t="str">
            <v>248S124AR</v>
          </cell>
          <cell r="C1457" t="str">
            <v>SGMW F510S SAB RH A状态</v>
          </cell>
        </row>
        <row r="1458">
          <cell r="B1458" t="str">
            <v>258S099L</v>
          </cell>
          <cell r="C1458" t="str">
            <v>SGMW F510S SAB-国内 LH</v>
          </cell>
        </row>
        <row r="1459">
          <cell r="B1459" t="str">
            <v>258S099R</v>
          </cell>
          <cell r="C1459" t="str">
            <v>SGMW F510S SAB-国内 RH</v>
          </cell>
        </row>
        <row r="1460">
          <cell r="B1460" t="str">
            <v>246S068L</v>
          </cell>
          <cell r="C1460" t="str">
            <v>SGMW F710C FSAB LH</v>
          </cell>
        </row>
        <row r="1461">
          <cell r="B1461" t="str">
            <v>246S068R</v>
          </cell>
          <cell r="C1461" t="str">
            <v>SGMW F710C FSAB RH</v>
          </cell>
        </row>
        <row r="1462">
          <cell r="B1462" t="str">
            <v>244P052B</v>
          </cell>
          <cell r="C1462" t="str">
            <v>SGMW F710C PAB B状态</v>
          </cell>
        </row>
        <row r="1463">
          <cell r="B1463" t="str">
            <v>246S060L</v>
          </cell>
          <cell r="C1463" t="str">
            <v>SGMW F710C RSAB LH</v>
          </cell>
        </row>
        <row r="1464">
          <cell r="B1464" t="str">
            <v>246S060R</v>
          </cell>
          <cell r="C1464" t="str">
            <v>SGMW F710C RSAB RH</v>
          </cell>
        </row>
        <row r="1465">
          <cell r="B1465" t="str">
            <v>259W165L</v>
          </cell>
          <cell r="C1465" t="str">
            <v>SHEA CAB OPW LH</v>
          </cell>
        </row>
        <row r="1466">
          <cell r="B1466" t="str">
            <v>259W165R</v>
          </cell>
          <cell r="C1466" t="str">
            <v>SHEA CAB OPW RH</v>
          </cell>
        </row>
        <row r="1467">
          <cell r="B1467" t="str">
            <v>259W165Q</v>
          </cell>
          <cell r="C1467" t="str">
            <v>SHEA CAB OPW 导气袋</v>
          </cell>
        </row>
        <row r="1468">
          <cell r="B1468" t="str">
            <v>259W165T</v>
          </cell>
          <cell r="C1468" t="str">
            <v>SHEA CAB OPW 拉带</v>
          </cell>
        </row>
        <row r="1469">
          <cell r="B1469" t="str">
            <v>25CD073</v>
          </cell>
          <cell r="C1469" t="str">
            <v>SHEA DAB</v>
          </cell>
        </row>
        <row r="1470">
          <cell r="B1470" t="str">
            <v>245W073L</v>
          </cell>
          <cell r="C1470" t="str">
            <v>SHHA CAB OPW LH</v>
          </cell>
        </row>
        <row r="1471">
          <cell r="B1471" t="str">
            <v>245W073R</v>
          </cell>
          <cell r="C1471" t="str">
            <v>SHHA CAB OPW RH</v>
          </cell>
        </row>
        <row r="1472">
          <cell r="B1472" t="str">
            <v>245W073Q</v>
          </cell>
          <cell r="C1472" t="str">
            <v>SHHA CAB OPW 导气袋</v>
          </cell>
        </row>
        <row r="1473">
          <cell r="B1473" t="str">
            <v>245W073T</v>
          </cell>
          <cell r="C1473" t="str">
            <v>SHHA CAB OPW 拉带</v>
          </cell>
        </row>
        <row r="1474">
          <cell r="B1474" t="str">
            <v>25AF042L</v>
          </cell>
          <cell r="C1474" t="str">
            <v>SHHA FAB LH</v>
          </cell>
        </row>
        <row r="1475">
          <cell r="B1475" t="str">
            <v>25AF042R</v>
          </cell>
          <cell r="C1475" t="str">
            <v>SHHA FAB RH</v>
          </cell>
        </row>
        <row r="1476">
          <cell r="B1476" t="str">
            <v>254S048AL</v>
          </cell>
          <cell r="C1476" t="str">
            <v>SHHA SAB LH A状态</v>
          </cell>
        </row>
        <row r="1477">
          <cell r="B1477" t="str">
            <v>254S048AR</v>
          </cell>
          <cell r="C1477" t="str">
            <v>SHHA SAB RH A状态</v>
          </cell>
        </row>
        <row r="1478">
          <cell r="B1478" t="str">
            <v>262D013</v>
          </cell>
          <cell r="C1478" t="str">
            <v>SHHAU DAB</v>
          </cell>
        </row>
        <row r="1479">
          <cell r="B1479" t="str">
            <v>24CW249L</v>
          </cell>
          <cell r="C1479" t="str">
            <v>SJHA CAB OPW LH</v>
          </cell>
        </row>
        <row r="1480">
          <cell r="B1480" t="str">
            <v>24CW249R</v>
          </cell>
          <cell r="C1480" t="str">
            <v>SJHA CAB OPW RH</v>
          </cell>
        </row>
        <row r="1481">
          <cell r="B1481" t="str">
            <v>24CW249Q</v>
          </cell>
          <cell r="C1481" t="str">
            <v>SJHA CAB OPW 导气袋</v>
          </cell>
        </row>
        <row r="1482">
          <cell r="B1482" t="str">
            <v>24CW249T</v>
          </cell>
          <cell r="C1482" t="str">
            <v>SJHA CAB OPW 拉带</v>
          </cell>
        </row>
        <row r="1483">
          <cell r="B1483" t="str">
            <v>218W137L</v>
          </cell>
          <cell r="C1483" t="str">
            <v>SK2F CAB OPW LH</v>
          </cell>
        </row>
        <row r="1484">
          <cell r="B1484" t="str">
            <v>218W137R</v>
          </cell>
          <cell r="C1484" t="str">
            <v>SK2F CAB OPW RH</v>
          </cell>
        </row>
        <row r="1485">
          <cell r="B1485" t="str">
            <v>218S047AL</v>
          </cell>
          <cell r="C1485" t="str">
            <v>SK2F SAB LH A状态</v>
          </cell>
        </row>
        <row r="1486">
          <cell r="B1486" t="str">
            <v>218S047BR</v>
          </cell>
          <cell r="C1486" t="str">
            <v>SK2F SAB RH B状态</v>
          </cell>
        </row>
        <row r="1487">
          <cell r="B1487" t="str">
            <v>24BS188L</v>
          </cell>
          <cell r="C1487" t="str">
            <v>SK2F-1 SAB LH</v>
          </cell>
        </row>
        <row r="1488">
          <cell r="B1488" t="str">
            <v>24BS188R</v>
          </cell>
          <cell r="C1488" t="str">
            <v>SK2F-1 SAB RH</v>
          </cell>
        </row>
        <row r="1489">
          <cell r="B1489" t="str">
            <v>227D024A</v>
          </cell>
          <cell r="C1489" t="str">
            <v>SK2H DAB A状态</v>
          </cell>
        </row>
        <row r="1490">
          <cell r="B1490" t="str">
            <v>15AC31L</v>
          </cell>
          <cell r="C1490" t="str">
            <v>SK81 CAB LH</v>
          </cell>
        </row>
        <row r="1491">
          <cell r="B1491" t="str">
            <v>15AC31R</v>
          </cell>
          <cell r="C1491" t="str">
            <v>SK81 CAB RH</v>
          </cell>
        </row>
        <row r="1492">
          <cell r="B1492" t="str">
            <v>15AC31T</v>
          </cell>
          <cell r="C1492" t="str">
            <v>SK81 CAB拉带</v>
          </cell>
        </row>
        <row r="1493">
          <cell r="B1493" t="str">
            <v>15CS36AL</v>
          </cell>
          <cell r="C1493" t="str">
            <v>SK81 SAB LH A状态</v>
          </cell>
        </row>
        <row r="1494">
          <cell r="B1494" t="str">
            <v>15CS36AR</v>
          </cell>
          <cell r="C1494" t="str">
            <v>SK81 SAB RH A状态</v>
          </cell>
        </row>
        <row r="1495">
          <cell r="B1495" t="str">
            <v>225W062L</v>
          </cell>
          <cell r="C1495" t="str">
            <v>SK83-B1 CAB OPW LH</v>
          </cell>
        </row>
        <row r="1496">
          <cell r="B1496" t="str">
            <v>225W062R</v>
          </cell>
          <cell r="C1496" t="str">
            <v>SK83-B1 CAB OPW RH</v>
          </cell>
        </row>
        <row r="1497">
          <cell r="B1497" t="str">
            <v>225W062Q</v>
          </cell>
          <cell r="C1497" t="str">
            <v>SK83-B1 CAB OPW 导气袋</v>
          </cell>
        </row>
        <row r="1498">
          <cell r="B1498" t="str">
            <v>225W062T</v>
          </cell>
          <cell r="C1498" t="str">
            <v>SK83-B1 CAB OPW 拉带</v>
          </cell>
        </row>
        <row r="1499">
          <cell r="B1499" t="str">
            <v>174S22L</v>
          </cell>
          <cell r="C1499" t="str">
            <v>SKODA MODEL Q SAB LH</v>
          </cell>
        </row>
        <row r="1500">
          <cell r="B1500" t="str">
            <v>174S22R</v>
          </cell>
          <cell r="C1500" t="str">
            <v>SKODA MODEL Q SAB RH</v>
          </cell>
        </row>
        <row r="1501">
          <cell r="B1501" t="str">
            <v>203P13</v>
          </cell>
          <cell r="C1501" t="str">
            <v>SMCV MIFA PAB</v>
          </cell>
        </row>
        <row r="1502">
          <cell r="B1502" t="str">
            <v>204S21L</v>
          </cell>
          <cell r="C1502" t="str">
            <v>SMCV MIFA SAB LH</v>
          </cell>
        </row>
        <row r="1503">
          <cell r="B1503" t="str">
            <v>204S21R</v>
          </cell>
          <cell r="C1503" t="str">
            <v>SMCV MIFA SAB RH</v>
          </cell>
        </row>
        <row r="1504">
          <cell r="B1504" t="str">
            <v>15AC31D</v>
          </cell>
          <cell r="C1504" t="str">
            <v>SMCV SK81 CAB导气袋</v>
          </cell>
        </row>
        <row r="1505">
          <cell r="B1505" t="str">
            <v>196P54</v>
          </cell>
          <cell r="C1505" t="str">
            <v>SMCV SK83 PAB</v>
          </cell>
        </row>
        <row r="1506">
          <cell r="B1506" t="str">
            <v>22BP079</v>
          </cell>
          <cell r="C1506" t="str">
            <v>SMCV SK83-B2 PAB</v>
          </cell>
        </row>
        <row r="1507">
          <cell r="B1507" t="str">
            <v>178S41BL</v>
          </cell>
          <cell r="C1507" t="str">
            <v>SMCV SV51 SAB LH B状态</v>
          </cell>
        </row>
        <row r="1508">
          <cell r="B1508" t="str">
            <v>178S41BR</v>
          </cell>
          <cell r="C1508" t="str">
            <v>SMCV SV51 SAB RH B状态</v>
          </cell>
        </row>
        <row r="1509">
          <cell r="B1509" t="str">
            <v>183C08L</v>
          </cell>
          <cell r="C1509" t="str">
            <v>SMCV SV51-01 CAB LH</v>
          </cell>
        </row>
        <row r="1510">
          <cell r="B1510" t="str">
            <v>183C08R</v>
          </cell>
          <cell r="C1510" t="str">
            <v>SMCV SV51-01 CAB RH</v>
          </cell>
        </row>
        <row r="1511">
          <cell r="B1511" t="str">
            <v>198W48L</v>
          </cell>
          <cell r="C1511" t="str">
            <v>SMCV SV51-01-S CAB OPW LH</v>
          </cell>
        </row>
        <row r="1512">
          <cell r="B1512" t="str">
            <v>198W48R</v>
          </cell>
          <cell r="C1512" t="str">
            <v>SMCV SV51-01-S CAB OPW RH</v>
          </cell>
        </row>
        <row r="1513">
          <cell r="B1513" t="str">
            <v>198W48Q</v>
          </cell>
          <cell r="C1513" t="str">
            <v>SMCV SV51-01-S CAB OPW 导气袋</v>
          </cell>
        </row>
        <row r="1514">
          <cell r="B1514" t="str">
            <v>198W48T</v>
          </cell>
          <cell r="C1514" t="str">
            <v>SMCV SV51-01-S CAB OPW 拉带</v>
          </cell>
        </row>
        <row r="1515">
          <cell r="B1515" t="str">
            <v>198W48XAL</v>
          </cell>
          <cell r="C1515" t="str">
            <v>SMCV SV51-01-S CAB OPW 软挡片LH A状态</v>
          </cell>
        </row>
        <row r="1516">
          <cell r="B1516" t="str">
            <v>198W48XAR</v>
          </cell>
          <cell r="C1516" t="str">
            <v>SMCV SV51-01-S CAB OPW 软挡片RH A状态</v>
          </cell>
        </row>
        <row r="1517">
          <cell r="B1517" t="str">
            <v>183C09L</v>
          </cell>
          <cell r="C1517" t="str">
            <v>SMCV SV51-03 CAB LH</v>
          </cell>
        </row>
        <row r="1518">
          <cell r="B1518" t="str">
            <v>183C09R</v>
          </cell>
          <cell r="C1518" t="str">
            <v>SMCV SV51-03 CAB RH</v>
          </cell>
        </row>
        <row r="1519">
          <cell r="B1519" t="str">
            <v>16BS38L</v>
          </cell>
          <cell r="C1519" t="str">
            <v>SMCV SV63 SAB LH</v>
          </cell>
        </row>
        <row r="1520">
          <cell r="B1520" t="str">
            <v>16BS38R</v>
          </cell>
          <cell r="C1520" t="str">
            <v>SMCV SV63 SAB RH</v>
          </cell>
        </row>
        <row r="1521">
          <cell r="B1521" t="str">
            <v>217S043L</v>
          </cell>
          <cell r="C1521" t="str">
            <v>SMCV SV91 SAB LH</v>
          </cell>
        </row>
        <row r="1522">
          <cell r="B1522" t="str">
            <v>217S043R</v>
          </cell>
          <cell r="C1522" t="str">
            <v>SMCV SV91 SAB RH</v>
          </cell>
        </row>
        <row r="1523">
          <cell r="B1523" t="str">
            <v>249W182AL</v>
          </cell>
          <cell r="C1523" t="str">
            <v>SNHA-B CAB OPW LH A状态</v>
          </cell>
        </row>
        <row r="1524">
          <cell r="B1524" t="str">
            <v>249W182AR</v>
          </cell>
          <cell r="C1524" t="str">
            <v>SNHA-B CAB OPW RH A状态</v>
          </cell>
        </row>
        <row r="1525">
          <cell r="B1525" t="str">
            <v>249W182Q</v>
          </cell>
          <cell r="C1525" t="str">
            <v>SNHA-B CAB OPW 导气袋</v>
          </cell>
        </row>
        <row r="1526">
          <cell r="B1526" t="str">
            <v>249W182T</v>
          </cell>
          <cell r="C1526" t="str">
            <v>SNHA-B CAB OPW 拉带</v>
          </cell>
        </row>
        <row r="1527">
          <cell r="B1527" t="str">
            <v>23CW126AL</v>
          </cell>
          <cell r="C1527" t="str">
            <v>SP3c CAB OPW LH A状态</v>
          </cell>
        </row>
        <row r="1528">
          <cell r="B1528" t="str">
            <v>23CW126AR</v>
          </cell>
          <cell r="C1528" t="str">
            <v>SP3c CAB OPW RH A状态</v>
          </cell>
        </row>
        <row r="1529">
          <cell r="B1529" t="str">
            <v>23CW126Q</v>
          </cell>
          <cell r="C1529" t="str">
            <v>SP3c CAB OPW 导气袋</v>
          </cell>
        </row>
        <row r="1530">
          <cell r="B1530" t="str">
            <v>23CW126T</v>
          </cell>
          <cell r="C1530" t="str">
            <v>SP3c CAB OPW 拉带</v>
          </cell>
        </row>
        <row r="1531">
          <cell r="B1531" t="str">
            <v>255W082L</v>
          </cell>
          <cell r="C1531" t="str">
            <v>SQHAX-B CAB OPW LH</v>
          </cell>
        </row>
        <row r="1532">
          <cell r="B1532" t="str">
            <v>255W082R</v>
          </cell>
          <cell r="C1532" t="str">
            <v>SQHAX-B CAB OPW RH</v>
          </cell>
        </row>
        <row r="1533">
          <cell r="B1533" t="str">
            <v>243F007L</v>
          </cell>
          <cell r="C1533" t="str">
            <v>SQHB FAB LH</v>
          </cell>
        </row>
        <row r="1534">
          <cell r="B1534" t="str">
            <v>24CS212AL</v>
          </cell>
          <cell r="C1534" t="str">
            <v>SQHB-1 SAB LH A状态</v>
          </cell>
        </row>
        <row r="1535">
          <cell r="B1535" t="str">
            <v>24CS212AR</v>
          </cell>
          <cell r="C1535" t="str">
            <v>SQHB-1 SAB RH A状态</v>
          </cell>
        </row>
        <row r="1536">
          <cell r="B1536" t="str">
            <v>248F026CL</v>
          </cell>
          <cell r="C1536" t="str">
            <v>SQHB-A FAB LH C状态</v>
          </cell>
        </row>
        <row r="1537">
          <cell r="B1537" t="str">
            <v>248F026CR</v>
          </cell>
          <cell r="C1537" t="str">
            <v>SQHB-A FAB RH C状态</v>
          </cell>
        </row>
        <row r="1538">
          <cell r="B1538" t="str">
            <v>25CW253L</v>
          </cell>
          <cell r="C1538" t="str">
            <v>SQHB-C CAB OPW LH</v>
          </cell>
        </row>
        <row r="1539">
          <cell r="B1539" t="str">
            <v>25CW253R</v>
          </cell>
          <cell r="C1539" t="str">
            <v>SQHB-C CAB OPW RH</v>
          </cell>
        </row>
        <row r="1540">
          <cell r="B1540" t="str">
            <v>25CW253T</v>
          </cell>
          <cell r="C1540" t="str">
            <v>SQHB-C CAB OPW 拉带</v>
          </cell>
        </row>
        <row r="1541">
          <cell r="B1541" t="str">
            <v>24BF041BL</v>
          </cell>
          <cell r="C1541" t="str">
            <v>SQHB-C FAB LH B状态</v>
          </cell>
        </row>
        <row r="1542">
          <cell r="B1542" t="str">
            <v>24BF041BR</v>
          </cell>
          <cell r="C1542" t="str">
            <v>SQHB-C FAB RH B状态</v>
          </cell>
        </row>
        <row r="1543">
          <cell r="B1543" t="str">
            <v>24BF048CL</v>
          </cell>
          <cell r="C1543" t="str">
            <v>SQHB-D FAB LH C状态</v>
          </cell>
        </row>
        <row r="1544">
          <cell r="B1544" t="str">
            <v>24BF048CR</v>
          </cell>
          <cell r="C1544" t="str">
            <v>SQHB-D FAB RH C状态</v>
          </cell>
        </row>
        <row r="1545">
          <cell r="B1545" t="str">
            <v>249W167L</v>
          </cell>
          <cell r="C1545" t="str">
            <v>SQHD CAB OPW LH</v>
          </cell>
        </row>
        <row r="1546">
          <cell r="B1546" t="str">
            <v>249W167R</v>
          </cell>
          <cell r="C1546" t="str">
            <v>SQHD CAB OPW RH</v>
          </cell>
        </row>
        <row r="1547">
          <cell r="B1547" t="str">
            <v>249W167Q</v>
          </cell>
          <cell r="C1547" t="str">
            <v>SQHD CAB OPW 导气袋</v>
          </cell>
        </row>
        <row r="1548">
          <cell r="B1548" t="str">
            <v>249W167T</v>
          </cell>
          <cell r="C1548" t="str">
            <v>SQHD CAB OPW 拉带</v>
          </cell>
        </row>
        <row r="1549">
          <cell r="B1549" t="str">
            <v>252W034AL</v>
          </cell>
          <cell r="C1549" t="str">
            <v>SQHF CAB OPW LH A状态</v>
          </cell>
        </row>
        <row r="1550">
          <cell r="B1550" t="str">
            <v>252W034AR</v>
          </cell>
          <cell r="C1550" t="str">
            <v>SQHF CAB OPW RH A状态</v>
          </cell>
        </row>
        <row r="1551">
          <cell r="B1551" t="str">
            <v>252W034AQ</v>
          </cell>
          <cell r="C1551" t="str">
            <v>SQHF CAB OPW 导气袋 A状态</v>
          </cell>
        </row>
        <row r="1552">
          <cell r="B1552" t="str">
            <v>252W034T</v>
          </cell>
          <cell r="C1552" t="str">
            <v>SQHF CAB OPW 拉带</v>
          </cell>
        </row>
        <row r="1553">
          <cell r="B1553" t="str">
            <v>25CW255AL</v>
          </cell>
          <cell r="C1553" t="str">
            <v>SQHF-B CAB OPW LH A状态</v>
          </cell>
        </row>
        <row r="1554">
          <cell r="B1554" t="str">
            <v>25CW255AR</v>
          </cell>
          <cell r="C1554" t="str">
            <v>SQHF-B CAB OPW RH A状态</v>
          </cell>
        </row>
        <row r="1555">
          <cell r="B1555" t="str">
            <v>25CW255Q</v>
          </cell>
          <cell r="C1555" t="str">
            <v>SQHF-B CAB OPW 导气袋</v>
          </cell>
        </row>
        <row r="1556">
          <cell r="B1556" t="str">
            <v>25CW255T</v>
          </cell>
          <cell r="C1556" t="str">
            <v>SQHF-B CAB OPW 拉带</v>
          </cell>
        </row>
        <row r="1557">
          <cell r="B1557" t="str">
            <v>24BS186L</v>
          </cell>
          <cell r="C1557" t="str">
            <v>SRH SAB LH</v>
          </cell>
        </row>
        <row r="1558">
          <cell r="B1558" t="str">
            <v>24BS186R</v>
          </cell>
          <cell r="C1558" t="str">
            <v>SRH SAB RH</v>
          </cell>
        </row>
        <row r="1559">
          <cell r="B1559" t="str">
            <v>235W050L</v>
          </cell>
          <cell r="C1559" t="str">
            <v>SS11 R1 CAB OPW LH</v>
          </cell>
        </row>
        <row r="1560">
          <cell r="B1560" t="str">
            <v>235W050R</v>
          </cell>
          <cell r="C1560" t="str">
            <v>SS11 R1 CAB OPW RH</v>
          </cell>
        </row>
        <row r="1561">
          <cell r="B1561" t="str">
            <v>235W050Q</v>
          </cell>
          <cell r="C1561" t="str">
            <v>SS11 R1 CAB OPW 导气袋</v>
          </cell>
        </row>
        <row r="1562">
          <cell r="B1562" t="str">
            <v>235W050TL</v>
          </cell>
          <cell r="C1562" t="str">
            <v>SS11 R1 CAB OPW 拉带 LH</v>
          </cell>
        </row>
        <row r="1563">
          <cell r="B1563" t="str">
            <v>235W050TR</v>
          </cell>
          <cell r="C1563" t="str">
            <v>SS11 R1 CAB OPW 拉带 RH</v>
          </cell>
        </row>
        <row r="1564">
          <cell r="B1564" t="str">
            <v>167W30C</v>
          </cell>
          <cell r="C1564" t="str">
            <v>ST CAB OPW C状态</v>
          </cell>
        </row>
        <row r="1565">
          <cell r="B1565" t="str">
            <v>22AW096L</v>
          </cell>
          <cell r="C1565" t="str">
            <v>STEBU CAB OPW LH</v>
          </cell>
        </row>
        <row r="1566">
          <cell r="B1566" t="str">
            <v>22AW096R</v>
          </cell>
          <cell r="C1566" t="str">
            <v>STEBU CAB OPW RH</v>
          </cell>
        </row>
        <row r="1567">
          <cell r="B1567" t="str">
            <v>22AW096Q</v>
          </cell>
          <cell r="C1567" t="str">
            <v>STEBU CAB OPW 导气袋</v>
          </cell>
        </row>
        <row r="1568">
          <cell r="B1568" t="str">
            <v>22AW096T</v>
          </cell>
          <cell r="C1568" t="str">
            <v>STEBU CAB OPW 拉带</v>
          </cell>
        </row>
        <row r="1569">
          <cell r="B1569" t="str">
            <v>235D022A</v>
          </cell>
          <cell r="C1569" t="str">
            <v>STEBU DAB A状态</v>
          </cell>
        </row>
        <row r="1570">
          <cell r="B1570" t="str">
            <v>23CW128L</v>
          </cell>
          <cell r="C1570" t="str">
            <v>SUEA CAB OPW LH</v>
          </cell>
        </row>
        <row r="1571">
          <cell r="B1571" t="str">
            <v>23CW128R</v>
          </cell>
          <cell r="C1571" t="str">
            <v>SUEA CAB OPW RH</v>
          </cell>
        </row>
        <row r="1572">
          <cell r="B1572" t="str">
            <v>23CW128Q</v>
          </cell>
          <cell r="C1572" t="str">
            <v>SUEA OPW 导气袋</v>
          </cell>
        </row>
        <row r="1573">
          <cell r="B1573" t="str">
            <v>23CW128T</v>
          </cell>
          <cell r="C1573" t="str">
            <v>SUEA OPW 拉带</v>
          </cell>
        </row>
        <row r="1574">
          <cell r="B1574" t="str">
            <v>183P16</v>
          </cell>
          <cell r="C1574" t="str">
            <v>SV51 PAB</v>
          </cell>
        </row>
        <row r="1575">
          <cell r="B1575" t="str">
            <v>183C09Q</v>
          </cell>
          <cell r="C1575" t="str">
            <v>SV51-03 CAB导气袋</v>
          </cell>
        </row>
        <row r="1576">
          <cell r="B1576" t="str">
            <v>183C09T</v>
          </cell>
          <cell r="C1576" t="str">
            <v>SV51-03 CAB拉带</v>
          </cell>
        </row>
        <row r="1577">
          <cell r="B1577" t="str">
            <v>226W068L</v>
          </cell>
          <cell r="C1577" t="str">
            <v>SV52 CAB OPW LH</v>
          </cell>
        </row>
        <row r="1578">
          <cell r="B1578" t="str">
            <v>226W068R</v>
          </cell>
          <cell r="C1578" t="str">
            <v>SV52 CAB OPW RH</v>
          </cell>
        </row>
        <row r="1579">
          <cell r="B1579" t="str">
            <v>227C012BQ</v>
          </cell>
          <cell r="C1579" t="str">
            <v>SV65 IC 导气袋</v>
          </cell>
        </row>
        <row r="1580">
          <cell r="B1580" t="str">
            <v>227C012BT</v>
          </cell>
          <cell r="C1580" t="str">
            <v>SV65 IC 拉带</v>
          </cell>
        </row>
        <row r="1581">
          <cell r="B1581" t="str">
            <v>262W059L</v>
          </cell>
          <cell r="C1581" t="str">
            <v>SVHA CAB OPW LH</v>
          </cell>
        </row>
        <row r="1582">
          <cell r="B1582" t="str">
            <v>262W059R</v>
          </cell>
          <cell r="C1582" t="str">
            <v>SVHA CAB OPW RH</v>
          </cell>
        </row>
        <row r="1583">
          <cell r="B1583" t="str">
            <v>262W059Q</v>
          </cell>
          <cell r="C1583" t="str">
            <v>SVHA CAB OPW 导气袋</v>
          </cell>
        </row>
        <row r="1584">
          <cell r="B1584" t="str">
            <v>262W059T</v>
          </cell>
          <cell r="C1584" t="str">
            <v>SVHA CAB OPW 拉带</v>
          </cell>
        </row>
        <row r="1585">
          <cell r="B1585" t="str">
            <v>18BW74L</v>
          </cell>
          <cell r="C1585" t="str">
            <v>SVW A SUVe CAB CUSHION LH</v>
          </cell>
        </row>
        <row r="1586">
          <cell r="B1586" t="str">
            <v>248W146X</v>
          </cell>
          <cell r="C1586" t="str">
            <v>SVW B 6S CAB OPW</v>
          </cell>
        </row>
        <row r="1587">
          <cell r="B1587" t="str">
            <v>239W104AL</v>
          </cell>
          <cell r="C1587" t="str">
            <v>SVW Lamando L PA OPW LH A状态</v>
          </cell>
        </row>
        <row r="1588">
          <cell r="B1588" t="str">
            <v>239W104BL</v>
          </cell>
          <cell r="C1588" t="str">
            <v>SVW Lamando L PA OPW LH B状态</v>
          </cell>
        </row>
        <row r="1589">
          <cell r="B1589" t="str">
            <v>239W104AR</v>
          </cell>
          <cell r="C1589" t="str">
            <v>SVW Lamando L PA OPW RH A状态</v>
          </cell>
        </row>
        <row r="1590">
          <cell r="B1590" t="str">
            <v>239W104BR</v>
          </cell>
          <cell r="C1590" t="str">
            <v>SVW Lamando L PA OPW RH B状态</v>
          </cell>
        </row>
        <row r="1591">
          <cell r="B1591" t="str">
            <v>197W38AL</v>
          </cell>
          <cell r="C1591" t="str">
            <v>SVW Lamando NF CAB OPW LH A状态</v>
          </cell>
        </row>
        <row r="1592">
          <cell r="B1592" t="str">
            <v>197W38AR</v>
          </cell>
          <cell r="C1592" t="str">
            <v>SVW Lamando NF CAB OPW RH A状态</v>
          </cell>
        </row>
        <row r="1593">
          <cell r="B1593" t="str">
            <v>197W38AQ</v>
          </cell>
          <cell r="C1593" t="str">
            <v>SVW Lamando NF CAB OPW 导气袋 A状态</v>
          </cell>
        </row>
        <row r="1594">
          <cell r="B1594" t="str">
            <v>197W38AT</v>
          </cell>
          <cell r="C1594" t="str">
            <v>SVW Lamando NF CAB OPW 拉带 A状态</v>
          </cell>
        </row>
        <row r="1595">
          <cell r="B1595" t="str">
            <v>216S034L</v>
          </cell>
          <cell r="C1595" t="str">
            <v>SVW Lavida MP22 SAB LH</v>
          </cell>
        </row>
        <row r="1596">
          <cell r="B1596" t="str">
            <v>216S034R</v>
          </cell>
          <cell r="C1596" t="str">
            <v>SVW Lavida MP22 SAB RH</v>
          </cell>
        </row>
        <row r="1597">
          <cell r="B1597" t="str">
            <v>165W21AL</v>
          </cell>
          <cell r="C1597" t="str">
            <v>SVW LAVIDA NF CAB OPW LH A状态</v>
          </cell>
        </row>
        <row r="1598">
          <cell r="B1598" t="str">
            <v>165W21AR</v>
          </cell>
          <cell r="C1598" t="str">
            <v>SVW LAVIDA NF CAB OPW RH A状态</v>
          </cell>
        </row>
        <row r="1599">
          <cell r="B1599" t="str">
            <v>16AS34L</v>
          </cell>
          <cell r="C1599" t="str">
            <v>SVW LAVIDA NF SAB LH</v>
          </cell>
        </row>
        <row r="1600">
          <cell r="B1600" t="str">
            <v>16AS34R</v>
          </cell>
          <cell r="C1600" t="str">
            <v>SVW LAVIDA NF SAB RH</v>
          </cell>
        </row>
        <row r="1601">
          <cell r="B1601" t="str">
            <v>146W16T</v>
          </cell>
          <cell r="C1601" t="str">
            <v>SVW NMS GP CAB 拉带</v>
          </cell>
        </row>
        <row r="1602">
          <cell r="B1602" t="str">
            <v>175S27L</v>
          </cell>
          <cell r="C1602" t="str">
            <v>SVW NMS NF SAB LH</v>
          </cell>
        </row>
        <row r="1603">
          <cell r="B1603" t="str">
            <v>175S27R</v>
          </cell>
          <cell r="C1603" t="str">
            <v>SVW NMS NF SAB RH</v>
          </cell>
        </row>
        <row r="1604">
          <cell r="B1604" t="str">
            <v>141S01</v>
          </cell>
          <cell r="C1604" t="str">
            <v>SVW NMS RSAB</v>
          </cell>
        </row>
        <row r="1605">
          <cell r="B1605" t="str">
            <v>185D31</v>
          </cell>
          <cell r="C1605" t="str">
            <v>SVW SUPERB PA DAB</v>
          </cell>
        </row>
        <row r="1606">
          <cell r="B1606" t="str">
            <v>185D25</v>
          </cell>
          <cell r="C1606" t="str">
            <v>SVW TCROSS DAB</v>
          </cell>
        </row>
        <row r="1607">
          <cell r="B1607" t="str">
            <v>192S08L</v>
          </cell>
          <cell r="C1607" t="str">
            <v>SVW THARU BEV SAB LH</v>
          </cell>
        </row>
        <row r="1608">
          <cell r="B1608" t="str">
            <v>192S08R</v>
          </cell>
          <cell r="C1608" t="str">
            <v>SVW THARU BEV SAB RH</v>
          </cell>
        </row>
        <row r="1609">
          <cell r="B1609" t="str">
            <v>207S48L</v>
          </cell>
          <cell r="C1609" t="str">
            <v>SVW VW421 1CS SAB LH</v>
          </cell>
        </row>
        <row r="1610">
          <cell r="B1610" t="str">
            <v>207S48R</v>
          </cell>
          <cell r="C1610" t="str">
            <v>SVW VW421 1CS SAB RH</v>
          </cell>
        </row>
        <row r="1611">
          <cell r="B1611" t="str">
            <v>193W11PL</v>
          </cell>
          <cell r="C1611" t="str">
            <v>SX11 CAB OPW 保护套 LH</v>
          </cell>
        </row>
        <row r="1612">
          <cell r="B1612" t="str">
            <v>193W11PR</v>
          </cell>
          <cell r="C1612" t="str">
            <v>SX11 CAB OPW 保护套 RH</v>
          </cell>
        </row>
        <row r="1613">
          <cell r="B1613" t="str">
            <v>193W11AQ</v>
          </cell>
          <cell r="C1613" t="str">
            <v>SX11 CAB OPW 导气袋 A状态</v>
          </cell>
        </row>
        <row r="1614">
          <cell r="B1614" t="str">
            <v>193W11AT</v>
          </cell>
          <cell r="C1614" t="str">
            <v>SX11 CAB OPW 拉带 A状态</v>
          </cell>
        </row>
        <row r="1615">
          <cell r="B1615" t="str">
            <v>16CD35A</v>
          </cell>
          <cell r="C1615" t="str">
            <v>SX11 DAB A状态 (埃)</v>
          </cell>
        </row>
        <row r="1616">
          <cell r="B1616" t="str">
            <v>25CS145L</v>
          </cell>
          <cell r="C1616" t="str">
            <v>SX11 FSAB LH</v>
          </cell>
        </row>
        <row r="1617">
          <cell r="B1617" t="str">
            <v>25CS145R</v>
          </cell>
          <cell r="C1617" t="str">
            <v>SX11 FSAB RH</v>
          </cell>
        </row>
        <row r="1618">
          <cell r="B1618" t="str">
            <v>193S11L</v>
          </cell>
          <cell r="C1618" t="str">
            <v>SX11 RA SAB LH</v>
          </cell>
        </row>
        <row r="1619">
          <cell r="B1619" t="str">
            <v>193S11R</v>
          </cell>
          <cell r="C1619" t="str">
            <v>SX11 RA SAB RH</v>
          </cell>
        </row>
        <row r="1620">
          <cell r="B1620" t="str">
            <v>16AS33AL</v>
          </cell>
          <cell r="C1620" t="str">
            <v>SX11 SAB LH A状态 (埃)</v>
          </cell>
        </row>
        <row r="1621">
          <cell r="B1621" t="str">
            <v>16AS33AR</v>
          </cell>
          <cell r="C1621" t="str">
            <v>SX11 SAB RH A状态 (埃)</v>
          </cell>
        </row>
        <row r="1622">
          <cell r="B1622" t="str">
            <v>183D15B</v>
          </cell>
          <cell r="C1622" t="str">
            <v>SX12 DAB B状态</v>
          </cell>
        </row>
        <row r="1623">
          <cell r="B1623" t="str">
            <v>163W06P</v>
          </cell>
          <cell r="C1623" t="str">
            <v>SX5 OPW 保护套</v>
          </cell>
        </row>
        <row r="1624">
          <cell r="B1624" t="str">
            <v>163W06AX</v>
          </cell>
          <cell r="C1624" t="str">
            <v>SX5 OPW 导气袋 A状态</v>
          </cell>
        </row>
        <row r="1625">
          <cell r="B1625" t="str">
            <v>163W06AT</v>
          </cell>
          <cell r="C1625" t="str">
            <v>SX5 OPW 拉带 A状态</v>
          </cell>
        </row>
        <row r="1626">
          <cell r="B1626" t="str">
            <v>256W098AL</v>
          </cell>
          <cell r="C1626" t="str">
            <v>SYHD CAB OPW LH A状态</v>
          </cell>
        </row>
        <row r="1627">
          <cell r="B1627" t="str">
            <v>256W098AR</v>
          </cell>
          <cell r="C1627" t="str">
            <v>SYHD CAB OPW RH A状态</v>
          </cell>
        </row>
        <row r="1628">
          <cell r="B1628" t="str">
            <v>256W098Q</v>
          </cell>
          <cell r="C1628" t="str">
            <v>SYHD CAB OPW 导气袋</v>
          </cell>
        </row>
        <row r="1629">
          <cell r="B1629" t="str">
            <v>256W098T</v>
          </cell>
          <cell r="C1629" t="str">
            <v>SYHD CAB OPW 拉带</v>
          </cell>
        </row>
        <row r="1630">
          <cell r="B1630" t="str">
            <v>261W001L</v>
          </cell>
          <cell r="C1630" t="str">
            <v>SYHD-B CAB OPW LH</v>
          </cell>
        </row>
        <row r="1631">
          <cell r="B1631" t="str">
            <v>261W001R</v>
          </cell>
          <cell r="C1631" t="str">
            <v>SYHD-B CAB OPW RH</v>
          </cell>
        </row>
        <row r="1632">
          <cell r="B1632" t="str">
            <v>261W001TA</v>
          </cell>
          <cell r="C1632" t="str">
            <v>SYHD-B CAB OPW 长拉带</v>
          </cell>
        </row>
        <row r="1633">
          <cell r="B1633" t="str">
            <v>261W001Q</v>
          </cell>
          <cell r="C1633" t="str">
            <v>SYHD-B CAB OPW 导气袋</v>
          </cell>
        </row>
        <row r="1634">
          <cell r="B1634" t="str">
            <v>261W001TB</v>
          </cell>
          <cell r="C1634" t="str">
            <v>SYHD-B CAB OPW 短拉带</v>
          </cell>
        </row>
        <row r="1635">
          <cell r="B1635" t="str">
            <v>249F033BL</v>
          </cell>
          <cell r="C1635" t="str">
            <v>SZHA FAB LH B状态</v>
          </cell>
        </row>
        <row r="1636">
          <cell r="B1636" t="str">
            <v>249F033BR</v>
          </cell>
          <cell r="C1636" t="str">
            <v>SZHA FAB RH B状态</v>
          </cell>
        </row>
        <row r="1637">
          <cell r="B1637" t="str">
            <v>249W172L</v>
          </cell>
          <cell r="C1637" t="str">
            <v>SZHC CAB OPW LH</v>
          </cell>
        </row>
        <row r="1638">
          <cell r="B1638" t="str">
            <v>249W172R</v>
          </cell>
          <cell r="C1638" t="str">
            <v>SZHC CAB OPW RH</v>
          </cell>
        </row>
        <row r="1639">
          <cell r="B1639" t="str">
            <v>249W172Q</v>
          </cell>
          <cell r="C1639" t="str">
            <v>SZHC CAB OPW 导气袋</v>
          </cell>
        </row>
        <row r="1640">
          <cell r="B1640" t="str">
            <v>249W172T</v>
          </cell>
          <cell r="C1640" t="str">
            <v>SZHC CAB OPW 拉带</v>
          </cell>
        </row>
        <row r="1641">
          <cell r="B1641" t="str">
            <v>25AW220L</v>
          </cell>
          <cell r="C1641" t="str">
            <v>SZHG-A CAB OPW LH</v>
          </cell>
        </row>
        <row r="1642">
          <cell r="B1642" t="str">
            <v>25AW220R</v>
          </cell>
          <cell r="C1642" t="str">
            <v>SZHG-A CAB OPW RH</v>
          </cell>
        </row>
        <row r="1643">
          <cell r="B1643" t="str">
            <v>25AW220Q</v>
          </cell>
          <cell r="C1643" t="str">
            <v>SZHG-A CAB OPW 导气袋</v>
          </cell>
        </row>
        <row r="1644">
          <cell r="B1644" t="str">
            <v>25AW220T</v>
          </cell>
          <cell r="C1644" t="str">
            <v>SZHG-A CAB OPW 拉带</v>
          </cell>
        </row>
        <row r="1645">
          <cell r="B1645" t="str">
            <v>264W123L</v>
          </cell>
          <cell r="C1645" t="str">
            <v>SZHH CAB OPW LH</v>
          </cell>
        </row>
        <row r="1646">
          <cell r="B1646" t="str">
            <v>264W123R</v>
          </cell>
          <cell r="C1646" t="str">
            <v>SZHH CAB OPW RH</v>
          </cell>
        </row>
        <row r="1647">
          <cell r="B1647" t="str">
            <v>264W123Q</v>
          </cell>
          <cell r="C1647" t="str">
            <v>SZHH CAB OPW 导气袋</v>
          </cell>
        </row>
        <row r="1648">
          <cell r="B1648" t="str">
            <v>264W123T</v>
          </cell>
          <cell r="C1648" t="str">
            <v>SZHH CAB OPW 拉带</v>
          </cell>
        </row>
        <row r="1649">
          <cell r="B1649" t="str">
            <v>14AW34AX</v>
          </cell>
          <cell r="C1649" t="str">
            <v>T15 OPW 衬片总成</v>
          </cell>
        </row>
        <row r="1650">
          <cell r="B1650" t="str">
            <v>14AW34AT</v>
          </cell>
          <cell r="C1650" t="str">
            <v>T15 OPW 拉带</v>
          </cell>
        </row>
        <row r="1651">
          <cell r="B1651" t="str">
            <v>14AW34AP</v>
          </cell>
          <cell r="C1651" t="str">
            <v>T15 OPW保护套</v>
          </cell>
        </row>
        <row r="1652">
          <cell r="B1652" t="str">
            <v>218W133L</v>
          </cell>
          <cell r="C1652" t="str">
            <v>T18 CAB OPW LH 无导气袋</v>
          </cell>
        </row>
        <row r="1653">
          <cell r="B1653" t="str">
            <v>218W133R</v>
          </cell>
          <cell r="C1653" t="str">
            <v>T18 CAB OPW RH 无导气袋</v>
          </cell>
        </row>
        <row r="1654">
          <cell r="B1654" t="str">
            <v>218W133T</v>
          </cell>
          <cell r="C1654" t="str">
            <v>T18 CAB OPW无导气袋 拉带</v>
          </cell>
        </row>
        <row r="1655">
          <cell r="B1655" t="str">
            <v>176W33PL</v>
          </cell>
          <cell r="C1655" t="str">
            <v>T18 OPW 保护套 LH</v>
          </cell>
        </row>
        <row r="1656">
          <cell r="B1656" t="str">
            <v>176W33PR</v>
          </cell>
          <cell r="C1656" t="str">
            <v>T18 OPW 保护套 RH</v>
          </cell>
        </row>
        <row r="1657">
          <cell r="B1657" t="str">
            <v>175S30L</v>
          </cell>
          <cell r="C1657" t="str">
            <v>T18 SAB LH</v>
          </cell>
        </row>
        <row r="1658">
          <cell r="B1658" t="str">
            <v>175S30R</v>
          </cell>
          <cell r="C1658" t="str">
            <v>T18 SAB RH</v>
          </cell>
        </row>
        <row r="1659">
          <cell r="B1659" t="str">
            <v>25CS146L</v>
          </cell>
          <cell r="C1659" t="str">
            <v>T1L FSAB</v>
          </cell>
        </row>
        <row r="1660">
          <cell r="B1660" t="str">
            <v>235W051XAL</v>
          </cell>
          <cell r="C1660" t="str">
            <v>T6 CAB OPW LH A状态</v>
          </cell>
        </row>
        <row r="1661">
          <cell r="B1661" t="str">
            <v>235W051XAR</v>
          </cell>
          <cell r="C1661" t="str">
            <v>T6 CAB OPW RH A状态</v>
          </cell>
        </row>
        <row r="1662">
          <cell r="B1662" t="str">
            <v>254W059L</v>
          </cell>
          <cell r="C1662" t="str">
            <v>T75 CAB OPW LH</v>
          </cell>
        </row>
        <row r="1663">
          <cell r="B1663" t="str">
            <v>254W059R</v>
          </cell>
          <cell r="C1663" t="str">
            <v>T75 CAB OPW RH</v>
          </cell>
        </row>
        <row r="1664">
          <cell r="B1664" t="str">
            <v>14AW35AT</v>
          </cell>
          <cell r="C1664" t="str">
            <v>T88 OPW 拉带</v>
          </cell>
        </row>
        <row r="1665">
          <cell r="B1665" t="str">
            <v>14AW35AX</v>
          </cell>
          <cell r="C1665" t="str">
            <v>T88衬片</v>
          </cell>
        </row>
        <row r="1666">
          <cell r="B1666" t="str">
            <v>247W109</v>
          </cell>
          <cell r="C1666" t="str">
            <v>TA MX ML OPW</v>
          </cell>
        </row>
        <row r="1667">
          <cell r="B1667" t="str">
            <v>24CW232</v>
          </cell>
          <cell r="C1667" t="str">
            <v>TA MX S OPW</v>
          </cell>
        </row>
        <row r="1668">
          <cell r="B1668" t="str">
            <v>24CW233</v>
          </cell>
          <cell r="C1668" t="str">
            <v>TA MX XL2XL OPW</v>
          </cell>
        </row>
        <row r="1669">
          <cell r="B1669" t="str">
            <v>263W081</v>
          </cell>
          <cell r="C1669" t="str">
            <v>TA System Pack SL OPW</v>
          </cell>
        </row>
        <row r="1670">
          <cell r="B1670" t="str">
            <v>263W082</v>
          </cell>
          <cell r="C1670" t="str">
            <v>TA System Pack XL OPW</v>
          </cell>
        </row>
        <row r="1671">
          <cell r="B1671" t="str">
            <v>215W087</v>
          </cell>
          <cell r="C1671" t="str">
            <v>TA10 AIR 2XL OPW</v>
          </cell>
        </row>
        <row r="1672">
          <cell r="B1672" t="str">
            <v>215W086</v>
          </cell>
          <cell r="C1672" t="str">
            <v>TA10 AIR LXL OPW</v>
          </cell>
        </row>
        <row r="1673">
          <cell r="B1673" t="str">
            <v>215W085</v>
          </cell>
          <cell r="C1673" t="str">
            <v>TA10 AIR SM OPW</v>
          </cell>
        </row>
        <row r="1674">
          <cell r="B1674" t="str">
            <v>246W079A</v>
          </cell>
          <cell r="C1674" t="str">
            <v>TA5 PLASMA 3XL4XL OPW A状态</v>
          </cell>
        </row>
        <row r="1675">
          <cell r="B1675" t="str">
            <v>246W079B</v>
          </cell>
          <cell r="C1675" t="str">
            <v>TA5 PLASMA 3XL4XL OPW B状态</v>
          </cell>
        </row>
        <row r="1676">
          <cell r="B1676" t="str">
            <v>246W077A</v>
          </cell>
          <cell r="C1676" t="str">
            <v>TA5 PLASMA ML OPW A状态</v>
          </cell>
        </row>
        <row r="1677">
          <cell r="B1677" t="str">
            <v>246W077B</v>
          </cell>
          <cell r="C1677" t="str">
            <v>TA5 PLASMA ML OPW B状态</v>
          </cell>
        </row>
        <row r="1678">
          <cell r="B1678" t="str">
            <v>246W078A</v>
          </cell>
          <cell r="C1678" t="str">
            <v>TA5 PLASMA XL2XL OPW A状态</v>
          </cell>
        </row>
        <row r="1679">
          <cell r="B1679" t="str">
            <v>246W078B</v>
          </cell>
          <cell r="C1679" t="str">
            <v>TA5 PLASMA XL2XL OPW B状态</v>
          </cell>
        </row>
        <row r="1680">
          <cell r="B1680" t="str">
            <v>245W074A</v>
          </cell>
          <cell r="C1680" t="str">
            <v>TA5 PLASMA XSS OPW A状态</v>
          </cell>
        </row>
        <row r="1681">
          <cell r="B1681" t="str">
            <v>245W074B</v>
          </cell>
          <cell r="C1681" t="str">
            <v>TA5 PLASMA XSS OPW B状态</v>
          </cell>
        </row>
        <row r="1682">
          <cell r="B1682" t="str">
            <v>24CW255</v>
          </cell>
          <cell r="C1682" t="str">
            <v>TA7x Int airbag ML OPW</v>
          </cell>
        </row>
        <row r="1683">
          <cell r="B1683" t="str">
            <v>24CW254</v>
          </cell>
          <cell r="C1683" t="str">
            <v>TA7x Int airbag XL2XL OPW</v>
          </cell>
        </row>
        <row r="1684">
          <cell r="B1684" t="str">
            <v>24CW253</v>
          </cell>
          <cell r="C1684" t="str">
            <v>TA7x Int airbag XSS OPW</v>
          </cell>
        </row>
        <row r="1685">
          <cell r="B1685" t="str">
            <v>24CW243</v>
          </cell>
          <cell r="C1685" t="str">
            <v>TAOR V3 2XL OPW</v>
          </cell>
        </row>
        <row r="1686">
          <cell r="B1686" t="str">
            <v>24CW242</v>
          </cell>
          <cell r="C1686" t="str">
            <v>TAOR V3 LXL OPW</v>
          </cell>
        </row>
        <row r="1687">
          <cell r="B1687" t="str">
            <v>24CW241</v>
          </cell>
          <cell r="C1687" t="str">
            <v>TAOR V3 SM OPW</v>
          </cell>
        </row>
        <row r="1688">
          <cell r="B1688" t="str">
            <v>221W001A</v>
          </cell>
          <cell r="C1688" t="str">
            <v>TECH AIR 3 2XL OPW</v>
          </cell>
        </row>
        <row r="1689">
          <cell r="B1689" t="str">
            <v>221W002A</v>
          </cell>
          <cell r="C1689" t="str">
            <v>TECH AIR 3 LXL OPW</v>
          </cell>
        </row>
        <row r="1690">
          <cell r="B1690" t="str">
            <v>221W003A</v>
          </cell>
          <cell r="C1690" t="str">
            <v>TECH AIR 3 SM OPW</v>
          </cell>
        </row>
        <row r="1691">
          <cell r="B1691" t="str">
            <v>21CS092L</v>
          </cell>
          <cell r="C1691" t="str">
            <v>TES SAB LH</v>
          </cell>
        </row>
        <row r="1692">
          <cell r="B1692" t="str">
            <v>21CS092R</v>
          </cell>
          <cell r="C1692" t="str">
            <v>TES SAB RH</v>
          </cell>
        </row>
        <row r="1693">
          <cell r="B1693" t="str">
            <v>245P065HR</v>
          </cell>
          <cell r="C1693" t="str">
            <v>THAMP2 PAB右侧片半成品</v>
          </cell>
        </row>
        <row r="1694">
          <cell r="B1694" t="str">
            <v>245P065HL</v>
          </cell>
          <cell r="C1694" t="str">
            <v>THAMP2 PAB左侧片半成品</v>
          </cell>
        </row>
        <row r="1695">
          <cell r="B1695" t="str">
            <v>188W59L</v>
          </cell>
          <cell r="C1695" t="str">
            <v>TIGUAN L COUPE CAB OPW LH</v>
          </cell>
        </row>
        <row r="1696">
          <cell r="B1696" t="str">
            <v>188W59R</v>
          </cell>
          <cell r="C1696" t="str">
            <v>TIGUAN L COUPE CAB OPW RH</v>
          </cell>
        </row>
        <row r="1697">
          <cell r="B1697" t="str">
            <v>188W59Q</v>
          </cell>
          <cell r="C1697" t="str">
            <v>TIGUAN L OPW 导气袋</v>
          </cell>
        </row>
        <row r="1698">
          <cell r="B1698" t="str">
            <v>188W59T</v>
          </cell>
          <cell r="C1698" t="str">
            <v>TIGUAN L OPW 拉带</v>
          </cell>
        </row>
        <row r="1699">
          <cell r="B1699" t="str">
            <v>14CW40AL</v>
          </cell>
          <cell r="C1699" t="str">
            <v>Tiguan NF CAB OPW LH A状态</v>
          </cell>
        </row>
        <row r="1700">
          <cell r="B1700" t="str">
            <v>14CW40AR</v>
          </cell>
          <cell r="C1700" t="str">
            <v>Tiguan NF CAB OPW RH A状态</v>
          </cell>
        </row>
        <row r="1701">
          <cell r="B1701" t="str">
            <v>14CW40T</v>
          </cell>
          <cell r="C1701" t="str">
            <v>Tiguan NF CAB OPW 拉带</v>
          </cell>
        </row>
        <row r="1702">
          <cell r="B1702" t="str">
            <v>14CW40AT</v>
          </cell>
          <cell r="C1702" t="str">
            <v>Tiguan NF CAB OPW 拉带 A状态</v>
          </cell>
        </row>
        <row r="1703">
          <cell r="B1703" t="str">
            <v>237K016A</v>
          </cell>
          <cell r="C1703" t="str">
            <v>TOYOTA 312D KAB A状态</v>
          </cell>
        </row>
        <row r="1704">
          <cell r="B1704" t="str">
            <v>209S58BL</v>
          </cell>
          <cell r="C1704" t="str">
            <v>TOYOTA 825B RSAB LH B状态</v>
          </cell>
        </row>
        <row r="1705">
          <cell r="B1705" t="str">
            <v>209S58BL</v>
          </cell>
          <cell r="C1705" t="str">
            <v>TOYOTA 825B RSAB LH B状态(广州)</v>
          </cell>
        </row>
        <row r="1706">
          <cell r="B1706" t="str">
            <v>209S58BR</v>
          </cell>
          <cell r="C1706" t="str">
            <v>TOYOTA 825B RSAB RH B状态</v>
          </cell>
        </row>
        <row r="1707">
          <cell r="B1707" t="str">
            <v>209S58BR</v>
          </cell>
          <cell r="C1707" t="str">
            <v>TOYOTA 825B RSAB RH B状态(广州)</v>
          </cell>
        </row>
        <row r="1708">
          <cell r="B1708" t="str">
            <v>209K18B</v>
          </cell>
          <cell r="C1708" t="str">
            <v>U6 DKAB B状态</v>
          </cell>
        </row>
        <row r="1709">
          <cell r="B1709" t="str">
            <v>209K19B</v>
          </cell>
          <cell r="C1709" t="str">
            <v>U6 PKAB B状态</v>
          </cell>
        </row>
        <row r="1710">
          <cell r="B1710" t="str">
            <v>24CS207L</v>
          </cell>
          <cell r="C1710" t="str">
            <v>UFEA-A D1 SAB LH</v>
          </cell>
        </row>
        <row r="1711">
          <cell r="B1711" t="str">
            <v>24CS207R</v>
          </cell>
          <cell r="C1711" t="str">
            <v>UFEA-A D1 SAB RH</v>
          </cell>
        </row>
        <row r="1712">
          <cell r="B1712" t="str">
            <v>24BW224L</v>
          </cell>
          <cell r="C1712" t="str">
            <v>UFEA-B CAB OPW LH</v>
          </cell>
        </row>
        <row r="1713">
          <cell r="B1713" t="str">
            <v>24BW224R</v>
          </cell>
          <cell r="C1713" t="str">
            <v>UFEA-B CAB OPW RH</v>
          </cell>
        </row>
        <row r="1714">
          <cell r="B1714" t="str">
            <v>24BW224Q</v>
          </cell>
          <cell r="C1714" t="str">
            <v>UFEA-B CAB OPW 导气袋</v>
          </cell>
        </row>
        <row r="1715">
          <cell r="B1715" t="str">
            <v>24BW224T</v>
          </cell>
          <cell r="C1715" t="str">
            <v>UFEA-B CAB OPW 拉带</v>
          </cell>
        </row>
        <row r="1716">
          <cell r="B1716" t="str">
            <v>25AS121L</v>
          </cell>
          <cell r="C1716" t="str">
            <v>UG2EA SAB LH</v>
          </cell>
        </row>
        <row r="1717">
          <cell r="B1717" t="str">
            <v>25AS121R</v>
          </cell>
          <cell r="C1717" t="str">
            <v>UG2EA SAB RH</v>
          </cell>
        </row>
        <row r="1718">
          <cell r="B1718" t="str">
            <v>251D001</v>
          </cell>
          <cell r="C1718" t="str">
            <v>UGE DAB</v>
          </cell>
        </row>
        <row r="1719">
          <cell r="B1719" t="str">
            <v>24BS178L</v>
          </cell>
          <cell r="C1719" t="str">
            <v>UKEA SAB LH</v>
          </cell>
        </row>
        <row r="1720">
          <cell r="B1720" t="str">
            <v>24BS178R</v>
          </cell>
          <cell r="C1720" t="str">
            <v>UKEA SAB RH</v>
          </cell>
        </row>
        <row r="1721">
          <cell r="B1721" t="str">
            <v>24CW248L</v>
          </cell>
          <cell r="C1721" t="str">
            <v>UKEE CAB OPW LH</v>
          </cell>
        </row>
        <row r="1722">
          <cell r="B1722" t="str">
            <v>24CW248R</v>
          </cell>
          <cell r="C1722" t="str">
            <v>UKEE CAB OPW RH</v>
          </cell>
        </row>
        <row r="1723">
          <cell r="B1723" t="str">
            <v>24CW248Q</v>
          </cell>
          <cell r="C1723" t="str">
            <v>UKEE CAB OPW 导气袋</v>
          </cell>
        </row>
        <row r="1724">
          <cell r="B1724" t="str">
            <v>24CW248T</v>
          </cell>
          <cell r="C1724" t="str">
            <v>UKEE CAB OPW 拉带</v>
          </cell>
        </row>
        <row r="1725">
          <cell r="B1725" t="str">
            <v>23CW138AL</v>
          </cell>
          <cell r="C1725" t="str">
            <v>UNEA CAB OPW LH  A状态</v>
          </cell>
        </row>
        <row r="1726">
          <cell r="B1726" t="str">
            <v>23CW138AR</v>
          </cell>
          <cell r="C1726" t="str">
            <v>UNEA CAB OPW RH A状态</v>
          </cell>
        </row>
        <row r="1727">
          <cell r="B1727" t="str">
            <v>23CW138AQ</v>
          </cell>
          <cell r="C1727" t="str">
            <v>UNEA CAB OPW 导气袋 A状态</v>
          </cell>
        </row>
        <row r="1728">
          <cell r="B1728" t="str">
            <v>23CW138AT</v>
          </cell>
          <cell r="C1728" t="str">
            <v>UNEA CAB OPW 拉带 A状态</v>
          </cell>
        </row>
        <row r="1729">
          <cell r="B1729" t="str">
            <v>25CF050L</v>
          </cell>
          <cell r="C1729" t="str">
            <v>UNEA FAB LH</v>
          </cell>
        </row>
        <row r="1730">
          <cell r="B1730" t="str">
            <v>25CF050R</v>
          </cell>
          <cell r="C1730" t="str">
            <v>UNEA FAB RH</v>
          </cell>
        </row>
        <row r="1731">
          <cell r="B1731" t="str">
            <v>261W030L</v>
          </cell>
          <cell r="C1731" t="str">
            <v>UNEA-B CAB OPW LH</v>
          </cell>
        </row>
        <row r="1732">
          <cell r="B1732" t="str">
            <v>261W030R</v>
          </cell>
          <cell r="C1732" t="str">
            <v>UNEA-B CAB OPW RH</v>
          </cell>
        </row>
        <row r="1733">
          <cell r="B1733" t="str">
            <v>261W030T</v>
          </cell>
          <cell r="C1733" t="str">
            <v>UNEA-B CAB OPW 拉带</v>
          </cell>
        </row>
        <row r="1734">
          <cell r="B1734" t="str">
            <v>25AW210L</v>
          </cell>
          <cell r="C1734" t="str">
            <v>UNEG CAB OPW LH</v>
          </cell>
        </row>
        <row r="1735">
          <cell r="B1735" t="str">
            <v>25AW210R</v>
          </cell>
          <cell r="C1735" t="str">
            <v>UNEG CAB OPW RH</v>
          </cell>
        </row>
        <row r="1736">
          <cell r="B1736" t="str">
            <v>25AW210Q</v>
          </cell>
          <cell r="C1736" t="str">
            <v>UNEG CAB OPW 导气袋</v>
          </cell>
        </row>
        <row r="1737">
          <cell r="B1737" t="str">
            <v>25AW210T</v>
          </cell>
          <cell r="C1737" t="str">
            <v>UNEG CAB OPW 拉带</v>
          </cell>
        </row>
        <row r="1738">
          <cell r="B1738" t="str">
            <v>237W078L</v>
          </cell>
          <cell r="C1738" t="str">
            <v>URE CAB OPW LH</v>
          </cell>
        </row>
        <row r="1739">
          <cell r="B1739" t="str">
            <v>237W078R</v>
          </cell>
          <cell r="C1739" t="str">
            <v>URE CAB OPW RH</v>
          </cell>
        </row>
        <row r="1740">
          <cell r="B1740" t="str">
            <v>237W078Q</v>
          </cell>
          <cell r="C1740" t="str">
            <v>URE CAB OPW 导气袋</v>
          </cell>
        </row>
        <row r="1741">
          <cell r="B1741" t="str">
            <v>237W078T</v>
          </cell>
          <cell r="C1741" t="str">
            <v>URE CAB OPW 拉带</v>
          </cell>
        </row>
        <row r="1742">
          <cell r="B1742" t="str">
            <v>25CD076</v>
          </cell>
          <cell r="C1742" t="str">
            <v>URECU DAB</v>
          </cell>
        </row>
        <row r="1743">
          <cell r="B1743" t="str">
            <v>25BW240L</v>
          </cell>
          <cell r="C1743" t="str">
            <v>URECU-B CAB OPW LH</v>
          </cell>
        </row>
        <row r="1744">
          <cell r="B1744" t="str">
            <v>25BW240R</v>
          </cell>
          <cell r="C1744" t="str">
            <v>URECU-B CAB OPW RH</v>
          </cell>
        </row>
        <row r="1745">
          <cell r="B1745" t="str">
            <v>223W032Q</v>
          </cell>
          <cell r="C1745" t="str">
            <v>UXEB CAB OPW 导气袋</v>
          </cell>
        </row>
        <row r="1746">
          <cell r="B1746" t="str">
            <v>234W048L</v>
          </cell>
          <cell r="C1746" t="str">
            <v>UXEB-B CAB OPW LH</v>
          </cell>
        </row>
        <row r="1747">
          <cell r="B1747" t="str">
            <v>234W048R</v>
          </cell>
          <cell r="C1747" t="str">
            <v>UXEB-B CAB OPW RH</v>
          </cell>
        </row>
        <row r="1748">
          <cell r="B1748" t="str">
            <v>223P018A</v>
          </cell>
          <cell r="C1748" t="str">
            <v>V216 CN PAB A状态</v>
          </cell>
        </row>
        <row r="1749">
          <cell r="B1749" t="str">
            <v>257F027</v>
          </cell>
          <cell r="C1749" t="str">
            <v>V32 FCA</v>
          </cell>
        </row>
        <row r="1750">
          <cell r="B1750" t="str">
            <v>266S072L</v>
          </cell>
          <cell r="C1750" t="str">
            <v>V32 RSAB LH</v>
          </cell>
        </row>
        <row r="1751">
          <cell r="B1751" t="str">
            <v>266S072R</v>
          </cell>
          <cell r="C1751" t="str">
            <v>V32 RSAB RH</v>
          </cell>
        </row>
        <row r="1752">
          <cell r="B1752" t="str">
            <v>245D030</v>
          </cell>
          <cell r="C1752" t="str">
            <v>V446K DAB</v>
          </cell>
        </row>
        <row r="1753">
          <cell r="B1753" t="str">
            <v>247S103BL</v>
          </cell>
          <cell r="C1753" t="str">
            <v>V446K FSAB LH B状态</v>
          </cell>
        </row>
        <row r="1754">
          <cell r="B1754" t="str">
            <v>247S103BR</v>
          </cell>
          <cell r="C1754" t="str">
            <v>V446K FSAB RH B状态</v>
          </cell>
        </row>
        <row r="1755">
          <cell r="B1755" t="str">
            <v>244W038</v>
          </cell>
          <cell r="C1755" t="str">
            <v>VAN.EA Private 1.0 AD OPW</v>
          </cell>
        </row>
        <row r="1756">
          <cell r="B1756" t="str">
            <v>23AP079</v>
          </cell>
          <cell r="C1756" t="str">
            <v>VDEBU PAB</v>
          </cell>
        </row>
        <row r="1757">
          <cell r="B1757" t="str">
            <v>173W14Q</v>
          </cell>
          <cell r="C1757" t="str">
            <v>VF12 OPW 导气袋</v>
          </cell>
        </row>
        <row r="1758">
          <cell r="B1758" t="str">
            <v>173W14T</v>
          </cell>
          <cell r="C1758" t="str">
            <v>VF12 OPW 拉带</v>
          </cell>
        </row>
        <row r="1759">
          <cell r="B1759" t="str">
            <v>22AD041</v>
          </cell>
          <cell r="C1759" t="str">
            <v>VOLVO P417 CN DAB</v>
          </cell>
        </row>
        <row r="1760">
          <cell r="B1760" t="str">
            <v>22AD042A</v>
          </cell>
          <cell r="C1760" t="str">
            <v>VOLVO P417 US DAB A状态</v>
          </cell>
        </row>
        <row r="1761">
          <cell r="B1761" t="str">
            <v>164D09A</v>
          </cell>
          <cell r="C1761" t="str">
            <v>VOLVO SPA EU DAB A状态 (国埃)</v>
          </cell>
        </row>
        <row r="1762">
          <cell r="B1762" t="str">
            <v>226D022B</v>
          </cell>
          <cell r="C1762" t="str">
            <v>Volvo V216 CN DAB B状态</v>
          </cell>
        </row>
        <row r="1763">
          <cell r="B1763" t="str">
            <v>223S019BL</v>
          </cell>
          <cell r="C1763" t="str">
            <v>VOLVO V216 SAB CN&amp;EU LH B状态</v>
          </cell>
        </row>
        <row r="1764">
          <cell r="B1764" t="str">
            <v>223S019BR</v>
          </cell>
          <cell r="C1764" t="str">
            <v>VOLVO V216 SAB CN&amp;EU RH B状态</v>
          </cell>
        </row>
        <row r="1765">
          <cell r="B1765" t="str">
            <v>237S071AL</v>
          </cell>
          <cell r="C1765" t="str">
            <v>VOLVO V216 SAB US LH A状态</v>
          </cell>
        </row>
        <row r="1766">
          <cell r="B1766" t="str">
            <v>237S071AR</v>
          </cell>
          <cell r="C1766" t="str">
            <v>VOLVO V216 SAB US RH A状态</v>
          </cell>
        </row>
        <row r="1767">
          <cell r="B1767" t="str">
            <v>221D004</v>
          </cell>
          <cell r="C1767" t="str">
            <v>Volvo V216 US DAB</v>
          </cell>
        </row>
        <row r="1768">
          <cell r="B1768" t="str">
            <v>228P049B</v>
          </cell>
          <cell r="C1768" t="str">
            <v>VOLVO V216 US PAB B状态</v>
          </cell>
        </row>
        <row r="1769">
          <cell r="B1769" t="str">
            <v>21BS084AL</v>
          </cell>
          <cell r="C1769" t="str">
            <v>VW 316/8 FSAB LH A状态</v>
          </cell>
        </row>
        <row r="1770">
          <cell r="B1770" t="str">
            <v>21BS084AR</v>
          </cell>
          <cell r="C1770" t="str">
            <v>VW 316/8 FSAB RH A状态</v>
          </cell>
        </row>
        <row r="1771">
          <cell r="B1771" t="str">
            <v>21BP076A</v>
          </cell>
          <cell r="C1771" t="str">
            <v>VW 316/8 PAB A状态</v>
          </cell>
        </row>
        <row r="1772">
          <cell r="B1772" t="str">
            <v>21BP076AQ</v>
          </cell>
          <cell r="C1772" t="str">
            <v>VW 316/8 PAB 导流袋 A状态</v>
          </cell>
        </row>
        <row r="1773">
          <cell r="B1773" t="str">
            <v>23BS111L</v>
          </cell>
          <cell r="C1773" t="str">
            <v>VW313 FSAB LH</v>
          </cell>
        </row>
        <row r="1774">
          <cell r="B1774" t="str">
            <v>23BS111R</v>
          </cell>
          <cell r="C1774" t="str">
            <v>VW313 FSAB RH</v>
          </cell>
        </row>
        <row r="1775">
          <cell r="B1775" t="str">
            <v>221S006AL</v>
          </cell>
          <cell r="C1775" t="str">
            <v>VW316/8 RSAB LH A状态</v>
          </cell>
        </row>
        <row r="1776">
          <cell r="B1776" t="str">
            <v>221S006AR</v>
          </cell>
          <cell r="C1776" t="str">
            <v>VW316/8 RSAB RH A状态</v>
          </cell>
        </row>
        <row r="1777">
          <cell r="B1777" t="str">
            <v>257F026B</v>
          </cell>
          <cell r="C1777" t="str">
            <v>VW316-6 CNX FCA B状态</v>
          </cell>
        </row>
        <row r="1778">
          <cell r="B1778" t="str">
            <v>21BF022BL</v>
          </cell>
          <cell r="C1778" t="str">
            <v>VW3168 FCAB LHD B状态</v>
          </cell>
        </row>
        <row r="1779">
          <cell r="B1779" t="str">
            <v>21BF022BR</v>
          </cell>
          <cell r="C1779" t="str">
            <v>VW3168 FCAB RHD B状态</v>
          </cell>
        </row>
        <row r="1780">
          <cell r="B1780" t="str">
            <v>223S016AL</v>
          </cell>
          <cell r="C1780" t="str">
            <v>VW336_0 FSAB LH A状态</v>
          </cell>
        </row>
        <row r="1781">
          <cell r="B1781" t="str">
            <v>223S016AR</v>
          </cell>
          <cell r="C1781" t="str">
            <v>VW336_0 FSAB RH A状态</v>
          </cell>
        </row>
        <row r="1782">
          <cell r="B1782" t="str">
            <v>174S26L</v>
          </cell>
          <cell r="C1782" t="str">
            <v>VW371 SAB LH</v>
          </cell>
        </row>
        <row r="1783">
          <cell r="B1783" t="str">
            <v>174S26R</v>
          </cell>
          <cell r="C1783" t="str">
            <v>VW371 SAB RH</v>
          </cell>
        </row>
        <row r="1784">
          <cell r="B1784" t="str">
            <v>216S031L</v>
          </cell>
          <cell r="C1784" t="str">
            <v>VW371/8 FSAB LH</v>
          </cell>
        </row>
        <row r="1785">
          <cell r="B1785" t="str">
            <v>216S031R</v>
          </cell>
          <cell r="C1785" t="str">
            <v>VW371/8 FSAB RH</v>
          </cell>
        </row>
        <row r="1786">
          <cell r="B1786" t="str">
            <v>24CS202AL</v>
          </cell>
          <cell r="C1786" t="str">
            <v>VW416/9 FSAB LH A状态</v>
          </cell>
        </row>
        <row r="1787">
          <cell r="B1787" t="str">
            <v>24CS202AR</v>
          </cell>
          <cell r="C1787" t="str">
            <v>VW416/9 FSAB RH A状态</v>
          </cell>
        </row>
        <row r="1788">
          <cell r="B1788" t="str">
            <v>229S075L</v>
          </cell>
          <cell r="C1788" t="str">
            <v>VW426 FSAB LH</v>
          </cell>
        </row>
        <row r="1789">
          <cell r="B1789" t="str">
            <v>229S075R</v>
          </cell>
          <cell r="C1789" t="str">
            <v>VW426 FSAB RH</v>
          </cell>
        </row>
        <row r="1790">
          <cell r="B1790" t="str">
            <v>229S076L</v>
          </cell>
          <cell r="C1790" t="str">
            <v>VW426/1 RSAB LH</v>
          </cell>
        </row>
        <row r="1791">
          <cell r="B1791" t="str">
            <v>229S076R</v>
          </cell>
          <cell r="C1791" t="str">
            <v>VW426/1 RSAB RH</v>
          </cell>
        </row>
        <row r="1792">
          <cell r="B1792" t="str">
            <v>223S018AL</v>
          </cell>
          <cell r="C1792" t="str">
            <v>VW491/1 FSAB LH A状态</v>
          </cell>
        </row>
        <row r="1793">
          <cell r="B1793" t="str">
            <v>223S018AR</v>
          </cell>
          <cell r="C1793" t="str">
            <v>VW491/1 FSAB RH A状态</v>
          </cell>
        </row>
        <row r="1794">
          <cell r="B1794" t="str">
            <v>219W155L</v>
          </cell>
          <cell r="C1794" t="str">
            <v>VX11-R1 CAB OPW LH</v>
          </cell>
        </row>
        <row r="1795">
          <cell r="B1795" t="str">
            <v>219W155R</v>
          </cell>
          <cell r="C1795" t="str">
            <v>VX11-R1 CAB OPW RH</v>
          </cell>
        </row>
        <row r="1796">
          <cell r="B1796" t="str">
            <v>219W155Q</v>
          </cell>
          <cell r="C1796" t="str">
            <v>VX11-R1 CAB OPW 导气袋</v>
          </cell>
        </row>
        <row r="1797">
          <cell r="B1797" t="str">
            <v>219W155T</v>
          </cell>
          <cell r="C1797" t="str">
            <v>VX11-R1 CAB OPW 拉带</v>
          </cell>
        </row>
        <row r="1798">
          <cell r="B1798" t="str">
            <v>238P056</v>
          </cell>
          <cell r="C1798" t="str">
            <v>W02 PAB</v>
          </cell>
        </row>
        <row r="1799">
          <cell r="B1799" t="str">
            <v>261F007</v>
          </cell>
          <cell r="C1799" t="str">
            <v>WK2C FCAB</v>
          </cell>
        </row>
        <row r="1800">
          <cell r="B1800" t="str">
            <v>219S069L</v>
          </cell>
          <cell r="C1800" t="str">
            <v>WX SAB D1 LH</v>
          </cell>
        </row>
        <row r="1801">
          <cell r="B1801" t="str">
            <v>219S069R</v>
          </cell>
          <cell r="C1801" t="str">
            <v>WX SAB D1 RH</v>
          </cell>
        </row>
        <row r="1802">
          <cell r="B1802" t="str">
            <v>20CP005C</v>
          </cell>
          <cell r="C1802" t="str">
            <v>X01 PAB C状态</v>
          </cell>
        </row>
        <row r="1803">
          <cell r="B1803" t="str">
            <v>23BW119L</v>
          </cell>
          <cell r="C1803" t="str">
            <v>X01B IC OPW LH</v>
          </cell>
        </row>
        <row r="1804">
          <cell r="B1804" t="str">
            <v>23BW119R</v>
          </cell>
          <cell r="C1804" t="str">
            <v>X01B IC OPW RH</v>
          </cell>
        </row>
        <row r="1805">
          <cell r="B1805" t="str">
            <v>23BW119Q</v>
          </cell>
          <cell r="C1805" t="str">
            <v>X01B IC OPW 导气袋</v>
          </cell>
        </row>
        <row r="1806">
          <cell r="B1806" t="str">
            <v>23BW119X</v>
          </cell>
          <cell r="C1806" t="str">
            <v>X01B IC OPW 耳片A半成品</v>
          </cell>
        </row>
        <row r="1807">
          <cell r="B1807" t="str">
            <v>23BW119T</v>
          </cell>
          <cell r="C1807" t="str">
            <v>X01B IC OPW 拉带</v>
          </cell>
        </row>
        <row r="1808">
          <cell r="B1808" t="str">
            <v>217W106AL</v>
          </cell>
          <cell r="C1808" t="str">
            <v>X1 CAB OPW LH（陶）</v>
          </cell>
        </row>
        <row r="1809">
          <cell r="B1809" t="str">
            <v>217W106AR</v>
          </cell>
          <cell r="C1809" t="str">
            <v>X1 CAB OPW RH（陶）</v>
          </cell>
        </row>
        <row r="1810">
          <cell r="B1810" t="str">
            <v>227S057L</v>
          </cell>
          <cell r="C1810" t="str">
            <v>X1 SAB LH</v>
          </cell>
        </row>
        <row r="1811">
          <cell r="B1811" t="str">
            <v>227S057R</v>
          </cell>
          <cell r="C1811" t="str">
            <v>X1 SAB RH</v>
          </cell>
        </row>
        <row r="1812">
          <cell r="B1812" t="str">
            <v>173W17L</v>
          </cell>
          <cell r="C1812" t="str">
            <v>X37 CAB OPW LH</v>
          </cell>
        </row>
        <row r="1813">
          <cell r="B1813" t="str">
            <v>173W17R</v>
          </cell>
          <cell r="C1813" t="str">
            <v>X37 CAB OPW RH</v>
          </cell>
        </row>
        <row r="1814">
          <cell r="B1814" t="str">
            <v>173W17P</v>
          </cell>
          <cell r="C1814" t="str">
            <v>X37 CAB OPW保护套</v>
          </cell>
        </row>
        <row r="1815">
          <cell r="B1815" t="str">
            <v>173W17Q</v>
          </cell>
          <cell r="C1815" t="str">
            <v>X37 CAB OPW导气袋</v>
          </cell>
        </row>
        <row r="1816">
          <cell r="B1816" t="str">
            <v>173W17T</v>
          </cell>
          <cell r="C1816" t="str">
            <v>X37 CAB OPW拉带</v>
          </cell>
        </row>
        <row r="1817">
          <cell r="B1817" t="str">
            <v>217W119T</v>
          </cell>
          <cell r="C1817" t="str">
            <v>X37 CAB OPW无导气袋 拉带</v>
          </cell>
        </row>
        <row r="1818">
          <cell r="B1818" t="str">
            <v>156C19ALT</v>
          </cell>
          <cell r="C1818" t="str">
            <v>X80 CABL拉带</v>
          </cell>
        </row>
        <row r="1819">
          <cell r="B1819" t="str">
            <v>156C19ART</v>
          </cell>
          <cell r="C1819" t="str">
            <v>X80 CABR拉带</v>
          </cell>
        </row>
        <row r="1820">
          <cell r="B1820" t="str">
            <v>263C004Q</v>
          </cell>
          <cell r="C1820" t="str">
            <v>X81KS RWIC导气袋</v>
          </cell>
        </row>
        <row r="1821">
          <cell r="B1821" t="str">
            <v>233S019CL</v>
          </cell>
          <cell r="C1821" t="str">
            <v>XE08 RSAB LH C状态</v>
          </cell>
        </row>
        <row r="1822">
          <cell r="B1822" t="str">
            <v>233S019CR</v>
          </cell>
          <cell r="C1822" t="str">
            <v>XE08 RSAB RH C状态</v>
          </cell>
        </row>
        <row r="1823">
          <cell r="B1823" t="str">
            <v>22BS089AL</v>
          </cell>
          <cell r="C1823" t="str">
            <v>Xpeng E28A SAB LH A状态</v>
          </cell>
        </row>
        <row r="1824">
          <cell r="B1824" t="str">
            <v>22BS089AR</v>
          </cell>
          <cell r="C1824" t="str">
            <v>Xpeng E28A SAB RH A状态</v>
          </cell>
        </row>
        <row r="1825">
          <cell r="B1825" t="str">
            <v>218D039</v>
          </cell>
          <cell r="C1825" t="str">
            <v>Xpeng E38 DAB</v>
          </cell>
        </row>
        <row r="1826">
          <cell r="B1826" t="str">
            <v>218S049AL</v>
          </cell>
          <cell r="C1826" t="str">
            <v>Xpeng E38 FSAB LH A状态</v>
          </cell>
        </row>
        <row r="1827">
          <cell r="B1827" t="str">
            <v>218S049AR</v>
          </cell>
          <cell r="C1827" t="str">
            <v>Xpeng E38 FSAB RH A状态</v>
          </cell>
        </row>
        <row r="1828">
          <cell r="B1828" t="str">
            <v>218W123EL</v>
          </cell>
          <cell r="C1828" t="str">
            <v>XPENG E38 IC OPW LH E状态</v>
          </cell>
        </row>
        <row r="1829">
          <cell r="B1829" t="str">
            <v>218W123ER</v>
          </cell>
          <cell r="C1829" t="str">
            <v>XPENG E38 IC OPW RH E状态</v>
          </cell>
        </row>
        <row r="1830">
          <cell r="B1830" t="str">
            <v>218W123DQ</v>
          </cell>
          <cell r="C1830" t="str">
            <v>XPENG E38 IC OPW 导气袋D状态</v>
          </cell>
        </row>
        <row r="1831">
          <cell r="B1831" t="str">
            <v>218W123DT</v>
          </cell>
          <cell r="C1831" t="str">
            <v>XPENG E38 IC OPW 拉带D状态</v>
          </cell>
        </row>
        <row r="1832">
          <cell r="B1832" t="str">
            <v>246S077L</v>
          </cell>
          <cell r="C1832" t="str">
            <v>XPENG F01 FSAB LH</v>
          </cell>
        </row>
        <row r="1833">
          <cell r="B1833" t="str">
            <v>246S077R</v>
          </cell>
          <cell r="C1833" t="str">
            <v>XPENG F01 FSAB RH</v>
          </cell>
        </row>
        <row r="1834">
          <cell r="B1834" t="str">
            <v>258S092L</v>
          </cell>
          <cell r="C1834" t="str">
            <v>XPENG F01S FSAB LH</v>
          </cell>
        </row>
        <row r="1835">
          <cell r="B1835" t="str">
            <v>258S092R</v>
          </cell>
          <cell r="C1835" t="str">
            <v>XPENG F01S FSAB RH</v>
          </cell>
        </row>
        <row r="1836">
          <cell r="B1836" t="str">
            <v>253D012A</v>
          </cell>
          <cell r="C1836" t="str">
            <v>Xpeng G01 DAB A状态</v>
          </cell>
        </row>
        <row r="1837">
          <cell r="B1837" t="str">
            <v>22CD051</v>
          </cell>
          <cell r="C1837" t="str">
            <v>XPENG H93 DAB</v>
          </cell>
        </row>
        <row r="1838">
          <cell r="B1838" t="str">
            <v>22AS083L</v>
          </cell>
          <cell r="C1838" t="str">
            <v>Xpeng H93 SAB LH</v>
          </cell>
        </row>
        <row r="1839">
          <cell r="B1839" t="str">
            <v>22AS083R</v>
          </cell>
          <cell r="C1839" t="str">
            <v>Xpeng H93 SAB RH</v>
          </cell>
        </row>
        <row r="1840">
          <cell r="B1840" t="str">
            <v>246D037</v>
          </cell>
          <cell r="C1840" t="str">
            <v>Xpeng X3 DAB</v>
          </cell>
        </row>
        <row r="1841">
          <cell r="B1841" t="str">
            <v>245P068</v>
          </cell>
          <cell r="C1841" t="str">
            <v>XPG E29 PAB</v>
          </cell>
        </row>
        <row r="1842">
          <cell r="B1842" t="str">
            <v>22BP081E</v>
          </cell>
          <cell r="C1842" t="str">
            <v>XPG H93 PAB E状态</v>
          </cell>
        </row>
        <row r="1843">
          <cell r="B1843" t="str">
            <v>223P014D</v>
          </cell>
          <cell r="C1843" t="str">
            <v>ZEEKR BX1E PAB D状态</v>
          </cell>
        </row>
        <row r="1844">
          <cell r="B1844" t="str">
            <v>23AS104L</v>
          </cell>
          <cell r="C1844" t="str">
            <v>ZEEKR CX1E FSAB LH</v>
          </cell>
        </row>
        <row r="1845">
          <cell r="B1845" t="str">
            <v>23AS104R</v>
          </cell>
          <cell r="C1845" t="str">
            <v>ZEEKR CX1E FSAB RH</v>
          </cell>
        </row>
        <row r="1846">
          <cell r="B1846" t="str">
            <v>119P01</v>
          </cell>
          <cell r="C1846" t="str">
            <v>ZOTYE A01 PAB</v>
          </cell>
        </row>
        <row r="1847">
          <cell r="B1847" t="str">
            <v>174S25L</v>
          </cell>
          <cell r="C1847" t="str">
            <v>ZOTYE A12 SAB LH</v>
          </cell>
        </row>
        <row r="1848">
          <cell r="B1848" t="str">
            <v>174S25R</v>
          </cell>
          <cell r="C1848" t="str">
            <v>ZOTYE A12 SAB RH</v>
          </cell>
        </row>
        <row r="1849">
          <cell r="B1849" t="str">
            <v>186C19Q</v>
          </cell>
          <cell r="C1849" t="str">
            <v>ZS11 CAB 导气袋</v>
          </cell>
        </row>
        <row r="1850">
          <cell r="B1850" t="str">
            <v>186C19T</v>
          </cell>
          <cell r="C1850" t="str">
            <v>ZS11 CAB 拉带</v>
          </cell>
        </row>
        <row r="1851">
          <cell r="B1851" t="str">
            <v>25BP123</v>
          </cell>
          <cell r="C1851" t="str">
            <v>ZS11 TNACP PAB</v>
          </cell>
        </row>
        <row r="1852">
          <cell r="B1852" t="str">
            <v>185C18Q</v>
          </cell>
          <cell r="C1852" t="str">
            <v>ZS11E CAB导气袋</v>
          </cell>
        </row>
        <row r="1853">
          <cell r="B1853" t="str">
            <v>185C18T</v>
          </cell>
          <cell r="C1853" t="str">
            <v>ZS11E CAB拉带</v>
          </cell>
        </row>
        <row r="1854">
          <cell r="B1854" t="str">
            <v>245S048AL</v>
          </cell>
          <cell r="C1854" t="str">
            <v>ZS3EM SAB LH A状态</v>
          </cell>
        </row>
        <row r="1855">
          <cell r="B1855" t="str">
            <v>245S048AR</v>
          </cell>
          <cell r="C1855" t="str">
            <v>ZS3EM SAB RH A状态</v>
          </cell>
        </row>
        <row r="1856">
          <cell r="B1856" t="str">
            <v>166W28AL</v>
          </cell>
          <cell r="C1856" t="str">
            <v>汉腾M11 OPW CAB LH A状态</v>
          </cell>
        </row>
        <row r="1857">
          <cell r="B1857" t="str">
            <v>166W28AR</v>
          </cell>
          <cell r="C1857" t="str">
            <v>汉腾M11 OPW CAB RH A状态</v>
          </cell>
        </row>
        <row r="1858">
          <cell r="B1858" t="str">
            <v>234W043L</v>
          </cell>
          <cell r="C1858" t="str">
            <v>红旗C801 CAB OPW LH</v>
          </cell>
        </row>
        <row r="1859">
          <cell r="B1859" t="str">
            <v>234W043R</v>
          </cell>
          <cell r="C1859" t="str">
            <v>红旗C801 CAB OPW RH</v>
          </cell>
        </row>
        <row r="1860">
          <cell r="B1860" t="str">
            <v>163W06AL</v>
          </cell>
          <cell r="C1860" t="str">
            <v>柳汽SX5 OPW L A状态</v>
          </cell>
        </row>
        <row r="1861">
          <cell r="B1861" t="str">
            <v>163W06AR</v>
          </cell>
          <cell r="C1861" t="str">
            <v>柳汽SX5 OPW R A状态</v>
          </cell>
        </row>
        <row r="1862">
          <cell r="B1862" t="str">
            <v>14AW34AL</v>
          </cell>
          <cell r="C1862" t="str">
            <v>奇瑞T15 OPW Z-188 LH</v>
          </cell>
        </row>
        <row r="1863">
          <cell r="B1863" t="str">
            <v>14AW34AR</v>
          </cell>
          <cell r="C1863" t="str">
            <v>奇瑞T15 OPW Z-189 RH</v>
          </cell>
        </row>
        <row r="1864">
          <cell r="B1864" t="str">
            <v>226W072AL</v>
          </cell>
          <cell r="C1864" t="str">
            <v>日产623 CAB OPW LH A状态</v>
          </cell>
        </row>
        <row r="1865">
          <cell r="B1865" t="str">
            <v>226W072AR</v>
          </cell>
          <cell r="C1865" t="str">
            <v>日产623 CAB OPW RH A状态</v>
          </cell>
        </row>
        <row r="1866">
          <cell r="B1866" t="str">
            <v>249W173L</v>
          </cell>
          <cell r="C1866" t="str">
            <v>日产LK1A MAX CAB OPW LH</v>
          </cell>
        </row>
        <row r="1867">
          <cell r="B1867" t="str">
            <v>249W173R</v>
          </cell>
          <cell r="C1867" t="str">
            <v>日产LK1A MAX CAB OPW RH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U2689"/>
  <sheetViews>
    <sheetView tabSelected="1" workbookViewId="0">
      <pane xSplit="16" ySplit="5" topLeftCell="Q6" activePane="bottomRight" state="frozen"/>
      <selection/>
      <selection pane="topRight"/>
      <selection pane="bottomLeft"/>
      <selection pane="bottomRight" activeCell="G6" sqref="G6"/>
    </sheetView>
  </sheetViews>
  <sheetFormatPr defaultColWidth="9" defaultRowHeight="15"/>
  <cols>
    <col min="1" max="1" width="4.875" style="4" customWidth="1"/>
    <col min="2" max="3" width="4" style="5" customWidth="1"/>
    <col min="4" max="4" width="5.875" style="6" customWidth="1"/>
    <col min="5" max="5" width="8.875" style="6" customWidth="1"/>
    <col min="6" max="6" width="12.5" style="6" customWidth="1"/>
    <col min="7" max="7" width="9" style="6" customWidth="1"/>
    <col min="8" max="8" width="9.875" style="7" customWidth="1"/>
    <col min="9" max="9" width="7.75" style="8" customWidth="1"/>
    <col min="10" max="10" width="3.75" style="8" customWidth="1"/>
    <col min="11" max="11" width="5" style="9" customWidth="1"/>
    <col min="12" max="12" width="5" style="5" customWidth="1"/>
    <col min="13" max="13" width="5.875" style="8" customWidth="1"/>
    <col min="14" max="14" width="5" style="10" customWidth="1"/>
    <col min="15" max="15" width="5" style="5" customWidth="1"/>
    <col min="16" max="16" width="4.625" style="11" customWidth="1"/>
    <col min="17" max="30" width="4.525" style="12" hidden="1" customWidth="1"/>
    <col min="31" max="56" width="4.525" style="12" customWidth="1"/>
    <col min="57" max="58" width="4.625" style="13" customWidth="1"/>
    <col min="59" max="60" width="5.625" style="11" customWidth="1"/>
    <col min="61" max="67" width="5.625" style="11" hidden="1" customWidth="1"/>
    <col min="68" max="68" width="5.5" style="11" hidden="1" customWidth="1"/>
    <col min="69" max="73" width="5.625" style="11" hidden="1" customWidth="1"/>
    <col min="74" max="74" width="5.5" style="11" hidden="1" customWidth="1"/>
    <col min="75" max="75" width="9" style="14"/>
    <col min="76" max="16281" width="9" style="3"/>
  </cols>
  <sheetData>
    <row r="1" ht="21" customHeight="1" spans="1: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15"/>
      <c r="M1" s="17"/>
      <c r="N1" s="15"/>
      <c r="O1" s="15"/>
      <c r="P1" s="15"/>
      <c r="Q1" s="18"/>
      <c r="R1" s="18"/>
      <c r="S1" s="18"/>
      <c r="T1" s="18"/>
      <c r="U1" s="18"/>
      <c r="V1" s="18"/>
      <c r="W1" s="19"/>
      <c r="X1" s="19"/>
      <c r="Y1" s="19"/>
      <c r="Z1" s="19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9"/>
      <c r="AL1" s="19"/>
      <c r="AM1" s="19"/>
      <c r="AN1" s="19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9" t="s">
        <v>1</v>
      </c>
      <c r="AZ1" s="19"/>
      <c r="BA1" s="19"/>
      <c r="BB1" s="19"/>
      <c r="BC1" s="18"/>
      <c r="BD1" s="18"/>
      <c r="BE1" s="20"/>
      <c r="BF1" s="20"/>
      <c r="BG1" s="21"/>
      <c r="BH1" s="21"/>
      <c r="BI1" s="21"/>
      <c r="BJ1" s="22"/>
      <c r="BK1" s="23" t="s">
        <v>2</v>
      </c>
      <c r="BL1" s="23"/>
      <c r="BM1" s="23"/>
      <c r="BN1" s="23"/>
      <c r="BO1" s="24" t="s">
        <v>3</v>
      </c>
      <c r="BP1" s="24"/>
      <c r="BQ1" s="23" t="s">
        <v>2</v>
      </c>
      <c r="BR1" s="23"/>
      <c r="BS1" s="23"/>
      <c r="BT1" s="23"/>
      <c r="BU1" s="24" t="s">
        <v>3</v>
      </c>
      <c r="BV1" s="24"/>
    </row>
    <row r="2" ht="21" customHeight="1" spans="1:75">
      <c r="A2" s="15"/>
      <c r="B2" s="15"/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5"/>
      <c r="O2" s="15"/>
      <c r="P2" s="15"/>
      <c r="Q2" s="18"/>
      <c r="R2" s="18"/>
      <c r="S2" s="18"/>
      <c r="T2" s="18"/>
      <c r="U2" s="18"/>
      <c r="V2" s="18"/>
      <c r="W2" s="19"/>
      <c r="X2" s="19"/>
      <c r="Y2" s="19"/>
      <c r="Z2" s="19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9"/>
      <c r="AL2" s="19"/>
      <c r="AM2" s="19"/>
      <c r="AN2" s="19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9"/>
      <c r="AZ2" s="19"/>
      <c r="BA2" s="19"/>
      <c r="BB2" s="19"/>
      <c r="BC2" s="18"/>
      <c r="BD2" s="18"/>
      <c r="BE2" s="20"/>
      <c r="BF2" s="20"/>
      <c r="BG2" s="21"/>
      <c r="BI2" s="21"/>
      <c r="BJ2" s="22"/>
      <c r="BK2" s="23"/>
      <c r="BL2" s="23"/>
      <c r="BM2" s="23"/>
      <c r="BN2" s="23"/>
      <c r="BO2" s="24"/>
      <c r="BP2" s="24"/>
      <c r="BQ2" s="23"/>
      <c r="BR2" s="23"/>
      <c r="BS2" s="23"/>
      <c r="BT2" s="23"/>
      <c r="BU2" s="24"/>
      <c r="BV2" s="24"/>
    </row>
    <row r="3" spans="1:75">
      <c r="A3" s="25" t="s">
        <v>4</v>
      </c>
      <c r="B3" s="26" t="s">
        <v>5</v>
      </c>
      <c r="C3" s="26" t="s">
        <v>6</v>
      </c>
      <c r="D3" s="27" t="s">
        <v>7</v>
      </c>
      <c r="E3" s="27"/>
      <c r="F3" s="27"/>
      <c r="G3" s="27"/>
      <c r="H3" s="27"/>
      <c r="I3" s="28"/>
      <c r="J3" s="29" t="s">
        <v>8</v>
      </c>
      <c r="K3" s="30" t="s">
        <v>9</v>
      </c>
      <c r="L3" s="25" t="s">
        <v>10</v>
      </c>
      <c r="M3" s="31" t="s">
        <v>11</v>
      </c>
      <c r="N3" s="32" t="s">
        <v>12</v>
      </c>
      <c r="O3" s="32" t="s">
        <v>10</v>
      </c>
      <c r="P3" s="33" t="s">
        <v>13</v>
      </c>
      <c r="Q3" s="34">
        <v>46239</v>
      </c>
      <c r="R3" s="34"/>
      <c r="S3" s="34">
        <v>46240</v>
      </c>
      <c r="T3" s="34"/>
      <c r="U3" s="34">
        <v>46241</v>
      </c>
      <c r="V3" s="34"/>
      <c r="W3" s="34">
        <v>46242</v>
      </c>
      <c r="X3" s="34"/>
      <c r="Y3" s="34">
        <v>46243</v>
      </c>
      <c r="Z3" s="34"/>
      <c r="AA3" s="34">
        <v>46244</v>
      </c>
      <c r="AB3" s="34"/>
      <c r="AC3" s="34">
        <v>46245</v>
      </c>
      <c r="AD3" s="34"/>
      <c r="AE3" s="34">
        <v>46246</v>
      </c>
      <c r="AF3" s="34"/>
      <c r="AG3" s="34">
        <v>46247</v>
      </c>
      <c r="AH3" s="34"/>
      <c r="AI3" s="34">
        <v>46248</v>
      </c>
      <c r="AJ3" s="34"/>
      <c r="AK3" s="34">
        <v>46249</v>
      </c>
      <c r="AL3" s="34"/>
      <c r="AM3" s="34">
        <v>46250</v>
      </c>
      <c r="AN3" s="34"/>
      <c r="AO3" s="34">
        <v>46251</v>
      </c>
      <c r="AP3" s="34"/>
      <c r="AQ3" s="34">
        <v>46252</v>
      </c>
      <c r="AR3" s="34"/>
      <c r="AS3" s="34">
        <v>46253</v>
      </c>
      <c r="AT3" s="34"/>
      <c r="AU3" s="34">
        <v>46254</v>
      </c>
      <c r="AV3" s="34"/>
      <c r="AW3" s="34">
        <v>46255</v>
      </c>
      <c r="AX3" s="34"/>
      <c r="AY3" s="34">
        <v>46256</v>
      </c>
      <c r="AZ3" s="34"/>
      <c r="BA3" s="34">
        <v>46257</v>
      </c>
      <c r="BB3" s="34"/>
      <c r="BC3" s="34">
        <v>46258</v>
      </c>
      <c r="BD3" s="34"/>
      <c r="BE3" s="35" t="s">
        <v>14</v>
      </c>
      <c r="BF3" s="36"/>
      <c r="BG3" s="37" t="s">
        <v>15</v>
      </c>
      <c r="BH3" s="38"/>
      <c r="BI3" s="39" t="s">
        <v>16</v>
      </c>
      <c r="BJ3" s="40" t="s">
        <v>17</v>
      </c>
      <c r="BK3" s="37" t="s">
        <v>18</v>
      </c>
      <c r="BL3" s="41" t="s">
        <v>19</v>
      </c>
      <c r="BM3" s="42" t="s">
        <v>20</v>
      </c>
      <c r="BN3" s="43" t="s">
        <v>21</v>
      </c>
      <c r="BO3" s="24"/>
      <c r="BP3" s="24"/>
      <c r="BQ3" s="37" t="s">
        <v>18</v>
      </c>
      <c r="BR3" s="41" t="s">
        <v>19</v>
      </c>
      <c r="BS3" s="42" t="s">
        <v>20</v>
      </c>
      <c r="BT3" s="43" t="s">
        <v>21</v>
      </c>
      <c r="BU3" s="24"/>
      <c r="BV3" s="24"/>
      <c r="BW3" s="44" t="s">
        <v>22</v>
      </c>
    </row>
    <row r="4" ht="19" spans="1:75">
      <c r="A4" s="25"/>
      <c r="B4" s="26"/>
      <c r="C4" s="26"/>
      <c r="D4" s="45" t="s">
        <v>23</v>
      </c>
      <c r="E4" s="45"/>
      <c r="F4" s="45"/>
      <c r="G4" s="45"/>
      <c r="H4" s="28"/>
      <c r="I4" s="28"/>
      <c r="J4" s="29"/>
      <c r="K4" s="30"/>
      <c r="L4" s="25"/>
      <c r="M4" s="31"/>
      <c r="N4" s="32"/>
      <c r="O4" s="32"/>
      <c r="P4" s="33"/>
      <c r="Q4" s="46" t="s">
        <v>24</v>
      </c>
      <c r="R4" s="46"/>
      <c r="S4" s="46" t="s">
        <v>25</v>
      </c>
      <c r="T4" s="46"/>
      <c r="U4" s="46" t="s">
        <v>26</v>
      </c>
      <c r="V4" s="46"/>
      <c r="W4" s="46" t="s">
        <v>27</v>
      </c>
      <c r="X4" s="46"/>
      <c r="Y4" s="46" t="s">
        <v>28</v>
      </c>
      <c r="Z4" s="46"/>
      <c r="AA4" s="46" t="s">
        <v>29</v>
      </c>
      <c r="AB4" s="46"/>
      <c r="AC4" s="46" t="s">
        <v>30</v>
      </c>
      <c r="AD4" s="46"/>
      <c r="AE4" s="46" t="s">
        <v>24</v>
      </c>
      <c r="AF4" s="46"/>
      <c r="AG4" s="46" t="s">
        <v>25</v>
      </c>
      <c r="AH4" s="46"/>
      <c r="AI4" s="46" t="s">
        <v>26</v>
      </c>
      <c r="AJ4" s="46"/>
      <c r="AK4" s="46" t="s">
        <v>27</v>
      </c>
      <c r="AL4" s="46"/>
      <c r="AM4" s="46" t="s">
        <v>28</v>
      </c>
      <c r="AN4" s="46"/>
      <c r="AO4" s="46" t="s">
        <v>29</v>
      </c>
      <c r="AP4" s="46"/>
      <c r="AQ4" s="46" t="s">
        <v>30</v>
      </c>
      <c r="AR4" s="46"/>
      <c r="AS4" s="46" t="s">
        <v>24</v>
      </c>
      <c r="AT4" s="46"/>
      <c r="AU4" s="46" t="s">
        <v>25</v>
      </c>
      <c r="AV4" s="46"/>
      <c r="AW4" s="46" t="s">
        <v>26</v>
      </c>
      <c r="AX4" s="46"/>
      <c r="AY4" s="46" t="s">
        <v>27</v>
      </c>
      <c r="AZ4" s="46"/>
      <c r="BA4" s="46" t="s">
        <v>28</v>
      </c>
      <c r="BB4" s="46"/>
      <c r="BC4" s="46" t="s">
        <v>29</v>
      </c>
      <c r="BD4" s="46"/>
      <c r="BE4" s="47"/>
      <c r="BF4" s="48"/>
      <c r="BG4" s="37"/>
      <c r="BH4" s="21" t="s">
        <v>31</v>
      </c>
      <c r="BI4" s="39"/>
      <c r="BJ4" s="40"/>
      <c r="BK4" s="37"/>
      <c r="BL4" s="49"/>
      <c r="BM4" s="50"/>
      <c r="BN4" s="43"/>
      <c r="BO4" s="51" t="s">
        <v>32</v>
      </c>
      <c r="BP4" s="51"/>
      <c r="BQ4" s="37"/>
      <c r="BR4" s="49"/>
      <c r="BS4" s="50"/>
      <c r="BT4" s="43"/>
      <c r="BU4" s="51" t="s">
        <v>32</v>
      </c>
      <c r="BV4" s="51"/>
      <c r="BW4" s="44"/>
    </row>
    <row r="5" spans="1:75">
      <c r="A5" s="25"/>
      <c r="B5" s="26"/>
      <c r="C5" s="26"/>
      <c r="D5" s="52" t="s">
        <v>33</v>
      </c>
      <c r="E5" s="52" t="s">
        <v>34</v>
      </c>
      <c r="F5" s="52" t="s">
        <v>35</v>
      </c>
      <c r="G5" s="52" t="s">
        <v>36</v>
      </c>
      <c r="H5" s="52" t="s">
        <v>37</v>
      </c>
      <c r="I5" s="52" t="s">
        <v>38</v>
      </c>
      <c r="J5" s="29"/>
      <c r="K5" s="30"/>
      <c r="L5" s="25"/>
      <c r="M5" s="31"/>
      <c r="N5" s="32"/>
      <c r="O5" s="32"/>
      <c r="P5" s="33"/>
      <c r="Q5" s="46" t="s">
        <v>39</v>
      </c>
      <c r="R5" s="46" t="s">
        <v>40</v>
      </c>
      <c r="S5" s="46" t="s">
        <v>39</v>
      </c>
      <c r="T5" s="46" t="s">
        <v>40</v>
      </c>
      <c r="U5" s="46" t="s">
        <v>39</v>
      </c>
      <c r="V5" s="46" t="s">
        <v>40</v>
      </c>
      <c r="W5" s="46" t="s">
        <v>39</v>
      </c>
      <c r="X5" s="46" t="s">
        <v>40</v>
      </c>
      <c r="Y5" s="46" t="s">
        <v>39</v>
      </c>
      <c r="Z5" s="46" t="s">
        <v>40</v>
      </c>
      <c r="AA5" s="46" t="s">
        <v>39</v>
      </c>
      <c r="AB5" s="46" t="s">
        <v>40</v>
      </c>
      <c r="AC5" s="46" t="s">
        <v>39</v>
      </c>
      <c r="AD5" s="46" t="s">
        <v>40</v>
      </c>
      <c r="AE5" s="46" t="s">
        <v>39</v>
      </c>
      <c r="AF5" s="46" t="s">
        <v>40</v>
      </c>
      <c r="AG5" s="46" t="s">
        <v>39</v>
      </c>
      <c r="AH5" s="46" t="s">
        <v>40</v>
      </c>
      <c r="AI5" s="46" t="s">
        <v>39</v>
      </c>
      <c r="AJ5" s="46" t="s">
        <v>40</v>
      </c>
      <c r="AK5" s="46" t="s">
        <v>39</v>
      </c>
      <c r="AL5" s="46" t="s">
        <v>40</v>
      </c>
      <c r="AM5" s="46" t="s">
        <v>39</v>
      </c>
      <c r="AN5" s="46" t="s">
        <v>40</v>
      </c>
      <c r="AO5" s="46" t="s">
        <v>39</v>
      </c>
      <c r="AP5" s="46" t="s">
        <v>40</v>
      </c>
      <c r="AQ5" s="46" t="s">
        <v>39</v>
      </c>
      <c r="AR5" s="46" t="s">
        <v>40</v>
      </c>
      <c r="AS5" s="46" t="s">
        <v>39</v>
      </c>
      <c r="AT5" s="46" t="s">
        <v>40</v>
      </c>
      <c r="AU5" s="46" t="s">
        <v>39</v>
      </c>
      <c r="AV5" s="46" t="s">
        <v>40</v>
      </c>
      <c r="AW5" s="46" t="s">
        <v>39</v>
      </c>
      <c r="AX5" s="46" t="s">
        <v>40</v>
      </c>
      <c r="AY5" s="46" t="s">
        <v>39</v>
      </c>
      <c r="AZ5" s="46" t="s">
        <v>40</v>
      </c>
      <c r="BA5" s="46" t="s">
        <v>39</v>
      </c>
      <c r="BB5" s="46" t="s">
        <v>40</v>
      </c>
      <c r="BC5" s="46" t="s">
        <v>39</v>
      </c>
      <c r="BD5" s="46" t="s">
        <v>40</v>
      </c>
      <c r="BE5" s="53" t="s">
        <v>39</v>
      </c>
      <c r="BF5" s="53" t="s">
        <v>40</v>
      </c>
      <c r="BG5" s="37"/>
      <c r="BH5" s="38"/>
      <c r="BI5" s="39"/>
      <c r="BJ5" s="40"/>
      <c r="BK5" s="37"/>
      <c r="BL5" s="54"/>
      <c r="BM5" s="50"/>
      <c r="BN5" s="43"/>
      <c r="BO5" s="51"/>
      <c r="BP5" s="51"/>
      <c r="BQ5" s="37"/>
      <c r="BR5" s="54"/>
      <c r="BS5" s="50"/>
      <c r="BT5" s="43"/>
      <c r="BU5" s="51"/>
      <c r="BV5" s="51"/>
      <c r="BW5" s="44"/>
    </row>
    <row r="6" ht="30" customHeight="1" spans="1:75">
      <c r="A6" s="55" t="s">
        <v>41</v>
      </c>
      <c r="B6" s="56" t="s">
        <v>42</v>
      </c>
      <c r="C6" s="57" t="s">
        <v>43</v>
      </c>
      <c r="D6" s="58" t="s">
        <v>44</v>
      </c>
      <c r="E6" s="59" t="s">
        <v>45</v>
      </c>
      <c r="F6" s="59" t="str">
        <f>VLOOKUP(E6,[1]库存!$B$1:$C$65536,2,FALSE)</f>
        <v>B311 SAB LH （埃）</v>
      </c>
      <c r="G6" s="308" t="s">
        <v>46</v>
      </c>
      <c r="H6" s="52" t="s">
        <v>47</v>
      </c>
      <c r="I6" s="52" t="s">
        <v>48</v>
      </c>
      <c r="J6" s="60" t="s">
        <v>49</v>
      </c>
      <c r="K6" s="61"/>
      <c r="L6" s="62">
        <v>2</v>
      </c>
      <c r="M6" s="63">
        <v>1700</v>
      </c>
      <c r="N6" s="64">
        <v>10</v>
      </c>
      <c r="O6" s="62">
        <v>2</v>
      </c>
      <c r="P6" s="65">
        <f t="shared" ref="P6:P69" si="0">SUM(AG6:AJ6)</f>
        <v>0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  <c r="BF6" s="67"/>
      <c r="BG6" s="68"/>
      <c r="BI6" s="69">
        <v>0</v>
      </c>
      <c r="BJ6" s="70">
        <v>0</v>
      </c>
      <c r="BK6" s="71">
        <v>0</v>
      </c>
      <c r="BL6" s="71">
        <v>0</v>
      </c>
      <c r="BM6" s="71">
        <v>0</v>
      </c>
      <c r="BN6" s="72">
        <v>0</v>
      </c>
      <c r="BO6" s="73"/>
      <c r="BP6" s="73"/>
      <c r="BQ6" s="71">
        <v>0</v>
      </c>
      <c r="BR6" s="71">
        <v>0</v>
      </c>
      <c r="BS6" s="71">
        <v>0</v>
      </c>
      <c r="BT6" s="72">
        <v>0</v>
      </c>
      <c r="BU6" s="73"/>
      <c r="BV6" s="73"/>
    </row>
    <row r="7" ht="30" customHeight="1" spans="1:75">
      <c r="A7" s="55">
        <v>0</v>
      </c>
      <c r="B7" s="56">
        <v>0</v>
      </c>
      <c r="C7" s="57">
        <v>0</v>
      </c>
      <c r="D7" s="58"/>
      <c r="E7" s="74"/>
      <c r="F7" s="59" t="e">
        <f>VLOOKUP(E7,[1]库存!$B$1:$C$65536,2,FALSE)</f>
        <v>#N/A</v>
      </c>
      <c r="G7" s="59" t="e">
        <v>#N/A</v>
      </c>
      <c r="H7" s="52"/>
      <c r="I7" s="52"/>
      <c r="J7" s="75"/>
      <c r="K7" s="61"/>
      <c r="L7" s="62">
        <v>0</v>
      </c>
      <c r="M7" s="63">
        <v>0</v>
      </c>
      <c r="N7" s="64">
        <v>0</v>
      </c>
      <c r="O7" s="62">
        <v>0</v>
      </c>
      <c r="P7" s="65">
        <f t="shared" si="0"/>
        <v>0</v>
      </c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/>
      <c r="BF7" s="67"/>
      <c r="BG7" s="68"/>
      <c r="BI7" s="69">
        <v>0</v>
      </c>
      <c r="BJ7" s="70">
        <v>0</v>
      </c>
      <c r="BK7" s="71">
        <v>0</v>
      </c>
      <c r="BL7" s="71">
        <v>0</v>
      </c>
      <c r="BM7" s="71">
        <v>0</v>
      </c>
      <c r="BN7" s="72">
        <v>0</v>
      </c>
      <c r="BO7" s="73"/>
      <c r="BP7" s="73"/>
      <c r="BQ7" s="71">
        <v>0</v>
      </c>
      <c r="BR7" s="71">
        <v>0</v>
      </c>
      <c r="BS7" s="71">
        <v>0</v>
      </c>
      <c r="BT7" s="72">
        <v>0</v>
      </c>
      <c r="BU7" s="73"/>
      <c r="BV7" s="73"/>
    </row>
    <row r="8" ht="30" customHeight="1" spans="1:75">
      <c r="A8" s="55" t="s">
        <v>41</v>
      </c>
      <c r="B8" s="56" t="s">
        <v>42</v>
      </c>
      <c r="C8" s="57" t="s">
        <v>43</v>
      </c>
      <c r="D8" s="58" t="s">
        <v>44</v>
      </c>
      <c r="E8" s="59" t="s">
        <v>50</v>
      </c>
      <c r="F8" s="59" t="str">
        <f>VLOOKUP(E8,[1]库存!$B$1:$C$65536,2,FALSE)</f>
        <v>B311 SAB RH （埃）</v>
      </c>
      <c r="G8" s="59" t="s">
        <v>51</v>
      </c>
      <c r="H8" s="52" t="s">
        <v>52</v>
      </c>
      <c r="I8" s="52" t="s">
        <v>48</v>
      </c>
      <c r="J8" s="75"/>
      <c r="K8" s="61"/>
      <c r="L8" s="62">
        <v>2</v>
      </c>
      <c r="M8" s="63">
        <v>1700</v>
      </c>
      <c r="N8" s="64">
        <v>10</v>
      </c>
      <c r="O8" s="62">
        <v>2</v>
      </c>
      <c r="P8" s="65">
        <f t="shared" si="0"/>
        <v>0</v>
      </c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7"/>
      <c r="BF8" s="67"/>
      <c r="BG8" s="68"/>
      <c r="BI8" s="69">
        <v>0</v>
      </c>
      <c r="BJ8" s="70">
        <v>0</v>
      </c>
      <c r="BK8" s="71">
        <v>0</v>
      </c>
      <c r="BL8" s="71">
        <v>0</v>
      </c>
      <c r="BM8" s="71">
        <v>0</v>
      </c>
      <c r="BN8" s="72">
        <v>0</v>
      </c>
      <c r="BO8" s="73"/>
      <c r="BP8" s="73"/>
      <c r="BQ8" s="71">
        <v>0</v>
      </c>
      <c r="BR8" s="71">
        <v>0</v>
      </c>
      <c r="BS8" s="71">
        <v>0</v>
      </c>
      <c r="BT8" s="72">
        <v>0</v>
      </c>
      <c r="BU8" s="73"/>
      <c r="BV8" s="73"/>
    </row>
    <row r="9" ht="30" customHeight="1" spans="1:75">
      <c r="A9" s="55">
        <v>0</v>
      </c>
      <c r="B9" s="56">
        <v>0</v>
      </c>
      <c r="C9" s="57">
        <v>0</v>
      </c>
      <c r="D9" s="58"/>
      <c r="E9" s="74"/>
      <c r="F9" s="59" t="e">
        <f>VLOOKUP(E9,[1]库存!$B$1:$C$65536,2,FALSE)</f>
        <v>#N/A</v>
      </c>
      <c r="G9" s="59" t="e">
        <v>#N/A</v>
      </c>
      <c r="H9" s="52"/>
      <c r="I9" s="52"/>
      <c r="J9" s="75"/>
      <c r="K9" s="61"/>
      <c r="L9" s="62">
        <v>0</v>
      </c>
      <c r="M9" s="63">
        <v>0</v>
      </c>
      <c r="N9" s="64">
        <v>0</v>
      </c>
      <c r="O9" s="62">
        <v>0</v>
      </c>
      <c r="P9" s="65">
        <f t="shared" si="0"/>
        <v>0</v>
      </c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7"/>
      <c r="BF9" s="67"/>
      <c r="BG9" s="68"/>
      <c r="BI9" s="69">
        <v>0</v>
      </c>
      <c r="BJ9" s="70">
        <v>0</v>
      </c>
      <c r="BK9" s="71">
        <v>0</v>
      </c>
      <c r="BL9" s="71">
        <v>0</v>
      </c>
      <c r="BM9" s="71">
        <v>0</v>
      </c>
      <c r="BN9" s="72">
        <v>0</v>
      </c>
      <c r="BO9" s="73"/>
      <c r="BP9" s="73"/>
      <c r="BQ9" s="71">
        <v>0</v>
      </c>
      <c r="BR9" s="71">
        <v>0</v>
      </c>
      <c r="BS9" s="71">
        <v>0</v>
      </c>
      <c r="BT9" s="72">
        <v>0</v>
      </c>
      <c r="BU9" s="73"/>
      <c r="BV9" s="73"/>
    </row>
    <row r="10" ht="30" customHeight="1" spans="1:75">
      <c r="A10" s="55">
        <v>0</v>
      </c>
      <c r="B10" s="56" t="s">
        <v>42</v>
      </c>
      <c r="C10" s="57" t="s">
        <v>43</v>
      </c>
      <c r="D10" s="76" t="s">
        <v>44</v>
      </c>
      <c r="E10" s="59" t="s">
        <v>53</v>
      </c>
      <c r="F10" s="59" t="str">
        <f>VLOOKUP(E10,[1]库存!$B$1:$C$65536,2,FALSE)</f>
        <v>SGM 258 EXT SAB LH</v>
      </c>
      <c r="G10" s="59" t="s">
        <v>54</v>
      </c>
      <c r="H10" s="52" t="s">
        <v>55</v>
      </c>
      <c r="I10" s="59" t="s">
        <v>56</v>
      </c>
      <c r="J10" s="77" t="s">
        <v>57</v>
      </c>
      <c r="K10" s="61"/>
      <c r="L10" s="62">
        <v>1.5</v>
      </c>
      <c r="M10" s="63">
        <v>1550</v>
      </c>
      <c r="N10" s="64">
        <v>10</v>
      </c>
      <c r="O10" s="62">
        <v>1.5</v>
      </c>
      <c r="P10" s="65">
        <f t="shared" si="0"/>
        <v>0</v>
      </c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7"/>
      <c r="BF10" s="67"/>
      <c r="BG10" s="68"/>
      <c r="BI10" s="69">
        <v>0</v>
      </c>
      <c r="BJ10" s="70">
        <v>0</v>
      </c>
      <c r="BK10" s="71">
        <v>0</v>
      </c>
      <c r="BL10" s="71">
        <v>0</v>
      </c>
      <c r="BM10" s="71">
        <v>0</v>
      </c>
      <c r="BN10" s="72">
        <v>0</v>
      </c>
      <c r="BO10" s="73"/>
      <c r="BP10" s="73"/>
      <c r="BQ10" s="71">
        <v>0</v>
      </c>
      <c r="BR10" s="71">
        <v>0</v>
      </c>
      <c r="BS10" s="71">
        <v>0</v>
      </c>
      <c r="BT10" s="72">
        <v>0</v>
      </c>
      <c r="BU10" s="73"/>
      <c r="BV10" s="73"/>
    </row>
    <row r="11" ht="30" customHeight="1" spans="1:75">
      <c r="A11" s="55">
        <v>0</v>
      </c>
      <c r="B11" s="56">
        <v>0</v>
      </c>
      <c r="C11" s="57">
        <v>0</v>
      </c>
      <c r="D11" s="78"/>
      <c r="E11" s="74"/>
      <c r="F11" s="59" t="e">
        <f>VLOOKUP(E11,[1]库存!$B$1:$C$65536,2,FALSE)</f>
        <v>#N/A</v>
      </c>
      <c r="G11" s="59" t="e">
        <v>#N/A</v>
      </c>
      <c r="H11" s="52"/>
      <c r="I11" s="74"/>
      <c r="J11" s="79"/>
      <c r="K11" s="61"/>
      <c r="L11" s="62">
        <v>0</v>
      </c>
      <c r="M11" s="63">
        <v>0</v>
      </c>
      <c r="N11" s="64">
        <v>0</v>
      </c>
      <c r="O11" s="62">
        <v>0</v>
      </c>
      <c r="P11" s="65">
        <f t="shared" si="0"/>
        <v>0</v>
      </c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7"/>
      <c r="BF11" s="67"/>
      <c r="BG11" s="68"/>
      <c r="BI11" s="69">
        <v>0</v>
      </c>
      <c r="BJ11" s="70">
        <v>0</v>
      </c>
      <c r="BK11" s="71">
        <v>0</v>
      </c>
      <c r="BL11" s="71">
        <v>0</v>
      </c>
      <c r="BM11" s="71">
        <v>0</v>
      </c>
      <c r="BN11" s="72">
        <v>0</v>
      </c>
      <c r="BO11" s="73"/>
      <c r="BP11" s="73"/>
      <c r="BQ11" s="71">
        <v>0</v>
      </c>
      <c r="BR11" s="71">
        <v>0</v>
      </c>
      <c r="BS11" s="71">
        <v>0</v>
      </c>
      <c r="BT11" s="72">
        <v>0</v>
      </c>
      <c r="BU11" s="73"/>
      <c r="BV11" s="73"/>
    </row>
    <row r="12" ht="30" customHeight="1" spans="1:75">
      <c r="A12" s="55">
        <v>0</v>
      </c>
      <c r="B12" s="56" t="s">
        <v>42</v>
      </c>
      <c r="C12" s="57" t="s">
        <v>43</v>
      </c>
      <c r="D12" s="58" t="s">
        <v>44</v>
      </c>
      <c r="E12" s="59" t="s">
        <v>58</v>
      </c>
      <c r="F12" s="59" t="str">
        <f>VLOOKUP(E12,[1]库存!$B$1:$C$65536,2,FALSE)</f>
        <v>SGM 258 EXT SAB RH</v>
      </c>
      <c r="G12" s="59" t="s">
        <v>59</v>
      </c>
      <c r="H12" s="52" t="s">
        <v>60</v>
      </c>
      <c r="I12" s="59" t="s">
        <v>56</v>
      </c>
      <c r="J12" s="79"/>
      <c r="K12" s="61"/>
      <c r="L12" s="62">
        <v>1.5</v>
      </c>
      <c r="M12" s="63">
        <v>1550</v>
      </c>
      <c r="N12" s="64">
        <v>10</v>
      </c>
      <c r="O12" s="62">
        <v>1.5</v>
      </c>
      <c r="P12" s="65">
        <f t="shared" si="0"/>
        <v>0</v>
      </c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7"/>
      <c r="BF12" s="67"/>
      <c r="BG12" s="68"/>
      <c r="BI12" s="69">
        <v>0</v>
      </c>
      <c r="BJ12" s="70">
        <v>0</v>
      </c>
      <c r="BK12" s="71">
        <v>0</v>
      </c>
      <c r="BL12" s="71">
        <v>0</v>
      </c>
      <c r="BM12" s="71">
        <v>0</v>
      </c>
      <c r="BN12" s="72">
        <v>0</v>
      </c>
      <c r="BO12" s="73"/>
      <c r="BP12" s="73"/>
      <c r="BQ12" s="71">
        <v>0</v>
      </c>
      <c r="BR12" s="71">
        <v>0</v>
      </c>
      <c r="BS12" s="71">
        <v>0</v>
      </c>
      <c r="BT12" s="72">
        <v>0</v>
      </c>
      <c r="BU12" s="73"/>
      <c r="BV12" s="73"/>
    </row>
    <row r="13" ht="30" customHeight="1" spans="1:75">
      <c r="A13" s="55">
        <v>0</v>
      </c>
      <c r="B13" s="56">
        <v>0</v>
      </c>
      <c r="C13" s="57">
        <v>0</v>
      </c>
      <c r="D13" s="58"/>
      <c r="E13" s="74"/>
      <c r="F13" s="59" t="e">
        <f>VLOOKUP(E13,[1]库存!$B$1:$C$65536,2,FALSE)</f>
        <v>#N/A</v>
      </c>
      <c r="G13" s="59" t="e">
        <v>#N/A</v>
      </c>
      <c r="H13" s="52"/>
      <c r="I13" s="74"/>
      <c r="J13" s="79"/>
      <c r="K13" s="61"/>
      <c r="L13" s="62">
        <v>0</v>
      </c>
      <c r="M13" s="63">
        <v>0</v>
      </c>
      <c r="N13" s="64">
        <v>0</v>
      </c>
      <c r="O13" s="62">
        <v>0</v>
      </c>
      <c r="P13" s="65">
        <f t="shared" si="0"/>
        <v>0</v>
      </c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7"/>
      <c r="BF13" s="67"/>
      <c r="BG13" s="68"/>
      <c r="BI13" s="69">
        <v>0</v>
      </c>
      <c r="BJ13" s="70">
        <v>0</v>
      </c>
      <c r="BK13" s="71">
        <v>0</v>
      </c>
      <c r="BL13" s="71">
        <v>0</v>
      </c>
      <c r="BM13" s="71">
        <v>0</v>
      </c>
      <c r="BN13" s="72">
        <v>0</v>
      </c>
      <c r="BO13" s="73"/>
      <c r="BP13" s="73"/>
      <c r="BQ13" s="71">
        <v>0</v>
      </c>
      <c r="BR13" s="71">
        <v>0</v>
      </c>
      <c r="BS13" s="71">
        <v>0</v>
      </c>
      <c r="BT13" s="72">
        <v>0</v>
      </c>
      <c r="BU13" s="73"/>
      <c r="BV13" s="73"/>
    </row>
    <row r="14" ht="30" customHeight="1" spans="1:75">
      <c r="A14" s="55">
        <v>0</v>
      </c>
      <c r="B14" s="56" t="s">
        <v>42</v>
      </c>
      <c r="C14" s="57" t="s">
        <v>43</v>
      </c>
      <c r="D14" s="58" t="s">
        <v>44</v>
      </c>
      <c r="E14" s="59" t="s">
        <v>61</v>
      </c>
      <c r="F14" s="59" t="str">
        <f>VLOOKUP(E14,[1]库存!$B$1:$C$65536,2,FALSE)</f>
        <v>SGM 358 SAB LH</v>
      </c>
      <c r="G14" s="59" t="s">
        <v>62</v>
      </c>
      <c r="H14" s="52" t="s">
        <v>63</v>
      </c>
      <c r="I14" s="52" t="s">
        <v>64</v>
      </c>
      <c r="J14" s="80" t="s">
        <v>65</v>
      </c>
      <c r="K14" s="61"/>
      <c r="L14" s="62">
        <v>2</v>
      </c>
      <c r="M14" s="63">
        <v>1400</v>
      </c>
      <c r="N14" s="64">
        <v>13</v>
      </c>
      <c r="O14" s="62">
        <v>2</v>
      </c>
      <c r="P14" s="65">
        <f t="shared" si="0"/>
        <v>0</v>
      </c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7"/>
      <c r="BF14" s="67"/>
      <c r="BG14" s="68"/>
      <c r="BI14" s="69"/>
      <c r="BJ14" s="70"/>
      <c r="BK14" s="70"/>
      <c r="BL14" s="73"/>
      <c r="BM14" s="73"/>
      <c r="BN14" s="73"/>
      <c r="BO14" s="73"/>
      <c r="BP14" s="73"/>
      <c r="BQ14" s="70"/>
      <c r="BR14" s="73"/>
      <c r="BS14" s="73"/>
      <c r="BT14" s="73"/>
      <c r="BU14" s="73"/>
      <c r="BV14" s="73"/>
    </row>
    <row r="15" ht="30" customHeight="1" spans="1:75">
      <c r="A15" s="55">
        <v>0</v>
      </c>
      <c r="B15" s="56">
        <v>0</v>
      </c>
      <c r="C15" s="57">
        <v>0</v>
      </c>
      <c r="D15" s="58"/>
      <c r="E15" s="74"/>
      <c r="F15" s="59" t="e">
        <f>VLOOKUP(E15,[1]库存!$B$1:$C$65536,2,FALSE)</f>
        <v>#N/A</v>
      </c>
      <c r="G15" s="59" t="e">
        <v>#N/A</v>
      </c>
      <c r="H15" s="52"/>
      <c r="I15" s="52"/>
      <c r="J15" s="81"/>
      <c r="K15" s="61"/>
      <c r="L15" s="62">
        <v>0</v>
      </c>
      <c r="M15" s="63">
        <v>0</v>
      </c>
      <c r="N15" s="64">
        <v>0</v>
      </c>
      <c r="O15" s="62">
        <v>0</v>
      </c>
      <c r="P15" s="65">
        <f t="shared" si="0"/>
        <v>0</v>
      </c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7"/>
      <c r="BF15" s="67"/>
      <c r="BG15" s="68"/>
      <c r="BI15" s="69"/>
      <c r="BJ15" s="70"/>
      <c r="BK15" s="70"/>
      <c r="BL15" s="73"/>
      <c r="BM15" s="73"/>
      <c r="BN15" s="73"/>
      <c r="BO15" s="73"/>
      <c r="BP15" s="73"/>
      <c r="BQ15" s="70"/>
      <c r="BR15" s="73"/>
      <c r="BS15" s="73"/>
      <c r="BT15" s="73"/>
      <c r="BU15" s="73"/>
      <c r="BV15" s="73"/>
    </row>
    <row r="16" ht="30" customHeight="1" spans="1:75">
      <c r="A16" s="55">
        <v>0</v>
      </c>
      <c r="B16" s="56" t="s">
        <v>42</v>
      </c>
      <c r="C16" s="57" t="s">
        <v>43</v>
      </c>
      <c r="D16" s="58" t="s">
        <v>44</v>
      </c>
      <c r="E16" s="59" t="s">
        <v>66</v>
      </c>
      <c r="F16" s="59" t="str">
        <f>VLOOKUP(E16,[1]库存!$B$1:$C$65536,2,FALSE)</f>
        <v>SGM 358 SAB RH</v>
      </c>
      <c r="G16" s="59" t="s">
        <v>67</v>
      </c>
      <c r="H16" s="52" t="s">
        <v>68</v>
      </c>
      <c r="I16" s="52" t="s">
        <v>64</v>
      </c>
      <c r="J16" s="80" t="s">
        <v>65</v>
      </c>
      <c r="K16" s="61"/>
      <c r="L16" s="62">
        <v>2</v>
      </c>
      <c r="M16" s="63">
        <v>1400</v>
      </c>
      <c r="N16" s="64">
        <v>13</v>
      </c>
      <c r="O16" s="62">
        <v>2</v>
      </c>
      <c r="P16" s="65">
        <f t="shared" si="0"/>
        <v>0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7"/>
      <c r="BF16" s="67"/>
      <c r="BG16" s="68"/>
      <c r="BI16" s="69"/>
      <c r="BJ16" s="70"/>
      <c r="BK16" s="70"/>
      <c r="BL16" s="73"/>
      <c r="BM16" s="73"/>
      <c r="BN16" s="73"/>
      <c r="BO16" s="73"/>
      <c r="BP16" s="73"/>
      <c r="BQ16" s="70"/>
      <c r="BR16" s="73"/>
      <c r="BS16" s="73"/>
      <c r="BT16" s="73"/>
      <c r="BU16" s="73"/>
      <c r="BV16" s="73"/>
    </row>
    <row r="17" ht="30" customHeight="1" spans="1:74">
      <c r="A17" s="55">
        <v>0</v>
      </c>
      <c r="B17" s="56">
        <v>0</v>
      </c>
      <c r="C17" s="57">
        <v>0</v>
      </c>
      <c r="D17" s="58"/>
      <c r="E17" s="74"/>
      <c r="F17" s="59" t="e">
        <f>VLOOKUP(E17,[1]库存!$B$1:$C$65536,2,FALSE)</f>
        <v>#N/A</v>
      </c>
      <c r="G17" s="59" t="e">
        <v>#N/A</v>
      </c>
      <c r="H17" s="52"/>
      <c r="I17" s="52"/>
      <c r="J17" s="81"/>
      <c r="K17" s="61"/>
      <c r="L17" s="62">
        <v>0</v>
      </c>
      <c r="M17" s="63">
        <v>0</v>
      </c>
      <c r="N17" s="64">
        <v>0</v>
      </c>
      <c r="O17" s="62">
        <v>0</v>
      </c>
      <c r="P17" s="65">
        <f t="shared" si="0"/>
        <v>0</v>
      </c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7"/>
      <c r="BF17" s="67"/>
      <c r="BG17" s="68"/>
      <c r="BI17" s="69"/>
      <c r="BJ17" s="70"/>
      <c r="BK17" s="70"/>
      <c r="BL17" s="73"/>
      <c r="BM17" s="73"/>
      <c r="BN17" s="73"/>
      <c r="BO17" s="73"/>
      <c r="BP17" s="73"/>
      <c r="BQ17" s="70"/>
      <c r="BR17" s="73"/>
      <c r="BS17" s="73"/>
      <c r="BT17" s="73"/>
      <c r="BU17" s="73"/>
      <c r="BV17" s="73"/>
    </row>
    <row r="18" ht="30" customHeight="1" spans="1:74">
      <c r="A18" s="55" t="s">
        <v>41</v>
      </c>
      <c r="B18" s="56" t="s">
        <v>42</v>
      </c>
      <c r="C18" s="57" t="s">
        <v>43</v>
      </c>
      <c r="D18" s="76" t="s">
        <v>44</v>
      </c>
      <c r="E18" s="59" t="s">
        <v>69</v>
      </c>
      <c r="F18" s="59" t="str">
        <f>VLOOKUP(E18,[1]库存!$B$1:$C$65536,2,FALSE)</f>
        <v>CHANGAN C202 VAVE SABL</v>
      </c>
      <c r="G18" s="59" t="s">
        <v>70</v>
      </c>
      <c r="H18" s="52" t="s">
        <v>71</v>
      </c>
      <c r="I18" s="59" t="s">
        <v>72</v>
      </c>
      <c r="J18" s="80" t="s">
        <v>65</v>
      </c>
      <c r="K18" s="61"/>
      <c r="L18" s="62">
        <v>2</v>
      </c>
      <c r="M18" s="63">
        <v>1320</v>
      </c>
      <c r="N18" s="64">
        <v>12</v>
      </c>
      <c r="O18" s="62">
        <v>2</v>
      </c>
      <c r="P18" s="65">
        <f t="shared" si="0"/>
        <v>0</v>
      </c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7"/>
      <c r="BF18" s="67"/>
      <c r="BG18" s="68"/>
      <c r="BI18" s="69"/>
      <c r="BJ18" s="70"/>
      <c r="BK18" s="70"/>
      <c r="BL18" s="73"/>
      <c r="BM18" s="73"/>
      <c r="BN18" s="73"/>
      <c r="BO18" s="73"/>
      <c r="BP18" s="73"/>
      <c r="BQ18" s="70"/>
      <c r="BR18" s="73"/>
      <c r="BS18" s="73"/>
      <c r="BT18" s="73"/>
      <c r="BU18" s="73"/>
      <c r="BV18" s="73"/>
    </row>
    <row r="19" ht="30" customHeight="1" spans="1:74">
      <c r="A19" s="55">
        <v>0</v>
      </c>
      <c r="B19" s="56">
        <v>0</v>
      </c>
      <c r="C19" s="57">
        <v>0</v>
      </c>
      <c r="D19" s="78"/>
      <c r="E19" s="74"/>
      <c r="F19" s="59" t="e">
        <f>VLOOKUP(E19,[1]库存!$B$1:$C$65536,2,FALSE)</f>
        <v>#N/A</v>
      </c>
      <c r="G19" s="59" t="e">
        <v>#N/A</v>
      </c>
      <c r="H19" s="52"/>
      <c r="I19" s="74"/>
      <c r="J19" s="81"/>
      <c r="K19" s="61"/>
      <c r="L19" s="62">
        <v>0</v>
      </c>
      <c r="M19" s="63">
        <v>0</v>
      </c>
      <c r="N19" s="64">
        <v>0</v>
      </c>
      <c r="O19" s="62">
        <v>0</v>
      </c>
      <c r="P19" s="65">
        <f t="shared" si="0"/>
        <v>0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7"/>
      <c r="BF19" s="67"/>
      <c r="BG19" s="68"/>
      <c r="BI19" s="69"/>
      <c r="BJ19" s="70"/>
      <c r="BK19" s="70"/>
      <c r="BL19" s="73"/>
      <c r="BM19" s="73"/>
      <c r="BN19" s="73"/>
      <c r="BO19" s="73"/>
      <c r="BP19" s="73"/>
      <c r="BQ19" s="70"/>
      <c r="BR19" s="73"/>
      <c r="BS19" s="73"/>
      <c r="BT19" s="73"/>
      <c r="BU19" s="73"/>
      <c r="BV19" s="73"/>
    </row>
    <row r="20" ht="30" customHeight="1" spans="1:74">
      <c r="A20" s="55">
        <v>0</v>
      </c>
      <c r="B20" s="56" t="s">
        <v>42</v>
      </c>
      <c r="C20" s="57" t="s">
        <v>43</v>
      </c>
      <c r="D20" s="58" t="s">
        <v>44</v>
      </c>
      <c r="E20" s="59" t="s">
        <v>73</v>
      </c>
      <c r="F20" s="59" t="str">
        <f>VLOOKUP(E20,[1]库存!$B$1:$C$65536,2,FALSE)</f>
        <v>CHANGAN C202 VAVE SABR</v>
      </c>
      <c r="G20" s="59" t="s">
        <v>74</v>
      </c>
      <c r="H20" s="52" t="s">
        <v>75</v>
      </c>
      <c r="I20" s="59" t="s">
        <v>72</v>
      </c>
      <c r="J20" s="80" t="s">
        <v>65</v>
      </c>
      <c r="K20" s="61"/>
      <c r="L20" s="62">
        <v>2</v>
      </c>
      <c r="M20" s="63">
        <v>1320</v>
      </c>
      <c r="N20" s="64">
        <v>12</v>
      </c>
      <c r="O20" s="62">
        <v>2</v>
      </c>
      <c r="P20" s="65">
        <f t="shared" si="0"/>
        <v>0</v>
      </c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7"/>
      <c r="BF20" s="67"/>
      <c r="BG20" s="68"/>
      <c r="BI20" s="69"/>
      <c r="BJ20" s="70"/>
      <c r="BK20" s="70"/>
      <c r="BL20" s="73"/>
      <c r="BM20" s="73"/>
      <c r="BN20" s="73"/>
      <c r="BO20" s="73"/>
      <c r="BP20" s="73"/>
      <c r="BQ20" s="70"/>
      <c r="BR20" s="73"/>
      <c r="BS20" s="73"/>
      <c r="BT20" s="73"/>
      <c r="BU20" s="73"/>
      <c r="BV20" s="73"/>
    </row>
    <row r="21" ht="30" customHeight="1" spans="1:74">
      <c r="A21" s="55">
        <v>0</v>
      </c>
      <c r="B21" s="56">
        <v>0</v>
      </c>
      <c r="C21" s="57">
        <v>0</v>
      </c>
      <c r="D21" s="58"/>
      <c r="E21" s="74"/>
      <c r="F21" s="59" t="e">
        <f>VLOOKUP(E21,[1]库存!$B$1:$C$65536,2,FALSE)</f>
        <v>#N/A</v>
      </c>
      <c r="G21" s="59" t="e">
        <v>#N/A</v>
      </c>
      <c r="H21" s="52"/>
      <c r="I21" s="74"/>
      <c r="J21" s="81"/>
      <c r="K21" s="61"/>
      <c r="L21" s="62">
        <v>0</v>
      </c>
      <c r="M21" s="63">
        <v>0</v>
      </c>
      <c r="N21" s="64">
        <v>0</v>
      </c>
      <c r="O21" s="62">
        <v>0</v>
      </c>
      <c r="P21" s="65">
        <f t="shared" si="0"/>
        <v>0</v>
      </c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7"/>
      <c r="BF21" s="67"/>
      <c r="BG21" s="68"/>
      <c r="BI21" s="69"/>
      <c r="BJ21" s="70"/>
      <c r="BK21" s="70"/>
      <c r="BL21" s="73"/>
      <c r="BM21" s="73"/>
      <c r="BN21" s="73"/>
      <c r="BO21" s="73"/>
      <c r="BP21" s="73"/>
      <c r="BQ21" s="70"/>
      <c r="BR21" s="73"/>
      <c r="BS21" s="73"/>
      <c r="BT21" s="73"/>
      <c r="BU21" s="73"/>
      <c r="BV21" s="73"/>
    </row>
    <row r="22" ht="30" customHeight="1" spans="1:74">
      <c r="A22" s="55">
        <v>0</v>
      </c>
      <c r="B22" s="56" t="s">
        <v>42</v>
      </c>
      <c r="C22" s="57" t="s">
        <v>43</v>
      </c>
      <c r="D22" s="76" t="s">
        <v>44</v>
      </c>
      <c r="E22" s="59" t="s">
        <v>76</v>
      </c>
      <c r="F22" s="59" t="str">
        <f>VLOOKUP(E22,[1]库存!$B$1:$C$65536,2,FALSE)</f>
        <v>CHANA S101 SAB-LH</v>
      </c>
      <c r="G22" s="59" t="s">
        <v>77</v>
      </c>
      <c r="H22" s="52" t="s">
        <v>78</v>
      </c>
      <c r="I22" s="59" t="s">
        <v>79</v>
      </c>
      <c r="J22" s="82" t="s">
        <v>80</v>
      </c>
      <c r="K22" s="61"/>
      <c r="L22" s="62">
        <v>2</v>
      </c>
      <c r="M22" s="63">
        <v>1650</v>
      </c>
      <c r="N22" s="64">
        <v>6</v>
      </c>
      <c r="O22" s="62">
        <v>2</v>
      </c>
      <c r="P22" s="65">
        <f t="shared" si="0"/>
        <v>0</v>
      </c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7"/>
      <c r="BF22" s="67"/>
      <c r="BG22" s="68"/>
      <c r="BI22" s="69">
        <v>0</v>
      </c>
      <c r="BJ22" s="70">
        <v>0</v>
      </c>
      <c r="BK22" s="71">
        <v>0</v>
      </c>
      <c r="BL22" s="71">
        <v>0</v>
      </c>
      <c r="BM22" s="71">
        <v>0</v>
      </c>
      <c r="BN22" s="72">
        <v>0</v>
      </c>
      <c r="BO22" s="73"/>
      <c r="BP22" s="73"/>
      <c r="BQ22" s="71">
        <v>0</v>
      </c>
      <c r="BR22" s="71">
        <v>0</v>
      </c>
      <c r="BS22" s="71">
        <v>0</v>
      </c>
      <c r="BT22" s="72">
        <v>0</v>
      </c>
      <c r="BU22" s="73"/>
      <c r="BV22" s="73"/>
    </row>
    <row r="23" ht="30" customHeight="1" spans="1:74">
      <c r="A23" s="55">
        <v>0</v>
      </c>
      <c r="B23" s="56">
        <v>0</v>
      </c>
      <c r="C23" s="57">
        <v>0</v>
      </c>
      <c r="D23" s="78"/>
      <c r="E23" s="74"/>
      <c r="F23" s="59" t="e">
        <f>VLOOKUP(E23,[1]库存!$B$1:$C$65536,2,FALSE)</f>
        <v>#N/A</v>
      </c>
      <c r="G23" s="59" t="e">
        <v>#N/A</v>
      </c>
      <c r="H23" s="52"/>
      <c r="I23" s="74"/>
      <c r="J23" s="83"/>
      <c r="K23" s="61"/>
      <c r="L23" s="62">
        <v>0</v>
      </c>
      <c r="M23" s="63">
        <v>0</v>
      </c>
      <c r="N23" s="64">
        <v>0</v>
      </c>
      <c r="O23" s="62">
        <v>0</v>
      </c>
      <c r="P23" s="65">
        <f t="shared" si="0"/>
        <v>0</v>
      </c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7"/>
      <c r="BF23" s="67"/>
      <c r="BG23" s="68"/>
      <c r="BI23" s="69">
        <v>0</v>
      </c>
      <c r="BJ23" s="70">
        <v>0</v>
      </c>
      <c r="BK23" s="71">
        <v>0</v>
      </c>
      <c r="BL23" s="71">
        <v>0</v>
      </c>
      <c r="BM23" s="71">
        <v>0</v>
      </c>
      <c r="BN23" s="72">
        <v>0</v>
      </c>
      <c r="BO23" s="73"/>
      <c r="BP23" s="73"/>
      <c r="BQ23" s="71">
        <v>0</v>
      </c>
      <c r="BR23" s="71">
        <v>0</v>
      </c>
      <c r="BS23" s="71">
        <v>0</v>
      </c>
      <c r="BT23" s="72">
        <v>0</v>
      </c>
      <c r="BU23" s="73"/>
      <c r="BV23" s="73"/>
    </row>
    <row r="24" ht="30" customHeight="1" spans="1:74">
      <c r="A24" s="55">
        <v>0</v>
      </c>
      <c r="B24" s="56" t="s">
        <v>42</v>
      </c>
      <c r="C24" s="57" t="s">
        <v>43</v>
      </c>
      <c r="D24" s="58" t="s">
        <v>44</v>
      </c>
      <c r="E24" s="59" t="s">
        <v>81</v>
      </c>
      <c r="F24" s="59" t="str">
        <f>VLOOKUP(E24,[1]库存!$B$1:$C$65536,2,FALSE)</f>
        <v>CHANA S101 SAB-RH</v>
      </c>
      <c r="G24" s="59" t="s">
        <v>82</v>
      </c>
      <c r="H24" s="52" t="s">
        <v>83</v>
      </c>
      <c r="I24" s="52" t="s">
        <v>79</v>
      </c>
      <c r="J24" s="82" t="s">
        <v>80</v>
      </c>
      <c r="K24" s="61"/>
      <c r="L24" s="62">
        <v>2</v>
      </c>
      <c r="M24" s="63">
        <v>1650</v>
      </c>
      <c r="N24" s="64">
        <v>6</v>
      </c>
      <c r="O24" s="62">
        <v>2</v>
      </c>
      <c r="P24" s="65">
        <f t="shared" si="0"/>
        <v>0</v>
      </c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7"/>
      <c r="BF24" s="67"/>
      <c r="BG24" s="68"/>
      <c r="BI24" s="69">
        <v>0</v>
      </c>
      <c r="BJ24" s="70">
        <v>0</v>
      </c>
      <c r="BK24" s="71">
        <v>0</v>
      </c>
      <c r="BL24" s="71">
        <v>0</v>
      </c>
      <c r="BM24" s="71">
        <v>0</v>
      </c>
      <c r="BN24" s="72">
        <v>0</v>
      </c>
      <c r="BO24" s="73"/>
      <c r="BP24" s="73"/>
      <c r="BQ24" s="71">
        <v>0</v>
      </c>
      <c r="BR24" s="71">
        <v>0</v>
      </c>
      <c r="BS24" s="71">
        <v>0</v>
      </c>
      <c r="BT24" s="72">
        <v>0</v>
      </c>
      <c r="BU24" s="73"/>
      <c r="BV24" s="73"/>
    </row>
    <row r="25" ht="30" customHeight="1" spans="1:74">
      <c r="A25" s="55">
        <v>0</v>
      </c>
      <c r="B25" s="56">
        <v>0</v>
      </c>
      <c r="C25" s="57">
        <v>0</v>
      </c>
      <c r="D25" s="58"/>
      <c r="E25" s="74"/>
      <c r="F25" s="59" t="e">
        <f>VLOOKUP(E25,[1]库存!$B$1:$C$65536,2,FALSE)</f>
        <v>#N/A</v>
      </c>
      <c r="G25" s="59" t="e">
        <v>#N/A</v>
      </c>
      <c r="H25" s="52"/>
      <c r="I25" s="52"/>
      <c r="J25" s="83"/>
      <c r="K25" s="61"/>
      <c r="L25" s="62">
        <v>0</v>
      </c>
      <c r="M25" s="63">
        <v>0</v>
      </c>
      <c r="N25" s="64">
        <v>0</v>
      </c>
      <c r="O25" s="62">
        <v>0</v>
      </c>
      <c r="P25" s="65">
        <f t="shared" si="0"/>
        <v>0</v>
      </c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7"/>
      <c r="BF25" s="67"/>
      <c r="BG25" s="68"/>
      <c r="BI25" s="69">
        <v>0</v>
      </c>
      <c r="BJ25" s="70">
        <v>0</v>
      </c>
      <c r="BK25" s="71">
        <v>0</v>
      </c>
      <c r="BL25" s="71">
        <v>0</v>
      </c>
      <c r="BM25" s="71">
        <v>0</v>
      </c>
      <c r="BN25" s="72">
        <v>0</v>
      </c>
      <c r="BO25" s="73"/>
      <c r="BP25" s="73"/>
      <c r="BQ25" s="71">
        <v>0</v>
      </c>
      <c r="BR25" s="71">
        <v>0</v>
      </c>
      <c r="BS25" s="71">
        <v>0</v>
      </c>
      <c r="BT25" s="72">
        <v>0</v>
      </c>
      <c r="BU25" s="73"/>
      <c r="BV25" s="73"/>
    </row>
    <row r="26" ht="30" customHeight="1" spans="1:74">
      <c r="A26" s="55">
        <v>0</v>
      </c>
      <c r="B26" s="56" t="s">
        <v>42</v>
      </c>
      <c r="C26" s="57" t="s">
        <v>43</v>
      </c>
      <c r="D26" s="76" t="s">
        <v>44</v>
      </c>
      <c r="E26" s="59" t="s">
        <v>84</v>
      </c>
      <c r="F26" s="59" t="str">
        <f>VLOOKUP(E26,[1]库存!$B$1:$C$65536,2,FALSE)</f>
        <v>BAIC C51E SAB LH</v>
      </c>
      <c r="G26" s="59" t="s">
        <v>85</v>
      </c>
      <c r="H26" s="52" t="s">
        <v>86</v>
      </c>
      <c r="I26" s="52" t="s">
        <v>87</v>
      </c>
      <c r="J26" s="82" t="s">
        <v>80</v>
      </c>
      <c r="K26" s="61"/>
      <c r="L26" s="62">
        <v>2</v>
      </c>
      <c r="M26" s="63">
        <v>1400</v>
      </c>
      <c r="N26" s="64">
        <v>8</v>
      </c>
      <c r="O26" s="62">
        <v>2</v>
      </c>
      <c r="P26" s="65">
        <f t="shared" si="0"/>
        <v>0</v>
      </c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7"/>
      <c r="BF26" s="67"/>
      <c r="BG26" s="68"/>
      <c r="BI26" s="69">
        <v>0</v>
      </c>
      <c r="BJ26" s="70">
        <v>0</v>
      </c>
      <c r="BK26" s="71">
        <v>0</v>
      </c>
      <c r="BL26" s="71">
        <v>0</v>
      </c>
      <c r="BM26" s="71">
        <v>0</v>
      </c>
      <c r="BN26" s="72">
        <v>0</v>
      </c>
      <c r="BO26" s="73"/>
      <c r="BP26" s="73"/>
      <c r="BQ26" s="71">
        <v>0</v>
      </c>
      <c r="BR26" s="71">
        <v>0</v>
      </c>
      <c r="BS26" s="71">
        <v>0</v>
      </c>
      <c r="BT26" s="72">
        <v>0</v>
      </c>
      <c r="BU26" s="73"/>
      <c r="BV26" s="73"/>
    </row>
    <row r="27" ht="30" customHeight="1" spans="1:74">
      <c r="A27" s="55">
        <v>0</v>
      </c>
      <c r="B27" s="56">
        <v>0</v>
      </c>
      <c r="C27" s="57">
        <v>0</v>
      </c>
      <c r="D27" s="78"/>
      <c r="E27" s="74"/>
      <c r="F27" s="59" t="e">
        <f>VLOOKUP(E27,[1]库存!$B$1:$C$65536,2,FALSE)</f>
        <v>#N/A</v>
      </c>
      <c r="G27" s="59" t="e">
        <v>#N/A</v>
      </c>
      <c r="H27" s="52"/>
      <c r="I27" s="52"/>
      <c r="J27" s="83"/>
      <c r="K27" s="61"/>
      <c r="L27" s="62">
        <v>0</v>
      </c>
      <c r="M27" s="63">
        <v>0</v>
      </c>
      <c r="N27" s="64">
        <v>0</v>
      </c>
      <c r="O27" s="62">
        <v>0</v>
      </c>
      <c r="P27" s="65">
        <f t="shared" si="0"/>
        <v>0</v>
      </c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7"/>
      <c r="BF27" s="67"/>
      <c r="BG27" s="68"/>
      <c r="BI27" s="69">
        <v>0</v>
      </c>
      <c r="BJ27" s="70">
        <v>0</v>
      </c>
      <c r="BK27" s="71">
        <v>0</v>
      </c>
      <c r="BL27" s="71">
        <v>0</v>
      </c>
      <c r="BM27" s="71">
        <v>0</v>
      </c>
      <c r="BN27" s="72">
        <v>0</v>
      </c>
      <c r="BO27" s="73"/>
      <c r="BP27" s="73"/>
      <c r="BQ27" s="71">
        <v>0</v>
      </c>
      <c r="BR27" s="71">
        <v>0</v>
      </c>
      <c r="BS27" s="71">
        <v>0</v>
      </c>
      <c r="BT27" s="72">
        <v>0</v>
      </c>
      <c r="BU27" s="73"/>
      <c r="BV27" s="73"/>
    </row>
    <row r="28" ht="30" customHeight="1" spans="1:74">
      <c r="A28" s="55">
        <v>0</v>
      </c>
      <c r="B28" s="56" t="s">
        <v>42</v>
      </c>
      <c r="C28" s="57" t="s">
        <v>43</v>
      </c>
      <c r="D28" s="76" t="s">
        <v>44</v>
      </c>
      <c r="E28" s="59" t="s">
        <v>88</v>
      </c>
      <c r="F28" s="59" t="str">
        <f>VLOOKUP(E28,[1]库存!$B$1:$C$65536,2,FALSE)</f>
        <v>BAIC C51E SAB RH</v>
      </c>
      <c r="G28" s="59" t="s">
        <v>89</v>
      </c>
      <c r="H28" s="52" t="s">
        <v>90</v>
      </c>
      <c r="I28" s="52" t="s">
        <v>87</v>
      </c>
      <c r="J28" s="82" t="s">
        <v>80</v>
      </c>
      <c r="K28" s="61"/>
      <c r="L28" s="62">
        <v>2</v>
      </c>
      <c r="M28" s="63">
        <v>1400</v>
      </c>
      <c r="N28" s="64">
        <v>8</v>
      </c>
      <c r="O28" s="62">
        <v>2</v>
      </c>
      <c r="P28" s="65">
        <f t="shared" si="0"/>
        <v>0</v>
      </c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7"/>
      <c r="BF28" s="67"/>
      <c r="BG28" s="68"/>
      <c r="BI28" s="69">
        <v>0</v>
      </c>
      <c r="BJ28" s="70">
        <v>0</v>
      </c>
      <c r="BK28" s="71">
        <v>0</v>
      </c>
      <c r="BL28" s="71">
        <v>0</v>
      </c>
      <c r="BM28" s="71">
        <v>0</v>
      </c>
      <c r="BN28" s="72">
        <v>0</v>
      </c>
      <c r="BO28" s="73"/>
      <c r="BP28" s="73"/>
      <c r="BQ28" s="71">
        <v>0</v>
      </c>
      <c r="BR28" s="71">
        <v>0</v>
      </c>
      <c r="BS28" s="71">
        <v>0</v>
      </c>
      <c r="BT28" s="72">
        <v>0</v>
      </c>
      <c r="BU28" s="73"/>
      <c r="BV28" s="73"/>
    </row>
    <row r="29" ht="30" customHeight="1" spans="1:74">
      <c r="A29" s="55">
        <v>0</v>
      </c>
      <c r="B29" s="56">
        <v>0</v>
      </c>
      <c r="C29" s="57">
        <v>0</v>
      </c>
      <c r="D29" s="78"/>
      <c r="E29" s="74"/>
      <c r="F29" s="59" t="e">
        <f>VLOOKUP(E29,[1]库存!$B$1:$C$65536,2,FALSE)</f>
        <v>#N/A</v>
      </c>
      <c r="G29" s="59" t="e">
        <v>#N/A</v>
      </c>
      <c r="H29" s="52"/>
      <c r="I29" s="52"/>
      <c r="J29" s="83"/>
      <c r="K29" s="61"/>
      <c r="L29" s="62">
        <v>0</v>
      </c>
      <c r="M29" s="63">
        <v>0</v>
      </c>
      <c r="N29" s="64">
        <v>0</v>
      </c>
      <c r="O29" s="62">
        <v>0</v>
      </c>
      <c r="P29" s="65">
        <f t="shared" si="0"/>
        <v>0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7"/>
      <c r="BF29" s="67"/>
      <c r="BG29" s="68"/>
      <c r="BI29" s="69">
        <v>0</v>
      </c>
      <c r="BJ29" s="70">
        <v>0</v>
      </c>
      <c r="BK29" s="71">
        <v>0</v>
      </c>
      <c r="BL29" s="71">
        <v>0</v>
      </c>
      <c r="BM29" s="71">
        <v>0</v>
      </c>
      <c r="BN29" s="72">
        <v>0</v>
      </c>
      <c r="BO29" s="73"/>
      <c r="BP29" s="73"/>
      <c r="BQ29" s="71">
        <v>0</v>
      </c>
      <c r="BR29" s="71">
        <v>0</v>
      </c>
      <c r="BS29" s="71">
        <v>0</v>
      </c>
      <c r="BT29" s="72">
        <v>0</v>
      </c>
      <c r="BU29" s="73"/>
      <c r="BV29" s="73"/>
    </row>
    <row r="30" ht="30" customHeight="1" spans="1:74">
      <c r="A30" s="55">
        <v>0</v>
      </c>
      <c r="B30" s="56">
        <v>0</v>
      </c>
      <c r="C30" s="57">
        <v>0</v>
      </c>
      <c r="D30" s="84"/>
      <c r="E30" s="85"/>
      <c r="F30" s="59" t="e">
        <f>VLOOKUP(E30,[1]库存!$B$1:$C$65536,2,FALSE)</f>
        <v>#N/A</v>
      </c>
      <c r="G30" s="59" t="e">
        <v>#N/A</v>
      </c>
      <c r="H30" s="28"/>
      <c r="I30" s="85"/>
      <c r="J30" s="86"/>
      <c r="K30" s="61"/>
      <c r="L30" s="62">
        <v>0</v>
      </c>
      <c r="M30" s="63">
        <v>0</v>
      </c>
      <c r="N30" s="64">
        <v>0</v>
      </c>
      <c r="O30" s="62">
        <v>0</v>
      </c>
      <c r="P30" s="65">
        <f t="shared" si="0"/>
        <v>0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7"/>
      <c r="BF30" s="67"/>
      <c r="BG30" s="68"/>
      <c r="BI30" s="69">
        <v>0</v>
      </c>
      <c r="BJ30" s="70">
        <v>0</v>
      </c>
      <c r="BK30" s="71">
        <v>0</v>
      </c>
      <c r="BL30" s="71">
        <v>0</v>
      </c>
      <c r="BM30" s="71">
        <v>0</v>
      </c>
      <c r="BN30" s="72">
        <v>0</v>
      </c>
      <c r="BO30" s="73"/>
      <c r="BP30" s="73"/>
      <c r="BQ30" s="71">
        <v>0</v>
      </c>
      <c r="BR30" s="71">
        <v>0</v>
      </c>
      <c r="BS30" s="71">
        <v>0</v>
      </c>
      <c r="BT30" s="72">
        <v>0</v>
      </c>
      <c r="BU30" s="73"/>
      <c r="BV30" s="73"/>
    </row>
    <row r="31" ht="30" customHeight="1" spans="1:74">
      <c r="A31" s="55">
        <v>0</v>
      </c>
      <c r="B31" s="56" t="s">
        <v>42</v>
      </c>
      <c r="C31" s="57" t="s">
        <v>43</v>
      </c>
      <c r="D31" s="76" t="s">
        <v>91</v>
      </c>
      <c r="E31" s="59" t="s">
        <v>92</v>
      </c>
      <c r="F31" s="59" t="str">
        <f>VLOOKUP(E31,[1]库存!$B$1:$C$65536,2,FALSE)</f>
        <v>SVW NMS RSAB</v>
      </c>
      <c r="G31" s="59" t="s">
        <v>93</v>
      </c>
      <c r="H31" s="52" t="s">
        <v>94</v>
      </c>
      <c r="I31" s="59" t="s">
        <v>95</v>
      </c>
      <c r="J31" s="63"/>
      <c r="K31" s="61"/>
      <c r="L31" s="62">
        <v>2</v>
      </c>
      <c r="M31" s="63">
        <v>1200</v>
      </c>
      <c r="N31" s="64">
        <v>13</v>
      </c>
      <c r="O31" s="62">
        <v>2</v>
      </c>
      <c r="P31" s="65">
        <f t="shared" si="0"/>
        <v>0</v>
      </c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7"/>
      <c r="BF31" s="67"/>
      <c r="BG31" s="68"/>
      <c r="BI31" s="69">
        <v>0</v>
      </c>
      <c r="BJ31" s="70">
        <v>0</v>
      </c>
      <c r="BK31" s="71">
        <v>0</v>
      </c>
      <c r="BL31" s="71">
        <v>0</v>
      </c>
      <c r="BM31" s="71">
        <v>0</v>
      </c>
      <c r="BN31" s="72">
        <v>0</v>
      </c>
      <c r="BO31" s="73"/>
      <c r="BP31" s="73"/>
      <c r="BQ31" s="71">
        <v>0</v>
      </c>
      <c r="BR31" s="71">
        <v>0</v>
      </c>
      <c r="BS31" s="71">
        <v>0</v>
      </c>
      <c r="BT31" s="72">
        <v>0</v>
      </c>
      <c r="BU31" s="73"/>
      <c r="BV31" s="73"/>
    </row>
    <row r="32" ht="30" customHeight="1" spans="1:74">
      <c r="A32" s="55">
        <v>0</v>
      </c>
      <c r="B32" s="56">
        <v>0</v>
      </c>
      <c r="C32" s="57">
        <v>0</v>
      </c>
      <c r="D32" s="78"/>
      <c r="E32" s="74"/>
      <c r="F32" s="59" t="e">
        <f>VLOOKUP(E32,[1]库存!$B$1:$C$65536,2,FALSE)</f>
        <v>#N/A</v>
      </c>
      <c r="G32" s="59" t="e">
        <v>#N/A</v>
      </c>
      <c r="H32" s="52"/>
      <c r="I32" s="74"/>
      <c r="J32" s="87"/>
      <c r="K32" s="61"/>
      <c r="L32" s="62">
        <v>0</v>
      </c>
      <c r="M32" s="63">
        <v>0</v>
      </c>
      <c r="N32" s="64">
        <v>0</v>
      </c>
      <c r="O32" s="62">
        <v>0</v>
      </c>
      <c r="P32" s="65">
        <f t="shared" si="0"/>
        <v>0</v>
      </c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7"/>
      <c r="BF32" s="67"/>
      <c r="BG32" s="68"/>
      <c r="BI32" s="69">
        <v>0</v>
      </c>
      <c r="BJ32" s="70">
        <v>0</v>
      </c>
      <c r="BK32" s="71">
        <v>0</v>
      </c>
      <c r="BL32" s="71">
        <v>0</v>
      </c>
      <c r="BM32" s="71">
        <v>0</v>
      </c>
      <c r="BN32" s="72">
        <v>0</v>
      </c>
      <c r="BO32" s="73"/>
      <c r="BP32" s="73"/>
      <c r="BQ32" s="71">
        <v>0</v>
      </c>
      <c r="BR32" s="71">
        <v>0</v>
      </c>
      <c r="BS32" s="71">
        <v>0</v>
      </c>
      <c r="BT32" s="72">
        <v>0</v>
      </c>
      <c r="BU32" s="73"/>
      <c r="BV32" s="73"/>
    </row>
    <row r="33" ht="30" customHeight="1" spans="1:74">
      <c r="A33" s="55" t="s">
        <v>96</v>
      </c>
      <c r="B33" s="56" t="s">
        <v>42</v>
      </c>
      <c r="C33" s="57" t="s">
        <v>43</v>
      </c>
      <c r="D33" s="76" t="s">
        <v>91</v>
      </c>
      <c r="E33" s="76" t="s">
        <v>97</v>
      </c>
      <c r="F33" s="59" t="str">
        <f>VLOOKUP(E33,[1]库存!$B$1:$C$65536,2,FALSE)</f>
        <v>SMCV SV51 SAB LH B状态</v>
      </c>
      <c r="G33" s="59" t="s">
        <v>98</v>
      </c>
      <c r="H33" s="59" t="s">
        <v>99</v>
      </c>
      <c r="I33" s="76" t="s">
        <v>100</v>
      </c>
      <c r="J33" s="63"/>
      <c r="K33" s="61"/>
      <c r="L33" s="62">
        <v>2</v>
      </c>
      <c r="M33" s="63">
        <v>1200</v>
      </c>
      <c r="N33" s="64">
        <v>13</v>
      </c>
      <c r="O33" s="62">
        <v>2</v>
      </c>
      <c r="P33" s="65">
        <f t="shared" si="0"/>
        <v>0</v>
      </c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7"/>
      <c r="BF33" s="67"/>
      <c r="BG33" s="68"/>
      <c r="BI33" s="69">
        <v>0</v>
      </c>
      <c r="BJ33" s="70">
        <v>0</v>
      </c>
      <c r="BK33" s="71">
        <v>0</v>
      </c>
      <c r="BL33" s="71">
        <v>0</v>
      </c>
      <c r="BM33" s="71">
        <v>0</v>
      </c>
      <c r="BN33" s="72">
        <v>0</v>
      </c>
      <c r="BO33" s="73"/>
      <c r="BP33" s="73"/>
      <c r="BQ33" s="71">
        <v>0</v>
      </c>
      <c r="BR33" s="71">
        <v>0</v>
      </c>
      <c r="BS33" s="71">
        <v>0</v>
      </c>
      <c r="BT33" s="72">
        <v>0</v>
      </c>
      <c r="BU33" s="73"/>
      <c r="BV33" s="73"/>
    </row>
    <row r="34" ht="30" customHeight="1" spans="1:74">
      <c r="A34" s="55">
        <v>0</v>
      </c>
      <c r="B34" s="56">
        <v>0</v>
      </c>
      <c r="C34" s="57">
        <v>0</v>
      </c>
      <c r="D34" s="78"/>
      <c r="E34" s="78"/>
      <c r="F34" s="59" t="e">
        <f>VLOOKUP(E34,[1]库存!$B$1:$C$65536,2,FALSE)</f>
        <v>#N/A</v>
      </c>
      <c r="G34" s="59" t="e">
        <v>#N/A</v>
      </c>
      <c r="H34" s="74"/>
      <c r="I34" s="78"/>
      <c r="J34" s="87"/>
      <c r="K34" s="61"/>
      <c r="L34" s="62">
        <v>0</v>
      </c>
      <c r="M34" s="63">
        <v>0</v>
      </c>
      <c r="N34" s="64">
        <v>0</v>
      </c>
      <c r="O34" s="62">
        <v>0</v>
      </c>
      <c r="P34" s="65">
        <f t="shared" si="0"/>
        <v>0</v>
      </c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7"/>
      <c r="BF34" s="67"/>
      <c r="BG34" s="68"/>
      <c r="BI34" s="69">
        <v>0</v>
      </c>
      <c r="BJ34" s="70">
        <v>0</v>
      </c>
      <c r="BK34" s="71">
        <v>0</v>
      </c>
      <c r="BL34" s="71">
        <v>0</v>
      </c>
      <c r="BM34" s="71">
        <v>0</v>
      </c>
      <c r="BN34" s="72">
        <v>0</v>
      </c>
      <c r="BO34" s="73"/>
      <c r="BP34" s="73"/>
      <c r="BQ34" s="71">
        <v>0</v>
      </c>
      <c r="BR34" s="71">
        <v>0</v>
      </c>
      <c r="BS34" s="71">
        <v>0</v>
      </c>
      <c r="BT34" s="72">
        <v>0</v>
      </c>
      <c r="BU34" s="73"/>
      <c r="BV34" s="73"/>
    </row>
    <row r="35" ht="30" customHeight="1" spans="1:74">
      <c r="A35" s="55" t="s">
        <v>96</v>
      </c>
      <c r="B35" s="56" t="s">
        <v>42</v>
      </c>
      <c r="C35" s="57" t="s">
        <v>43</v>
      </c>
      <c r="D35" s="76" t="s">
        <v>91</v>
      </c>
      <c r="E35" s="76" t="s">
        <v>101</v>
      </c>
      <c r="F35" s="59" t="str">
        <f>VLOOKUP(E35,[1]库存!$B$1:$C$65536,2,FALSE)</f>
        <v>SMCV SV51 SAB RH B状态</v>
      </c>
      <c r="G35" s="59" t="s">
        <v>102</v>
      </c>
      <c r="H35" s="59" t="s">
        <v>103</v>
      </c>
      <c r="I35" s="76" t="s">
        <v>100</v>
      </c>
      <c r="J35" s="63"/>
      <c r="K35" s="61"/>
      <c r="L35" s="62">
        <v>2</v>
      </c>
      <c r="M35" s="63">
        <v>1200</v>
      </c>
      <c r="N35" s="64">
        <v>13</v>
      </c>
      <c r="O35" s="62">
        <v>2</v>
      </c>
      <c r="P35" s="65">
        <f t="shared" si="0"/>
        <v>0</v>
      </c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7"/>
      <c r="BF35" s="67"/>
      <c r="BG35" s="68"/>
      <c r="BI35" s="69">
        <v>0</v>
      </c>
      <c r="BJ35" s="70">
        <v>0</v>
      </c>
      <c r="BK35" s="71">
        <v>0</v>
      </c>
      <c r="BL35" s="71">
        <v>0</v>
      </c>
      <c r="BM35" s="71">
        <v>0</v>
      </c>
      <c r="BN35" s="72">
        <v>0</v>
      </c>
      <c r="BO35" s="73"/>
      <c r="BP35" s="73"/>
      <c r="BQ35" s="71">
        <v>0</v>
      </c>
      <c r="BR35" s="71">
        <v>0</v>
      </c>
      <c r="BS35" s="71">
        <v>0</v>
      </c>
      <c r="BT35" s="72">
        <v>0</v>
      </c>
      <c r="BU35" s="73"/>
      <c r="BV35" s="73"/>
    </row>
    <row r="36" ht="30" customHeight="1" spans="1:74">
      <c r="A36" s="55">
        <v>0</v>
      </c>
      <c r="B36" s="56">
        <v>0</v>
      </c>
      <c r="C36" s="57">
        <v>0</v>
      </c>
      <c r="D36" s="78"/>
      <c r="E36" s="78"/>
      <c r="F36" s="59" t="e">
        <f>VLOOKUP(E36,[1]库存!$B$1:$C$65536,2,FALSE)</f>
        <v>#N/A</v>
      </c>
      <c r="G36" s="59" t="e">
        <v>#N/A</v>
      </c>
      <c r="H36" s="74"/>
      <c r="I36" s="78"/>
      <c r="J36" s="87"/>
      <c r="K36" s="61"/>
      <c r="L36" s="62">
        <v>0</v>
      </c>
      <c r="M36" s="63">
        <v>0</v>
      </c>
      <c r="N36" s="64">
        <v>0</v>
      </c>
      <c r="O36" s="62">
        <v>0</v>
      </c>
      <c r="P36" s="65">
        <f t="shared" si="0"/>
        <v>0</v>
      </c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7"/>
      <c r="BF36" s="67"/>
      <c r="BG36" s="68"/>
      <c r="BI36" s="69">
        <v>0</v>
      </c>
      <c r="BJ36" s="70">
        <v>0</v>
      </c>
      <c r="BK36" s="71">
        <v>0</v>
      </c>
      <c r="BL36" s="71">
        <v>0</v>
      </c>
      <c r="BM36" s="71">
        <v>0</v>
      </c>
      <c r="BN36" s="72">
        <v>0</v>
      </c>
      <c r="BO36" s="73"/>
      <c r="BP36" s="73"/>
      <c r="BQ36" s="71">
        <v>0</v>
      </c>
      <c r="BR36" s="71">
        <v>0</v>
      </c>
      <c r="BS36" s="71">
        <v>0</v>
      </c>
      <c r="BT36" s="72">
        <v>0</v>
      </c>
      <c r="BU36" s="73"/>
      <c r="BV36" s="73"/>
    </row>
    <row r="37" ht="39" spans="1:74">
      <c r="A37" s="55" t="s">
        <v>96</v>
      </c>
      <c r="B37" s="56" t="s">
        <v>42</v>
      </c>
      <c r="C37" s="57" t="s">
        <v>43</v>
      </c>
      <c r="D37" s="76" t="s">
        <v>91</v>
      </c>
      <c r="E37" s="59" t="s">
        <v>104</v>
      </c>
      <c r="F37" s="59" t="str">
        <f>VLOOKUP(E37,[1]库存!$B$1:$C$65536,2,FALSE)</f>
        <v>SAIC EP22 MCE EU SAB LH A状态</v>
      </c>
      <c r="G37" s="59" t="s">
        <v>105</v>
      </c>
      <c r="H37" s="59" t="s">
        <v>106</v>
      </c>
      <c r="I37" s="59" t="s">
        <v>107</v>
      </c>
      <c r="J37" s="63"/>
      <c r="K37" s="61"/>
      <c r="L37" s="62">
        <v>2</v>
      </c>
      <c r="M37" s="63">
        <v>1200</v>
      </c>
      <c r="N37" s="64">
        <v>13</v>
      </c>
      <c r="O37" s="62">
        <v>2</v>
      </c>
      <c r="P37" s="65">
        <f t="shared" si="0"/>
        <v>0</v>
      </c>
      <c r="Q37" s="66"/>
      <c r="R37" s="66"/>
      <c r="S37" s="66"/>
      <c r="T37" s="66"/>
      <c r="U37" s="66">
        <v>1280</v>
      </c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7"/>
      <c r="BF37" s="67"/>
      <c r="BG37" s="68"/>
      <c r="BI37" s="69">
        <v>0</v>
      </c>
      <c r="BJ37" s="70">
        <v>0</v>
      </c>
      <c r="BK37" s="71">
        <v>0</v>
      </c>
      <c r="BL37" s="71">
        <v>0</v>
      </c>
      <c r="BM37" s="71">
        <v>0</v>
      </c>
      <c r="BN37" s="72">
        <v>0</v>
      </c>
      <c r="BO37" s="73"/>
      <c r="BP37" s="73"/>
      <c r="BQ37" s="71">
        <v>0</v>
      </c>
      <c r="BR37" s="71">
        <v>0</v>
      </c>
      <c r="BS37" s="71">
        <v>0</v>
      </c>
      <c r="BT37" s="72">
        <v>0</v>
      </c>
      <c r="BU37" s="73"/>
      <c r="BV37" s="73"/>
    </row>
    <row r="38" ht="30" customHeight="1" spans="1:74">
      <c r="A38" s="55">
        <v>0</v>
      </c>
      <c r="B38" s="56">
        <v>0</v>
      </c>
      <c r="C38" s="57">
        <v>0</v>
      </c>
      <c r="D38" s="78"/>
      <c r="E38" s="74"/>
      <c r="F38" s="59" t="e">
        <f>VLOOKUP(E38,[1]库存!$B$1:$C$65536,2,FALSE)</f>
        <v>#N/A</v>
      </c>
      <c r="G38" s="59" t="e">
        <v>#N/A</v>
      </c>
      <c r="H38" s="74"/>
      <c r="I38" s="74"/>
      <c r="J38" s="87"/>
      <c r="K38" s="61"/>
      <c r="L38" s="62">
        <v>0</v>
      </c>
      <c r="M38" s="63">
        <v>0</v>
      </c>
      <c r="N38" s="64">
        <v>0</v>
      </c>
      <c r="O38" s="62">
        <v>0</v>
      </c>
      <c r="P38" s="65">
        <f t="shared" si="0"/>
        <v>0</v>
      </c>
      <c r="Q38" s="66"/>
      <c r="R38" s="66"/>
      <c r="S38" s="66"/>
      <c r="T38" s="66"/>
      <c r="U38" s="66">
        <v>1297</v>
      </c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7"/>
      <c r="BF38" s="67"/>
      <c r="BG38" s="68"/>
      <c r="BI38" s="69">
        <v>0</v>
      </c>
      <c r="BJ38" s="70">
        <v>0</v>
      </c>
      <c r="BK38" s="71">
        <v>0</v>
      </c>
      <c r="BL38" s="71">
        <v>0</v>
      </c>
      <c r="BM38" s="71">
        <v>0</v>
      </c>
      <c r="BN38" s="72">
        <v>0</v>
      </c>
      <c r="BO38" s="73"/>
      <c r="BP38" s="73"/>
      <c r="BQ38" s="71">
        <v>0</v>
      </c>
      <c r="BR38" s="71">
        <v>0</v>
      </c>
      <c r="BS38" s="71">
        <v>0</v>
      </c>
      <c r="BT38" s="72">
        <v>0</v>
      </c>
      <c r="BU38" s="73"/>
      <c r="BV38" s="73"/>
    </row>
    <row r="39" ht="39" spans="1:74">
      <c r="A39" s="55" t="s">
        <v>96</v>
      </c>
      <c r="B39" s="56" t="s">
        <v>42</v>
      </c>
      <c r="C39" s="57" t="s">
        <v>43</v>
      </c>
      <c r="D39" s="76" t="s">
        <v>91</v>
      </c>
      <c r="E39" s="59" t="s">
        <v>108</v>
      </c>
      <c r="F39" s="59" t="str">
        <f>VLOOKUP(E39,[1]库存!$B$1:$C$65536,2,FALSE)</f>
        <v>SAIC EP22 MCE EU SAB RH A状态</v>
      </c>
      <c r="G39" s="59" t="s">
        <v>109</v>
      </c>
      <c r="H39" s="59" t="s">
        <v>110</v>
      </c>
      <c r="I39" s="59" t="s">
        <v>107</v>
      </c>
      <c r="J39" s="63"/>
      <c r="K39" s="61"/>
      <c r="L39" s="62">
        <v>2</v>
      </c>
      <c r="M39" s="63">
        <v>1200</v>
      </c>
      <c r="N39" s="64">
        <v>13</v>
      </c>
      <c r="O39" s="62">
        <v>2</v>
      </c>
      <c r="P39" s="65">
        <f t="shared" si="0"/>
        <v>0</v>
      </c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7"/>
      <c r="BF39" s="67"/>
      <c r="BG39" s="68"/>
      <c r="BI39" s="69">
        <v>0</v>
      </c>
      <c r="BJ39" s="70">
        <v>0</v>
      </c>
      <c r="BK39" s="71">
        <v>0</v>
      </c>
      <c r="BL39" s="71">
        <v>0</v>
      </c>
      <c r="BM39" s="71">
        <v>0</v>
      </c>
      <c r="BN39" s="72">
        <v>0</v>
      </c>
      <c r="BO39" s="73"/>
      <c r="BP39" s="73"/>
      <c r="BQ39" s="71">
        <v>0</v>
      </c>
      <c r="BR39" s="71">
        <v>0</v>
      </c>
      <c r="BS39" s="71">
        <v>0</v>
      </c>
      <c r="BT39" s="72">
        <v>0</v>
      </c>
      <c r="BU39" s="73"/>
      <c r="BV39" s="73"/>
    </row>
    <row r="40" ht="30" customHeight="1" spans="1:74">
      <c r="A40" s="55">
        <v>0</v>
      </c>
      <c r="B40" s="56">
        <v>0</v>
      </c>
      <c r="C40" s="57">
        <v>0</v>
      </c>
      <c r="D40" s="78"/>
      <c r="E40" s="74"/>
      <c r="F40" s="59" t="e">
        <f>VLOOKUP(E40,[1]库存!$B$1:$C$65536,2,FALSE)</f>
        <v>#N/A</v>
      </c>
      <c r="G40" s="59" t="e">
        <v>#N/A</v>
      </c>
      <c r="H40" s="74"/>
      <c r="I40" s="74"/>
      <c r="J40" s="87"/>
      <c r="K40" s="61"/>
      <c r="L40" s="62">
        <v>0</v>
      </c>
      <c r="M40" s="63">
        <v>0</v>
      </c>
      <c r="N40" s="64">
        <v>0</v>
      </c>
      <c r="O40" s="62">
        <v>0</v>
      </c>
      <c r="P40" s="65">
        <f t="shared" si="0"/>
        <v>0</v>
      </c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7"/>
      <c r="BF40" s="67"/>
      <c r="BG40" s="68"/>
      <c r="BI40" s="69">
        <v>0</v>
      </c>
      <c r="BJ40" s="70">
        <v>0</v>
      </c>
      <c r="BK40" s="71">
        <v>0</v>
      </c>
      <c r="BL40" s="71">
        <v>0</v>
      </c>
      <c r="BM40" s="71">
        <v>0</v>
      </c>
      <c r="BN40" s="72">
        <v>0</v>
      </c>
      <c r="BO40" s="73"/>
      <c r="BP40" s="73"/>
      <c r="BQ40" s="71">
        <v>0</v>
      </c>
      <c r="BR40" s="71">
        <v>0</v>
      </c>
      <c r="BS40" s="71">
        <v>0</v>
      </c>
      <c r="BT40" s="72">
        <v>0</v>
      </c>
      <c r="BU40" s="73"/>
      <c r="BV40" s="73"/>
    </row>
    <row r="41" ht="30" customHeight="1" spans="1:74">
      <c r="A41" s="55" t="s">
        <v>96</v>
      </c>
      <c r="B41" s="56" t="s">
        <v>42</v>
      </c>
      <c r="C41" s="57" t="s">
        <v>43</v>
      </c>
      <c r="D41" s="76" t="s">
        <v>91</v>
      </c>
      <c r="E41" s="59" t="s">
        <v>111</v>
      </c>
      <c r="F41" s="59" t="str">
        <f>VLOOKUP(E41,[1]库存!$B$1:$C$65536,2,FALSE)</f>
        <v>SAIC EP21 MCE EU SAB LH</v>
      </c>
      <c r="G41" s="59" t="s">
        <v>112</v>
      </c>
      <c r="H41" s="59" t="s">
        <v>113</v>
      </c>
      <c r="I41" s="59" t="s">
        <v>114</v>
      </c>
      <c r="J41" s="80" t="s">
        <v>65</v>
      </c>
      <c r="K41" s="61"/>
      <c r="L41" s="62">
        <v>2</v>
      </c>
      <c r="M41" s="63">
        <v>1200</v>
      </c>
      <c r="N41" s="64">
        <v>13</v>
      </c>
      <c r="O41" s="62">
        <v>2</v>
      </c>
      <c r="P41" s="65">
        <f t="shared" si="0"/>
        <v>0</v>
      </c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7"/>
      <c r="BF41" s="67"/>
      <c r="BG41" s="68"/>
      <c r="BI41" s="69">
        <v>0</v>
      </c>
      <c r="BJ41" s="70">
        <v>0</v>
      </c>
      <c r="BK41" s="71">
        <v>0</v>
      </c>
      <c r="BL41" s="71">
        <v>0</v>
      </c>
      <c r="BM41" s="71">
        <v>0</v>
      </c>
      <c r="BN41" s="72">
        <v>0</v>
      </c>
      <c r="BO41" s="73"/>
      <c r="BP41" s="73"/>
      <c r="BQ41" s="71">
        <v>0</v>
      </c>
      <c r="BR41" s="71">
        <v>0</v>
      </c>
      <c r="BS41" s="71">
        <v>0</v>
      </c>
      <c r="BT41" s="72">
        <v>0</v>
      </c>
      <c r="BU41" s="73"/>
      <c r="BV41" s="73"/>
    </row>
    <row r="42" ht="30" customHeight="1" spans="1:74">
      <c r="A42" s="55">
        <v>0</v>
      </c>
      <c r="B42" s="56">
        <v>0</v>
      </c>
      <c r="C42" s="57">
        <v>0</v>
      </c>
      <c r="D42" s="78"/>
      <c r="E42" s="74"/>
      <c r="F42" s="59" t="e">
        <f>VLOOKUP(E42,[1]库存!$B$1:$C$65536,2,FALSE)</f>
        <v>#N/A</v>
      </c>
      <c r="G42" s="59" t="e">
        <v>#N/A</v>
      </c>
      <c r="H42" s="74"/>
      <c r="I42" s="74"/>
      <c r="J42" s="81"/>
      <c r="K42" s="61"/>
      <c r="L42" s="62">
        <v>0</v>
      </c>
      <c r="M42" s="63">
        <v>0</v>
      </c>
      <c r="N42" s="64">
        <v>0</v>
      </c>
      <c r="O42" s="62">
        <v>0</v>
      </c>
      <c r="P42" s="65">
        <f t="shared" si="0"/>
        <v>0</v>
      </c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7"/>
      <c r="BF42" s="67"/>
      <c r="BG42" s="68"/>
      <c r="BI42" s="69">
        <v>0</v>
      </c>
      <c r="BJ42" s="70">
        <v>0</v>
      </c>
      <c r="BK42" s="71">
        <v>0</v>
      </c>
      <c r="BL42" s="71">
        <v>0</v>
      </c>
      <c r="BM42" s="71">
        <v>0</v>
      </c>
      <c r="BN42" s="72">
        <v>0</v>
      </c>
      <c r="BO42" s="73"/>
      <c r="BP42" s="73"/>
      <c r="BQ42" s="71">
        <v>0</v>
      </c>
      <c r="BR42" s="71">
        <v>0</v>
      </c>
      <c r="BS42" s="71">
        <v>0</v>
      </c>
      <c r="BT42" s="72">
        <v>0</v>
      </c>
      <c r="BU42" s="73"/>
      <c r="BV42" s="73"/>
    </row>
    <row r="43" ht="30" customHeight="1" spans="1:74">
      <c r="A43" s="55" t="s">
        <v>96</v>
      </c>
      <c r="B43" s="56" t="s">
        <v>42</v>
      </c>
      <c r="C43" s="57" t="s">
        <v>43</v>
      </c>
      <c r="D43" s="76" t="s">
        <v>91</v>
      </c>
      <c r="E43" s="59" t="s">
        <v>115</v>
      </c>
      <c r="F43" s="59" t="str">
        <f>VLOOKUP(E43,[1]库存!$B$1:$C$65536,2,FALSE)</f>
        <v>SAIC EP21 MCE EU SAB RH</v>
      </c>
      <c r="G43" s="59" t="s">
        <v>116</v>
      </c>
      <c r="H43" s="59" t="s">
        <v>117</v>
      </c>
      <c r="I43" s="59" t="s">
        <v>114</v>
      </c>
      <c r="J43" s="80" t="s">
        <v>65</v>
      </c>
      <c r="K43" s="61"/>
      <c r="L43" s="62">
        <v>2</v>
      </c>
      <c r="M43" s="63">
        <v>1200</v>
      </c>
      <c r="N43" s="64">
        <v>13</v>
      </c>
      <c r="O43" s="62">
        <v>2</v>
      </c>
      <c r="P43" s="65">
        <f t="shared" si="0"/>
        <v>0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7"/>
      <c r="BF43" s="67"/>
      <c r="BG43" s="68"/>
      <c r="BI43" s="69">
        <v>0</v>
      </c>
      <c r="BJ43" s="70">
        <v>0</v>
      </c>
      <c r="BK43" s="71">
        <v>0</v>
      </c>
      <c r="BL43" s="71">
        <v>0</v>
      </c>
      <c r="BM43" s="71">
        <v>0</v>
      </c>
      <c r="BN43" s="72">
        <v>0</v>
      </c>
      <c r="BO43" s="73"/>
      <c r="BP43" s="73"/>
      <c r="BQ43" s="71">
        <v>0</v>
      </c>
      <c r="BR43" s="71">
        <v>0</v>
      </c>
      <c r="BS43" s="71">
        <v>0</v>
      </c>
      <c r="BT43" s="72">
        <v>0</v>
      </c>
      <c r="BU43" s="73"/>
      <c r="BV43" s="73"/>
    </row>
    <row r="44" ht="30" customHeight="1" spans="1:74">
      <c r="A44" s="55">
        <v>0</v>
      </c>
      <c r="B44" s="56">
        <v>0</v>
      </c>
      <c r="C44" s="57">
        <v>0</v>
      </c>
      <c r="D44" s="78"/>
      <c r="E44" s="74"/>
      <c r="F44" s="59" t="e">
        <f>VLOOKUP(E44,[1]库存!$B$1:$C$65536,2,FALSE)</f>
        <v>#N/A</v>
      </c>
      <c r="G44" s="59" t="e">
        <v>#N/A</v>
      </c>
      <c r="H44" s="74"/>
      <c r="I44" s="74"/>
      <c r="J44" s="81"/>
      <c r="K44" s="61"/>
      <c r="L44" s="62">
        <v>0</v>
      </c>
      <c r="M44" s="63">
        <v>0</v>
      </c>
      <c r="N44" s="64">
        <v>0</v>
      </c>
      <c r="O44" s="62">
        <v>0</v>
      </c>
      <c r="P44" s="65">
        <f t="shared" si="0"/>
        <v>0</v>
      </c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7"/>
      <c r="BF44" s="67"/>
      <c r="BG44" s="68"/>
      <c r="BI44" s="69">
        <v>0</v>
      </c>
      <c r="BJ44" s="70">
        <v>0</v>
      </c>
      <c r="BK44" s="71">
        <v>0</v>
      </c>
      <c r="BL44" s="71">
        <v>0</v>
      </c>
      <c r="BM44" s="71">
        <v>0</v>
      </c>
      <c r="BN44" s="72">
        <v>0</v>
      </c>
      <c r="BO44" s="73"/>
      <c r="BP44" s="73"/>
      <c r="BQ44" s="71">
        <v>0</v>
      </c>
      <c r="BR44" s="71">
        <v>0</v>
      </c>
      <c r="BS44" s="71">
        <v>0</v>
      </c>
      <c r="BT44" s="72">
        <v>0</v>
      </c>
      <c r="BU44" s="73"/>
      <c r="BV44" s="73"/>
    </row>
    <row r="45" ht="30" customHeight="1" spans="1:74">
      <c r="A45" s="55" t="s">
        <v>41</v>
      </c>
      <c r="B45" s="56" t="s">
        <v>42</v>
      </c>
      <c r="C45" s="57" t="s">
        <v>43</v>
      </c>
      <c r="D45" s="76" t="s">
        <v>91</v>
      </c>
      <c r="E45" s="59" t="s">
        <v>118</v>
      </c>
      <c r="F45" s="59" t="str">
        <f>VLOOKUP(E45,[1]库存!$B$1:$C$65536,2,FALSE)</f>
        <v>S302 SAB LH A状态</v>
      </c>
      <c r="G45" s="59" t="s">
        <v>119</v>
      </c>
      <c r="H45" s="59" t="s">
        <v>120</v>
      </c>
      <c r="I45" s="59" t="s">
        <v>121</v>
      </c>
      <c r="J45" s="80" t="s">
        <v>65</v>
      </c>
      <c r="K45" s="61"/>
      <c r="L45" s="62">
        <v>2</v>
      </c>
      <c r="M45" s="63">
        <v>1200</v>
      </c>
      <c r="N45" s="64">
        <v>13</v>
      </c>
      <c r="O45" s="62">
        <v>2</v>
      </c>
      <c r="P45" s="65">
        <f t="shared" si="0"/>
        <v>0</v>
      </c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7"/>
      <c r="BF45" s="67"/>
      <c r="BG45" s="68"/>
      <c r="BI45" s="69">
        <v>0</v>
      </c>
      <c r="BJ45" s="70">
        <v>0</v>
      </c>
      <c r="BK45" s="71">
        <v>0</v>
      </c>
      <c r="BL45" s="71">
        <v>0</v>
      </c>
      <c r="BM45" s="71">
        <v>0</v>
      </c>
      <c r="BN45" s="72">
        <v>0</v>
      </c>
      <c r="BO45" s="73"/>
      <c r="BP45" s="73"/>
      <c r="BQ45" s="71">
        <v>0</v>
      </c>
      <c r="BR45" s="71">
        <v>0</v>
      </c>
      <c r="BS45" s="71">
        <v>0</v>
      </c>
      <c r="BT45" s="72">
        <v>0</v>
      </c>
      <c r="BU45" s="73"/>
      <c r="BV45" s="73"/>
    </row>
    <row r="46" ht="30" customHeight="1" spans="1:74">
      <c r="A46" s="55">
        <v>0</v>
      </c>
      <c r="B46" s="56">
        <v>0</v>
      </c>
      <c r="C46" s="57">
        <v>0</v>
      </c>
      <c r="D46" s="78"/>
      <c r="E46" s="74"/>
      <c r="F46" s="59" t="e">
        <f>VLOOKUP(E46,[1]库存!$B$1:$C$65536,2,FALSE)</f>
        <v>#N/A</v>
      </c>
      <c r="G46" s="59" t="e">
        <v>#N/A</v>
      </c>
      <c r="H46" s="74"/>
      <c r="I46" s="74"/>
      <c r="J46" s="81"/>
      <c r="K46" s="61"/>
      <c r="L46" s="62">
        <v>0</v>
      </c>
      <c r="M46" s="63">
        <v>0</v>
      </c>
      <c r="N46" s="64">
        <v>0</v>
      </c>
      <c r="O46" s="62">
        <v>0</v>
      </c>
      <c r="P46" s="65">
        <f t="shared" si="0"/>
        <v>0</v>
      </c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7"/>
      <c r="BF46" s="67"/>
      <c r="BG46" s="68"/>
      <c r="BI46" s="69">
        <v>0</v>
      </c>
      <c r="BJ46" s="70">
        <v>0</v>
      </c>
      <c r="BK46" s="71">
        <v>0</v>
      </c>
      <c r="BL46" s="71">
        <v>0</v>
      </c>
      <c r="BM46" s="71">
        <v>0</v>
      </c>
      <c r="BN46" s="72">
        <v>0</v>
      </c>
      <c r="BO46" s="73"/>
      <c r="BP46" s="73"/>
      <c r="BQ46" s="71">
        <v>0</v>
      </c>
      <c r="BR46" s="71">
        <v>0</v>
      </c>
      <c r="BS46" s="71">
        <v>0</v>
      </c>
      <c r="BT46" s="72">
        <v>0</v>
      </c>
      <c r="BU46" s="73"/>
      <c r="BV46" s="73"/>
    </row>
    <row r="47" ht="30" customHeight="1" spans="1:74">
      <c r="A47" s="55" t="s">
        <v>41</v>
      </c>
      <c r="B47" s="56" t="s">
        <v>42</v>
      </c>
      <c r="C47" s="57" t="s">
        <v>43</v>
      </c>
      <c r="D47" s="76" t="s">
        <v>91</v>
      </c>
      <c r="E47" s="59" t="s">
        <v>122</v>
      </c>
      <c r="F47" s="59" t="str">
        <f>VLOOKUP(E47,[1]库存!$B$1:$C$65536,2,FALSE)</f>
        <v>S302 SAB RH A状态</v>
      </c>
      <c r="G47" s="59" t="s">
        <v>123</v>
      </c>
      <c r="H47" s="59" t="s">
        <v>124</v>
      </c>
      <c r="I47" s="59" t="s">
        <v>121</v>
      </c>
      <c r="J47" s="80" t="s">
        <v>65</v>
      </c>
      <c r="K47" s="61"/>
      <c r="L47" s="62">
        <v>2</v>
      </c>
      <c r="M47" s="63">
        <v>1200</v>
      </c>
      <c r="N47" s="64">
        <v>13</v>
      </c>
      <c r="O47" s="62">
        <v>2</v>
      </c>
      <c r="P47" s="65">
        <f t="shared" si="0"/>
        <v>0</v>
      </c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7"/>
      <c r="BF47" s="67"/>
      <c r="BG47" s="68"/>
      <c r="BI47" s="69">
        <v>0</v>
      </c>
      <c r="BJ47" s="70">
        <v>0</v>
      </c>
      <c r="BK47" s="71">
        <v>0</v>
      </c>
      <c r="BL47" s="71">
        <v>0</v>
      </c>
      <c r="BM47" s="71">
        <v>0</v>
      </c>
      <c r="BN47" s="72">
        <v>0</v>
      </c>
      <c r="BO47" s="73"/>
      <c r="BP47" s="73"/>
      <c r="BQ47" s="71">
        <v>0</v>
      </c>
      <c r="BR47" s="71">
        <v>0</v>
      </c>
      <c r="BS47" s="71">
        <v>0</v>
      </c>
      <c r="BT47" s="72">
        <v>0</v>
      </c>
      <c r="BU47" s="73"/>
      <c r="BV47" s="73"/>
    </row>
    <row r="48" ht="30" customHeight="1" spans="1:74">
      <c r="A48" s="55">
        <v>0</v>
      </c>
      <c r="B48" s="56">
        <v>0</v>
      </c>
      <c r="C48" s="57">
        <v>0</v>
      </c>
      <c r="D48" s="78"/>
      <c r="E48" s="74"/>
      <c r="F48" s="59" t="e">
        <f>VLOOKUP(E48,[1]库存!$B$1:$C$65536,2,FALSE)</f>
        <v>#N/A</v>
      </c>
      <c r="G48" s="59" t="e">
        <v>#N/A</v>
      </c>
      <c r="H48" s="74"/>
      <c r="I48" s="74"/>
      <c r="J48" s="81"/>
      <c r="K48" s="61"/>
      <c r="L48" s="62">
        <v>0</v>
      </c>
      <c r="M48" s="63">
        <v>0</v>
      </c>
      <c r="N48" s="64">
        <v>0</v>
      </c>
      <c r="O48" s="62">
        <v>0</v>
      </c>
      <c r="P48" s="65">
        <f t="shared" si="0"/>
        <v>0</v>
      </c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7"/>
      <c r="BF48" s="67"/>
      <c r="BG48" s="68"/>
      <c r="BI48" s="69">
        <v>0</v>
      </c>
      <c r="BJ48" s="70">
        <v>0</v>
      </c>
      <c r="BK48" s="71">
        <v>0</v>
      </c>
      <c r="BL48" s="71">
        <v>0</v>
      </c>
      <c r="BM48" s="71">
        <v>0</v>
      </c>
      <c r="BN48" s="72">
        <v>0</v>
      </c>
      <c r="BO48" s="73"/>
      <c r="BP48" s="73"/>
      <c r="BQ48" s="71">
        <v>0</v>
      </c>
      <c r="BR48" s="71">
        <v>0</v>
      </c>
      <c r="BS48" s="71">
        <v>0</v>
      </c>
      <c r="BT48" s="72">
        <v>0</v>
      </c>
      <c r="BU48" s="73"/>
      <c r="BV48" s="73"/>
    </row>
    <row r="49" ht="30" customHeight="1" spans="1:74">
      <c r="A49" s="55" t="s">
        <v>96</v>
      </c>
      <c r="B49" s="56" t="s">
        <v>42</v>
      </c>
      <c r="C49" s="57" t="s">
        <v>43</v>
      </c>
      <c r="D49" s="76" t="s">
        <v>91</v>
      </c>
      <c r="E49" s="59" t="s">
        <v>125</v>
      </c>
      <c r="F49" s="59" t="str">
        <f>VLOOKUP(E49,[1]库存!$B$1:$C$65536,2,FALSE)</f>
        <v>EV31 SAB LH</v>
      </c>
      <c r="G49" s="59" t="s">
        <v>126</v>
      </c>
      <c r="H49" s="59" t="s">
        <v>127</v>
      </c>
      <c r="I49" s="59" t="s">
        <v>128</v>
      </c>
      <c r="J49" s="80" t="s">
        <v>65</v>
      </c>
      <c r="K49" s="61"/>
      <c r="L49" s="62">
        <v>2</v>
      </c>
      <c r="M49" s="63">
        <v>1300</v>
      </c>
      <c r="N49" s="64">
        <v>14</v>
      </c>
      <c r="O49" s="62">
        <v>2</v>
      </c>
      <c r="P49" s="65">
        <f t="shared" si="0"/>
        <v>0</v>
      </c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7"/>
      <c r="BF49" s="67"/>
      <c r="BG49" s="68"/>
      <c r="BI49" s="69">
        <v>0</v>
      </c>
      <c r="BJ49" s="70">
        <v>0</v>
      </c>
      <c r="BK49" s="71">
        <v>0</v>
      </c>
      <c r="BL49" s="71">
        <v>0</v>
      </c>
      <c r="BM49" s="71">
        <v>0</v>
      </c>
      <c r="BN49" s="72">
        <v>0</v>
      </c>
      <c r="BO49" s="73"/>
      <c r="BP49" s="73"/>
      <c r="BQ49" s="71">
        <v>0</v>
      </c>
      <c r="BR49" s="71">
        <v>0</v>
      </c>
      <c r="BS49" s="71">
        <v>0</v>
      </c>
      <c r="BT49" s="72">
        <v>0</v>
      </c>
      <c r="BU49" s="73"/>
      <c r="BV49" s="73"/>
    </row>
    <row r="50" ht="30" customHeight="1" spans="1:74">
      <c r="A50" s="55">
        <v>0</v>
      </c>
      <c r="B50" s="56">
        <v>0</v>
      </c>
      <c r="C50" s="57">
        <v>0</v>
      </c>
      <c r="D50" s="78"/>
      <c r="E50" s="74"/>
      <c r="F50" s="59" t="e">
        <f>VLOOKUP(E50,[1]库存!$B$1:$C$65536,2,FALSE)</f>
        <v>#N/A</v>
      </c>
      <c r="G50" s="59" t="e">
        <v>#N/A</v>
      </c>
      <c r="H50" s="74"/>
      <c r="I50" s="74"/>
      <c r="J50" s="81"/>
      <c r="K50" s="61"/>
      <c r="L50" s="62">
        <v>0</v>
      </c>
      <c r="M50" s="63">
        <v>0</v>
      </c>
      <c r="N50" s="64">
        <v>0</v>
      </c>
      <c r="O50" s="62">
        <v>0</v>
      </c>
      <c r="P50" s="65">
        <f t="shared" si="0"/>
        <v>0</v>
      </c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7"/>
      <c r="BF50" s="67"/>
      <c r="BG50" s="68"/>
      <c r="BI50" s="69">
        <v>0</v>
      </c>
      <c r="BJ50" s="70">
        <v>0</v>
      </c>
      <c r="BK50" s="71">
        <v>0</v>
      </c>
      <c r="BL50" s="71">
        <v>0</v>
      </c>
      <c r="BM50" s="71">
        <v>0</v>
      </c>
      <c r="BN50" s="72">
        <v>0</v>
      </c>
      <c r="BO50" s="73"/>
      <c r="BP50" s="73"/>
      <c r="BQ50" s="71">
        <v>0</v>
      </c>
      <c r="BR50" s="71">
        <v>0</v>
      </c>
      <c r="BS50" s="71">
        <v>0</v>
      </c>
      <c r="BT50" s="72">
        <v>0</v>
      </c>
      <c r="BU50" s="73"/>
      <c r="BV50" s="73"/>
    </row>
    <row r="51" ht="30" customHeight="1" spans="1:74">
      <c r="A51" s="55" t="s">
        <v>96</v>
      </c>
      <c r="B51" s="56" t="s">
        <v>42</v>
      </c>
      <c r="C51" s="57" t="s">
        <v>43</v>
      </c>
      <c r="D51" s="76" t="s">
        <v>91</v>
      </c>
      <c r="E51" s="59" t="s">
        <v>129</v>
      </c>
      <c r="F51" s="59" t="str">
        <f>VLOOKUP(E51,[1]库存!$B$1:$C$65536,2,FALSE)</f>
        <v>EV31 SAB RH</v>
      </c>
      <c r="G51" s="59" t="s">
        <v>130</v>
      </c>
      <c r="H51" s="59" t="s">
        <v>131</v>
      </c>
      <c r="I51" s="59" t="s">
        <v>128</v>
      </c>
      <c r="J51" s="80" t="s">
        <v>65</v>
      </c>
      <c r="K51" s="61"/>
      <c r="L51" s="62">
        <v>2</v>
      </c>
      <c r="M51" s="63">
        <v>1300</v>
      </c>
      <c r="N51" s="64">
        <v>14</v>
      </c>
      <c r="O51" s="62">
        <v>2</v>
      </c>
      <c r="P51" s="65">
        <f t="shared" si="0"/>
        <v>0</v>
      </c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7"/>
      <c r="BF51" s="67"/>
      <c r="BG51" s="68"/>
      <c r="BI51" s="69">
        <v>0</v>
      </c>
      <c r="BJ51" s="70">
        <v>0</v>
      </c>
      <c r="BK51" s="71">
        <v>0</v>
      </c>
      <c r="BL51" s="71">
        <v>0</v>
      </c>
      <c r="BM51" s="71">
        <v>0</v>
      </c>
      <c r="BN51" s="72">
        <v>0</v>
      </c>
      <c r="BO51" s="73"/>
      <c r="BP51" s="73"/>
      <c r="BQ51" s="71">
        <v>0</v>
      </c>
      <c r="BR51" s="71">
        <v>0</v>
      </c>
      <c r="BS51" s="71">
        <v>0</v>
      </c>
      <c r="BT51" s="72">
        <v>0</v>
      </c>
      <c r="BU51" s="73"/>
      <c r="BV51" s="73"/>
    </row>
    <row r="52" ht="30" customHeight="1" spans="1:74">
      <c r="A52" s="55">
        <v>0</v>
      </c>
      <c r="B52" s="56">
        <v>0</v>
      </c>
      <c r="C52" s="57">
        <v>0</v>
      </c>
      <c r="D52" s="78"/>
      <c r="E52" s="74"/>
      <c r="F52" s="59" t="e">
        <f>VLOOKUP(E52,[1]库存!$B$1:$C$65536,2,FALSE)</f>
        <v>#N/A</v>
      </c>
      <c r="G52" s="59" t="e">
        <v>#N/A</v>
      </c>
      <c r="H52" s="74"/>
      <c r="I52" s="74"/>
      <c r="J52" s="81"/>
      <c r="K52" s="61"/>
      <c r="L52" s="62">
        <v>0</v>
      </c>
      <c r="M52" s="63">
        <v>0</v>
      </c>
      <c r="N52" s="64">
        <v>0</v>
      </c>
      <c r="O52" s="62">
        <v>0</v>
      </c>
      <c r="P52" s="65">
        <f t="shared" si="0"/>
        <v>0</v>
      </c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7"/>
      <c r="BF52" s="67"/>
      <c r="BG52" s="68"/>
      <c r="BI52" s="69">
        <v>0</v>
      </c>
      <c r="BJ52" s="70">
        <v>0</v>
      </c>
      <c r="BK52" s="71">
        <v>0</v>
      </c>
      <c r="BL52" s="71">
        <v>0</v>
      </c>
      <c r="BM52" s="71">
        <v>0</v>
      </c>
      <c r="BN52" s="72">
        <v>0</v>
      </c>
      <c r="BO52" s="73"/>
      <c r="BP52" s="73"/>
      <c r="BQ52" s="71">
        <v>0</v>
      </c>
      <c r="BR52" s="71">
        <v>0</v>
      </c>
      <c r="BS52" s="71">
        <v>0</v>
      </c>
      <c r="BT52" s="72">
        <v>0</v>
      </c>
      <c r="BU52" s="73"/>
      <c r="BV52" s="73"/>
    </row>
    <row r="53" ht="30" customHeight="1" spans="1:74">
      <c r="A53" s="55">
        <v>0</v>
      </c>
      <c r="B53" s="56">
        <v>0</v>
      </c>
      <c r="C53" s="57">
        <v>0</v>
      </c>
      <c r="D53" s="88"/>
      <c r="E53" s="88"/>
      <c r="F53" s="59" t="e">
        <f>VLOOKUP(E53,[1]库存!$B$1:$C$65536,2,FALSE)</f>
        <v>#N/A</v>
      </c>
      <c r="G53" s="59" t="e">
        <v>#N/A</v>
      </c>
      <c r="H53" s="89"/>
      <c r="I53" s="88"/>
      <c r="J53" s="90"/>
      <c r="K53" s="61"/>
      <c r="L53" s="62">
        <v>0</v>
      </c>
      <c r="M53" s="63">
        <v>0</v>
      </c>
      <c r="N53" s="64">
        <v>0</v>
      </c>
      <c r="O53" s="62">
        <v>0</v>
      </c>
      <c r="P53" s="65">
        <f t="shared" si="0"/>
        <v>0</v>
      </c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7"/>
      <c r="BF53" s="67"/>
      <c r="BG53" s="68"/>
      <c r="BI53" s="69">
        <v>0</v>
      </c>
      <c r="BJ53" s="70">
        <v>0</v>
      </c>
      <c r="BK53" s="71">
        <v>0</v>
      </c>
      <c r="BL53" s="71">
        <v>0</v>
      </c>
      <c r="BM53" s="71">
        <v>0</v>
      </c>
      <c r="BN53" s="72">
        <v>0</v>
      </c>
      <c r="BO53" s="73"/>
      <c r="BP53" s="73"/>
      <c r="BQ53" s="71">
        <v>0</v>
      </c>
      <c r="BR53" s="71">
        <v>0</v>
      </c>
      <c r="BS53" s="71">
        <v>0</v>
      </c>
      <c r="BT53" s="72">
        <v>0</v>
      </c>
      <c r="BU53" s="73"/>
      <c r="BV53" s="73"/>
    </row>
    <row r="54" ht="30" customHeight="1" spans="1:74">
      <c r="A54" s="55" t="s">
        <v>41</v>
      </c>
      <c r="B54" s="56" t="s">
        <v>42</v>
      </c>
      <c r="C54" s="57" t="s">
        <v>43</v>
      </c>
      <c r="D54" s="91" t="s">
        <v>132</v>
      </c>
      <c r="E54" s="91" t="s">
        <v>133</v>
      </c>
      <c r="F54" s="91" t="str">
        <f>VLOOKUP(E54,[1]库存!$B$1:$C$65536,2,FALSE)</f>
        <v>CHANGAN C211 DAB(INVISTA面料)</v>
      </c>
      <c r="G54" s="91" t="s">
        <v>134</v>
      </c>
      <c r="H54" s="91" t="s">
        <v>135</v>
      </c>
      <c r="I54" s="91" t="s">
        <v>136</v>
      </c>
      <c r="J54" s="64"/>
      <c r="K54" s="61"/>
      <c r="L54" s="62">
        <v>2</v>
      </c>
      <c r="M54" s="63">
        <v>1500</v>
      </c>
      <c r="N54" s="64">
        <v>6</v>
      </c>
      <c r="O54" s="62">
        <v>2</v>
      </c>
      <c r="P54" s="65">
        <f t="shared" si="0"/>
        <v>0</v>
      </c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7"/>
      <c r="BF54" s="67"/>
      <c r="BG54" s="68"/>
      <c r="BI54" s="69">
        <v>0</v>
      </c>
      <c r="BJ54" s="70">
        <v>0</v>
      </c>
      <c r="BK54" s="71">
        <v>0</v>
      </c>
      <c r="BL54" s="71">
        <v>0</v>
      </c>
      <c r="BM54" s="71">
        <v>0</v>
      </c>
      <c r="BN54" s="72">
        <v>0</v>
      </c>
      <c r="BO54" s="73"/>
      <c r="BP54" s="73"/>
      <c r="BQ54" s="71">
        <v>0</v>
      </c>
      <c r="BR54" s="71">
        <v>0</v>
      </c>
      <c r="BS54" s="71">
        <v>0</v>
      </c>
      <c r="BT54" s="72">
        <v>0</v>
      </c>
      <c r="BU54" s="73"/>
      <c r="BV54" s="73"/>
    </row>
    <row r="55" ht="30" customHeight="1" spans="1:74">
      <c r="A55" s="55">
        <v>0</v>
      </c>
      <c r="B55" s="56">
        <v>0</v>
      </c>
      <c r="C55" s="57">
        <v>0</v>
      </c>
      <c r="D55" s="92"/>
      <c r="E55" s="92"/>
      <c r="F55" s="91" t="e">
        <f>VLOOKUP(E55,[1]库存!$B$1:$C$65536,2,FALSE)</f>
        <v>#N/A</v>
      </c>
      <c r="G55" s="91" t="e">
        <v>#N/A</v>
      </c>
      <c r="H55" s="92"/>
      <c r="I55" s="92"/>
      <c r="J55" s="93"/>
      <c r="K55" s="61"/>
      <c r="L55" s="62">
        <v>0</v>
      </c>
      <c r="M55" s="63">
        <v>0</v>
      </c>
      <c r="N55" s="64">
        <v>0</v>
      </c>
      <c r="O55" s="62">
        <v>0</v>
      </c>
      <c r="P55" s="65">
        <f t="shared" si="0"/>
        <v>0</v>
      </c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7"/>
      <c r="BF55" s="67"/>
      <c r="BG55" s="68"/>
      <c r="BI55" s="69">
        <v>0</v>
      </c>
      <c r="BJ55" s="70">
        <v>0</v>
      </c>
      <c r="BK55" s="71">
        <v>0</v>
      </c>
      <c r="BL55" s="71">
        <v>0</v>
      </c>
      <c r="BM55" s="71">
        <v>0</v>
      </c>
      <c r="BN55" s="72">
        <v>0</v>
      </c>
      <c r="BO55" s="73"/>
      <c r="BP55" s="73"/>
      <c r="BQ55" s="71">
        <v>0</v>
      </c>
      <c r="BR55" s="71">
        <v>0</v>
      </c>
      <c r="BS55" s="71">
        <v>0</v>
      </c>
      <c r="BT55" s="72">
        <v>0</v>
      </c>
      <c r="BU55" s="73"/>
      <c r="BV55" s="73"/>
    </row>
    <row r="56" ht="30" customHeight="1" spans="1:74">
      <c r="A56" s="55" t="s">
        <v>41</v>
      </c>
      <c r="B56" s="56" t="s">
        <v>42</v>
      </c>
      <c r="C56" s="57" t="s">
        <v>43</v>
      </c>
      <c r="D56" s="59" t="s">
        <v>132</v>
      </c>
      <c r="E56" s="59" t="s">
        <v>137</v>
      </c>
      <c r="F56" s="59" t="str">
        <f>VLOOKUP(E56,[1]库存!$B$1:$C$65536,2,FALSE)</f>
        <v>JAC BCROSS DAB</v>
      </c>
      <c r="G56" s="59" t="s">
        <v>138</v>
      </c>
      <c r="H56" s="59" t="s">
        <v>139</v>
      </c>
      <c r="I56" s="59" t="s">
        <v>140</v>
      </c>
      <c r="J56" s="80" t="s">
        <v>65</v>
      </c>
      <c r="K56" s="61"/>
      <c r="L56" s="62">
        <v>2</v>
      </c>
      <c r="M56" s="63">
        <v>1500</v>
      </c>
      <c r="N56" s="64">
        <v>7</v>
      </c>
      <c r="O56" s="62">
        <v>2</v>
      </c>
      <c r="P56" s="65">
        <f t="shared" si="0"/>
        <v>0</v>
      </c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7"/>
      <c r="BF56" s="67"/>
      <c r="BG56" s="68"/>
      <c r="BI56" s="69">
        <v>0</v>
      </c>
      <c r="BJ56" s="70">
        <v>0</v>
      </c>
      <c r="BK56" s="71">
        <v>0</v>
      </c>
      <c r="BL56" s="71">
        <v>0</v>
      </c>
      <c r="BM56" s="71">
        <v>0</v>
      </c>
      <c r="BN56" s="72">
        <v>0</v>
      </c>
      <c r="BO56" s="73"/>
      <c r="BP56" s="73"/>
      <c r="BQ56" s="71">
        <v>0</v>
      </c>
      <c r="BR56" s="71">
        <v>0</v>
      </c>
      <c r="BS56" s="71">
        <v>0</v>
      </c>
      <c r="BT56" s="72">
        <v>0</v>
      </c>
      <c r="BU56" s="73"/>
      <c r="BV56" s="73"/>
    </row>
    <row r="57" ht="30" customHeight="1" spans="1:74">
      <c r="A57" s="55">
        <v>0</v>
      </c>
      <c r="B57" s="56">
        <v>0</v>
      </c>
      <c r="C57" s="57">
        <v>0</v>
      </c>
      <c r="D57" s="74"/>
      <c r="E57" s="74"/>
      <c r="F57" s="59" t="e">
        <f>VLOOKUP(E57,[1]库存!$B$1:$C$65536,2,FALSE)</f>
        <v>#N/A</v>
      </c>
      <c r="G57" s="59" t="e">
        <v>#N/A</v>
      </c>
      <c r="H57" s="74"/>
      <c r="I57" s="74"/>
      <c r="J57" s="81"/>
      <c r="K57" s="61"/>
      <c r="L57" s="62">
        <v>0</v>
      </c>
      <c r="M57" s="63">
        <v>0</v>
      </c>
      <c r="N57" s="64">
        <v>0</v>
      </c>
      <c r="O57" s="62">
        <v>0</v>
      </c>
      <c r="P57" s="65">
        <f t="shared" si="0"/>
        <v>0</v>
      </c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7"/>
      <c r="BF57" s="67"/>
      <c r="BG57" s="68"/>
      <c r="BI57" s="69">
        <v>0</v>
      </c>
      <c r="BJ57" s="70">
        <v>0</v>
      </c>
      <c r="BK57" s="71">
        <v>0</v>
      </c>
      <c r="BL57" s="71">
        <v>0</v>
      </c>
      <c r="BM57" s="71">
        <v>0</v>
      </c>
      <c r="BN57" s="72">
        <v>0</v>
      </c>
      <c r="BO57" s="73"/>
      <c r="BP57" s="73"/>
      <c r="BQ57" s="71">
        <v>0</v>
      </c>
      <c r="BR57" s="71">
        <v>0</v>
      </c>
      <c r="BS57" s="71">
        <v>0</v>
      </c>
      <c r="BT57" s="72">
        <v>0</v>
      </c>
      <c r="BU57" s="73"/>
      <c r="BV57" s="73"/>
    </row>
    <row r="58" ht="30" customHeight="1" spans="1:74">
      <c r="A58" s="55" t="s">
        <v>41</v>
      </c>
      <c r="B58" s="56" t="s">
        <v>42</v>
      </c>
      <c r="C58" s="57" t="s">
        <v>43</v>
      </c>
      <c r="D58" s="59" t="s">
        <v>132</v>
      </c>
      <c r="E58" s="59" t="s">
        <v>141</v>
      </c>
      <c r="F58" s="59" t="str">
        <f>VLOOKUP(E58,[1]库存!$B$1:$C$65536,2,FALSE)</f>
        <v>CHANGAN S302 DAB</v>
      </c>
      <c r="G58" s="59" t="s">
        <v>142</v>
      </c>
      <c r="H58" s="59" t="s">
        <v>143</v>
      </c>
      <c r="I58" s="59" t="s">
        <v>136</v>
      </c>
      <c r="J58" s="63"/>
      <c r="K58" s="61"/>
      <c r="L58" s="62">
        <v>2</v>
      </c>
      <c r="M58" s="63">
        <v>1500</v>
      </c>
      <c r="N58" s="64">
        <v>6</v>
      </c>
      <c r="O58" s="62">
        <v>2</v>
      </c>
      <c r="P58" s="65">
        <f t="shared" si="0"/>
        <v>0</v>
      </c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7"/>
      <c r="BF58" s="67"/>
      <c r="BG58" s="68"/>
      <c r="BI58" s="69">
        <v>0</v>
      </c>
      <c r="BJ58" s="70">
        <v>0</v>
      </c>
      <c r="BK58" s="71">
        <v>0</v>
      </c>
      <c r="BL58" s="71">
        <v>0</v>
      </c>
      <c r="BM58" s="71">
        <v>0</v>
      </c>
      <c r="BN58" s="72">
        <v>0</v>
      </c>
      <c r="BO58" s="73"/>
      <c r="BP58" s="73"/>
      <c r="BQ58" s="71">
        <v>0</v>
      </c>
      <c r="BR58" s="71">
        <v>0</v>
      </c>
      <c r="BS58" s="71">
        <v>0</v>
      </c>
      <c r="BT58" s="72">
        <v>0</v>
      </c>
      <c r="BU58" s="73"/>
      <c r="BV58" s="73"/>
    </row>
    <row r="59" ht="30" customHeight="1" spans="1:74">
      <c r="A59" s="55">
        <v>0</v>
      </c>
      <c r="B59" s="56">
        <v>0</v>
      </c>
      <c r="C59" s="57">
        <v>0</v>
      </c>
      <c r="D59" s="74"/>
      <c r="E59" s="74"/>
      <c r="F59" s="59" t="e">
        <f>VLOOKUP(E59,[1]库存!$B$1:$C$65536,2,FALSE)</f>
        <v>#N/A</v>
      </c>
      <c r="G59" s="59" t="e">
        <v>#N/A</v>
      </c>
      <c r="H59" s="74"/>
      <c r="I59" s="74"/>
      <c r="J59" s="87"/>
      <c r="K59" s="61"/>
      <c r="L59" s="62">
        <v>0</v>
      </c>
      <c r="M59" s="63">
        <v>0</v>
      </c>
      <c r="N59" s="64">
        <v>0</v>
      </c>
      <c r="O59" s="62">
        <v>0</v>
      </c>
      <c r="P59" s="65">
        <f t="shared" si="0"/>
        <v>0</v>
      </c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7"/>
      <c r="BF59" s="67"/>
      <c r="BG59" s="68"/>
      <c r="BI59" s="69">
        <v>0</v>
      </c>
      <c r="BJ59" s="70">
        <v>0</v>
      </c>
      <c r="BK59" s="71">
        <v>0</v>
      </c>
      <c r="BL59" s="71">
        <v>0</v>
      </c>
      <c r="BM59" s="71">
        <v>0</v>
      </c>
      <c r="BN59" s="72">
        <v>0</v>
      </c>
      <c r="BO59" s="73"/>
      <c r="BP59" s="73"/>
      <c r="BQ59" s="71">
        <v>0</v>
      </c>
      <c r="BR59" s="71">
        <v>0</v>
      </c>
      <c r="BS59" s="71">
        <v>0</v>
      </c>
      <c r="BT59" s="72">
        <v>0</v>
      </c>
      <c r="BU59" s="73"/>
      <c r="BV59" s="73"/>
    </row>
    <row r="60" ht="30" customHeight="1" spans="1:74">
      <c r="A60" s="55" t="s">
        <v>41</v>
      </c>
      <c r="B60" s="56" t="s">
        <v>42</v>
      </c>
      <c r="C60" s="57" t="s">
        <v>43</v>
      </c>
      <c r="D60" s="59" t="s">
        <v>132</v>
      </c>
      <c r="E60" s="59" t="s">
        <v>144</v>
      </c>
      <c r="F60" s="59" t="str">
        <f>VLOOKUP(E60,[1]库存!$B$1:$C$65536,2,FALSE)</f>
        <v>CHANGAN S301 VAVE DAB</v>
      </c>
      <c r="G60" s="59" t="s">
        <v>145</v>
      </c>
      <c r="H60" s="59" t="s">
        <v>146</v>
      </c>
      <c r="I60" s="59" t="s">
        <v>147</v>
      </c>
      <c r="J60" s="80" t="s">
        <v>80</v>
      </c>
      <c r="K60" s="61"/>
      <c r="L60" s="62">
        <v>2</v>
      </c>
      <c r="M60" s="63">
        <v>1500</v>
      </c>
      <c r="N60" s="64">
        <v>6</v>
      </c>
      <c r="O60" s="62">
        <v>2</v>
      </c>
      <c r="P60" s="65">
        <f t="shared" si="0"/>
        <v>0</v>
      </c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7"/>
      <c r="BF60" s="67"/>
      <c r="BG60" s="68"/>
      <c r="BI60" s="69">
        <v>0</v>
      </c>
      <c r="BJ60" s="70">
        <v>0</v>
      </c>
      <c r="BK60" s="71">
        <v>0</v>
      </c>
      <c r="BL60" s="71">
        <v>0</v>
      </c>
      <c r="BM60" s="71">
        <v>0</v>
      </c>
      <c r="BN60" s="72">
        <v>0</v>
      </c>
      <c r="BO60" s="73"/>
      <c r="BP60" s="73"/>
      <c r="BQ60" s="71">
        <v>0</v>
      </c>
      <c r="BR60" s="71">
        <v>0</v>
      </c>
      <c r="BS60" s="71">
        <v>0</v>
      </c>
      <c r="BT60" s="72">
        <v>0</v>
      </c>
      <c r="BU60" s="73"/>
      <c r="BV60" s="73"/>
    </row>
    <row r="61" ht="30" customHeight="1" spans="1:74">
      <c r="A61" s="55">
        <v>0</v>
      </c>
      <c r="B61" s="56">
        <v>0</v>
      </c>
      <c r="C61" s="57">
        <v>0</v>
      </c>
      <c r="D61" s="74"/>
      <c r="E61" s="74"/>
      <c r="F61" s="59" t="e">
        <f>VLOOKUP(E61,[1]库存!$B$1:$C$65536,2,FALSE)</f>
        <v>#N/A</v>
      </c>
      <c r="G61" s="59" t="e">
        <v>#N/A</v>
      </c>
      <c r="H61" s="74"/>
      <c r="I61" s="74"/>
      <c r="J61" s="81"/>
      <c r="K61" s="61"/>
      <c r="L61" s="62">
        <v>0</v>
      </c>
      <c r="M61" s="63">
        <v>0</v>
      </c>
      <c r="N61" s="64">
        <v>0</v>
      </c>
      <c r="O61" s="62">
        <v>0</v>
      </c>
      <c r="P61" s="65">
        <f t="shared" si="0"/>
        <v>0</v>
      </c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7"/>
      <c r="BF61" s="67"/>
      <c r="BG61" s="68"/>
      <c r="BI61" s="69">
        <v>0</v>
      </c>
      <c r="BJ61" s="70">
        <v>0</v>
      </c>
      <c r="BK61" s="71">
        <v>0</v>
      </c>
      <c r="BL61" s="71">
        <v>0</v>
      </c>
      <c r="BM61" s="71">
        <v>0</v>
      </c>
      <c r="BN61" s="72">
        <v>0</v>
      </c>
      <c r="BO61" s="73"/>
      <c r="BP61" s="73"/>
      <c r="BQ61" s="71">
        <v>0</v>
      </c>
      <c r="BR61" s="71">
        <v>0</v>
      </c>
      <c r="BS61" s="71">
        <v>0</v>
      </c>
      <c r="BT61" s="72">
        <v>0</v>
      </c>
      <c r="BU61" s="73"/>
      <c r="BV61" s="73"/>
    </row>
    <row r="62" ht="30" customHeight="1" spans="1:74">
      <c r="A62" s="55">
        <v>0</v>
      </c>
      <c r="B62" s="56" t="s">
        <v>42</v>
      </c>
      <c r="C62" s="57" t="s">
        <v>43</v>
      </c>
      <c r="D62" s="59" t="s">
        <v>132</v>
      </c>
      <c r="E62" s="59" t="s">
        <v>148</v>
      </c>
      <c r="F62" s="59" t="str">
        <f>VLOOKUP(E62,[1]库存!$B$1:$C$65536,2,FALSE)</f>
        <v>S301 DAB</v>
      </c>
      <c r="G62" s="59" t="s">
        <v>149</v>
      </c>
      <c r="H62" s="59" t="s">
        <v>150</v>
      </c>
      <c r="I62" s="59" t="s">
        <v>147</v>
      </c>
      <c r="J62" s="63"/>
      <c r="K62" s="61"/>
      <c r="L62" s="62">
        <v>2</v>
      </c>
      <c r="M62" s="63">
        <v>1500</v>
      </c>
      <c r="N62" s="64">
        <v>6</v>
      </c>
      <c r="O62" s="62">
        <v>2</v>
      </c>
      <c r="P62" s="65">
        <f t="shared" si="0"/>
        <v>0</v>
      </c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7"/>
      <c r="BF62" s="67"/>
      <c r="BG62" s="68"/>
      <c r="BI62" s="69">
        <v>0</v>
      </c>
      <c r="BJ62" s="70">
        <v>0</v>
      </c>
      <c r="BK62" s="71">
        <v>0</v>
      </c>
      <c r="BL62" s="71">
        <v>0</v>
      </c>
      <c r="BM62" s="71">
        <v>0</v>
      </c>
      <c r="BN62" s="72">
        <v>0</v>
      </c>
      <c r="BO62" s="73"/>
      <c r="BP62" s="73"/>
      <c r="BQ62" s="71">
        <v>0</v>
      </c>
      <c r="BR62" s="71">
        <v>0</v>
      </c>
      <c r="BS62" s="71">
        <v>0</v>
      </c>
      <c r="BT62" s="72">
        <v>0</v>
      </c>
      <c r="BU62" s="73"/>
      <c r="BV62" s="73"/>
    </row>
    <row r="63" ht="30" customHeight="1" spans="1:74">
      <c r="A63" s="55">
        <v>0</v>
      </c>
      <c r="B63" s="56">
        <v>0</v>
      </c>
      <c r="C63" s="57">
        <v>0</v>
      </c>
      <c r="D63" s="74"/>
      <c r="E63" s="74"/>
      <c r="F63" s="59" t="e">
        <f>VLOOKUP(E63,[1]库存!$B$1:$C$65536,2,FALSE)</f>
        <v>#N/A</v>
      </c>
      <c r="G63" s="59" t="e">
        <v>#N/A</v>
      </c>
      <c r="H63" s="74"/>
      <c r="I63" s="74"/>
      <c r="J63" s="87"/>
      <c r="K63" s="61"/>
      <c r="L63" s="62">
        <v>0</v>
      </c>
      <c r="M63" s="63">
        <v>0</v>
      </c>
      <c r="N63" s="64">
        <v>0</v>
      </c>
      <c r="O63" s="62">
        <v>0</v>
      </c>
      <c r="P63" s="65">
        <f t="shared" si="0"/>
        <v>0</v>
      </c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7"/>
      <c r="BF63" s="67"/>
      <c r="BG63" s="68"/>
      <c r="BI63" s="69">
        <v>0</v>
      </c>
      <c r="BJ63" s="70">
        <v>0</v>
      </c>
      <c r="BK63" s="71">
        <v>0</v>
      </c>
      <c r="BL63" s="71">
        <v>0</v>
      </c>
      <c r="BM63" s="71">
        <v>0</v>
      </c>
      <c r="BN63" s="72">
        <v>0</v>
      </c>
      <c r="BO63" s="73"/>
      <c r="BP63" s="73"/>
      <c r="BQ63" s="71">
        <v>0</v>
      </c>
      <c r="BR63" s="71">
        <v>0</v>
      </c>
      <c r="BS63" s="71">
        <v>0</v>
      </c>
      <c r="BT63" s="72">
        <v>0</v>
      </c>
      <c r="BU63" s="73"/>
      <c r="BV63" s="73"/>
    </row>
    <row r="64" ht="30" customHeight="1" spans="1:74">
      <c r="A64" s="55">
        <v>0</v>
      </c>
      <c r="B64" s="56" t="s">
        <v>42</v>
      </c>
      <c r="C64" s="57" t="s">
        <v>43</v>
      </c>
      <c r="D64" s="59" t="s">
        <v>132</v>
      </c>
      <c r="E64" s="59" t="s">
        <v>151</v>
      </c>
      <c r="F64" s="59" t="str">
        <f>VLOOKUP(E64,[1]库存!$B$1:$C$65536,2,FALSE)</f>
        <v>CHANA CD101 DAB</v>
      </c>
      <c r="G64" s="59" t="s">
        <v>152</v>
      </c>
      <c r="H64" s="59" t="s">
        <v>153</v>
      </c>
      <c r="I64" s="59" t="s">
        <v>79</v>
      </c>
      <c r="J64" s="63"/>
      <c r="K64" s="61"/>
      <c r="L64" s="62">
        <v>2</v>
      </c>
      <c r="M64" s="63">
        <v>1380</v>
      </c>
      <c r="N64" s="64">
        <v>6</v>
      </c>
      <c r="O64" s="62">
        <v>2</v>
      </c>
      <c r="P64" s="65">
        <f t="shared" si="0"/>
        <v>0</v>
      </c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7"/>
      <c r="BF64" s="67"/>
      <c r="BG64" s="68"/>
      <c r="BI64" s="69">
        <v>0</v>
      </c>
      <c r="BJ64" s="70">
        <v>0</v>
      </c>
      <c r="BK64" s="71">
        <v>0</v>
      </c>
      <c r="BL64" s="71">
        <v>0</v>
      </c>
      <c r="BM64" s="71">
        <v>0</v>
      </c>
      <c r="BN64" s="72">
        <v>0</v>
      </c>
      <c r="BO64" s="73"/>
      <c r="BP64" s="73"/>
      <c r="BQ64" s="71">
        <v>0</v>
      </c>
      <c r="BR64" s="71">
        <v>0</v>
      </c>
      <c r="BS64" s="71">
        <v>0</v>
      </c>
      <c r="BT64" s="72">
        <v>0</v>
      </c>
      <c r="BU64" s="73"/>
      <c r="BV64" s="73"/>
    </row>
    <row r="65" ht="30" customHeight="1" spans="1:74">
      <c r="A65" s="55">
        <v>0</v>
      </c>
      <c r="B65" s="56">
        <v>0</v>
      </c>
      <c r="C65" s="57">
        <v>0</v>
      </c>
      <c r="D65" s="74"/>
      <c r="E65" s="74"/>
      <c r="F65" s="59" t="e">
        <f>VLOOKUP(E65,[1]库存!$B$1:$C$65536,2,FALSE)</f>
        <v>#N/A</v>
      </c>
      <c r="G65" s="59" t="e">
        <v>#N/A</v>
      </c>
      <c r="H65" s="74"/>
      <c r="I65" s="74"/>
      <c r="J65" s="87"/>
      <c r="K65" s="61"/>
      <c r="L65" s="62">
        <v>0</v>
      </c>
      <c r="M65" s="63">
        <v>0</v>
      </c>
      <c r="N65" s="64">
        <v>0</v>
      </c>
      <c r="O65" s="62">
        <v>0</v>
      </c>
      <c r="P65" s="65">
        <f t="shared" si="0"/>
        <v>0</v>
      </c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7"/>
      <c r="BF65" s="67"/>
      <c r="BG65" s="68"/>
      <c r="BI65" s="69">
        <v>0</v>
      </c>
      <c r="BJ65" s="70">
        <v>0</v>
      </c>
      <c r="BK65" s="71">
        <v>0</v>
      </c>
      <c r="BL65" s="71">
        <v>0</v>
      </c>
      <c r="BM65" s="71">
        <v>0</v>
      </c>
      <c r="BN65" s="72">
        <v>0</v>
      </c>
      <c r="BO65" s="73"/>
      <c r="BP65" s="73"/>
      <c r="BQ65" s="71">
        <v>0</v>
      </c>
      <c r="BR65" s="71">
        <v>0</v>
      </c>
      <c r="BS65" s="71">
        <v>0</v>
      </c>
      <c r="BT65" s="72">
        <v>0</v>
      </c>
      <c r="BU65" s="73"/>
      <c r="BV65" s="73"/>
    </row>
    <row r="66" ht="30" customHeight="1" spans="1:74">
      <c r="A66" s="55">
        <v>0</v>
      </c>
      <c r="B66" s="56" t="s">
        <v>42</v>
      </c>
      <c r="C66" s="57" t="s">
        <v>43</v>
      </c>
      <c r="D66" s="59" t="s">
        <v>132</v>
      </c>
      <c r="E66" s="59" t="s">
        <v>154</v>
      </c>
      <c r="F66" s="59" t="str">
        <f>VLOOKUP(E66,[1]库存!$B$1:$C$65536,2,FALSE)</f>
        <v>DFL 719  DAB</v>
      </c>
      <c r="G66" s="59" t="s">
        <v>155</v>
      </c>
      <c r="H66" s="59" t="s">
        <v>156</v>
      </c>
      <c r="I66" s="59" t="s">
        <v>157</v>
      </c>
      <c r="J66" s="63"/>
      <c r="K66" s="61"/>
      <c r="L66" s="62">
        <v>2</v>
      </c>
      <c r="M66" s="63">
        <v>1000</v>
      </c>
      <c r="N66" s="64">
        <v>6</v>
      </c>
      <c r="O66" s="62">
        <v>2</v>
      </c>
      <c r="P66" s="65">
        <f t="shared" si="0"/>
        <v>0</v>
      </c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7"/>
      <c r="BF66" s="67"/>
      <c r="BG66" s="68"/>
      <c r="BI66" s="69">
        <v>0</v>
      </c>
      <c r="BJ66" s="70">
        <v>0</v>
      </c>
      <c r="BK66" s="71">
        <v>0</v>
      </c>
      <c r="BL66" s="71">
        <v>0</v>
      </c>
      <c r="BM66" s="71">
        <v>0</v>
      </c>
      <c r="BN66" s="72">
        <v>0</v>
      </c>
      <c r="BO66" s="73"/>
      <c r="BP66" s="73"/>
      <c r="BQ66" s="71">
        <v>0</v>
      </c>
      <c r="BR66" s="71">
        <v>0</v>
      </c>
      <c r="BS66" s="71">
        <v>0</v>
      </c>
      <c r="BT66" s="72">
        <v>0</v>
      </c>
      <c r="BU66" s="73"/>
      <c r="BV66" s="73"/>
    </row>
    <row r="67" ht="30" customHeight="1" spans="1:74">
      <c r="A67" s="55">
        <v>0</v>
      </c>
      <c r="B67" s="56">
        <v>0</v>
      </c>
      <c r="C67" s="57">
        <v>0</v>
      </c>
      <c r="D67" s="74"/>
      <c r="E67" s="74"/>
      <c r="F67" s="59" t="e">
        <f>VLOOKUP(E67,[1]库存!$B$1:$C$65536,2,FALSE)</f>
        <v>#N/A</v>
      </c>
      <c r="G67" s="59" t="e">
        <v>#N/A</v>
      </c>
      <c r="H67" s="74"/>
      <c r="I67" s="74"/>
      <c r="J67" s="87"/>
      <c r="K67" s="61"/>
      <c r="L67" s="62">
        <v>0</v>
      </c>
      <c r="M67" s="63">
        <v>0</v>
      </c>
      <c r="N67" s="64">
        <v>0</v>
      </c>
      <c r="O67" s="62">
        <v>0</v>
      </c>
      <c r="P67" s="65">
        <f t="shared" si="0"/>
        <v>0</v>
      </c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7"/>
      <c r="BF67" s="67"/>
      <c r="BG67" s="68"/>
      <c r="BI67" s="69">
        <v>0</v>
      </c>
      <c r="BJ67" s="70">
        <v>0</v>
      </c>
      <c r="BK67" s="71">
        <v>0</v>
      </c>
      <c r="BL67" s="71">
        <v>0</v>
      </c>
      <c r="BM67" s="71">
        <v>0</v>
      </c>
      <c r="BN67" s="72">
        <v>0</v>
      </c>
      <c r="BO67" s="73"/>
      <c r="BP67" s="73"/>
      <c r="BQ67" s="71">
        <v>0</v>
      </c>
      <c r="BR67" s="71">
        <v>0</v>
      </c>
      <c r="BS67" s="71">
        <v>0</v>
      </c>
      <c r="BT67" s="72">
        <v>0</v>
      </c>
      <c r="BU67" s="73"/>
      <c r="BV67" s="73"/>
    </row>
    <row r="68" ht="30" customHeight="1" spans="1:74">
      <c r="A68" s="55" t="s">
        <v>41</v>
      </c>
      <c r="B68" s="56" t="s">
        <v>42</v>
      </c>
      <c r="C68" s="57" t="s">
        <v>43</v>
      </c>
      <c r="D68" s="59" t="s">
        <v>132</v>
      </c>
      <c r="E68" s="59" t="s">
        <v>158</v>
      </c>
      <c r="F68" s="59" t="str">
        <f>VLOOKUP(E68,[1]库存!$B$1:$C$65536,2,FALSE)</f>
        <v>GWM CH071 DAB</v>
      </c>
      <c r="G68" s="59" t="s">
        <v>159</v>
      </c>
      <c r="H68" s="59" t="s">
        <v>160</v>
      </c>
      <c r="I68" s="59" t="s">
        <v>161</v>
      </c>
      <c r="J68" s="63"/>
      <c r="K68" s="61"/>
      <c r="L68" s="62">
        <v>2</v>
      </c>
      <c r="M68" s="63">
        <v>1400</v>
      </c>
      <c r="N68" s="64">
        <v>6</v>
      </c>
      <c r="O68" s="62">
        <v>2</v>
      </c>
      <c r="P68" s="65">
        <f t="shared" si="0"/>
        <v>0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7"/>
      <c r="BF68" s="67"/>
      <c r="BG68" s="68"/>
      <c r="BI68" s="69">
        <v>0</v>
      </c>
      <c r="BJ68" s="70">
        <v>0</v>
      </c>
      <c r="BK68" s="71">
        <v>0</v>
      </c>
      <c r="BL68" s="71">
        <v>0</v>
      </c>
      <c r="BM68" s="71">
        <v>0</v>
      </c>
      <c r="BN68" s="72">
        <v>0</v>
      </c>
      <c r="BO68" s="73"/>
      <c r="BP68" s="73"/>
      <c r="BQ68" s="71">
        <v>0</v>
      </c>
      <c r="BR68" s="71">
        <v>0</v>
      </c>
      <c r="BS68" s="71">
        <v>0</v>
      </c>
      <c r="BT68" s="72">
        <v>0</v>
      </c>
      <c r="BU68" s="73"/>
      <c r="BV68" s="73"/>
    </row>
    <row r="69" ht="30" customHeight="1" spans="1:74">
      <c r="A69" s="55">
        <v>0</v>
      </c>
      <c r="B69" s="56">
        <v>0</v>
      </c>
      <c r="C69" s="57">
        <v>0</v>
      </c>
      <c r="D69" s="74"/>
      <c r="E69" s="74"/>
      <c r="F69" s="59" t="e">
        <f>VLOOKUP(E69,[1]库存!$B$1:$C$65536,2,FALSE)</f>
        <v>#N/A</v>
      </c>
      <c r="G69" s="59" t="e">
        <v>#N/A</v>
      </c>
      <c r="H69" s="74"/>
      <c r="I69" s="74"/>
      <c r="J69" s="87"/>
      <c r="K69" s="61"/>
      <c r="L69" s="62">
        <v>0</v>
      </c>
      <c r="M69" s="63">
        <v>0</v>
      </c>
      <c r="N69" s="64">
        <v>0</v>
      </c>
      <c r="O69" s="62">
        <v>0</v>
      </c>
      <c r="P69" s="65">
        <f t="shared" si="0"/>
        <v>0</v>
      </c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7"/>
      <c r="BF69" s="67"/>
      <c r="BG69" s="68"/>
      <c r="BI69" s="69">
        <v>0</v>
      </c>
      <c r="BJ69" s="70">
        <v>0</v>
      </c>
      <c r="BK69" s="71">
        <v>0</v>
      </c>
      <c r="BL69" s="71">
        <v>0</v>
      </c>
      <c r="BM69" s="71">
        <v>0</v>
      </c>
      <c r="BN69" s="72">
        <v>0</v>
      </c>
      <c r="BO69" s="73"/>
      <c r="BP69" s="73"/>
      <c r="BQ69" s="71">
        <v>0</v>
      </c>
      <c r="BR69" s="71">
        <v>0</v>
      </c>
      <c r="BS69" s="71">
        <v>0</v>
      </c>
      <c r="BT69" s="72">
        <v>0</v>
      </c>
      <c r="BU69" s="73"/>
      <c r="BV69" s="73"/>
    </row>
    <row r="70" ht="30" customHeight="1" spans="1:74">
      <c r="A70" s="55" t="s">
        <v>41</v>
      </c>
      <c r="B70" s="56" t="s">
        <v>42</v>
      </c>
      <c r="C70" s="57" t="s">
        <v>43</v>
      </c>
      <c r="D70" s="59" t="s">
        <v>132</v>
      </c>
      <c r="E70" s="59" t="s">
        <v>162</v>
      </c>
      <c r="F70" s="59" t="str">
        <f>VLOOKUP(E70,[1]库存!$B$1:$C$65536,2,FALSE)</f>
        <v>CHANA S101 DAB</v>
      </c>
      <c r="G70" s="59" t="s">
        <v>163</v>
      </c>
      <c r="H70" s="59" t="s">
        <v>164</v>
      </c>
      <c r="I70" s="59" t="s">
        <v>147</v>
      </c>
      <c r="J70" s="63"/>
      <c r="K70" s="61"/>
      <c r="L70" s="62">
        <v>2</v>
      </c>
      <c r="M70" s="63">
        <v>1400</v>
      </c>
      <c r="N70" s="64">
        <v>6</v>
      </c>
      <c r="O70" s="62">
        <v>2</v>
      </c>
      <c r="P70" s="65">
        <f t="shared" ref="P70:P133" si="1">SUM(AG70:AJ70)</f>
        <v>0</v>
      </c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7"/>
      <c r="BF70" s="67"/>
      <c r="BG70" s="68"/>
      <c r="BI70" s="69">
        <v>0</v>
      </c>
      <c r="BJ70" s="70">
        <v>0</v>
      </c>
      <c r="BK70" s="71">
        <v>0</v>
      </c>
      <c r="BL70" s="71">
        <v>0</v>
      </c>
      <c r="BM70" s="71">
        <v>0</v>
      </c>
      <c r="BN70" s="72">
        <v>0</v>
      </c>
      <c r="BO70" s="73"/>
      <c r="BP70" s="73"/>
      <c r="BQ70" s="71">
        <v>0</v>
      </c>
      <c r="BR70" s="71">
        <v>0</v>
      </c>
      <c r="BS70" s="71">
        <v>0</v>
      </c>
      <c r="BT70" s="72">
        <v>0</v>
      </c>
      <c r="BU70" s="73"/>
      <c r="BV70" s="73"/>
    </row>
    <row r="71" ht="30" customHeight="1" spans="1:74">
      <c r="A71" s="55">
        <v>0</v>
      </c>
      <c r="B71" s="56">
        <v>0</v>
      </c>
      <c r="C71" s="57">
        <v>0</v>
      </c>
      <c r="D71" s="74"/>
      <c r="E71" s="74"/>
      <c r="F71" s="59" t="e">
        <f>VLOOKUP(E71,[1]库存!$B$1:$C$65536,2,FALSE)</f>
        <v>#N/A</v>
      </c>
      <c r="G71" s="59" t="e">
        <v>#N/A</v>
      </c>
      <c r="H71" s="74"/>
      <c r="I71" s="74"/>
      <c r="J71" s="87"/>
      <c r="K71" s="61"/>
      <c r="L71" s="62">
        <v>0</v>
      </c>
      <c r="M71" s="63">
        <v>0</v>
      </c>
      <c r="N71" s="64">
        <v>0</v>
      </c>
      <c r="O71" s="62">
        <v>0</v>
      </c>
      <c r="P71" s="65">
        <f t="shared" si="1"/>
        <v>0</v>
      </c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7"/>
      <c r="BF71" s="67"/>
      <c r="BG71" s="68"/>
      <c r="BI71" s="69">
        <v>0</v>
      </c>
      <c r="BJ71" s="70">
        <v>0</v>
      </c>
      <c r="BK71" s="71">
        <v>0</v>
      </c>
      <c r="BL71" s="71">
        <v>0</v>
      </c>
      <c r="BM71" s="71">
        <v>0</v>
      </c>
      <c r="BN71" s="72">
        <v>0</v>
      </c>
      <c r="BO71" s="73"/>
      <c r="BP71" s="73"/>
      <c r="BQ71" s="71">
        <v>0</v>
      </c>
      <c r="BR71" s="71">
        <v>0</v>
      </c>
      <c r="BS71" s="71">
        <v>0</v>
      </c>
      <c r="BT71" s="72">
        <v>0</v>
      </c>
      <c r="BU71" s="73"/>
      <c r="BV71" s="73"/>
    </row>
    <row r="72" ht="30" customHeight="1" spans="1:74">
      <c r="A72" s="55">
        <v>0</v>
      </c>
      <c r="B72" s="56">
        <v>0</v>
      </c>
      <c r="C72" s="57">
        <v>0</v>
      </c>
      <c r="E72" s="88"/>
      <c r="F72" s="59" t="e">
        <f>VLOOKUP(E72,[1]库存!$B$1:$C$65536,2,FALSE)</f>
        <v>#N/A</v>
      </c>
      <c r="G72" s="59" t="e">
        <v>#N/A</v>
      </c>
      <c r="H72" s="89"/>
      <c r="I72" s="88"/>
      <c r="J72" s="90"/>
      <c r="K72" s="61"/>
      <c r="L72" s="62">
        <v>0</v>
      </c>
      <c r="M72" s="63">
        <v>0</v>
      </c>
      <c r="N72" s="64">
        <v>0</v>
      </c>
      <c r="O72" s="62">
        <v>0</v>
      </c>
      <c r="P72" s="65">
        <f t="shared" si="1"/>
        <v>0</v>
      </c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7"/>
      <c r="BF72" s="67"/>
      <c r="BG72" s="68"/>
      <c r="BI72" s="69">
        <v>0</v>
      </c>
      <c r="BJ72" s="70">
        <v>0</v>
      </c>
      <c r="BK72" s="71">
        <v>0</v>
      </c>
      <c r="BL72" s="71">
        <v>0</v>
      </c>
      <c r="BM72" s="71">
        <v>0</v>
      </c>
      <c r="BN72" s="72">
        <v>0</v>
      </c>
      <c r="BO72" s="73"/>
      <c r="BP72" s="73"/>
      <c r="BQ72" s="71">
        <v>0</v>
      </c>
      <c r="BR72" s="71">
        <v>0</v>
      </c>
      <c r="BS72" s="71">
        <v>0</v>
      </c>
      <c r="BT72" s="72">
        <v>0</v>
      </c>
      <c r="BU72" s="73"/>
      <c r="BV72" s="73"/>
    </row>
    <row r="73" ht="30" customHeight="1" spans="1:74">
      <c r="A73" s="55" t="s">
        <v>165</v>
      </c>
      <c r="B73" s="56" t="s">
        <v>42</v>
      </c>
      <c r="C73" s="57" t="s">
        <v>43</v>
      </c>
      <c r="D73" s="91" t="s">
        <v>166</v>
      </c>
      <c r="E73" s="91" t="s">
        <v>167</v>
      </c>
      <c r="F73" s="91" t="str">
        <f>VLOOKUP(E73,[1]库存!$B$1:$C$65536,2,FALSE)</f>
        <v>V446K FSAB LH B状态</v>
      </c>
      <c r="G73" s="91" t="s">
        <v>168</v>
      </c>
      <c r="H73" s="91" t="s">
        <v>169</v>
      </c>
      <c r="I73" s="91" t="s">
        <v>170</v>
      </c>
      <c r="J73" s="94"/>
      <c r="K73" s="61"/>
      <c r="L73" s="62">
        <v>2</v>
      </c>
      <c r="M73" s="63">
        <v>1300</v>
      </c>
      <c r="N73" s="64">
        <v>11</v>
      </c>
      <c r="O73" s="62">
        <v>2</v>
      </c>
      <c r="P73" s="65">
        <f t="shared" si="1"/>
        <v>0</v>
      </c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7"/>
      <c r="BF73" s="67"/>
      <c r="BG73" s="68"/>
      <c r="BI73" s="69">
        <v>0</v>
      </c>
      <c r="BJ73" s="70">
        <v>0</v>
      </c>
      <c r="BK73" s="71">
        <v>0</v>
      </c>
      <c r="BL73" s="71">
        <v>0</v>
      </c>
      <c r="BM73" s="71">
        <v>0</v>
      </c>
      <c r="BN73" s="72">
        <v>0</v>
      </c>
      <c r="BO73" s="73"/>
      <c r="BP73" s="73"/>
      <c r="BQ73" s="71">
        <v>0</v>
      </c>
      <c r="BR73" s="71">
        <v>0</v>
      </c>
      <c r="BS73" s="71">
        <v>0</v>
      </c>
      <c r="BT73" s="72">
        <v>0</v>
      </c>
      <c r="BU73" s="73"/>
      <c r="BV73" s="73"/>
    </row>
    <row r="74" ht="30" customHeight="1" spans="1:74">
      <c r="A74" s="55">
        <v>0</v>
      </c>
      <c r="B74" s="56">
        <v>0</v>
      </c>
      <c r="C74" s="57">
        <v>0</v>
      </c>
      <c r="D74" s="92"/>
      <c r="E74" s="92"/>
      <c r="F74" s="91" t="e">
        <f>VLOOKUP(E74,[1]库存!$B$1:$C$65536,2,FALSE)</f>
        <v>#N/A</v>
      </c>
      <c r="G74" s="91" t="e">
        <v>#N/A</v>
      </c>
      <c r="H74" s="92"/>
      <c r="I74" s="92"/>
      <c r="J74" s="95"/>
      <c r="K74" s="61"/>
      <c r="L74" s="62">
        <v>0</v>
      </c>
      <c r="M74" s="63">
        <v>0</v>
      </c>
      <c r="N74" s="64">
        <v>0</v>
      </c>
      <c r="O74" s="62">
        <v>0</v>
      </c>
      <c r="P74" s="65">
        <f t="shared" si="1"/>
        <v>0</v>
      </c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7"/>
      <c r="BF74" s="67"/>
      <c r="BG74" s="68"/>
      <c r="BI74" s="69">
        <v>0</v>
      </c>
      <c r="BJ74" s="70">
        <v>0</v>
      </c>
      <c r="BK74" s="71">
        <v>0</v>
      </c>
      <c r="BL74" s="71">
        <v>0</v>
      </c>
      <c r="BM74" s="71">
        <v>0</v>
      </c>
      <c r="BN74" s="72">
        <v>0</v>
      </c>
      <c r="BO74" s="73"/>
      <c r="BP74" s="73"/>
      <c r="BQ74" s="71">
        <v>0</v>
      </c>
      <c r="BR74" s="71">
        <v>0</v>
      </c>
      <c r="BS74" s="71">
        <v>0</v>
      </c>
      <c r="BT74" s="72">
        <v>0</v>
      </c>
      <c r="BU74" s="73"/>
      <c r="BV74" s="73"/>
    </row>
    <row r="75" ht="30" customHeight="1" spans="1:74">
      <c r="A75" s="55" t="s">
        <v>165</v>
      </c>
      <c r="B75" s="56" t="s">
        <v>42</v>
      </c>
      <c r="C75" s="57" t="s">
        <v>43</v>
      </c>
      <c r="D75" s="91" t="s">
        <v>166</v>
      </c>
      <c r="E75" s="91" t="s">
        <v>171</v>
      </c>
      <c r="F75" s="91" t="str">
        <f>VLOOKUP(E75,[1]库存!$B$1:$C$65536,2,FALSE)</f>
        <v>V446K FSAB RH B状态</v>
      </c>
      <c r="G75" s="91" t="s">
        <v>172</v>
      </c>
      <c r="H75" s="91" t="s">
        <v>173</v>
      </c>
      <c r="I75" s="91" t="s">
        <v>170</v>
      </c>
      <c r="J75" s="95"/>
      <c r="K75" s="61"/>
      <c r="L75" s="62">
        <v>2</v>
      </c>
      <c r="M75" s="63">
        <v>1300</v>
      </c>
      <c r="N75" s="64">
        <v>11</v>
      </c>
      <c r="O75" s="62">
        <v>2</v>
      </c>
      <c r="P75" s="65">
        <f t="shared" si="1"/>
        <v>0</v>
      </c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7"/>
      <c r="BF75" s="67"/>
      <c r="BG75" s="68"/>
      <c r="BI75" s="69">
        <v>0</v>
      </c>
      <c r="BJ75" s="70">
        <v>0</v>
      </c>
      <c r="BK75" s="71">
        <v>0</v>
      </c>
      <c r="BL75" s="71">
        <v>0</v>
      </c>
      <c r="BM75" s="71">
        <v>0</v>
      </c>
      <c r="BN75" s="72">
        <v>0</v>
      </c>
      <c r="BO75" s="73"/>
      <c r="BP75" s="73"/>
      <c r="BQ75" s="71">
        <v>0</v>
      </c>
      <c r="BR75" s="71">
        <v>0</v>
      </c>
      <c r="BS75" s="71">
        <v>0</v>
      </c>
      <c r="BT75" s="72">
        <v>0</v>
      </c>
      <c r="BU75" s="73"/>
      <c r="BV75" s="73"/>
    </row>
    <row r="76" ht="30" customHeight="1" spans="1:74">
      <c r="A76" s="55">
        <v>0</v>
      </c>
      <c r="B76" s="56">
        <v>0</v>
      </c>
      <c r="C76" s="57">
        <v>0</v>
      </c>
      <c r="D76" s="92"/>
      <c r="E76" s="92"/>
      <c r="F76" s="91" t="e">
        <f>VLOOKUP(E76,[1]库存!$B$1:$C$65536,2,FALSE)</f>
        <v>#N/A</v>
      </c>
      <c r="G76" s="91" t="e">
        <v>#N/A</v>
      </c>
      <c r="H76" s="92"/>
      <c r="I76" s="92"/>
      <c r="J76" s="95"/>
      <c r="K76" s="61"/>
      <c r="L76" s="62">
        <v>0</v>
      </c>
      <c r="M76" s="63">
        <v>0</v>
      </c>
      <c r="N76" s="64">
        <v>0</v>
      </c>
      <c r="O76" s="62">
        <v>0</v>
      </c>
      <c r="P76" s="65">
        <f t="shared" si="1"/>
        <v>0</v>
      </c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7"/>
      <c r="BF76" s="67"/>
      <c r="BG76" s="68"/>
      <c r="BI76" s="69">
        <v>0</v>
      </c>
      <c r="BJ76" s="70">
        <v>0</v>
      </c>
      <c r="BK76" s="71">
        <v>0</v>
      </c>
      <c r="BL76" s="71">
        <v>0</v>
      </c>
      <c r="BM76" s="71">
        <v>0</v>
      </c>
      <c r="BN76" s="72">
        <v>0</v>
      </c>
      <c r="BO76" s="73"/>
      <c r="BP76" s="73"/>
      <c r="BQ76" s="71">
        <v>0</v>
      </c>
      <c r="BR76" s="71">
        <v>0</v>
      </c>
      <c r="BS76" s="71">
        <v>0</v>
      </c>
      <c r="BT76" s="72">
        <v>0</v>
      </c>
      <c r="BU76" s="73"/>
      <c r="BV76" s="73"/>
    </row>
    <row r="77" ht="30" customHeight="1" spans="1:74">
      <c r="A77" s="55" t="s">
        <v>165</v>
      </c>
      <c r="B77" s="56" t="s">
        <v>42</v>
      </c>
      <c r="C77" s="57" t="s">
        <v>43</v>
      </c>
      <c r="D77" s="59" t="s">
        <v>166</v>
      </c>
      <c r="E77" s="59" t="s">
        <v>174</v>
      </c>
      <c r="F77" s="59" t="str">
        <f>VLOOKUP(E77,[1]库存!$B$1:$C$65536,2,FALSE)</f>
        <v>EF1E SAB LH C状态</v>
      </c>
      <c r="G77" s="59" t="s">
        <v>175</v>
      </c>
      <c r="H77" s="59" t="s">
        <v>176</v>
      </c>
      <c r="I77" s="59" t="s">
        <v>170</v>
      </c>
      <c r="J77" s="94"/>
      <c r="K77" s="61"/>
      <c r="L77" s="62">
        <v>2</v>
      </c>
      <c r="M77" s="63">
        <v>1050</v>
      </c>
      <c r="N77" s="64">
        <v>11</v>
      </c>
      <c r="O77" s="62">
        <v>2</v>
      </c>
      <c r="P77" s="65">
        <f t="shared" si="1"/>
        <v>0</v>
      </c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7"/>
      <c r="BF77" s="67"/>
      <c r="BG77" s="68"/>
      <c r="BI77" s="69">
        <v>0</v>
      </c>
      <c r="BJ77" s="70">
        <v>0</v>
      </c>
      <c r="BK77" s="71">
        <v>0</v>
      </c>
      <c r="BL77" s="71">
        <v>0</v>
      </c>
      <c r="BM77" s="71">
        <v>0</v>
      </c>
      <c r="BN77" s="72">
        <v>0</v>
      </c>
      <c r="BO77" s="73"/>
      <c r="BP77" s="73"/>
      <c r="BQ77" s="71">
        <v>0</v>
      </c>
      <c r="BR77" s="71">
        <v>0</v>
      </c>
      <c r="BS77" s="71">
        <v>0</v>
      </c>
      <c r="BT77" s="72">
        <v>0</v>
      </c>
      <c r="BU77" s="73"/>
      <c r="BV77" s="73"/>
    </row>
    <row r="78" ht="30" customHeight="1" spans="1:74">
      <c r="A78" s="55">
        <v>0</v>
      </c>
      <c r="B78" s="56">
        <v>0</v>
      </c>
      <c r="C78" s="57">
        <v>0</v>
      </c>
      <c r="D78" s="74"/>
      <c r="E78" s="74"/>
      <c r="F78" s="59" t="e">
        <f>VLOOKUP(E78,[1]库存!$B$1:$C$65536,2,FALSE)</f>
        <v>#N/A</v>
      </c>
      <c r="G78" s="59" t="e">
        <v>#N/A</v>
      </c>
      <c r="H78" s="74"/>
      <c r="I78" s="74"/>
      <c r="J78" s="95"/>
      <c r="K78" s="61"/>
      <c r="L78" s="62">
        <v>0</v>
      </c>
      <c r="M78" s="63">
        <v>0</v>
      </c>
      <c r="N78" s="64">
        <v>0</v>
      </c>
      <c r="O78" s="62">
        <v>0</v>
      </c>
      <c r="P78" s="65">
        <f t="shared" si="1"/>
        <v>0</v>
      </c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7"/>
      <c r="BF78" s="67"/>
      <c r="BG78" s="68"/>
      <c r="BI78" s="69">
        <v>0</v>
      </c>
      <c r="BJ78" s="70">
        <v>0</v>
      </c>
      <c r="BK78" s="71">
        <v>0</v>
      </c>
      <c r="BL78" s="71">
        <v>0</v>
      </c>
      <c r="BM78" s="71">
        <v>0</v>
      </c>
      <c r="BN78" s="72">
        <v>0</v>
      </c>
      <c r="BO78" s="73"/>
      <c r="BP78" s="73"/>
      <c r="BQ78" s="71">
        <v>0</v>
      </c>
      <c r="BR78" s="71">
        <v>0</v>
      </c>
      <c r="BS78" s="71">
        <v>0</v>
      </c>
      <c r="BT78" s="72">
        <v>0</v>
      </c>
      <c r="BU78" s="73"/>
      <c r="BV78" s="73"/>
    </row>
    <row r="79" ht="30" customHeight="1" spans="1:74">
      <c r="A79" s="55" t="s">
        <v>165</v>
      </c>
      <c r="B79" s="56" t="s">
        <v>42</v>
      </c>
      <c r="C79" s="57" t="s">
        <v>43</v>
      </c>
      <c r="D79" s="59" t="s">
        <v>166</v>
      </c>
      <c r="E79" s="59" t="s">
        <v>177</v>
      </c>
      <c r="F79" s="59" t="str">
        <f>VLOOKUP(E79,[1]库存!$B$1:$C$65536,2,FALSE)</f>
        <v>EF1E SAB RH C状态</v>
      </c>
      <c r="G79" s="59" t="s">
        <v>178</v>
      </c>
      <c r="H79" s="59" t="s">
        <v>179</v>
      </c>
      <c r="I79" s="59" t="s">
        <v>170</v>
      </c>
      <c r="J79" s="95"/>
      <c r="K79" s="61"/>
      <c r="L79" s="62">
        <v>2</v>
      </c>
      <c r="M79" s="63">
        <v>1050</v>
      </c>
      <c r="N79" s="64">
        <v>11</v>
      </c>
      <c r="O79" s="62">
        <v>2</v>
      </c>
      <c r="P79" s="65">
        <f t="shared" si="1"/>
        <v>0</v>
      </c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7"/>
      <c r="BF79" s="67"/>
      <c r="BG79" s="68"/>
      <c r="BI79" s="69">
        <v>0</v>
      </c>
      <c r="BJ79" s="70">
        <v>0</v>
      </c>
      <c r="BK79" s="71">
        <v>0</v>
      </c>
      <c r="BL79" s="71">
        <v>0</v>
      </c>
      <c r="BM79" s="71">
        <v>0</v>
      </c>
      <c r="BN79" s="72">
        <v>0</v>
      </c>
      <c r="BO79" s="73"/>
      <c r="BP79" s="73"/>
      <c r="BQ79" s="71">
        <v>0</v>
      </c>
      <c r="BR79" s="71">
        <v>0</v>
      </c>
      <c r="BS79" s="71">
        <v>0</v>
      </c>
      <c r="BT79" s="72">
        <v>0</v>
      </c>
      <c r="BU79" s="73"/>
      <c r="BV79" s="73"/>
    </row>
    <row r="80" ht="30" customHeight="1" spans="1:74">
      <c r="A80" s="55">
        <v>0</v>
      </c>
      <c r="B80" s="56">
        <v>0</v>
      </c>
      <c r="C80" s="57">
        <v>0</v>
      </c>
      <c r="D80" s="74"/>
      <c r="E80" s="74"/>
      <c r="F80" s="59" t="e">
        <f>VLOOKUP(E80,[1]库存!$B$1:$C$65536,2,FALSE)</f>
        <v>#N/A</v>
      </c>
      <c r="G80" s="59" t="e">
        <v>#N/A</v>
      </c>
      <c r="H80" s="74"/>
      <c r="I80" s="74"/>
      <c r="J80" s="95"/>
      <c r="K80" s="61"/>
      <c r="L80" s="62">
        <v>0</v>
      </c>
      <c r="M80" s="63">
        <v>0</v>
      </c>
      <c r="N80" s="64">
        <v>0</v>
      </c>
      <c r="O80" s="62">
        <v>0</v>
      </c>
      <c r="P80" s="65">
        <f t="shared" si="1"/>
        <v>0</v>
      </c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7"/>
      <c r="BF80" s="67"/>
      <c r="BG80" s="68"/>
      <c r="BI80" s="69">
        <v>0</v>
      </c>
      <c r="BJ80" s="70">
        <v>0</v>
      </c>
      <c r="BK80" s="71">
        <v>0</v>
      </c>
      <c r="BL80" s="71">
        <v>0</v>
      </c>
      <c r="BM80" s="71">
        <v>0</v>
      </c>
      <c r="BN80" s="72">
        <v>0</v>
      </c>
      <c r="BO80" s="73"/>
      <c r="BP80" s="73"/>
      <c r="BQ80" s="71">
        <v>0</v>
      </c>
      <c r="BR80" s="71">
        <v>0</v>
      </c>
      <c r="BS80" s="71">
        <v>0</v>
      </c>
      <c r="BT80" s="72">
        <v>0</v>
      </c>
      <c r="BU80" s="73"/>
      <c r="BV80" s="73"/>
    </row>
    <row r="81" ht="30" customHeight="1" spans="1:74">
      <c r="A81" s="55" t="s">
        <v>165</v>
      </c>
      <c r="B81" s="56" t="s">
        <v>42</v>
      </c>
      <c r="C81" s="57" t="s">
        <v>43</v>
      </c>
      <c r="D81" s="59" t="s">
        <v>166</v>
      </c>
      <c r="E81" s="59" t="s">
        <v>180</v>
      </c>
      <c r="F81" s="59" t="str">
        <f>VLOOKUP(E81,[1]库存!$B$1:$C$65536,2,FALSE)</f>
        <v>GEELY CM2E SAB LH</v>
      </c>
      <c r="G81" s="59" t="s">
        <v>181</v>
      </c>
      <c r="H81" s="59" t="s">
        <v>182</v>
      </c>
      <c r="I81" s="59" t="s">
        <v>183</v>
      </c>
      <c r="J81" s="80" t="s">
        <v>184</v>
      </c>
      <c r="K81" s="61"/>
      <c r="L81" s="62">
        <v>2</v>
      </c>
      <c r="M81" s="63">
        <v>1000</v>
      </c>
      <c r="N81" s="64">
        <v>14</v>
      </c>
      <c r="O81" s="62">
        <v>2</v>
      </c>
      <c r="P81" s="65">
        <f t="shared" si="1"/>
        <v>0</v>
      </c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7"/>
      <c r="BF81" s="67"/>
      <c r="BG81" s="68"/>
      <c r="BI81" s="69">
        <v>0</v>
      </c>
      <c r="BJ81" s="70">
        <v>0</v>
      </c>
      <c r="BK81" s="71">
        <v>0</v>
      </c>
      <c r="BL81" s="71">
        <v>0</v>
      </c>
      <c r="BM81" s="71">
        <v>0</v>
      </c>
      <c r="BN81" s="72">
        <v>0</v>
      </c>
      <c r="BO81" s="73"/>
      <c r="BP81" s="73"/>
      <c r="BQ81" s="71">
        <v>0</v>
      </c>
      <c r="BR81" s="71">
        <v>0</v>
      </c>
      <c r="BS81" s="71">
        <v>0</v>
      </c>
      <c r="BT81" s="72">
        <v>0</v>
      </c>
      <c r="BU81" s="73"/>
      <c r="BV81" s="73"/>
    </row>
    <row r="82" ht="30" customHeight="1" spans="1:74">
      <c r="A82" s="55">
        <v>0</v>
      </c>
      <c r="B82" s="56">
        <v>0</v>
      </c>
      <c r="C82" s="57">
        <v>0</v>
      </c>
      <c r="D82" s="74"/>
      <c r="E82" s="74"/>
      <c r="F82" s="59" t="e">
        <f>VLOOKUP(E82,[1]库存!$B$1:$C$65536,2,FALSE)</f>
        <v>#N/A</v>
      </c>
      <c r="G82" s="59" t="e">
        <v>#N/A</v>
      </c>
      <c r="H82" s="74"/>
      <c r="I82" s="74"/>
      <c r="J82" s="81"/>
      <c r="K82" s="61"/>
      <c r="L82" s="62">
        <v>0</v>
      </c>
      <c r="M82" s="63">
        <v>0</v>
      </c>
      <c r="N82" s="64">
        <v>0</v>
      </c>
      <c r="O82" s="62">
        <v>0</v>
      </c>
      <c r="P82" s="65">
        <f t="shared" si="1"/>
        <v>0</v>
      </c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7"/>
      <c r="BF82" s="67"/>
      <c r="BG82" s="68"/>
      <c r="BI82" s="69">
        <v>0</v>
      </c>
      <c r="BJ82" s="70">
        <v>0</v>
      </c>
      <c r="BK82" s="71">
        <v>0</v>
      </c>
      <c r="BL82" s="71">
        <v>0</v>
      </c>
      <c r="BM82" s="71">
        <v>0</v>
      </c>
      <c r="BN82" s="72">
        <v>0</v>
      </c>
      <c r="BO82" s="73"/>
      <c r="BP82" s="73"/>
      <c r="BQ82" s="71">
        <v>0</v>
      </c>
      <c r="BR82" s="71">
        <v>0</v>
      </c>
      <c r="BS82" s="71">
        <v>0</v>
      </c>
      <c r="BT82" s="72">
        <v>0</v>
      </c>
      <c r="BU82" s="73"/>
      <c r="BV82" s="73"/>
    </row>
    <row r="83" ht="30" customHeight="1" spans="1:74">
      <c r="A83" s="55" t="s">
        <v>165</v>
      </c>
      <c r="B83" s="56" t="s">
        <v>42</v>
      </c>
      <c r="C83" s="57" t="s">
        <v>43</v>
      </c>
      <c r="D83" s="59" t="s">
        <v>166</v>
      </c>
      <c r="E83" s="59" t="s">
        <v>185</v>
      </c>
      <c r="F83" s="59" t="str">
        <f>VLOOKUP(E83,[1]库存!$B$1:$C$65536,2,FALSE)</f>
        <v>GEELY CM2E SAB RH</v>
      </c>
      <c r="G83" s="59" t="s">
        <v>186</v>
      </c>
      <c r="H83" s="59" t="s">
        <v>187</v>
      </c>
      <c r="I83" s="59" t="s">
        <v>183</v>
      </c>
      <c r="J83" s="81"/>
      <c r="K83" s="61"/>
      <c r="L83" s="62">
        <v>2</v>
      </c>
      <c r="M83" s="63">
        <v>1000</v>
      </c>
      <c r="N83" s="64">
        <v>14</v>
      </c>
      <c r="O83" s="62">
        <v>2</v>
      </c>
      <c r="P83" s="65">
        <f t="shared" si="1"/>
        <v>0</v>
      </c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7"/>
      <c r="BF83" s="67"/>
      <c r="BG83" s="68"/>
      <c r="BI83" s="69">
        <v>0</v>
      </c>
      <c r="BJ83" s="70">
        <v>0</v>
      </c>
      <c r="BK83" s="71">
        <v>0</v>
      </c>
      <c r="BL83" s="71">
        <v>0</v>
      </c>
      <c r="BM83" s="71">
        <v>0</v>
      </c>
      <c r="BN83" s="72">
        <v>0</v>
      </c>
      <c r="BO83" s="73"/>
      <c r="BP83" s="73"/>
      <c r="BQ83" s="71">
        <v>0</v>
      </c>
      <c r="BR83" s="71">
        <v>0</v>
      </c>
      <c r="BS83" s="71">
        <v>0</v>
      </c>
      <c r="BT83" s="72">
        <v>0</v>
      </c>
      <c r="BU83" s="73"/>
      <c r="BV83" s="73"/>
    </row>
    <row r="84" ht="30" customHeight="1" spans="1:74">
      <c r="A84" s="55">
        <v>0</v>
      </c>
      <c r="B84" s="56">
        <v>0</v>
      </c>
      <c r="C84" s="57">
        <v>0</v>
      </c>
      <c r="D84" s="74"/>
      <c r="E84" s="74"/>
      <c r="F84" s="59" t="e">
        <f>VLOOKUP(E84,[1]库存!$B$1:$C$65536,2,FALSE)</f>
        <v>#N/A</v>
      </c>
      <c r="G84" s="59" t="e">
        <v>#N/A</v>
      </c>
      <c r="H84" s="74"/>
      <c r="I84" s="74"/>
      <c r="J84" s="81"/>
      <c r="K84" s="61"/>
      <c r="L84" s="62">
        <v>0</v>
      </c>
      <c r="M84" s="63">
        <v>0</v>
      </c>
      <c r="N84" s="64">
        <v>0</v>
      </c>
      <c r="O84" s="62">
        <v>0</v>
      </c>
      <c r="P84" s="65">
        <f t="shared" si="1"/>
        <v>0</v>
      </c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7"/>
      <c r="BF84" s="67"/>
      <c r="BG84" s="68"/>
      <c r="BI84" s="69">
        <v>0</v>
      </c>
      <c r="BJ84" s="70">
        <v>0</v>
      </c>
      <c r="BK84" s="71">
        <v>0</v>
      </c>
      <c r="BL84" s="71">
        <v>0</v>
      </c>
      <c r="BM84" s="71">
        <v>0</v>
      </c>
      <c r="BN84" s="72">
        <v>0</v>
      </c>
      <c r="BO84" s="73"/>
      <c r="BP84" s="73"/>
      <c r="BQ84" s="71">
        <v>0</v>
      </c>
      <c r="BR84" s="71">
        <v>0</v>
      </c>
      <c r="BS84" s="71">
        <v>0</v>
      </c>
      <c r="BT84" s="72">
        <v>0</v>
      </c>
      <c r="BU84" s="73"/>
      <c r="BV84" s="73"/>
    </row>
    <row r="85" ht="30" customHeight="1" spans="1:74">
      <c r="A85" s="55">
        <v>0</v>
      </c>
      <c r="B85" s="56" t="s">
        <v>42</v>
      </c>
      <c r="C85" s="57" t="s">
        <v>43</v>
      </c>
      <c r="D85" s="59" t="s">
        <v>166</v>
      </c>
      <c r="E85" s="59"/>
      <c r="F85" s="59" t="e">
        <f>VLOOKUP(E85,[1]库存!$B$1:$C$65536,2,FALSE)</f>
        <v>#N/A</v>
      </c>
      <c r="G85" s="59" t="e">
        <v>#N/A</v>
      </c>
      <c r="H85" s="59" t="s">
        <v>188</v>
      </c>
      <c r="I85" s="59" t="s">
        <v>189</v>
      </c>
      <c r="J85" s="94"/>
      <c r="K85" s="61"/>
      <c r="L85" s="62">
        <v>2</v>
      </c>
      <c r="M85" s="63">
        <v>1000</v>
      </c>
      <c r="N85" s="64">
        <v>14</v>
      </c>
      <c r="O85" s="62">
        <v>2</v>
      </c>
      <c r="P85" s="65">
        <f t="shared" si="1"/>
        <v>0</v>
      </c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7"/>
      <c r="BF85" s="67"/>
      <c r="BG85" s="68"/>
      <c r="BI85" s="69">
        <v>0</v>
      </c>
      <c r="BJ85" s="70">
        <v>0</v>
      </c>
      <c r="BK85" s="71">
        <v>0</v>
      </c>
      <c r="BL85" s="71">
        <v>0</v>
      </c>
      <c r="BM85" s="71">
        <v>0</v>
      </c>
      <c r="BN85" s="72">
        <v>0</v>
      </c>
      <c r="BO85" s="73"/>
      <c r="BP85" s="73"/>
      <c r="BQ85" s="71">
        <v>0</v>
      </c>
      <c r="BR85" s="71">
        <v>0</v>
      </c>
      <c r="BS85" s="71">
        <v>0</v>
      </c>
      <c r="BT85" s="72">
        <v>0</v>
      </c>
      <c r="BU85" s="73"/>
      <c r="BV85" s="73"/>
    </row>
    <row r="86" ht="30" customHeight="1" spans="1:74">
      <c r="A86" s="55">
        <v>0</v>
      </c>
      <c r="B86" s="56">
        <v>0</v>
      </c>
      <c r="C86" s="57">
        <v>0</v>
      </c>
      <c r="D86" s="74"/>
      <c r="E86" s="74"/>
      <c r="F86" s="59" t="e">
        <f>VLOOKUP(E86,[1]库存!$B$1:$C$65536,2,FALSE)</f>
        <v>#N/A</v>
      </c>
      <c r="G86" s="59" t="e">
        <v>#N/A</v>
      </c>
      <c r="H86" s="74"/>
      <c r="I86" s="74"/>
      <c r="J86" s="95"/>
      <c r="K86" s="61"/>
      <c r="L86" s="62">
        <v>0</v>
      </c>
      <c r="M86" s="63">
        <v>0</v>
      </c>
      <c r="N86" s="64">
        <v>0</v>
      </c>
      <c r="O86" s="62">
        <v>0</v>
      </c>
      <c r="P86" s="65">
        <f t="shared" si="1"/>
        <v>0</v>
      </c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7"/>
      <c r="BF86" s="67"/>
      <c r="BG86" s="68"/>
      <c r="BI86" s="69">
        <v>0</v>
      </c>
      <c r="BJ86" s="70">
        <v>0</v>
      </c>
      <c r="BK86" s="71">
        <v>0</v>
      </c>
      <c r="BL86" s="71">
        <v>0</v>
      </c>
      <c r="BM86" s="71">
        <v>0</v>
      </c>
      <c r="BN86" s="72">
        <v>0</v>
      </c>
      <c r="BO86" s="73"/>
      <c r="BP86" s="73"/>
      <c r="BQ86" s="71">
        <v>0</v>
      </c>
      <c r="BR86" s="71">
        <v>0</v>
      </c>
      <c r="BS86" s="71">
        <v>0</v>
      </c>
      <c r="BT86" s="72">
        <v>0</v>
      </c>
      <c r="BU86" s="73"/>
      <c r="BV86" s="73"/>
    </row>
    <row r="87" ht="30" customHeight="1" spans="1:74">
      <c r="A87" s="55">
        <v>0</v>
      </c>
      <c r="B87" s="56" t="s">
        <v>42</v>
      </c>
      <c r="C87" s="57" t="s">
        <v>43</v>
      </c>
      <c r="D87" s="59" t="s">
        <v>166</v>
      </c>
      <c r="E87" s="59"/>
      <c r="F87" s="59" t="e">
        <f>VLOOKUP(E87,[1]库存!$B$1:$C$65536,2,FALSE)</f>
        <v>#N/A</v>
      </c>
      <c r="G87" s="59" t="e">
        <v>#N/A</v>
      </c>
      <c r="H87" s="59" t="s">
        <v>190</v>
      </c>
      <c r="I87" s="59" t="s">
        <v>191</v>
      </c>
      <c r="J87" s="95"/>
      <c r="K87" s="61"/>
      <c r="L87" s="62">
        <v>2</v>
      </c>
      <c r="M87" s="63">
        <v>1000</v>
      </c>
      <c r="N87" s="64">
        <v>14</v>
      </c>
      <c r="O87" s="62">
        <v>2</v>
      </c>
      <c r="P87" s="65">
        <f t="shared" si="1"/>
        <v>0</v>
      </c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7"/>
      <c r="BF87" s="67"/>
      <c r="BG87" s="68"/>
      <c r="BI87" s="69">
        <v>0</v>
      </c>
      <c r="BJ87" s="70">
        <v>0</v>
      </c>
      <c r="BK87" s="71">
        <v>0</v>
      </c>
      <c r="BL87" s="71">
        <v>0</v>
      </c>
      <c r="BM87" s="71">
        <v>0</v>
      </c>
      <c r="BN87" s="72">
        <v>0</v>
      </c>
      <c r="BO87" s="73"/>
      <c r="BP87" s="73"/>
      <c r="BQ87" s="71">
        <v>0</v>
      </c>
      <c r="BR87" s="71">
        <v>0</v>
      </c>
      <c r="BS87" s="71">
        <v>0</v>
      </c>
      <c r="BT87" s="72">
        <v>0</v>
      </c>
      <c r="BU87" s="73"/>
      <c r="BV87" s="73"/>
    </row>
    <row r="88" ht="30" customHeight="1" spans="1:74">
      <c r="A88" s="55">
        <v>0</v>
      </c>
      <c r="B88" s="56">
        <v>0</v>
      </c>
      <c r="C88" s="57">
        <v>0</v>
      </c>
      <c r="D88" s="74"/>
      <c r="E88" s="74"/>
      <c r="F88" s="59" t="e">
        <f>VLOOKUP(E88,[1]库存!$B$1:$C$65536,2,FALSE)</f>
        <v>#N/A</v>
      </c>
      <c r="G88" s="59" t="e">
        <v>#N/A</v>
      </c>
      <c r="H88" s="74"/>
      <c r="I88" s="74"/>
      <c r="J88" s="95"/>
      <c r="K88" s="61"/>
      <c r="L88" s="62">
        <v>0</v>
      </c>
      <c r="M88" s="63">
        <v>0</v>
      </c>
      <c r="N88" s="64">
        <v>0</v>
      </c>
      <c r="O88" s="62">
        <v>0</v>
      </c>
      <c r="P88" s="65">
        <f t="shared" si="1"/>
        <v>0</v>
      </c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7"/>
      <c r="BF88" s="67"/>
      <c r="BG88" s="68"/>
      <c r="BI88" s="69">
        <v>0</v>
      </c>
      <c r="BJ88" s="70">
        <v>0</v>
      </c>
      <c r="BK88" s="71">
        <v>0</v>
      </c>
      <c r="BL88" s="71">
        <v>0</v>
      </c>
      <c r="BM88" s="71">
        <v>0</v>
      </c>
      <c r="BN88" s="72">
        <v>0</v>
      </c>
      <c r="BO88" s="73"/>
      <c r="BP88" s="73"/>
      <c r="BQ88" s="71">
        <v>0</v>
      </c>
      <c r="BR88" s="71">
        <v>0</v>
      </c>
      <c r="BS88" s="71">
        <v>0</v>
      </c>
      <c r="BT88" s="72">
        <v>0</v>
      </c>
      <c r="BU88" s="73"/>
      <c r="BV88" s="73"/>
    </row>
    <row r="89" ht="30" customHeight="1" spans="1:74">
      <c r="A89" s="55">
        <v>0</v>
      </c>
      <c r="B89" s="56" t="s">
        <v>42</v>
      </c>
      <c r="C89" s="57" t="s">
        <v>43</v>
      </c>
      <c r="D89" s="59" t="s">
        <v>166</v>
      </c>
      <c r="E89" s="59" t="s">
        <v>192</v>
      </c>
      <c r="F89" s="59" t="e">
        <f>VLOOKUP(E89,[1]库存!$B$1:$C$65536,2,FALSE)</f>
        <v>#N/A</v>
      </c>
      <c r="G89" s="59" t="e">
        <v>#N/A</v>
      </c>
      <c r="H89" s="59" t="s">
        <v>193</v>
      </c>
      <c r="I89" s="59" t="s">
        <v>194</v>
      </c>
      <c r="J89" s="80" t="s">
        <v>195</v>
      </c>
      <c r="K89" s="61"/>
      <c r="L89" s="62">
        <v>2</v>
      </c>
      <c r="M89" s="63">
        <v>700</v>
      </c>
      <c r="N89" s="64">
        <v>9</v>
      </c>
      <c r="O89" s="62">
        <v>2</v>
      </c>
      <c r="P89" s="65">
        <f t="shared" si="1"/>
        <v>0</v>
      </c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7"/>
      <c r="BF89" s="67"/>
      <c r="BG89" s="68"/>
      <c r="BI89" s="69">
        <v>0</v>
      </c>
      <c r="BJ89" s="70">
        <v>0</v>
      </c>
      <c r="BK89" s="71">
        <v>0</v>
      </c>
      <c r="BL89" s="71">
        <v>0</v>
      </c>
      <c r="BM89" s="71">
        <v>0</v>
      </c>
      <c r="BN89" s="72">
        <v>0</v>
      </c>
      <c r="BO89" s="73"/>
      <c r="BP89" s="73"/>
      <c r="BQ89" s="71">
        <v>0</v>
      </c>
      <c r="BR89" s="71">
        <v>0</v>
      </c>
      <c r="BS89" s="71">
        <v>0</v>
      </c>
      <c r="BT89" s="72">
        <v>0</v>
      </c>
      <c r="BU89" s="73"/>
      <c r="BV89" s="73"/>
    </row>
    <row r="90" ht="30" customHeight="1" spans="1:74">
      <c r="A90" s="55">
        <v>0</v>
      </c>
      <c r="B90" s="56">
        <v>0</v>
      </c>
      <c r="C90" s="57">
        <v>0</v>
      </c>
      <c r="D90" s="74"/>
      <c r="E90" s="74"/>
      <c r="F90" s="59" t="e">
        <f>VLOOKUP(E90,[1]库存!$B$1:$C$65536,2,FALSE)</f>
        <v>#N/A</v>
      </c>
      <c r="G90" s="59" t="e">
        <v>#N/A</v>
      </c>
      <c r="H90" s="74"/>
      <c r="I90" s="74"/>
      <c r="J90" s="81"/>
      <c r="K90" s="61"/>
      <c r="L90" s="62">
        <v>0</v>
      </c>
      <c r="M90" s="63">
        <v>0</v>
      </c>
      <c r="N90" s="64">
        <v>0</v>
      </c>
      <c r="O90" s="62">
        <v>0</v>
      </c>
      <c r="P90" s="65">
        <f t="shared" si="1"/>
        <v>0</v>
      </c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7"/>
      <c r="BF90" s="67"/>
      <c r="BG90" s="68"/>
      <c r="BI90" s="69">
        <v>0</v>
      </c>
      <c r="BJ90" s="70">
        <v>0</v>
      </c>
      <c r="BK90" s="71">
        <v>0</v>
      </c>
      <c r="BL90" s="71">
        <v>0</v>
      </c>
      <c r="BM90" s="71">
        <v>0</v>
      </c>
      <c r="BN90" s="72">
        <v>0</v>
      </c>
      <c r="BO90" s="73"/>
      <c r="BP90" s="73"/>
      <c r="BQ90" s="71">
        <v>0</v>
      </c>
      <c r="BR90" s="71">
        <v>0</v>
      </c>
      <c r="BS90" s="71">
        <v>0</v>
      </c>
      <c r="BT90" s="72">
        <v>0</v>
      </c>
      <c r="BU90" s="73"/>
      <c r="BV90" s="73"/>
    </row>
    <row r="91" ht="30" customHeight="1" spans="1:74">
      <c r="A91" s="55">
        <v>0</v>
      </c>
      <c r="B91" s="56" t="s">
        <v>42</v>
      </c>
      <c r="C91" s="57" t="s">
        <v>43</v>
      </c>
      <c r="D91" s="91" t="s">
        <v>166</v>
      </c>
      <c r="E91" s="91" t="s">
        <v>196</v>
      </c>
      <c r="F91" s="91" t="e">
        <f>VLOOKUP(E91,[1]库存!$B$1:$C$65536,2,FALSE)</f>
        <v>#N/A</v>
      </c>
      <c r="G91" s="91" t="e">
        <v>#N/A</v>
      </c>
      <c r="H91" s="91" t="s">
        <v>197</v>
      </c>
      <c r="I91" s="91" t="s">
        <v>198</v>
      </c>
      <c r="J91" s="80" t="s">
        <v>195</v>
      </c>
      <c r="K91" s="61"/>
      <c r="L91" s="62">
        <v>0</v>
      </c>
      <c r="M91" s="63">
        <v>0</v>
      </c>
      <c r="N91" s="64">
        <v>0</v>
      </c>
      <c r="O91" s="62">
        <v>0</v>
      </c>
      <c r="P91" s="65">
        <f t="shared" si="1"/>
        <v>0</v>
      </c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7"/>
      <c r="BF91" s="67"/>
      <c r="BG91" s="68"/>
      <c r="BI91" s="69">
        <v>0</v>
      </c>
      <c r="BJ91" s="70">
        <v>0</v>
      </c>
      <c r="BK91" s="71">
        <v>0</v>
      </c>
      <c r="BL91" s="71">
        <v>0</v>
      </c>
      <c r="BM91" s="71">
        <v>0</v>
      </c>
      <c r="BN91" s="72">
        <v>0</v>
      </c>
      <c r="BO91" s="73"/>
      <c r="BP91" s="73"/>
      <c r="BQ91" s="71">
        <v>0</v>
      </c>
      <c r="BR91" s="71">
        <v>0</v>
      </c>
      <c r="BS91" s="71">
        <v>0</v>
      </c>
      <c r="BT91" s="72">
        <v>0</v>
      </c>
      <c r="BU91" s="73"/>
      <c r="BV91" s="73"/>
    </row>
    <row r="92" ht="30" customHeight="1" spans="1:74">
      <c r="A92" s="55">
        <v>0</v>
      </c>
      <c r="B92" s="56">
        <v>0</v>
      </c>
      <c r="C92" s="57">
        <v>0</v>
      </c>
      <c r="D92" s="92"/>
      <c r="E92" s="92"/>
      <c r="F92" s="91" t="e">
        <f>VLOOKUP(E92,[1]库存!$B$1:$C$65536,2,FALSE)</f>
        <v>#N/A</v>
      </c>
      <c r="G92" s="91" t="e">
        <v>#N/A</v>
      </c>
      <c r="H92" s="92"/>
      <c r="I92" s="92"/>
      <c r="J92" s="81"/>
      <c r="K92" s="61"/>
      <c r="L92" s="62">
        <v>0</v>
      </c>
      <c r="M92" s="63">
        <v>0</v>
      </c>
      <c r="N92" s="64">
        <v>0</v>
      </c>
      <c r="O92" s="62">
        <v>0</v>
      </c>
      <c r="P92" s="65">
        <f t="shared" si="1"/>
        <v>0</v>
      </c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7"/>
      <c r="BF92" s="67"/>
      <c r="BG92" s="68"/>
      <c r="BI92" s="69">
        <v>0</v>
      </c>
      <c r="BJ92" s="70">
        <v>0</v>
      </c>
      <c r="BK92" s="71">
        <v>0</v>
      </c>
      <c r="BL92" s="71">
        <v>0</v>
      </c>
      <c r="BM92" s="71">
        <v>0</v>
      </c>
      <c r="BN92" s="72">
        <v>0</v>
      </c>
      <c r="BO92" s="73"/>
      <c r="BP92" s="73"/>
      <c r="BQ92" s="71">
        <v>0</v>
      </c>
      <c r="BR92" s="71">
        <v>0</v>
      </c>
      <c r="BS92" s="71">
        <v>0</v>
      </c>
      <c r="BT92" s="72">
        <v>0</v>
      </c>
      <c r="BU92" s="73"/>
      <c r="BV92" s="73"/>
    </row>
    <row r="93" ht="30" customHeight="1" spans="1:74">
      <c r="A93" s="55">
        <v>0</v>
      </c>
      <c r="B93" s="56" t="s">
        <v>42</v>
      </c>
      <c r="C93" s="57" t="s">
        <v>43</v>
      </c>
      <c r="D93" s="59" t="s">
        <v>166</v>
      </c>
      <c r="E93" s="59" t="s">
        <v>199</v>
      </c>
      <c r="F93" s="59" t="e">
        <f>VLOOKUP(E93,[1]库存!$B$1:$C$65536,2,FALSE)</f>
        <v>#N/A</v>
      </c>
      <c r="G93" s="59" t="e">
        <v>#N/A</v>
      </c>
      <c r="H93" s="59" t="s">
        <v>200</v>
      </c>
      <c r="I93" s="59" t="s">
        <v>201</v>
      </c>
      <c r="J93" s="80" t="s">
        <v>195</v>
      </c>
      <c r="K93" s="61"/>
      <c r="L93" s="62">
        <v>2</v>
      </c>
      <c r="M93" s="63">
        <v>700</v>
      </c>
      <c r="N93" s="64">
        <v>9</v>
      </c>
      <c r="O93" s="62">
        <v>2</v>
      </c>
      <c r="P93" s="65">
        <f t="shared" si="1"/>
        <v>0</v>
      </c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7"/>
      <c r="BF93" s="67"/>
      <c r="BG93" s="68"/>
      <c r="BI93" s="69">
        <v>0</v>
      </c>
      <c r="BJ93" s="70">
        <v>0</v>
      </c>
      <c r="BK93" s="71">
        <v>0</v>
      </c>
      <c r="BL93" s="71">
        <v>0</v>
      </c>
      <c r="BM93" s="71">
        <v>0</v>
      </c>
      <c r="BN93" s="72">
        <v>0</v>
      </c>
      <c r="BO93" s="73"/>
      <c r="BP93" s="73"/>
      <c r="BQ93" s="71">
        <v>0</v>
      </c>
      <c r="BR93" s="71">
        <v>0</v>
      </c>
      <c r="BS93" s="71">
        <v>0</v>
      </c>
      <c r="BT93" s="72">
        <v>0</v>
      </c>
      <c r="BU93" s="73"/>
      <c r="BV93" s="73"/>
    </row>
    <row r="94" ht="30" customHeight="1" spans="1:74">
      <c r="A94" s="55">
        <v>0</v>
      </c>
      <c r="B94" s="56">
        <v>0</v>
      </c>
      <c r="C94" s="57">
        <v>0</v>
      </c>
      <c r="D94" s="74"/>
      <c r="E94" s="74"/>
      <c r="F94" s="59" t="e">
        <f>VLOOKUP(E94,[1]库存!$B$1:$C$65536,2,FALSE)</f>
        <v>#N/A</v>
      </c>
      <c r="G94" s="59" t="e">
        <v>#N/A</v>
      </c>
      <c r="H94" s="74"/>
      <c r="I94" s="74"/>
      <c r="J94" s="81"/>
      <c r="K94" s="61"/>
      <c r="L94" s="62">
        <v>0</v>
      </c>
      <c r="M94" s="63">
        <v>0</v>
      </c>
      <c r="N94" s="64">
        <v>0</v>
      </c>
      <c r="O94" s="62">
        <v>0</v>
      </c>
      <c r="P94" s="65">
        <f t="shared" si="1"/>
        <v>0</v>
      </c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7"/>
      <c r="BF94" s="67"/>
      <c r="BG94" s="68"/>
      <c r="BI94" s="69">
        <v>0</v>
      </c>
      <c r="BJ94" s="70">
        <v>0</v>
      </c>
      <c r="BK94" s="71">
        <v>0</v>
      </c>
      <c r="BL94" s="71">
        <v>0</v>
      </c>
      <c r="BM94" s="71">
        <v>0</v>
      </c>
      <c r="BN94" s="72">
        <v>0</v>
      </c>
      <c r="BO94" s="73"/>
      <c r="BP94" s="73"/>
      <c r="BQ94" s="71">
        <v>0</v>
      </c>
      <c r="BR94" s="71">
        <v>0</v>
      </c>
      <c r="BS94" s="71">
        <v>0</v>
      </c>
      <c r="BT94" s="72">
        <v>0</v>
      </c>
      <c r="BU94" s="73"/>
      <c r="BV94" s="73"/>
    </row>
    <row r="95" ht="30" customHeight="1" spans="1:74">
      <c r="A95" s="55">
        <v>0</v>
      </c>
      <c r="B95" s="56" t="s">
        <v>42</v>
      </c>
      <c r="C95" s="57" t="s">
        <v>43</v>
      </c>
      <c r="D95" s="59" t="s">
        <v>166</v>
      </c>
      <c r="E95" s="59" t="s">
        <v>202</v>
      </c>
      <c r="F95" s="59" t="e">
        <f>VLOOKUP(E95,[1]库存!$B$1:$C$65536,2,FALSE)</f>
        <v>#N/A</v>
      </c>
      <c r="G95" s="59" t="e">
        <v>#N/A</v>
      </c>
      <c r="H95" s="59" t="s">
        <v>203</v>
      </c>
      <c r="I95" s="59" t="s">
        <v>204</v>
      </c>
      <c r="J95" s="80" t="s">
        <v>195</v>
      </c>
      <c r="K95" s="61"/>
      <c r="L95" s="62">
        <v>2</v>
      </c>
      <c r="M95" s="63">
        <v>1200</v>
      </c>
      <c r="N95" s="64">
        <v>11</v>
      </c>
      <c r="O95" s="62">
        <v>2</v>
      </c>
      <c r="P95" s="65">
        <f t="shared" si="1"/>
        <v>0</v>
      </c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7"/>
      <c r="BF95" s="67"/>
      <c r="BG95" s="68"/>
      <c r="BI95" s="69">
        <v>0</v>
      </c>
      <c r="BJ95" s="70">
        <v>0</v>
      </c>
      <c r="BK95" s="71">
        <v>0</v>
      </c>
      <c r="BL95" s="71">
        <v>0</v>
      </c>
      <c r="BM95" s="71">
        <v>0</v>
      </c>
      <c r="BN95" s="72">
        <v>0</v>
      </c>
      <c r="BO95" s="73"/>
      <c r="BP95" s="73"/>
      <c r="BQ95" s="71">
        <v>0</v>
      </c>
      <c r="BR95" s="71">
        <v>0</v>
      </c>
      <c r="BS95" s="71">
        <v>0</v>
      </c>
      <c r="BT95" s="72">
        <v>0</v>
      </c>
      <c r="BU95" s="73"/>
      <c r="BV95" s="73"/>
    </row>
    <row r="96" ht="30" customHeight="1" spans="1:74">
      <c r="A96" s="55">
        <v>0</v>
      </c>
      <c r="B96" s="56">
        <v>0</v>
      </c>
      <c r="C96" s="57">
        <v>0</v>
      </c>
      <c r="D96" s="74"/>
      <c r="E96" s="74"/>
      <c r="F96" s="59" t="e">
        <f>VLOOKUP(E96,[1]库存!$B$1:$C$65536,2,FALSE)</f>
        <v>#N/A</v>
      </c>
      <c r="G96" s="59" t="e">
        <v>#N/A</v>
      </c>
      <c r="H96" s="74"/>
      <c r="I96" s="74"/>
      <c r="J96" s="81"/>
      <c r="K96" s="61"/>
      <c r="L96" s="62">
        <v>0</v>
      </c>
      <c r="M96" s="63">
        <v>0</v>
      </c>
      <c r="N96" s="64">
        <v>0</v>
      </c>
      <c r="O96" s="62">
        <v>0</v>
      </c>
      <c r="P96" s="65">
        <f t="shared" si="1"/>
        <v>0</v>
      </c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7"/>
      <c r="BF96" s="67"/>
      <c r="BG96" s="68"/>
      <c r="BI96" s="69">
        <v>0</v>
      </c>
      <c r="BJ96" s="70">
        <v>0</v>
      </c>
      <c r="BK96" s="71">
        <v>0</v>
      </c>
      <c r="BL96" s="71">
        <v>0</v>
      </c>
      <c r="BM96" s="71">
        <v>0</v>
      </c>
      <c r="BN96" s="72">
        <v>0</v>
      </c>
      <c r="BO96" s="73"/>
      <c r="BP96" s="73"/>
      <c r="BQ96" s="71">
        <v>0</v>
      </c>
      <c r="BR96" s="71">
        <v>0</v>
      </c>
      <c r="BS96" s="71">
        <v>0</v>
      </c>
      <c r="BT96" s="72">
        <v>0</v>
      </c>
      <c r="BU96" s="73"/>
      <c r="BV96" s="73"/>
    </row>
    <row r="97" ht="30" customHeight="1" spans="1:74">
      <c r="A97" s="55">
        <v>0</v>
      </c>
      <c r="B97" s="56" t="s">
        <v>42</v>
      </c>
      <c r="C97" s="57" t="s">
        <v>43</v>
      </c>
      <c r="D97" s="91" t="s">
        <v>166</v>
      </c>
      <c r="E97" s="91" t="s">
        <v>205</v>
      </c>
      <c r="F97" s="91" t="e">
        <f>VLOOKUP(E97,[1]库存!$B$1:$C$65536,2,FALSE)</f>
        <v>#N/A</v>
      </c>
      <c r="G97" s="91" t="e">
        <v>#N/A</v>
      </c>
      <c r="H97" s="91" t="s">
        <v>206</v>
      </c>
      <c r="I97" s="91" t="s">
        <v>207</v>
      </c>
      <c r="J97" s="80" t="s">
        <v>195</v>
      </c>
      <c r="K97" s="61"/>
      <c r="L97" s="62">
        <v>2.5</v>
      </c>
      <c r="M97" s="63">
        <v>1250</v>
      </c>
      <c r="N97" s="64">
        <v>11</v>
      </c>
      <c r="O97" s="62">
        <v>2.5</v>
      </c>
      <c r="P97" s="65">
        <f t="shared" si="1"/>
        <v>0</v>
      </c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7"/>
      <c r="BF97" s="67"/>
      <c r="BG97" s="68"/>
      <c r="BI97" s="69">
        <v>0</v>
      </c>
      <c r="BJ97" s="70">
        <v>0</v>
      </c>
      <c r="BK97" s="71">
        <v>0</v>
      </c>
      <c r="BL97" s="71">
        <v>0</v>
      </c>
      <c r="BM97" s="71">
        <v>0</v>
      </c>
      <c r="BN97" s="72">
        <v>0</v>
      </c>
      <c r="BO97" s="73"/>
      <c r="BP97" s="73"/>
      <c r="BQ97" s="71">
        <v>0</v>
      </c>
      <c r="BR97" s="71">
        <v>0</v>
      </c>
      <c r="BS97" s="71">
        <v>0</v>
      </c>
      <c r="BT97" s="72">
        <v>0</v>
      </c>
      <c r="BU97" s="73"/>
      <c r="BV97" s="73"/>
    </row>
    <row r="98" ht="30" customHeight="1" spans="1:74">
      <c r="A98" s="55">
        <v>0</v>
      </c>
      <c r="B98" s="56">
        <v>0</v>
      </c>
      <c r="C98" s="57">
        <v>0</v>
      </c>
      <c r="D98" s="92"/>
      <c r="E98" s="92"/>
      <c r="F98" s="91" t="e">
        <f>VLOOKUP(E98,[1]库存!$B$1:$C$65536,2,FALSE)</f>
        <v>#N/A</v>
      </c>
      <c r="G98" s="91" t="e">
        <v>#N/A</v>
      </c>
      <c r="H98" s="92"/>
      <c r="I98" s="92"/>
      <c r="J98" s="81"/>
      <c r="K98" s="61"/>
      <c r="L98" s="62">
        <v>0</v>
      </c>
      <c r="M98" s="63">
        <v>0</v>
      </c>
      <c r="N98" s="64">
        <v>0</v>
      </c>
      <c r="O98" s="62">
        <v>0</v>
      </c>
      <c r="P98" s="65">
        <f t="shared" si="1"/>
        <v>0</v>
      </c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7"/>
      <c r="BF98" s="67"/>
      <c r="BG98" s="68"/>
      <c r="BI98" s="69">
        <v>0</v>
      </c>
      <c r="BJ98" s="70">
        <v>0</v>
      </c>
      <c r="BK98" s="71">
        <v>0</v>
      </c>
      <c r="BL98" s="71">
        <v>0</v>
      </c>
      <c r="BM98" s="71">
        <v>0</v>
      </c>
      <c r="BN98" s="72">
        <v>0</v>
      </c>
      <c r="BO98" s="73"/>
      <c r="BP98" s="73"/>
      <c r="BQ98" s="71">
        <v>0</v>
      </c>
      <c r="BR98" s="71">
        <v>0</v>
      </c>
      <c r="BS98" s="71">
        <v>0</v>
      </c>
      <c r="BT98" s="72">
        <v>0</v>
      </c>
      <c r="BU98" s="73"/>
      <c r="BV98" s="73"/>
    </row>
    <row r="99" ht="30" customHeight="1" spans="1:74">
      <c r="A99" s="55">
        <v>0</v>
      </c>
      <c r="B99" s="56" t="s">
        <v>42</v>
      </c>
      <c r="C99" s="57" t="s">
        <v>43</v>
      </c>
      <c r="D99" s="91" t="s">
        <v>166</v>
      </c>
      <c r="E99" s="91" t="s">
        <v>208</v>
      </c>
      <c r="F99" s="91" t="e">
        <f>VLOOKUP(E99,[1]库存!$B$1:$C$65536,2,FALSE)</f>
        <v>#N/A</v>
      </c>
      <c r="G99" s="91" t="e">
        <v>#N/A</v>
      </c>
      <c r="H99" s="91" t="s">
        <v>209</v>
      </c>
      <c r="I99" s="91" t="s">
        <v>210</v>
      </c>
      <c r="J99" s="80" t="s">
        <v>195</v>
      </c>
      <c r="K99" s="61"/>
      <c r="L99" s="62">
        <v>2</v>
      </c>
      <c r="M99" s="63">
        <v>1200</v>
      </c>
      <c r="N99" s="64">
        <v>10</v>
      </c>
      <c r="O99" s="62">
        <v>2</v>
      </c>
      <c r="P99" s="65">
        <f t="shared" si="1"/>
        <v>0</v>
      </c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7"/>
      <c r="BF99" s="67"/>
      <c r="BG99" s="68"/>
      <c r="BI99" s="69">
        <v>0</v>
      </c>
      <c r="BJ99" s="70">
        <v>0</v>
      </c>
      <c r="BK99" s="71">
        <v>0</v>
      </c>
      <c r="BL99" s="71">
        <v>0</v>
      </c>
      <c r="BM99" s="71">
        <v>0</v>
      </c>
      <c r="BN99" s="72">
        <v>0</v>
      </c>
      <c r="BO99" s="73"/>
      <c r="BP99" s="73"/>
      <c r="BQ99" s="71">
        <v>0</v>
      </c>
      <c r="BR99" s="71">
        <v>0</v>
      </c>
      <c r="BS99" s="71">
        <v>0</v>
      </c>
      <c r="BT99" s="72">
        <v>0</v>
      </c>
      <c r="BU99" s="73"/>
      <c r="BV99" s="73"/>
    </row>
    <row r="100" ht="30" customHeight="1" spans="1:74">
      <c r="A100" s="55">
        <v>0</v>
      </c>
      <c r="B100" s="56">
        <v>0</v>
      </c>
      <c r="C100" s="57">
        <v>0</v>
      </c>
      <c r="D100" s="92"/>
      <c r="E100" s="92"/>
      <c r="F100" s="91" t="e">
        <f>VLOOKUP(E100,[1]库存!$B$1:$C$65536,2,FALSE)</f>
        <v>#N/A</v>
      </c>
      <c r="G100" s="91" t="e">
        <v>#N/A</v>
      </c>
      <c r="H100" s="92"/>
      <c r="I100" s="92"/>
      <c r="J100" s="81"/>
      <c r="K100" s="61"/>
      <c r="L100" s="62">
        <v>0</v>
      </c>
      <c r="M100" s="63">
        <v>0</v>
      </c>
      <c r="N100" s="64">
        <v>0</v>
      </c>
      <c r="O100" s="62">
        <v>0</v>
      </c>
      <c r="P100" s="65">
        <f t="shared" si="1"/>
        <v>0</v>
      </c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7"/>
      <c r="BF100" s="67"/>
      <c r="BG100" s="68"/>
      <c r="BI100" s="69">
        <v>0</v>
      </c>
      <c r="BJ100" s="70">
        <v>0</v>
      </c>
      <c r="BK100" s="71">
        <v>0</v>
      </c>
      <c r="BL100" s="71">
        <v>0</v>
      </c>
      <c r="BM100" s="71">
        <v>0</v>
      </c>
      <c r="BN100" s="72">
        <v>0</v>
      </c>
      <c r="BO100" s="73"/>
      <c r="BP100" s="73"/>
      <c r="BQ100" s="71">
        <v>0</v>
      </c>
      <c r="BR100" s="71">
        <v>0</v>
      </c>
      <c r="BS100" s="71">
        <v>0</v>
      </c>
      <c r="BT100" s="72">
        <v>0</v>
      </c>
      <c r="BU100" s="73"/>
      <c r="BV100" s="73"/>
    </row>
    <row r="101" ht="30" customHeight="1" spans="1:74">
      <c r="A101" s="55">
        <v>0</v>
      </c>
      <c r="B101" s="56">
        <v>0</v>
      </c>
      <c r="C101" s="57">
        <v>0</v>
      </c>
      <c r="E101" s="88"/>
      <c r="F101" s="59" t="e">
        <f>VLOOKUP(E101,[1]库存!$B$1:$C$65536,2,FALSE)</f>
        <v>#N/A</v>
      </c>
      <c r="G101" s="59" t="e">
        <v>#N/A</v>
      </c>
      <c r="H101" s="89"/>
      <c r="I101" s="88"/>
      <c r="J101" s="90"/>
      <c r="K101" s="61"/>
      <c r="L101" s="62">
        <v>0</v>
      </c>
      <c r="M101" s="63">
        <v>0</v>
      </c>
      <c r="N101" s="64">
        <v>0</v>
      </c>
      <c r="O101" s="62">
        <v>0</v>
      </c>
      <c r="P101" s="65">
        <f t="shared" si="1"/>
        <v>0</v>
      </c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7"/>
      <c r="BF101" s="67"/>
      <c r="BG101" s="68"/>
      <c r="BI101" s="69">
        <v>0</v>
      </c>
      <c r="BJ101" s="70">
        <v>0</v>
      </c>
      <c r="BK101" s="71">
        <v>0</v>
      </c>
      <c r="BL101" s="71">
        <v>0</v>
      </c>
      <c r="BM101" s="71">
        <v>0</v>
      </c>
      <c r="BN101" s="72">
        <v>0</v>
      </c>
      <c r="BO101" s="73"/>
      <c r="BP101" s="73"/>
      <c r="BQ101" s="71">
        <v>0</v>
      </c>
      <c r="BR101" s="71">
        <v>0</v>
      </c>
      <c r="BS101" s="71">
        <v>0</v>
      </c>
      <c r="BT101" s="72">
        <v>0</v>
      </c>
      <c r="BU101" s="73"/>
      <c r="BV101" s="73"/>
    </row>
    <row r="102" ht="30" customHeight="1" spans="1:74">
      <c r="A102" s="55" t="s">
        <v>211</v>
      </c>
      <c r="B102" s="56" t="s">
        <v>42</v>
      </c>
      <c r="C102" s="57" t="s">
        <v>43</v>
      </c>
      <c r="D102" s="59" t="s">
        <v>212</v>
      </c>
      <c r="E102" s="59" t="s">
        <v>213</v>
      </c>
      <c r="F102" s="59" t="str">
        <f>VLOOKUP(E102,[1]库存!$B$1:$C$65536,2,FALSE)</f>
        <v>SA3F DAB E状态</v>
      </c>
      <c r="G102" s="59" t="s">
        <v>214</v>
      </c>
      <c r="H102" s="59" t="s">
        <v>215</v>
      </c>
      <c r="I102" s="59" t="s">
        <v>216</v>
      </c>
      <c r="J102" s="77" t="s">
        <v>217</v>
      </c>
      <c r="K102" s="61"/>
      <c r="L102" s="62">
        <v>2</v>
      </c>
      <c r="M102" s="63">
        <v>1200</v>
      </c>
      <c r="N102" s="64">
        <v>8</v>
      </c>
      <c r="O102" s="62">
        <v>2</v>
      </c>
      <c r="P102" s="65">
        <f t="shared" si="1"/>
        <v>0</v>
      </c>
      <c r="Q102" s="66"/>
      <c r="R102" s="66"/>
      <c r="S102" s="66">
        <v>1600</v>
      </c>
      <c r="T102" s="66"/>
      <c r="U102" s="66">
        <v>1600</v>
      </c>
      <c r="V102" s="66"/>
      <c r="W102" s="66">
        <v>1600</v>
      </c>
      <c r="X102" s="66"/>
      <c r="Y102" s="66">
        <v>1600</v>
      </c>
      <c r="Z102" s="66"/>
      <c r="AA102" s="66">
        <v>1300</v>
      </c>
      <c r="AB102" s="66"/>
      <c r="AC102" s="66">
        <v>800</v>
      </c>
      <c r="AD102" s="66"/>
      <c r="AE102" s="66"/>
      <c r="AF102" s="66"/>
      <c r="AG102" s="66"/>
      <c r="AH102" s="66"/>
      <c r="AI102" s="66"/>
      <c r="AJ102" s="66"/>
      <c r="AK102" s="66"/>
      <c r="AL102" s="66"/>
      <c r="AM102" s="9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7"/>
      <c r="BF102" s="67"/>
      <c r="BG102" s="68"/>
      <c r="BI102" s="69">
        <v>0</v>
      </c>
      <c r="BJ102" s="70">
        <v>0</v>
      </c>
      <c r="BK102" s="71">
        <v>0</v>
      </c>
      <c r="BL102" s="71">
        <v>0</v>
      </c>
      <c r="BM102" s="71">
        <v>0</v>
      </c>
      <c r="BN102" s="72">
        <v>0</v>
      </c>
      <c r="BO102" s="73"/>
      <c r="BP102" s="73"/>
      <c r="BQ102" s="71">
        <v>0</v>
      </c>
      <c r="BR102" s="71">
        <v>0</v>
      </c>
      <c r="BS102" s="71">
        <v>0</v>
      </c>
      <c r="BT102" s="72">
        <v>0</v>
      </c>
      <c r="BU102" s="73"/>
      <c r="BV102" s="73"/>
    </row>
    <row r="103" ht="30" customHeight="1" spans="1:74">
      <c r="A103" s="55">
        <v>0</v>
      </c>
      <c r="B103" s="56">
        <v>0</v>
      </c>
      <c r="C103" s="57">
        <v>0</v>
      </c>
      <c r="D103" s="74"/>
      <c r="E103" s="74"/>
      <c r="F103" s="59" t="e">
        <f>VLOOKUP(E103,[1]库存!$B$1:$C$65536,2,FALSE)</f>
        <v>#N/A</v>
      </c>
      <c r="G103" s="59" t="e">
        <v>#N/A</v>
      </c>
      <c r="H103" s="74"/>
      <c r="I103" s="74"/>
      <c r="J103" s="79"/>
      <c r="K103" s="61"/>
      <c r="L103" s="62">
        <v>0</v>
      </c>
      <c r="M103" s="63">
        <v>0</v>
      </c>
      <c r="N103" s="64">
        <v>0</v>
      </c>
      <c r="O103" s="62">
        <v>0</v>
      </c>
      <c r="P103" s="65">
        <f t="shared" si="1"/>
        <v>0</v>
      </c>
      <c r="Q103" s="66"/>
      <c r="R103" s="66"/>
      <c r="S103" s="66">
        <v>1610</v>
      </c>
      <c r="T103" s="66"/>
      <c r="U103" s="66">
        <v>1604</v>
      </c>
      <c r="V103" s="66"/>
      <c r="W103" s="66">
        <v>1700</v>
      </c>
      <c r="X103" s="66"/>
      <c r="Y103" s="66">
        <v>1125</v>
      </c>
      <c r="Z103" s="66"/>
      <c r="AA103" s="66">
        <v>1459</v>
      </c>
      <c r="AB103" s="66"/>
      <c r="AC103" s="66" t="s">
        <v>218</v>
      </c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7"/>
      <c r="BF103" s="67"/>
      <c r="BG103" s="68"/>
      <c r="BI103" s="69">
        <v>0</v>
      </c>
      <c r="BJ103" s="70">
        <v>0</v>
      </c>
      <c r="BK103" s="71">
        <v>0</v>
      </c>
      <c r="BL103" s="71">
        <v>0</v>
      </c>
      <c r="BM103" s="71">
        <v>0</v>
      </c>
      <c r="BN103" s="72">
        <v>0</v>
      </c>
      <c r="BO103" s="73"/>
      <c r="BP103" s="73"/>
      <c r="BQ103" s="71">
        <v>0</v>
      </c>
      <c r="BR103" s="71">
        <v>0</v>
      </c>
      <c r="BS103" s="71">
        <v>0</v>
      </c>
      <c r="BT103" s="72">
        <v>0</v>
      </c>
      <c r="BU103" s="73"/>
      <c r="BV103" s="73"/>
    </row>
    <row r="104" ht="30" customHeight="1" spans="1:74">
      <c r="A104" s="55" t="s">
        <v>211</v>
      </c>
      <c r="B104" s="56" t="s">
        <v>42</v>
      </c>
      <c r="C104" s="57" t="s">
        <v>43</v>
      </c>
      <c r="D104" s="59" t="s">
        <v>212</v>
      </c>
      <c r="E104" s="59" t="s">
        <v>219</v>
      </c>
      <c r="F104" s="59" t="str">
        <f>VLOOKUP(E104,[1]库存!$B$1:$C$65536,2,FALSE)</f>
        <v>HAD DAB D状态</v>
      </c>
      <c r="G104" s="59" t="s">
        <v>220</v>
      </c>
      <c r="H104" s="59" t="s">
        <v>221</v>
      </c>
      <c r="I104" s="59" t="s">
        <v>216</v>
      </c>
      <c r="J104" s="80" t="s">
        <v>65</v>
      </c>
      <c r="K104" s="61"/>
      <c r="L104" s="62">
        <v>2</v>
      </c>
      <c r="M104" s="63">
        <v>1500</v>
      </c>
      <c r="N104" s="64">
        <v>8</v>
      </c>
      <c r="O104" s="62">
        <v>2</v>
      </c>
      <c r="P104" s="65">
        <f t="shared" si="1"/>
        <v>0</v>
      </c>
      <c r="Q104" s="66">
        <v>1500</v>
      </c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7"/>
      <c r="BF104" s="67"/>
      <c r="BG104" s="68"/>
      <c r="BI104" s="69">
        <v>0</v>
      </c>
      <c r="BJ104" s="70">
        <v>0</v>
      </c>
      <c r="BK104" s="71">
        <v>0</v>
      </c>
      <c r="BL104" s="71">
        <v>0</v>
      </c>
      <c r="BM104" s="71">
        <v>0</v>
      </c>
      <c r="BN104" s="72">
        <v>0</v>
      </c>
      <c r="BO104" s="73"/>
      <c r="BP104" s="73"/>
      <c r="BQ104" s="71">
        <v>0</v>
      </c>
      <c r="BR104" s="71">
        <v>0</v>
      </c>
      <c r="BS104" s="71">
        <v>0</v>
      </c>
      <c r="BT104" s="72">
        <v>0</v>
      </c>
      <c r="BU104" s="73"/>
      <c r="BV104" s="73"/>
    </row>
    <row r="105" ht="30" customHeight="1" spans="1:74">
      <c r="A105" s="55">
        <v>0</v>
      </c>
      <c r="B105" s="56">
        <v>0</v>
      </c>
      <c r="C105" s="57">
        <v>0</v>
      </c>
      <c r="D105" s="74"/>
      <c r="E105" s="74"/>
      <c r="F105" s="59" t="e">
        <f>VLOOKUP(E105,[1]库存!$B$1:$C$65536,2,FALSE)</f>
        <v>#N/A</v>
      </c>
      <c r="G105" s="59" t="e">
        <v>#N/A</v>
      </c>
      <c r="H105" s="74"/>
      <c r="I105" s="74"/>
      <c r="J105" s="81"/>
      <c r="K105" s="61"/>
      <c r="L105" s="62">
        <v>0</v>
      </c>
      <c r="M105" s="63">
        <v>0</v>
      </c>
      <c r="N105" s="64">
        <v>0</v>
      </c>
      <c r="O105" s="62">
        <v>0</v>
      </c>
      <c r="P105" s="65">
        <f t="shared" si="1"/>
        <v>0</v>
      </c>
      <c r="Q105" s="66" t="s">
        <v>222</v>
      </c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7"/>
      <c r="BF105" s="67"/>
      <c r="BG105" s="68"/>
      <c r="BI105" s="69">
        <v>0</v>
      </c>
      <c r="BJ105" s="70">
        <v>0</v>
      </c>
      <c r="BK105" s="71">
        <v>0</v>
      </c>
      <c r="BL105" s="71">
        <v>0</v>
      </c>
      <c r="BM105" s="71">
        <v>0</v>
      </c>
      <c r="BN105" s="72">
        <v>0</v>
      </c>
      <c r="BO105" s="73"/>
      <c r="BP105" s="73"/>
      <c r="BQ105" s="71">
        <v>0</v>
      </c>
      <c r="BR105" s="71">
        <v>0</v>
      </c>
      <c r="BS105" s="71">
        <v>0</v>
      </c>
      <c r="BT105" s="72">
        <v>0</v>
      </c>
      <c r="BU105" s="73"/>
      <c r="BV105" s="73"/>
    </row>
    <row r="106" ht="30" customHeight="1" spans="1:74">
      <c r="A106" s="55" t="s">
        <v>211</v>
      </c>
      <c r="B106" s="56" t="s">
        <v>42</v>
      </c>
      <c r="C106" s="57" t="s">
        <v>43</v>
      </c>
      <c r="D106" s="59" t="s">
        <v>212</v>
      </c>
      <c r="E106" s="59" t="s">
        <v>223</v>
      </c>
      <c r="F106" s="59" t="str">
        <f>VLOOKUP(E106,[1]库存!$B$1:$C$65536,2,FALSE)</f>
        <v>SA3F DAB D1 B状态</v>
      </c>
      <c r="G106" s="59" t="s">
        <v>224</v>
      </c>
      <c r="H106" s="59" t="s">
        <v>225</v>
      </c>
      <c r="I106" s="59" t="s">
        <v>216</v>
      </c>
      <c r="J106" s="80" t="s">
        <v>65</v>
      </c>
      <c r="K106" s="61"/>
      <c r="L106" s="62">
        <v>2</v>
      </c>
      <c r="M106" s="63">
        <v>1500</v>
      </c>
      <c r="N106" s="64">
        <v>8</v>
      </c>
      <c r="O106" s="62">
        <v>2</v>
      </c>
      <c r="P106" s="65">
        <f t="shared" si="1"/>
        <v>0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7"/>
      <c r="BF106" s="67"/>
      <c r="BG106" s="68"/>
      <c r="BI106" s="69">
        <v>0</v>
      </c>
      <c r="BJ106" s="70">
        <v>0</v>
      </c>
      <c r="BK106" s="71">
        <v>0</v>
      </c>
      <c r="BL106" s="71">
        <v>0</v>
      </c>
      <c r="BM106" s="71">
        <v>0</v>
      </c>
      <c r="BN106" s="72">
        <v>0</v>
      </c>
      <c r="BO106" s="73"/>
      <c r="BP106" s="73"/>
      <c r="BQ106" s="71">
        <v>0</v>
      </c>
      <c r="BR106" s="71">
        <v>0</v>
      </c>
      <c r="BS106" s="71">
        <v>0</v>
      </c>
      <c r="BT106" s="72">
        <v>0</v>
      </c>
      <c r="BU106" s="73"/>
      <c r="BV106" s="73"/>
    </row>
    <row r="107" ht="30" customHeight="1" spans="1:74">
      <c r="A107" s="55">
        <v>0</v>
      </c>
      <c r="B107" s="56">
        <v>0</v>
      </c>
      <c r="C107" s="57">
        <v>0</v>
      </c>
      <c r="D107" s="74"/>
      <c r="E107" s="74"/>
      <c r="F107" s="59" t="e">
        <f>VLOOKUP(E107,[1]库存!$B$1:$C$65536,2,FALSE)</f>
        <v>#N/A</v>
      </c>
      <c r="G107" s="59" t="e">
        <v>#N/A</v>
      </c>
      <c r="H107" s="74"/>
      <c r="I107" s="74"/>
      <c r="J107" s="81"/>
      <c r="K107" s="61"/>
      <c r="L107" s="62">
        <v>0</v>
      </c>
      <c r="M107" s="63">
        <v>0</v>
      </c>
      <c r="N107" s="64">
        <v>0</v>
      </c>
      <c r="O107" s="62">
        <v>0</v>
      </c>
      <c r="P107" s="65">
        <f t="shared" si="1"/>
        <v>0</v>
      </c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7"/>
      <c r="BF107" s="67"/>
      <c r="BG107" s="68"/>
      <c r="BI107" s="69">
        <v>0</v>
      </c>
      <c r="BJ107" s="70">
        <v>0</v>
      </c>
      <c r="BK107" s="71">
        <v>0</v>
      </c>
      <c r="BL107" s="71">
        <v>0</v>
      </c>
      <c r="BM107" s="71">
        <v>0</v>
      </c>
      <c r="BN107" s="72">
        <v>0</v>
      </c>
      <c r="BO107" s="73"/>
      <c r="BP107" s="73"/>
      <c r="BQ107" s="71">
        <v>0</v>
      </c>
      <c r="BR107" s="71">
        <v>0</v>
      </c>
      <c r="BS107" s="71">
        <v>0</v>
      </c>
      <c r="BT107" s="72">
        <v>0</v>
      </c>
      <c r="BU107" s="73"/>
      <c r="BV107" s="73"/>
    </row>
    <row r="108" ht="30" customHeight="1" spans="1:74">
      <c r="A108" s="55" t="s">
        <v>211</v>
      </c>
      <c r="B108" s="56" t="s">
        <v>42</v>
      </c>
      <c r="C108" s="57" t="s">
        <v>43</v>
      </c>
      <c r="D108" s="59" t="s">
        <v>212</v>
      </c>
      <c r="E108" s="59" t="s">
        <v>226</v>
      </c>
      <c r="F108" s="59" t="e">
        <f>VLOOKUP(E108,[1]库存!$B$1:$C$65536,2,FALSE)</f>
        <v>#N/A</v>
      </c>
      <c r="G108" s="59" t="e">
        <v>#N/A</v>
      </c>
      <c r="H108" s="59" t="s">
        <v>227</v>
      </c>
      <c r="I108" s="59" t="s">
        <v>228</v>
      </c>
      <c r="J108" s="80" t="s">
        <v>65</v>
      </c>
      <c r="K108" s="61"/>
      <c r="L108" s="62">
        <v>2</v>
      </c>
      <c r="M108" s="63">
        <v>1300</v>
      </c>
      <c r="N108" s="64">
        <v>8</v>
      </c>
      <c r="O108" s="62">
        <v>2</v>
      </c>
      <c r="P108" s="65">
        <f t="shared" si="1"/>
        <v>0</v>
      </c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7"/>
      <c r="BF108" s="67"/>
      <c r="BG108" s="68"/>
      <c r="BI108" s="69">
        <v>0</v>
      </c>
      <c r="BJ108" s="70">
        <v>0</v>
      </c>
      <c r="BK108" s="71">
        <v>0</v>
      </c>
      <c r="BL108" s="71">
        <v>0</v>
      </c>
      <c r="BM108" s="71">
        <v>0</v>
      </c>
      <c r="BN108" s="72">
        <v>0</v>
      </c>
      <c r="BO108" s="73"/>
      <c r="BP108" s="73"/>
      <c r="BQ108" s="71">
        <v>0</v>
      </c>
      <c r="BR108" s="71">
        <v>0</v>
      </c>
      <c r="BS108" s="71">
        <v>0</v>
      </c>
      <c r="BT108" s="72">
        <v>0</v>
      </c>
      <c r="BU108" s="73"/>
      <c r="BV108" s="73"/>
    </row>
    <row r="109" ht="30" customHeight="1" spans="1:74">
      <c r="A109" s="55">
        <v>0</v>
      </c>
      <c r="B109" s="56">
        <v>0</v>
      </c>
      <c r="C109" s="57">
        <v>0</v>
      </c>
      <c r="D109" s="74"/>
      <c r="E109" s="74"/>
      <c r="F109" s="59" t="e">
        <f>VLOOKUP(E109,[1]库存!$B$1:$C$65536,2,FALSE)</f>
        <v>#N/A</v>
      </c>
      <c r="G109" s="59" t="e">
        <v>#N/A</v>
      </c>
      <c r="H109" s="74"/>
      <c r="I109" s="74"/>
      <c r="J109" s="81"/>
      <c r="K109" s="61"/>
      <c r="L109" s="62">
        <v>0</v>
      </c>
      <c r="M109" s="63">
        <v>0</v>
      </c>
      <c r="N109" s="64">
        <v>0</v>
      </c>
      <c r="O109" s="62">
        <v>0</v>
      </c>
      <c r="P109" s="65">
        <f t="shared" si="1"/>
        <v>0</v>
      </c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7"/>
      <c r="BF109" s="67"/>
      <c r="BG109" s="68"/>
      <c r="BI109" s="69">
        <v>0</v>
      </c>
      <c r="BJ109" s="70">
        <v>0</v>
      </c>
      <c r="BK109" s="71">
        <v>0</v>
      </c>
      <c r="BL109" s="71">
        <v>0</v>
      </c>
      <c r="BM109" s="71">
        <v>0</v>
      </c>
      <c r="BN109" s="72">
        <v>0</v>
      </c>
      <c r="BO109" s="73"/>
      <c r="BP109" s="73"/>
      <c r="BQ109" s="71">
        <v>0</v>
      </c>
      <c r="BR109" s="71">
        <v>0</v>
      </c>
      <c r="BS109" s="71">
        <v>0</v>
      </c>
      <c r="BT109" s="72">
        <v>0</v>
      </c>
      <c r="BU109" s="73"/>
      <c r="BV109" s="73"/>
    </row>
    <row r="110" ht="30" customHeight="1" spans="1:74">
      <c r="A110" s="55">
        <v>0</v>
      </c>
      <c r="B110" s="56" t="s">
        <v>42</v>
      </c>
      <c r="C110" s="57" t="s">
        <v>43</v>
      </c>
      <c r="D110" s="59" t="s">
        <v>212</v>
      </c>
      <c r="E110" s="59"/>
      <c r="F110" s="59" t="e">
        <f>VLOOKUP(E110,[1]库存!$B$1:$C$65536,2,FALSE)</f>
        <v>#N/A</v>
      </c>
      <c r="G110" s="59" t="e">
        <v>#N/A</v>
      </c>
      <c r="H110" s="59" t="s">
        <v>229</v>
      </c>
      <c r="I110" s="59" t="s">
        <v>230</v>
      </c>
      <c r="J110" s="63"/>
      <c r="K110" s="61"/>
      <c r="L110" s="62">
        <v>2</v>
      </c>
      <c r="M110" s="63">
        <v>1300</v>
      </c>
      <c r="N110" s="64">
        <v>8</v>
      </c>
      <c r="O110" s="62">
        <v>2</v>
      </c>
      <c r="P110" s="65">
        <f t="shared" si="1"/>
        <v>0</v>
      </c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7"/>
      <c r="BF110" s="67"/>
      <c r="BG110" s="68"/>
      <c r="BI110" s="69">
        <v>0</v>
      </c>
      <c r="BJ110" s="70">
        <v>0</v>
      </c>
      <c r="BK110" s="71">
        <v>0</v>
      </c>
      <c r="BL110" s="71">
        <v>0</v>
      </c>
      <c r="BM110" s="71">
        <v>0</v>
      </c>
      <c r="BN110" s="72">
        <v>0</v>
      </c>
      <c r="BO110" s="73"/>
      <c r="BP110" s="73"/>
      <c r="BQ110" s="71">
        <v>0</v>
      </c>
      <c r="BR110" s="71">
        <v>0</v>
      </c>
      <c r="BS110" s="71">
        <v>0</v>
      </c>
      <c r="BT110" s="72">
        <v>0</v>
      </c>
      <c r="BU110" s="73"/>
      <c r="BV110" s="73"/>
    </row>
    <row r="111" ht="30" customHeight="1" spans="1:74">
      <c r="A111" s="55">
        <v>0</v>
      </c>
      <c r="B111" s="56">
        <v>0</v>
      </c>
      <c r="C111" s="57">
        <v>0</v>
      </c>
      <c r="D111" s="74"/>
      <c r="E111" s="74"/>
      <c r="F111" s="59" t="e">
        <f>VLOOKUP(E111,[1]库存!$B$1:$C$65536,2,FALSE)</f>
        <v>#N/A</v>
      </c>
      <c r="G111" s="59" t="e">
        <v>#N/A</v>
      </c>
      <c r="H111" s="74"/>
      <c r="I111" s="74"/>
      <c r="J111" s="87"/>
      <c r="K111" s="61"/>
      <c r="L111" s="62">
        <v>0</v>
      </c>
      <c r="M111" s="63">
        <v>0</v>
      </c>
      <c r="N111" s="64">
        <v>0</v>
      </c>
      <c r="O111" s="62">
        <v>0</v>
      </c>
      <c r="P111" s="65">
        <f t="shared" si="1"/>
        <v>0</v>
      </c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7"/>
      <c r="BF111" s="67"/>
      <c r="BG111" s="68"/>
      <c r="BI111" s="69">
        <v>0</v>
      </c>
      <c r="BJ111" s="70">
        <v>0</v>
      </c>
      <c r="BK111" s="71">
        <v>0</v>
      </c>
      <c r="BL111" s="71">
        <v>0</v>
      </c>
      <c r="BM111" s="71">
        <v>0</v>
      </c>
      <c r="BN111" s="72">
        <v>0</v>
      </c>
      <c r="BO111" s="73"/>
      <c r="BP111" s="73"/>
      <c r="BQ111" s="71">
        <v>0</v>
      </c>
      <c r="BR111" s="71">
        <v>0</v>
      </c>
      <c r="BS111" s="71">
        <v>0</v>
      </c>
      <c r="BT111" s="72">
        <v>0</v>
      </c>
      <c r="BU111" s="73"/>
      <c r="BV111" s="73"/>
    </row>
    <row r="112" ht="30" customHeight="1" spans="1:74">
      <c r="A112" s="55">
        <v>0</v>
      </c>
      <c r="B112" s="56">
        <v>0</v>
      </c>
      <c r="C112" s="57">
        <v>0</v>
      </c>
      <c r="E112" s="88"/>
      <c r="F112" s="59" t="e">
        <f>VLOOKUP(E112,[1]库存!$B$1:$C$65536,2,FALSE)</f>
        <v>#N/A</v>
      </c>
      <c r="G112" s="59" t="e">
        <v>#N/A</v>
      </c>
      <c r="H112" s="89"/>
      <c r="I112" s="88"/>
      <c r="J112" s="90"/>
      <c r="K112" s="61"/>
      <c r="L112" s="62">
        <v>0</v>
      </c>
      <c r="M112" s="63">
        <v>0</v>
      </c>
      <c r="N112" s="64">
        <v>0</v>
      </c>
      <c r="O112" s="62">
        <v>0</v>
      </c>
      <c r="P112" s="65">
        <f t="shared" si="1"/>
        <v>0</v>
      </c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7"/>
      <c r="BF112" s="67"/>
      <c r="BG112" s="68"/>
      <c r="BI112" s="69">
        <v>0</v>
      </c>
      <c r="BJ112" s="70">
        <v>0</v>
      </c>
      <c r="BK112" s="71">
        <v>0</v>
      </c>
      <c r="BL112" s="71">
        <v>0</v>
      </c>
      <c r="BM112" s="71">
        <v>0</v>
      </c>
      <c r="BN112" s="72">
        <v>0</v>
      </c>
      <c r="BO112" s="73"/>
      <c r="BP112" s="73"/>
      <c r="BQ112" s="71">
        <v>0</v>
      </c>
      <c r="BR112" s="71">
        <v>0</v>
      </c>
      <c r="BS112" s="71">
        <v>0</v>
      </c>
      <c r="BT112" s="72">
        <v>0</v>
      </c>
      <c r="BU112" s="73"/>
      <c r="BV112" s="73"/>
    </row>
    <row r="113" ht="30" customHeight="1" spans="1:74">
      <c r="A113" s="55" t="s">
        <v>165</v>
      </c>
      <c r="B113" s="56" t="s">
        <v>42</v>
      </c>
      <c r="C113" s="57" t="s">
        <v>43</v>
      </c>
      <c r="D113" s="91" t="s">
        <v>231</v>
      </c>
      <c r="E113" s="91" t="s">
        <v>232</v>
      </c>
      <c r="F113" s="91" t="str">
        <f>VLOOKUP(E113,[1]库存!$B$1:$C$65536,2,FALSE)</f>
        <v>GEELY E171 SAB A状态 LH</v>
      </c>
      <c r="G113" s="91" t="s">
        <v>233</v>
      </c>
      <c r="H113" s="91" t="s">
        <v>234</v>
      </c>
      <c r="I113" s="91" t="s">
        <v>235</v>
      </c>
      <c r="J113" s="63"/>
      <c r="K113" s="61"/>
      <c r="L113" s="62">
        <v>0</v>
      </c>
      <c r="M113" s="63">
        <v>1250</v>
      </c>
      <c r="N113" s="64">
        <v>11</v>
      </c>
      <c r="O113" s="62">
        <v>0</v>
      </c>
      <c r="P113" s="65">
        <f t="shared" si="1"/>
        <v>0</v>
      </c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7"/>
      <c r="BF113" s="67"/>
      <c r="BG113" s="68"/>
      <c r="BI113" s="69">
        <v>0</v>
      </c>
      <c r="BJ113" s="70">
        <v>0</v>
      </c>
      <c r="BK113" s="71">
        <v>0</v>
      </c>
      <c r="BL113" s="71">
        <v>0</v>
      </c>
      <c r="BM113" s="71">
        <v>0</v>
      </c>
      <c r="BN113" s="72">
        <v>0</v>
      </c>
      <c r="BO113" s="73"/>
      <c r="BP113" s="73"/>
      <c r="BQ113" s="71">
        <v>0</v>
      </c>
      <c r="BR113" s="71">
        <v>0</v>
      </c>
      <c r="BS113" s="71">
        <v>0</v>
      </c>
      <c r="BT113" s="72">
        <v>0</v>
      </c>
      <c r="BU113" s="73"/>
      <c r="BV113" s="73"/>
    </row>
    <row r="114" ht="30" customHeight="1" spans="1:74">
      <c r="A114" s="55">
        <v>0</v>
      </c>
      <c r="B114" s="56">
        <v>0</v>
      </c>
      <c r="C114" s="57">
        <v>0</v>
      </c>
      <c r="D114" s="92"/>
      <c r="E114" s="92"/>
      <c r="F114" s="91" t="e">
        <f>VLOOKUP(E114,[1]库存!$B$1:$C$65536,2,FALSE)</f>
        <v>#N/A</v>
      </c>
      <c r="G114" s="91" t="e">
        <v>#N/A</v>
      </c>
      <c r="H114" s="92"/>
      <c r="I114" s="92"/>
      <c r="J114" s="87"/>
      <c r="K114" s="61"/>
      <c r="L114" s="62">
        <v>0</v>
      </c>
      <c r="M114" s="63">
        <v>0</v>
      </c>
      <c r="N114" s="64">
        <v>0</v>
      </c>
      <c r="O114" s="62">
        <v>0</v>
      </c>
      <c r="P114" s="65">
        <f t="shared" si="1"/>
        <v>0</v>
      </c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7"/>
      <c r="BF114" s="67"/>
      <c r="BG114" s="68"/>
      <c r="BI114" s="69">
        <v>0</v>
      </c>
      <c r="BJ114" s="70">
        <v>0</v>
      </c>
      <c r="BK114" s="71">
        <v>0</v>
      </c>
      <c r="BL114" s="71">
        <v>0</v>
      </c>
      <c r="BM114" s="71">
        <v>0</v>
      </c>
      <c r="BN114" s="72">
        <v>0</v>
      </c>
      <c r="BO114" s="73"/>
      <c r="BP114" s="73"/>
      <c r="BQ114" s="71">
        <v>0</v>
      </c>
      <c r="BR114" s="71">
        <v>0</v>
      </c>
      <c r="BS114" s="71">
        <v>0</v>
      </c>
      <c r="BT114" s="72">
        <v>0</v>
      </c>
      <c r="BU114" s="73"/>
      <c r="BV114" s="73"/>
    </row>
    <row r="115" ht="30" customHeight="1" spans="1:74">
      <c r="A115" s="55" t="s">
        <v>165</v>
      </c>
      <c r="B115" s="56" t="s">
        <v>42</v>
      </c>
      <c r="C115" s="57" t="s">
        <v>43</v>
      </c>
      <c r="D115" s="91" t="s">
        <v>231</v>
      </c>
      <c r="E115" s="91" t="s">
        <v>236</v>
      </c>
      <c r="F115" s="91" t="str">
        <f>VLOOKUP(E115,[1]库存!$B$1:$C$65536,2,FALSE)</f>
        <v>GEELY E171 SAB A状态 RH</v>
      </c>
      <c r="G115" s="91" t="s">
        <v>237</v>
      </c>
      <c r="H115" s="91" t="s">
        <v>238</v>
      </c>
      <c r="I115" s="91" t="s">
        <v>235</v>
      </c>
      <c r="J115" s="63"/>
      <c r="K115" s="61"/>
      <c r="L115" s="62">
        <v>0</v>
      </c>
      <c r="M115" s="63">
        <v>1250</v>
      </c>
      <c r="N115" s="64">
        <v>11</v>
      </c>
      <c r="O115" s="62">
        <v>0</v>
      </c>
      <c r="P115" s="65">
        <f t="shared" si="1"/>
        <v>0</v>
      </c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7"/>
      <c r="BF115" s="67"/>
      <c r="BG115" s="68"/>
      <c r="BI115" s="69">
        <v>0</v>
      </c>
      <c r="BJ115" s="70">
        <v>0</v>
      </c>
      <c r="BK115" s="71">
        <v>0</v>
      </c>
      <c r="BL115" s="71">
        <v>0</v>
      </c>
      <c r="BM115" s="71">
        <v>0</v>
      </c>
      <c r="BN115" s="72">
        <v>0</v>
      </c>
      <c r="BO115" s="73"/>
      <c r="BP115" s="73"/>
      <c r="BQ115" s="71">
        <v>0</v>
      </c>
      <c r="BR115" s="71">
        <v>0</v>
      </c>
      <c r="BS115" s="71">
        <v>0</v>
      </c>
      <c r="BT115" s="72">
        <v>0</v>
      </c>
      <c r="BU115" s="73"/>
      <c r="BV115" s="73"/>
    </row>
    <row r="116" ht="30" customHeight="1" spans="1:74">
      <c r="A116" s="55">
        <v>0</v>
      </c>
      <c r="B116" s="56">
        <v>0</v>
      </c>
      <c r="C116" s="57">
        <v>0</v>
      </c>
      <c r="D116" s="92"/>
      <c r="E116" s="92"/>
      <c r="F116" s="91" t="e">
        <f>VLOOKUP(E116,[1]库存!$B$1:$C$65536,2,FALSE)</f>
        <v>#N/A</v>
      </c>
      <c r="G116" s="91" t="e">
        <v>#N/A</v>
      </c>
      <c r="H116" s="92"/>
      <c r="I116" s="92"/>
      <c r="J116" s="87"/>
      <c r="K116" s="61"/>
      <c r="L116" s="62">
        <v>0</v>
      </c>
      <c r="M116" s="63">
        <v>0</v>
      </c>
      <c r="N116" s="64">
        <v>0</v>
      </c>
      <c r="O116" s="62">
        <v>0</v>
      </c>
      <c r="P116" s="65">
        <f t="shared" si="1"/>
        <v>0</v>
      </c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7"/>
      <c r="BF116" s="67"/>
      <c r="BG116" s="68"/>
      <c r="BI116" s="69">
        <v>0</v>
      </c>
      <c r="BJ116" s="70">
        <v>0</v>
      </c>
      <c r="BK116" s="71">
        <v>0</v>
      </c>
      <c r="BL116" s="71">
        <v>0</v>
      </c>
      <c r="BM116" s="71">
        <v>0</v>
      </c>
      <c r="BN116" s="72">
        <v>0</v>
      </c>
      <c r="BO116" s="73"/>
      <c r="BP116" s="73"/>
      <c r="BQ116" s="71">
        <v>0</v>
      </c>
      <c r="BR116" s="71">
        <v>0</v>
      </c>
      <c r="BS116" s="71">
        <v>0</v>
      </c>
      <c r="BT116" s="72">
        <v>0</v>
      </c>
      <c r="BU116" s="73"/>
      <c r="BV116" s="73"/>
    </row>
    <row r="117" ht="30" customHeight="1" spans="1:74">
      <c r="A117" s="55" t="s">
        <v>165</v>
      </c>
      <c r="B117" s="56" t="s">
        <v>42</v>
      </c>
      <c r="C117" s="57" t="s">
        <v>43</v>
      </c>
      <c r="D117" s="59" t="s">
        <v>231</v>
      </c>
      <c r="E117" s="59" t="s">
        <v>239</v>
      </c>
      <c r="F117" s="59" t="str">
        <f>VLOOKUP(E117,[1]库存!$B$1:$C$65536,2,FALSE)</f>
        <v>GEELY XE08 FSAB LH</v>
      </c>
      <c r="G117" s="59" t="s">
        <v>240</v>
      </c>
      <c r="H117" s="59" t="s">
        <v>241</v>
      </c>
      <c r="I117" s="59" t="s">
        <v>242</v>
      </c>
      <c r="J117" s="97" t="s">
        <v>65</v>
      </c>
      <c r="K117" s="61"/>
      <c r="L117" s="62">
        <v>2</v>
      </c>
      <c r="M117" s="63">
        <v>800</v>
      </c>
      <c r="N117" s="64">
        <v>11</v>
      </c>
      <c r="O117" s="62">
        <v>2</v>
      </c>
      <c r="P117" s="65">
        <f t="shared" si="1"/>
        <v>0</v>
      </c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7"/>
      <c r="BF117" s="67"/>
      <c r="BG117" s="68"/>
      <c r="BI117" s="69">
        <v>0</v>
      </c>
      <c r="BJ117" s="70">
        <v>0</v>
      </c>
      <c r="BK117" s="71">
        <v>0</v>
      </c>
      <c r="BL117" s="71">
        <v>0</v>
      </c>
      <c r="BM117" s="71">
        <v>0</v>
      </c>
      <c r="BN117" s="72">
        <v>0</v>
      </c>
      <c r="BO117" s="73"/>
      <c r="BP117" s="73"/>
      <c r="BQ117" s="71">
        <v>0</v>
      </c>
      <c r="BR117" s="71">
        <v>0</v>
      </c>
      <c r="BS117" s="71">
        <v>0</v>
      </c>
      <c r="BT117" s="72">
        <v>0</v>
      </c>
      <c r="BU117" s="73"/>
      <c r="BV117" s="73"/>
    </row>
    <row r="118" ht="30" customHeight="1" spans="1:74">
      <c r="A118" s="55">
        <v>0</v>
      </c>
      <c r="B118" s="56">
        <v>0</v>
      </c>
      <c r="C118" s="57">
        <v>0</v>
      </c>
      <c r="D118" s="74"/>
      <c r="E118" s="74"/>
      <c r="F118" s="59" t="e">
        <f>VLOOKUP(E118,[1]库存!$B$1:$C$65536,2,FALSE)</f>
        <v>#N/A</v>
      </c>
      <c r="G118" s="59" t="e">
        <v>#N/A</v>
      </c>
      <c r="H118" s="74"/>
      <c r="I118" s="74"/>
      <c r="J118" s="98"/>
      <c r="K118" s="61"/>
      <c r="L118" s="62">
        <v>0</v>
      </c>
      <c r="M118" s="63">
        <v>0</v>
      </c>
      <c r="N118" s="64">
        <v>0</v>
      </c>
      <c r="O118" s="62">
        <v>0</v>
      </c>
      <c r="P118" s="65">
        <f t="shared" si="1"/>
        <v>0</v>
      </c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7"/>
      <c r="BF118" s="67"/>
      <c r="BG118" s="68"/>
      <c r="BI118" s="69">
        <v>0</v>
      </c>
      <c r="BJ118" s="70">
        <v>0</v>
      </c>
      <c r="BK118" s="71">
        <v>0</v>
      </c>
      <c r="BL118" s="71">
        <v>0</v>
      </c>
      <c r="BM118" s="71">
        <v>0</v>
      </c>
      <c r="BN118" s="72">
        <v>0</v>
      </c>
      <c r="BO118" s="73"/>
      <c r="BP118" s="73"/>
      <c r="BQ118" s="71">
        <v>0</v>
      </c>
      <c r="BR118" s="71">
        <v>0</v>
      </c>
      <c r="BS118" s="71">
        <v>0</v>
      </c>
      <c r="BT118" s="72">
        <v>0</v>
      </c>
      <c r="BU118" s="73"/>
      <c r="BV118" s="73"/>
    </row>
    <row r="119" ht="30" customHeight="1" spans="1:74">
      <c r="A119" s="55" t="s">
        <v>165</v>
      </c>
      <c r="B119" s="56" t="s">
        <v>42</v>
      </c>
      <c r="C119" s="57" t="s">
        <v>43</v>
      </c>
      <c r="D119" s="59" t="s">
        <v>231</v>
      </c>
      <c r="E119" s="59" t="s">
        <v>243</v>
      </c>
      <c r="F119" s="59" t="str">
        <f>VLOOKUP(E119,[1]库存!$B$1:$C$65536,2,FALSE)</f>
        <v>GEELY XE08 FSAB RH</v>
      </c>
      <c r="G119" s="59" t="s">
        <v>244</v>
      </c>
      <c r="H119" s="59" t="s">
        <v>245</v>
      </c>
      <c r="I119" s="59" t="s">
        <v>242</v>
      </c>
      <c r="J119" s="97" t="s">
        <v>65</v>
      </c>
      <c r="K119" s="61"/>
      <c r="L119" s="62">
        <v>2</v>
      </c>
      <c r="M119" s="63">
        <v>800</v>
      </c>
      <c r="N119" s="64">
        <v>11</v>
      </c>
      <c r="O119" s="62">
        <v>2</v>
      </c>
      <c r="P119" s="65">
        <f t="shared" si="1"/>
        <v>0</v>
      </c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7"/>
      <c r="BF119" s="67"/>
      <c r="BG119" s="68"/>
      <c r="BI119" s="69">
        <v>0</v>
      </c>
      <c r="BJ119" s="70">
        <v>0</v>
      </c>
      <c r="BK119" s="71">
        <v>0</v>
      </c>
      <c r="BL119" s="71">
        <v>0</v>
      </c>
      <c r="BM119" s="71">
        <v>0</v>
      </c>
      <c r="BN119" s="72">
        <v>0</v>
      </c>
      <c r="BO119" s="73"/>
      <c r="BP119" s="73"/>
      <c r="BQ119" s="71">
        <v>0</v>
      </c>
      <c r="BR119" s="71">
        <v>0</v>
      </c>
      <c r="BS119" s="71">
        <v>0</v>
      </c>
      <c r="BT119" s="72">
        <v>0</v>
      </c>
      <c r="BU119" s="73"/>
      <c r="BV119" s="73"/>
    </row>
    <row r="120" ht="30" customHeight="1" spans="1:74">
      <c r="A120" s="55">
        <v>0</v>
      </c>
      <c r="B120" s="56">
        <v>0</v>
      </c>
      <c r="C120" s="57">
        <v>0</v>
      </c>
      <c r="D120" s="74"/>
      <c r="E120" s="74"/>
      <c r="F120" s="59" t="e">
        <f>VLOOKUP(E120,[1]库存!$B$1:$C$65536,2,FALSE)</f>
        <v>#N/A</v>
      </c>
      <c r="G120" s="59" t="e">
        <v>#N/A</v>
      </c>
      <c r="H120" s="99"/>
      <c r="I120" s="74"/>
      <c r="J120" s="98"/>
      <c r="K120" s="61"/>
      <c r="L120" s="62">
        <v>0</v>
      </c>
      <c r="M120" s="63">
        <v>0</v>
      </c>
      <c r="N120" s="64">
        <v>0</v>
      </c>
      <c r="O120" s="62">
        <v>0</v>
      </c>
      <c r="P120" s="65">
        <f t="shared" si="1"/>
        <v>0</v>
      </c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7"/>
      <c r="BF120" s="67"/>
      <c r="BG120" s="68"/>
      <c r="BI120" s="69">
        <v>0</v>
      </c>
      <c r="BJ120" s="70">
        <v>0</v>
      </c>
      <c r="BK120" s="71">
        <v>0</v>
      </c>
      <c r="BL120" s="71">
        <v>0</v>
      </c>
      <c r="BM120" s="71">
        <v>0</v>
      </c>
      <c r="BN120" s="72">
        <v>0</v>
      </c>
      <c r="BO120" s="73"/>
      <c r="BP120" s="73"/>
      <c r="BQ120" s="71">
        <v>0</v>
      </c>
      <c r="BR120" s="71">
        <v>0</v>
      </c>
      <c r="BS120" s="71">
        <v>0</v>
      </c>
      <c r="BT120" s="72">
        <v>0</v>
      </c>
      <c r="BU120" s="73"/>
      <c r="BV120" s="73"/>
    </row>
    <row r="121" ht="30" customHeight="1" spans="1:74">
      <c r="A121" s="55" t="s">
        <v>246</v>
      </c>
      <c r="B121" s="56" t="s">
        <v>42</v>
      </c>
      <c r="C121" s="57" t="s">
        <v>43</v>
      </c>
      <c r="D121" s="59" t="s">
        <v>231</v>
      </c>
      <c r="E121" s="59" t="s">
        <v>247</v>
      </c>
      <c r="F121" s="59" t="str">
        <f>VLOOKUP(E121,[1]库存!$B$1:$C$65536,2,FALSE)</f>
        <v>BAIC C71KB FSAB LH</v>
      </c>
      <c r="G121" s="59" t="s">
        <v>248</v>
      </c>
      <c r="H121" s="59" t="s">
        <v>249</v>
      </c>
      <c r="I121" s="59" t="s">
        <v>250</v>
      </c>
      <c r="J121" s="100" t="s">
        <v>251</v>
      </c>
      <c r="K121" s="61"/>
      <c r="L121" s="62">
        <v>2</v>
      </c>
      <c r="M121" s="63">
        <v>1000</v>
      </c>
      <c r="N121" s="64">
        <v>10</v>
      </c>
      <c r="O121" s="62">
        <v>2</v>
      </c>
      <c r="P121" s="65">
        <f t="shared" si="1"/>
        <v>0</v>
      </c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7"/>
      <c r="BF121" s="67"/>
      <c r="BG121" s="68"/>
      <c r="BI121" s="69">
        <v>0</v>
      </c>
      <c r="BJ121" s="70">
        <v>0</v>
      </c>
      <c r="BK121" s="71">
        <v>0</v>
      </c>
      <c r="BL121" s="71">
        <v>0</v>
      </c>
      <c r="BM121" s="71">
        <v>0</v>
      </c>
      <c r="BN121" s="72">
        <v>0</v>
      </c>
      <c r="BO121" s="73"/>
      <c r="BP121" s="73"/>
      <c r="BQ121" s="71">
        <v>0</v>
      </c>
      <c r="BR121" s="71">
        <v>0</v>
      </c>
      <c r="BS121" s="71">
        <v>0</v>
      </c>
      <c r="BT121" s="72">
        <v>0</v>
      </c>
      <c r="BU121" s="73"/>
      <c r="BV121" s="73"/>
    </row>
    <row r="122" ht="30" customHeight="1" spans="1:74">
      <c r="A122" s="55">
        <v>0</v>
      </c>
      <c r="B122" s="56">
        <v>0</v>
      </c>
      <c r="C122" s="57">
        <v>0</v>
      </c>
      <c r="D122" s="74"/>
      <c r="E122" s="74"/>
      <c r="F122" s="59" t="e">
        <f>VLOOKUP(E122,[1]库存!$B$1:$C$65536,2,FALSE)</f>
        <v>#N/A</v>
      </c>
      <c r="G122" s="59" t="e">
        <v>#N/A</v>
      </c>
      <c r="H122" s="74"/>
      <c r="I122" s="74"/>
      <c r="J122" s="101"/>
      <c r="K122" s="61"/>
      <c r="L122" s="62">
        <v>0</v>
      </c>
      <c r="M122" s="63">
        <v>0</v>
      </c>
      <c r="N122" s="64">
        <v>0</v>
      </c>
      <c r="O122" s="62">
        <v>0</v>
      </c>
      <c r="P122" s="65">
        <f t="shared" si="1"/>
        <v>0</v>
      </c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7"/>
      <c r="BF122" s="67"/>
      <c r="BG122" s="68"/>
      <c r="BI122" s="69">
        <v>0</v>
      </c>
      <c r="BJ122" s="70">
        <v>0</v>
      </c>
      <c r="BK122" s="71">
        <v>0</v>
      </c>
      <c r="BL122" s="71">
        <v>0</v>
      </c>
      <c r="BM122" s="71">
        <v>0</v>
      </c>
      <c r="BN122" s="72">
        <v>0</v>
      </c>
      <c r="BO122" s="73"/>
      <c r="BP122" s="73"/>
      <c r="BQ122" s="71">
        <v>0</v>
      </c>
      <c r="BR122" s="71">
        <v>0</v>
      </c>
      <c r="BS122" s="71">
        <v>0</v>
      </c>
      <c r="BT122" s="72">
        <v>0</v>
      </c>
      <c r="BU122" s="73"/>
      <c r="BV122" s="73"/>
    </row>
    <row r="123" ht="30" customHeight="1" spans="1:74">
      <c r="A123" s="55" t="s">
        <v>246</v>
      </c>
      <c r="B123" s="56" t="s">
        <v>42</v>
      </c>
      <c r="C123" s="57" t="s">
        <v>43</v>
      </c>
      <c r="D123" s="59" t="s">
        <v>231</v>
      </c>
      <c r="E123" s="59" t="s">
        <v>252</v>
      </c>
      <c r="F123" s="59" t="str">
        <f>VLOOKUP(E123,[1]库存!$B$1:$C$65536,2,FALSE)</f>
        <v>BAIC C71KB FSAB RH</v>
      </c>
      <c r="G123" s="59" t="s">
        <v>253</v>
      </c>
      <c r="H123" s="59" t="s">
        <v>254</v>
      </c>
      <c r="I123" s="59" t="s">
        <v>250</v>
      </c>
      <c r="J123" s="101"/>
      <c r="K123" s="61"/>
      <c r="L123" s="62">
        <v>2</v>
      </c>
      <c r="M123" s="63">
        <v>1000</v>
      </c>
      <c r="N123" s="64">
        <v>6</v>
      </c>
      <c r="O123" s="62">
        <v>2</v>
      </c>
      <c r="P123" s="65">
        <f t="shared" si="1"/>
        <v>0</v>
      </c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7"/>
      <c r="BF123" s="67"/>
      <c r="BG123" s="68"/>
      <c r="BI123" s="69">
        <v>0</v>
      </c>
      <c r="BJ123" s="70">
        <v>0</v>
      </c>
      <c r="BK123" s="71">
        <v>0</v>
      </c>
      <c r="BL123" s="71">
        <v>0</v>
      </c>
      <c r="BM123" s="71">
        <v>0</v>
      </c>
      <c r="BN123" s="72">
        <v>0</v>
      </c>
      <c r="BO123" s="73"/>
      <c r="BP123" s="73"/>
      <c r="BQ123" s="71">
        <v>0</v>
      </c>
      <c r="BR123" s="71">
        <v>0</v>
      </c>
      <c r="BS123" s="71">
        <v>0</v>
      </c>
      <c r="BT123" s="72">
        <v>0</v>
      </c>
      <c r="BU123" s="73"/>
      <c r="BV123" s="73"/>
    </row>
    <row r="124" ht="30" customHeight="1" spans="1:74">
      <c r="A124" s="55">
        <v>0</v>
      </c>
      <c r="B124" s="56">
        <v>0</v>
      </c>
      <c r="C124" s="57">
        <v>0</v>
      </c>
      <c r="D124" s="74"/>
      <c r="E124" s="74"/>
      <c r="F124" s="59" t="e">
        <f>VLOOKUP(E124,[1]库存!$B$1:$C$65536,2,FALSE)</f>
        <v>#N/A</v>
      </c>
      <c r="G124" s="59" t="e">
        <v>#N/A</v>
      </c>
      <c r="H124" s="99"/>
      <c r="I124" s="74"/>
      <c r="J124" s="101"/>
      <c r="K124" s="61"/>
      <c r="L124" s="62">
        <v>0</v>
      </c>
      <c r="M124" s="63">
        <v>0</v>
      </c>
      <c r="N124" s="64">
        <v>0</v>
      </c>
      <c r="O124" s="62">
        <v>0</v>
      </c>
      <c r="P124" s="65">
        <f t="shared" si="1"/>
        <v>0</v>
      </c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7"/>
      <c r="BF124" s="67"/>
      <c r="BG124" s="68"/>
      <c r="BI124" s="69">
        <v>0</v>
      </c>
      <c r="BJ124" s="70">
        <v>0</v>
      </c>
      <c r="BK124" s="71">
        <v>0</v>
      </c>
      <c r="BL124" s="71">
        <v>0</v>
      </c>
      <c r="BM124" s="71">
        <v>0</v>
      </c>
      <c r="BN124" s="72">
        <v>0</v>
      </c>
      <c r="BO124" s="73"/>
      <c r="BP124" s="73"/>
      <c r="BQ124" s="71">
        <v>0</v>
      </c>
      <c r="BR124" s="71">
        <v>0</v>
      </c>
      <c r="BS124" s="71">
        <v>0</v>
      </c>
      <c r="BT124" s="72">
        <v>0</v>
      </c>
      <c r="BU124" s="73"/>
      <c r="BV124" s="73"/>
    </row>
    <row r="125" ht="30" customHeight="1" spans="1:74">
      <c r="A125" s="55">
        <v>0</v>
      </c>
      <c r="B125" s="56" t="s">
        <v>42</v>
      </c>
      <c r="C125" s="57" t="s">
        <v>43</v>
      </c>
      <c r="D125" s="59" t="s">
        <v>231</v>
      </c>
      <c r="E125" s="59" t="s">
        <v>255</v>
      </c>
      <c r="F125" s="59" t="e">
        <f>VLOOKUP(E125,[1]库存!$B$1:$C$65536,2,FALSE)</f>
        <v>#N/A</v>
      </c>
      <c r="G125" s="59" t="e">
        <v>#N/A</v>
      </c>
      <c r="H125" s="59" t="s">
        <v>256</v>
      </c>
      <c r="I125" s="59" t="s">
        <v>210</v>
      </c>
      <c r="J125" s="63"/>
      <c r="K125" s="61"/>
      <c r="L125" s="62">
        <v>2</v>
      </c>
      <c r="M125" s="63">
        <v>1200</v>
      </c>
      <c r="N125" s="64">
        <v>10</v>
      </c>
      <c r="O125" s="62">
        <v>2</v>
      </c>
      <c r="P125" s="65">
        <f t="shared" si="1"/>
        <v>0</v>
      </c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7"/>
      <c r="BF125" s="67"/>
      <c r="BG125" s="68"/>
      <c r="BI125" s="69">
        <v>0</v>
      </c>
      <c r="BJ125" s="70">
        <v>0</v>
      </c>
      <c r="BK125" s="71">
        <v>0</v>
      </c>
      <c r="BL125" s="71">
        <v>0</v>
      </c>
      <c r="BM125" s="71">
        <v>0</v>
      </c>
      <c r="BN125" s="72">
        <v>0</v>
      </c>
      <c r="BO125" s="73"/>
      <c r="BP125" s="73"/>
      <c r="BQ125" s="71">
        <v>0</v>
      </c>
      <c r="BR125" s="71">
        <v>0</v>
      </c>
      <c r="BS125" s="71">
        <v>0</v>
      </c>
      <c r="BT125" s="72">
        <v>0</v>
      </c>
      <c r="BU125" s="73"/>
      <c r="BV125" s="73"/>
    </row>
    <row r="126" ht="30" customHeight="1" spans="1:74">
      <c r="A126" s="55">
        <v>0</v>
      </c>
      <c r="B126" s="56">
        <v>0</v>
      </c>
      <c r="C126" s="57">
        <v>0</v>
      </c>
      <c r="D126" s="74"/>
      <c r="E126" s="74"/>
      <c r="F126" s="59" t="e">
        <f>VLOOKUP(E126,[1]库存!$B$1:$C$65536,2,FALSE)</f>
        <v>#N/A</v>
      </c>
      <c r="G126" s="59" t="e">
        <v>#N/A</v>
      </c>
      <c r="H126" s="74"/>
      <c r="I126" s="74"/>
      <c r="J126" s="87"/>
      <c r="K126" s="61"/>
      <c r="L126" s="62">
        <v>0</v>
      </c>
      <c r="M126" s="63">
        <v>0</v>
      </c>
      <c r="N126" s="64">
        <v>0</v>
      </c>
      <c r="O126" s="62">
        <v>0</v>
      </c>
      <c r="P126" s="65">
        <f t="shared" si="1"/>
        <v>0</v>
      </c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7"/>
      <c r="BF126" s="67"/>
      <c r="BG126" s="68"/>
      <c r="BI126" s="69">
        <v>0</v>
      </c>
      <c r="BJ126" s="70">
        <v>0</v>
      </c>
      <c r="BK126" s="71">
        <v>0</v>
      </c>
      <c r="BL126" s="71">
        <v>0</v>
      </c>
      <c r="BM126" s="71">
        <v>0</v>
      </c>
      <c r="BN126" s="72">
        <v>0</v>
      </c>
      <c r="BO126" s="73"/>
      <c r="BP126" s="73"/>
      <c r="BQ126" s="71">
        <v>0</v>
      </c>
      <c r="BR126" s="71">
        <v>0</v>
      </c>
      <c r="BS126" s="71">
        <v>0</v>
      </c>
      <c r="BT126" s="72">
        <v>0</v>
      </c>
      <c r="BU126" s="73"/>
      <c r="BV126" s="73"/>
    </row>
    <row r="127" ht="30" customHeight="1" spans="1:74">
      <c r="A127" s="55">
        <v>0</v>
      </c>
      <c r="B127" s="56" t="s">
        <v>42</v>
      </c>
      <c r="C127" s="57" t="s">
        <v>43</v>
      </c>
      <c r="D127" s="59" t="s">
        <v>231</v>
      </c>
      <c r="E127" s="59" t="s">
        <v>257</v>
      </c>
      <c r="F127" s="59" t="e">
        <f>VLOOKUP(E127,[1]库存!$B$1:$C$65536,2,FALSE)</f>
        <v>#N/A</v>
      </c>
      <c r="G127" s="59" t="e">
        <v>#N/A</v>
      </c>
      <c r="H127" s="59" t="s">
        <v>258</v>
      </c>
      <c r="I127" s="59" t="s">
        <v>259</v>
      </c>
      <c r="J127" s="63"/>
      <c r="K127" s="61"/>
      <c r="L127" s="62">
        <v>2</v>
      </c>
      <c r="M127" s="63">
        <v>1200</v>
      </c>
      <c r="N127" s="64">
        <v>6</v>
      </c>
      <c r="O127" s="62">
        <v>2</v>
      </c>
      <c r="P127" s="65">
        <f t="shared" si="1"/>
        <v>0</v>
      </c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7"/>
      <c r="BF127" s="67"/>
      <c r="BG127" s="68"/>
      <c r="BI127" s="69">
        <v>0</v>
      </c>
      <c r="BJ127" s="70">
        <v>0</v>
      </c>
      <c r="BK127" s="71">
        <v>0</v>
      </c>
      <c r="BL127" s="71">
        <v>0</v>
      </c>
      <c r="BM127" s="71">
        <v>0</v>
      </c>
      <c r="BN127" s="72">
        <v>0</v>
      </c>
      <c r="BO127" s="73"/>
      <c r="BP127" s="73"/>
      <c r="BQ127" s="71">
        <v>0</v>
      </c>
      <c r="BR127" s="71">
        <v>0</v>
      </c>
      <c r="BS127" s="71">
        <v>0</v>
      </c>
      <c r="BT127" s="72">
        <v>0</v>
      </c>
      <c r="BU127" s="73"/>
      <c r="BV127" s="73"/>
    </row>
    <row r="128" ht="30" customHeight="1" spans="1:74">
      <c r="A128" s="55">
        <v>0</v>
      </c>
      <c r="B128" s="56">
        <v>0</v>
      </c>
      <c r="C128" s="57">
        <v>0</v>
      </c>
      <c r="D128" s="74"/>
      <c r="E128" s="74"/>
      <c r="F128" s="59" t="e">
        <f>VLOOKUP(E128,[1]库存!$B$1:$C$65536,2,FALSE)</f>
        <v>#N/A</v>
      </c>
      <c r="G128" s="59" t="e">
        <v>#N/A</v>
      </c>
      <c r="H128" s="99"/>
      <c r="I128" s="74"/>
      <c r="J128" s="87"/>
      <c r="K128" s="61"/>
      <c r="L128" s="62">
        <v>0</v>
      </c>
      <c r="M128" s="63">
        <v>0</v>
      </c>
      <c r="N128" s="64">
        <v>0</v>
      </c>
      <c r="O128" s="62">
        <v>0</v>
      </c>
      <c r="P128" s="65">
        <f t="shared" si="1"/>
        <v>0</v>
      </c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7"/>
      <c r="BF128" s="67"/>
      <c r="BG128" s="68"/>
      <c r="BI128" s="69">
        <v>0</v>
      </c>
      <c r="BJ128" s="70">
        <v>0</v>
      </c>
      <c r="BK128" s="71">
        <v>0</v>
      </c>
      <c r="BL128" s="71">
        <v>0</v>
      </c>
      <c r="BM128" s="71">
        <v>0</v>
      </c>
      <c r="BN128" s="72">
        <v>0</v>
      </c>
      <c r="BO128" s="73"/>
      <c r="BP128" s="73"/>
      <c r="BQ128" s="71">
        <v>0</v>
      </c>
      <c r="BR128" s="71">
        <v>0</v>
      </c>
      <c r="BS128" s="71">
        <v>0</v>
      </c>
      <c r="BT128" s="72">
        <v>0</v>
      </c>
      <c r="BU128" s="73"/>
      <c r="BV128" s="73"/>
    </row>
    <row r="129" ht="30" customHeight="1" spans="1:74">
      <c r="A129" s="55">
        <v>0</v>
      </c>
      <c r="B129" s="56">
        <v>0</v>
      </c>
      <c r="C129" s="57">
        <v>0</v>
      </c>
      <c r="E129" s="88"/>
      <c r="F129" s="59" t="e">
        <f>VLOOKUP(E129,[1]库存!$B$1:$C$65536,2,FALSE)</f>
        <v>#N/A</v>
      </c>
      <c r="G129" s="59" t="e">
        <v>#N/A</v>
      </c>
      <c r="H129" s="89"/>
      <c r="I129" s="88"/>
      <c r="J129" s="90"/>
      <c r="K129" s="61"/>
      <c r="L129" s="62">
        <v>0</v>
      </c>
      <c r="M129" s="63">
        <v>0</v>
      </c>
      <c r="N129" s="64">
        <v>0</v>
      </c>
      <c r="O129" s="62">
        <v>0</v>
      </c>
      <c r="P129" s="65">
        <f t="shared" si="1"/>
        <v>0</v>
      </c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7"/>
      <c r="BF129" s="67"/>
      <c r="BG129" s="68"/>
      <c r="BI129" s="69">
        <v>0</v>
      </c>
      <c r="BJ129" s="70">
        <v>0</v>
      </c>
      <c r="BK129" s="71">
        <v>0</v>
      </c>
      <c r="BL129" s="71">
        <v>0</v>
      </c>
      <c r="BM129" s="71">
        <v>0</v>
      </c>
      <c r="BN129" s="72">
        <v>0</v>
      </c>
      <c r="BO129" s="73"/>
      <c r="BP129" s="73"/>
      <c r="BQ129" s="71">
        <v>0</v>
      </c>
      <c r="BR129" s="71">
        <v>0</v>
      </c>
      <c r="BS129" s="71">
        <v>0</v>
      </c>
      <c r="BT129" s="72">
        <v>0</v>
      </c>
      <c r="BU129" s="73"/>
      <c r="BV129" s="73"/>
    </row>
    <row r="130" ht="30" customHeight="1" spans="1:74">
      <c r="A130" s="55" t="s">
        <v>246</v>
      </c>
      <c r="B130" s="56" t="s">
        <v>42</v>
      </c>
      <c r="C130" s="57" t="s">
        <v>43</v>
      </c>
      <c r="D130" s="91" t="s">
        <v>260</v>
      </c>
      <c r="E130" s="91" t="s">
        <v>261</v>
      </c>
      <c r="F130" s="91" t="str">
        <f>VLOOKUP(E130,[1]库存!$B$1:$C$65536,2,FALSE)</f>
        <v>MX11 FSAB LH C状态</v>
      </c>
      <c r="G130" s="91" t="s">
        <v>262</v>
      </c>
      <c r="H130" s="91" t="s">
        <v>263</v>
      </c>
      <c r="I130" s="91" t="s">
        <v>170</v>
      </c>
      <c r="J130" s="102" t="s">
        <v>264</v>
      </c>
      <c r="K130" s="61"/>
      <c r="L130" s="62">
        <v>2</v>
      </c>
      <c r="M130" s="63">
        <v>1200</v>
      </c>
      <c r="N130" s="64">
        <v>14</v>
      </c>
      <c r="O130" s="62">
        <v>2</v>
      </c>
      <c r="P130" s="65">
        <f t="shared" si="1"/>
        <v>0</v>
      </c>
      <c r="Q130" s="103">
        <v>1600</v>
      </c>
      <c r="R130" s="103"/>
      <c r="S130" s="104">
        <v>1700</v>
      </c>
      <c r="T130" s="103"/>
      <c r="U130" s="104">
        <v>0</v>
      </c>
      <c r="V130" s="103"/>
      <c r="W130" s="104">
        <v>0</v>
      </c>
      <c r="X130" s="103"/>
      <c r="Y130" s="104">
        <v>0</v>
      </c>
      <c r="Z130" s="103"/>
      <c r="AA130" s="104">
        <v>0</v>
      </c>
      <c r="AB130" s="103"/>
      <c r="AC130" s="104">
        <v>1200</v>
      </c>
      <c r="AD130" s="103"/>
      <c r="AE130" s="104"/>
      <c r="AF130" s="103"/>
      <c r="AG130" s="104"/>
      <c r="AH130" s="103"/>
      <c r="AI130" s="104"/>
      <c r="AJ130" s="103"/>
      <c r="AK130" s="104"/>
      <c r="AL130" s="103"/>
      <c r="AM130" s="104"/>
      <c r="AN130" s="103"/>
      <c r="AO130" s="103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4"/>
      <c r="AZ130" s="103"/>
      <c r="BA130" s="104"/>
      <c r="BB130" s="103"/>
      <c r="BC130" s="103"/>
      <c r="BD130" s="103"/>
      <c r="BE130" s="105"/>
      <c r="BF130" s="67"/>
      <c r="BG130" s="68"/>
      <c r="BI130" s="69">
        <v>0</v>
      </c>
      <c r="BJ130" s="70">
        <v>0</v>
      </c>
      <c r="BK130" s="71">
        <v>0</v>
      </c>
      <c r="BL130" s="71">
        <v>0</v>
      </c>
      <c r="BM130" s="71">
        <v>0</v>
      </c>
      <c r="BN130" s="72">
        <v>0</v>
      </c>
      <c r="BO130" s="73"/>
      <c r="BP130" s="73"/>
      <c r="BQ130" s="71">
        <v>0</v>
      </c>
      <c r="BR130" s="71">
        <v>0</v>
      </c>
      <c r="BS130" s="71">
        <v>0</v>
      </c>
      <c r="BT130" s="72">
        <v>0</v>
      </c>
      <c r="BU130" s="73"/>
      <c r="BV130" s="73"/>
    </row>
    <row r="131" ht="30" customHeight="1" spans="1:74">
      <c r="A131" s="55">
        <v>0</v>
      </c>
      <c r="B131" s="56">
        <v>0</v>
      </c>
      <c r="C131" s="57">
        <v>0</v>
      </c>
      <c r="D131" s="92"/>
      <c r="E131" s="92"/>
      <c r="F131" s="91" t="e">
        <f>VLOOKUP(E131,[1]库存!$B$1:$C$65536,2,FALSE)</f>
        <v>#N/A</v>
      </c>
      <c r="G131" s="91" t="e">
        <v>#N/A</v>
      </c>
      <c r="H131" s="92"/>
      <c r="I131" s="92"/>
      <c r="J131" s="102"/>
      <c r="K131" s="61"/>
      <c r="L131" s="62">
        <v>0</v>
      </c>
      <c r="M131" s="63">
        <v>0</v>
      </c>
      <c r="N131" s="64">
        <v>0</v>
      </c>
      <c r="O131" s="62">
        <v>0</v>
      </c>
      <c r="P131" s="65">
        <f t="shared" si="1"/>
        <v>0</v>
      </c>
      <c r="Q131" s="103">
        <v>1348</v>
      </c>
      <c r="R131" s="66"/>
      <c r="S131" s="103">
        <v>1837</v>
      </c>
      <c r="T131" s="66"/>
      <c r="U131" s="103"/>
      <c r="V131" s="66"/>
      <c r="W131" s="103"/>
      <c r="X131" s="66"/>
      <c r="Y131" s="103"/>
      <c r="Z131" s="66"/>
      <c r="AA131" s="103"/>
      <c r="AB131" s="66"/>
      <c r="AC131" s="103" t="s">
        <v>265</v>
      </c>
      <c r="AD131" s="66"/>
      <c r="AE131" s="103"/>
      <c r="AF131" s="66"/>
      <c r="AG131" s="103"/>
      <c r="AH131" s="66"/>
      <c r="AI131" s="103"/>
      <c r="AJ131" s="66"/>
      <c r="AK131" s="103"/>
      <c r="AL131" s="66"/>
      <c r="AM131" s="103"/>
      <c r="AN131" s="66"/>
      <c r="AO131" s="103"/>
      <c r="AP131" s="66"/>
      <c r="AQ131" s="103"/>
      <c r="AR131" s="66"/>
      <c r="AS131" s="103"/>
      <c r="AT131" s="66"/>
      <c r="AU131" s="103"/>
      <c r="AV131" s="66"/>
      <c r="AW131" s="103"/>
      <c r="AX131" s="66"/>
      <c r="AY131" s="103"/>
      <c r="AZ131" s="66"/>
      <c r="BA131" s="103"/>
      <c r="BB131" s="66"/>
      <c r="BC131" s="103"/>
      <c r="BD131" s="66"/>
      <c r="BE131" s="105"/>
      <c r="BF131" s="67"/>
      <c r="BG131" s="68"/>
      <c r="BI131" s="69">
        <v>0</v>
      </c>
      <c r="BJ131" s="70">
        <v>0</v>
      </c>
      <c r="BK131" s="71">
        <v>0</v>
      </c>
      <c r="BL131" s="71">
        <v>0</v>
      </c>
      <c r="BM131" s="71">
        <v>0</v>
      </c>
      <c r="BN131" s="72">
        <v>0</v>
      </c>
      <c r="BO131" s="73"/>
      <c r="BP131" s="73"/>
      <c r="BQ131" s="71">
        <v>0</v>
      </c>
      <c r="BR131" s="71">
        <v>0</v>
      </c>
      <c r="BS131" s="71">
        <v>0</v>
      </c>
      <c r="BT131" s="72">
        <v>0</v>
      </c>
      <c r="BU131" s="73"/>
      <c r="BV131" s="73"/>
    </row>
    <row r="132" ht="30" customHeight="1" spans="1:74">
      <c r="A132" s="55" t="s">
        <v>246</v>
      </c>
      <c r="B132" s="56" t="s">
        <v>42</v>
      </c>
      <c r="C132" s="57" t="s">
        <v>43</v>
      </c>
      <c r="D132" s="59" t="s">
        <v>260</v>
      </c>
      <c r="E132" s="59" t="s">
        <v>266</v>
      </c>
      <c r="F132" s="59" t="str">
        <f>VLOOKUP(E132,[1]库存!$B$1:$C$65536,2,FALSE)</f>
        <v>MX11 FSAB RH C状态</v>
      </c>
      <c r="G132" s="59" t="s">
        <v>267</v>
      </c>
      <c r="H132" s="59" t="s">
        <v>268</v>
      </c>
      <c r="I132" s="59" t="s">
        <v>170</v>
      </c>
      <c r="J132" s="59" t="s">
        <v>266</v>
      </c>
      <c r="K132" s="61"/>
      <c r="L132" s="62">
        <v>2</v>
      </c>
      <c r="M132" s="63">
        <v>1200</v>
      </c>
      <c r="N132" s="64">
        <v>14</v>
      </c>
      <c r="O132" s="62">
        <v>2</v>
      </c>
      <c r="P132" s="65">
        <f t="shared" si="1"/>
        <v>0</v>
      </c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4"/>
      <c r="AB132" s="103"/>
      <c r="AC132" s="104"/>
      <c r="AD132" s="103"/>
      <c r="AE132" s="104"/>
      <c r="AF132" s="103"/>
      <c r="AG132" s="104"/>
      <c r="AH132" s="103"/>
      <c r="AI132" s="104"/>
      <c r="AJ132" s="103"/>
      <c r="AK132" s="104"/>
      <c r="AL132" s="103"/>
      <c r="AM132" s="104"/>
      <c r="AN132" s="103"/>
      <c r="AO132" s="104"/>
      <c r="AP132" s="103"/>
      <c r="AQ132" s="104"/>
      <c r="AR132" s="103"/>
      <c r="AS132" s="104"/>
      <c r="AT132" s="103"/>
      <c r="AU132" s="104"/>
      <c r="AV132" s="103"/>
      <c r="AW132" s="104"/>
      <c r="AX132" s="103"/>
      <c r="AY132" s="104"/>
      <c r="AZ132" s="103"/>
      <c r="BA132" s="104"/>
      <c r="BB132" s="103"/>
      <c r="BC132" s="104"/>
      <c r="BD132" s="103"/>
      <c r="BE132" s="105"/>
      <c r="BF132" s="67"/>
      <c r="BG132" s="68"/>
      <c r="BI132" s="69">
        <v>0</v>
      </c>
      <c r="BJ132" s="70">
        <v>0</v>
      </c>
      <c r="BK132" s="71">
        <v>0</v>
      </c>
      <c r="BL132" s="71">
        <v>0</v>
      </c>
      <c r="BM132" s="71">
        <v>0</v>
      </c>
      <c r="BN132" s="72">
        <v>0</v>
      </c>
      <c r="BO132" s="73"/>
      <c r="BP132" s="73"/>
      <c r="BQ132" s="71">
        <v>0</v>
      </c>
      <c r="BR132" s="71">
        <v>0</v>
      </c>
      <c r="BS132" s="71">
        <v>0</v>
      </c>
      <c r="BT132" s="72">
        <v>0</v>
      </c>
      <c r="BU132" s="73"/>
      <c r="BV132" s="73"/>
    </row>
    <row r="133" ht="30" customHeight="1" spans="1:74">
      <c r="A133" s="55">
        <v>0</v>
      </c>
      <c r="B133" s="56">
        <v>0</v>
      </c>
      <c r="C133" s="57">
        <v>0</v>
      </c>
      <c r="D133" s="74"/>
      <c r="E133" s="74"/>
      <c r="F133" s="59" t="e">
        <f>VLOOKUP(E133,[1]库存!$B$1:$C$65536,2,FALSE)</f>
        <v>#N/A</v>
      </c>
      <c r="G133" s="59" t="e">
        <v>#N/A</v>
      </c>
      <c r="H133" s="74"/>
      <c r="I133" s="74"/>
      <c r="J133" s="74"/>
      <c r="K133" s="61"/>
      <c r="L133" s="62">
        <v>0</v>
      </c>
      <c r="M133" s="63">
        <v>0</v>
      </c>
      <c r="N133" s="64">
        <v>0</v>
      </c>
      <c r="O133" s="62">
        <v>0</v>
      </c>
      <c r="P133" s="65">
        <f t="shared" si="1"/>
        <v>0</v>
      </c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7"/>
      <c r="BF133" s="67"/>
      <c r="BG133" s="68"/>
      <c r="BI133" s="69">
        <v>0</v>
      </c>
      <c r="BJ133" s="70">
        <v>0</v>
      </c>
      <c r="BK133" s="71">
        <v>0</v>
      </c>
      <c r="BL133" s="71">
        <v>0</v>
      </c>
      <c r="BM133" s="71">
        <v>0</v>
      </c>
      <c r="BN133" s="72">
        <v>0</v>
      </c>
      <c r="BO133" s="73"/>
      <c r="BP133" s="73"/>
      <c r="BQ133" s="71">
        <v>0</v>
      </c>
      <c r="BR133" s="71">
        <v>0</v>
      </c>
      <c r="BS133" s="71">
        <v>0</v>
      </c>
      <c r="BT133" s="72">
        <v>0</v>
      </c>
      <c r="BU133" s="73"/>
      <c r="BV133" s="73"/>
    </row>
    <row r="134" ht="30" customHeight="1" spans="1:74">
      <c r="A134" s="55">
        <v>0</v>
      </c>
      <c r="B134" s="56">
        <v>0</v>
      </c>
      <c r="C134" s="57">
        <v>0</v>
      </c>
      <c r="D134" s="106"/>
      <c r="E134" s="107"/>
      <c r="F134" s="59" t="e">
        <f>VLOOKUP(E134,[1]库存!$B$1:$C$65536,2,FALSE)</f>
        <v>#N/A</v>
      </c>
      <c r="G134" s="59" t="e">
        <v>#N/A</v>
      </c>
      <c r="H134" s="89"/>
      <c r="I134" s="88"/>
      <c r="J134" s="90"/>
      <c r="K134" s="61"/>
      <c r="L134" s="62">
        <v>0</v>
      </c>
      <c r="M134" s="63">
        <v>0</v>
      </c>
      <c r="N134" s="64">
        <v>0</v>
      </c>
      <c r="O134" s="62">
        <v>0</v>
      </c>
      <c r="P134" s="65">
        <f t="shared" ref="P134:P197" si="2">SUM(AG134:AJ134)</f>
        <v>0</v>
      </c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7"/>
      <c r="BF134" s="67"/>
      <c r="BG134" s="68"/>
      <c r="BI134" s="69">
        <v>0</v>
      </c>
      <c r="BJ134" s="70">
        <v>0</v>
      </c>
      <c r="BK134" s="71">
        <v>0</v>
      </c>
      <c r="BL134" s="71">
        <v>0</v>
      </c>
      <c r="BM134" s="71">
        <v>0</v>
      </c>
      <c r="BN134" s="72">
        <v>0</v>
      </c>
      <c r="BO134" s="73"/>
      <c r="BP134" s="73"/>
      <c r="BQ134" s="71">
        <v>0</v>
      </c>
      <c r="BR134" s="71">
        <v>0</v>
      </c>
      <c r="BS134" s="71">
        <v>0</v>
      </c>
      <c r="BT134" s="72">
        <v>0</v>
      </c>
      <c r="BU134" s="73"/>
      <c r="BV134" s="73"/>
    </row>
    <row r="135" ht="30" customHeight="1" spans="1:74">
      <c r="A135" s="55" t="s">
        <v>41</v>
      </c>
      <c r="B135" s="56" t="s">
        <v>42</v>
      </c>
      <c r="C135" s="57" t="s">
        <v>43</v>
      </c>
      <c r="D135" s="59" t="s">
        <v>269</v>
      </c>
      <c r="E135" s="59" t="s">
        <v>270</v>
      </c>
      <c r="F135" s="59" t="str">
        <f>VLOOKUP(E135,[1]库存!$B$1:$C$65536,2,FALSE)</f>
        <v>JBSC PAB</v>
      </c>
      <c r="G135" s="59" t="s">
        <v>271</v>
      </c>
      <c r="H135" s="59" t="s">
        <v>272</v>
      </c>
      <c r="I135" s="59" t="s">
        <v>273</v>
      </c>
      <c r="J135" s="80" t="s">
        <v>65</v>
      </c>
      <c r="K135" s="61"/>
      <c r="L135" s="62">
        <v>2</v>
      </c>
      <c r="M135" s="63">
        <v>850</v>
      </c>
      <c r="N135" s="64">
        <v>15</v>
      </c>
      <c r="O135" s="62">
        <v>2</v>
      </c>
      <c r="P135" s="65">
        <f t="shared" si="2"/>
        <v>0</v>
      </c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7"/>
      <c r="BF135" s="67"/>
      <c r="BG135" s="68"/>
      <c r="BI135" s="69">
        <v>0</v>
      </c>
      <c r="BJ135" s="70">
        <v>0</v>
      </c>
      <c r="BK135" s="71">
        <v>0</v>
      </c>
      <c r="BL135" s="71">
        <v>0</v>
      </c>
      <c r="BM135" s="71">
        <v>0</v>
      </c>
      <c r="BN135" s="72">
        <v>0</v>
      </c>
      <c r="BO135" s="73"/>
      <c r="BP135" s="73"/>
      <c r="BQ135" s="71">
        <v>0</v>
      </c>
      <c r="BR135" s="71">
        <v>0</v>
      </c>
      <c r="BS135" s="71">
        <v>0</v>
      </c>
      <c r="BT135" s="72">
        <v>0</v>
      </c>
      <c r="BU135" s="73"/>
      <c r="BV135" s="73"/>
    </row>
    <row r="136" ht="30" customHeight="1" spans="1:74">
      <c r="A136" s="55">
        <v>0</v>
      </c>
      <c r="B136" s="56">
        <v>0</v>
      </c>
      <c r="C136" s="57">
        <v>0</v>
      </c>
      <c r="D136" s="74"/>
      <c r="E136" s="74"/>
      <c r="F136" s="59" t="e">
        <f>VLOOKUP(E136,[1]库存!$B$1:$C$65536,2,FALSE)</f>
        <v>#N/A</v>
      </c>
      <c r="G136" s="59" t="e">
        <v>#N/A</v>
      </c>
      <c r="H136" s="74"/>
      <c r="I136" s="74"/>
      <c r="J136" s="81"/>
      <c r="K136" s="61"/>
      <c r="L136" s="62">
        <v>0</v>
      </c>
      <c r="M136" s="63">
        <v>0</v>
      </c>
      <c r="N136" s="64">
        <v>0</v>
      </c>
      <c r="O136" s="62">
        <v>0</v>
      </c>
      <c r="P136" s="65">
        <f t="shared" si="2"/>
        <v>0</v>
      </c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7"/>
      <c r="BF136" s="67"/>
      <c r="BG136" s="68"/>
      <c r="BI136" s="69">
        <v>0</v>
      </c>
      <c r="BJ136" s="70">
        <v>0</v>
      </c>
      <c r="BK136" s="71">
        <v>0</v>
      </c>
      <c r="BL136" s="71">
        <v>0</v>
      </c>
      <c r="BM136" s="71">
        <v>0</v>
      </c>
      <c r="BN136" s="72">
        <v>0</v>
      </c>
      <c r="BO136" s="73"/>
      <c r="BP136" s="73"/>
      <c r="BQ136" s="71">
        <v>0</v>
      </c>
      <c r="BR136" s="71">
        <v>0</v>
      </c>
      <c r="BS136" s="71">
        <v>0</v>
      </c>
      <c r="BT136" s="72">
        <v>0</v>
      </c>
      <c r="BU136" s="73"/>
      <c r="BV136" s="73"/>
    </row>
    <row r="137" ht="30" customHeight="1" spans="1:74">
      <c r="A137" s="55" t="s">
        <v>96</v>
      </c>
      <c r="B137" s="56" t="s">
        <v>42</v>
      </c>
      <c r="C137" s="57" t="s">
        <v>43</v>
      </c>
      <c r="D137" s="59" t="s">
        <v>269</v>
      </c>
      <c r="E137" s="59" t="s">
        <v>274</v>
      </c>
      <c r="F137" s="59" t="str">
        <f>VLOOKUP(E137,[1]库存!$B$1:$C$65536,2,FALSE)</f>
        <v>SV51 PAB</v>
      </c>
      <c r="G137" s="59" t="s">
        <v>275</v>
      </c>
      <c r="H137" s="59" t="s">
        <v>276</v>
      </c>
      <c r="I137" s="59" t="s">
        <v>277</v>
      </c>
      <c r="J137" s="80" t="s">
        <v>65</v>
      </c>
      <c r="K137" s="61"/>
      <c r="L137" s="62">
        <v>2</v>
      </c>
      <c r="M137" s="63">
        <v>850</v>
      </c>
      <c r="N137" s="64">
        <v>14</v>
      </c>
      <c r="O137" s="62">
        <v>2</v>
      </c>
      <c r="P137" s="65">
        <f t="shared" si="2"/>
        <v>0</v>
      </c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7"/>
      <c r="BF137" s="67"/>
      <c r="BG137" s="68"/>
      <c r="BI137" s="69">
        <v>0</v>
      </c>
      <c r="BJ137" s="70">
        <v>0</v>
      </c>
      <c r="BK137" s="71">
        <v>0</v>
      </c>
      <c r="BL137" s="71">
        <v>0</v>
      </c>
      <c r="BM137" s="71">
        <v>0</v>
      </c>
      <c r="BN137" s="72">
        <v>0</v>
      </c>
      <c r="BO137" s="73"/>
      <c r="BP137" s="73"/>
      <c r="BQ137" s="71">
        <v>0</v>
      </c>
      <c r="BR137" s="71">
        <v>0</v>
      </c>
      <c r="BS137" s="71">
        <v>0</v>
      </c>
      <c r="BT137" s="72">
        <v>0</v>
      </c>
      <c r="BU137" s="73"/>
      <c r="BV137" s="73"/>
    </row>
    <row r="138" ht="30" customHeight="1" spans="1:74">
      <c r="A138" s="55">
        <v>0</v>
      </c>
      <c r="B138" s="56">
        <v>0</v>
      </c>
      <c r="C138" s="57">
        <v>0</v>
      </c>
      <c r="D138" s="74"/>
      <c r="E138" s="74"/>
      <c r="F138" s="59" t="e">
        <f>VLOOKUP(E138,[1]库存!$B$1:$C$65536,2,FALSE)</f>
        <v>#N/A</v>
      </c>
      <c r="G138" s="59" t="e">
        <v>#N/A</v>
      </c>
      <c r="H138" s="74"/>
      <c r="I138" s="74"/>
      <c r="J138" s="81"/>
      <c r="K138" s="61"/>
      <c r="L138" s="62">
        <v>0</v>
      </c>
      <c r="M138" s="63">
        <v>0</v>
      </c>
      <c r="N138" s="64">
        <v>0</v>
      </c>
      <c r="O138" s="62">
        <v>0</v>
      </c>
      <c r="P138" s="65">
        <f t="shared" si="2"/>
        <v>0</v>
      </c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7"/>
      <c r="BF138" s="67"/>
      <c r="BG138" s="68"/>
      <c r="BI138" s="69">
        <v>0</v>
      </c>
      <c r="BJ138" s="70">
        <v>0</v>
      </c>
      <c r="BK138" s="71">
        <v>0</v>
      </c>
      <c r="BL138" s="71">
        <v>0</v>
      </c>
      <c r="BM138" s="71">
        <v>0</v>
      </c>
      <c r="BN138" s="72">
        <v>0</v>
      </c>
      <c r="BO138" s="73"/>
      <c r="BP138" s="73"/>
      <c r="BQ138" s="71">
        <v>0</v>
      </c>
      <c r="BR138" s="71">
        <v>0</v>
      </c>
      <c r="BS138" s="71">
        <v>0</v>
      </c>
      <c r="BT138" s="72">
        <v>0</v>
      </c>
      <c r="BU138" s="73"/>
      <c r="BV138" s="73"/>
    </row>
    <row r="139" ht="30" customHeight="1" spans="1:74">
      <c r="A139" s="55" t="s">
        <v>96</v>
      </c>
      <c r="B139" s="56" t="s">
        <v>42</v>
      </c>
      <c r="C139" s="57" t="s">
        <v>43</v>
      </c>
      <c r="D139" s="59" t="s">
        <v>269</v>
      </c>
      <c r="E139" s="59" t="s">
        <v>278</v>
      </c>
      <c r="F139" s="59" t="str">
        <f>VLOOKUP(E139,[1]库存!$B$1:$C$65536,2,FALSE)</f>
        <v>SMCV SK83 PAB</v>
      </c>
      <c r="G139" s="59" t="s">
        <v>279</v>
      </c>
      <c r="H139" s="59" t="s">
        <v>280</v>
      </c>
      <c r="I139" s="59" t="s">
        <v>277</v>
      </c>
      <c r="J139" s="60" t="s">
        <v>281</v>
      </c>
      <c r="K139" s="61"/>
      <c r="L139" s="62">
        <v>2</v>
      </c>
      <c r="M139" s="63">
        <v>850</v>
      </c>
      <c r="N139" s="64">
        <v>15</v>
      </c>
      <c r="O139" s="62">
        <v>2</v>
      </c>
      <c r="P139" s="65">
        <f t="shared" si="2"/>
        <v>0</v>
      </c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7"/>
      <c r="BF139" s="67"/>
      <c r="BG139" s="68"/>
      <c r="BI139" s="69">
        <v>0</v>
      </c>
      <c r="BJ139" s="70">
        <v>0</v>
      </c>
      <c r="BK139" s="71">
        <v>0</v>
      </c>
      <c r="BL139" s="71">
        <v>0</v>
      </c>
      <c r="BM139" s="71">
        <v>0</v>
      </c>
      <c r="BN139" s="72">
        <v>0</v>
      </c>
      <c r="BO139" s="73"/>
      <c r="BP139" s="73"/>
      <c r="BQ139" s="71">
        <v>0</v>
      </c>
      <c r="BR139" s="71">
        <v>0</v>
      </c>
      <c r="BS139" s="71">
        <v>0</v>
      </c>
      <c r="BT139" s="72">
        <v>0</v>
      </c>
      <c r="BU139" s="73"/>
      <c r="BV139" s="73"/>
    </row>
    <row r="140" ht="30" customHeight="1" spans="1:74">
      <c r="A140" s="55">
        <v>0</v>
      </c>
      <c r="B140" s="56">
        <v>0</v>
      </c>
      <c r="C140" s="57">
        <v>0</v>
      </c>
      <c r="D140" s="74"/>
      <c r="E140" s="74"/>
      <c r="F140" s="59" t="e">
        <f>VLOOKUP(E140,[1]库存!$B$1:$C$65536,2,FALSE)</f>
        <v>#N/A</v>
      </c>
      <c r="G140" s="59" t="e">
        <v>#N/A</v>
      </c>
      <c r="H140" s="74"/>
      <c r="I140" s="74"/>
      <c r="J140" s="75"/>
      <c r="K140" s="61"/>
      <c r="L140" s="62">
        <v>0</v>
      </c>
      <c r="M140" s="63">
        <v>0</v>
      </c>
      <c r="N140" s="64">
        <v>0</v>
      </c>
      <c r="O140" s="62">
        <v>0</v>
      </c>
      <c r="P140" s="65">
        <f t="shared" si="2"/>
        <v>0</v>
      </c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7"/>
      <c r="BF140" s="67"/>
      <c r="BG140" s="68"/>
      <c r="BI140" s="69">
        <v>0</v>
      </c>
      <c r="BJ140" s="70">
        <v>0</v>
      </c>
      <c r="BK140" s="71">
        <v>0</v>
      </c>
      <c r="BL140" s="71">
        <v>0</v>
      </c>
      <c r="BM140" s="71">
        <v>0</v>
      </c>
      <c r="BN140" s="72">
        <v>0</v>
      </c>
      <c r="BO140" s="73"/>
      <c r="BP140" s="73"/>
      <c r="BQ140" s="71">
        <v>0</v>
      </c>
      <c r="BR140" s="71">
        <v>0</v>
      </c>
      <c r="BS140" s="71">
        <v>0</v>
      </c>
      <c r="BT140" s="72">
        <v>0</v>
      </c>
      <c r="BU140" s="73"/>
      <c r="BV140" s="73"/>
    </row>
    <row r="141" ht="30" customHeight="1" spans="1:74">
      <c r="A141" s="55" t="s">
        <v>96</v>
      </c>
      <c r="B141" s="56" t="s">
        <v>42</v>
      </c>
      <c r="C141" s="57" t="s">
        <v>43</v>
      </c>
      <c r="D141" s="59" t="s">
        <v>269</v>
      </c>
      <c r="E141" s="59" t="s">
        <v>282</v>
      </c>
      <c r="F141" s="59" t="str">
        <f>VLOOKUP(E141,[1]库存!$B$1:$C$65536,2,FALSE)</f>
        <v>SAIC EX21 PAB</v>
      </c>
      <c r="G141" s="59" t="s">
        <v>283</v>
      </c>
      <c r="H141" s="59" t="s">
        <v>284</v>
      </c>
      <c r="I141" s="59" t="s">
        <v>277</v>
      </c>
      <c r="J141" s="108" t="s">
        <v>285</v>
      </c>
      <c r="K141" s="61"/>
      <c r="L141" s="62">
        <v>2</v>
      </c>
      <c r="M141" s="63">
        <v>850</v>
      </c>
      <c r="N141" s="64">
        <v>14</v>
      </c>
      <c r="O141" s="62">
        <v>2</v>
      </c>
      <c r="P141" s="65">
        <f t="shared" si="2"/>
        <v>0</v>
      </c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7"/>
      <c r="BF141" s="67"/>
      <c r="BG141" s="68"/>
      <c r="BI141" s="69">
        <v>0</v>
      </c>
      <c r="BJ141" s="70">
        <v>0</v>
      </c>
      <c r="BK141" s="71">
        <v>0</v>
      </c>
      <c r="BL141" s="71">
        <v>0</v>
      </c>
      <c r="BM141" s="71">
        <v>0</v>
      </c>
      <c r="BN141" s="72">
        <v>0</v>
      </c>
      <c r="BO141" s="73"/>
      <c r="BP141" s="73"/>
      <c r="BQ141" s="71">
        <v>0</v>
      </c>
      <c r="BR141" s="71">
        <v>0</v>
      </c>
      <c r="BS141" s="71">
        <v>0</v>
      </c>
      <c r="BT141" s="72">
        <v>0</v>
      </c>
      <c r="BU141" s="73"/>
      <c r="BV141" s="73"/>
    </row>
    <row r="142" ht="30" customHeight="1" spans="1:74">
      <c r="A142" s="55">
        <v>0</v>
      </c>
      <c r="B142" s="56">
        <v>0</v>
      </c>
      <c r="C142" s="57">
        <v>0</v>
      </c>
      <c r="D142" s="74"/>
      <c r="E142" s="74"/>
      <c r="F142" s="59" t="e">
        <f>VLOOKUP(E142,[1]库存!$B$1:$C$65536,2,FALSE)</f>
        <v>#N/A</v>
      </c>
      <c r="G142" s="59" t="e">
        <v>#N/A</v>
      </c>
      <c r="H142" s="74"/>
      <c r="I142" s="74"/>
      <c r="J142" s="109"/>
      <c r="K142" s="61"/>
      <c r="L142" s="62">
        <v>0</v>
      </c>
      <c r="M142" s="63">
        <v>0</v>
      </c>
      <c r="N142" s="64">
        <v>0</v>
      </c>
      <c r="O142" s="62">
        <v>0</v>
      </c>
      <c r="P142" s="65">
        <f t="shared" si="2"/>
        <v>0</v>
      </c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7"/>
      <c r="BF142" s="67"/>
      <c r="BG142" s="68"/>
      <c r="BI142" s="69">
        <v>0</v>
      </c>
      <c r="BJ142" s="70">
        <v>0</v>
      </c>
      <c r="BK142" s="71">
        <v>0</v>
      </c>
      <c r="BL142" s="71">
        <v>0</v>
      </c>
      <c r="BM142" s="71">
        <v>0</v>
      </c>
      <c r="BN142" s="72">
        <v>0</v>
      </c>
      <c r="BO142" s="73"/>
      <c r="BP142" s="73"/>
      <c r="BQ142" s="71">
        <v>0</v>
      </c>
      <c r="BR142" s="71">
        <v>0</v>
      </c>
      <c r="BS142" s="71">
        <v>0</v>
      </c>
      <c r="BT142" s="72">
        <v>0</v>
      </c>
      <c r="BU142" s="73"/>
      <c r="BV142" s="73"/>
    </row>
    <row r="143" ht="30" customHeight="1" spans="1:74">
      <c r="A143" s="55" t="s">
        <v>41</v>
      </c>
      <c r="B143" s="56" t="s">
        <v>42</v>
      </c>
      <c r="C143" s="57" t="s">
        <v>43</v>
      </c>
      <c r="D143" s="59" t="s">
        <v>269</v>
      </c>
      <c r="E143" s="59" t="s">
        <v>286</v>
      </c>
      <c r="F143" s="59" t="str">
        <f>VLOOKUP(E143,[1]库存!$B$1:$C$65536,2,FALSE)</f>
        <v>GE11 PAB A状态</v>
      </c>
      <c r="G143" s="59" t="s">
        <v>287</v>
      </c>
      <c r="H143" s="59" t="s">
        <v>288</v>
      </c>
      <c r="I143" s="59" t="s">
        <v>289</v>
      </c>
      <c r="J143" s="97" t="s">
        <v>290</v>
      </c>
      <c r="K143" s="61"/>
      <c r="L143" s="62">
        <v>2</v>
      </c>
      <c r="M143" s="63">
        <v>850</v>
      </c>
      <c r="N143" s="64">
        <v>14</v>
      </c>
      <c r="O143" s="62">
        <v>2</v>
      </c>
      <c r="P143" s="65">
        <f t="shared" si="2"/>
        <v>0</v>
      </c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7"/>
      <c r="BF143" s="67"/>
      <c r="BG143" s="68"/>
      <c r="BI143" s="69">
        <v>0</v>
      </c>
      <c r="BJ143" s="70">
        <v>0</v>
      </c>
      <c r="BK143" s="71">
        <v>0</v>
      </c>
      <c r="BL143" s="71">
        <v>0</v>
      </c>
      <c r="BM143" s="71">
        <v>0</v>
      </c>
      <c r="BN143" s="72">
        <v>0</v>
      </c>
      <c r="BO143" s="73"/>
      <c r="BP143" s="73"/>
      <c r="BQ143" s="71">
        <v>0</v>
      </c>
      <c r="BR143" s="71">
        <v>0</v>
      </c>
      <c r="BS143" s="71">
        <v>0</v>
      </c>
      <c r="BT143" s="72">
        <v>0</v>
      </c>
      <c r="BU143" s="73"/>
      <c r="BV143" s="73"/>
    </row>
    <row r="144" ht="30" customHeight="1" spans="1:74">
      <c r="A144" s="55">
        <v>0</v>
      </c>
      <c r="B144" s="56">
        <v>0</v>
      </c>
      <c r="C144" s="57">
        <v>0</v>
      </c>
      <c r="D144" s="74"/>
      <c r="E144" s="74"/>
      <c r="F144" s="59" t="e">
        <f>VLOOKUP(E144,[1]库存!$B$1:$C$65536,2,FALSE)</f>
        <v>#N/A</v>
      </c>
      <c r="G144" s="59" t="e">
        <v>#N/A</v>
      </c>
      <c r="H144" s="74"/>
      <c r="I144" s="74"/>
      <c r="J144" s="98"/>
      <c r="K144" s="61"/>
      <c r="L144" s="62">
        <v>0</v>
      </c>
      <c r="M144" s="63">
        <v>0</v>
      </c>
      <c r="N144" s="64">
        <v>0</v>
      </c>
      <c r="O144" s="62">
        <v>0</v>
      </c>
      <c r="P144" s="65">
        <f t="shared" si="2"/>
        <v>0</v>
      </c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7"/>
      <c r="BF144" s="67"/>
      <c r="BG144" s="68"/>
      <c r="BI144" s="69">
        <v>0</v>
      </c>
      <c r="BJ144" s="70">
        <v>0</v>
      </c>
      <c r="BK144" s="71">
        <v>0</v>
      </c>
      <c r="BL144" s="71">
        <v>0</v>
      </c>
      <c r="BM144" s="71">
        <v>0</v>
      </c>
      <c r="BN144" s="72">
        <v>0</v>
      </c>
      <c r="BO144" s="73"/>
      <c r="BP144" s="73"/>
      <c r="BQ144" s="71">
        <v>0</v>
      </c>
      <c r="BR144" s="71">
        <v>0</v>
      </c>
      <c r="BS144" s="71">
        <v>0</v>
      </c>
      <c r="BT144" s="72">
        <v>0</v>
      </c>
      <c r="BU144" s="73"/>
      <c r="BV144" s="73"/>
    </row>
    <row r="145" s="1" customFormat="1" ht="30" customHeight="1" spans="1:75 16331:16349">
      <c r="A145" s="110" t="s">
        <v>41</v>
      </c>
      <c r="B145" s="111" t="s">
        <v>42</v>
      </c>
      <c r="C145" s="112" t="s">
        <v>43</v>
      </c>
      <c r="D145" s="113" t="s">
        <v>269</v>
      </c>
      <c r="E145" s="113" t="s">
        <v>291</v>
      </c>
      <c r="F145" s="113" t="str">
        <f>VLOOKUP(E145,[1]库存!$B$1:$C$65536,2,FALSE)</f>
        <v>NL-3B PAB B状态</v>
      </c>
      <c r="G145" s="113" t="s">
        <v>292</v>
      </c>
      <c r="H145" s="113" t="s">
        <v>293</v>
      </c>
      <c r="I145" s="113" t="s">
        <v>289</v>
      </c>
      <c r="J145" s="114"/>
      <c r="K145" s="115"/>
      <c r="L145" s="116">
        <v>2</v>
      </c>
      <c r="M145" s="117">
        <v>900</v>
      </c>
      <c r="N145" s="114">
        <v>14</v>
      </c>
      <c r="O145" s="116">
        <v>2</v>
      </c>
      <c r="P145" s="65">
        <f t="shared" si="2"/>
        <v>0</v>
      </c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118"/>
      <c r="BH145" s="119"/>
      <c r="BI145" s="120">
        <v>0</v>
      </c>
      <c r="BJ145" s="121">
        <v>0</v>
      </c>
      <c r="BK145" s="122">
        <v>0</v>
      </c>
      <c r="BL145" s="122">
        <v>0</v>
      </c>
      <c r="BM145" s="122">
        <v>0</v>
      </c>
      <c r="BN145" s="123">
        <v>0</v>
      </c>
      <c r="BO145" s="124"/>
      <c r="BP145" s="124"/>
      <c r="BQ145" s="122">
        <v>0</v>
      </c>
      <c r="BR145" s="122">
        <v>0</v>
      </c>
      <c r="BS145" s="122">
        <v>0</v>
      </c>
      <c r="BT145" s="123">
        <v>0</v>
      </c>
      <c r="BU145" s="124"/>
      <c r="BV145" s="124"/>
      <c r="BW145" s="125"/>
      <c r="XDC145" s="126"/>
      <c r="XDD145" s="126"/>
      <c r="XDE145" s="126"/>
      <c r="XDF145" s="126"/>
      <c r="XDG145" s="126"/>
      <c r="XDH145" s="126"/>
      <c r="XDI145" s="126"/>
      <c r="XDJ145" s="126"/>
      <c r="XDK145" s="126"/>
      <c r="XDL145" s="126"/>
      <c r="XDM145" s="126"/>
      <c r="XDN145" s="126"/>
      <c r="XDO145" s="126"/>
      <c r="XDP145" s="126"/>
      <c r="XDQ145" s="126"/>
      <c r="XDR145" s="126"/>
      <c r="XDS145" s="126"/>
      <c r="XDT145" s="126"/>
      <c r="XDU145" s="126"/>
    </row>
    <row r="146" s="1" customFormat="1" ht="30" customHeight="1" spans="1:75 16331:16349">
      <c r="A146" s="110">
        <v>0</v>
      </c>
      <c r="B146" s="111">
        <v>0</v>
      </c>
      <c r="C146" s="112">
        <v>0</v>
      </c>
      <c r="D146" s="127"/>
      <c r="E146" s="127"/>
      <c r="F146" s="113" t="e">
        <f>VLOOKUP(E146,[1]库存!$B$1:$C$65536,2,FALSE)</f>
        <v>#N/A</v>
      </c>
      <c r="G146" s="113" t="e">
        <v>#N/A</v>
      </c>
      <c r="H146" s="127"/>
      <c r="I146" s="127"/>
      <c r="J146" s="128"/>
      <c r="K146" s="115"/>
      <c r="L146" s="116">
        <v>0</v>
      </c>
      <c r="M146" s="117">
        <v>0</v>
      </c>
      <c r="N146" s="114">
        <v>0</v>
      </c>
      <c r="O146" s="116">
        <v>0</v>
      </c>
      <c r="P146" s="65">
        <f t="shared" si="2"/>
        <v>0</v>
      </c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118"/>
      <c r="BH146" s="119"/>
      <c r="BI146" s="120">
        <v>0</v>
      </c>
      <c r="BJ146" s="121">
        <v>0</v>
      </c>
      <c r="BK146" s="122">
        <v>0</v>
      </c>
      <c r="BL146" s="122">
        <v>0</v>
      </c>
      <c r="BM146" s="122">
        <v>0</v>
      </c>
      <c r="BN146" s="123">
        <v>0</v>
      </c>
      <c r="BO146" s="124"/>
      <c r="BP146" s="124"/>
      <c r="BQ146" s="122">
        <v>0</v>
      </c>
      <c r="BR146" s="122">
        <v>0</v>
      </c>
      <c r="BS146" s="122">
        <v>0</v>
      </c>
      <c r="BT146" s="123">
        <v>0</v>
      </c>
      <c r="BU146" s="124"/>
      <c r="BV146" s="124"/>
      <c r="BW146" s="125"/>
      <c r="XDC146" s="126"/>
      <c r="XDD146" s="126"/>
      <c r="XDE146" s="126"/>
      <c r="XDF146" s="126"/>
      <c r="XDG146" s="126"/>
      <c r="XDH146" s="126"/>
      <c r="XDI146" s="126"/>
      <c r="XDJ146" s="126"/>
      <c r="XDK146" s="126"/>
      <c r="XDL146" s="126"/>
      <c r="XDM146" s="126"/>
      <c r="XDN146" s="126"/>
      <c r="XDO146" s="126"/>
      <c r="XDP146" s="126"/>
      <c r="XDQ146" s="126"/>
      <c r="XDR146" s="126"/>
      <c r="XDS146" s="126"/>
      <c r="XDT146" s="126"/>
      <c r="XDU146" s="126"/>
    </row>
    <row r="147" ht="30" customHeight="1" spans="1:75 16331:16349">
      <c r="A147" s="55">
        <v>0</v>
      </c>
      <c r="B147" s="56">
        <v>0</v>
      </c>
      <c r="C147" s="57">
        <v>0</v>
      </c>
      <c r="E147" s="88"/>
      <c r="F147" s="59" t="e">
        <f>VLOOKUP(E147,[1]库存!$B$1:$C$65536,2,FALSE)</f>
        <v>#N/A</v>
      </c>
      <c r="G147" s="59" t="e">
        <v>#N/A</v>
      </c>
      <c r="H147" s="89"/>
      <c r="I147" s="88"/>
      <c r="J147" s="90"/>
      <c r="K147" s="61"/>
      <c r="L147" s="62">
        <v>0</v>
      </c>
      <c r="M147" s="63">
        <v>0</v>
      </c>
      <c r="N147" s="64">
        <v>0</v>
      </c>
      <c r="O147" s="62">
        <v>0</v>
      </c>
      <c r="P147" s="65">
        <f t="shared" si="2"/>
        <v>0</v>
      </c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7"/>
      <c r="BF147" s="67"/>
      <c r="BG147" s="68"/>
      <c r="BI147" s="69">
        <v>0</v>
      </c>
      <c r="BJ147" s="70">
        <v>0</v>
      </c>
      <c r="BK147" s="71">
        <v>0</v>
      </c>
      <c r="BL147" s="71">
        <v>0</v>
      </c>
      <c r="BM147" s="71">
        <v>0</v>
      </c>
      <c r="BN147" s="72">
        <v>0</v>
      </c>
      <c r="BO147" s="73"/>
      <c r="BP147" s="73"/>
      <c r="BQ147" s="71">
        <v>0</v>
      </c>
      <c r="BR147" s="71">
        <v>0</v>
      </c>
      <c r="BS147" s="71">
        <v>0</v>
      </c>
      <c r="BT147" s="72">
        <v>0</v>
      </c>
      <c r="BU147" s="73"/>
      <c r="BV147" s="73"/>
    </row>
    <row r="148" ht="30" customHeight="1" spans="1:75 16331:16349">
      <c r="A148" s="55" t="s">
        <v>246</v>
      </c>
      <c r="B148" s="56" t="s">
        <v>42</v>
      </c>
      <c r="C148" s="57" t="s">
        <v>43</v>
      </c>
      <c r="D148" s="91" t="s">
        <v>294</v>
      </c>
      <c r="E148" s="91" t="s">
        <v>295</v>
      </c>
      <c r="F148" s="91" t="str">
        <f>VLOOKUP(E148,[1]库存!$B$1:$C$65536,2,FALSE)</f>
        <v>C71KS-M01 SAB LH</v>
      </c>
      <c r="G148" s="91" t="s">
        <v>296</v>
      </c>
      <c r="H148" s="91" t="s">
        <v>297</v>
      </c>
      <c r="I148" s="91" t="s">
        <v>250</v>
      </c>
      <c r="J148" s="63"/>
      <c r="K148" s="61"/>
      <c r="L148" s="62">
        <v>2</v>
      </c>
      <c r="M148" s="63">
        <v>1150</v>
      </c>
      <c r="N148" s="64">
        <v>14</v>
      </c>
      <c r="O148" s="62">
        <v>2</v>
      </c>
      <c r="P148" s="65">
        <f t="shared" si="2"/>
        <v>0</v>
      </c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7"/>
      <c r="BF148" s="67"/>
      <c r="BG148" s="68"/>
      <c r="BI148" s="69">
        <v>0</v>
      </c>
      <c r="BJ148" s="70">
        <v>0</v>
      </c>
      <c r="BK148" s="71">
        <v>0</v>
      </c>
      <c r="BL148" s="71">
        <v>0</v>
      </c>
      <c r="BM148" s="71">
        <v>0</v>
      </c>
      <c r="BN148" s="72">
        <v>0</v>
      </c>
      <c r="BO148" s="73"/>
      <c r="BP148" s="73"/>
      <c r="BQ148" s="71">
        <v>0</v>
      </c>
      <c r="BR148" s="71">
        <v>0</v>
      </c>
      <c r="BS148" s="71">
        <v>0</v>
      </c>
      <c r="BT148" s="72">
        <v>0</v>
      </c>
      <c r="BU148" s="73"/>
      <c r="BV148" s="73"/>
    </row>
    <row r="149" ht="30" customHeight="1" spans="1:75 16331:16349">
      <c r="A149" s="55">
        <v>0</v>
      </c>
      <c r="B149" s="56">
        <v>0</v>
      </c>
      <c r="C149" s="57">
        <v>0</v>
      </c>
      <c r="D149" s="92"/>
      <c r="E149" s="92"/>
      <c r="F149" s="91" t="e">
        <f>VLOOKUP(E149,[1]库存!$B$1:$C$65536,2,FALSE)</f>
        <v>#N/A</v>
      </c>
      <c r="G149" s="91" t="e">
        <v>#N/A</v>
      </c>
      <c r="H149" s="92"/>
      <c r="I149" s="92"/>
      <c r="J149" s="87"/>
      <c r="K149" s="61"/>
      <c r="L149" s="62">
        <v>0</v>
      </c>
      <c r="M149" s="63">
        <v>0</v>
      </c>
      <c r="N149" s="64">
        <v>0</v>
      </c>
      <c r="O149" s="62">
        <v>0</v>
      </c>
      <c r="P149" s="65">
        <f t="shared" si="2"/>
        <v>0</v>
      </c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7"/>
      <c r="BF149" s="67"/>
      <c r="BG149" s="68"/>
      <c r="BI149" s="69">
        <v>0</v>
      </c>
      <c r="BJ149" s="70">
        <v>0</v>
      </c>
      <c r="BK149" s="71">
        <v>0</v>
      </c>
      <c r="BL149" s="71">
        <v>0</v>
      </c>
      <c r="BM149" s="71">
        <v>0</v>
      </c>
      <c r="BN149" s="72">
        <v>0</v>
      </c>
      <c r="BO149" s="73"/>
      <c r="BP149" s="73"/>
      <c r="BQ149" s="71">
        <v>0</v>
      </c>
      <c r="BR149" s="71">
        <v>0</v>
      </c>
      <c r="BS149" s="71">
        <v>0</v>
      </c>
      <c r="BT149" s="72">
        <v>0</v>
      </c>
      <c r="BU149" s="73"/>
      <c r="BV149" s="73"/>
    </row>
    <row r="150" ht="30" customHeight="1" spans="1:75 16331:16349">
      <c r="A150" s="55" t="s">
        <v>246</v>
      </c>
      <c r="B150" s="56" t="s">
        <v>42</v>
      </c>
      <c r="C150" s="57" t="s">
        <v>43</v>
      </c>
      <c r="D150" s="91" t="s">
        <v>294</v>
      </c>
      <c r="E150" s="91" t="s">
        <v>298</v>
      </c>
      <c r="F150" s="91" t="str">
        <f>VLOOKUP(E150,[1]库存!$B$1:$C$65536,2,FALSE)</f>
        <v>C71KS-M01 SAB RH</v>
      </c>
      <c r="G150" s="91" t="s">
        <v>299</v>
      </c>
      <c r="H150" s="91" t="s">
        <v>300</v>
      </c>
      <c r="I150" s="91" t="s">
        <v>250</v>
      </c>
      <c r="J150" s="63"/>
      <c r="K150" s="61"/>
      <c r="L150" s="62">
        <v>2</v>
      </c>
      <c r="M150" s="63">
        <v>1150</v>
      </c>
      <c r="N150" s="64">
        <v>14</v>
      </c>
      <c r="O150" s="62">
        <v>2</v>
      </c>
      <c r="P150" s="65">
        <f t="shared" si="2"/>
        <v>0</v>
      </c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7"/>
      <c r="BF150" s="67"/>
      <c r="BG150" s="68"/>
      <c r="BI150" s="69">
        <v>0</v>
      </c>
      <c r="BJ150" s="70">
        <v>0</v>
      </c>
      <c r="BK150" s="71">
        <v>0</v>
      </c>
      <c r="BL150" s="71">
        <v>0</v>
      </c>
      <c r="BM150" s="71">
        <v>0</v>
      </c>
      <c r="BN150" s="72">
        <v>0</v>
      </c>
      <c r="BO150" s="73"/>
      <c r="BP150" s="73"/>
      <c r="BQ150" s="71">
        <v>0</v>
      </c>
      <c r="BR150" s="71">
        <v>0</v>
      </c>
      <c r="BS150" s="71">
        <v>0</v>
      </c>
      <c r="BT150" s="72">
        <v>0</v>
      </c>
      <c r="BU150" s="73"/>
      <c r="BV150" s="73"/>
    </row>
    <row r="151" ht="30" customHeight="1" spans="1:75 16331:16349">
      <c r="A151" s="55">
        <v>0</v>
      </c>
      <c r="B151" s="56">
        <v>0</v>
      </c>
      <c r="C151" s="57">
        <v>0</v>
      </c>
      <c r="D151" s="92"/>
      <c r="E151" s="92"/>
      <c r="F151" s="91" t="e">
        <f>VLOOKUP(E151,[1]库存!$B$1:$C$65536,2,FALSE)</f>
        <v>#N/A</v>
      </c>
      <c r="G151" s="91" t="e">
        <v>#N/A</v>
      </c>
      <c r="H151" s="92"/>
      <c r="I151" s="92"/>
      <c r="J151" s="87"/>
      <c r="K151" s="61"/>
      <c r="L151" s="62">
        <v>0</v>
      </c>
      <c r="M151" s="63">
        <v>0</v>
      </c>
      <c r="N151" s="64">
        <v>0</v>
      </c>
      <c r="O151" s="62">
        <v>0</v>
      </c>
      <c r="P151" s="65">
        <f t="shared" si="2"/>
        <v>0</v>
      </c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7"/>
      <c r="BF151" s="67"/>
      <c r="BG151" s="68"/>
      <c r="BI151" s="69">
        <v>0</v>
      </c>
      <c r="BJ151" s="70">
        <v>0</v>
      </c>
      <c r="BK151" s="71">
        <v>0</v>
      </c>
      <c r="BL151" s="71">
        <v>0</v>
      </c>
      <c r="BM151" s="71">
        <v>0</v>
      </c>
      <c r="BN151" s="72">
        <v>0</v>
      </c>
      <c r="BO151" s="73"/>
      <c r="BP151" s="73"/>
      <c r="BQ151" s="71">
        <v>0</v>
      </c>
      <c r="BR151" s="71">
        <v>0</v>
      </c>
      <c r="BS151" s="71">
        <v>0</v>
      </c>
      <c r="BT151" s="72">
        <v>0</v>
      </c>
      <c r="BU151" s="73"/>
      <c r="BV151" s="73"/>
    </row>
    <row r="152" ht="30" customHeight="1" spans="1:75 16331:16349">
      <c r="A152" s="55" t="s">
        <v>165</v>
      </c>
      <c r="B152" s="56" t="s">
        <v>42</v>
      </c>
      <c r="C152" s="57" t="s">
        <v>43</v>
      </c>
      <c r="D152" s="59" t="s">
        <v>294</v>
      </c>
      <c r="E152" s="59" t="s">
        <v>301</v>
      </c>
      <c r="F152" s="59" t="str">
        <f>VLOOKUP(E152,[1]库存!$B$1:$C$65536,2,FALSE)</f>
        <v>VW416/9 FSAB LH A状态</v>
      </c>
      <c r="G152" s="59" t="s">
        <v>302</v>
      </c>
      <c r="H152" s="59" t="s">
        <v>303</v>
      </c>
      <c r="I152" s="59"/>
      <c r="J152" s="63"/>
      <c r="K152" s="61"/>
      <c r="L152" s="62">
        <v>2</v>
      </c>
      <c r="M152" s="63">
        <v>1200</v>
      </c>
      <c r="N152" s="64">
        <v>10</v>
      </c>
      <c r="O152" s="62">
        <v>2</v>
      </c>
      <c r="P152" s="65">
        <f t="shared" si="2"/>
        <v>0</v>
      </c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7"/>
      <c r="BF152" s="67"/>
      <c r="BG152" s="68"/>
      <c r="BI152" s="69">
        <v>0</v>
      </c>
      <c r="BJ152" s="70">
        <v>0</v>
      </c>
      <c r="BK152" s="71">
        <v>0</v>
      </c>
      <c r="BL152" s="71">
        <v>0</v>
      </c>
      <c r="BM152" s="71">
        <v>0</v>
      </c>
      <c r="BN152" s="72">
        <v>0</v>
      </c>
      <c r="BO152" s="73"/>
      <c r="BP152" s="73"/>
      <c r="BQ152" s="71">
        <v>0</v>
      </c>
      <c r="BR152" s="71">
        <v>0</v>
      </c>
      <c r="BS152" s="71">
        <v>0</v>
      </c>
      <c r="BT152" s="72">
        <v>0</v>
      </c>
      <c r="BU152" s="73"/>
      <c r="BV152" s="73"/>
    </row>
    <row r="153" ht="30" customHeight="1" spans="1:75 16331:16349">
      <c r="A153" s="55">
        <v>0</v>
      </c>
      <c r="B153" s="56">
        <v>0</v>
      </c>
      <c r="C153" s="57">
        <v>0</v>
      </c>
      <c r="D153" s="74"/>
      <c r="E153" s="74"/>
      <c r="F153" s="59" t="e">
        <f>VLOOKUP(E153,[1]库存!$B$1:$C$65536,2,FALSE)</f>
        <v>#N/A</v>
      </c>
      <c r="G153" s="59" t="e">
        <v>#N/A</v>
      </c>
      <c r="H153" s="74"/>
      <c r="I153" s="74"/>
      <c r="J153" s="87"/>
      <c r="K153" s="61"/>
      <c r="L153" s="62">
        <v>0</v>
      </c>
      <c r="M153" s="63">
        <v>0</v>
      </c>
      <c r="N153" s="64">
        <v>0</v>
      </c>
      <c r="O153" s="62">
        <v>0</v>
      </c>
      <c r="P153" s="65">
        <f t="shared" si="2"/>
        <v>0</v>
      </c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7"/>
      <c r="BF153" s="67"/>
      <c r="BG153" s="68"/>
      <c r="BI153" s="69">
        <v>0</v>
      </c>
      <c r="BJ153" s="70">
        <v>0</v>
      </c>
      <c r="BK153" s="71">
        <v>0</v>
      </c>
      <c r="BL153" s="71">
        <v>0</v>
      </c>
      <c r="BM153" s="71">
        <v>0</v>
      </c>
      <c r="BN153" s="72">
        <v>0</v>
      </c>
      <c r="BO153" s="73"/>
      <c r="BP153" s="73"/>
      <c r="BQ153" s="71">
        <v>0</v>
      </c>
      <c r="BR153" s="71">
        <v>0</v>
      </c>
      <c r="BS153" s="71">
        <v>0</v>
      </c>
      <c r="BT153" s="72">
        <v>0</v>
      </c>
      <c r="BU153" s="73"/>
      <c r="BV153" s="73"/>
    </row>
    <row r="154" ht="30" customHeight="1" spans="1:75 16331:16349">
      <c r="A154" s="55" t="s">
        <v>165</v>
      </c>
      <c r="B154" s="56" t="s">
        <v>42</v>
      </c>
      <c r="C154" s="57" t="s">
        <v>43</v>
      </c>
      <c r="D154" s="59" t="s">
        <v>294</v>
      </c>
      <c r="E154" s="59" t="s">
        <v>304</v>
      </c>
      <c r="F154" s="59" t="str">
        <f>VLOOKUP(E154,[1]库存!$B$1:$C$65536,2,FALSE)</f>
        <v>VW416/9 FSAB RH A状态</v>
      </c>
      <c r="G154" s="59" t="s">
        <v>305</v>
      </c>
      <c r="H154" s="59" t="s">
        <v>306</v>
      </c>
      <c r="I154" s="59"/>
      <c r="J154" s="63"/>
      <c r="K154" s="61"/>
      <c r="L154" s="62">
        <v>2</v>
      </c>
      <c r="M154" s="63">
        <v>1200</v>
      </c>
      <c r="N154" s="64">
        <v>10</v>
      </c>
      <c r="O154" s="62">
        <v>2</v>
      </c>
      <c r="P154" s="65">
        <f t="shared" si="2"/>
        <v>0</v>
      </c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7"/>
      <c r="BF154" s="67"/>
      <c r="BG154" s="68"/>
      <c r="BI154" s="69">
        <v>0</v>
      </c>
      <c r="BJ154" s="70">
        <v>0</v>
      </c>
      <c r="BK154" s="71">
        <v>0</v>
      </c>
      <c r="BL154" s="71">
        <v>0</v>
      </c>
      <c r="BM154" s="71">
        <v>0</v>
      </c>
      <c r="BN154" s="72">
        <v>0</v>
      </c>
      <c r="BO154" s="73"/>
      <c r="BP154" s="73"/>
      <c r="BQ154" s="71">
        <v>0</v>
      </c>
      <c r="BR154" s="71">
        <v>0</v>
      </c>
      <c r="BS154" s="71">
        <v>0</v>
      </c>
      <c r="BT154" s="72">
        <v>0</v>
      </c>
      <c r="BU154" s="73"/>
      <c r="BV154" s="73"/>
    </row>
    <row r="155" ht="30" customHeight="1" spans="1:75 16331:16349">
      <c r="A155" s="55">
        <v>0</v>
      </c>
      <c r="B155" s="56">
        <v>0</v>
      </c>
      <c r="C155" s="57">
        <v>0</v>
      </c>
      <c r="D155" s="74"/>
      <c r="E155" s="74"/>
      <c r="F155" s="59" t="e">
        <f>VLOOKUP(E155,[1]库存!$B$1:$C$65536,2,FALSE)</f>
        <v>#N/A</v>
      </c>
      <c r="G155" s="59" t="e">
        <v>#N/A</v>
      </c>
      <c r="H155" s="74"/>
      <c r="I155" s="74"/>
      <c r="J155" s="87"/>
      <c r="K155" s="61"/>
      <c r="L155" s="62">
        <v>0</v>
      </c>
      <c r="M155" s="63">
        <v>0</v>
      </c>
      <c r="N155" s="64">
        <v>0</v>
      </c>
      <c r="O155" s="62">
        <v>0</v>
      </c>
      <c r="P155" s="65">
        <f t="shared" si="2"/>
        <v>0</v>
      </c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7"/>
      <c r="BF155" s="67"/>
      <c r="BG155" s="68"/>
      <c r="BI155" s="69">
        <v>0</v>
      </c>
      <c r="BJ155" s="70">
        <v>0</v>
      </c>
      <c r="BK155" s="71">
        <v>0</v>
      </c>
      <c r="BL155" s="71">
        <v>0</v>
      </c>
      <c r="BM155" s="71">
        <v>0</v>
      </c>
      <c r="BN155" s="72">
        <v>0</v>
      </c>
      <c r="BO155" s="73"/>
      <c r="BP155" s="73"/>
      <c r="BQ155" s="71">
        <v>0</v>
      </c>
      <c r="BR155" s="71">
        <v>0</v>
      </c>
      <c r="BS155" s="71">
        <v>0</v>
      </c>
      <c r="BT155" s="72">
        <v>0</v>
      </c>
      <c r="BU155" s="73"/>
      <c r="BV155" s="73"/>
    </row>
    <row r="156" ht="30" customHeight="1" spans="1:75 16331:16349">
      <c r="A156" s="55">
        <v>0</v>
      </c>
      <c r="B156" s="56">
        <v>0</v>
      </c>
      <c r="C156" s="57">
        <v>0</v>
      </c>
      <c r="E156" s="88"/>
      <c r="F156" s="59" t="e">
        <f>VLOOKUP(E156,[1]库存!$B$1:$C$65536,2,FALSE)</f>
        <v>#N/A</v>
      </c>
      <c r="G156" s="59" t="e">
        <v>#N/A</v>
      </c>
      <c r="H156" s="89"/>
      <c r="I156" s="88"/>
      <c r="J156" s="90"/>
      <c r="K156" s="61"/>
      <c r="L156" s="62">
        <v>0</v>
      </c>
      <c r="M156" s="63">
        <v>0</v>
      </c>
      <c r="N156" s="64">
        <v>0</v>
      </c>
      <c r="O156" s="62">
        <v>0</v>
      </c>
      <c r="P156" s="65">
        <f t="shared" si="2"/>
        <v>0</v>
      </c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7"/>
      <c r="BF156" s="67"/>
      <c r="BG156" s="68"/>
      <c r="BI156" s="69">
        <v>0</v>
      </c>
      <c r="BJ156" s="70">
        <v>0</v>
      </c>
      <c r="BK156" s="71">
        <v>0</v>
      </c>
      <c r="BL156" s="71">
        <v>0</v>
      </c>
      <c r="BM156" s="71">
        <v>0</v>
      </c>
      <c r="BN156" s="72">
        <v>0</v>
      </c>
      <c r="BO156" s="73"/>
      <c r="BP156" s="73"/>
      <c r="BQ156" s="71">
        <v>0</v>
      </c>
      <c r="BR156" s="71">
        <v>0</v>
      </c>
      <c r="BS156" s="71">
        <v>0</v>
      </c>
      <c r="BT156" s="72">
        <v>0</v>
      </c>
      <c r="BU156" s="73"/>
      <c r="BV156" s="73"/>
    </row>
    <row r="157" ht="30" customHeight="1" spans="1:75 16331:16349">
      <c r="A157" s="55" t="s">
        <v>96</v>
      </c>
      <c r="B157" s="56" t="s">
        <v>42</v>
      </c>
      <c r="C157" s="57" t="s">
        <v>43</v>
      </c>
      <c r="D157" s="91" t="s">
        <v>307</v>
      </c>
      <c r="E157" s="91" t="s">
        <v>308</v>
      </c>
      <c r="F157" s="91" t="str">
        <f>VLOOKUP(E157,[1]库存!$B$1:$C$65536,2,FALSE)</f>
        <v>CN200S PAB A状态</v>
      </c>
      <c r="G157" s="91" t="s">
        <v>309</v>
      </c>
      <c r="H157" s="91" t="s">
        <v>310</v>
      </c>
      <c r="I157" s="91" t="s">
        <v>311</v>
      </c>
      <c r="J157" s="63"/>
      <c r="K157" s="61"/>
      <c r="L157" s="62">
        <v>2</v>
      </c>
      <c r="M157" s="63">
        <v>1300</v>
      </c>
      <c r="N157" s="64">
        <v>11</v>
      </c>
      <c r="O157" s="62">
        <v>2</v>
      </c>
      <c r="P157" s="65">
        <f t="shared" si="2"/>
        <v>0</v>
      </c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>
        <v>1300</v>
      </c>
      <c r="AB157" s="66"/>
      <c r="AC157" s="66">
        <v>1300</v>
      </c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7"/>
      <c r="BF157" s="67"/>
      <c r="BG157" s="68"/>
      <c r="BI157" s="69">
        <v>0</v>
      </c>
      <c r="BJ157" s="70">
        <v>0</v>
      </c>
      <c r="BK157" s="71">
        <v>0</v>
      </c>
      <c r="BL157" s="71">
        <v>0</v>
      </c>
      <c r="BM157" s="71">
        <v>0</v>
      </c>
      <c r="BN157" s="72">
        <v>0</v>
      </c>
      <c r="BO157" s="73"/>
      <c r="BP157" s="73"/>
      <c r="BQ157" s="71">
        <v>0</v>
      </c>
      <c r="BR157" s="71">
        <v>0</v>
      </c>
      <c r="BS157" s="71">
        <v>0</v>
      </c>
      <c r="BT157" s="72">
        <v>0</v>
      </c>
      <c r="BU157" s="73"/>
      <c r="BV157" s="73"/>
    </row>
    <row r="158" ht="30" customHeight="1" spans="1:75 16331:16349">
      <c r="A158" s="55">
        <v>0</v>
      </c>
      <c r="B158" s="56">
        <v>0</v>
      </c>
      <c r="C158" s="57">
        <v>0</v>
      </c>
      <c r="D158" s="92"/>
      <c r="E158" s="92"/>
      <c r="F158" s="91" t="e">
        <f>VLOOKUP(E158,[1]库存!$B$1:$C$65536,2,FALSE)</f>
        <v>#N/A</v>
      </c>
      <c r="G158" s="91" t="e">
        <v>#N/A</v>
      </c>
      <c r="H158" s="92"/>
      <c r="I158" s="92"/>
      <c r="J158" s="87"/>
      <c r="K158" s="61"/>
      <c r="L158" s="62">
        <v>0</v>
      </c>
      <c r="M158" s="63">
        <v>0</v>
      </c>
      <c r="N158" s="64">
        <v>0</v>
      </c>
      <c r="O158" s="62">
        <v>0</v>
      </c>
      <c r="P158" s="65">
        <f t="shared" si="2"/>
        <v>0</v>
      </c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>
        <v>1320</v>
      </c>
      <c r="AB158" s="66"/>
      <c r="AC158" s="66">
        <v>1325</v>
      </c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7"/>
      <c r="BF158" s="67"/>
      <c r="BG158" s="68"/>
      <c r="BI158" s="69">
        <v>0</v>
      </c>
      <c r="BJ158" s="70">
        <v>0</v>
      </c>
      <c r="BK158" s="71">
        <v>0</v>
      </c>
      <c r="BL158" s="71">
        <v>0</v>
      </c>
      <c r="BM158" s="71">
        <v>0</v>
      </c>
      <c r="BN158" s="72">
        <v>0</v>
      </c>
      <c r="BO158" s="73"/>
      <c r="BP158" s="73"/>
      <c r="BQ158" s="71">
        <v>0</v>
      </c>
      <c r="BR158" s="71">
        <v>0</v>
      </c>
      <c r="BS158" s="71">
        <v>0</v>
      </c>
      <c r="BT158" s="72">
        <v>0</v>
      </c>
      <c r="BU158" s="73"/>
      <c r="BV158" s="73"/>
    </row>
    <row r="159" ht="30" customHeight="1" spans="1:75 16331:16349">
      <c r="A159" s="55" t="s">
        <v>41</v>
      </c>
      <c r="B159" s="56" t="s">
        <v>42</v>
      </c>
      <c r="C159" s="57" t="s">
        <v>43</v>
      </c>
      <c r="D159" s="59" t="s">
        <v>307</v>
      </c>
      <c r="E159" s="59" t="s">
        <v>312</v>
      </c>
      <c r="F159" s="59" t="str">
        <f>VLOOKUP(E159,[1]库存!$B$1:$C$65536,2,FALSE)</f>
        <v>JAC B2 PAB</v>
      </c>
      <c r="G159" s="59" t="s">
        <v>313</v>
      </c>
      <c r="H159" s="59" t="s">
        <v>314</v>
      </c>
      <c r="I159" s="59" t="s">
        <v>315</v>
      </c>
      <c r="J159" s="80" t="s">
        <v>65</v>
      </c>
      <c r="K159" s="61"/>
      <c r="L159" s="62">
        <v>2</v>
      </c>
      <c r="M159" s="63">
        <v>1100</v>
      </c>
      <c r="N159" s="64">
        <v>11</v>
      </c>
      <c r="O159" s="62">
        <v>2</v>
      </c>
      <c r="P159" s="65">
        <f t="shared" si="2"/>
        <v>0</v>
      </c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7"/>
      <c r="BF159" s="67"/>
      <c r="BG159" s="68"/>
      <c r="BI159" s="69">
        <v>0</v>
      </c>
      <c r="BJ159" s="70">
        <v>0</v>
      </c>
      <c r="BK159" s="71">
        <v>0</v>
      </c>
      <c r="BL159" s="71">
        <v>0</v>
      </c>
      <c r="BM159" s="71">
        <v>0</v>
      </c>
      <c r="BN159" s="72">
        <v>0</v>
      </c>
      <c r="BO159" s="73"/>
      <c r="BP159" s="73"/>
      <c r="BQ159" s="71">
        <v>0</v>
      </c>
      <c r="BR159" s="71">
        <v>0</v>
      </c>
      <c r="BS159" s="71">
        <v>0</v>
      </c>
      <c r="BT159" s="72">
        <v>0</v>
      </c>
      <c r="BU159" s="73"/>
      <c r="BV159" s="73"/>
    </row>
    <row r="160" ht="30" customHeight="1" spans="1:75 16331:16349">
      <c r="A160" s="55">
        <v>0</v>
      </c>
      <c r="B160" s="56">
        <v>0</v>
      </c>
      <c r="C160" s="57">
        <v>0</v>
      </c>
      <c r="D160" s="74"/>
      <c r="E160" s="74"/>
      <c r="F160" s="59" t="e">
        <f>VLOOKUP(E160,[1]库存!$B$1:$C$65536,2,FALSE)</f>
        <v>#N/A</v>
      </c>
      <c r="G160" s="59" t="e">
        <v>#N/A</v>
      </c>
      <c r="H160" s="74"/>
      <c r="I160" s="74"/>
      <c r="J160" s="81"/>
      <c r="K160" s="61"/>
      <c r="L160" s="62">
        <v>0</v>
      </c>
      <c r="M160" s="63">
        <v>0</v>
      </c>
      <c r="N160" s="64">
        <v>0</v>
      </c>
      <c r="O160" s="62">
        <v>0</v>
      </c>
      <c r="P160" s="65">
        <f t="shared" si="2"/>
        <v>0</v>
      </c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7"/>
      <c r="BF160" s="67"/>
      <c r="BG160" s="68"/>
      <c r="BI160" s="69">
        <v>0</v>
      </c>
      <c r="BJ160" s="70">
        <v>0</v>
      </c>
      <c r="BK160" s="71">
        <v>0</v>
      </c>
      <c r="BL160" s="71">
        <v>0</v>
      </c>
      <c r="BM160" s="71">
        <v>0</v>
      </c>
      <c r="BN160" s="72">
        <v>0</v>
      </c>
      <c r="BO160" s="73"/>
      <c r="BP160" s="73"/>
      <c r="BQ160" s="71">
        <v>0</v>
      </c>
      <c r="BR160" s="71">
        <v>0</v>
      </c>
      <c r="BS160" s="71">
        <v>0</v>
      </c>
      <c r="BT160" s="72">
        <v>0</v>
      </c>
      <c r="BU160" s="73"/>
      <c r="BV160" s="73"/>
    </row>
    <row r="161" ht="30" customHeight="1" spans="1:74">
      <c r="A161" s="55">
        <v>0</v>
      </c>
      <c r="B161" s="56" t="s">
        <v>42</v>
      </c>
      <c r="C161" s="57" t="s">
        <v>43</v>
      </c>
      <c r="D161" s="59" t="s">
        <v>307</v>
      </c>
      <c r="E161" s="59" t="s">
        <v>316</v>
      </c>
      <c r="F161" s="59" t="str">
        <f>VLOOKUP(E161,[1]库存!$B$1:$C$65536,2,FALSE)</f>
        <v>B311 PAB</v>
      </c>
      <c r="G161" s="59" t="s">
        <v>317</v>
      </c>
      <c r="H161" s="59" t="s">
        <v>318</v>
      </c>
      <c r="I161" s="59" t="s">
        <v>319</v>
      </c>
      <c r="J161" s="80" t="s">
        <v>65</v>
      </c>
      <c r="K161" s="61"/>
      <c r="L161" s="62">
        <v>2</v>
      </c>
      <c r="M161" s="63">
        <v>1200</v>
      </c>
      <c r="N161" s="64">
        <v>11</v>
      </c>
      <c r="O161" s="62">
        <v>2</v>
      </c>
      <c r="P161" s="65">
        <f t="shared" si="2"/>
        <v>0</v>
      </c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7"/>
      <c r="BF161" s="67"/>
      <c r="BG161" s="68"/>
      <c r="BI161" s="69">
        <v>0</v>
      </c>
      <c r="BJ161" s="70">
        <v>0</v>
      </c>
      <c r="BK161" s="71">
        <v>0</v>
      </c>
      <c r="BL161" s="71">
        <v>0</v>
      </c>
      <c r="BM161" s="71">
        <v>0</v>
      </c>
      <c r="BN161" s="72">
        <v>0</v>
      </c>
      <c r="BO161" s="73"/>
      <c r="BP161" s="73"/>
      <c r="BQ161" s="71">
        <v>0</v>
      </c>
      <c r="BR161" s="71">
        <v>0</v>
      </c>
      <c r="BS161" s="71">
        <v>0</v>
      </c>
      <c r="BT161" s="72">
        <v>0</v>
      </c>
      <c r="BU161" s="73"/>
      <c r="BV161" s="73"/>
    </row>
    <row r="162" ht="30" customHeight="1" spans="1:74">
      <c r="A162" s="55">
        <v>0</v>
      </c>
      <c r="B162" s="56">
        <v>0</v>
      </c>
      <c r="C162" s="57">
        <v>0</v>
      </c>
      <c r="D162" s="74"/>
      <c r="E162" s="74"/>
      <c r="F162" s="59" t="e">
        <f>VLOOKUP(E162,[1]库存!$B$1:$C$65536,2,FALSE)</f>
        <v>#N/A</v>
      </c>
      <c r="G162" s="59" t="e">
        <v>#N/A</v>
      </c>
      <c r="H162" s="74"/>
      <c r="I162" s="74"/>
      <c r="J162" s="81"/>
      <c r="K162" s="61"/>
      <c r="L162" s="62">
        <v>0</v>
      </c>
      <c r="M162" s="63">
        <v>0</v>
      </c>
      <c r="N162" s="64">
        <v>0</v>
      </c>
      <c r="O162" s="62">
        <v>0</v>
      </c>
      <c r="P162" s="65">
        <f t="shared" si="2"/>
        <v>0</v>
      </c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7"/>
      <c r="BF162" s="67"/>
      <c r="BG162" s="68"/>
      <c r="BI162" s="69">
        <v>0</v>
      </c>
      <c r="BJ162" s="70">
        <v>0</v>
      </c>
      <c r="BK162" s="71">
        <v>0</v>
      </c>
      <c r="BL162" s="71">
        <v>0</v>
      </c>
      <c r="BM162" s="71">
        <v>0</v>
      </c>
      <c r="BN162" s="72">
        <v>0</v>
      </c>
      <c r="BO162" s="73"/>
      <c r="BP162" s="73"/>
      <c r="BQ162" s="71">
        <v>0</v>
      </c>
      <c r="BR162" s="71">
        <v>0</v>
      </c>
      <c r="BS162" s="71">
        <v>0</v>
      </c>
      <c r="BT162" s="72">
        <v>0</v>
      </c>
      <c r="BU162" s="73"/>
      <c r="BV162" s="73"/>
    </row>
    <row r="163" ht="30" customHeight="1" spans="1:74">
      <c r="A163" s="55" t="s">
        <v>41</v>
      </c>
      <c r="B163" s="56" t="s">
        <v>42</v>
      </c>
      <c r="C163" s="57" t="s">
        <v>43</v>
      </c>
      <c r="D163" s="59" t="s">
        <v>307</v>
      </c>
      <c r="E163" s="59" t="s">
        <v>320</v>
      </c>
      <c r="F163" s="59" t="str">
        <f>VLOOKUP(E163,[1]库存!$B$1:$C$65536,2,FALSE)</f>
        <v>C201-16 PAB</v>
      </c>
      <c r="G163" s="59" t="s">
        <v>321</v>
      </c>
      <c r="H163" s="59" t="s">
        <v>322</v>
      </c>
      <c r="I163" s="59" t="s">
        <v>319</v>
      </c>
      <c r="J163" s="77" t="s">
        <v>323</v>
      </c>
      <c r="K163" s="61"/>
      <c r="L163" s="62">
        <v>2</v>
      </c>
      <c r="M163" s="63">
        <v>1300</v>
      </c>
      <c r="N163" s="64">
        <v>11</v>
      </c>
      <c r="O163" s="62">
        <v>2</v>
      </c>
      <c r="P163" s="65">
        <f t="shared" si="2"/>
        <v>0</v>
      </c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7"/>
      <c r="BF163" s="67"/>
      <c r="BG163" s="68"/>
      <c r="BI163" s="69">
        <v>0</v>
      </c>
      <c r="BJ163" s="70">
        <v>0</v>
      </c>
      <c r="BK163" s="71">
        <v>0</v>
      </c>
      <c r="BL163" s="71">
        <v>0</v>
      </c>
      <c r="BM163" s="71">
        <v>0</v>
      </c>
      <c r="BN163" s="72">
        <v>0</v>
      </c>
      <c r="BO163" s="73"/>
      <c r="BP163" s="73"/>
      <c r="BQ163" s="71">
        <v>0</v>
      </c>
      <c r="BR163" s="71">
        <v>0</v>
      </c>
      <c r="BS163" s="71">
        <v>0</v>
      </c>
      <c r="BT163" s="72">
        <v>0</v>
      </c>
      <c r="BU163" s="73"/>
      <c r="BV163" s="73"/>
    </row>
    <row r="164" ht="30" customHeight="1" spans="1:74">
      <c r="A164" s="55">
        <v>0</v>
      </c>
      <c r="B164" s="56">
        <v>0</v>
      </c>
      <c r="C164" s="57">
        <v>0</v>
      </c>
      <c r="D164" s="74"/>
      <c r="E164" s="74"/>
      <c r="F164" s="59" t="e">
        <f>VLOOKUP(E164,[1]库存!$B$1:$C$65536,2,FALSE)</f>
        <v>#N/A</v>
      </c>
      <c r="G164" s="59" t="e">
        <v>#N/A</v>
      </c>
      <c r="H164" s="74"/>
      <c r="I164" s="74"/>
      <c r="J164" s="79"/>
      <c r="K164" s="61"/>
      <c r="L164" s="62">
        <v>0</v>
      </c>
      <c r="M164" s="63">
        <v>0</v>
      </c>
      <c r="N164" s="64">
        <v>0</v>
      </c>
      <c r="O164" s="62">
        <v>0</v>
      </c>
      <c r="P164" s="65">
        <f t="shared" si="2"/>
        <v>0</v>
      </c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7"/>
      <c r="BF164" s="67"/>
      <c r="BG164" s="68"/>
      <c r="BI164" s="69">
        <v>0</v>
      </c>
      <c r="BJ164" s="70">
        <v>0</v>
      </c>
      <c r="BK164" s="71">
        <v>0</v>
      </c>
      <c r="BL164" s="71">
        <v>0</v>
      </c>
      <c r="BM164" s="71">
        <v>0</v>
      </c>
      <c r="BN164" s="72">
        <v>0</v>
      </c>
      <c r="BO164" s="73"/>
      <c r="BP164" s="73"/>
      <c r="BQ164" s="71">
        <v>0</v>
      </c>
      <c r="BR164" s="71">
        <v>0</v>
      </c>
      <c r="BS164" s="71">
        <v>0</v>
      </c>
      <c r="BT164" s="72">
        <v>0</v>
      </c>
      <c r="BU164" s="73"/>
      <c r="BV164" s="73"/>
    </row>
    <row r="165" ht="30" customHeight="1" spans="1:74">
      <c r="A165" s="55">
        <v>0</v>
      </c>
      <c r="B165" s="56" t="s">
        <v>42</v>
      </c>
      <c r="C165" s="57" t="s">
        <v>43</v>
      </c>
      <c r="D165" s="59" t="s">
        <v>307</v>
      </c>
      <c r="E165" s="59" t="s">
        <v>324</v>
      </c>
      <c r="F165" s="59" t="str">
        <f>VLOOKUP(E165,[1]库存!$B$1:$C$65536,2,FALSE)</f>
        <v>ZOTYE A01 PAB</v>
      </c>
      <c r="G165" s="59" t="s">
        <v>325</v>
      </c>
      <c r="H165" s="59" t="s">
        <v>326</v>
      </c>
      <c r="I165" s="59" t="s">
        <v>327</v>
      </c>
      <c r="J165" s="63"/>
      <c r="K165" s="61"/>
      <c r="L165" s="62">
        <v>2</v>
      </c>
      <c r="M165" s="63">
        <v>900</v>
      </c>
      <c r="N165" s="64">
        <v>11</v>
      </c>
      <c r="O165" s="62">
        <v>2</v>
      </c>
      <c r="P165" s="65">
        <f t="shared" si="2"/>
        <v>0</v>
      </c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7"/>
      <c r="BF165" s="67"/>
      <c r="BG165" s="68"/>
      <c r="BI165" s="69">
        <v>0</v>
      </c>
      <c r="BJ165" s="70">
        <v>0</v>
      </c>
      <c r="BK165" s="71">
        <v>0</v>
      </c>
      <c r="BL165" s="71">
        <v>0</v>
      </c>
      <c r="BM165" s="71">
        <v>0</v>
      </c>
      <c r="BN165" s="72">
        <v>0</v>
      </c>
      <c r="BO165" s="73"/>
      <c r="BP165" s="73"/>
      <c r="BQ165" s="71">
        <v>0</v>
      </c>
      <c r="BR165" s="71">
        <v>0</v>
      </c>
      <c r="BS165" s="71">
        <v>0</v>
      </c>
      <c r="BT165" s="72">
        <v>0</v>
      </c>
      <c r="BU165" s="73"/>
      <c r="BV165" s="73"/>
    </row>
    <row r="166" ht="30" customHeight="1" spans="1:74">
      <c r="A166" s="55">
        <v>0</v>
      </c>
      <c r="B166" s="56">
        <v>0</v>
      </c>
      <c r="C166" s="57">
        <v>0</v>
      </c>
      <c r="D166" s="74"/>
      <c r="E166" s="74"/>
      <c r="F166" s="59" t="e">
        <f>VLOOKUP(E166,[1]库存!$B$1:$C$65536,2,FALSE)</f>
        <v>#N/A</v>
      </c>
      <c r="G166" s="59" t="e">
        <v>#N/A</v>
      </c>
      <c r="H166" s="74"/>
      <c r="I166" s="74"/>
      <c r="J166" s="87"/>
      <c r="K166" s="61"/>
      <c r="L166" s="62">
        <v>0</v>
      </c>
      <c r="M166" s="63">
        <v>0</v>
      </c>
      <c r="N166" s="64">
        <v>0</v>
      </c>
      <c r="O166" s="62">
        <v>0</v>
      </c>
      <c r="P166" s="65">
        <f t="shared" si="2"/>
        <v>0</v>
      </c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7"/>
      <c r="BF166" s="67"/>
      <c r="BG166" s="68"/>
      <c r="BI166" s="69">
        <v>0</v>
      </c>
      <c r="BJ166" s="70">
        <v>0</v>
      </c>
      <c r="BK166" s="71">
        <v>0</v>
      </c>
      <c r="BL166" s="71">
        <v>0</v>
      </c>
      <c r="BM166" s="71">
        <v>0</v>
      </c>
      <c r="BN166" s="72">
        <v>0</v>
      </c>
      <c r="BO166" s="73"/>
      <c r="BP166" s="73"/>
      <c r="BQ166" s="71">
        <v>0</v>
      </c>
      <c r="BR166" s="71">
        <v>0</v>
      </c>
      <c r="BS166" s="71">
        <v>0</v>
      </c>
      <c r="BT166" s="72">
        <v>0</v>
      </c>
      <c r="BU166" s="73"/>
      <c r="BV166" s="73"/>
    </row>
    <row r="167" ht="30" customHeight="1" spans="1:74">
      <c r="A167" s="55">
        <v>0</v>
      </c>
      <c r="B167" s="56" t="s">
        <v>42</v>
      </c>
      <c r="C167" s="57" t="s">
        <v>43</v>
      </c>
      <c r="D167" s="59" t="s">
        <v>307</v>
      </c>
      <c r="E167" s="59" t="s">
        <v>328</v>
      </c>
      <c r="F167" s="59" t="str">
        <f>VLOOKUP(E167,[1]库存!$B$1:$C$65536,2,FALSE)</f>
        <v>JAC REFINE II 5AT PAB A状态</v>
      </c>
      <c r="G167" s="59" t="s">
        <v>329</v>
      </c>
      <c r="H167" s="129" t="s">
        <v>330</v>
      </c>
      <c r="I167" s="59" t="s">
        <v>315</v>
      </c>
      <c r="J167" s="63"/>
      <c r="K167" s="61"/>
      <c r="L167" s="62">
        <v>2</v>
      </c>
      <c r="M167" s="63">
        <v>1200</v>
      </c>
      <c r="N167" s="64">
        <v>10</v>
      </c>
      <c r="O167" s="62">
        <v>2</v>
      </c>
      <c r="P167" s="65">
        <f t="shared" si="2"/>
        <v>0</v>
      </c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7"/>
      <c r="BF167" s="67"/>
      <c r="BG167" s="68"/>
      <c r="BI167" s="69">
        <v>0</v>
      </c>
      <c r="BJ167" s="70">
        <v>0</v>
      </c>
      <c r="BK167" s="71">
        <v>0</v>
      </c>
      <c r="BL167" s="71">
        <v>0</v>
      </c>
      <c r="BM167" s="71">
        <v>0</v>
      </c>
      <c r="BN167" s="72">
        <v>0</v>
      </c>
      <c r="BO167" s="73"/>
      <c r="BP167" s="73"/>
      <c r="BQ167" s="71">
        <v>0</v>
      </c>
      <c r="BR167" s="71">
        <v>0</v>
      </c>
      <c r="BS167" s="71">
        <v>0</v>
      </c>
      <c r="BT167" s="72">
        <v>0</v>
      </c>
      <c r="BU167" s="73"/>
      <c r="BV167" s="73"/>
    </row>
    <row r="168" ht="30" customHeight="1" spans="1:74">
      <c r="A168" s="55">
        <v>0</v>
      </c>
      <c r="B168" s="56">
        <v>0</v>
      </c>
      <c r="C168" s="57">
        <v>0</v>
      </c>
      <c r="D168" s="74"/>
      <c r="E168" s="74"/>
      <c r="F168" s="59" t="e">
        <f>VLOOKUP(E168,[1]库存!$B$1:$C$65536,2,FALSE)</f>
        <v>#N/A</v>
      </c>
      <c r="G168" s="59" t="e">
        <v>#N/A</v>
      </c>
      <c r="H168" s="130"/>
      <c r="I168" s="74"/>
      <c r="J168" s="87"/>
      <c r="K168" s="61"/>
      <c r="L168" s="62">
        <v>0</v>
      </c>
      <c r="M168" s="63">
        <v>0</v>
      </c>
      <c r="N168" s="64">
        <v>0</v>
      </c>
      <c r="O168" s="62">
        <v>0</v>
      </c>
      <c r="P168" s="65">
        <f t="shared" si="2"/>
        <v>0</v>
      </c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7"/>
      <c r="BF168" s="67"/>
      <c r="BG168" s="68"/>
      <c r="BI168" s="69">
        <v>0</v>
      </c>
      <c r="BJ168" s="70">
        <v>0</v>
      </c>
      <c r="BK168" s="71">
        <v>0</v>
      </c>
      <c r="BL168" s="71">
        <v>0</v>
      </c>
      <c r="BM168" s="71">
        <v>0</v>
      </c>
      <c r="BN168" s="72">
        <v>0</v>
      </c>
      <c r="BO168" s="73"/>
      <c r="BP168" s="73"/>
      <c r="BQ168" s="71">
        <v>0</v>
      </c>
      <c r="BR168" s="71">
        <v>0</v>
      </c>
      <c r="BS168" s="71">
        <v>0</v>
      </c>
      <c r="BT168" s="72">
        <v>0</v>
      </c>
      <c r="BU168" s="73"/>
      <c r="BV168" s="73"/>
    </row>
    <row r="169" ht="30" customHeight="1" spans="1:74">
      <c r="A169" s="55">
        <v>0</v>
      </c>
      <c r="B169" s="56" t="s">
        <v>42</v>
      </c>
      <c r="C169" s="57" t="s">
        <v>43</v>
      </c>
      <c r="D169" s="59" t="s">
        <v>307</v>
      </c>
      <c r="E169" s="59"/>
      <c r="F169" s="59" t="e">
        <f>VLOOKUP(E169,[1]库存!$B$1:$C$65536,2,FALSE)</f>
        <v>#N/A</v>
      </c>
      <c r="G169" s="59" t="e">
        <v>#N/A</v>
      </c>
      <c r="H169" s="59" t="s">
        <v>331</v>
      </c>
      <c r="I169" s="59" t="s">
        <v>332</v>
      </c>
      <c r="J169" s="63"/>
      <c r="K169" s="61"/>
      <c r="L169" s="62">
        <v>2</v>
      </c>
      <c r="M169" s="63">
        <v>1200</v>
      </c>
      <c r="N169" s="64">
        <v>10</v>
      </c>
      <c r="O169" s="62">
        <v>2</v>
      </c>
      <c r="P169" s="65">
        <f t="shared" si="2"/>
        <v>0</v>
      </c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7"/>
      <c r="BF169" s="67"/>
      <c r="BG169" s="68"/>
      <c r="BI169" s="69">
        <v>0</v>
      </c>
      <c r="BJ169" s="70">
        <v>0</v>
      </c>
      <c r="BK169" s="71">
        <v>0</v>
      </c>
      <c r="BL169" s="71">
        <v>0</v>
      </c>
      <c r="BM169" s="71">
        <v>0</v>
      </c>
      <c r="BN169" s="72">
        <v>0</v>
      </c>
      <c r="BO169" s="73"/>
      <c r="BP169" s="73"/>
      <c r="BQ169" s="71">
        <v>0</v>
      </c>
      <c r="BR169" s="71">
        <v>0</v>
      </c>
      <c r="BS169" s="71">
        <v>0</v>
      </c>
      <c r="BT169" s="72">
        <v>0</v>
      </c>
      <c r="BU169" s="73"/>
      <c r="BV169" s="73"/>
    </row>
    <row r="170" ht="30" customHeight="1" spans="1:74">
      <c r="A170" s="55">
        <v>0</v>
      </c>
      <c r="B170" s="56">
        <v>0</v>
      </c>
      <c r="C170" s="57">
        <v>0</v>
      </c>
      <c r="D170" s="74"/>
      <c r="E170" s="74"/>
      <c r="F170" s="59" t="e">
        <f>VLOOKUP(E170,[1]库存!$B$1:$C$65536,2,FALSE)</f>
        <v>#N/A</v>
      </c>
      <c r="G170" s="59" t="e">
        <v>#N/A</v>
      </c>
      <c r="H170" s="74"/>
      <c r="I170" s="74"/>
      <c r="J170" s="87"/>
      <c r="K170" s="61"/>
      <c r="L170" s="62">
        <v>0</v>
      </c>
      <c r="M170" s="63">
        <v>0</v>
      </c>
      <c r="N170" s="64">
        <v>0</v>
      </c>
      <c r="O170" s="62">
        <v>0</v>
      </c>
      <c r="P170" s="65">
        <f t="shared" si="2"/>
        <v>0</v>
      </c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7"/>
      <c r="BF170" s="67"/>
      <c r="BG170" s="68"/>
      <c r="BI170" s="69">
        <v>0</v>
      </c>
      <c r="BJ170" s="70">
        <v>0</v>
      </c>
      <c r="BK170" s="71">
        <v>0</v>
      </c>
      <c r="BL170" s="71">
        <v>0</v>
      </c>
      <c r="BM170" s="71">
        <v>0</v>
      </c>
      <c r="BN170" s="72">
        <v>0</v>
      </c>
      <c r="BO170" s="73"/>
      <c r="BP170" s="73"/>
      <c r="BQ170" s="71">
        <v>0</v>
      </c>
      <c r="BR170" s="71">
        <v>0</v>
      </c>
      <c r="BS170" s="71">
        <v>0</v>
      </c>
      <c r="BT170" s="72">
        <v>0</v>
      </c>
      <c r="BU170" s="73"/>
      <c r="BV170" s="73"/>
    </row>
    <row r="171" ht="30" customHeight="1" spans="1:74">
      <c r="A171" s="55" t="s">
        <v>41</v>
      </c>
      <c r="B171" s="56" t="s">
        <v>42</v>
      </c>
      <c r="C171" s="57" t="s">
        <v>43</v>
      </c>
      <c r="D171" s="59" t="s">
        <v>307</v>
      </c>
      <c r="E171" s="59" t="s">
        <v>333</v>
      </c>
      <c r="F171" s="59" t="str">
        <f>VLOOKUP(E171,[1]库存!$B$1:$C$65536,2,FALSE)</f>
        <v>CHANGAN B211 PAB</v>
      </c>
      <c r="G171" s="59" t="s">
        <v>334</v>
      </c>
      <c r="H171" s="59" t="s">
        <v>335</v>
      </c>
      <c r="I171" s="59" t="s">
        <v>336</v>
      </c>
      <c r="J171" s="60" t="s">
        <v>80</v>
      </c>
      <c r="K171" s="61"/>
      <c r="L171" s="62">
        <v>2</v>
      </c>
      <c r="M171" s="63">
        <v>1900</v>
      </c>
      <c r="N171" s="64">
        <v>11</v>
      </c>
      <c r="O171" s="62">
        <v>2</v>
      </c>
      <c r="P171" s="65">
        <f t="shared" si="2"/>
        <v>0</v>
      </c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7"/>
      <c r="BF171" s="67"/>
      <c r="BG171" s="68"/>
      <c r="BI171" s="69">
        <v>0</v>
      </c>
      <c r="BJ171" s="70">
        <v>0</v>
      </c>
      <c r="BK171" s="71">
        <v>0</v>
      </c>
      <c r="BL171" s="71">
        <v>0</v>
      </c>
      <c r="BM171" s="71">
        <v>0</v>
      </c>
      <c r="BN171" s="72">
        <v>0</v>
      </c>
      <c r="BO171" s="73"/>
      <c r="BP171" s="73"/>
      <c r="BQ171" s="71">
        <v>0</v>
      </c>
      <c r="BR171" s="71">
        <v>0</v>
      </c>
      <c r="BS171" s="71">
        <v>0</v>
      </c>
      <c r="BT171" s="72">
        <v>0</v>
      </c>
      <c r="BU171" s="73"/>
      <c r="BV171" s="73"/>
    </row>
    <row r="172" ht="30" customHeight="1" spans="1:74">
      <c r="A172" s="55">
        <v>0</v>
      </c>
      <c r="B172" s="56">
        <v>0</v>
      </c>
      <c r="C172" s="57">
        <v>0</v>
      </c>
      <c r="D172" s="74"/>
      <c r="E172" s="74"/>
      <c r="F172" s="59" t="e">
        <f>VLOOKUP(E172,[1]库存!$B$1:$C$65536,2,FALSE)</f>
        <v>#N/A</v>
      </c>
      <c r="G172" s="59" t="e">
        <v>#N/A</v>
      </c>
      <c r="H172" s="74"/>
      <c r="I172" s="74"/>
      <c r="J172" s="75"/>
      <c r="K172" s="61"/>
      <c r="L172" s="62">
        <v>0</v>
      </c>
      <c r="M172" s="63">
        <v>0</v>
      </c>
      <c r="N172" s="64">
        <v>0</v>
      </c>
      <c r="O172" s="62">
        <v>0</v>
      </c>
      <c r="P172" s="65">
        <f t="shared" si="2"/>
        <v>0</v>
      </c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7"/>
      <c r="BF172" s="67"/>
      <c r="BG172" s="68"/>
      <c r="BI172" s="69">
        <v>0</v>
      </c>
      <c r="BJ172" s="70">
        <v>0</v>
      </c>
      <c r="BK172" s="71">
        <v>0</v>
      </c>
      <c r="BL172" s="71">
        <v>0</v>
      </c>
      <c r="BM172" s="71">
        <v>0</v>
      </c>
      <c r="BN172" s="72">
        <v>0</v>
      </c>
      <c r="BO172" s="73"/>
      <c r="BP172" s="73"/>
      <c r="BQ172" s="71">
        <v>0</v>
      </c>
      <c r="BR172" s="71">
        <v>0</v>
      </c>
      <c r="BS172" s="71">
        <v>0</v>
      </c>
      <c r="BT172" s="72">
        <v>0</v>
      </c>
      <c r="BU172" s="73"/>
      <c r="BV172" s="73"/>
    </row>
    <row r="173" ht="30" customHeight="1" spans="1:74">
      <c r="A173" s="55" t="s">
        <v>41</v>
      </c>
      <c r="B173" s="56" t="s">
        <v>42</v>
      </c>
      <c r="C173" s="57" t="s">
        <v>43</v>
      </c>
      <c r="D173" s="59" t="s">
        <v>307</v>
      </c>
      <c r="E173" s="59" t="s">
        <v>337</v>
      </c>
      <c r="F173" s="59" t="str">
        <f>VLOOKUP(E173,[1]库存!$B$1:$C$65536,2,FALSE)</f>
        <v>CHANGAN S101 PAB</v>
      </c>
      <c r="G173" s="59" t="s">
        <v>338</v>
      </c>
      <c r="H173" s="59" t="s">
        <v>339</v>
      </c>
      <c r="I173" s="59" t="s">
        <v>327</v>
      </c>
      <c r="J173" s="60" t="s">
        <v>80</v>
      </c>
      <c r="K173" s="61"/>
      <c r="L173" s="62">
        <v>2</v>
      </c>
      <c r="M173" s="63">
        <v>800</v>
      </c>
      <c r="N173" s="64">
        <v>12</v>
      </c>
      <c r="O173" s="62">
        <v>2</v>
      </c>
      <c r="P173" s="65">
        <f t="shared" si="2"/>
        <v>0</v>
      </c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7"/>
      <c r="BF173" s="67"/>
      <c r="BG173" s="68"/>
      <c r="BI173" s="69">
        <v>0</v>
      </c>
      <c r="BJ173" s="70">
        <v>0</v>
      </c>
      <c r="BK173" s="71">
        <v>0</v>
      </c>
      <c r="BL173" s="71">
        <v>0</v>
      </c>
      <c r="BM173" s="71">
        <v>0</v>
      </c>
      <c r="BN173" s="72">
        <v>0</v>
      </c>
      <c r="BO173" s="73"/>
      <c r="BP173" s="73"/>
      <c r="BQ173" s="71">
        <v>0</v>
      </c>
      <c r="BR173" s="71">
        <v>0</v>
      </c>
      <c r="BS173" s="71">
        <v>0</v>
      </c>
      <c r="BT173" s="72">
        <v>0</v>
      </c>
      <c r="BU173" s="73"/>
      <c r="BV173" s="73"/>
    </row>
    <row r="174" ht="30" customHeight="1" spans="1:74">
      <c r="A174" s="55">
        <v>0</v>
      </c>
      <c r="B174" s="56">
        <v>0</v>
      </c>
      <c r="C174" s="57">
        <v>0</v>
      </c>
      <c r="D174" s="74"/>
      <c r="E174" s="74"/>
      <c r="F174" s="59" t="e">
        <f>VLOOKUP(E174,[1]库存!$B$1:$C$65536,2,FALSE)</f>
        <v>#N/A</v>
      </c>
      <c r="G174" s="59" t="e">
        <v>#N/A</v>
      </c>
      <c r="H174" s="74"/>
      <c r="I174" s="74"/>
      <c r="J174" s="75"/>
      <c r="K174" s="61"/>
      <c r="L174" s="62">
        <v>0</v>
      </c>
      <c r="M174" s="63">
        <v>0</v>
      </c>
      <c r="N174" s="64">
        <v>0</v>
      </c>
      <c r="O174" s="62">
        <v>0</v>
      </c>
      <c r="P174" s="65">
        <f t="shared" si="2"/>
        <v>0</v>
      </c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7"/>
      <c r="BF174" s="67"/>
      <c r="BG174" s="68"/>
      <c r="BI174" s="69">
        <v>0</v>
      </c>
      <c r="BJ174" s="70">
        <v>0</v>
      </c>
      <c r="BK174" s="71">
        <v>0</v>
      </c>
      <c r="BL174" s="71">
        <v>0</v>
      </c>
      <c r="BM174" s="71">
        <v>0</v>
      </c>
      <c r="BN174" s="72">
        <v>0</v>
      </c>
      <c r="BO174" s="73"/>
      <c r="BP174" s="73"/>
      <c r="BQ174" s="71">
        <v>0</v>
      </c>
      <c r="BR174" s="71">
        <v>0</v>
      </c>
      <c r="BS174" s="71">
        <v>0</v>
      </c>
      <c r="BT174" s="72">
        <v>0</v>
      </c>
      <c r="BU174" s="73"/>
      <c r="BV174" s="73"/>
    </row>
    <row r="175" ht="30" customHeight="1" spans="1:74">
      <c r="A175" s="55">
        <v>0</v>
      </c>
      <c r="B175" s="56" t="s">
        <v>42</v>
      </c>
      <c r="C175" s="57" t="s">
        <v>43</v>
      </c>
      <c r="D175" s="59" t="s">
        <v>307</v>
      </c>
      <c r="E175" s="59" t="s">
        <v>340</v>
      </c>
      <c r="F175" s="59" t="str">
        <f>VLOOKUP(E175,[1]库存!$B$1:$C$65536,2,FALSE)</f>
        <v>BAIC C50E PAB</v>
      </c>
      <c r="G175" s="59" t="s">
        <v>341</v>
      </c>
      <c r="H175" s="59" t="s">
        <v>342</v>
      </c>
      <c r="I175" s="59" t="s">
        <v>343</v>
      </c>
      <c r="J175" s="60" t="s">
        <v>80</v>
      </c>
      <c r="K175" s="61"/>
      <c r="L175" s="62">
        <v>2</v>
      </c>
      <c r="M175" s="63">
        <v>1100</v>
      </c>
      <c r="N175" s="64">
        <v>11</v>
      </c>
      <c r="O175" s="62">
        <v>2</v>
      </c>
      <c r="P175" s="65">
        <f t="shared" si="2"/>
        <v>0</v>
      </c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7"/>
      <c r="BF175" s="67"/>
      <c r="BG175" s="68"/>
      <c r="BI175" s="69">
        <v>0</v>
      </c>
      <c r="BJ175" s="70">
        <v>0</v>
      </c>
      <c r="BK175" s="71">
        <v>0</v>
      </c>
      <c r="BL175" s="71">
        <v>0</v>
      </c>
      <c r="BM175" s="71">
        <v>0</v>
      </c>
      <c r="BN175" s="72">
        <v>0</v>
      </c>
      <c r="BO175" s="73"/>
      <c r="BP175" s="73"/>
      <c r="BQ175" s="71">
        <v>0</v>
      </c>
      <c r="BR175" s="71">
        <v>0</v>
      </c>
      <c r="BS175" s="71">
        <v>0</v>
      </c>
      <c r="BT175" s="72">
        <v>0</v>
      </c>
      <c r="BU175" s="73"/>
      <c r="BV175" s="73"/>
    </row>
    <row r="176" ht="30" customHeight="1" spans="1:74">
      <c r="A176" s="55">
        <v>0</v>
      </c>
      <c r="B176" s="56">
        <v>0</v>
      </c>
      <c r="C176" s="57">
        <v>0</v>
      </c>
      <c r="D176" s="74"/>
      <c r="E176" s="74"/>
      <c r="F176" s="59" t="e">
        <f>VLOOKUP(E176,[1]库存!$B$1:$C$65536,2,FALSE)</f>
        <v>#N/A</v>
      </c>
      <c r="G176" s="59" t="e">
        <v>#N/A</v>
      </c>
      <c r="H176" s="74"/>
      <c r="I176" s="74"/>
      <c r="J176" s="75"/>
      <c r="K176" s="61"/>
      <c r="L176" s="62">
        <v>0</v>
      </c>
      <c r="M176" s="63">
        <v>0</v>
      </c>
      <c r="N176" s="64">
        <v>0</v>
      </c>
      <c r="O176" s="62">
        <v>0</v>
      </c>
      <c r="P176" s="65">
        <f t="shared" si="2"/>
        <v>0</v>
      </c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7"/>
      <c r="BF176" s="67"/>
      <c r="BG176" s="68"/>
      <c r="BI176" s="69">
        <v>0</v>
      </c>
      <c r="BJ176" s="70">
        <v>0</v>
      </c>
      <c r="BK176" s="71">
        <v>0</v>
      </c>
      <c r="BL176" s="71">
        <v>0</v>
      </c>
      <c r="BM176" s="71">
        <v>0</v>
      </c>
      <c r="BN176" s="72">
        <v>0</v>
      </c>
      <c r="BO176" s="73"/>
      <c r="BP176" s="73"/>
      <c r="BQ176" s="71">
        <v>0</v>
      </c>
      <c r="BR176" s="71">
        <v>0</v>
      </c>
      <c r="BS176" s="71">
        <v>0</v>
      </c>
      <c r="BT176" s="72">
        <v>0</v>
      </c>
      <c r="BU176" s="73"/>
      <c r="BV176" s="73"/>
    </row>
    <row r="177" ht="30" customHeight="1" spans="1:74">
      <c r="A177" s="55" t="s">
        <v>41</v>
      </c>
      <c r="B177" s="56" t="s">
        <v>42</v>
      </c>
      <c r="C177" s="57" t="s">
        <v>43</v>
      </c>
      <c r="D177" s="59" t="s">
        <v>307</v>
      </c>
      <c r="E177" s="59" t="s">
        <v>344</v>
      </c>
      <c r="F177" s="59" t="str">
        <f>VLOOKUP(E177,[1]库存!$B$1:$C$65536,2,FALSE)</f>
        <v>CHANGAN S301 PAB</v>
      </c>
      <c r="G177" s="59" t="s">
        <v>345</v>
      </c>
      <c r="H177" s="59" t="s">
        <v>346</v>
      </c>
      <c r="I177" s="59" t="s">
        <v>347</v>
      </c>
      <c r="J177" s="60" t="s">
        <v>80</v>
      </c>
      <c r="K177" s="61"/>
      <c r="L177" s="62">
        <v>2</v>
      </c>
      <c r="M177" s="63">
        <v>1900</v>
      </c>
      <c r="N177" s="64">
        <v>11</v>
      </c>
      <c r="O177" s="62">
        <v>2</v>
      </c>
      <c r="P177" s="65">
        <f t="shared" si="2"/>
        <v>0</v>
      </c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7"/>
      <c r="BF177" s="67"/>
      <c r="BG177" s="68"/>
      <c r="BI177" s="69">
        <v>0</v>
      </c>
      <c r="BJ177" s="70">
        <v>0</v>
      </c>
      <c r="BK177" s="71">
        <v>0</v>
      </c>
      <c r="BL177" s="71">
        <v>0</v>
      </c>
      <c r="BM177" s="71">
        <v>0</v>
      </c>
      <c r="BN177" s="72">
        <v>0</v>
      </c>
      <c r="BO177" s="73"/>
      <c r="BP177" s="73"/>
      <c r="BQ177" s="71">
        <v>0</v>
      </c>
      <c r="BR177" s="71">
        <v>0</v>
      </c>
      <c r="BS177" s="71">
        <v>0</v>
      </c>
      <c r="BT177" s="72">
        <v>0</v>
      </c>
      <c r="BU177" s="73"/>
      <c r="BV177" s="73"/>
    </row>
    <row r="178" ht="30" customHeight="1" spans="1:74">
      <c r="A178" s="55">
        <v>0</v>
      </c>
      <c r="B178" s="56">
        <v>0</v>
      </c>
      <c r="C178" s="57">
        <v>0</v>
      </c>
      <c r="D178" s="74"/>
      <c r="E178" s="74"/>
      <c r="F178" s="59" t="e">
        <f>VLOOKUP(E178,[1]库存!$B$1:$C$65536,2,FALSE)</f>
        <v>#N/A</v>
      </c>
      <c r="G178" s="59" t="e">
        <v>#N/A</v>
      </c>
      <c r="H178" s="74"/>
      <c r="I178" s="74"/>
      <c r="J178" s="75"/>
      <c r="K178" s="61"/>
      <c r="L178" s="62">
        <v>0</v>
      </c>
      <c r="M178" s="63">
        <v>0</v>
      </c>
      <c r="N178" s="64">
        <v>0</v>
      </c>
      <c r="O178" s="62">
        <v>0</v>
      </c>
      <c r="P178" s="65">
        <f t="shared" si="2"/>
        <v>0</v>
      </c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7"/>
      <c r="BF178" s="67"/>
      <c r="BG178" s="68"/>
      <c r="BI178" s="69">
        <v>0</v>
      </c>
      <c r="BJ178" s="70">
        <v>0</v>
      </c>
      <c r="BK178" s="71">
        <v>0</v>
      </c>
      <c r="BL178" s="71">
        <v>0</v>
      </c>
      <c r="BM178" s="71">
        <v>0</v>
      </c>
      <c r="BN178" s="72">
        <v>0</v>
      </c>
      <c r="BO178" s="73"/>
      <c r="BP178" s="73"/>
      <c r="BQ178" s="71">
        <v>0</v>
      </c>
      <c r="BR178" s="71">
        <v>0</v>
      </c>
      <c r="BS178" s="71">
        <v>0</v>
      </c>
      <c r="BT178" s="72">
        <v>0</v>
      </c>
      <c r="BU178" s="73"/>
      <c r="BV178" s="73"/>
    </row>
    <row r="179" ht="30" customHeight="1" spans="1:74">
      <c r="A179" s="55">
        <v>0</v>
      </c>
      <c r="B179" s="56">
        <v>0</v>
      </c>
      <c r="C179" s="57">
        <v>0</v>
      </c>
      <c r="E179" s="88"/>
      <c r="F179" s="59" t="e">
        <f>VLOOKUP(E179,[1]库存!$B$1:$C$65536,2,FALSE)</f>
        <v>#N/A</v>
      </c>
      <c r="G179" s="59" t="e">
        <v>#N/A</v>
      </c>
      <c r="H179" s="89"/>
      <c r="I179" s="88"/>
      <c r="J179" s="90"/>
      <c r="K179" s="61"/>
      <c r="L179" s="62">
        <v>0</v>
      </c>
      <c r="M179" s="63">
        <v>0</v>
      </c>
      <c r="N179" s="64">
        <v>0</v>
      </c>
      <c r="O179" s="62">
        <v>0</v>
      </c>
      <c r="P179" s="65">
        <f t="shared" si="2"/>
        <v>0</v>
      </c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7"/>
      <c r="BF179" s="67"/>
      <c r="BG179" s="68"/>
      <c r="BI179" s="69">
        <v>0</v>
      </c>
      <c r="BJ179" s="70">
        <v>0</v>
      </c>
      <c r="BK179" s="71">
        <v>0</v>
      </c>
      <c r="BL179" s="71">
        <v>0</v>
      </c>
      <c r="BM179" s="71">
        <v>0</v>
      </c>
      <c r="BN179" s="72">
        <v>0</v>
      </c>
      <c r="BO179" s="73"/>
      <c r="BP179" s="73"/>
      <c r="BQ179" s="71">
        <v>0</v>
      </c>
      <c r="BR179" s="71">
        <v>0</v>
      </c>
      <c r="BS179" s="71">
        <v>0</v>
      </c>
      <c r="BT179" s="72">
        <v>0</v>
      </c>
      <c r="BU179" s="73"/>
      <c r="BV179" s="73"/>
    </row>
    <row r="180" ht="30" customHeight="1" spans="1:74">
      <c r="A180" s="55" t="s">
        <v>165</v>
      </c>
      <c r="B180" s="56" t="s">
        <v>42</v>
      </c>
      <c r="C180" s="57" t="s">
        <v>43</v>
      </c>
      <c r="D180" s="59" t="s">
        <v>348</v>
      </c>
      <c r="E180" s="59" t="s">
        <v>349</v>
      </c>
      <c r="F180" s="59" t="str">
        <f>VLOOKUP(E180,[1]库存!$B$1:$C$65536,2,FALSE)</f>
        <v>NISSAN P42QR PAB C状态</v>
      </c>
      <c r="G180" s="59" t="s">
        <v>350</v>
      </c>
      <c r="H180" s="59" t="s">
        <v>351</v>
      </c>
      <c r="I180" s="59" t="s">
        <v>352</v>
      </c>
      <c r="J180" s="80" t="s">
        <v>65</v>
      </c>
      <c r="K180" s="61"/>
      <c r="L180" s="62">
        <v>3</v>
      </c>
      <c r="M180" s="63">
        <v>300</v>
      </c>
      <c r="N180" s="64">
        <v>30</v>
      </c>
      <c r="O180" s="62">
        <v>3</v>
      </c>
      <c r="P180" s="65">
        <f t="shared" si="2"/>
        <v>0</v>
      </c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105"/>
      <c r="BF180" s="67"/>
      <c r="BG180" s="68"/>
      <c r="BI180" s="69">
        <v>0</v>
      </c>
      <c r="BJ180" s="70">
        <v>0</v>
      </c>
      <c r="BK180" s="71">
        <v>0</v>
      </c>
      <c r="BL180" s="71">
        <v>0</v>
      </c>
      <c r="BM180" s="71">
        <v>0</v>
      </c>
      <c r="BN180" s="72">
        <v>0</v>
      </c>
      <c r="BO180" s="73"/>
      <c r="BP180" s="73"/>
      <c r="BQ180" s="71">
        <v>0</v>
      </c>
      <c r="BR180" s="71">
        <v>0</v>
      </c>
      <c r="BS180" s="71">
        <v>0</v>
      </c>
      <c r="BT180" s="72">
        <v>0</v>
      </c>
      <c r="BU180" s="73"/>
      <c r="BV180" s="73"/>
    </row>
    <row r="181" ht="30" customHeight="1" spans="1:74">
      <c r="A181" s="55">
        <v>0</v>
      </c>
      <c r="B181" s="56">
        <v>0</v>
      </c>
      <c r="C181" s="57">
        <v>0</v>
      </c>
      <c r="D181" s="74"/>
      <c r="E181" s="74"/>
      <c r="F181" s="59" t="e">
        <f>VLOOKUP(E181,[1]库存!$B$1:$C$65536,2,FALSE)</f>
        <v>#N/A</v>
      </c>
      <c r="G181" s="59" t="e">
        <v>#N/A</v>
      </c>
      <c r="H181" s="74"/>
      <c r="I181" s="74"/>
      <c r="J181" s="81"/>
      <c r="K181" s="61"/>
      <c r="L181" s="62">
        <v>0</v>
      </c>
      <c r="M181" s="63">
        <v>0</v>
      </c>
      <c r="N181" s="64">
        <v>0</v>
      </c>
      <c r="O181" s="62">
        <v>0</v>
      </c>
      <c r="P181" s="65">
        <f t="shared" si="2"/>
        <v>0</v>
      </c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7"/>
      <c r="BF181" s="67"/>
      <c r="BG181" s="68"/>
      <c r="BI181" s="69">
        <v>0</v>
      </c>
      <c r="BJ181" s="70">
        <v>0</v>
      </c>
      <c r="BK181" s="71">
        <v>0</v>
      </c>
      <c r="BL181" s="71">
        <v>0</v>
      </c>
      <c r="BM181" s="71">
        <v>0</v>
      </c>
      <c r="BN181" s="72">
        <v>0</v>
      </c>
      <c r="BO181" s="73"/>
      <c r="BP181" s="73"/>
      <c r="BQ181" s="71">
        <v>0</v>
      </c>
      <c r="BR181" s="71">
        <v>0</v>
      </c>
      <c r="BS181" s="71">
        <v>0</v>
      </c>
      <c r="BT181" s="72">
        <v>0</v>
      </c>
      <c r="BU181" s="73"/>
      <c r="BV181" s="73"/>
    </row>
    <row r="182" ht="30" customHeight="1" spans="1:74">
      <c r="A182" s="55" t="s">
        <v>165</v>
      </c>
      <c r="B182" s="56" t="s">
        <v>42</v>
      </c>
      <c r="C182" s="57" t="s">
        <v>43</v>
      </c>
      <c r="D182" s="59" t="s">
        <v>348</v>
      </c>
      <c r="E182" s="59" t="s">
        <v>353</v>
      </c>
      <c r="F182" s="59" t="str">
        <f>VLOOKUP(E182,[1]库存!$B$1:$C$65536,2,FALSE)</f>
        <v>NISSAN P42R PAB</v>
      </c>
      <c r="G182" s="59" t="s">
        <v>354</v>
      </c>
      <c r="H182" s="59" t="s">
        <v>355</v>
      </c>
      <c r="I182" s="59" t="s">
        <v>356</v>
      </c>
      <c r="J182" s="63"/>
      <c r="K182" s="61"/>
      <c r="L182" s="62">
        <v>3</v>
      </c>
      <c r="M182" s="63">
        <v>600</v>
      </c>
      <c r="N182" s="64">
        <v>28</v>
      </c>
      <c r="O182" s="62">
        <v>3</v>
      </c>
      <c r="P182" s="65">
        <f t="shared" si="2"/>
        <v>0</v>
      </c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105"/>
      <c r="BF182" s="67"/>
      <c r="BG182" s="68"/>
      <c r="BI182" s="69">
        <v>0</v>
      </c>
      <c r="BJ182" s="70">
        <v>0</v>
      </c>
      <c r="BK182" s="71">
        <v>0</v>
      </c>
      <c r="BL182" s="71">
        <v>0</v>
      </c>
      <c r="BM182" s="71">
        <v>0</v>
      </c>
      <c r="BN182" s="72">
        <v>0</v>
      </c>
      <c r="BO182" s="73"/>
      <c r="BP182" s="73"/>
      <c r="BQ182" s="71">
        <v>0</v>
      </c>
      <c r="BR182" s="71">
        <v>0</v>
      </c>
      <c r="BS182" s="71">
        <v>0</v>
      </c>
      <c r="BT182" s="72">
        <v>0</v>
      </c>
      <c r="BU182" s="73"/>
      <c r="BV182" s="73"/>
    </row>
    <row r="183" ht="30" customHeight="1" spans="1:74">
      <c r="A183" s="55">
        <v>0</v>
      </c>
      <c r="B183" s="56">
        <v>0</v>
      </c>
      <c r="C183" s="57">
        <v>0</v>
      </c>
      <c r="D183" s="74"/>
      <c r="E183" s="74"/>
      <c r="F183" s="59" t="e">
        <f>VLOOKUP(E183,[1]库存!$B$1:$C$65536,2,FALSE)</f>
        <v>#N/A</v>
      </c>
      <c r="G183" s="59" t="e">
        <v>#N/A</v>
      </c>
      <c r="H183" s="74"/>
      <c r="I183" s="74"/>
      <c r="J183" s="87"/>
      <c r="K183" s="61"/>
      <c r="L183" s="62">
        <v>0</v>
      </c>
      <c r="M183" s="63">
        <v>0</v>
      </c>
      <c r="N183" s="64">
        <v>0</v>
      </c>
      <c r="O183" s="62">
        <v>0</v>
      </c>
      <c r="P183" s="65">
        <f t="shared" si="2"/>
        <v>0</v>
      </c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7"/>
      <c r="BF183" s="67"/>
      <c r="BG183" s="68"/>
      <c r="BI183" s="69">
        <v>0</v>
      </c>
      <c r="BJ183" s="70">
        <v>0</v>
      </c>
      <c r="BK183" s="71">
        <v>0</v>
      </c>
      <c r="BL183" s="71">
        <v>0</v>
      </c>
      <c r="BM183" s="71">
        <v>0</v>
      </c>
      <c r="BN183" s="72">
        <v>0</v>
      </c>
      <c r="BO183" s="73"/>
      <c r="BP183" s="73"/>
      <c r="BQ183" s="71">
        <v>0</v>
      </c>
      <c r="BR183" s="71">
        <v>0</v>
      </c>
      <c r="BS183" s="71">
        <v>0</v>
      </c>
      <c r="BT183" s="72">
        <v>0</v>
      </c>
      <c r="BU183" s="73"/>
      <c r="BV183" s="73"/>
    </row>
    <row r="184" ht="30" customHeight="1" spans="1:74">
      <c r="A184" s="55">
        <v>0</v>
      </c>
      <c r="B184" s="56">
        <v>0</v>
      </c>
      <c r="C184" s="57">
        <v>0</v>
      </c>
      <c r="E184" s="88"/>
      <c r="F184" s="59" t="e">
        <f>VLOOKUP(E184,[1]库存!$B$1:$C$65536,2,FALSE)</f>
        <v>#N/A</v>
      </c>
      <c r="G184" s="59" t="e">
        <v>#N/A</v>
      </c>
      <c r="H184" s="89"/>
      <c r="I184" s="88"/>
      <c r="J184" s="90"/>
      <c r="K184" s="61"/>
      <c r="L184" s="62">
        <v>0</v>
      </c>
      <c r="M184" s="63">
        <v>0</v>
      </c>
      <c r="N184" s="64">
        <v>0</v>
      </c>
      <c r="O184" s="62">
        <v>0</v>
      </c>
      <c r="P184" s="65">
        <f t="shared" si="2"/>
        <v>0</v>
      </c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7"/>
      <c r="BF184" s="67"/>
      <c r="BG184" s="68"/>
      <c r="BI184" s="69">
        <v>0</v>
      </c>
      <c r="BJ184" s="70">
        <v>0</v>
      </c>
      <c r="BK184" s="71">
        <v>0</v>
      </c>
      <c r="BL184" s="71">
        <v>0</v>
      </c>
      <c r="BM184" s="71">
        <v>0</v>
      </c>
      <c r="BN184" s="72">
        <v>0</v>
      </c>
      <c r="BO184" s="73"/>
      <c r="BP184" s="73"/>
      <c r="BQ184" s="71">
        <v>0</v>
      </c>
      <c r="BR184" s="71">
        <v>0</v>
      </c>
      <c r="BS184" s="71">
        <v>0</v>
      </c>
      <c r="BT184" s="72">
        <v>0</v>
      </c>
      <c r="BU184" s="73"/>
      <c r="BV184" s="73"/>
    </row>
    <row r="185" ht="30" customHeight="1" spans="1:74">
      <c r="A185" s="55" t="s">
        <v>211</v>
      </c>
      <c r="B185" s="56" t="s">
        <v>42</v>
      </c>
      <c r="C185" s="57" t="s">
        <v>43</v>
      </c>
      <c r="D185" s="91" t="s">
        <v>357</v>
      </c>
      <c r="E185" s="91" t="s">
        <v>358</v>
      </c>
      <c r="F185" s="91" t="str">
        <f>VLOOKUP(E185,[1]库存!$B$1:$C$65536,2,FALSE)</f>
        <v>HC KAB D状态</v>
      </c>
      <c r="G185" s="91" t="s">
        <v>359</v>
      </c>
      <c r="H185" s="91" t="s">
        <v>360</v>
      </c>
      <c r="I185" s="91" t="s">
        <v>361</v>
      </c>
      <c r="J185" s="64"/>
      <c r="K185" s="61"/>
      <c r="L185" s="62">
        <v>2</v>
      </c>
      <c r="M185" s="63">
        <v>1000</v>
      </c>
      <c r="N185" s="64">
        <v>14</v>
      </c>
      <c r="O185" s="62">
        <v>2</v>
      </c>
      <c r="P185" s="65">
        <f t="shared" si="2"/>
        <v>0</v>
      </c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7"/>
      <c r="BF185" s="67"/>
      <c r="BG185" s="68"/>
      <c r="BI185" s="69">
        <v>0</v>
      </c>
      <c r="BJ185" s="70">
        <v>0</v>
      </c>
      <c r="BK185" s="71">
        <v>0</v>
      </c>
      <c r="BL185" s="71">
        <v>0</v>
      </c>
      <c r="BM185" s="71">
        <v>0</v>
      </c>
      <c r="BN185" s="72">
        <v>0</v>
      </c>
      <c r="BO185" s="73"/>
      <c r="BP185" s="73"/>
      <c r="BQ185" s="71">
        <v>0</v>
      </c>
      <c r="BR185" s="71">
        <v>0</v>
      </c>
      <c r="BS185" s="71">
        <v>0</v>
      </c>
      <c r="BT185" s="72">
        <v>0</v>
      </c>
      <c r="BU185" s="73"/>
      <c r="BV185" s="73"/>
    </row>
    <row r="186" ht="30" customHeight="1" spans="1:74">
      <c r="A186" s="55">
        <v>0</v>
      </c>
      <c r="B186" s="56">
        <v>0</v>
      </c>
      <c r="C186" s="57">
        <v>0</v>
      </c>
      <c r="D186" s="92"/>
      <c r="E186" s="92"/>
      <c r="F186" s="91" t="e">
        <f>VLOOKUP(E186,[1]库存!$B$1:$C$65536,2,FALSE)</f>
        <v>#N/A</v>
      </c>
      <c r="G186" s="91" t="e">
        <v>#N/A</v>
      </c>
      <c r="H186" s="92"/>
      <c r="I186" s="92"/>
      <c r="J186" s="93"/>
      <c r="K186" s="61"/>
      <c r="L186" s="62">
        <v>0</v>
      </c>
      <c r="M186" s="63">
        <v>0</v>
      </c>
      <c r="N186" s="64">
        <v>0</v>
      </c>
      <c r="O186" s="62">
        <v>0</v>
      </c>
      <c r="P186" s="65">
        <f t="shared" si="2"/>
        <v>0</v>
      </c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7"/>
      <c r="BF186" s="67"/>
      <c r="BG186" s="68"/>
      <c r="BI186" s="69">
        <v>0</v>
      </c>
      <c r="BJ186" s="70">
        <v>0</v>
      </c>
      <c r="BK186" s="71">
        <v>0</v>
      </c>
      <c r="BL186" s="71">
        <v>0</v>
      </c>
      <c r="BM186" s="71">
        <v>0</v>
      </c>
      <c r="BN186" s="72">
        <v>0</v>
      </c>
      <c r="BO186" s="73"/>
      <c r="BP186" s="73"/>
      <c r="BQ186" s="71">
        <v>0</v>
      </c>
      <c r="BR186" s="71">
        <v>0</v>
      </c>
      <c r="BS186" s="71">
        <v>0</v>
      </c>
      <c r="BT186" s="72">
        <v>0</v>
      </c>
      <c r="BU186" s="73"/>
      <c r="BV186" s="73"/>
    </row>
    <row r="187" ht="30" customHeight="1" spans="1:74">
      <c r="A187" s="55" t="s">
        <v>41</v>
      </c>
      <c r="B187" s="56" t="s">
        <v>42</v>
      </c>
      <c r="C187" s="57" t="s">
        <v>43</v>
      </c>
      <c r="D187" s="59" t="s">
        <v>362</v>
      </c>
      <c r="E187" s="59" t="s">
        <v>363</v>
      </c>
      <c r="F187" s="59" t="str">
        <f>VLOOKUP(E187,[1]库存!$B$1:$C$65536,2,FALSE)</f>
        <v>FORD U625 SAB LH 防挡片</v>
      </c>
      <c r="G187" s="59" t="s">
        <v>364</v>
      </c>
      <c r="H187" s="59" t="s">
        <v>365</v>
      </c>
      <c r="I187" s="59" t="s">
        <v>366</v>
      </c>
      <c r="J187" s="63"/>
      <c r="K187" s="61"/>
      <c r="L187" s="62">
        <v>1</v>
      </c>
      <c r="M187" s="63">
        <v>1000</v>
      </c>
      <c r="N187" s="64">
        <v>2</v>
      </c>
      <c r="O187" s="62">
        <v>1</v>
      </c>
      <c r="P187" s="65">
        <f t="shared" si="2"/>
        <v>0</v>
      </c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7"/>
      <c r="BF187" s="67"/>
      <c r="BG187" s="68"/>
      <c r="BI187" s="69">
        <v>0</v>
      </c>
      <c r="BJ187" s="70">
        <v>0</v>
      </c>
      <c r="BK187" s="71">
        <v>0</v>
      </c>
      <c r="BL187" s="71">
        <v>0</v>
      </c>
      <c r="BM187" s="71">
        <v>0</v>
      </c>
      <c r="BN187" s="72">
        <v>0</v>
      </c>
      <c r="BO187" s="73"/>
      <c r="BP187" s="73"/>
      <c r="BQ187" s="71">
        <v>0</v>
      </c>
      <c r="BR187" s="71">
        <v>0</v>
      </c>
      <c r="BS187" s="71">
        <v>0</v>
      </c>
      <c r="BT187" s="72">
        <v>0</v>
      </c>
      <c r="BU187" s="73"/>
      <c r="BV187" s="73"/>
    </row>
    <row r="188" ht="30" customHeight="1" spans="1:74">
      <c r="A188" s="55">
        <v>0</v>
      </c>
      <c r="B188" s="56">
        <v>0</v>
      </c>
      <c r="C188" s="57">
        <v>0</v>
      </c>
      <c r="D188" s="74"/>
      <c r="E188" s="74"/>
      <c r="F188" s="59" t="e">
        <f>VLOOKUP(E188,[1]库存!$B$1:$C$65536,2,FALSE)</f>
        <v>#N/A</v>
      </c>
      <c r="G188" s="59" t="e">
        <v>#N/A</v>
      </c>
      <c r="H188" s="74"/>
      <c r="I188" s="74"/>
      <c r="J188" s="87"/>
      <c r="K188" s="61"/>
      <c r="L188" s="62">
        <v>0</v>
      </c>
      <c r="M188" s="63">
        <v>0</v>
      </c>
      <c r="N188" s="64">
        <v>0</v>
      </c>
      <c r="O188" s="62">
        <v>0</v>
      </c>
      <c r="P188" s="65">
        <f t="shared" si="2"/>
        <v>0</v>
      </c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7"/>
      <c r="BF188" s="67"/>
      <c r="BG188" s="68"/>
      <c r="BI188" s="69">
        <v>0</v>
      </c>
      <c r="BJ188" s="70">
        <v>0</v>
      </c>
      <c r="BK188" s="71">
        <v>0</v>
      </c>
      <c r="BL188" s="71">
        <v>0</v>
      </c>
      <c r="BM188" s="71">
        <v>0</v>
      </c>
      <c r="BN188" s="72">
        <v>0</v>
      </c>
      <c r="BO188" s="73"/>
      <c r="BP188" s="73"/>
      <c r="BQ188" s="71">
        <v>0</v>
      </c>
      <c r="BR188" s="71">
        <v>0</v>
      </c>
      <c r="BS188" s="71">
        <v>0</v>
      </c>
      <c r="BT188" s="72">
        <v>0</v>
      </c>
      <c r="BU188" s="73"/>
      <c r="BV188" s="73"/>
    </row>
    <row r="189" ht="30" customHeight="1" spans="1:74">
      <c r="A189" s="55" t="s">
        <v>41</v>
      </c>
      <c r="B189" s="56" t="s">
        <v>42</v>
      </c>
      <c r="C189" s="57" t="s">
        <v>43</v>
      </c>
      <c r="D189" s="59" t="s">
        <v>362</v>
      </c>
      <c r="E189" s="59" t="s">
        <v>367</v>
      </c>
      <c r="F189" s="59" t="str">
        <f>VLOOKUP(E189,[1]库存!$B$1:$C$65536,2,FALSE)</f>
        <v>FORD U625 SAB RH 防挡片</v>
      </c>
      <c r="G189" s="59" t="s">
        <v>368</v>
      </c>
      <c r="H189" s="59" t="s">
        <v>369</v>
      </c>
      <c r="I189" s="59" t="s">
        <v>366</v>
      </c>
      <c r="J189" s="63"/>
      <c r="K189" s="61"/>
      <c r="L189" s="62">
        <v>1</v>
      </c>
      <c r="M189" s="63">
        <v>1000</v>
      </c>
      <c r="N189" s="64">
        <v>2</v>
      </c>
      <c r="O189" s="62">
        <v>1</v>
      </c>
      <c r="P189" s="65">
        <f t="shared" si="2"/>
        <v>0</v>
      </c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7"/>
      <c r="BF189" s="67"/>
      <c r="BG189" s="68"/>
      <c r="BI189" s="69">
        <v>0</v>
      </c>
      <c r="BJ189" s="70">
        <v>0</v>
      </c>
      <c r="BK189" s="71">
        <v>0</v>
      </c>
      <c r="BL189" s="71">
        <v>0</v>
      </c>
      <c r="BM189" s="71">
        <v>0</v>
      </c>
      <c r="BN189" s="72">
        <v>0</v>
      </c>
      <c r="BO189" s="73"/>
      <c r="BP189" s="73"/>
      <c r="BQ189" s="71">
        <v>0</v>
      </c>
      <c r="BR189" s="71">
        <v>0</v>
      </c>
      <c r="BS189" s="71">
        <v>0</v>
      </c>
      <c r="BT189" s="72">
        <v>0</v>
      </c>
      <c r="BU189" s="73"/>
      <c r="BV189" s="73"/>
    </row>
    <row r="190" ht="30" customHeight="1" spans="1:74">
      <c r="A190" s="55">
        <v>0</v>
      </c>
      <c r="B190" s="56">
        <v>0</v>
      </c>
      <c r="C190" s="57">
        <v>0</v>
      </c>
      <c r="D190" s="74"/>
      <c r="E190" s="74"/>
      <c r="F190" s="59" t="e">
        <f>VLOOKUP(E190,[1]库存!$B$1:$C$65536,2,FALSE)</f>
        <v>#N/A</v>
      </c>
      <c r="G190" s="59" t="e">
        <v>#N/A</v>
      </c>
      <c r="H190" s="74"/>
      <c r="I190" s="74"/>
      <c r="J190" s="87"/>
      <c r="K190" s="61"/>
      <c r="L190" s="62">
        <v>0</v>
      </c>
      <c r="M190" s="63">
        <v>0</v>
      </c>
      <c r="N190" s="64">
        <v>0</v>
      </c>
      <c r="O190" s="62">
        <v>0</v>
      </c>
      <c r="P190" s="65">
        <f t="shared" si="2"/>
        <v>0</v>
      </c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7"/>
      <c r="BF190" s="67"/>
      <c r="BG190" s="68"/>
      <c r="BI190" s="69">
        <v>0</v>
      </c>
      <c r="BJ190" s="70">
        <v>0</v>
      </c>
      <c r="BK190" s="71">
        <v>0</v>
      </c>
      <c r="BL190" s="71">
        <v>0</v>
      </c>
      <c r="BM190" s="71">
        <v>0</v>
      </c>
      <c r="BN190" s="72">
        <v>0</v>
      </c>
      <c r="BO190" s="73"/>
      <c r="BP190" s="73"/>
      <c r="BQ190" s="71">
        <v>0</v>
      </c>
      <c r="BR190" s="71">
        <v>0</v>
      </c>
      <c r="BS190" s="71">
        <v>0</v>
      </c>
      <c r="BT190" s="72">
        <v>0</v>
      </c>
      <c r="BU190" s="73"/>
      <c r="BV190" s="73"/>
    </row>
    <row r="191" ht="30" customHeight="1" spans="1:74">
      <c r="A191" s="55" t="s">
        <v>41</v>
      </c>
      <c r="B191" s="56" t="s">
        <v>42</v>
      </c>
      <c r="C191" s="57" t="s">
        <v>43</v>
      </c>
      <c r="D191" s="91" t="s">
        <v>357</v>
      </c>
      <c r="E191" s="91" t="s">
        <v>370</v>
      </c>
      <c r="F191" s="91" t="str">
        <f>VLOOKUP(E191,[1]库存!$B$1:$C$65536,2,FALSE)</f>
        <v>FORD U625 SAB LH</v>
      </c>
      <c r="G191" s="91" t="s">
        <v>371</v>
      </c>
      <c r="H191" s="91" t="s">
        <v>372</v>
      </c>
      <c r="I191" s="91" t="s">
        <v>373</v>
      </c>
      <c r="J191" s="63"/>
      <c r="K191" s="61"/>
      <c r="L191" s="62">
        <v>2</v>
      </c>
      <c r="M191" s="63">
        <v>1200</v>
      </c>
      <c r="N191" s="64">
        <v>12</v>
      </c>
      <c r="O191" s="62">
        <v>2</v>
      </c>
      <c r="P191" s="65">
        <f t="shared" si="2"/>
        <v>0</v>
      </c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7"/>
      <c r="BF191" s="67"/>
      <c r="BG191" s="68"/>
      <c r="BI191" s="69">
        <v>0</v>
      </c>
      <c r="BJ191" s="70">
        <v>0</v>
      </c>
      <c r="BK191" s="71">
        <v>0</v>
      </c>
      <c r="BL191" s="71">
        <v>0</v>
      </c>
      <c r="BM191" s="71">
        <v>0</v>
      </c>
      <c r="BN191" s="72">
        <v>0</v>
      </c>
      <c r="BO191" s="73"/>
      <c r="BP191" s="73"/>
      <c r="BQ191" s="71">
        <v>0</v>
      </c>
      <c r="BR191" s="71">
        <v>0</v>
      </c>
      <c r="BS191" s="71">
        <v>0</v>
      </c>
      <c r="BT191" s="72">
        <v>0</v>
      </c>
      <c r="BU191" s="73"/>
      <c r="BV191" s="73"/>
    </row>
    <row r="192" ht="30" customHeight="1" spans="1:74">
      <c r="A192" s="55">
        <v>0</v>
      </c>
      <c r="B192" s="56">
        <v>0</v>
      </c>
      <c r="C192" s="57">
        <v>0</v>
      </c>
      <c r="D192" s="92"/>
      <c r="E192" s="92"/>
      <c r="F192" s="91" t="e">
        <f>VLOOKUP(E192,[1]库存!$B$1:$C$65536,2,FALSE)</f>
        <v>#N/A</v>
      </c>
      <c r="G192" s="91" t="e">
        <v>#N/A</v>
      </c>
      <c r="H192" s="92"/>
      <c r="I192" s="92"/>
      <c r="J192" s="87"/>
      <c r="K192" s="61"/>
      <c r="L192" s="62">
        <v>0</v>
      </c>
      <c r="M192" s="63">
        <v>0</v>
      </c>
      <c r="N192" s="64">
        <v>0</v>
      </c>
      <c r="O192" s="62">
        <v>0</v>
      </c>
      <c r="P192" s="65">
        <f t="shared" si="2"/>
        <v>0</v>
      </c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7"/>
      <c r="BF192" s="67"/>
      <c r="BG192" s="68"/>
      <c r="BI192" s="69">
        <v>0</v>
      </c>
      <c r="BJ192" s="70">
        <v>0</v>
      </c>
      <c r="BK192" s="71">
        <v>0</v>
      </c>
      <c r="BL192" s="71">
        <v>0</v>
      </c>
      <c r="BM192" s="71">
        <v>0</v>
      </c>
      <c r="BN192" s="72">
        <v>0</v>
      </c>
      <c r="BO192" s="73"/>
      <c r="BP192" s="73"/>
      <c r="BQ192" s="71">
        <v>0</v>
      </c>
      <c r="BR192" s="71">
        <v>0</v>
      </c>
      <c r="BS192" s="71">
        <v>0</v>
      </c>
      <c r="BT192" s="72">
        <v>0</v>
      </c>
      <c r="BU192" s="73"/>
      <c r="BV192" s="73"/>
    </row>
    <row r="193" ht="30" customHeight="1" spans="1:74">
      <c r="A193" s="55" t="s">
        <v>41</v>
      </c>
      <c r="B193" s="56" t="s">
        <v>42</v>
      </c>
      <c r="C193" s="57" t="s">
        <v>43</v>
      </c>
      <c r="D193" s="91" t="s">
        <v>357</v>
      </c>
      <c r="E193" s="91" t="s">
        <v>374</v>
      </c>
      <c r="F193" s="91" t="str">
        <f>VLOOKUP(E193,[1]库存!$B$1:$C$65536,2,FALSE)</f>
        <v>FORD U625 SAB RH</v>
      </c>
      <c r="G193" s="91" t="s">
        <v>375</v>
      </c>
      <c r="H193" s="91" t="s">
        <v>376</v>
      </c>
      <c r="I193" s="91" t="s">
        <v>373</v>
      </c>
      <c r="J193" s="63"/>
      <c r="K193" s="61"/>
      <c r="L193" s="62">
        <v>2</v>
      </c>
      <c r="M193" s="63">
        <v>1200</v>
      </c>
      <c r="N193" s="64">
        <v>12</v>
      </c>
      <c r="O193" s="62">
        <v>2</v>
      </c>
      <c r="P193" s="65">
        <f t="shared" si="2"/>
        <v>0</v>
      </c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7"/>
      <c r="BF193" s="67"/>
      <c r="BG193" s="68"/>
      <c r="BI193" s="69">
        <v>0</v>
      </c>
      <c r="BJ193" s="70">
        <v>0</v>
      </c>
      <c r="BK193" s="71">
        <v>0</v>
      </c>
      <c r="BL193" s="71">
        <v>0</v>
      </c>
      <c r="BM193" s="71">
        <v>0</v>
      </c>
      <c r="BN193" s="72">
        <v>0</v>
      </c>
      <c r="BO193" s="73"/>
      <c r="BP193" s="73"/>
      <c r="BQ193" s="71">
        <v>0</v>
      </c>
      <c r="BR193" s="71">
        <v>0</v>
      </c>
      <c r="BS193" s="71">
        <v>0</v>
      </c>
      <c r="BT193" s="72">
        <v>0</v>
      </c>
      <c r="BU193" s="73"/>
      <c r="BV193" s="73"/>
    </row>
    <row r="194" ht="30" customHeight="1" spans="1:74">
      <c r="A194" s="55">
        <v>0</v>
      </c>
      <c r="B194" s="56">
        <v>0</v>
      </c>
      <c r="C194" s="57">
        <v>0</v>
      </c>
      <c r="D194" s="92"/>
      <c r="E194" s="92"/>
      <c r="F194" s="91" t="e">
        <f>VLOOKUP(E194,[1]库存!$B$1:$C$65536,2,FALSE)</f>
        <v>#N/A</v>
      </c>
      <c r="G194" s="91" t="e">
        <v>#N/A</v>
      </c>
      <c r="H194" s="92"/>
      <c r="I194" s="92"/>
      <c r="J194" s="87"/>
      <c r="K194" s="61"/>
      <c r="L194" s="62">
        <v>0</v>
      </c>
      <c r="M194" s="63">
        <v>0</v>
      </c>
      <c r="N194" s="64">
        <v>0</v>
      </c>
      <c r="O194" s="62">
        <v>0</v>
      </c>
      <c r="P194" s="65">
        <f t="shared" si="2"/>
        <v>0</v>
      </c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7"/>
      <c r="BF194" s="67"/>
      <c r="BG194" s="68"/>
      <c r="BI194" s="69">
        <v>0</v>
      </c>
      <c r="BJ194" s="70">
        <v>0</v>
      </c>
      <c r="BK194" s="71">
        <v>0</v>
      </c>
      <c r="BL194" s="71">
        <v>0</v>
      </c>
      <c r="BM194" s="71">
        <v>0</v>
      </c>
      <c r="BN194" s="72">
        <v>0</v>
      </c>
      <c r="BO194" s="73"/>
      <c r="BP194" s="73"/>
      <c r="BQ194" s="71">
        <v>0</v>
      </c>
      <c r="BR194" s="71">
        <v>0</v>
      </c>
      <c r="BS194" s="71">
        <v>0</v>
      </c>
      <c r="BT194" s="72">
        <v>0</v>
      </c>
      <c r="BU194" s="73"/>
      <c r="BV194" s="73"/>
    </row>
    <row r="195" ht="30" customHeight="1" spans="1:74">
      <c r="A195" s="55" t="s">
        <v>41</v>
      </c>
      <c r="B195" s="56" t="s">
        <v>42</v>
      </c>
      <c r="C195" s="57" t="s">
        <v>43</v>
      </c>
      <c r="D195" s="59" t="s">
        <v>357</v>
      </c>
      <c r="E195" s="59" t="s">
        <v>377</v>
      </c>
      <c r="F195" s="59" t="str">
        <f>VLOOKUP(E195,[1]库存!$B$1:$C$65536,2,FALSE)</f>
        <v>A30 KAB LH</v>
      </c>
      <c r="G195" s="59" t="s">
        <v>378</v>
      </c>
      <c r="H195" s="59" t="s">
        <v>379</v>
      </c>
      <c r="I195" s="131" t="s">
        <v>380</v>
      </c>
      <c r="J195" s="97" t="s">
        <v>381</v>
      </c>
      <c r="K195" s="61"/>
      <c r="L195" s="62">
        <v>2</v>
      </c>
      <c r="M195" s="63">
        <v>200</v>
      </c>
      <c r="N195" s="64">
        <v>17</v>
      </c>
      <c r="O195" s="62">
        <v>2</v>
      </c>
      <c r="P195" s="65">
        <f t="shared" si="2"/>
        <v>0</v>
      </c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7"/>
      <c r="BF195" s="67"/>
      <c r="BG195" s="68"/>
      <c r="BI195" s="69">
        <v>0</v>
      </c>
      <c r="BJ195" s="70">
        <v>0</v>
      </c>
      <c r="BK195" s="71">
        <v>0</v>
      </c>
      <c r="BL195" s="71">
        <v>0</v>
      </c>
      <c r="BM195" s="71">
        <v>0</v>
      </c>
      <c r="BN195" s="72">
        <v>0</v>
      </c>
      <c r="BO195" s="73"/>
      <c r="BP195" s="73"/>
      <c r="BQ195" s="71">
        <v>0</v>
      </c>
      <c r="BR195" s="71">
        <v>0</v>
      </c>
      <c r="BS195" s="71">
        <v>0</v>
      </c>
      <c r="BT195" s="72">
        <v>0</v>
      </c>
      <c r="BU195" s="73"/>
      <c r="BV195" s="73"/>
    </row>
    <row r="196" ht="30" customHeight="1" spans="1:74">
      <c r="A196" s="55">
        <v>0</v>
      </c>
      <c r="B196" s="56">
        <v>0</v>
      </c>
      <c r="C196" s="57">
        <v>0</v>
      </c>
      <c r="D196" s="74"/>
      <c r="E196" s="74"/>
      <c r="F196" s="59" t="e">
        <f>VLOOKUP(E196,[1]库存!$B$1:$C$65536,2,FALSE)</f>
        <v>#N/A</v>
      </c>
      <c r="G196" s="59" t="e">
        <v>#N/A</v>
      </c>
      <c r="H196" s="74"/>
      <c r="I196" s="132"/>
      <c r="J196" s="98"/>
      <c r="K196" s="61"/>
      <c r="L196" s="62">
        <v>0</v>
      </c>
      <c r="M196" s="63">
        <v>0</v>
      </c>
      <c r="N196" s="64">
        <v>0</v>
      </c>
      <c r="O196" s="62">
        <v>0</v>
      </c>
      <c r="P196" s="65">
        <f t="shared" si="2"/>
        <v>0</v>
      </c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7"/>
      <c r="BF196" s="67"/>
      <c r="BG196" s="68"/>
      <c r="BI196" s="69">
        <v>0</v>
      </c>
      <c r="BJ196" s="70">
        <v>0</v>
      </c>
      <c r="BK196" s="71">
        <v>0</v>
      </c>
      <c r="BL196" s="71">
        <v>0</v>
      </c>
      <c r="BM196" s="71">
        <v>0</v>
      </c>
      <c r="BN196" s="72">
        <v>0</v>
      </c>
      <c r="BO196" s="73"/>
      <c r="BP196" s="73"/>
      <c r="BQ196" s="71">
        <v>0</v>
      </c>
      <c r="BR196" s="71">
        <v>0</v>
      </c>
      <c r="BS196" s="71">
        <v>0</v>
      </c>
      <c r="BT196" s="72">
        <v>0</v>
      </c>
      <c r="BU196" s="73"/>
      <c r="BV196" s="73"/>
    </row>
    <row r="197" ht="30" customHeight="1" spans="1:74">
      <c r="A197" s="55">
        <v>0</v>
      </c>
      <c r="B197" s="56" t="s">
        <v>42</v>
      </c>
      <c r="C197" s="57" t="s">
        <v>43</v>
      </c>
      <c r="D197" s="59" t="s">
        <v>357</v>
      </c>
      <c r="E197" s="59" t="s">
        <v>382</v>
      </c>
      <c r="F197" s="59" t="str">
        <f>VLOOKUP(E197,[1]库存!$B$1:$C$65536,2,FALSE)</f>
        <v>A30 KAB RH</v>
      </c>
      <c r="G197" s="59" t="s">
        <v>383</v>
      </c>
      <c r="H197" s="59" t="s">
        <v>384</v>
      </c>
      <c r="I197" s="131" t="s">
        <v>380</v>
      </c>
      <c r="J197" s="133" t="s">
        <v>65</v>
      </c>
      <c r="K197" s="61"/>
      <c r="L197" s="62">
        <v>2</v>
      </c>
      <c r="M197" s="63">
        <v>200</v>
      </c>
      <c r="N197" s="64">
        <v>17</v>
      </c>
      <c r="O197" s="62">
        <v>2</v>
      </c>
      <c r="P197" s="65">
        <f t="shared" si="2"/>
        <v>0</v>
      </c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7"/>
      <c r="BF197" s="67"/>
      <c r="BG197" s="68"/>
      <c r="BI197" s="69">
        <v>0</v>
      </c>
      <c r="BJ197" s="70">
        <v>0</v>
      </c>
      <c r="BK197" s="71">
        <v>0</v>
      </c>
      <c r="BL197" s="71">
        <v>0</v>
      </c>
      <c r="BM197" s="71">
        <v>0</v>
      </c>
      <c r="BN197" s="72">
        <v>0</v>
      </c>
      <c r="BO197" s="73"/>
      <c r="BP197" s="73"/>
      <c r="BQ197" s="71">
        <v>0</v>
      </c>
      <c r="BR197" s="71">
        <v>0</v>
      </c>
      <c r="BS197" s="71">
        <v>0</v>
      </c>
      <c r="BT197" s="72">
        <v>0</v>
      </c>
      <c r="BU197" s="73"/>
      <c r="BV197" s="73"/>
    </row>
    <row r="198" ht="30" customHeight="1" spans="1:74">
      <c r="A198" s="55">
        <v>0</v>
      </c>
      <c r="B198" s="56">
        <v>0</v>
      </c>
      <c r="C198" s="57">
        <v>0</v>
      </c>
      <c r="D198" s="74"/>
      <c r="E198" s="74"/>
      <c r="F198" s="59" t="e">
        <f>VLOOKUP(E198,[1]库存!$B$1:$C$65536,2,FALSE)</f>
        <v>#N/A</v>
      </c>
      <c r="G198" s="59" t="e">
        <v>#N/A</v>
      </c>
      <c r="H198" s="74"/>
      <c r="I198" s="132"/>
      <c r="J198" s="134"/>
      <c r="K198" s="61"/>
      <c r="L198" s="62">
        <v>0</v>
      </c>
      <c r="M198" s="63">
        <v>0</v>
      </c>
      <c r="N198" s="64">
        <v>0</v>
      </c>
      <c r="O198" s="62">
        <v>0</v>
      </c>
      <c r="P198" s="65">
        <f t="shared" ref="P198:P261" si="3">SUM(AG198:AJ198)</f>
        <v>0</v>
      </c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7"/>
      <c r="BF198" s="67"/>
      <c r="BG198" s="68"/>
      <c r="BI198" s="69">
        <v>0</v>
      </c>
      <c r="BJ198" s="70">
        <v>0</v>
      </c>
      <c r="BK198" s="71">
        <v>0</v>
      </c>
      <c r="BL198" s="71">
        <v>0</v>
      </c>
      <c r="BM198" s="71">
        <v>0</v>
      </c>
      <c r="BN198" s="72">
        <v>0</v>
      </c>
      <c r="BO198" s="73"/>
      <c r="BP198" s="73"/>
      <c r="BQ198" s="71">
        <v>0</v>
      </c>
      <c r="BR198" s="71">
        <v>0</v>
      </c>
      <c r="BS198" s="71">
        <v>0</v>
      </c>
      <c r="BT198" s="72">
        <v>0</v>
      </c>
      <c r="BU198" s="73"/>
      <c r="BV198" s="73"/>
    </row>
    <row r="199" ht="30" customHeight="1" spans="1:74">
      <c r="A199" s="55" t="s">
        <v>41</v>
      </c>
      <c r="B199" s="56" t="s">
        <v>42</v>
      </c>
      <c r="C199" s="57" t="s">
        <v>43</v>
      </c>
      <c r="D199" s="135" t="s">
        <v>357</v>
      </c>
      <c r="E199" s="135" t="s">
        <v>385</v>
      </c>
      <c r="F199" s="135" t="str">
        <f>VLOOKUP(E199,[1]库存!$B$1:$C$65536,2,FALSE)</f>
        <v>MQB A7 KAB</v>
      </c>
      <c r="G199" s="135" t="s">
        <v>386</v>
      </c>
      <c r="H199" s="135" t="s">
        <v>387</v>
      </c>
      <c r="I199" s="136" t="s">
        <v>388</v>
      </c>
      <c r="J199" s="137" t="s">
        <v>389</v>
      </c>
      <c r="K199" s="61"/>
      <c r="L199" s="62">
        <v>2</v>
      </c>
      <c r="M199" s="63">
        <v>200</v>
      </c>
      <c r="N199" s="64">
        <v>18</v>
      </c>
      <c r="O199" s="62">
        <v>2</v>
      </c>
      <c r="P199" s="65">
        <f t="shared" si="3"/>
        <v>0</v>
      </c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7"/>
      <c r="BF199" s="67"/>
      <c r="BG199" s="68"/>
      <c r="BI199" s="69">
        <v>0</v>
      </c>
      <c r="BJ199" s="70">
        <v>0</v>
      </c>
      <c r="BK199" s="71">
        <v>0</v>
      </c>
      <c r="BL199" s="71">
        <v>0</v>
      </c>
      <c r="BM199" s="71">
        <v>0</v>
      </c>
      <c r="BN199" s="72">
        <v>0</v>
      </c>
      <c r="BO199" s="73"/>
      <c r="BP199" s="73"/>
      <c r="BQ199" s="71">
        <v>0</v>
      </c>
      <c r="BR199" s="71">
        <v>0</v>
      </c>
      <c r="BS199" s="71">
        <v>0</v>
      </c>
      <c r="BT199" s="72">
        <v>0</v>
      </c>
      <c r="BU199" s="73"/>
      <c r="BV199" s="73"/>
    </row>
    <row r="200" ht="30" customHeight="1" spans="1:74">
      <c r="A200" s="55">
        <v>0</v>
      </c>
      <c r="B200" s="56">
        <v>0</v>
      </c>
      <c r="C200" s="57">
        <v>0</v>
      </c>
      <c r="D200" s="138"/>
      <c r="E200" s="138"/>
      <c r="F200" s="135" t="e">
        <f>VLOOKUP(E200,[1]库存!$B$1:$C$65536,2,FALSE)</f>
        <v>#N/A</v>
      </c>
      <c r="G200" s="135" t="e">
        <v>#N/A</v>
      </c>
      <c r="H200" s="138"/>
      <c r="I200" s="139"/>
      <c r="J200" s="137"/>
      <c r="K200" s="61"/>
      <c r="L200" s="62">
        <v>0</v>
      </c>
      <c r="M200" s="63">
        <v>0</v>
      </c>
      <c r="N200" s="64">
        <v>0</v>
      </c>
      <c r="O200" s="62">
        <v>0</v>
      </c>
      <c r="P200" s="65">
        <f t="shared" si="3"/>
        <v>0</v>
      </c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7"/>
      <c r="BF200" s="67"/>
      <c r="BG200" s="68"/>
      <c r="BI200" s="69">
        <v>0</v>
      </c>
      <c r="BJ200" s="70">
        <v>0</v>
      </c>
      <c r="BK200" s="71">
        <v>0</v>
      </c>
      <c r="BL200" s="71">
        <v>0</v>
      </c>
      <c r="BM200" s="71">
        <v>0</v>
      </c>
      <c r="BN200" s="72">
        <v>0</v>
      </c>
      <c r="BO200" s="73"/>
      <c r="BP200" s="73"/>
      <c r="BQ200" s="71">
        <v>0</v>
      </c>
      <c r="BR200" s="71">
        <v>0</v>
      </c>
      <c r="BS200" s="71">
        <v>0</v>
      </c>
      <c r="BT200" s="72">
        <v>0</v>
      </c>
      <c r="BU200" s="73"/>
      <c r="BV200" s="73"/>
    </row>
    <row r="201" ht="30" customHeight="1" spans="1:74">
      <c r="A201" s="55" t="s">
        <v>96</v>
      </c>
      <c r="B201" s="56">
        <v>0</v>
      </c>
      <c r="C201" s="57">
        <v>0</v>
      </c>
      <c r="D201" s="140" t="s">
        <v>357</v>
      </c>
      <c r="E201" s="140" t="s">
        <v>390</v>
      </c>
      <c r="F201" s="141" t="str">
        <f>VLOOKUP(E201,[1]库存!$B$1:$C$65536,2,FALSE)</f>
        <v>FAW-VW MQB A7 KAB</v>
      </c>
      <c r="G201" s="141" t="s">
        <v>391</v>
      </c>
      <c r="H201" s="140" t="s">
        <v>392</v>
      </c>
      <c r="I201" s="142" t="s">
        <v>388</v>
      </c>
      <c r="J201" s="143" t="s">
        <v>393</v>
      </c>
      <c r="K201" s="61"/>
      <c r="L201" s="62">
        <v>0</v>
      </c>
      <c r="M201" s="63">
        <v>0</v>
      </c>
      <c r="N201" s="64">
        <v>0</v>
      </c>
      <c r="O201" s="62">
        <v>0</v>
      </c>
      <c r="P201" s="65">
        <f t="shared" si="3"/>
        <v>0</v>
      </c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53"/>
      <c r="BF201" s="53"/>
      <c r="BG201" s="68"/>
      <c r="BI201" s="69">
        <v>0</v>
      </c>
      <c r="BJ201" s="70">
        <v>0</v>
      </c>
      <c r="BK201" s="71">
        <v>0</v>
      </c>
      <c r="BL201" s="71">
        <v>0</v>
      </c>
      <c r="BM201" s="71">
        <v>0</v>
      </c>
      <c r="BN201" s="72">
        <v>0</v>
      </c>
      <c r="BO201" s="73"/>
      <c r="BP201" s="73"/>
      <c r="BQ201" s="71">
        <v>0</v>
      </c>
      <c r="BR201" s="71">
        <v>0</v>
      </c>
      <c r="BS201" s="71">
        <v>0</v>
      </c>
      <c r="BT201" s="72">
        <v>0</v>
      </c>
      <c r="BU201" s="73"/>
      <c r="BV201" s="73"/>
    </row>
    <row r="202" ht="30" customHeight="1" spans="1:74">
      <c r="A202" s="55">
        <v>0</v>
      </c>
      <c r="B202" s="56">
        <v>0</v>
      </c>
      <c r="C202" s="57">
        <v>0</v>
      </c>
      <c r="D202" s="144"/>
      <c r="E202" s="144"/>
      <c r="F202" s="141" t="e">
        <f>VLOOKUP(E202,[1]库存!$B$1:$C$65536,2,FALSE)</f>
        <v>#N/A</v>
      </c>
      <c r="G202" s="141" t="e">
        <v>#N/A</v>
      </c>
      <c r="H202" s="144"/>
      <c r="I202" s="145"/>
      <c r="J202" s="146"/>
      <c r="K202" s="61"/>
      <c r="L202" s="62">
        <v>0</v>
      </c>
      <c r="M202" s="63">
        <v>0</v>
      </c>
      <c r="N202" s="64">
        <v>0</v>
      </c>
      <c r="O202" s="62">
        <v>0</v>
      </c>
      <c r="P202" s="65">
        <f t="shared" si="3"/>
        <v>0</v>
      </c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53"/>
      <c r="BF202" s="53"/>
      <c r="BG202" s="68"/>
      <c r="BI202" s="69">
        <v>0</v>
      </c>
      <c r="BJ202" s="70">
        <v>0</v>
      </c>
      <c r="BK202" s="71">
        <v>0</v>
      </c>
      <c r="BL202" s="71">
        <v>0</v>
      </c>
      <c r="BM202" s="71">
        <v>0</v>
      </c>
      <c r="BN202" s="72">
        <v>0</v>
      </c>
      <c r="BO202" s="73"/>
      <c r="BP202" s="73"/>
      <c r="BQ202" s="71">
        <v>0</v>
      </c>
      <c r="BR202" s="71">
        <v>0</v>
      </c>
      <c r="BS202" s="71">
        <v>0</v>
      </c>
      <c r="BT202" s="72">
        <v>0</v>
      </c>
      <c r="BU202" s="73"/>
      <c r="BV202" s="73"/>
    </row>
    <row r="203" ht="30" customHeight="1" spans="1:74">
      <c r="A203" s="55" t="s">
        <v>211</v>
      </c>
      <c r="B203" s="56" t="s">
        <v>42</v>
      </c>
      <c r="C203" s="57" t="s">
        <v>43</v>
      </c>
      <c r="D203" s="59" t="s">
        <v>357</v>
      </c>
      <c r="E203" s="59" t="s">
        <v>394</v>
      </c>
      <c r="F203" s="59" t="str">
        <f>VLOOKUP(E203,[1]库存!$B$1:$C$65536,2,FALSE)</f>
        <v>HXHA-D2 KAB</v>
      </c>
      <c r="G203" s="59" t="s">
        <v>395</v>
      </c>
      <c r="H203" s="59" t="s">
        <v>396</v>
      </c>
      <c r="I203" s="59" t="s">
        <v>397</v>
      </c>
      <c r="J203" s="97" t="s">
        <v>381</v>
      </c>
      <c r="K203" s="61"/>
      <c r="L203" s="62">
        <v>0</v>
      </c>
      <c r="M203" s="63">
        <v>800</v>
      </c>
      <c r="N203" s="64">
        <v>15</v>
      </c>
      <c r="O203" s="62">
        <v>0</v>
      </c>
      <c r="P203" s="65">
        <f t="shared" si="3"/>
        <v>0</v>
      </c>
      <c r="R203" s="66"/>
      <c r="T203" s="66"/>
      <c r="V203" s="66"/>
      <c r="X203" s="66"/>
      <c r="Z203" s="66"/>
      <c r="AB203" s="66"/>
      <c r="AD203" s="66"/>
      <c r="AF203" s="66"/>
      <c r="AH203" s="66"/>
      <c r="AJ203" s="66"/>
      <c r="AL203" s="66"/>
      <c r="AN203" s="66"/>
      <c r="AP203" s="66"/>
      <c r="AR203" s="66"/>
      <c r="AT203" s="66"/>
      <c r="AV203" s="66"/>
      <c r="AX203" s="66"/>
      <c r="AZ203" s="66"/>
      <c r="BB203" s="66"/>
      <c r="BD203" s="66"/>
      <c r="BF203" s="67"/>
      <c r="BG203" s="68"/>
      <c r="BI203" s="69">
        <v>0</v>
      </c>
      <c r="BJ203" s="70">
        <v>0</v>
      </c>
      <c r="BK203" s="71">
        <v>0</v>
      </c>
      <c r="BL203" s="71">
        <v>0</v>
      </c>
      <c r="BM203" s="71">
        <v>0</v>
      </c>
      <c r="BN203" s="72">
        <v>0</v>
      </c>
      <c r="BO203" s="73"/>
      <c r="BP203" s="73"/>
      <c r="BQ203" s="71">
        <v>0</v>
      </c>
      <c r="BR203" s="71">
        <v>0</v>
      </c>
      <c r="BS203" s="71">
        <v>0</v>
      </c>
      <c r="BT203" s="72">
        <v>0</v>
      </c>
      <c r="BU203" s="73"/>
      <c r="BV203" s="73"/>
    </row>
    <row r="204" ht="30" customHeight="1" spans="1:74">
      <c r="A204" s="55">
        <v>0</v>
      </c>
      <c r="B204" s="56">
        <v>0</v>
      </c>
      <c r="C204" s="57">
        <v>0</v>
      </c>
      <c r="D204" s="74"/>
      <c r="E204" s="74"/>
      <c r="F204" s="59" t="e">
        <f>VLOOKUP(E204,[1]库存!$B$1:$C$65536,2,FALSE)</f>
        <v>#N/A</v>
      </c>
      <c r="G204" s="59" t="e">
        <v>#N/A</v>
      </c>
      <c r="H204" s="74"/>
      <c r="I204" s="74"/>
      <c r="J204" s="98"/>
      <c r="K204" s="61"/>
      <c r="L204" s="62">
        <v>0</v>
      </c>
      <c r="M204" s="63">
        <v>0</v>
      </c>
      <c r="N204" s="64">
        <v>0</v>
      </c>
      <c r="O204" s="62">
        <v>0</v>
      </c>
      <c r="P204" s="65">
        <f t="shared" si="3"/>
        <v>0</v>
      </c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7"/>
      <c r="BF204" s="67"/>
      <c r="BG204" s="68"/>
      <c r="BI204" s="69">
        <v>0</v>
      </c>
      <c r="BJ204" s="70">
        <v>0</v>
      </c>
      <c r="BK204" s="71">
        <v>0</v>
      </c>
      <c r="BL204" s="71">
        <v>0</v>
      </c>
      <c r="BM204" s="71">
        <v>0</v>
      </c>
      <c r="BN204" s="72">
        <v>0</v>
      </c>
      <c r="BO204" s="73"/>
      <c r="BP204" s="73"/>
      <c r="BQ204" s="71">
        <v>0</v>
      </c>
      <c r="BR204" s="71">
        <v>0</v>
      </c>
      <c r="BS204" s="71">
        <v>0</v>
      </c>
      <c r="BT204" s="72">
        <v>0</v>
      </c>
      <c r="BU204" s="73"/>
      <c r="BV204" s="73"/>
    </row>
    <row r="205" ht="30" customHeight="1" spans="1:74">
      <c r="A205" s="55">
        <v>0</v>
      </c>
      <c r="B205" s="56" t="s">
        <v>42</v>
      </c>
      <c r="C205" s="57" t="s">
        <v>43</v>
      </c>
      <c r="D205" s="59" t="s">
        <v>357</v>
      </c>
      <c r="E205" s="59" t="s">
        <v>398</v>
      </c>
      <c r="F205" s="59" t="e">
        <f>VLOOKUP(E205,[1]库存!$B$1:$C$65536,2,FALSE)</f>
        <v>#N/A</v>
      </c>
      <c r="G205" s="59" t="e">
        <v>#N/A</v>
      </c>
      <c r="H205" s="59" t="s">
        <v>399</v>
      </c>
      <c r="I205" s="131" t="s">
        <v>380</v>
      </c>
      <c r="J205" s="147"/>
      <c r="K205" s="61"/>
      <c r="L205" s="62">
        <v>2</v>
      </c>
      <c r="M205" s="63">
        <v>600</v>
      </c>
      <c r="N205" s="64">
        <v>18</v>
      </c>
      <c r="O205" s="62">
        <v>2</v>
      </c>
      <c r="P205" s="65">
        <f t="shared" si="3"/>
        <v>0</v>
      </c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7"/>
      <c r="BF205" s="67"/>
      <c r="BG205" s="68"/>
      <c r="BI205" s="69">
        <v>0</v>
      </c>
      <c r="BJ205" s="70">
        <v>0</v>
      </c>
      <c r="BK205" s="71">
        <v>0</v>
      </c>
      <c r="BL205" s="71">
        <v>0</v>
      </c>
      <c r="BM205" s="71">
        <v>0</v>
      </c>
      <c r="BN205" s="72">
        <v>0</v>
      </c>
      <c r="BO205" s="73"/>
      <c r="BP205" s="73"/>
      <c r="BQ205" s="71">
        <v>0</v>
      </c>
      <c r="BR205" s="71">
        <v>0</v>
      </c>
      <c r="BS205" s="71">
        <v>0</v>
      </c>
      <c r="BT205" s="72">
        <v>0</v>
      </c>
      <c r="BU205" s="73"/>
      <c r="BV205" s="73"/>
    </row>
    <row r="206" ht="30" customHeight="1" spans="1:74">
      <c r="A206" s="55">
        <v>0</v>
      </c>
      <c r="B206" s="56">
        <v>0</v>
      </c>
      <c r="C206" s="57">
        <v>0</v>
      </c>
      <c r="D206" s="74"/>
      <c r="E206" s="74"/>
      <c r="F206" s="59" t="e">
        <f>VLOOKUP(E206,[1]库存!$B$1:$C$65536,2,FALSE)</f>
        <v>#N/A</v>
      </c>
      <c r="G206" s="59" t="e">
        <v>#N/A</v>
      </c>
      <c r="H206" s="74"/>
      <c r="I206" s="132"/>
      <c r="J206" s="148"/>
      <c r="K206" s="61"/>
      <c r="L206" s="62">
        <v>0</v>
      </c>
      <c r="M206" s="63">
        <v>0</v>
      </c>
      <c r="N206" s="64">
        <v>0</v>
      </c>
      <c r="O206" s="62">
        <v>0</v>
      </c>
      <c r="P206" s="65">
        <f t="shared" si="3"/>
        <v>0</v>
      </c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7"/>
      <c r="BF206" s="67"/>
      <c r="BG206" s="68"/>
      <c r="BI206" s="69">
        <v>0</v>
      </c>
      <c r="BJ206" s="70">
        <v>0</v>
      </c>
      <c r="BK206" s="71">
        <v>0</v>
      </c>
      <c r="BL206" s="71">
        <v>0</v>
      </c>
      <c r="BM206" s="71">
        <v>0</v>
      </c>
      <c r="BN206" s="72">
        <v>0</v>
      </c>
      <c r="BO206" s="73"/>
      <c r="BP206" s="73"/>
      <c r="BQ206" s="71">
        <v>0</v>
      </c>
      <c r="BR206" s="71">
        <v>0</v>
      </c>
      <c r="BS206" s="71">
        <v>0</v>
      </c>
      <c r="BT206" s="72">
        <v>0</v>
      </c>
      <c r="BU206" s="73"/>
      <c r="BV206" s="73"/>
    </row>
    <row r="207" ht="30" customHeight="1" spans="1:74">
      <c r="A207" s="55">
        <v>0</v>
      </c>
      <c r="B207" s="56" t="s">
        <v>42</v>
      </c>
      <c r="C207" s="57" t="s">
        <v>43</v>
      </c>
      <c r="D207" s="59" t="s">
        <v>357</v>
      </c>
      <c r="E207" s="59" t="s">
        <v>400</v>
      </c>
      <c r="F207" s="59" t="e">
        <f>VLOOKUP(E207,[1]库存!$B$1:$C$65536,2,FALSE)</f>
        <v>#N/A</v>
      </c>
      <c r="G207" s="59" t="e">
        <v>#N/A</v>
      </c>
      <c r="H207" s="129" t="s">
        <v>401</v>
      </c>
      <c r="I207" s="131" t="s">
        <v>402</v>
      </c>
      <c r="J207" s="147"/>
      <c r="K207" s="61"/>
      <c r="L207" s="62">
        <v>2</v>
      </c>
      <c r="M207" s="63">
        <v>200</v>
      </c>
      <c r="N207" s="64">
        <v>17</v>
      </c>
      <c r="O207" s="62">
        <v>2</v>
      </c>
      <c r="P207" s="65">
        <f t="shared" si="3"/>
        <v>0</v>
      </c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7"/>
      <c r="BF207" s="67"/>
      <c r="BG207" s="68"/>
      <c r="BI207" s="69">
        <v>0</v>
      </c>
      <c r="BJ207" s="70">
        <v>0</v>
      </c>
      <c r="BK207" s="71">
        <v>0</v>
      </c>
      <c r="BL207" s="71">
        <v>0</v>
      </c>
      <c r="BM207" s="71">
        <v>0</v>
      </c>
      <c r="BN207" s="72">
        <v>0</v>
      </c>
      <c r="BO207" s="73"/>
      <c r="BP207" s="73"/>
      <c r="BQ207" s="71">
        <v>0</v>
      </c>
      <c r="BR207" s="71">
        <v>0</v>
      </c>
      <c r="BS207" s="71">
        <v>0</v>
      </c>
      <c r="BT207" s="72">
        <v>0</v>
      </c>
      <c r="BU207" s="73"/>
      <c r="BV207" s="73"/>
    </row>
    <row r="208" ht="30" customHeight="1" spans="1:74">
      <c r="A208" s="55">
        <v>0</v>
      </c>
      <c r="B208" s="56">
        <v>0</v>
      </c>
      <c r="C208" s="57">
        <v>0</v>
      </c>
      <c r="D208" s="74"/>
      <c r="E208" s="74"/>
      <c r="F208" s="59" t="e">
        <f>VLOOKUP(E208,[1]库存!$B$1:$C$65536,2,FALSE)</f>
        <v>#N/A</v>
      </c>
      <c r="G208" s="59" t="e">
        <v>#N/A</v>
      </c>
      <c r="H208" s="130"/>
      <c r="I208" s="132"/>
      <c r="J208" s="148"/>
      <c r="K208" s="61"/>
      <c r="L208" s="62">
        <v>0</v>
      </c>
      <c r="M208" s="63">
        <v>0</v>
      </c>
      <c r="N208" s="64">
        <v>0</v>
      </c>
      <c r="O208" s="62">
        <v>0</v>
      </c>
      <c r="P208" s="65">
        <f t="shared" si="3"/>
        <v>0</v>
      </c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7"/>
      <c r="BF208" s="67"/>
      <c r="BG208" s="68"/>
      <c r="BI208" s="69">
        <v>0</v>
      </c>
      <c r="BJ208" s="70">
        <v>0</v>
      </c>
      <c r="BK208" s="71">
        <v>0</v>
      </c>
      <c r="BL208" s="71">
        <v>0</v>
      </c>
      <c r="BM208" s="71">
        <v>0</v>
      </c>
      <c r="BN208" s="72">
        <v>0</v>
      </c>
      <c r="BO208" s="73"/>
      <c r="BP208" s="73"/>
      <c r="BQ208" s="71">
        <v>0</v>
      </c>
      <c r="BR208" s="71">
        <v>0</v>
      </c>
      <c r="BS208" s="71">
        <v>0</v>
      </c>
      <c r="BT208" s="72">
        <v>0</v>
      </c>
      <c r="BU208" s="73"/>
      <c r="BV208" s="73"/>
    </row>
    <row r="209" ht="30" customHeight="1" spans="1:74">
      <c r="A209" s="55">
        <v>0</v>
      </c>
      <c r="B209" s="56" t="s">
        <v>42</v>
      </c>
      <c r="C209" s="57" t="s">
        <v>43</v>
      </c>
      <c r="D209" s="59" t="s">
        <v>403</v>
      </c>
      <c r="E209" s="59"/>
      <c r="F209" s="59" t="e">
        <f>VLOOKUP(E209,[1]库存!$B$1:$C$65536,2,FALSE)</f>
        <v>#N/A</v>
      </c>
      <c r="G209" s="59" t="e">
        <v>#N/A</v>
      </c>
      <c r="H209" s="59" t="s">
        <v>404</v>
      </c>
      <c r="I209" s="59" t="s">
        <v>405</v>
      </c>
      <c r="J209" s="63"/>
      <c r="K209" s="61"/>
      <c r="L209" s="62">
        <v>1</v>
      </c>
      <c r="M209" s="63">
        <v>1400</v>
      </c>
      <c r="N209" s="64">
        <v>3</v>
      </c>
      <c r="O209" s="62">
        <v>1</v>
      </c>
      <c r="P209" s="65">
        <f t="shared" si="3"/>
        <v>0</v>
      </c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  <c r="AI209" s="149"/>
      <c r="AJ209" s="149"/>
      <c r="AK209" s="149"/>
      <c r="AL209" s="149"/>
      <c r="AM209" s="149"/>
      <c r="AN209" s="149"/>
      <c r="AO209" s="149"/>
      <c r="AP209" s="149"/>
      <c r="AQ209" s="149"/>
      <c r="AR209" s="149"/>
      <c r="AS209" s="149"/>
      <c r="AT209" s="149"/>
      <c r="AU209" s="149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50"/>
      <c r="BF209" s="150"/>
      <c r="BG209" s="68"/>
      <c r="BI209" s="69">
        <v>0</v>
      </c>
      <c r="BJ209" s="70">
        <v>0</v>
      </c>
      <c r="BK209" s="71">
        <v>0</v>
      </c>
      <c r="BL209" s="71">
        <v>0</v>
      </c>
      <c r="BM209" s="71">
        <v>0</v>
      </c>
      <c r="BN209" s="72">
        <v>0</v>
      </c>
      <c r="BO209" s="151" t="e">
        <f t="shared" ref="BO209:BO214" si="4">(BK209+BL209)/BJ209</f>
        <v>#DIV/0!</v>
      </c>
      <c r="BP209" s="151" t="e">
        <f t="shared" ref="BP209:BP214" si="5">BM209/BJ209</f>
        <v>#DIV/0!</v>
      </c>
      <c r="BQ209" s="71">
        <v>0</v>
      </c>
      <c r="BR209" s="71">
        <v>0</v>
      </c>
      <c r="BS209" s="71">
        <v>0</v>
      </c>
      <c r="BT209" s="72">
        <v>0</v>
      </c>
      <c r="BU209" s="151" t="e">
        <f t="shared" ref="BU209:BU214" si="6">(BQ209+BR209)/BJ209</f>
        <v>#DIV/0!</v>
      </c>
      <c r="BV209" s="151" t="e">
        <f t="shared" ref="BV209:BV214" si="7">BS209/BJ209</f>
        <v>#DIV/0!</v>
      </c>
    </row>
    <row r="210" ht="30" customHeight="1" spans="1:74">
      <c r="A210" s="55">
        <v>0</v>
      </c>
      <c r="B210" s="56">
        <v>0</v>
      </c>
      <c r="C210" s="57">
        <v>0</v>
      </c>
      <c r="D210" s="152"/>
      <c r="E210" s="152"/>
      <c r="F210" s="59" t="e">
        <f>VLOOKUP(E210,[1]库存!$B$1:$C$65536,2,FALSE)</f>
        <v>#N/A</v>
      </c>
      <c r="G210" s="59" t="e">
        <v>#N/A</v>
      </c>
      <c r="H210" s="152"/>
      <c r="I210" s="152"/>
      <c r="J210" s="87"/>
      <c r="K210" s="61"/>
      <c r="L210" s="153">
        <v>0</v>
      </c>
      <c r="M210" s="63">
        <v>0</v>
      </c>
      <c r="N210" s="64">
        <v>0</v>
      </c>
      <c r="O210" s="153">
        <v>0</v>
      </c>
      <c r="P210" s="65">
        <f t="shared" si="3"/>
        <v>0</v>
      </c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7"/>
      <c r="BF210" s="67"/>
      <c r="BG210" s="68"/>
      <c r="BI210" s="69">
        <v>0</v>
      </c>
      <c r="BJ210" s="70">
        <v>0</v>
      </c>
      <c r="BK210" s="71">
        <v>0</v>
      </c>
      <c r="BL210" s="71">
        <v>0</v>
      </c>
      <c r="BM210" s="71">
        <v>0</v>
      </c>
      <c r="BN210" s="72">
        <v>0</v>
      </c>
      <c r="BO210" s="151" t="e">
        <f t="shared" si="4"/>
        <v>#DIV/0!</v>
      </c>
      <c r="BP210" s="151" t="e">
        <f t="shared" si="5"/>
        <v>#DIV/0!</v>
      </c>
      <c r="BQ210" s="71">
        <v>0</v>
      </c>
      <c r="BR210" s="71">
        <v>0</v>
      </c>
      <c r="BS210" s="71">
        <v>0</v>
      </c>
      <c r="BT210" s="72">
        <v>0</v>
      </c>
      <c r="BU210" s="151" t="e">
        <f t="shared" si="6"/>
        <v>#DIV/0!</v>
      </c>
      <c r="BV210" s="151" t="e">
        <f t="shared" si="7"/>
        <v>#DIV/0!</v>
      </c>
    </row>
    <row r="211" ht="30" customHeight="1" spans="1:74">
      <c r="A211" s="55">
        <v>0</v>
      </c>
      <c r="B211" s="56" t="s">
        <v>42</v>
      </c>
      <c r="C211" s="57" t="s">
        <v>43</v>
      </c>
      <c r="D211" s="59" t="s">
        <v>357</v>
      </c>
      <c r="E211" s="59"/>
      <c r="F211" s="59" t="e">
        <f>VLOOKUP(E211,[1]库存!$B$1:$C$65536,2,FALSE)</f>
        <v>#N/A</v>
      </c>
      <c r="G211" s="59" t="e">
        <v>#N/A</v>
      </c>
      <c r="H211" s="59" t="s">
        <v>406</v>
      </c>
      <c r="I211" s="59" t="s">
        <v>407</v>
      </c>
      <c r="J211" s="63"/>
      <c r="K211" s="61"/>
      <c r="L211" s="62">
        <v>1</v>
      </c>
      <c r="M211" s="63">
        <v>1400</v>
      </c>
      <c r="N211" s="64">
        <v>3</v>
      </c>
      <c r="O211" s="62">
        <v>1</v>
      </c>
      <c r="P211" s="65">
        <f t="shared" si="3"/>
        <v>0</v>
      </c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/>
      <c r="AS211" s="149"/>
      <c r="AT211" s="149"/>
      <c r="AU211" s="149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50"/>
      <c r="BF211" s="150"/>
      <c r="BG211" s="68"/>
      <c r="BI211" s="69">
        <v>0</v>
      </c>
      <c r="BJ211" s="70">
        <v>0</v>
      </c>
      <c r="BK211" s="71">
        <v>0</v>
      </c>
      <c r="BL211" s="71">
        <v>0</v>
      </c>
      <c r="BM211" s="71">
        <v>0</v>
      </c>
      <c r="BN211" s="72">
        <v>0</v>
      </c>
      <c r="BO211" s="151" t="e">
        <f t="shared" si="4"/>
        <v>#DIV/0!</v>
      </c>
      <c r="BP211" s="151" t="e">
        <f t="shared" si="5"/>
        <v>#DIV/0!</v>
      </c>
      <c r="BQ211" s="71">
        <v>0</v>
      </c>
      <c r="BR211" s="71">
        <v>0</v>
      </c>
      <c r="BS211" s="71">
        <v>0</v>
      </c>
      <c r="BT211" s="72">
        <v>0</v>
      </c>
      <c r="BU211" s="151" t="e">
        <f t="shared" si="6"/>
        <v>#DIV/0!</v>
      </c>
      <c r="BV211" s="151" t="e">
        <f t="shared" si="7"/>
        <v>#DIV/0!</v>
      </c>
    </row>
    <row r="212" ht="30" customHeight="1" spans="1:74">
      <c r="A212" s="55">
        <v>0</v>
      </c>
      <c r="B212" s="56">
        <v>0</v>
      </c>
      <c r="C212" s="57">
        <v>0</v>
      </c>
      <c r="D212" s="74"/>
      <c r="E212" s="152"/>
      <c r="F212" s="59" t="e">
        <f>VLOOKUP(E212,[1]库存!$B$1:$C$65536,2,FALSE)</f>
        <v>#N/A</v>
      </c>
      <c r="G212" s="59" t="e">
        <v>#N/A</v>
      </c>
      <c r="H212" s="152"/>
      <c r="I212" s="152"/>
      <c r="J212" s="87"/>
      <c r="K212" s="61"/>
      <c r="L212" s="153">
        <v>0</v>
      </c>
      <c r="M212" s="63">
        <v>0</v>
      </c>
      <c r="N212" s="64">
        <v>0</v>
      </c>
      <c r="O212" s="153">
        <v>0</v>
      </c>
      <c r="P212" s="65">
        <f t="shared" si="3"/>
        <v>0</v>
      </c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7"/>
      <c r="BF212" s="67"/>
      <c r="BG212" s="68"/>
      <c r="BI212" s="69">
        <v>0</v>
      </c>
      <c r="BJ212" s="70">
        <v>0</v>
      </c>
      <c r="BK212" s="71">
        <v>0</v>
      </c>
      <c r="BL212" s="71">
        <v>0</v>
      </c>
      <c r="BM212" s="71">
        <v>0</v>
      </c>
      <c r="BN212" s="72">
        <v>0</v>
      </c>
      <c r="BO212" s="151" t="e">
        <f t="shared" si="4"/>
        <v>#DIV/0!</v>
      </c>
      <c r="BP212" s="151" t="e">
        <f t="shared" si="5"/>
        <v>#DIV/0!</v>
      </c>
      <c r="BQ212" s="71">
        <v>0</v>
      </c>
      <c r="BR212" s="71">
        <v>0</v>
      </c>
      <c r="BS212" s="71">
        <v>0</v>
      </c>
      <c r="BT212" s="72">
        <v>0</v>
      </c>
      <c r="BU212" s="151" t="e">
        <f t="shared" si="6"/>
        <v>#DIV/0!</v>
      </c>
      <c r="BV212" s="151" t="e">
        <f t="shared" si="7"/>
        <v>#DIV/0!</v>
      </c>
    </row>
    <row r="213" ht="30" customHeight="1" spans="1:74">
      <c r="A213" s="55">
        <v>0</v>
      </c>
      <c r="B213" s="56" t="s">
        <v>42</v>
      </c>
      <c r="C213" s="57" t="s">
        <v>43</v>
      </c>
      <c r="D213" s="59" t="s">
        <v>357</v>
      </c>
      <c r="E213" s="59"/>
      <c r="F213" s="59" t="e">
        <f>VLOOKUP(E213,[1]库存!$B$1:$C$65536,2,FALSE)</f>
        <v>#N/A</v>
      </c>
      <c r="G213" s="59" t="e">
        <v>#N/A</v>
      </c>
      <c r="H213" s="59" t="s">
        <v>408</v>
      </c>
      <c r="I213" s="59" t="s">
        <v>409</v>
      </c>
      <c r="J213" s="63"/>
      <c r="K213" s="61"/>
      <c r="L213" s="62">
        <v>1</v>
      </c>
      <c r="M213" s="63">
        <v>1400</v>
      </c>
      <c r="N213" s="64">
        <v>0</v>
      </c>
      <c r="O213" s="62">
        <v>1</v>
      </c>
      <c r="P213" s="65">
        <f t="shared" si="3"/>
        <v>0</v>
      </c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50"/>
      <c r="BF213" s="150"/>
      <c r="BG213" s="68"/>
      <c r="BI213" s="69">
        <v>0</v>
      </c>
      <c r="BJ213" s="70">
        <v>0</v>
      </c>
      <c r="BK213" s="71">
        <v>0</v>
      </c>
      <c r="BL213" s="71">
        <v>0</v>
      </c>
      <c r="BM213" s="71">
        <v>0</v>
      </c>
      <c r="BN213" s="72">
        <v>0</v>
      </c>
      <c r="BO213" s="151" t="e">
        <f t="shared" si="4"/>
        <v>#DIV/0!</v>
      </c>
      <c r="BP213" s="151" t="e">
        <f t="shared" si="5"/>
        <v>#DIV/0!</v>
      </c>
      <c r="BQ213" s="71">
        <v>0</v>
      </c>
      <c r="BR213" s="71">
        <v>0</v>
      </c>
      <c r="BS213" s="71">
        <v>0</v>
      </c>
      <c r="BT213" s="72">
        <v>0</v>
      </c>
      <c r="BU213" s="151" t="e">
        <f t="shared" si="6"/>
        <v>#DIV/0!</v>
      </c>
      <c r="BV213" s="151" t="e">
        <f t="shared" si="7"/>
        <v>#DIV/0!</v>
      </c>
    </row>
    <row r="214" ht="30" customHeight="1" spans="1:74">
      <c r="A214" s="55">
        <v>0</v>
      </c>
      <c r="B214" s="56">
        <v>0</v>
      </c>
      <c r="C214" s="57">
        <v>0</v>
      </c>
      <c r="D214" s="74"/>
      <c r="E214" s="152"/>
      <c r="F214" s="59" t="e">
        <f>VLOOKUP(E214,[1]库存!$B$1:$C$65536,2,FALSE)</f>
        <v>#N/A</v>
      </c>
      <c r="G214" s="59" t="e">
        <v>#N/A</v>
      </c>
      <c r="H214" s="152"/>
      <c r="I214" s="152"/>
      <c r="J214" s="87"/>
      <c r="K214" s="61"/>
      <c r="L214" s="153">
        <v>0</v>
      </c>
      <c r="M214" s="63">
        <v>0</v>
      </c>
      <c r="N214" s="64">
        <v>0</v>
      </c>
      <c r="O214" s="153">
        <v>0</v>
      </c>
      <c r="P214" s="65">
        <f t="shared" si="3"/>
        <v>0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7"/>
      <c r="BF214" s="67"/>
      <c r="BG214" s="68"/>
      <c r="BI214" s="69">
        <v>0</v>
      </c>
      <c r="BJ214" s="70">
        <v>0</v>
      </c>
      <c r="BK214" s="71">
        <v>0</v>
      </c>
      <c r="BL214" s="71">
        <v>0</v>
      </c>
      <c r="BM214" s="71">
        <v>0</v>
      </c>
      <c r="BN214" s="72">
        <v>0</v>
      </c>
      <c r="BO214" s="151" t="e">
        <f t="shared" si="4"/>
        <v>#DIV/0!</v>
      </c>
      <c r="BP214" s="151" t="e">
        <f t="shared" si="5"/>
        <v>#DIV/0!</v>
      </c>
      <c r="BQ214" s="71">
        <v>0</v>
      </c>
      <c r="BR214" s="71">
        <v>0</v>
      </c>
      <c r="BS214" s="71">
        <v>0</v>
      </c>
      <c r="BT214" s="72">
        <v>0</v>
      </c>
      <c r="BU214" s="151" t="e">
        <f t="shared" si="6"/>
        <v>#DIV/0!</v>
      </c>
      <c r="BV214" s="151" t="e">
        <f t="shared" si="7"/>
        <v>#DIV/0!</v>
      </c>
    </row>
    <row r="215" ht="30" customHeight="1" spans="1:74">
      <c r="A215" s="55">
        <v>0</v>
      </c>
      <c r="B215" s="56">
        <v>0</v>
      </c>
      <c r="C215" s="57">
        <v>0</v>
      </c>
      <c r="D215" s="88"/>
      <c r="E215" s="88"/>
      <c r="F215" s="59" t="e">
        <f>VLOOKUP(E215,[1]库存!$B$1:$C$65536,2,FALSE)</f>
        <v>#N/A</v>
      </c>
      <c r="G215" s="59" t="e">
        <v>#N/A</v>
      </c>
      <c r="H215" s="89"/>
      <c r="I215" s="88"/>
      <c r="J215" s="90"/>
      <c r="K215" s="61"/>
      <c r="L215" s="62">
        <v>0</v>
      </c>
      <c r="M215" s="63">
        <v>0</v>
      </c>
      <c r="N215" s="64">
        <v>0</v>
      </c>
      <c r="O215" s="62">
        <v>0</v>
      </c>
      <c r="P215" s="65">
        <f t="shared" si="3"/>
        <v>0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7"/>
      <c r="BF215" s="67"/>
      <c r="BG215" s="68"/>
      <c r="BI215" s="69">
        <v>0</v>
      </c>
      <c r="BJ215" s="70">
        <v>0</v>
      </c>
      <c r="BK215" s="71">
        <v>0</v>
      </c>
      <c r="BL215" s="71">
        <v>0</v>
      </c>
      <c r="BM215" s="71">
        <v>0</v>
      </c>
      <c r="BN215" s="72">
        <v>0</v>
      </c>
      <c r="BO215" s="73"/>
      <c r="BP215" s="73"/>
      <c r="BQ215" s="71">
        <v>0</v>
      </c>
      <c r="BR215" s="71">
        <v>0</v>
      </c>
      <c r="BS215" s="71">
        <v>0</v>
      </c>
      <c r="BT215" s="72">
        <v>0</v>
      </c>
      <c r="BU215" s="73"/>
      <c r="BV215" s="73"/>
    </row>
    <row r="216" ht="30" customHeight="1" spans="1:74">
      <c r="A216" s="55" t="s">
        <v>410</v>
      </c>
      <c r="B216" s="56" t="s">
        <v>42</v>
      </c>
      <c r="C216" s="57" t="s">
        <v>43</v>
      </c>
      <c r="D216" s="52" t="s">
        <v>411</v>
      </c>
      <c r="E216" s="52" t="s">
        <v>412</v>
      </c>
      <c r="F216" s="59" t="str">
        <f>VLOOKUP(E216,[1]库存!$B$1:$C$65536,2,FALSE)</f>
        <v>XPG E29 PAB</v>
      </c>
      <c r="G216" s="59" t="s">
        <v>413</v>
      </c>
      <c r="H216" s="59" t="s">
        <v>414</v>
      </c>
      <c r="I216" s="59" t="s">
        <v>415</v>
      </c>
      <c r="J216" s="63"/>
      <c r="K216" s="61"/>
      <c r="L216" s="62">
        <v>3</v>
      </c>
      <c r="M216" s="63">
        <v>1250</v>
      </c>
      <c r="N216" s="64">
        <v>21</v>
      </c>
      <c r="O216" s="62">
        <v>2</v>
      </c>
      <c r="P216" s="65">
        <f t="shared" si="3"/>
        <v>0</v>
      </c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7"/>
      <c r="BF216" s="67"/>
      <c r="BG216" s="68"/>
      <c r="BI216" s="69">
        <v>0</v>
      </c>
      <c r="BJ216" s="70">
        <v>0</v>
      </c>
      <c r="BK216" s="71">
        <v>0</v>
      </c>
      <c r="BL216" s="71">
        <v>0</v>
      </c>
      <c r="BM216" s="71">
        <v>0</v>
      </c>
      <c r="BN216" s="72">
        <v>0</v>
      </c>
      <c r="BO216" s="73"/>
      <c r="BP216" s="73"/>
      <c r="BQ216" s="71">
        <v>0</v>
      </c>
      <c r="BR216" s="71">
        <v>0</v>
      </c>
      <c r="BS216" s="71">
        <v>0</v>
      </c>
      <c r="BT216" s="72">
        <v>0</v>
      </c>
      <c r="BU216" s="73"/>
      <c r="BV216" s="73"/>
    </row>
    <row r="217" ht="30" customHeight="1" spans="1:74">
      <c r="A217" s="55">
        <v>0</v>
      </c>
      <c r="B217" s="56">
        <v>0</v>
      </c>
      <c r="C217" s="57">
        <v>0</v>
      </c>
      <c r="D217" s="52"/>
      <c r="E217" s="52"/>
      <c r="F217" s="59" t="e">
        <f>VLOOKUP(E217,[1]库存!$B$1:$C$65536,2,FALSE)</f>
        <v>#N/A</v>
      </c>
      <c r="G217" s="59" t="e">
        <v>#N/A</v>
      </c>
      <c r="H217" s="152"/>
      <c r="I217" s="152"/>
      <c r="J217" s="87"/>
      <c r="K217" s="61"/>
      <c r="L217" s="62">
        <v>0</v>
      </c>
      <c r="M217" s="63">
        <v>0</v>
      </c>
      <c r="N217" s="64">
        <v>0</v>
      </c>
      <c r="O217" s="62">
        <v>0</v>
      </c>
      <c r="P217" s="65">
        <f t="shared" si="3"/>
        <v>0</v>
      </c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7"/>
      <c r="BF217" s="67"/>
      <c r="BG217" s="68"/>
      <c r="BI217" s="69">
        <v>0</v>
      </c>
      <c r="BJ217" s="70">
        <v>0</v>
      </c>
      <c r="BK217" s="71">
        <v>0</v>
      </c>
      <c r="BL217" s="71">
        <v>0</v>
      </c>
      <c r="BM217" s="71">
        <v>0</v>
      </c>
      <c r="BN217" s="72">
        <v>0</v>
      </c>
      <c r="BO217" s="73"/>
      <c r="BP217" s="73"/>
      <c r="BQ217" s="71">
        <v>0</v>
      </c>
      <c r="BR217" s="71">
        <v>0</v>
      </c>
      <c r="BS217" s="71">
        <v>0</v>
      </c>
      <c r="BT217" s="72">
        <v>0</v>
      </c>
      <c r="BU217" s="73"/>
      <c r="BV217" s="73"/>
    </row>
    <row r="218" ht="30" customHeight="1" spans="1:74">
      <c r="A218" s="55" t="s">
        <v>165</v>
      </c>
      <c r="B218" s="56" t="s">
        <v>42</v>
      </c>
      <c r="C218" s="57" t="s">
        <v>43</v>
      </c>
      <c r="D218" s="56" t="s">
        <v>411</v>
      </c>
      <c r="E218" s="56" t="s">
        <v>416</v>
      </c>
      <c r="F218" s="91" t="str">
        <f>VLOOKUP(E218,[1]库存!$B$1:$C$65536,2,FALSE)</f>
        <v>E0S(D01) PAB</v>
      </c>
      <c r="G218" s="91" t="s">
        <v>417</v>
      </c>
      <c r="H218" s="91" t="s">
        <v>418</v>
      </c>
      <c r="I218" s="56" t="s">
        <v>419</v>
      </c>
      <c r="J218" s="63" t="s">
        <v>420</v>
      </c>
      <c r="K218" s="61"/>
      <c r="L218" s="62">
        <v>3</v>
      </c>
      <c r="M218" s="63">
        <v>1000</v>
      </c>
      <c r="N218" s="64">
        <v>24</v>
      </c>
      <c r="O218" s="62">
        <v>2</v>
      </c>
      <c r="P218" s="65">
        <f t="shared" si="3"/>
        <v>0</v>
      </c>
      <c r="Q218" s="66"/>
      <c r="R218" s="66"/>
      <c r="S218" s="66">
        <v>700</v>
      </c>
      <c r="T218" s="66"/>
      <c r="U218" s="66">
        <v>600</v>
      </c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7"/>
      <c r="BF218" s="67"/>
      <c r="BG218" s="68"/>
      <c r="BI218" s="69">
        <v>0</v>
      </c>
      <c r="BJ218" s="70">
        <v>0</v>
      </c>
      <c r="BK218" s="71">
        <v>0</v>
      </c>
      <c r="BL218" s="71">
        <v>0</v>
      </c>
      <c r="BM218" s="71">
        <v>0</v>
      </c>
      <c r="BN218" s="72">
        <v>0</v>
      </c>
      <c r="BO218" s="73"/>
      <c r="BP218" s="73"/>
      <c r="BQ218" s="71">
        <v>0</v>
      </c>
      <c r="BR218" s="71">
        <v>0</v>
      </c>
      <c r="BS218" s="71">
        <v>0</v>
      </c>
      <c r="BT218" s="72">
        <v>0</v>
      </c>
      <c r="BU218" s="73"/>
      <c r="BV218" s="73"/>
    </row>
    <row r="219" ht="30" customHeight="1" spans="1:74">
      <c r="A219" s="55">
        <v>0</v>
      </c>
      <c r="B219" s="56">
        <v>0</v>
      </c>
      <c r="C219" s="57">
        <v>0</v>
      </c>
      <c r="D219" s="56"/>
      <c r="E219" s="56"/>
      <c r="F219" s="91" t="e">
        <f>VLOOKUP(E219,[1]库存!$B$1:$C$65536,2,FALSE)</f>
        <v>#N/A</v>
      </c>
      <c r="G219" s="91" t="e">
        <v>#N/A</v>
      </c>
      <c r="H219" s="154"/>
      <c r="I219" s="56"/>
      <c r="J219" s="87"/>
      <c r="K219" s="61"/>
      <c r="L219" s="62">
        <v>0</v>
      </c>
      <c r="M219" s="63">
        <v>0</v>
      </c>
      <c r="N219" s="64">
        <v>0</v>
      </c>
      <c r="O219" s="62">
        <v>0</v>
      </c>
      <c r="P219" s="65">
        <f t="shared" si="3"/>
        <v>0</v>
      </c>
      <c r="Q219" s="66"/>
      <c r="R219" s="66"/>
      <c r="S219" s="66">
        <v>603</v>
      </c>
      <c r="T219" s="66"/>
      <c r="U219" s="66">
        <v>712</v>
      </c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7"/>
      <c r="BF219" s="67"/>
      <c r="BG219" s="68"/>
      <c r="BI219" s="69">
        <v>0</v>
      </c>
      <c r="BJ219" s="70">
        <v>0</v>
      </c>
      <c r="BK219" s="71">
        <v>0</v>
      </c>
      <c r="BL219" s="71">
        <v>0</v>
      </c>
      <c r="BM219" s="71">
        <v>0</v>
      </c>
      <c r="BN219" s="72">
        <v>0</v>
      </c>
      <c r="BO219" s="73"/>
      <c r="BP219" s="73"/>
      <c r="BQ219" s="71">
        <v>0</v>
      </c>
      <c r="BR219" s="71">
        <v>0</v>
      </c>
      <c r="BS219" s="71">
        <v>0</v>
      </c>
      <c r="BT219" s="72">
        <v>0</v>
      </c>
      <c r="BU219" s="73"/>
      <c r="BV219" s="73"/>
    </row>
    <row r="220" ht="30" customHeight="1" spans="1:74">
      <c r="A220" s="55">
        <v>0</v>
      </c>
      <c r="B220" s="56">
        <v>0</v>
      </c>
      <c r="C220" s="57">
        <v>0</v>
      </c>
      <c r="E220" s="155"/>
      <c r="F220" s="59" t="e">
        <f>VLOOKUP(E220,[1]库存!$B$1:$C$65536,2,FALSE)</f>
        <v>#N/A</v>
      </c>
      <c r="G220" s="59" t="e">
        <v>#N/A</v>
      </c>
      <c r="H220" s="89"/>
      <c r="I220" s="88"/>
      <c r="J220" s="90"/>
      <c r="K220" s="61"/>
      <c r="L220" s="62">
        <v>0</v>
      </c>
      <c r="M220" s="63">
        <v>0</v>
      </c>
      <c r="N220" s="64">
        <v>0</v>
      </c>
      <c r="O220" s="62">
        <v>0</v>
      </c>
      <c r="P220" s="65">
        <f t="shared" si="3"/>
        <v>0</v>
      </c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7"/>
      <c r="BF220" s="67"/>
      <c r="BG220" s="68"/>
      <c r="BI220" s="69">
        <v>0</v>
      </c>
      <c r="BJ220" s="70">
        <v>0</v>
      </c>
      <c r="BK220" s="71">
        <v>0</v>
      </c>
      <c r="BL220" s="71">
        <v>0</v>
      </c>
      <c r="BM220" s="71">
        <v>0</v>
      </c>
      <c r="BN220" s="72">
        <v>0</v>
      </c>
      <c r="BO220" s="73"/>
      <c r="BP220" s="73"/>
      <c r="BQ220" s="71">
        <v>0</v>
      </c>
      <c r="BR220" s="71">
        <v>0</v>
      </c>
      <c r="BS220" s="71">
        <v>0</v>
      </c>
      <c r="BT220" s="72">
        <v>0</v>
      </c>
      <c r="BU220" s="73"/>
      <c r="BV220" s="73"/>
    </row>
    <row r="221" ht="30" customHeight="1" spans="1:74">
      <c r="A221" s="55" t="s">
        <v>165</v>
      </c>
      <c r="B221" s="56" t="s">
        <v>42</v>
      </c>
      <c r="C221" s="57" t="s">
        <v>43</v>
      </c>
      <c r="D221" s="91" t="s">
        <v>421</v>
      </c>
      <c r="E221" s="91" t="s">
        <v>422</v>
      </c>
      <c r="F221" s="91" t="str">
        <f>VLOOKUP(E221,[1]库存!$B$1:$C$65536,2,FALSE)</f>
        <v>GEELY EX11 DAB</v>
      </c>
      <c r="G221" s="91" t="s">
        <v>423</v>
      </c>
      <c r="H221" s="91" t="s">
        <v>424</v>
      </c>
      <c r="I221" s="91" t="s">
        <v>425</v>
      </c>
      <c r="J221" s="63"/>
      <c r="K221" s="61"/>
      <c r="L221" s="62">
        <v>2</v>
      </c>
      <c r="M221" s="63">
        <v>1000</v>
      </c>
      <c r="N221" s="64">
        <v>10</v>
      </c>
      <c r="O221" s="62">
        <v>2</v>
      </c>
      <c r="P221" s="65">
        <f t="shared" si="3"/>
        <v>0</v>
      </c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7"/>
      <c r="BF221" s="67"/>
      <c r="BG221" s="68"/>
      <c r="BI221" s="69">
        <v>0</v>
      </c>
      <c r="BJ221" s="70">
        <v>0</v>
      </c>
      <c r="BK221" s="71">
        <v>0</v>
      </c>
      <c r="BL221" s="71">
        <v>0</v>
      </c>
      <c r="BM221" s="71">
        <v>0</v>
      </c>
      <c r="BN221" s="72">
        <v>0</v>
      </c>
      <c r="BO221" s="73"/>
      <c r="BP221" s="73"/>
      <c r="BQ221" s="71">
        <v>0</v>
      </c>
      <c r="BR221" s="71">
        <v>0</v>
      </c>
      <c r="BS221" s="71">
        <v>0</v>
      </c>
      <c r="BT221" s="72">
        <v>0</v>
      </c>
      <c r="BU221" s="73"/>
      <c r="BV221" s="73"/>
    </row>
    <row r="222" ht="30" customHeight="1" spans="1:74">
      <c r="A222" s="55">
        <v>0</v>
      </c>
      <c r="B222" s="56">
        <v>0</v>
      </c>
      <c r="C222" s="57">
        <v>0</v>
      </c>
      <c r="D222" s="92"/>
      <c r="E222" s="92"/>
      <c r="F222" s="91" t="e">
        <f>VLOOKUP(E222,[1]库存!$B$1:$C$65536,2,FALSE)</f>
        <v>#N/A</v>
      </c>
      <c r="G222" s="91" t="e">
        <v>#N/A</v>
      </c>
      <c r="H222" s="92"/>
      <c r="I222" s="92"/>
      <c r="J222" s="87"/>
      <c r="K222" s="61"/>
      <c r="L222" s="62">
        <v>0</v>
      </c>
      <c r="M222" s="63">
        <v>0</v>
      </c>
      <c r="N222" s="64">
        <v>0</v>
      </c>
      <c r="O222" s="62">
        <v>0</v>
      </c>
      <c r="P222" s="65">
        <f t="shared" si="3"/>
        <v>0</v>
      </c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7"/>
      <c r="BF222" s="67"/>
      <c r="BG222" s="68"/>
      <c r="BI222" s="69">
        <v>0</v>
      </c>
      <c r="BJ222" s="70">
        <v>0</v>
      </c>
      <c r="BK222" s="71">
        <v>0</v>
      </c>
      <c r="BL222" s="71">
        <v>0</v>
      </c>
      <c r="BM222" s="71">
        <v>0</v>
      </c>
      <c r="BN222" s="72">
        <v>0</v>
      </c>
      <c r="BO222" s="73"/>
      <c r="BP222" s="73"/>
      <c r="BQ222" s="71">
        <v>0</v>
      </c>
      <c r="BR222" s="71">
        <v>0</v>
      </c>
      <c r="BS222" s="71">
        <v>0</v>
      </c>
      <c r="BT222" s="72">
        <v>0</v>
      </c>
      <c r="BU222" s="73"/>
      <c r="BV222" s="73"/>
    </row>
    <row r="223" ht="30" customHeight="1" spans="1:74">
      <c r="A223" s="55" t="s">
        <v>165</v>
      </c>
      <c r="B223" s="56" t="s">
        <v>42</v>
      </c>
      <c r="C223" s="57" t="s">
        <v>43</v>
      </c>
      <c r="D223" s="59" t="s">
        <v>421</v>
      </c>
      <c r="E223" s="59" t="s">
        <v>426</v>
      </c>
      <c r="F223" s="59" t="str">
        <f>VLOOKUP(E223,[1]库存!$B$1:$C$65536,2,FALSE)</f>
        <v>JMC JP360ICA DAB A状态</v>
      </c>
      <c r="G223" s="59" t="s">
        <v>427</v>
      </c>
      <c r="H223" s="59" t="s">
        <v>428</v>
      </c>
      <c r="I223" s="59" t="s">
        <v>429</v>
      </c>
      <c r="J223" s="97" t="s">
        <v>65</v>
      </c>
      <c r="K223" s="61"/>
      <c r="L223" s="62">
        <v>0</v>
      </c>
      <c r="M223" s="63">
        <v>850</v>
      </c>
      <c r="N223" s="64">
        <v>9</v>
      </c>
      <c r="O223" s="62">
        <v>2</v>
      </c>
      <c r="P223" s="65">
        <f t="shared" si="3"/>
        <v>0</v>
      </c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7"/>
      <c r="BF223" s="67"/>
      <c r="BG223" s="68"/>
      <c r="BI223" s="69">
        <v>0</v>
      </c>
      <c r="BJ223" s="70">
        <v>0</v>
      </c>
      <c r="BK223" s="71">
        <v>0</v>
      </c>
      <c r="BL223" s="71">
        <v>0</v>
      </c>
      <c r="BM223" s="71">
        <v>0</v>
      </c>
      <c r="BN223" s="72">
        <v>0</v>
      </c>
      <c r="BO223" s="73"/>
      <c r="BP223" s="73"/>
      <c r="BQ223" s="71">
        <v>0</v>
      </c>
      <c r="BR223" s="71">
        <v>0</v>
      </c>
      <c r="BS223" s="71">
        <v>0</v>
      </c>
      <c r="BT223" s="72">
        <v>0</v>
      </c>
      <c r="BU223" s="73"/>
      <c r="BV223" s="73"/>
    </row>
    <row r="224" ht="30" customHeight="1" spans="1:74">
      <c r="A224" s="55">
        <v>0</v>
      </c>
      <c r="B224" s="56">
        <v>0</v>
      </c>
      <c r="C224" s="57">
        <v>0</v>
      </c>
      <c r="D224" s="74"/>
      <c r="E224" s="74"/>
      <c r="F224" s="59" t="e">
        <f>VLOOKUP(E224,[1]库存!$B$1:$C$65536,2,FALSE)</f>
        <v>#N/A</v>
      </c>
      <c r="G224" s="59" t="e">
        <v>#N/A</v>
      </c>
      <c r="H224" s="74"/>
      <c r="I224" s="74"/>
      <c r="J224" s="98"/>
      <c r="K224" s="61"/>
      <c r="L224" s="62">
        <v>0</v>
      </c>
      <c r="M224" s="63">
        <v>0</v>
      </c>
      <c r="N224" s="64">
        <v>0</v>
      </c>
      <c r="O224" s="62">
        <v>0</v>
      </c>
      <c r="P224" s="65">
        <f t="shared" si="3"/>
        <v>0</v>
      </c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7"/>
      <c r="BF224" s="67"/>
      <c r="BG224" s="68"/>
      <c r="BI224" s="69">
        <v>0</v>
      </c>
      <c r="BJ224" s="70">
        <v>0</v>
      </c>
      <c r="BK224" s="71">
        <v>0</v>
      </c>
      <c r="BL224" s="71">
        <v>0</v>
      </c>
      <c r="BM224" s="71">
        <v>0</v>
      </c>
      <c r="BN224" s="72">
        <v>0</v>
      </c>
      <c r="BO224" s="73"/>
      <c r="BP224" s="73"/>
      <c r="BQ224" s="71">
        <v>0</v>
      </c>
      <c r="BR224" s="71">
        <v>0</v>
      </c>
      <c r="BS224" s="71">
        <v>0</v>
      </c>
      <c r="BT224" s="72">
        <v>0</v>
      </c>
      <c r="BU224" s="73"/>
      <c r="BV224" s="73"/>
    </row>
    <row r="225" ht="30" customHeight="1" spans="1:74">
      <c r="A225" s="55" t="s">
        <v>165</v>
      </c>
      <c r="B225" s="56" t="s">
        <v>42</v>
      </c>
      <c r="C225" s="57" t="s">
        <v>43</v>
      </c>
      <c r="D225" s="59" t="s">
        <v>421</v>
      </c>
      <c r="E225" s="59" t="s">
        <v>430</v>
      </c>
      <c r="F225" s="59" t="str">
        <f>VLOOKUP(E225,[1]库存!$B$1:$C$65536,2,FALSE)</f>
        <v>JMC JP560 DAB A状态</v>
      </c>
      <c r="G225" s="59" t="s">
        <v>431</v>
      </c>
      <c r="H225" s="156" t="s">
        <v>432</v>
      </c>
      <c r="I225" s="59" t="s">
        <v>433</v>
      </c>
      <c r="J225" s="97" t="s">
        <v>65</v>
      </c>
      <c r="K225" s="61"/>
      <c r="L225" s="62">
        <v>2</v>
      </c>
      <c r="M225" s="63">
        <v>1100</v>
      </c>
      <c r="N225" s="64">
        <v>10</v>
      </c>
      <c r="O225" s="62">
        <v>2</v>
      </c>
      <c r="P225" s="65">
        <f t="shared" si="3"/>
        <v>0</v>
      </c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7"/>
      <c r="BF225" s="67"/>
      <c r="BG225" s="68"/>
      <c r="BI225" s="69">
        <v>0</v>
      </c>
      <c r="BJ225" s="70">
        <v>0</v>
      </c>
      <c r="BK225" s="71">
        <v>0</v>
      </c>
      <c r="BL225" s="71">
        <v>0</v>
      </c>
      <c r="BM225" s="71">
        <v>0</v>
      </c>
      <c r="BN225" s="72">
        <v>0</v>
      </c>
      <c r="BO225" s="73"/>
      <c r="BP225" s="73"/>
      <c r="BQ225" s="71">
        <v>0</v>
      </c>
      <c r="BR225" s="71">
        <v>0</v>
      </c>
      <c r="BS225" s="71">
        <v>0</v>
      </c>
      <c r="BT225" s="72">
        <v>0</v>
      </c>
      <c r="BU225" s="73"/>
      <c r="BV225" s="73"/>
    </row>
    <row r="226" ht="30" customHeight="1" spans="1:74">
      <c r="A226" s="55">
        <v>0</v>
      </c>
      <c r="B226" s="56">
        <v>0</v>
      </c>
      <c r="C226" s="57">
        <v>0</v>
      </c>
      <c r="D226" s="74"/>
      <c r="E226" s="74"/>
      <c r="F226" s="59" t="e">
        <f>VLOOKUP(E226,[1]库存!$B$1:$C$65536,2,FALSE)</f>
        <v>#N/A</v>
      </c>
      <c r="G226" s="59" t="e">
        <v>#N/A</v>
      </c>
      <c r="H226" s="74"/>
      <c r="I226" s="74"/>
      <c r="J226" s="98"/>
      <c r="K226" s="61"/>
      <c r="L226" s="62">
        <v>0</v>
      </c>
      <c r="M226" s="63">
        <v>0</v>
      </c>
      <c r="N226" s="64">
        <v>0</v>
      </c>
      <c r="O226" s="62">
        <v>0</v>
      </c>
      <c r="P226" s="65">
        <f t="shared" si="3"/>
        <v>0</v>
      </c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7"/>
      <c r="BF226" s="67"/>
      <c r="BG226" s="68"/>
      <c r="BI226" s="69">
        <v>0</v>
      </c>
      <c r="BJ226" s="70">
        <v>0</v>
      </c>
      <c r="BK226" s="71">
        <v>0</v>
      </c>
      <c r="BL226" s="71">
        <v>0</v>
      </c>
      <c r="BM226" s="71">
        <v>0</v>
      </c>
      <c r="BN226" s="72">
        <v>0</v>
      </c>
      <c r="BO226" s="73"/>
      <c r="BP226" s="73"/>
      <c r="BQ226" s="71">
        <v>0</v>
      </c>
      <c r="BR226" s="71">
        <v>0</v>
      </c>
      <c r="BS226" s="71">
        <v>0</v>
      </c>
      <c r="BT226" s="72">
        <v>0</v>
      </c>
      <c r="BU226" s="73"/>
      <c r="BV226" s="73"/>
    </row>
    <row r="227" ht="30" customHeight="1" spans="1:74">
      <c r="A227" s="55" t="s">
        <v>165</v>
      </c>
      <c r="B227" s="56" t="s">
        <v>42</v>
      </c>
      <c r="C227" s="57" t="s">
        <v>43</v>
      </c>
      <c r="D227" s="59" t="s">
        <v>421</v>
      </c>
      <c r="E227" s="59" t="s">
        <v>434</v>
      </c>
      <c r="F227" s="59" t="str">
        <f>VLOOKUP(E227,[1]库存!$B$1:$C$65536,2,FALSE)</f>
        <v>FORD P789 DAB A状态</v>
      </c>
      <c r="G227" s="59" t="s">
        <v>435</v>
      </c>
      <c r="H227" s="59" t="s">
        <v>436</v>
      </c>
      <c r="I227" s="59" t="s">
        <v>437</v>
      </c>
      <c r="J227" s="97" t="s">
        <v>65</v>
      </c>
      <c r="K227" s="61"/>
      <c r="L227" s="62">
        <v>0</v>
      </c>
      <c r="M227" s="63">
        <v>700</v>
      </c>
      <c r="N227" s="64">
        <v>10</v>
      </c>
      <c r="O227" s="62">
        <v>0</v>
      </c>
      <c r="P227" s="65">
        <f t="shared" si="3"/>
        <v>0</v>
      </c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7"/>
      <c r="BF227" s="67"/>
      <c r="BG227" s="68"/>
      <c r="BI227" s="69">
        <v>0</v>
      </c>
      <c r="BJ227" s="70">
        <v>0</v>
      </c>
      <c r="BK227" s="71">
        <v>0</v>
      </c>
      <c r="BL227" s="71">
        <v>0</v>
      </c>
      <c r="BM227" s="71">
        <v>0</v>
      </c>
      <c r="BN227" s="72">
        <v>0</v>
      </c>
      <c r="BO227" s="73"/>
      <c r="BP227" s="73"/>
      <c r="BQ227" s="71">
        <v>0</v>
      </c>
      <c r="BR227" s="71">
        <v>0</v>
      </c>
      <c r="BS227" s="71">
        <v>0</v>
      </c>
      <c r="BT227" s="72">
        <v>0</v>
      </c>
      <c r="BU227" s="73"/>
      <c r="BV227" s="73"/>
    </row>
    <row r="228" ht="30" customHeight="1" spans="1:74">
      <c r="A228" s="55">
        <v>0</v>
      </c>
      <c r="B228" s="56">
        <v>0</v>
      </c>
      <c r="C228" s="57">
        <v>0</v>
      </c>
      <c r="D228" s="74"/>
      <c r="E228" s="74"/>
      <c r="F228" s="59" t="e">
        <f>VLOOKUP(E228,[1]库存!$B$1:$C$65536,2,FALSE)</f>
        <v>#N/A</v>
      </c>
      <c r="G228" s="59" t="e">
        <v>#N/A</v>
      </c>
      <c r="H228" s="74"/>
      <c r="I228" s="74"/>
      <c r="J228" s="98"/>
      <c r="K228" s="61"/>
      <c r="L228" s="62">
        <v>0</v>
      </c>
      <c r="M228" s="63">
        <v>0</v>
      </c>
      <c r="N228" s="64">
        <v>0</v>
      </c>
      <c r="O228" s="62">
        <v>0</v>
      </c>
      <c r="P228" s="65">
        <f t="shared" si="3"/>
        <v>0</v>
      </c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7"/>
      <c r="BF228" s="67"/>
      <c r="BG228" s="68"/>
      <c r="BI228" s="69">
        <v>0</v>
      </c>
      <c r="BJ228" s="70">
        <v>0</v>
      </c>
      <c r="BK228" s="71">
        <v>0</v>
      </c>
      <c r="BL228" s="71">
        <v>0</v>
      </c>
      <c r="BM228" s="71">
        <v>0</v>
      </c>
      <c r="BN228" s="72">
        <v>0</v>
      </c>
      <c r="BO228" s="73"/>
      <c r="BP228" s="73"/>
      <c r="BQ228" s="71">
        <v>0</v>
      </c>
      <c r="BR228" s="71">
        <v>0</v>
      </c>
      <c r="BS228" s="71">
        <v>0</v>
      </c>
      <c r="BT228" s="72">
        <v>0</v>
      </c>
      <c r="BU228" s="73"/>
      <c r="BV228" s="73"/>
    </row>
    <row r="229" ht="30" customHeight="1" spans="1:74">
      <c r="A229" s="55" t="s">
        <v>165</v>
      </c>
      <c r="B229" s="56" t="s">
        <v>42</v>
      </c>
      <c r="C229" s="57" t="s">
        <v>43</v>
      </c>
      <c r="D229" s="59" t="s">
        <v>421</v>
      </c>
      <c r="E229" s="59" t="s">
        <v>438</v>
      </c>
      <c r="F229" s="59" t="str">
        <f>VLOOKUP(E229,[1]库存!$B$1:$C$65536,2,FALSE)</f>
        <v>JMC V837 DAB</v>
      </c>
      <c r="G229" s="59" t="s">
        <v>439</v>
      </c>
      <c r="H229" s="59" t="s">
        <v>440</v>
      </c>
      <c r="I229" s="59" t="s">
        <v>429</v>
      </c>
      <c r="J229" s="63"/>
      <c r="K229" s="61"/>
      <c r="L229" s="62">
        <v>0</v>
      </c>
      <c r="M229" s="63">
        <v>1000</v>
      </c>
      <c r="N229" s="64">
        <v>10</v>
      </c>
      <c r="O229" s="62">
        <v>0</v>
      </c>
      <c r="P229" s="65">
        <f t="shared" si="3"/>
        <v>0</v>
      </c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7"/>
      <c r="BF229" s="67"/>
      <c r="BG229" s="68"/>
      <c r="BI229" s="69">
        <v>0</v>
      </c>
      <c r="BJ229" s="70">
        <v>0</v>
      </c>
      <c r="BK229" s="71">
        <v>0</v>
      </c>
      <c r="BL229" s="71">
        <v>0</v>
      </c>
      <c r="BM229" s="71">
        <v>0</v>
      </c>
      <c r="BN229" s="72">
        <v>0</v>
      </c>
      <c r="BO229" s="73"/>
      <c r="BP229" s="73"/>
      <c r="BQ229" s="71">
        <v>0</v>
      </c>
      <c r="BR229" s="71">
        <v>0</v>
      </c>
      <c r="BS229" s="71">
        <v>0</v>
      </c>
      <c r="BT229" s="72">
        <v>0</v>
      </c>
      <c r="BU229" s="73"/>
      <c r="BV229" s="73"/>
    </row>
    <row r="230" ht="30" customHeight="1" spans="1:74">
      <c r="A230" s="55">
        <v>0</v>
      </c>
      <c r="B230" s="56">
        <v>0</v>
      </c>
      <c r="C230" s="57">
        <v>0</v>
      </c>
      <c r="D230" s="74"/>
      <c r="E230" s="74"/>
      <c r="F230" s="59" t="e">
        <f>VLOOKUP(E230,[1]库存!$B$1:$C$65536,2,FALSE)</f>
        <v>#N/A</v>
      </c>
      <c r="G230" s="59" t="e">
        <v>#N/A</v>
      </c>
      <c r="H230" s="74"/>
      <c r="I230" s="74"/>
      <c r="J230" s="87"/>
      <c r="K230" s="61"/>
      <c r="L230" s="62">
        <v>0</v>
      </c>
      <c r="M230" s="63">
        <v>0</v>
      </c>
      <c r="N230" s="64">
        <v>0</v>
      </c>
      <c r="O230" s="62">
        <v>0</v>
      </c>
      <c r="P230" s="65">
        <f t="shared" si="3"/>
        <v>0</v>
      </c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7"/>
      <c r="BF230" s="67"/>
      <c r="BG230" s="68"/>
      <c r="BI230" s="69">
        <v>0</v>
      </c>
      <c r="BJ230" s="70">
        <v>0</v>
      </c>
      <c r="BK230" s="71">
        <v>0</v>
      </c>
      <c r="BL230" s="71">
        <v>0</v>
      </c>
      <c r="BM230" s="71">
        <v>0</v>
      </c>
      <c r="BN230" s="72">
        <v>0</v>
      </c>
      <c r="BO230" s="73"/>
      <c r="BP230" s="73"/>
      <c r="BQ230" s="71">
        <v>0</v>
      </c>
      <c r="BR230" s="71">
        <v>0</v>
      </c>
      <c r="BS230" s="71">
        <v>0</v>
      </c>
      <c r="BT230" s="72">
        <v>0</v>
      </c>
      <c r="BU230" s="73"/>
      <c r="BV230" s="73"/>
    </row>
    <row r="231" ht="30" customHeight="1" spans="1:74">
      <c r="A231" s="55" t="s">
        <v>165</v>
      </c>
      <c r="B231" s="56" t="s">
        <v>42</v>
      </c>
      <c r="C231" s="57" t="s">
        <v>43</v>
      </c>
      <c r="D231" s="59" t="s">
        <v>421</v>
      </c>
      <c r="E231" s="59" t="s">
        <v>441</v>
      </c>
      <c r="F231" s="59" t="str">
        <f>VLOOKUP(E231,[1]库存!$B$1:$C$65536,2,FALSE)</f>
        <v>LOTUS GAMMA 2 DAB</v>
      </c>
      <c r="G231" s="59" t="s">
        <v>442</v>
      </c>
      <c r="H231" s="59" t="s">
        <v>443</v>
      </c>
      <c r="I231" s="59" t="s">
        <v>444</v>
      </c>
      <c r="J231" s="97" t="s">
        <v>65</v>
      </c>
      <c r="K231" s="61"/>
      <c r="L231" s="62">
        <v>2</v>
      </c>
      <c r="M231" s="63">
        <v>1000</v>
      </c>
      <c r="N231" s="64">
        <v>10</v>
      </c>
      <c r="O231" s="62">
        <v>2</v>
      </c>
      <c r="P231" s="65">
        <f t="shared" si="3"/>
        <v>0</v>
      </c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7"/>
      <c r="BF231" s="67"/>
      <c r="BG231" s="68"/>
      <c r="BI231" s="69">
        <v>0</v>
      </c>
      <c r="BJ231" s="70">
        <v>0</v>
      </c>
      <c r="BK231" s="71">
        <v>0</v>
      </c>
      <c r="BL231" s="71">
        <v>0</v>
      </c>
      <c r="BM231" s="71">
        <v>0</v>
      </c>
      <c r="BN231" s="72">
        <v>0</v>
      </c>
      <c r="BO231" s="73"/>
      <c r="BP231" s="73"/>
      <c r="BQ231" s="71">
        <v>0</v>
      </c>
      <c r="BR231" s="71">
        <v>0</v>
      </c>
      <c r="BS231" s="71">
        <v>0</v>
      </c>
      <c r="BT231" s="72">
        <v>0</v>
      </c>
      <c r="BU231" s="73"/>
      <c r="BV231" s="73"/>
    </row>
    <row r="232" ht="30" customHeight="1" spans="1:74">
      <c r="A232" s="55">
        <v>0</v>
      </c>
      <c r="B232" s="56">
        <v>0</v>
      </c>
      <c r="C232" s="57">
        <v>0</v>
      </c>
      <c r="D232" s="74"/>
      <c r="E232" s="74"/>
      <c r="F232" s="59" t="e">
        <f>VLOOKUP(E232,[1]库存!$B$1:$C$65536,2,FALSE)</f>
        <v>#N/A</v>
      </c>
      <c r="G232" s="59" t="e">
        <v>#N/A</v>
      </c>
      <c r="H232" s="74"/>
      <c r="I232" s="74"/>
      <c r="J232" s="98"/>
      <c r="K232" s="61"/>
      <c r="L232" s="62">
        <v>0</v>
      </c>
      <c r="M232" s="63">
        <v>0</v>
      </c>
      <c r="N232" s="64">
        <v>0</v>
      </c>
      <c r="O232" s="62">
        <v>0</v>
      </c>
      <c r="P232" s="65">
        <f t="shared" si="3"/>
        <v>0</v>
      </c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7"/>
      <c r="BF232" s="67"/>
      <c r="BG232" s="68"/>
      <c r="BI232" s="69">
        <v>0</v>
      </c>
      <c r="BJ232" s="70">
        <v>0</v>
      </c>
      <c r="BK232" s="71">
        <v>0</v>
      </c>
      <c r="BL232" s="71">
        <v>0</v>
      </c>
      <c r="BM232" s="71">
        <v>0</v>
      </c>
      <c r="BN232" s="72">
        <v>0</v>
      </c>
      <c r="BO232" s="73"/>
      <c r="BP232" s="73"/>
      <c r="BQ232" s="71">
        <v>0</v>
      </c>
      <c r="BR232" s="71">
        <v>0</v>
      </c>
      <c r="BS232" s="71">
        <v>0</v>
      </c>
      <c r="BT232" s="72">
        <v>0</v>
      </c>
      <c r="BU232" s="73"/>
      <c r="BV232" s="73"/>
    </row>
    <row r="233" ht="30" customHeight="1" spans="1:74">
      <c r="A233" s="55" t="s">
        <v>165</v>
      </c>
      <c r="B233" s="56" t="s">
        <v>42</v>
      </c>
      <c r="C233" s="57" t="s">
        <v>43</v>
      </c>
      <c r="D233" s="59" t="s">
        <v>421</v>
      </c>
      <c r="E233" s="59" t="s">
        <v>445</v>
      </c>
      <c r="F233" s="59" t="str">
        <f>VLOOKUP(E233,[1]库存!$B$1:$C$65536,2,FALSE)</f>
        <v>LYNK&amp;CO DC1E DAB</v>
      </c>
      <c r="G233" s="59" t="s">
        <v>446</v>
      </c>
      <c r="H233" s="59" t="s">
        <v>447</v>
      </c>
      <c r="I233" s="59" t="s">
        <v>444</v>
      </c>
      <c r="J233" s="100" t="s">
        <v>448</v>
      </c>
      <c r="K233" s="61"/>
      <c r="L233" s="62">
        <v>2</v>
      </c>
      <c r="M233" s="63">
        <v>1000</v>
      </c>
      <c r="N233" s="64">
        <v>10</v>
      </c>
      <c r="O233" s="62">
        <v>2</v>
      </c>
      <c r="P233" s="65">
        <f t="shared" si="3"/>
        <v>0</v>
      </c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>
        <v>480</v>
      </c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7"/>
      <c r="BF233" s="67"/>
      <c r="BG233" s="68"/>
      <c r="BI233" s="69">
        <v>0</v>
      </c>
      <c r="BJ233" s="70">
        <v>0</v>
      </c>
      <c r="BK233" s="71">
        <v>0</v>
      </c>
      <c r="BL233" s="71">
        <v>0</v>
      </c>
      <c r="BM233" s="71">
        <v>0</v>
      </c>
      <c r="BN233" s="72">
        <v>0</v>
      </c>
      <c r="BO233" s="73"/>
      <c r="BP233" s="73"/>
      <c r="BQ233" s="71">
        <v>0</v>
      </c>
      <c r="BR233" s="71">
        <v>0</v>
      </c>
      <c r="BS233" s="71">
        <v>0</v>
      </c>
      <c r="BT233" s="72">
        <v>0</v>
      </c>
      <c r="BU233" s="73"/>
      <c r="BV233" s="73"/>
    </row>
    <row r="234" ht="30" customHeight="1" spans="1:74">
      <c r="A234" s="55">
        <v>0</v>
      </c>
      <c r="B234" s="56">
        <v>0</v>
      </c>
      <c r="C234" s="57">
        <v>0</v>
      </c>
      <c r="D234" s="74"/>
      <c r="E234" s="74"/>
      <c r="F234" s="59" t="e">
        <f>VLOOKUP(E234,[1]库存!$B$1:$C$65536,2,FALSE)</f>
        <v>#N/A</v>
      </c>
      <c r="G234" s="59" t="e">
        <v>#N/A</v>
      </c>
      <c r="H234" s="74"/>
      <c r="I234" s="74"/>
      <c r="J234" s="101"/>
      <c r="K234" s="61"/>
      <c r="L234" s="62">
        <v>0</v>
      </c>
      <c r="M234" s="63">
        <v>0</v>
      </c>
      <c r="N234" s="64">
        <v>0</v>
      </c>
      <c r="O234" s="62">
        <v>0</v>
      </c>
      <c r="P234" s="65">
        <f t="shared" si="3"/>
        <v>0</v>
      </c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 t="s">
        <v>449</v>
      </c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7"/>
      <c r="BF234" s="67"/>
      <c r="BG234" s="68"/>
      <c r="BI234" s="69">
        <v>0</v>
      </c>
      <c r="BJ234" s="70">
        <v>0</v>
      </c>
      <c r="BK234" s="71">
        <v>0</v>
      </c>
      <c r="BL234" s="71">
        <v>0</v>
      </c>
      <c r="BM234" s="71">
        <v>0</v>
      </c>
      <c r="BN234" s="72">
        <v>0</v>
      </c>
      <c r="BO234" s="73"/>
      <c r="BP234" s="73"/>
      <c r="BQ234" s="71">
        <v>0</v>
      </c>
      <c r="BR234" s="71">
        <v>0</v>
      </c>
      <c r="BS234" s="71">
        <v>0</v>
      </c>
      <c r="BT234" s="72">
        <v>0</v>
      </c>
      <c r="BU234" s="73"/>
      <c r="BV234" s="73"/>
    </row>
    <row r="235" ht="30" customHeight="1" spans="1:74">
      <c r="A235" s="55" t="s">
        <v>165</v>
      </c>
      <c r="B235" s="56" t="s">
        <v>42</v>
      </c>
      <c r="C235" s="57" t="s">
        <v>43</v>
      </c>
      <c r="D235" s="59" t="s">
        <v>421</v>
      </c>
      <c r="E235" s="59" t="s">
        <v>450</v>
      </c>
      <c r="F235" s="59" t="str">
        <f>VLOOKUP(E235,[1]库存!$B$1:$C$65536,2,FALSE)</f>
        <v>LYNK&amp;CO EF1E DAB</v>
      </c>
      <c r="G235" s="59" t="s">
        <v>451</v>
      </c>
      <c r="H235" s="59" t="s">
        <v>452</v>
      </c>
      <c r="I235" s="59" t="s">
        <v>444</v>
      </c>
      <c r="J235" s="77" t="s">
        <v>453</v>
      </c>
      <c r="K235" s="61"/>
      <c r="L235" s="62">
        <v>0</v>
      </c>
      <c r="M235" s="63">
        <v>1000</v>
      </c>
      <c r="N235" s="64">
        <v>10</v>
      </c>
      <c r="O235" s="62">
        <v>0</v>
      </c>
      <c r="P235" s="65">
        <f t="shared" si="3"/>
        <v>0</v>
      </c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7"/>
      <c r="BF235" s="67"/>
      <c r="BG235" s="68"/>
      <c r="BI235" s="69">
        <v>0</v>
      </c>
      <c r="BJ235" s="70">
        <v>0</v>
      </c>
      <c r="BK235" s="71">
        <v>0</v>
      </c>
      <c r="BL235" s="71">
        <v>0</v>
      </c>
      <c r="BM235" s="71">
        <v>0</v>
      </c>
      <c r="BN235" s="72">
        <v>0</v>
      </c>
      <c r="BO235" s="73"/>
      <c r="BP235" s="73"/>
      <c r="BQ235" s="71">
        <v>0</v>
      </c>
      <c r="BR235" s="71">
        <v>0</v>
      </c>
      <c r="BS235" s="71">
        <v>0</v>
      </c>
      <c r="BT235" s="72">
        <v>0</v>
      </c>
      <c r="BU235" s="73"/>
      <c r="BV235" s="73"/>
    </row>
    <row r="236" ht="30" customHeight="1" spans="1:74">
      <c r="A236" s="55">
        <v>0</v>
      </c>
      <c r="B236" s="56">
        <v>0</v>
      </c>
      <c r="C236" s="57">
        <v>0</v>
      </c>
      <c r="D236" s="74"/>
      <c r="E236" s="74"/>
      <c r="F236" s="59" t="e">
        <f>VLOOKUP(E236,[1]库存!$B$1:$C$65536,2,FALSE)</f>
        <v>#N/A</v>
      </c>
      <c r="G236" s="59" t="e">
        <v>#N/A</v>
      </c>
      <c r="H236" s="74"/>
      <c r="I236" s="74"/>
      <c r="J236" s="79"/>
      <c r="K236" s="61"/>
      <c r="L236" s="62">
        <v>0</v>
      </c>
      <c r="M236" s="63">
        <v>0</v>
      </c>
      <c r="N236" s="64">
        <v>0</v>
      </c>
      <c r="O236" s="62">
        <v>0</v>
      </c>
      <c r="P236" s="65">
        <f t="shared" si="3"/>
        <v>0</v>
      </c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7"/>
      <c r="BF236" s="67"/>
      <c r="BG236" s="68"/>
      <c r="BI236" s="69">
        <v>0</v>
      </c>
      <c r="BJ236" s="70">
        <v>0</v>
      </c>
      <c r="BK236" s="71">
        <v>0</v>
      </c>
      <c r="BL236" s="71">
        <v>0</v>
      </c>
      <c r="BM236" s="71">
        <v>0</v>
      </c>
      <c r="BN236" s="72">
        <v>0</v>
      </c>
      <c r="BO236" s="73"/>
      <c r="BP236" s="73"/>
      <c r="BQ236" s="71">
        <v>0</v>
      </c>
      <c r="BR236" s="71">
        <v>0</v>
      </c>
      <c r="BS236" s="71">
        <v>0</v>
      </c>
      <c r="BT236" s="72">
        <v>0</v>
      </c>
      <c r="BU236" s="73"/>
      <c r="BV236" s="73"/>
    </row>
    <row r="237" ht="30" customHeight="1" spans="1:74">
      <c r="A237" s="55">
        <v>0</v>
      </c>
      <c r="B237" s="56">
        <v>0</v>
      </c>
      <c r="C237" s="57">
        <v>0</v>
      </c>
      <c r="E237" s="88"/>
      <c r="F237" s="59" t="e">
        <f>VLOOKUP(E237,[1]库存!$B$1:$C$65536,2,FALSE)</f>
        <v>#N/A</v>
      </c>
      <c r="G237" s="59" t="e">
        <v>#N/A</v>
      </c>
      <c r="H237" s="89"/>
      <c r="I237" s="88"/>
      <c r="J237" s="90"/>
      <c r="K237" s="61"/>
      <c r="L237" s="62">
        <v>0</v>
      </c>
      <c r="M237" s="63">
        <v>0</v>
      </c>
      <c r="N237" s="64">
        <v>0</v>
      </c>
      <c r="O237" s="62">
        <v>0</v>
      </c>
      <c r="P237" s="65">
        <f t="shared" si="3"/>
        <v>0</v>
      </c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7"/>
      <c r="BF237" s="67"/>
      <c r="BG237" s="68"/>
      <c r="BI237" s="69">
        <v>0</v>
      </c>
      <c r="BJ237" s="70">
        <v>0</v>
      </c>
      <c r="BK237" s="71">
        <v>0</v>
      </c>
      <c r="BL237" s="71">
        <v>0</v>
      </c>
      <c r="BM237" s="71">
        <v>0</v>
      </c>
      <c r="BN237" s="72">
        <v>0</v>
      </c>
      <c r="BO237" s="73"/>
      <c r="BP237" s="73"/>
      <c r="BQ237" s="71">
        <v>0</v>
      </c>
      <c r="BR237" s="71">
        <v>0</v>
      </c>
      <c r="BS237" s="71">
        <v>0</v>
      </c>
      <c r="BT237" s="72">
        <v>0</v>
      </c>
      <c r="BU237" s="73"/>
      <c r="BV237" s="73"/>
    </row>
    <row r="238" ht="30" customHeight="1" spans="1:74">
      <c r="A238" s="55" t="s">
        <v>165</v>
      </c>
      <c r="B238" s="56" t="s">
        <v>42</v>
      </c>
      <c r="C238" s="57" t="s">
        <v>43</v>
      </c>
      <c r="D238" s="59" t="s">
        <v>454</v>
      </c>
      <c r="E238" s="59" t="s">
        <v>455</v>
      </c>
      <c r="F238" s="59" t="str">
        <f>VLOOKUP(E238,[1]库存!$B$1:$C$65536,2,FALSE)</f>
        <v>GEELY EX11 PAB B状态</v>
      </c>
      <c r="G238" s="59" t="s">
        <v>456</v>
      </c>
      <c r="H238" s="59" t="s">
        <v>457</v>
      </c>
      <c r="I238" s="59" t="s">
        <v>458</v>
      </c>
      <c r="J238" s="63"/>
      <c r="K238" s="61"/>
      <c r="L238" s="62">
        <v>3</v>
      </c>
      <c r="M238" s="63">
        <v>500</v>
      </c>
      <c r="N238" s="64">
        <v>30</v>
      </c>
      <c r="O238" s="62">
        <v>3</v>
      </c>
      <c r="P238" s="65">
        <f t="shared" si="3"/>
        <v>0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7"/>
      <c r="BF238" s="67"/>
      <c r="BG238" s="68"/>
      <c r="BI238" s="69">
        <v>0</v>
      </c>
      <c r="BJ238" s="70">
        <v>0</v>
      </c>
      <c r="BK238" s="71">
        <v>0</v>
      </c>
      <c r="BL238" s="71">
        <v>0</v>
      </c>
      <c r="BM238" s="71">
        <v>0</v>
      </c>
      <c r="BN238" s="72">
        <v>0</v>
      </c>
      <c r="BO238" s="73"/>
      <c r="BP238" s="73"/>
      <c r="BQ238" s="71">
        <v>0</v>
      </c>
      <c r="BR238" s="71">
        <v>0</v>
      </c>
      <c r="BS238" s="71">
        <v>0</v>
      </c>
      <c r="BT238" s="72">
        <v>0</v>
      </c>
      <c r="BU238" s="73"/>
      <c r="BV238" s="73"/>
    </row>
    <row r="239" ht="30" customHeight="1" spans="1:74">
      <c r="A239" s="55">
        <v>0</v>
      </c>
      <c r="B239" s="56">
        <v>0</v>
      </c>
      <c r="C239" s="57">
        <v>0</v>
      </c>
      <c r="D239" s="74"/>
      <c r="E239" s="74"/>
      <c r="F239" s="59" t="e">
        <f>VLOOKUP(E239,[1]库存!$B$1:$C$65536,2,FALSE)</f>
        <v>#N/A</v>
      </c>
      <c r="G239" s="59" t="e">
        <v>#N/A</v>
      </c>
      <c r="H239" s="74"/>
      <c r="I239" s="74"/>
      <c r="J239" s="87"/>
      <c r="K239" s="61"/>
      <c r="L239" s="62">
        <v>0</v>
      </c>
      <c r="M239" s="63">
        <v>0</v>
      </c>
      <c r="N239" s="64">
        <v>0</v>
      </c>
      <c r="O239" s="62">
        <v>0</v>
      </c>
      <c r="P239" s="65">
        <f t="shared" si="3"/>
        <v>0</v>
      </c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7"/>
      <c r="BF239" s="67"/>
      <c r="BG239" s="68"/>
      <c r="BI239" s="69">
        <v>0</v>
      </c>
      <c r="BJ239" s="70">
        <v>0</v>
      </c>
      <c r="BK239" s="71">
        <v>0</v>
      </c>
      <c r="BL239" s="71">
        <v>0</v>
      </c>
      <c r="BM239" s="71">
        <v>0</v>
      </c>
      <c r="BN239" s="72">
        <v>0</v>
      </c>
      <c r="BO239" s="73"/>
      <c r="BP239" s="73"/>
      <c r="BQ239" s="71">
        <v>0</v>
      </c>
      <c r="BR239" s="71">
        <v>0</v>
      </c>
      <c r="BS239" s="71">
        <v>0</v>
      </c>
      <c r="BT239" s="72">
        <v>0</v>
      </c>
      <c r="BU239" s="73"/>
      <c r="BV239" s="73"/>
    </row>
    <row r="240" ht="30" customHeight="1" spans="1:74">
      <c r="A240" s="55" t="s">
        <v>165</v>
      </c>
      <c r="B240" s="56" t="s">
        <v>42</v>
      </c>
      <c r="C240" s="57" t="s">
        <v>43</v>
      </c>
      <c r="D240" s="52" t="s">
        <v>454</v>
      </c>
      <c r="E240" s="52" t="s">
        <v>459</v>
      </c>
      <c r="F240" s="59" t="str">
        <f>VLOOKUP(E240,[1]库存!$B$1:$C$65536,2,FALSE)</f>
        <v>NIO FORCE PAB E状态</v>
      </c>
      <c r="G240" s="59" t="s">
        <v>460</v>
      </c>
      <c r="H240" s="59" t="s">
        <v>461</v>
      </c>
      <c r="I240" s="59"/>
      <c r="J240" s="82" t="s">
        <v>80</v>
      </c>
      <c r="K240" s="61"/>
      <c r="L240" s="62">
        <v>3</v>
      </c>
      <c r="M240" s="63">
        <v>400</v>
      </c>
      <c r="N240" s="64">
        <v>30</v>
      </c>
      <c r="O240" s="62">
        <v>3</v>
      </c>
      <c r="P240" s="65">
        <f t="shared" si="3"/>
        <v>0</v>
      </c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7"/>
      <c r="BF240" s="67"/>
      <c r="BG240" s="68"/>
      <c r="BI240" s="69">
        <v>0</v>
      </c>
      <c r="BJ240" s="70">
        <v>0</v>
      </c>
      <c r="BK240" s="71">
        <v>0</v>
      </c>
      <c r="BL240" s="71">
        <v>0</v>
      </c>
      <c r="BM240" s="71">
        <v>0</v>
      </c>
      <c r="BN240" s="72">
        <v>0</v>
      </c>
      <c r="BO240" s="73"/>
      <c r="BP240" s="73"/>
      <c r="BQ240" s="71">
        <v>0</v>
      </c>
      <c r="BR240" s="71">
        <v>0</v>
      </c>
      <c r="BS240" s="71">
        <v>0</v>
      </c>
      <c r="BT240" s="72">
        <v>0</v>
      </c>
      <c r="BU240" s="73"/>
      <c r="BV240" s="73"/>
    </row>
    <row r="241" ht="30" customHeight="1" spans="1:74">
      <c r="A241" s="55">
        <v>0</v>
      </c>
      <c r="B241" s="56">
        <v>0</v>
      </c>
      <c r="C241" s="57">
        <v>0</v>
      </c>
      <c r="D241" s="52"/>
      <c r="E241" s="52"/>
      <c r="F241" s="59" t="e">
        <f>VLOOKUP(E241,[1]库存!$B$1:$C$65536,2,FALSE)</f>
        <v>#N/A</v>
      </c>
      <c r="G241" s="59" t="e">
        <v>#N/A</v>
      </c>
      <c r="H241" s="152"/>
      <c r="I241" s="152"/>
      <c r="J241" s="83"/>
      <c r="K241" s="61"/>
      <c r="L241" s="62">
        <v>0</v>
      </c>
      <c r="M241" s="63">
        <v>0</v>
      </c>
      <c r="N241" s="64">
        <v>0</v>
      </c>
      <c r="O241" s="62">
        <v>0</v>
      </c>
      <c r="P241" s="65">
        <f t="shared" si="3"/>
        <v>0</v>
      </c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7"/>
      <c r="BF241" s="67"/>
      <c r="BG241" s="68"/>
      <c r="BI241" s="69">
        <v>0</v>
      </c>
      <c r="BJ241" s="70">
        <v>0</v>
      </c>
      <c r="BK241" s="71">
        <v>0</v>
      </c>
      <c r="BL241" s="71">
        <v>0</v>
      </c>
      <c r="BM241" s="71">
        <v>0</v>
      </c>
      <c r="BN241" s="72">
        <v>0</v>
      </c>
      <c r="BO241" s="73"/>
      <c r="BP241" s="73"/>
      <c r="BQ241" s="71">
        <v>0</v>
      </c>
      <c r="BR241" s="71">
        <v>0</v>
      </c>
      <c r="BS241" s="71">
        <v>0</v>
      </c>
      <c r="BT241" s="72">
        <v>0</v>
      </c>
      <c r="BU241" s="73"/>
      <c r="BV241" s="73"/>
    </row>
    <row r="242" ht="30" customHeight="1" spans="1:74">
      <c r="A242" s="55">
        <v>0</v>
      </c>
      <c r="B242" s="56">
        <v>0</v>
      </c>
      <c r="C242" s="57">
        <v>0</v>
      </c>
      <c r="E242" s="155"/>
      <c r="F242" s="59" t="e">
        <f>VLOOKUP(E242,[1]库存!$B$1:$C$65536,2,FALSE)</f>
        <v>#N/A</v>
      </c>
      <c r="G242" s="59" t="e">
        <v>#N/A</v>
      </c>
      <c r="H242" s="89"/>
      <c r="I242" s="88"/>
      <c r="J242" s="90"/>
      <c r="K242" s="61"/>
      <c r="L242" s="62">
        <v>0</v>
      </c>
      <c r="M242" s="63">
        <v>0</v>
      </c>
      <c r="N242" s="64">
        <v>0</v>
      </c>
      <c r="O242" s="62">
        <v>0</v>
      </c>
      <c r="P242" s="65">
        <f t="shared" si="3"/>
        <v>0</v>
      </c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7"/>
      <c r="BF242" s="67"/>
      <c r="BG242" s="68"/>
      <c r="BI242" s="69">
        <v>0</v>
      </c>
      <c r="BJ242" s="70">
        <v>0</v>
      </c>
      <c r="BK242" s="71">
        <v>0</v>
      </c>
      <c r="BL242" s="71">
        <v>0</v>
      </c>
      <c r="BM242" s="71">
        <v>0</v>
      </c>
      <c r="BN242" s="72">
        <v>0</v>
      </c>
      <c r="BO242" s="73"/>
      <c r="BP242" s="73"/>
      <c r="BQ242" s="71">
        <v>0</v>
      </c>
      <c r="BR242" s="71">
        <v>0</v>
      </c>
      <c r="BS242" s="71">
        <v>0</v>
      </c>
      <c r="BT242" s="72">
        <v>0</v>
      </c>
      <c r="BU242" s="73"/>
      <c r="BV242" s="73"/>
    </row>
    <row r="243" ht="30" customHeight="1" spans="1:74">
      <c r="A243" s="55" t="s">
        <v>165</v>
      </c>
      <c r="B243" s="56" t="s">
        <v>42</v>
      </c>
      <c r="C243" s="57" t="s">
        <v>462</v>
      </c>
      <c r="D243" s="91" t="s">
        <v>463</v>
      </c>
      <c r="E243" s="91" t="s">
        <v>464</v>
      </c>
      <c r="F243" s="91" t="str">
        <f>VLOOKUP(E243,[1]库存!$B$1:$C$65536,2,FALSE)</f>
        <v>A3II CAB LH B状态 (埃)</v>
      </c>
      <c r="G243" s="91" t="s">
        <v>465</v>
      </c>
      <c r="H243" s="91" t="s">
        <v>466</v>
      </c>
      <c r="I243" s="59" t="s">
        <v>467</v>
      </c>
      <c r="J243" s="63"/>
      <c r="K243" s="61"/>
      <c r="L243" s="62">
        <v>2</v>
      </c>
      <c r="M243" s="63">
        <v>450</v>
      </c>
      <c r="N243" s="64">
        <v>16</v>
      </c>
      <c r="O243" s="62">
        <v>2</v>
      </c>
      <c r="P243" s="65">
        <f t="shared" si="3"/>
        <v>0</v>
      </c>
      <c r="Q243" s="66"/>
      <c r="R243" s="66"/>
      <c r="S243" s="66"/>
      <c r="T243" s="66"/>
      <c r="U243" s="66"/>
      <c r="V243" s="66"/>
      <c r="W243" s="66">
        <v>500</v>
      </c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7"/>
      <c r="BF243" s="67"/>
      <c r="BG243" s="68"/>
      <c r="BI243" s="69">
        <v>0</v>
      </c>
      <c r="BJ243" s="70">
        <v>0</v>
      </c>
      <c r="BK243" s="71">
        <v>0</v>
      </c>
      <c r="BL243" s="71">
        <v>0</v>
      </c>
      <c r="BM243" s="71">
        <v>0</v>
      </c>
      <c r="BN243" s="72">
        <v>0</v>
      </c>
      <c r="BO243" s="73"/>
      <c r="BP243" s="73"/>
      <c r="BQ243" s="71">
        <v>0</v>
      </c>
      <c r="BR243" s="71">
        <v>0</v>
      </c>
      <c r="BS243" s="71">
        <v>0</v>
      </c>
      <c r="BT243" s="72">
        <v>0</v>
      </c>
      <c r="BU243" s="73"/>
      <c r="BV243" s="73"/>
    </row>
    <row r="244" ht="30" customHeight="1" spans="1:74">
      <c r="A244" s="55">
        <v>0</v>
      </c>
      <c r="B244" s="56">
        <v>0</v>
      </c>
      <c r="C244" s="57">
        <v>0</v>
      </c>
      <c r="D244" s="92"/>
      <c r="E244" s="92"/>
      <c r="F244" s="91" t="e">
        <f>VLOOKUP(E244,[1]库存!$B$1:$C$65536,2,FALSE)</f>
        <v>#N/A</v>
      </c>
      <c r="G244" s="91" t="e">
        <v>#N/A</v>
      </c>
      <c r="H244" s="92"/>
      <c r="I244" s="74"/>
      <c r="J244" s="87"/>
      <c r="K244" s="61"/>
      <c r="L244" s="62">
        <v>0</v>
      </c>
      <c r="M244" s="63">
        <v>0</v>
      </c>
      <c r="N244" s="64">
        <v>0</v>
      </c>
      <c r="O244" s="62">
        <v>0</v>
      </c>
      <c r="P244" s="65">
        <f t="shared" si="3"/>
        <v>0</v>
      </c>
      <c r="Q244" s="66"/>
      <c r="R244" s="66"/>
      <c r="S244" s="66"/>
      <c r="T244" s="66"/>
      <c r="U244" s="66"/>
      <c r="V244" s="66"/>
      <c r="W244" s="66">
        <v>532</v>
      </c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7"/>
      <c r="BF244" s="67"/>
      <c r="BG244" s="68"/>
      <c r="BI244" s="69">
        <v>0</v>
      </c>
      <c r="BJ244" s="70">
        <v>0</v>
      </c>
      <c r="BK244" s="71">
        <v>0</v>
      </c>
      <c r="BL244" s="71">
        <v>0</v>
      </c>
      <c r="BM244" s="71">
        <v>0</v>
      </c>
      <c r="BN244" s="72">
        <v>0</v>
      </c>
      <c r="BO244" s="73"/>
      <c r="BP244" s="73"/>
      <c r="BQ244" s="71">
        <v>0</v>
      </c>
      <c r="BR244" s="71">
        <v>0</v>
      </c>
      <c r="BS244" s="71">
        <v>0</v>
      </c>
      <c r="BT244" s="72">
        <v>0</v>
      </c>
      <c r="BU244" s="73"/>
      <c r="BV244" s="73"/>
    </row>
    <row r="245" ht="30" customHeight="1" spans="1:74">
      <c r="A245" s="55" t="s">
        <v>165</v>
      </c>
      <c r="B245" s="56" t="s">
        <v>42</v>
      </c>
      <c r="C245" s="57" t="s">
        <v>462</v>
      </c>
      <c r="D245" s="91" t="s">
        <v>463</v>
      </c>
      <c r="E245" s="91" t="s">
        <v>468</v>
      </c>
      <c r="F245" s="91" t="str">
        <f>VLOOKUP(E245,[1]库存!$B$1:$C$65536,2,FALSE)</f>
        <v>A3II CAB RH B状态 (埃)</v>
      </c>
      <c r="G245" s="91" t="s">
        <v>469</v>
      </c>
      <c r="H245" s="91" t="s">
        <v>470</v>
      </c>
      <c r="I245" s="59" t="s">
        <v>467</v>
      </c>
      <c r="J245" s="63"/>
      <c r="K245" s="61"/>
      <c r="L245" s="62">
        <v>2</v>
      </c>
      <c r="M245" s="63">
        <v>450</v>
      </c>
      <c r="N245" s="64">
        <v>16</v>
      </c>
      <c r="O245" s="62">
        <v>2</v>
      </c>
      <c r="P245" s="65">
        <f t="shared" si="3"/>
        <v>0</v>
      </c>
      <c r="Q245" s="66"/>
      <c r="R245" s="66"/>
      <c r="S245" s="66"/>
      <c r="T245" s="66"/>
      <c r="U245" s="66"/>
      <c r="V245" s="66"/>
      <c r="W245" s="66"/>
      <c r="X245" s="66"/>
      <c r="Y245" s="66">
        <v>500</v>
      </c>
      <c r="Z245" s="66"/>
      <c r="AA245" s="66" t="s">
        <v>471</v>
      </c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7"/>
      <c r="BF245" s="67"/>
      <c r="BG245" s="68"/>
      <c r="BI245" s="69">
        <v>0</v>
      </c>
      <c r="BJ245" s="70">
        <v>0</v>
      </c>
      <c r="BK245" s="71">
        <v>0</v>
      </c>
      <c r="BL245" s="71">
        <v>0</v>
      </c>
      <c r="BM245" s="71">
        <v>0</v>
      </c>
      <c r="BN245" s="72">
        <v>0</v>
      </c>
      <c r="BO245" s="73"/>
      <c r="BP245" s="73"/>
      <c r="BQ245" s="71">
        <v>0</v>
      </c>
      <c r="BR245" s="71">
        <v>0</v>
      </c>
      <c r="BS245" s="71">
        <v>0</v>
      </c>
      <c r="BT245" s="72">
        <v>0</v>
      </c>
      <c r="BU245" s="73"/>
      <c r="BV245" s="73"/>
    </row>
    <row r="246" ht="30" customHeight="1" spans="1:74">
      <c r="A246" s="55">
        <v>0</v>
      </c>
      <c r="B246" s="56">
        <v>0</v>
      </c>
      <c r="C246" s="57">
        <v>0</v>
      </c>
      <c r="D246" s="92"/>
      <c r="E246" s="92"/>
      <c r="F246" s="91" t="e">
        <f>VLOOKUP(E246,[1]库存!$B$1:$C$65536,2,FALSE)</f>
        <v>#N/A</v>
      </c>
      <c r="G246" s="91" t="e">
        <v>#N/A</v>
      </c>
      <c r="H246" s="92"/>
      <c r="I246" s="74"/>
      <c r="J246" s="87"/>
      <c r="K246" s="61"/>
      <c r="L246" s="62">
        <v>0</v>
      </c>
      <c r="M246" s="63">
        <v>0</v>
      </c>
      <c r="N246" s="64">
        <v>0</v>
      </c>
      <c r="O246" s="62">
        <v>0</v>
      </c>
      <c r="P246" s="65">
        <f t="shared" si="3"/>
        <v>0</v>
      </c>
      <c r="Q246" s="66"/>
      <c r="R246" s="66"/>
      <c r="S246" s="66"/>
      <c r="T246" s="66"/>
      <c r="U246" s="66"/>
      <c r="V246" s="66"/>
      <c r="W246" s="66"/>
      <c r="X246" s="66"/>
      <c r="Y246" s="66">
        <v>379</v>
      </c>
      <c r="Z246" s="66"/>
      <c r="AA246" s="66">
        <v>126</v>
      </c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7"/>
      <c r="BF246" s="67"/>
      <c r="BG246" s="68"/>
      <c r="BI246" s="69">
        <v>0</v>
      </c>
      <c r="BJ246" s="70">
        <v>0</v>
      </c>
      <c r="BK246" s="71">
        <v>0</v>
      </c>
      <c r="BL246" s="71">
        <v>0</v>
      </c>
      <c r="BM246" s="71">
        <v>0</v>
      </c>
      <c r="BN246" s="72">
        <v>0</v>
      </c>
      <c r="BO246" s="73"/>
      <c r="BP246" s="73"/>
      <c r="BQ246" s="71">
        <v>0</v>
      </c>
      <c r="BR246" s="71">
        <v>0</v>
      </c>
      <c r="BS246" s="71">
        <v>0</v>
      </c>
      <c r="BT246" s="72">
        <v>0</v>
      </c>
      <c r="BU246" s="73"/>
      <c r="BV246" s="73"/>
    </row>
    <row r="247" ht="30" customHeight="1" spans="1:74">
      <c r="A247" s="55">
        <v>0</v>
      </c>
      <c r="B247" s="56" t="s">
        <v>42</v>
      </c>
      <c r="C247" s="57" t="s">
        <v>462</v>
      </c>
      <c r="D247" s="59" t="s">
        <v>463</v>
      </c>
      <c r="E247" s="59"/>
      <c r="F247" s="59" t="e">
        <f>VLOOKUP(E247,[1]库存!$B$1:$C$65536,2,FALSE)</f>
        <v>#N/A</v>
      </c>
      <c r="G247" s="59" t="e">
        <v>#N/A</v>
      </c>
      <c r="H247" s="59" t="s">
        <v>472</v>
      </c>
      <c r="I247" s="59" t="s">
        <v>473</v>
      </c>
      <c r="J247" s="63"/>
      <c r="K247" s="61"/>
      <c r="L247" s="62">
        <v>2</v>
      </c>
      <c r="M247" s="63">
        <v>450</v>
      </c>
      <c r="N247" s="64">
        <v>16</v>
      </c>
      <c r="O247" s="62">
        <v>2</v>
      </c>
      <c r="P247" s="65">
        <f t="shared" si="3"/>
        <v>0</v>
      </c>
      <c r="Q247" s="65"/>
      <c r="R247" s="66"/>
      <c r="S247" s="65"/>
      <c r="T247" s="66"/>
      <c r="U247" s="65"/>
      <c r="V247" s="66"/>
      <c r="W247" s="65"/>
      <c r="X247" s="66"/>
      <c r="Y247" s="65"/>
      <c r="Z247" s="66"/>
      <c r="AA247" s="65"/>
      <c r="AB247" s="66"/>
      <c r="AC247" s="65"/>
      <c r="AD247" s="66"/>
      <c r="AE247" s="65"/>
      <c r="AF247" s="66"/>
      <c r="AG247" s="65"/>
      <c r="AH247" s="66"/>
      <c r="AI247" s="65"/>
      <c r="AJ247" s="66"/>
      <c r="AK247" s="65"/>
      <c r="AL247" s="66"/>
      <c r="AM247" s="65"/>
      <c r="AN247" s="66"/>
      <c r="AO247" s="65"/>
      <c r="AP247" s="66"/>
      <c r="AQ247" s="65"/>
      <c r="AR247" s="66"/>
      <c r="AS247" s="65"/>
      <c r="AT247" s="66"/>
      <c r="AU247" s="65"/>
      <c r="AV247" s="66"/>
      <c r="AW247" s="65"/>
      <c r="AX247" s="66"/>
      <c r="AY247" s="65"/>
      <c r="AZ247" s="66"/>
      <c r="BA247" s="65"/>
      <c r="BB247" s="66"/>
      <c r="BC247" s="65"/>
      <c r="BD247" s="66"/>
      <c r="BE247" s="67"/>
      <c r="BF247" s="67"/>
      <c r="BG247" s="68"/>
      <c r="BI247" s="69">
        <v>0</v>
      </c>
      <c r="BJ247" s="70">
        <v>0</v>
      </c>
      <c r="BK247" s="71">
        <v>0</v>
      </c>
      <c r="BL247" s="71">
        <v>0</v>
      </c>
      <c r="BM247" s="71">
        <v>0</v>
      </c>
      <c r="BN247" s="72">
        <v>0</v>
      </c>
      <c r="BO247" s="73"/>
      <c r="BP247" s="73"/>
      <c r="BQ247" s="71">
        <v>0</v>
      </c>
      <c r="BR247" s="71">
        <v>0</v>
      </c>
      <c r="BS247" s="71">
        <v>0</v>
      </c>
      <c r="BT247" s="72">
        <v>0</v>
      </c>
      <c r="BU247" s="73"/>
      <c r="BV247" s="73"/>
    </row>
    <row r="248" ht="30" customHeight="1" spans="1:74">
      <c r="A248" s="55">
        <v>0</v>
      </c>
      <c r="B248" s="56">
        <v>0</v>
      </c>
      <c r="C248" s="57">
        <v>0</v>
      </c>
      <c r="D248" s="74"/>
      <c r="E248" s="74"/>
      <c r="F248" s="59" t="e">
        <f>VLOOKUP(E248,[1]库存!$B$1:$C$65536,2,FALSE)</f>
        <v>#N/A</v>
      </c>
      <c r="G248" s="59" t="e">
        <v>#N/A</v>
      </c>
      <c r="H248" s="74"/>
      <c r="I248" s="74"/>
      <c r="J248" s="87"/>
      <c r="K248" s="61"/>
      <c r="L248" s="62">
        <v>0</v>
      </c>
      <c r="M248" s="63">
        <v>0</v>
      </c>
      <c r="N248" s="64">
        <v>0</v>
      </c>
      <c r="O248" s="62">
        <v>0</v>
      </c>
      <c r="P248" s="65">
        <f t="shared" si="3"/>
        <v>0</v>
      </c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7"/>
      <c r="BF248" s="67"/>
      <c r="BG248" s="68"/>
      <c r="BI248" s="69">
        <v>0</v>
      </c>
      <c r="BJ248" s="70">
        <v>0</v>
      </c>
      <c r="BK248" s="71">
        <v>0</v>
      </c>
      <c r="BL248" s="71">
        <v>0</v>
      </c>
      <c r="BM248" s="71">
        <v>0</v>
      </c>
      <c r="BN248" s="72">
        <v>0</v>
      </c>
      <c r="BO248" s="73"/>
      <c r="BP248" s="73"/>
      <c r="BQ248" s="71">
        <v>0</v>
      </c>
      <c r="BR248" s="71">
        <v>0</v>
      </c>
      <c r="BS248" s="71">
        <v>0</v>
      </c>
      <c r="BT248" s="72">
        <v>0</v>
      </c>
      <c r="BU248" s="73"/>
      <c r="BV248" s="73"/>
    </row>
    <row r="249" ht="30" customHeight="1" spans="1:74">
      <c r="A249" s="55">
        <v>0</v>
      </c>
      <c r="B249" s="56" t="s">
        <v>42</v>
      </c>
      <c r="C249" s="57" t="s">
        <v>462</v>
      </c>
      <c r="D249" s="59" t="s">
        <v>463</v>
      </c>
      <c r="E249" s="59"/>
      <c r="F249" s="59" t="e">
        <f>VLOOKUP(E249,[1]库存!$B$1:$C$65536,2,FALSE)</f>
        <v>#N/A</v>
      </c>
      <c r="G249" s="59" t="e">
        <v>#N/A</v>
      </c>
      <c r="H249" s="59" t="s">
        <v>474</v>
      </c>
      <c r="I249" s="59" t="s">
        <v>475</v>
      </c>
      <c r="J249" s="63"/>
      <c r="K249" s="61"/>
      <c r="L249" s="62">
        <v>2</v>
      </c>
      <c r="M249" s="63">
        <v>450</v>
      </c>
      <c r="N249" s="64">
        <v>16</v>
      </c>
      <c r="O249" s="62">
        <v>2</v>
      </c>
      <c r="P249" s="65">
        <f t="shared" si="3"/>
        <v>0</v>
      </c>
      <c r="Q249" s="65"/>
      <c r="R249" s="66"/>
      <c r="S249" s="65"/>
      <c r="T249" s="66"/>
      <c r="U249" s="65"/>
      <c r="V249" s="66"/>
      <c r="W249" s="65"/>
      <c r="X249" s="66"/>
      <c r="Y249" s="65"/>
      <c r="Z249" s="66"/>
      <c r="AA249" s="65"/>
      <c r="AB249" s="66"/>
      <c r="AC249" s="65"/>
      <c r="AD249" s="66"/>
      <c r="AE249" s="65"/>
      <c r="AF249" s="66"/>
      <c r="AG249" s="65"/>
      <c r="AH249" s="66"/>
      <c r="AI249" s="65"/>
      <c r="AJ249" s="66"/>
      <c r="AK249" s="65"/>
      <c r="AL249" s="66"/>
      <c r="AM249" s="65"/>
      <c r="AN249" s="66"/>
      <c r="AO249" s="65"/>
      <c r="AP249" s="66"/>
      <c r="AQ249" s="65"/>
      <c r="AR249" s="66"/>
      <c r="AS249" s="65"/>
      <c r="AT249" s="66"/>
      <c r="AU249" s="65"/>
      <c r="AV249" s="66"/>
      <c r="AW249" s="65"/>
      <c r="AX249" s="66"/>
      <c r="AY249" s="65"/>
      <c r="AZ249" s="66"/>
      <c r="BA249" s="65"/>
      <c r="BB249" s="66"/>
      <c r="BC249" s="65"/>
      <c r="BD249" s="66"/>
      <c r="BE249" s="67"/>
      <c r="BF249" s="67"/>
      <c r="BG249" s="68"/>
      <c r="BI249" s="69">
        <v>0</v>
      </c>
      <c r="BJ249" s="70">
        <v>0</v>
      </c>
      <c r="BK249" s="71">
        <v>0</v>
      </c>
      <c r="BL249" s="71">
        <v>0</v>
      </c>
      <c r="BM249" s="71">
        <v>0</v>
      </c>
      <c r="BN249" s="72">
        <v>0</v>
      </c>
      <c r="BO249" s="73"/>
      <c r="BP249" s="73"/>
      <c r="BQ249" s="71">
        <v>0</v>
      </c>
      <c r="BR249" s="71">
        <v>0</v>
      </c>
      <c r="BS249" s="71">
        <v>0</v>
      </c>
      <c r="BT249" s="72">
        <v>0</v>
      </c>
      <c r="BU249" s="73"/>
      <c r="BV249" s="73"/>
    </row>
    <row r="250" ht="30" customHeight="1" spans="1:74">
      <c r="A250" s="55">
        <v>0</v>
      </c>
      <c r="B250" s="56">
        <v>0</v>
      </c>
      <c r="C250" s="57">
        <v>0</v>
      </c>
      <c r="D250" s="74"/>
      <c r="E250" s="74"/>
      <c r="F250" s="59" t="e">
        <f>VLOOKUP(E250,[1]库存!$B$1:$C$65536,2,FALSE)</f>
        <v>#N/A</v>
      </c>
      <c r="G250" s="59" t="e">
        <v>#N/A</v>
      </c>
      <c r="H250" s="74"/>
      <c r="I250" s="74"/>
      <c r="J250" s="87"/>
      <c r="K250" s="61"/>
      <c r="L250" s="62">
        <v>0</v>
      </c>
      <c r="M250" s="63">
        <v>0</v>
      </c>
      <c r="N250" s="64">
        <v>0</v>
      </c>
      <c r="O250" s="62">
        <v>0</v>
      </c>
      <c r="P250" s="65">
        <f t="shared" si="3"/>
        <v>0</v>
      </c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7"/>
      <c r="BF250" s="67"/>
      <c r="BG250" s="68"/>
      <c r="BI250" s="69">
        <v>0</v>
      </c>
      <c r="BJ250" s="70">
        <v>0</v>
      </c>
      <c r="BK250" s="71">
        <v>0</v>
      </c>
      <c r="BL250" s="71">
        <v>0</v>
      </c>
      <c r="BM250" s="71">
        <v>0</v>
      </c>
      <c r="BN250" s="72">
        <v>0</v>
      </c>
      <c r="BO250" s="73"/>
      <c r="BP250" s="73"/>
      <c r="BQ250" s="71">
        <v>0</v>
      </c>
      <c r="BR250" s="71">
        <v>0</v>
      </c>
      <c r="BS250" s="71">
        <v>0</v>
      </c>
      <c r="BT250" s="72">
        <v>0</v>
      </c>
      <c r="BU250" s="73"/>
      <c r="BV250" s="73"/>
    </row>
    <row r="251" ht="30" customHeight="1" spans="1:74">
      <c r="A251" s="55">
        <v>0</v>
      </c>
      <c r="B251" s="56">
        <v>0</v>
      </c>
      <c r="C251" s="64">
        <v>0</v>
      </c>
      <c r="D251" s="63">
        <v>0</v>
      </c>
      <c r="E251" s="63">
        <v>0</v>
      </c>
      <c r="F251" s="63">
        <v>0</v>
      </c>
      <c r="G251" s="59" t="e">
        <v>#N/A</v>
      </c>
      <c r="H251" s="63">
        <v>0</v>
      </c>
      <c r="I251" s="63">
        <v>0</v>
      </c>
      <c r="J251" s="63"/>
      <c r="K251" s="61"/>
      <c r="L251" s="62">
        <v>0</v>
      </c>
      <c r="M251" s="63">
        <v>0</v>
      </c>
      <c r="N251" s="64">
        <v>0</v>
      </c>
      <c r="O251" s="62">
        <v>0</v>
      </c>
      <c r="P251" s="65">
        <f t="shared" si="3"/>
        <v>0</v>
      </c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7"/>
      <c r="BF251" s="67"/>
      <c r="BG251" s="68"/>
      <c r="BI251" s="69">
        <v>0</v>
      </c>
      <c r="BJ251" s="70">
        <v>0</v>
      </c>
      <c r="BK251" s="71">
        <v>0</v>
      </c>
      <c r="BL251" s="71">
        <v>0</v>
      </c>
      <c r="BM251" s="71">
        <v>0</v>
      </c>
      <c r="BN251" s="72">
        <v>0</v>
      </c>
      <c r="BO251" s="73"/>
      <c r="BP251" s="73"/>
      <c r="BQ251" s="71">
        <v>0</v>
      </c>
      <c r="BR251" s="71">
        <v>0</v>
      </c>
      <c r="BS251" s="71">
        <v>0</v>
      </c>
      <c r="BT251" s="72">
        <v>0</v>
      </c>
      <c r="BU251" s="73"/>
      <c r="BV251" s="73"/>
    </row>
    <row r="252" ht="30" customHeight="1" spans="1:74">
      <c r="A252" s="55" t="s">
        <v>246</v>
      </c>
      <c r="B252" s="56" t="s">
        <v>42</v>
      </c>
      <c r="C252" s="57" t="s">
        <v>462</v>
      </c>
      <c r="D252" s="59" t="s">
        <v>463</v>
      </c>
      <c r="E252" s="59" t="s">
        <v>476</v>
      </c>
      <c r="F252" s="59" t="str">
        <f>VLOOKUP(E252,[1]库存!$B$1:$C$65536,2,FALSE)</f>
        <v>CHB021 IC RH C</v>
      </c>
      <c r="G252" s="59" t="s">
        <v>477</v>
      </c>
      <c r="H252" s="59" t="s">
        <v>478</v>
      </c>
      <c r="I252" s="59" t="s">
        <v>479</v>
      </c>
      <c r="J252" s="63"/>
      <c r="K252" s="61"/>
      <c r="L252" s="62">
        <v>2</v>
      </c>
      <c r="M252" s="63">
        <v>400</v>
      </c>
      <c r="N252" s="64">
        <v>17</v>
      </c>
      <c r="O252" s="62">
        <v>2</v>
      </c>
      <c r="P252" s="65">
        <f t="shared" si="3"/>
        <v>0</v>
      </c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7"/>
      <c r="BF252" s="67"/>
      <c r="BG252" s="68"/>
      <c r="BI252" s="69">
        <v>0</v>
      </c>
      <c r="BJ252" s="70">
        <v>0</v>
      </c>
      <c r="BK252" s="71">
        <v>0</v>
      </c>
      <c r="BL252" s="71">
        <v>0</v>
      </c>
      <c r="BM252" s="71">
        <v>0</v>
      </c>
      <c r="BN252" s="72">
        <v>0</v>
      </c>
      <c r="BO252" s="73"/>
      <c r="BP252" s="73"/>
      <c r="BQ252" s="71">
        <v>0</v>
      </c>
      <c r="BR252" s="71">
        <v>0</v>
      </c>
      <c r="BS252" s="71">
        <v>0</v>
      </c>
      <c r="BT252" s="72">
        <v>0</v>
      </c>
      <c r="BU252" s="73"/>
      <c r="BV252" s="73"/>
    </row>
    <row r="253" ht="30" customHeight="1" spans="1:74">
      <c r="A253" s="55">
        <v>0</v>
      </c>
      <c r="B253" s="56">
        <v>0</v>
      </c>
      <c r="C253" s="57">
        <v>0</v>
      </c>
      <c r="D253" s="74"/>
      <c r="E253" s="74"/>
      <c r="F253" s="59" t="e">
        <f>VLOOKUP(E253,[1]库存!$B$1:$C$65536,2,FALSE)</f>
        <v>#N/A</v>
      </c>
      <c r="G253" s="59" t="e">
        <v>#N/A</v>
      </c>
      <c r="H253" s="74"/>
      <c r="I253" s="74"/>
      <c r="J253" s="87"/>
      <c r="K253" s="61"/>
      <c r="L253" s="62">
        <v>0</v>
      </c>
      <c r="M253" s="63">
        <v>0</v>
      </c>
      <c r="N253" s="64">
        <v>0</v>
      </c>
      <c r="O253" s="62">
        <v>0</v>
      </c>
      <c r="P253" s="65">
        <f t="shared" si="3"/>
        <v>0</v>
      </c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7"/>
      <c r="BF253" s="67"/>
      <c r="BG253" s="68"/>
      <c r="BI253" s="69">
        <v>0</v>
      </c>
      <c r="BJ253" s="70">
        <v>0</v>
      </c>
      <c r="BK253" s="71">
        <v>0</v>
      </c>
      <c r="BL253" s="71">
        <v>0</v>
      </c>
      <c r="BM253" s="71">
        <v>0</v>
      </c>
      <c r="BN253" s="72">
        <v>0</v>
      </c>
      <c r="BO253" s="73"/>
      <c r="BP253" s="73"/>
      <c r="BQ253" s="71">
        <v>0</v>
      </c>
      <c r="BR253" s="71">
        <v>0</v>
      </c>
      <c r="BS253" s="71">
        <v>0</v>
      </c>
      <c r="BT253" s="72">
        <v>0</v>
      </c>
      <c r="BU253" s="73"/>
      <c r="BV253" s="73"/>
    </row>
    <row r="254" ht="30" customHeight="1" spans="1:74">
      <c r="A254" s="55">
        <v>0</v>
      </c>
      <c r="B254" s="56"/>
      <c r="C254" s="57"/>
      <c r="D254" s="152"/>
      <c r="E254" s="152"/>
      <c r="F254" s="59"/>
      <c r="G254" s="59" t="e">
        <v>#N/A</v>
      </c>
      <c r="H254" s="152"/>
      <c r="I254" s="152"/>
      <c r="J254" s="87"/>
      <c r="K254" s="61"/>
      <c r="L254" s="62"/>
      <c r="M254" s="63"/>
      <c r="N254" s="64"/>
      <c r="O254" s="62"/>
      <c r="P254" s="65">
        <f t="shared" si="3"/>
        <v>0</v>
      </c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7"/>
      <c r="BF254" s="67"/>
      <c r="BG254" s="68"/>
      <c r="BI254" s="69"/>
      <c r="BJ254" s="70"/>
      <c r="BK254" s="71"/>
      <c r="BL254" s="71"/>
      <c r="BM254" s="71"/>
      <c r="BN254" s="72"/>
      <c r="BO254" s="73"/>
      <c r="BP254" s="73"/>
      <c r="BQ254" s="71"/>
      <c r="BR254" s="71"/>
      <c r="BS254" s="71"/>
      <c r="BT254" s="72"/>
      <c r="BU254" s="73"/>
      <c r="BV254" s="73"/>
    </row>
    <row r="255" ht="30" customHeight="1" spans="1:74">
      <c r="A255" s="55" t="s">
        <v>246</v>
      </c>
      <c r="B255" s="56" t="s">
        <v>42</v>
      </c>
      <c r="C255" s="57" t="s">
        <v>462</v>
      </c>
      <c r="D255" s="59" t="s">
        <v>463</v>
      </c>
      <c r="E255" s="59" t="s">
        <v>480</v>
      </c>
      <c r="F255" s="59" t="str">
        <f>VLOOKUP(E255,[1]库存!$B$1:$C$65536,2,FALSE)</f>
        <v>CHB021 IC LH C</v>
      </c>
      <c r="G255" s="59" t="s">
        <v>481</v>
      </c>
      <c r="H255" s="59" t="s">
        <v>482</v>
      </c>
      <c r="I255" s="59" t="s">
        <v>479</v>
      </c>
      <c r="J255" s="63"/>
      <c r="K255" s="61"/>
      <c r="L255" s="62">
        <v>3</v>
      </c>
      <c r="M255" s="63">
        <v>400</v>
      </c>
      <c r="N255" s="64">
        <v>17</v>
      </c>
      <c r="O255" s="62">
        <v>3</v>
      </c>
      <c r="P255" s="65">
        <f t="shared" si="3"/>
        <v>0</v>
      </c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7"/>
      <c r="BF255" s="67"/>
      <c r="BG255" s="68"/>
      <c r="BI255" s="69">
        <v>0</v>
      </c>
      <c r="BJ255" s="70">
        <v>0</v>
      </c>
      <c r="BK255" s="71">
        <v>0</v>
      </c>
      <c r="BL255" s="71">
        <v>0</v>
      </c>
      <c r="BM255" s="71">
        <v>0</v>
      </c>
      <c r="BN255" s="72">
        <v>0</v>
      </c>
      <c r="BO255" s="73"/>
      <c r="BP255" s="73"/>
      <c r="BQ255" s="71">
        <v>0</v>
      </c>
      <c r="BR255" s="71">
        <v>0</v>
      </c>
      <c r="BS255" s="71">
        <v>0</v>
      </c>
      <c r="BT255" s="72">
        <v>0</v>
      </c>
      <c r="BU255" s="73"/>
      <c r="BV255" s="73"/>
    </row>
    <row r="256" ht="30" customHeight="1" spans="1:74">
      <c r="A256" s="55">
        <v>0</v>
      </c>
      <c r="B256" s="56">
        <v>0</v>
      </c>
      <c r="C256" s="57">
        <v>0</v>
      </c>
      <c r="D256" s="74"/>
      <c r="E256" s="74"/>
      <c r="F256" s="59" t="e">
        <f>VLOOKUP(E256,[1]库存!$B$1:$C$65536,2,FALSE)</f>
        <v>#N/A</v>
      </c>
      <c r="G256" s="59" t="e">
        <v>#N/A</v>
      </c>
      <c r="H256" s="74"/>
      <c r="I256" s="74"/>
      <c r="J256" s="87"/>
      <c r="K256" s="61"/>
      <c r="L256" s="62">
        <v>0</v>
      </c>
      <c r="M256" s="63">
        <v>0</v>
      </c>
      <c r="N256" s="64">
        <v>0</v>
      </c>
      <c r="O256" s="62">
        <v>0</v>
      </c>
      <c r="P256" s="65">
        <f t="shared" si="3"/>
        <v>0</v>
      </c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7"/>
      <c r="BF256" s="67"/>
      <c r="BG256" s="68"/>
      <c r="BI256" s="69">
        <v>0</v>
      </c>
      <c r="BJ256" s="70">
        <v>0</v>
      </c>
      <c r="BK256" s="71">
        <v>0</v>
      </c>
      <c r="BL256" s="71">
        <v>0</v>
      </c>
      <c r="BM256" s="71">
        <v>0</v>
      </c>
      <c r="BN256" s="72">
        <v>0</v>
      </c>
      <c r="BO256" s="73"/>
      <c r="BP256" s="73"/>
      <c r="BQ256" s="71">
        <v>0</v>
      </c>
      <c r="BR256" s="71">
        <v>0</v>
      </c>
      <c r="BS256" s="71">
        <v>0</v>
      </c>
      <c r="BT256" s="72">
        <v>0</v>
      </c>
      <c r="BU256" s="73"/>
      <c r="BV256" s="73"/>
    </row>
    <row r="257" ht="30" customHeight="1" spans="1:74">
      <c r="A257" s="55">
        <v>0</v>
      </c>
      <c r="B257" s="56">
        <v>0</v>
      </c>
      <c r="C257" s="57">
        <v>0</v>
      </c>
      <c r="E257" s="88"/>
      <c r="F257" s="59" t="e">
        <f>VLOOKUP(E257,[1]库存!$B$1:$C$65536,2,FALSE)</f>
        <v>#N/A</v>
      </c>
      <c r="G257" s="59" t="e">
        <v>#N/A</v>
      </c>
      <c r="H257" s="89"/>
      <c r="I257" s="88"/>
      <c r="J257" s="90"/>
      <c r="K257" s="61"/>
      <c r="L257" s="62">
        <v>0</v>
      </c>
      <c r="M257" s="63">
        <v>0</v>
      </c>
      <c r="N257" s="64">
        <v>0</v>
      </c>
      <c r="O257" s="62">
        <v>0</v>
      </c>
      <c r="P257" s="65">
        <f t="shared" si="3"/>
        <v>0</v>
      </c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7"/>
      <c r="BF257" s="67"/>
      <c r="BG257" s="68"/>
      <c r="BI257" s="69">
        <v>0</v>
      </c>
      <c r="BJ257" s="70">
        <v>0</v>
      </c>
      <c r="BK257" s="71">
        <v>0</v>
      </c>
      <c r="BL257" s="71">
        <v>0</v>
      </c>
      <c r="BM257" s="71">
        <v>0</v>
      </c>
      <c r="BN257" s="72">
        <v>0</v>
      </c>
      <c r="BO257" s="73"/>
      <c r="BP257" s="73"/>
      <c r="BQ257" s="71">
        <v>0</v>
      </c>
      <c r="BR257" s="71">
        <v>0</v>
      </c>
      <c r="BS257" s="71">
        <v>0</v>
      </c>
      <c r="BT257" s="72">
        <v>0</v>
      </c>
      <c r="BU257" s="73"/>
      <c r="BV257" s="73"/>
    </row>
    <row r="258" ht="30" customHeight="1" spans="1:74">
      <c r="A258" s="55" t="s">
        <v>165</v>
      </c>
      <c r="B258" s="56" t="s">
        <v>42</v>
      </c>
      <c r="C258" s="57" t="s">
        <v>462</v>
      </c>
      <c r="D258" s="59" t="s">
        <v>483</v>
      </c>
      <c r="E258" s="59" t="s">
        <v>484</v>
      </c>
      <c r="F258" s="59" t="str">
        <f>VLOOKUP(E258,[1]库存!$B$1:$C$65536,2,FALSE)</f>
        <v>SX11 FSAB LH</v>
      </c>
      <c r="G258" s="59" t="s">
        <v>485</v>
      </c>
      <c r="H258" s="59" t="s">
        <v>486</v>
      </c>
      <c r="I258" s="59" t="s">
        <v>170</v>
      </c>
      <c r="J258" s="63"/>
      <c r="K258" s="61"/>
      <c r="L258" s="62">
        <v>3</v>
      </c>
      <c r="M258" s="63">
        <v>1250</v>
      </c>
      <c r="N258" s="64">
        <v>12</v>
      </c>
      <c r="O258" s="62">
        <v>2</v>
      </c>
      <c r="P258" s="65">
        <f t="shared" si="3"/>
        <v>0</v>
      </c>
      <c r="Q258" s="103"/>
      <c r="R258" s="66"/>
      <c r="S258" s="103"/>
      <c r="T258" s="66"/>
      <c r="U258" s="103"/>
      <c r="V258" s="66"/>
      <c r="W258" s="103"/>
      <c r="X258" s="66"/>
      <c r="Y258" s="103"/>
      <c r="Z258" s="66"/>
      <c r="AA258" s="103"/>
      <c r="AB258" s="66"/>
      <c r="AC258" s="103"/>
      <c r="AD258" s="66"/>
      <c r="AE258" s="103"/>
      <c r="AF258" s="66"/>
      <c r="AG258" s="103"/>
      <c r="AH258" s="66"/>
      <c r="AI258" s="103"/>
      <c r="AJ258" s="66"/>
      <c r="AK258" s="103"/>
      <c r="AL258" s="66"/>
      <c r="AM258" s="103"/>
      <c r="AN258" s="66"/>
      <c r="AO258" s="103"/>
      <c r="AP258" s="66"/>
      <c r="AQ258" s="103"/>
      <c r="AR258" s="66"/>
      <c r="AS258" s="103"/>
      <c r="AT258" s="66"/>
      <c r="AU258" s="103"/>
      <c r="AV258" s="66"/>
      <c r="AW258" s="103"/>
      <c r="AX258" s="66"/>
      <c r="AY258" s="103"/>
      <c r="AZ258" s="66"/>
      <c r="BA258" s="103"/>
      <c r="BB258" s="66"/>
      <c r="BC258" s="103"/>
      <c r="BD258" s="66"/>
      <c r="BE258" s="67"/>
      <c r="BF258" s="67"/>
      <c r="BG258" s="68"/>
      <c r="BI258" s="69">
        <v>0</v>
      </c>
      <c r="BJ258" s="70">
        <v>0</v>
      </c>
      <c r="BK258" s="71">
        <v>0</v>
      </c>
      <c r="BL258" s="71">
        <v>0</v>
      </c>
      <c r="BM258" s="71">
        <v>0</v>
      </c>
      <c r="BN258" s="72">
        <v>0</v>
      </c>
      <c r="BO258" s="73"/>
      <c r="BP258" s="73"/>
      <c r="BQ258" s="71">
        <v>0</v>
      </c>
      <c r="BR258" s="71">
        <v>0</v>
      </c>
      <c r="BS258" s="71">
        <v>0</v>
      </c>
      <c r="BT258" s="72">
        <v>0</v>
      </c>
      <c r="BU258" s="73"/>
      <c r="BV258" s="73"/>
    </row>
    <row r="259" ht="30" customHeight="1" spans="1:74">
      <c r="A259" s="55">
        <v>0</v>
      </c>
      <c r="B259" s="56">
        <v>0</v>
      </c>
      <c r="C259" s="57">
        <v>0</v>
      </c>
      <c r="D259" s="74"/>
      <c r="E259" s="74"/>
      <c r="F259" s="59" t="e">
        <f>VLOOKUP(E259,[1]库存!$B$1:$C$65536,2,FALSE)</f>
        <v>#N/A</v>
      </c>
      <c r="G259" s="59" t="e">
        <v>#N/A</v>
      </c>
      <c r="H259" s="74"/>
      <c r="I259" s="74"/>
      <c r="J259" s="87"/>
      <c r="K259" s="61"/>
      <c r="L259" s="62">
        <v>0</v>
      </c>
      <c r="M259" s="63">
        <v>0</v>
      </c>
      <c r="N259" s="64">
        <v>0</v>
      </c>
      <c r="O259" s="62">
        <v>0</v>
      </c>
      <c r="P259" s="65">
        <f t="shared" si="3"/>
        <v>0</v>
      </c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7"/>
      <c r="BF259" s="67"/>
      <c r="BG259" s="68"/>
      <c r="BI259" s="69">
        <v>0</v>
      </c>
      <c r="BJ259" s="70">
        <v>0</v>
      </c>
      <c r="BK259" s="71">
        <v>0</v>
      </c>
      <c r="BL259" s="71">
        <v>0</v>
      </c>
      <c r="BM259" s="71">
        <v>0</v>
      </c>
      <c r="BN259" s="72">
        <v>0</v>
      </c>
      <c r="BO259" s="73"/>
      <c r="BP259" s="73"/>
      <c r="BQ259" s="71">
        <v>0</v>
      </c>
      <c r="BR259" s="71">
        <v>0</v>
      </c>
      <c r="BS259" s="71">
        <v>0</v>
      </c>
      <c r="BT259" s="72">
        <v>0</v>
      </c>
      <c r="BU259" s="73"/>
      <c r="BV259" s="73"/>
    </row>
    <row r="260" ht="30" customHeight="1" spans="1:74">
      <c r="A260" s="55" t="s">
        <v>165</v>
      </c>
      <c r="B260" s="56" t="s">
        <v>42</v>
      </c>
      <c r="C260" s="57" t="s">
        <v>462</v>
      </c>
      <c r="D260" s="59" t="s">
        <v>483</v>
      </c>
      <c r="E260" s="59" t="s">
        <v>487</v>
      </c>
      <c r="F260" s="59" t="str">
        <f>VLOOKUP(E260,[1]库存!$B$1:$C$65536,2,FALSE)</f>
        <v>SX11 FSAB RH</v>
      </c>
      <c r="G260" s="59" t="s">
        <v>488</v>
      </c>
      <c r="H260" s="59" t="s">
        <v>489</v>
      </c>
      <c r="I260" s="59" t="s">
        <v>170</v>
      </c>
      <c r="J260" s="63"/>
      <c r="K260" s="61"/>
      <c r="L260" s="62">
        <v>3</v>
      </c>
      <c r="M260" s="63">
        <v>1250</v>
      </c>
      <c r="N260" s="64">
        <v>12</v>
      </c>
      <c r="O260" s="62">
        <v>2</v>
      </c>
      <c r="P260" s="65">
        <f t="shared" si="3"/>
        <v>0</v>
      </c>
      <c r="Q260" s="66"/>
      <c r="R260" s="66"/>
      <c r="S260" s="66"/>
      <c r="T260" s="66"/>
      <c r="U260" s="66"/>
      <c r="V260" s="66"/>
      <c r="W260" s="103"/>
      <c r="X260" s="66"/>
      <c r="Y260" s="103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103"/>
      <c r="AL260" s="66"/>
      <c r="AM260" s="103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103"/>
      <c r="AZ260" s="66"/>
      <c r="BA260" s="103"/>
      <c r="BB260" s="66"/>
      <c r="BC260" s="66"/>
      <c r="BD260" s="66"/>
      <c r="BE260" s="67"/>
      <c r="BF260" s="67"/>
      <c r="BG260" s="68"/>
      <c r="BI260" s="69">
        <v>0</v>
      </c>
      <c r="BJ260" s="70">
        <v>0</v>
      </c>
      <c r="BK260" s="71">
        <v>0</v>
      </c>
      <c r="BL260" s="71">
        <v>0</v>
      </c>
      <c r="BM260" s="71">
        <v>0</v>
      </c>
      <c r="BN260" s="72">
        <v>0</v>
      </c>
      <c r="BO260" s="73"/>
      <c r="BP260" s="73"/>
      <c r="BQ260" s="71">
        <v>0</v>
      </c>
      <c r="BR260" s="71">
        <v>0</v>
      </c>
      <c r="BS260" s="71">
        <v>0</v>
      </c>
      <c r="BT260" s="72">
        <v>0</v>
      </c>
      <c r="BU260" s="73"/>
      <c r="BV260" s="73"/>
    </row>
    <row r="261" ht="30" customHeight="1" spans="1:74">
      <c r="A261" s="55">
        <v>0</v>
      </c>
      <c r="B261" s="56">
        <v>0</v>
      </c>
      <c r="C261" s="57">
        <v>0</v>
      </c>
      <c r="D261" s="74"/>
      <c r="E261" s="74"/>
      <c r="F261" s="59" t="e">
        <f>VLOOKUP(E261,[1]库存!$B$1:$C$65536,2,FALSE)</f>
        <v>#N/A</v>
      </c>
      <c r="G261" s="59" t="e">
        <v>#N/A</v>
      </c>
      <c r="H261" s="74"/>
      <c r="I261" s="74"/>
      <c r="J261" s="87"/>
      <c r="K261" s="61"/>
      <c r="L261" s="62">
        <v>0</v>
      </c>
      <c r="M261" s="63">
        <v>0</v>
      </c>
      <c r="N261" s="64">
        <v>0</v>
      </c>
      <c r="O261" s="62">
        <v>0</v>
      </c>
      <c r="P261" s="65">
        <f t="shared" si="3"/>
        <v>0</v>
      </c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7"/>
      <c r="BF261" s="67"/>
      <c r="BG261" s="68"/>
      <c r="BI261" s="69">
        <v>0</v>
      </c>
      <c r="BJ261" s="70">
        <v>0</v>
      </c>
      <c r="BK261" s="71">
        <v>0</v>
      </c>
      <c r="BL261" s="71">
        <v>0</v>
      </c>
      <c r="BM261" s="71">
        <v>0</v>
      </c>
      <c r="BN261" s="72">
        <v>0</v>
      </c>
      <c r="BO261" s="73"/>
      <c r="BP261" s="73"/>
      <c r="BQ261" s="71">
        <v>0</v>
      </c>
      <c r="BR261" s="71">
        <v>0</v>
      </c>
      <c r="BS261" s="71">
        <v>0</v>
      </c>
      <c r="BT261" s="72">
        <v>0</v>
      </c>
      <c r="BU261" s="73"/>
      <c r="BV261" s="73"/>
    </row>
    <row r="262" ht="30" customHeight="1" spans="1:74">
      <c r="A262" s="55" t="s">
        <v>246</v>
      </c>
      <c r="B262" s="56" t="s">
        <v>42</v>
      </c>
      <c r="C262" s="57" t="s">
        <v>462</v>
      </c>
      <c r="D262" s="59" t="s">
        <v>483</v>
      </c>
      <c r="E262" s="59" t="s">
        <v>490</v>
      </c>
      <c r="F262" s="59" t="str">
        <f>VLOOKUP(E262,[1]库存!$B$1:$C$65536,2,FALSE)</f>
        <v>LIXIANG W02 SAB LH</v>
      </c>
      <c r="G262" s="59" t="s">
        <v>491</v>
      </c>
      <c r="H262" s="59" t="s">
        <v>492</v>
      </c>
      <c r="I262" s="59" t="s">
        <v>493</v>
      </c>
      <c r="J262" s="63"/>
      <c r="K262" s="61"/>
      <c r="L262" s="62">
        <v>3</v>
      </c>
      <c r="M262" s="63">
        <v>1250</v>
      </c>
      <c r="N262" s="64">
        <v>11</v>
      </c>
      <c r="O262" s="62">
        <v>3</v>
      </c>
      <c r="P262" s="65">
        <f t="shared" ref="P262:P325" si="8">SUM(AG262:AJ262)</f>
        <v>0</v>
      </c>
      <c r="Q262" s="103"/>
      <c r="R262" s="66"/>
      <c r="S262" s="103"/>
      <c r="T262" s="66"/>
      <c r="U262" s="103"/>
      <c r="V262" s="66"/>
      <c r="W262" s="103"/>
      <c r="X262" s="66"/>
      <c r="Y262" s="103"/>
      <c r="Z262" s="66"/>
      <c r="AA262" s="103"/>
      <c r="AB262" s="66"/>
      <c r="AC262" s="103"/>
      <c r="AD262" s="66"/>
      <c r="AE262" s="103"/>
      <c r="AF262" s="66"/>
      <c r="AG262" s="103"/>
      <c r="AH262" s="66"/>
      <c r="AI262" s="103"/>
      <c r="AJ262" s="66"/>
      <c r="AK262" s="103"/>
      <c r="AL262" s="66"/>
      <c r="AM262" s="103"/>
      <c r="AN262" s="66"/>
      <c r="AO262" s="103"/>
      <c r="AP262" s="66"/>
      <c r="AQ262" s="103"/>
      <c r="AR262" s="66"/>
      <c r="AS262" s="103"/>
      <c r="AT262" s="66"/>
      <c r="AU262" s="103"/>
      <c r="AV262" s="66"/>
      <c r="AW262" s="103"/>
      <c r="AX262" s="66"/>
      <c r="AY262" s="103"/>
      <c r="AZ262" s="66"/>
      <c r="BA262" s="103"/>
      <c r="BB262" s="66"/>
      <c r="BC262" s="103"/>
      <c r="BD262" s="66"/>
      <c r="BE262" s="67"/>
      <c r="BF262" s="67"/>
      <c r="BG262" s="68"/>
      <c r="BI262" s="69">
        <v>0</v>
      </c>
      <c r="BJ262" s="70">
        <v>0</v>
      </c>
      <c r="BK262" s="71">
        <v>0</v>
      </c>
      <c r="BL262" s="71">
        <v>0</v>
      </c>
      <c r="BM262" s="71">
        <v>0</v>
      </c>
      <c r="BN262" s="72">
        <v>0</v>
      </c>
      <c r="BO262" s="73"/>
      <c r="BP262" s="73"/>
      <c r="BQ262" s="71">
        <v>0</v>
      </c>
      <c r="BR262" s="71">
        <v>0</v>
      </c>
      <c r="BS262" s="71">
        <v>0</v>
      </c>
      <c r="BT262" s="72">
        <v>0</v>
      </c>
      <c r="BU262" s="73"/>
      <c r="BV262" s="73"/>
    </row>
    <row r="263" ht="30" customHeight="1" spans="1:74">
      <c r="A263" s="55">
        <v>0</v>
      </c>
      <c r="B263" s="56">
        <v>0</v>
      </c>
      <c r="C263" s="57">
        <v>0</v>
      </c>
      <c r="D263" s="74"/>
      <c r="E263" s="74"/>
      <c r="F263" s="59" t="e">
        <f>VLOOKUP(E263,[1]库存!$B$1:$C$65536,2,FALSE)</f>
        <v>#N/A</v>
      </c>
      <c r="G263" s="59" t="e">
        <v>#N/A</v>
      </c>
      <c r="H263" s="74"/>
      <c r="I263" s="74"/>
      <c r="J263" s="87"/>
      <c r="K263" s="61"/>
      <c r="L263" s="62">
        <v>0</v>
      </c>
      <c r="M263" s="63">
        <v>0</v>
      </c>
      <c r="N263" s="64">
        <v>0</v>
      </c>
      <c r="O263" s="62">
        <v>0</v>
      </c>
      <c r="P263" s="65">
        <f t="shared" si="8"/>
        <v>0</v>
      </c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7"/>
      <c r="BF263" s="67"/>
      <c r="BG263" s="68"/>
      <c r="BI263" s="69">
        <v>0</v>
      </c>
      <c r="BJ263" s="70">
        <v>0</v>
      </c>
      <c r="BK263" s="71">
        <v>0</v>
      </c>
      <c r="BL263" s="71">
        <v>0</v>
      </c>
      <c r="BM263" s="71">
        <v>0</v>
      </c>
      <c r="BN263" s="72">
        <v>0</v>
      </c>
      <c r="BO263" s="73"/>
      <c r="BP263" s="73"/>
      <c r="BQ263" s="71">
        <v>0</v>
      </c>
      <c r="BR263" s="71">
        <v>0</v>
      </c>
      <c r="BS263" s="71">
        <v>0</v>
      </c>
      <c r="BT263" s="72">
        <v>0</v>
      </c>
      <c r="BU263" s="73"/>
      <c r="BV263" s="73"/>
    </row>
    <row r="264" ht="30" customHeight="1" spans="1:74">
      <c r="A264" s="55" t="s">
        <v>246</v>
      </c>
      <c r="B264" s="56" t="s">
        <v>42</v>
      </c>
      <c r="C264" s="57" t="s">
        <v>462</v>
      </c>
      <c r="D264" s="59" t="s">
        <v>483</v>
      </c>
      <c r="E264" s="59" t="s">
        <v>494</v>
      </c>
      <c r="F264" s="59" t="str">
        <f>VLOOKUP(E264,[1]库存!$B$1:$C$65536,2,FALSE)</f>
        <v>LIXIANG W02 SAB RH</v>
      </c>
      <c r="G264" s="59" t="s">
        <v>495</v>
      </c>
      <c r="H264" s="59" t="s">
        <v>496</v>
      </c>
      <c r="I264" s="59" t="s">
        <v>493</v>
      </c>
      <c r="J264" s="63"/>
      <c r="K264" s="61"/>
      <c r="L264" s="62">
        <v>3</v>
      </c>
      <c r="M264" s="63">
        <v>1250</v>
      </c>
      <c r="N264" s="64">
        <v>11</v>
      </c>
      <c r="O264" s="62">
        <v>3</v>
      </c>
      <c r="P264" s="65">
        <f t="shared" si="8"/>
        <v>0</v>
      </c>
      <c r="Q264" s="66"/>
      <c r="R264" s="66"/>
      <c r="S264" s="66"/>
      <c r="T264" s="66"/>
      <c r="U264" s="66"/>
      <c r="V264" s="66"/>
      <c r="W264" s="103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103"/>
      <c r="AL264" s="66"/>
      <c r="AM264" s="103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103"/>
      <c r="AZ264" s="66"/>
      <c r="BA264" s="103"/>
      <c r="BB264" s="66"/>
      <c r="BC264" s="66"/>
      <c r="BD264" s="66"/>
      <c r="BE264" s="67"/>
      <c r="BF264" s="67"/>
      <c r="BG264" s="68"/>
      <c r="BI264" s="69">
        <v>0</v>
      </c>
      <c r="BJ264" s="70">
        <v>0</v>
      </c>
      <c r="BK264" s="71">
        <v>0</v>
      </c>
      <c r="BL264" s="71">
        <v>0</v>
      </c>
      <c r="BM264" s="71">
        <v>0</v>
      </c>
      <c r="BN264" s="72">
        <v>0</v>
      </c>
      <c r="BO264" s="73"/>
      <c r="BP264" s="73"/>
      <c r="BQ264" s="71">
        <v>0</v>
      </c>
      <c r="BR264" s="71">
        <v>0</v>
      </c>
      <c r="BS264" s="71">
        <v>0</v>
      </c>
      <c r="BT264" s="72">
        <v>0</v>
      </c>
      <c r="BU264" s="73"/>
      <c r="BV264" s="73"/>
    </row>
    <row r="265" ht="30" customHeight="1" spans="1:74">
      <c r="A265" s="55">
        <v>0</v>
      </c>
      <c r="B265" s="56">
        <v>0</v>
      </c>
      <c r="C265" s="57">
        <v>0</v>
      </c>
      <c r="D265" s="74"/>
      <c r="E265" s="74"/>
      <c r="F265" s="59" t="e">
        <f>VLOOKUP(E265,[1]库存!$B$1:$C$65536,2,FALSE)</f>
        <v>#N/A</v>
      </c>
      <c r="G265" s="59" t="e">
        <v>#N/A</v>
      </c>
      <c r="H265" s="74"/>
      <c r="I265" s="74"/>
      <c r="J265" s="87"/>
      <c r="K265" s="61"/>
      <c r="L265" s="62">
        <v>0</v>
      </c>
      <c r="M265" s="63">
        <v>0</v>
      </c>
      <c r="N265" s="64">
        <v>0</v>
      </c>
      <c r="O265" s="62">
        <v>0</v>
      </c>
      <c r="P265" s="65">
        <f t="shared" si="8"/>
        <v>0</v>
      </c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7"/>
      <c r="BF265" s="67"/>
      <c r="BG265" s="68"/>
      <c r="BI265" s="69">
        <v>0</v>
      </c>
      <c r="BJ265" s="70">
        <v>0</v>
      </c>
      <c r="BK265" s="71">
        <v>0</v>
      </c>
      <c r="BL265" s="71">
        <v>0</v>
      </c>
      <c r="BM265" s="71">
        <v>0</v>
      </c>
      <c r="BN265" s="72">
        <v>0</v>
      </c>
      <c r="BO265" s="73"/>
      <c r="BP265" s="73"/>
      <c r="BQ265" s="71">
        <v>0</v>
      </c>
      <c r="BR265" s="71">
        <v>0</v>
      </c>
      <c r="BS265" s="71">
        <v>0</v>
      </c>
      <c r="BT265" s="72">
        <v>0</v>
      </c>
      <c r="BU265" s="73"/>
      <c r="BV265" s="73"/>
    </row>
    <row r="266" ht="30" customHeight="1" spans="1:74">
      <c r="A266" s="55">
        <v>0</v>
      </c>
      <c r="B266" s="56">
        <v>0</v>
      </c>
      <c r="C266" s="57">
        <v>0</v>
      </c>
      <c r="E266" s="88"/>
      <c r="F266" s="59" t="e">
        <f>VLOOKUP(E266,[1]库存!$B$1:$C$65536,2,FALSE)</f>
        <v>#N/A</v>
      </c>
      <c r="G266" s="59" t="e">
        <v>#N/A</v>
      </c>
      <c r="H266" s="89"/>
      <c r="I266" s="88"/>
      <c r="J266" s="90"/>
      <c r="K266" s="61"/>
      <c r="L266" s="62">
        <v>0</v>
      </c>
      <c r="M266" s="63">
        <v>0</v>
      </c>
      <c r="N266" s="64">
        <v>0</v>
      </c>
      <c r="O266" s="62">
        <v>0</v>
      </c>
      <c r="P266" s="65">
        <f t="shared" si="8"/>
        <v>0</v>
      </c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7"/>
      <c r="BF266" s="67"/>
      <c r="BG266" s="68"/>
      <c r="BI266" s="69">
        <v>0</v>
      </c>
      <c r="BJ266" s="70">
        <v>0</v>
      </c>
      <c r="BK266" s="71">
        <v>0</v>
      </c>
      <c r="BL266" s="71">
        <v>0</v>
      </c>
      <c r="BM266" s="71">
        <v>0</v>
      </c>
      <c r="BN266" s="72">
        <v>0</v>
      </c>
      <c r="BO266" s="73"/>
      <c r="BP266" s="73"/>
      <c r="BQ266" s="71">
        <v>0</v>
      </c>
      <c r="BR266" s="71">
        <v>0</v>
      </c>
      <c r="BS266" s="71">
        <v>0</v>
      </c>
      <c r="BT266" s="72">
        <v>0</v>
      </c>
      <c r="BU266" s="73"/>
      <c r="BV266" s="73"/>
    </row>
    <row r="267" ht="30" customHeight="1" spans="1:74">
      <c r="A267" s="55" t="s">
        <v>211</v>
      </c>
      <c r="B267" s="56" t="s">
        <v>42</v>
      </c>
      <c r="C267" s="57" t="s">
        <v>43</v>
      </c>
      <c r="D267" s="91" t="s">
        <v>497</v>
      </c>
      <c r="E267" s="91" t="s">
        <v>498</v>
      </c>
      <c r="F267" s="91" t="str">
        <f>VLOOKUP(E267,[1]库存!$B$1:$C$65536,2,FALSE)</f>
        <v>LKPAB-40 E状态</v>
      </c>
      <c r="G267" s="91" t="s">
        <v>499</v>
      </c>
      <c r="H267" s="157" t="s">
        <v>500</v>
      </c>
      <c r="I267" s="91" t="s">
        <v>501</v>
      </c>
      <c r="J267" s="64"/>
      <c r="K267" s="61"/>
      <c r="L267" s="62">
        <v>3</v>
      </c>
      <c r="M267" s="63">
        <v>1500</v>
      </c>
      <c r="N267" s="64">
        <v>13</v>
      </c>
      <c r="O267" s="62">
        <v>3</v>
      </c>
      <c r="P267" s="65">
        <f t="shared" si="8"/>
        <v>0</v>
      </c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>
        <v>2000</v>
      </c>
      <c r="AB267" s="103"/>
      <c r="AC267" s="103">
        <v>2000</v>
      </c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3"/>
      <c r="BD267" s="103"/>
      <c r="BE267" s="105"/>
      <c r="BF267" s="105"/>
      <c r="BG267" s="68"/>
      <c r="BI267" s="69">
        <v>0</v>
      </c>
      <c r="BJ267" s="70">
        <v>0</v>
      </c>
      <c r="BK267" s="71">
        <v>0</v>
      </c>
      <c r="BL267" s="71">
        <v>0</v>
      </c>
      <c r="BM267" s="71">
        <v>0</v>
      </c>
      <c r="BN267" s="72">
        <v>0</v>
      </c>
      <c r="BO267" s="73"/>
      <c r="BP267" s="73"/>
      <c r="BQ267" s="71">
        <v>0</v>
      </c>
      <c r="BR267" s="71">
        <v>0</v>
      </c>
      <c r="BS267" s="71">
        <v>0</v>
      </c>
      <c r="BT267" s="72">
        <v>0</v>
      </c>
      <c r="BU267" s="73"/>
      <c r="BV267" s="73"/>
    </row>
    <row r="268" ht="30" customHeight="1" spans="1:74">
      <c r="A268" s="55">
        <v>0</v>
      </c>
      <c r="B268" s="56">
        <v>0</v>
      </c>
      <c r="C268" s="57">
        <v>0</v>
      </c>
      <c r="D268" s="92"/>
      <c r="E268" s="92"/>
      <c r="F268" s="91" t="e">
        <f>VLOOKUP(E268,[1]库存!$B$1:$C$65536,2,FALSE)</f>
        <v>#N/A</v>
      </c>
      <c r="G268" s="91" t="e">
        <v>#N/A</v>
      </c>
      <c r="H268" s="158"/>
      <c r="I268" s="92"/>
      <c r="J268" s="93"/>
      <c r="K268" s="61"/>
      <c r="L268" s="62">
        <v>0</v>
      </c>
      <c r="M268" s="63">
        <v>0</v>
      </c>
      <c r="N268" s="64">
        <v>0</v>
      </c>
      <c r="O268" s="62">
        <v>0</v>
      </c>
      <c r="P268" s="65">
        <f t="shared" si="8"/>
        <v>0</v>
      </c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>
        <v>1540</v>
      </c>
      <c r="AB268" s="66"/>
      <c r="AC268" s="66">
        <v>1843</v>
      </c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7"/>
      <c r="BF268" s="67"/>
      <c r="BG268" s="68"/>
      <c r="BI268" s="69">
        <v>0</v>
      </c>
      <c r="BJ268" s="70">
        <v>0</v>
      </c>
      <c r="BK268" s="71">
        <v>0</v>
      </c>
      <c r="BL268" s="71">
        <v>0</v>
      </c>
      <c r="BM268" s="71">
        <v>0</v>
      </c>
      <c r="BN268" s="72">
        <v>0</v>
      </c>
      <c r="BO268" s="73"/>
      <c r="BP268" s="73"/>
      <c r="BQ268" s="71">
        <v>0</v>
      </c>
      <c r="BR268" s="71">
        <v>0</v>
      </c>
      <c r="BS268" s="71">
        <v>0</v>
      </c>
      <c r="BT268" s="72">
        <v>0</v>
      </c>
      <c r="BU268" s="73"/>
      <c r="BV268" s="73"/>
    </row>
    <row r="269" ht="30" customHeight="1" spans="1:74">
      <c r="A269" s="55">
        <v>0</v>
      </c>
      <c r="B269" s="56" t="s">
        <v>42</v>
      </c>
      <c r="C269" s="57" t="s">
        <v>43</v>
      </c>
      <c r="D269" s="59" t="s">
        <v>497</v>
      </c>
      <c r="E269" s="59" t="s">
        <v>498</v>
      </c>
      <c r="F269" s="59" t="s">
        <v>502</v>
      </c>
      <c r="G269" s="59" t="s">
        <v>503</v>
      </c>
      <c r="H269" s="129" t="s">
        <v>504</v>
      </c>
      <c r="I269" s="59" t="s">
        <v>501</v>
      </c>
      <c r="J269" s="100" t="s">
        <v>505</v>
      </c>
      <c r="K269" s="61"/>
      <c r="L269" s="62">
        <v>3</v>
      </c>
      <c r="M269" s="63">
        <v>1500</v>
      </c>
      <c r="N269" s="64">
        <v>13</v>
      </c>
      <c r="O269" s="62">
        <v>3</v>
      </c>
      <c r="P269" s="65">
        <f t="shared" si="8"/>
        <v>0</v>
      </c>
      <c r="Q269" s="103"/>
      <c r="R269" s="66"/>
      <c r="S269" s="103"/>
      <c r="T269" s="66"/>
      <c r="U269" s="103"/>
      <c r="V269" s="66"/>
      <c r="W269" s="103"/>
      <c r="X269" s="66"/>
      <c r="Y269" s="103"/>
      <c r="Z269" s="66"/>
      <c r="AA269" s="103"/>
      <c r="AB269" s="66"/>
      <c r="AC269" s="103"/>
      <c r="AD269" s="66"/>
      <c r="AE269" s="103"/>
      <c r="AF269" s="66"/>
      <c r="AG269" s="103"/>
      <c r="AH269" s="66"/>
      <c r="AI269" s="103"/>
      <c r="AJ269" s="66"/>
      <c r="AK269" s="103"/>
      <c r="AL269" s="66"/>
      <c r="AM269" s="103"/>
      <c r="AN269" s="66"/>
      <c r="AO269" s="103"/>
      <c r="AP269" s="66"/>
      <c r="AQ269" s="103"/>
      <c r="AR269" s="66"/>
      <c r="AS269" s="103"/>
      <c r="AT269" s="66"/>
      <c r="AU269" s="103"/>
      <c r="AV269" s="66"/>
      <c r="AW269" s="103"/>
      <c r="AX269" s="66"/>
      <c r="AY269" s="103"/>
      <c r="AZ269" s="66"/>
      <c r="BA269" s="103"/>
      <c r="BB269" s="66"/>
      <c r="BC269" s="103"/>
      <c r="BD269" s="66"/>
      <c r="BE269" s="67"/>
      <c r="BF269" s="67"/>
      <c r="BG269" s="68"/>
      <c r="BI269" s="69">
        <v>0</v>
      </c>
      <c r="BJ269" s="70">
        <v>0</v>
      </c>
      <c r="BK269" s="71">
        <v>0</v>
      </c>
      <c r="BL269" s="71">
        <v>0</v>
      </c>
      <c r="BM269" s="71">
        <v>0</v>
      </c>
      <c r="BN269" s="72">
        <v>0</v>
      </c>
      <c r="BO269" s="73"/>
      <c r="BP269" s="73"/>
      <c r="BQ269" s="71">
        <v>0</v>
      </c>
      <c r="BR269" s="71">
        <v>0</v>
      </c>
      <c r="BS269" s="71">
        <v>0</v>
      </c>
      <c r="BT269" s="72">
        <v>0</v>
      </c>
      <c r="BU269" s="73"/>
      <c r="BV269" s="73"/>
    </row>
    <row r="270" ht="30" customHeight="1" spans="1:74">
      <c r="A270" s="55">
        <v>0</v>
      </c>
      <c r="B270" s="56">
        <v>0</v>
      </c>
      <c r="C270" s="57">
        <v>0</v>
      </c>
      <c r="D270" s="74"/>
      <c r="E270" s="74"/>
      <c r="F270" s="59" t="e">
        <f>VLOOKUP(E270,[1]库存!$B$1:$C$65536,2,FALSE)</f>
        <v>#N/A</v>
      </c>
      <c r="G270" s="59" t="e">
        <v>#N/A</v>
      </c>
      <c r="H270" s="130"/>
      <c r="I270" s="74"/>
      <c r="J270" s="101"/>
      <c r="K270" s="61"/>
      <c r="L270" s="62">
        <v>0</v>
      </c>
      <c r="M270" s="63">
        <v>0</v>
      </c>
      <c r="N270" s="64">
        <v>0</v>
      </c>
      <c r="O270" s="62">
        <v>0</v>
      </c>
      <c r="P270" s="65">
        <f t="shared" si="8"/>
        <v>0</v>
      </c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7"/>
      <c r="BF270" s="67"/>
      <c r="BG270" s="68"/>
      <c r="BI270" s="69">
        <v>0</v>
      </c>
      <c r="BJ270" s="70">
        <v>0</v>
      </c>
      <c r="BK270" s="71">
        <v>0</v>
      </c>
      <c r="BL270" s="71">
        <v>0</v>
      </c>
      <c r="BM270" s="71">
        <v>0</v>
      </c>
      <c r="BN270" s="72">
        <v>0</v>
      </c>
      <c r="BO270" s="73"/>
      <c r="BP270" s="73"/>
      <c r="BQ270" s="71">
        <v>0</v>
      </c>
      <c r="BR270" s="71">
        <v>0</v>
      </c>
      <c r="BS270" s="71">
        <v>0</v>
      </c>
      <c r="BT270" s="72">
        <v>0</v>
      </c>
      <c r="BU270" s="73"/>
      <c r="BV270" s="73"/>
    </row>
    <row r="271" ht="30" customHeight="1" spans="1:74">
      <c r="A271" s="55" t="s">
        <v>211</v>
      </c>
      <c r="B271" s="56" t="s">
        <v>42</v>
      </c>
      <c r="C271" s="57" t="s">
        <v>43</v>
      </c>
      <c r="D271" s="59" t="s">
        <v>497</v>
      </c>
      <c r="E271" s="59" t="s">
        <v>506</v>
      </c>
      <c r="F271" s="59" t="str">
        <f>VLOOKUP(E271,[1]库存!$B$1:$C$65536,2,FALSE)</f>
        <v>LK PAB-35</v>
      </c>
      <c r="G271" s="59" t="s">
        <v>507</v>
      </c>
      <c r="H271" s="59" t="s">
        <v>508</v>
      </c>
      <c r="I271" s="59" t="s">
        <v>509</v>
      </c>
      <c r="J271" s="80" t="s">
        <v>65</v>
      </c>
      <c r="K271" s="61"/>
      <c r="L271" s="62">
        <v>0</v>
      </c>
      <c r="M271" s="63">
        <v>0</v>
      </c>
      <c r="N271" s="64">
        <v>0</v>
      </c>
      <c r="O271" s="62">
        <v>0</v>
      </c>
      <c r="P271" s="65">
        <f t="shared" si="8"/>
        <v>0</v>
      </c>
      <c r="Q271" s="103"/>
      <c r="R271" s="66"/>
      <c r="S271" s="103"/>
      <c r="T271" s="66"/>
      <c r="U271" s="103"/>
      <c r="V271" s="66"/>
      <c r="W271" s="103"/>
      <c r="X271" s="66"/>
      <c r="Y271" s="103"/>
      <c r="Z271" s="66"/>
      <c r="AA271" s="103"/>
      <c r="AB271" s="66"/>
      <c r="AC271" s="103"/>
      <c r="AD271" s="66"/>
      <c r="AE271" s="103"/>
      <c r="AF271" s="66"/>
      <c r="AG271" s="103"/>
      <c r="AH271" s="66"/>
      <c r="AI271" s="103"/>
      <c r="AJ271" s="66"/>
      <c r="AK271" s="103"/>
      <c r="AL271" s="66"/>
      <c r="AM271" s="103"/>
      <c r="AN271" s="66"/>
      <c r="AO271" s="103"/>
      <c r="AP271" s="66"/>
      <c r="AQ271" s="103"/>
      <c r="AR271" s="66"/>
      <c r="AS271" s="103"/>
      <c r="AT271" s="66"/>
      <c r="AU271" s="103"/>
      <c r="AV271" s="66"/>
      <c r="AW271" s="103"/>
      <c r="AX271" s="66"/>
      <c r="AY271" s="103"/>
      <c r="AZ271" s="66"/>
      <c r="BA271" s="103"/>
      <c r="BB271" s="66"/>
      <c r="BC271" s="103"/>
      <c r="BD271" s="66"/>
      <c r="BE271" s="67"/>
      <c r="BF271" s="67"/>
      <c r="BG271" s="68"/>
      <c r="BI271" s="69">
        <v>0</v>
      </c>
      <c r="BJ271" s="70">
        <v>0</v>
      </c>
      <c r="BK271" s="71">
        <v>0</v>
      </c>
      <c r="BL271" s="71">
        <v>0</v>
      </c>
      <c r="BM271" s="71">
        <v>0</v>
      </c>
      <c r="BN271" s="72">
        <v>0</v>
      </c>
      <c r="BO271" s="73"/>
      <c r="BP271" s="73"/>
      <c r="BQ271" s="71">
        <v>0</v>
      </c>
      <c r="BR271" s="71">
        <v>0</v>
      </c>
      <c r="BS271" s="71">
        <v>0</v>
      </c>
      <c r="BT271" s="72">
        <v>0</v>
      </c>
      <c r="BU271" s="73"/>
      <c r="BV271" s="73"/>
    </row>
    <row r="272" ht="30" customHeight="1" spans="1:74">
      <c r="A272" s="55">
        <v>0</v>
      </c>
      <c r="B272" s="56">
        <v>0</v>
      </c>
      <c r="C272" s="57">
        <v>0</v>
      </c>
      <c r="D272" s="74"/>
      <c r="E272" s="74"/>
      <c r="F272" s="59" t="e">
        <f>VLOOKUP(E272,[1]库存!$B$1:$C$65536,2,FALSE)</f>
        <v>#N/A</v>
      </c>
      <c r="G272" s="59" t="e">
        <v>#N/A</v>
      </c>
      <c r="H272" s="74"/>
      <c r="I272" s="74"/>
      <c r="J272" s="81"/>
      <c r="K272" s="61"/>
      <c r="L272" s="62">
        <v>0</v>
      </c>
      <c r="M272" s="63">
        <v>0</v>
      </c>
      <c r="N272" s="64">
        <v>0</v>
      </c>
      <c r="O272" s="62">
        <v>0</v>
      </c>
      <c r="P272" s="65">
        <f t="shared" si="8"/>
        <v>0</v>
      </c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7"/>
      <c r="BF272" s="67"/>
      <c r="BG272" s="68"/>
      <c r="BI272" s="69">
        <v>0</v>
      </c>
      <c r="BJ272" s="70">
        <v>0</v>
      </c>
      <c r="BK272" s="71">
        <v>0</v>
      </c>
      <c r="BL272" s="71">
        <v>0</v>
      </c>
      <c r="BM272" s="71">
        <v>0</v>
      </c>
      <c r="BN272" s="72">
        <v>0</v>
      </c>
      <c r="BO272" s="73"/>
      <c r="BP272" s="73"/>
      <c r="BQ272" s="71">
        <v>0</v>
      </c>
      <c r="BR272" s="71">
        <v>0</v>
      </c>
      <c r="BS272" s="71">
        <v>0</v>
      </c>
      <c r="BT272" s="72">
        <v>0</v>
      </c>
      <c r="BU272" s="73"/>
      <c r="BV272" s="73"/>
    </row>
    <row r="273" ht="30" customHeight="1" spans="1:74">
      <c r="A273" s="55">
        <v>0</v>
      </c>
      <c r="B273" s="56">
        <v>0</v>
      </c>
      <c r="C273" s="56">
        <v>0</v>
      </c>
      <c r="D273" s="106"/>
      <c r="E273" s="107"/>
      <c r="F273" s="59" t="e">
        <f>VLOOKUP(E273,[1]库存!$B$1:$C$65536,2,FALSE)</f>
        <v>#N/A</v>
      </c>
      <c r="G273" s="59" t="e">
        <v>#N/A</v>
      </c>
      <c r="H273" s="89"/>
      <c r="I273" s="88"/>
      <c r="J273" s="90"/>
      <c r="K273" s="61"/>
      <c r="L273" s="62">
        <v>0</v>
      </c>
      <c r="M273" s="63">
        <v>0</v>
      </c>
      <c r="N273" s="64">
        <v>0</v>
      </c>
      <c r="O273" s="62">
        <v>0</v>
      </c>
      <c r="P273" s="65">
        <f t="shared" si="8"/>
        <v>0</v>
      </c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7"/>
      <c r="BF273" s="67"/>
      <c r="BG273" s="68"/>
      <c r="BI273" s="69">
        <v>0</v>
      </c>
      <c r="BJ273" s="70">
        <v>0</v>
      </c>
      <c r="BK273" s="71">
        <v>0</v>
      </c>
      <c r="BL273" s="71">
        <v>0</v>
      </c>
      <c r="BM273" s="71">
        <v>0</v>
      </c>
      <c r="BN273" s="72">
        <v>0</v>
      </c>
      <c r="BO273" s="73"/>
      <c r="BP273" s="73"/>
      <c r="BQ273" s="71">
        <v>0</v>
      </c>
      <c r="BR273" s="71">
        <v>0</v>
      </c>
      <c r="BS273" s="71">
        <v>0</v>
      </c>
      <c r="BT273" s="72">
        <v>0</v>
      </c>
      <c r="BU273" s="73"/>
      <c r="BV273" s="73"/>
    </row>
    <row r="274" ht="30" customHeight="1" spans="1:74">
      <c r="A274" s="55" t="s">
        <v>165</v>
      </c>
      <c r="B274" s="56" t="s">
        <v>42</v>
      </c>
      <c r="C274" s="57" t="s">
        <v>462</v>
      </c>
      <c r="D274" s="59" t="s">
        <v>510</v>
      </c>
      <c r="E274" s="91" t="s">
        <v>511</v>
      </c>
      <c r="F274" s="91" t="str">
        <f>VLOOKUP(E274,[1]库存!$B$1:$C$65536,2,FALSE)</f>
        <v>CHERY T19C FCA DLH B状态</v>
      </c>
      <c r="G274" s="91" t="s">
        <v>512</v>
      </c>
      <c r="H274" s="91" t="s">
        <v>513</v>
      </c>
      <c r="I274" s="59" t="s">
        <v>514</v>
      </c>
      <c r="J274" s="82" t="s">
        <v>515</v>
      </c>
      <c r="K274" s="61"/>
      <c r="L274" s="62">
        <v>2</v>
      </c>
      <c r="M274" s="63">
        <v>550</v>
      </c>
      <c r="N274" s="64">
        <v>20</v>
      </c>
      <c r="O274" s="62">
        <v>2</v>
      </c>
      <c r="P274" s="65">
        <f t="shared" si="8"/>
        <v>0</v>
      </c>
      <c r="Q274" s="66">
        <v>950</v>
      </c>
      <c r="R274" s="66"/>
      <c r="S274" s="66">
        <v>1000</v>
      </c>
      <c r="T274" s="66"/>
      <c r="U274" s="66">
        <v>0</v>
      </c>
      <c r="V274" s="66"/>
      <c r="W274" s="66"/>
      <c r="X274" s="66"/>
      <c r="Y274" s="66"/>
      <c r="Z274" s="66"/>
      <c r="AA274" s="66">
        <v>0</v>
      </c>
      <c r="AB274" s="66"/>
      <c r="AC274" s="66">
        <v>0</v>
      </c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7"/>
      <c r="BF274" s="67"/>
      <c r="BG274" s="68"/>
      <c r="BI274" s="69">
        <v>0</v>
      </c>
      <c r="BJ274" s="70">
        <v>0</v>
      </c>
      <c r="BK274" s="71">
        <v>0</v>
      </c>
      <c r="BL274" s="71">
        <v>0</v>
      </c>
      <c r="BM274" s="71">
        <v>0</v>
      </c>
      <c r="BN274" s="72">
        <v>0</v>
      </c>
      <c r="BO274" s="151" t="e">
        <f t="shared" ref="BO274:BO277" si="9">(BK274+BL274)/BJ274</f>
        <v>#DIV/0!</v>
      </c>
      <c r="BP274" s="151" t="e">
        <f t="shared" ref="BP274:BP277" si="10">BM274/BJ274</f>
        <v>#DIV/0!</v>
      </c>
      <c r="BQ274" s="71">
        <v>0</v>
      </c>
      <c r="BR274" s="71">
        <v>0</v>
      </c>
      <c r="BS274" s="71">
        <v>0</v>
      </c>
      <c r="BT274" s="72">
        <v>0</v>
      </c>
      <c r="BU274" s="151" t="e">
        <f t="shared" ref="BU274:BU277" si="11">(BQ274+BR274)/BJ274</f>
        <v>#DIV/0!</v>
      </c>
      <c r="BV274" s="151" t="e">
        <f t="shared" ref="BV274:BV277" si="12">BS274/BJ274</f>
        <v>#DIV/0!</v>
      </c>
    </row>
    <row r="275" ht="30" customHeight="1" spans="1:74">
      <c r="A275" s="55">
        <v>0</v>
      </c>
      <c r="B275" s="56">
        <v>0</v>
      </c>
      <c r="C275" s="57">
        <v>0</v>
      </c>
      <c r="D275" s="74"/>
      <c r="E275" s="92"/>
      <c r="F275" s="91" t="e">
        <f>VLOOKUP(E275,[1]库存!$B$1:$C$65536,2,FALSE)</f>
        <v>#N/A</v>
      </c>
      <c r="G275" s="91" t="e">
        <v>#N/A</v>
      </c>
      <c r="H275" s="92"/>
      <c r="I275" s="74"/>
      <c r="J275" s="83"/>
      <c r="K275" s="61"/>
      <c r="L275" s="62">
        <v>0</v>
      </c>
      <c r="M275" s="63">
        <v>0</v>
      </c>
      <c r="N275" s="64">
        <v>0</v>
      </c>
      <c r="O275" s="62">
        <v>0</v>
      </c>
      <c r="P275" s="65">
        <f t="shared" si="8"/>
        <v>0</v>
      </c>
      <c r="Q275" s="66">
        <v>925</v>
      </c>
      <c r="R275" s="66"/>
      <c r="S275" s="66">
        <v>1051</v>
      </c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7"/>
      <c r="BF275" s="67"/>
      <c r="BG275" s="68"/>
      <c r="BI275" s="69">
        <v>0</v>
      </c>
      <c r="BJ275" s="70">
        <v>0</v>
      </c>
      <c r="BK275" s="71">
        <v>0</v>
      </c>
      <c r="BL275" s="71">
        <v>0</v>
      </c>
      <c r="BM275" s="71">
        <v>0</v>
      </c>
      <c r="BN275" s="72">
        <v>0</v>
      </c>
      <c r="BO275" s="151" t="e">
        <f t="shared" si="9"/>
        <v>#DIV/0!</v>
      </c>
      <c r="BP275" s="151" t="e">
        <f t="shared" si="10"/>
        <v>#DIV/0!</v>
      </c>
      <c r="BQ275" s="71">
        <v>0</v>
      </c>
      <c r="BR275" s="71">
        <v>0</v>
      </c>
      <c r="BS275" s="71">
        <v>0</v>
      </c>
      <c r="BT275" s="72">
        <v>0</v>
      </c>
      <c r="BU275" s="151" t="e">
        <f t="shared" si="11"/>
        <v>#DIV/0!</v>
      </c>
      <c r="BV275" s="151" t="e">
        <f t="shared" si="12"/>
        <v>#DIV/0!</v>
      </c>
    </row>
    <row r="276" ht="30" customHeight="1" spans="1:74">
      <c r="A276" s="55" t="s">
        <v>165</v>
      </c>
      <c r="B276" s="56" t="s">
        <v>42</v>
      </c>
      <c r="C276" s="57" t="s">
        <v>462</v>
      </c>
      <c r="D276" s="59" t="s">
        <v>510</v>
      </c>
      <c r="E276" s="59"/>
      <c r="F276" s="59" t="e">
        <f>VLOOKUP(E276,[1]库存!$B$1:$C$65536,2,FALSE)</f>
        <v>#N/A</v>
      </c>
      <c r="G276" s="59" t="e">
        <v>#N/A</v>
      </c>
      <c r="H276" s="59" t="s">
        <v>516</v>
      </c>
      <c r="I276" s="59" t="s">
        <v>514</v>
      </c>
      <c r="J276" s="63" t="s">
        <v>517</v>
      </c>
      <c r="K276" s="61"/>
      <c r="L276" s="62">
        <v>2</v>
      </c>
      <c r="M276" s="63">
        <v>550</v>
      </c>
      <c r="N276" s="64">
        <v>20</v>
      </c>
      <c r="O276" s="62">
        <v>2</v>
      </c>
      <c r="P276" s="65">
        <f t="shared" si="8"/>
        <v>0</v>
      </c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105"/>
      <c r="BF276" s="67"/>
      <c r="BG276" s="68"/>
      <c r="BI276" s="69">
        <v>0</v>
      </c>
      <c r="BJ276" s="70">
        <v>0</v>
      </c>
      <c r="BK276" s="71">
        <v>0</v>
      </c>
      <c r="BL276" s="71">
        <v>0</v>
      </c>
      <c r="BM276" s="71">
        <v>0</v>
      </c>
      <c r="BN276" s="72">
        <v>0</v>
      </c>
      <c r="BO276" s="151" t="e">
        <f t="shared" si="9"/>
        <v>#DIV/0!</v>
      </c>
      <c r="BP276" s="151" t="e">
        <f t="shared" si="10"/>
        <v>#DIV/0!</v>
      </c>
      <c r="BQ276" s="71">
        <v>0</v>
      </c>
      <c r="BR276" s="71">
        <v>0</v>
      </c>
      <c r="BS276" s="71">
        <v>0</v>
      </c>
      <c r="BT276" s="72">
        <v>0</v>
      </c>
      <c r="BU276" s="151" t="e">
        <f t="shared" si="11"/>
        <v>#DIV/0!</v>
      </c>
      <c r="BV276" s="151" t="e">
        <f t="shared" si="12"/>
        <v>#DIV/0!</v>
      </c>
    </row>
    <row r="277" ht="30" customHeight="1" spans="1:74">
      <c r="A277" s="55">
        <v>0</v>
      </c>
      <c r="B277" s="56">
        <v>0</v>
      </c>
      <c r="C277" s="57">
        <v>0</v>
      </c>
      <c r="D277" s="74"/>
      <c r="E277" s="74"/>
      <c r="F277" s="59" t="e">
        <f>VLOOKUP(E277,[1]库存!$B$1:$C$65536,2,FALSE)</f>
        <v>#N/A</v>
      </c>
      <c r="G277" s="59" t="e">
        <v>#N/A</v>
      </c>
      <c r="H277" s="74"/>
      <c r="I277" s="74"/>
      <c r="J277" s="87"/>
      <c r="K277" s="61"/>
      <c r="L277" s="62">
        <v>0</v>
      </c>
      <c r="M277" s="63">
        <v>0</v>
      </c>
      <c r="N277" s="64">
        <v>0</v>
      </c>
      <c r="O277" s="62">
        <v>0</v>
      </c>
      <c r="P277" s="65">
        <f t="shared" si="8"/>
        <v>0</v>
      </c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F277" s="67"/>
      <c r="BG277" s="68"/>
      <c r="BI277" s="69">
        <v>0</v>
      </c>
      <c r="BJ277" s="70">
        <v>0</v>
      </c>
      <c r="BK277" s="71">
        <v>0</v>
      </c>
      <c r="BL277" s="71">
        <v>0</v>
      </c>
      <c r="BM277" s="71">
        <v>0</v>
      </c>
      <c r="BN277" s="72">
        <v>0</v>
      </c>
      <c r="BO277" s="151" t="e">
        <f t="shared" si="9"/>
        <v>#DIV/0!</v>
      </c>
      <c r="BP277" s="151" t="e">
        <f t="shared" si="10"/>
        <v>#DIV/0!</v>
      </c>
      <c r="BQ277" s="71">
        <v>0</v>
      </c>
      <c r="BR277" s="71">
        <v>0</v>
      </c>
      <c r="BS277" s="71">
        <v>0</v>
      </c>
      <c r="BT277" s="72">
        <v>0</v>
      </c>
      <c r="BU277" s="151" t="e">
        <f t="shared" si="11"/>
        <v>#DIV/0!</v>
      </c>
      <c r="BV277" s="151" t="e">
        <f t="shared" si="12"/>
        <v>#DIV/0!</v>
      </c>
    </row>
    <row r="278" ht="30" customHeight="1" spans="1:74">
      <c r="A278" s="55" t="s">
        <v>165</v>
      </c>
      <c r="B278" s="56" t="s">
        <v>42</v>
      </c>
      <c r="C278" s="57" t="s">
        <v>462</v>
      </c>
      <c r="D278" s="59" t="s">
        <v>510</v>
      </c>
      <c r="E278" s="59" t="s">
        <v>518</v>
      </c>
      <c r="F278" s="59" t="str">
        <f>VLOOKUP(E278,[1]库存!$B$1:$C$65536,2,FALSE)</f>
        <v>SE3168 FCAB LHD</v>
      </c>
      <c r="G278" s="59" t="s">
        <v>519</v>
      </c>
      <c r="H278" s="59" t="s">
        <v>520</v>
      </c>
      <c r="I278" s="59" t="s">
        <v>521</v>
      </c>
      <c r="J278" s="80" t="s">
        <v>65</v>
      </c>
      <c r="K278" s="61"/>
      <c r="L278" s="62">
        <v>3</v>
      </c>
      <c r="M278" s="63">
        <v>850</v>
      </c>
      <c r="N278" s="64">
        <v>16</v>
      </c>
      <c r="O278" s="62">
        <v>3</v>
      </c>
      <c r="P278" s="65">
        <f t="shared" si="8"/>
        <v>0</v>
      </c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7"/>
      <c r="BF278" s="67"/>
      <c r="BG278" s="68"/>
      <c r="BI278" s="69">
        <v>0</v>
      </c>
      <c r="BJ278" s="70">
        <v>0</v>
      </c>
      <c r="BK278" s="71">
        <v>0</v>
      </c>
      <c r="BL278" s="71">
        <v>0</v>
      </c>
      <c r="BM278" s="71">
        <v>0</v>
      </c>
      <c r="BN278" s="72">
        <v>0</v>
      </c>
      <c r="BO278" s="73"/>
      <c r="BP278" s="73"/>
      <c r="BQ278" s="71">
        <v>0</v>
      </c>
      <c r="BR278" s="71">
        <v>0</v>
      </c>
      <c r="BS278" s="71">
        <v>0</v>
      </c>
      <c r="BT278" s="72">
        <v>0</v>
      </c>
      <c r="BU278" s="73"/>
      <c r="BV278" s="73"/>
    </row>
    <row r="279" ht="30" customHeight="1" spans="1:74">
      <c r="A279" s="55">
        <v>0</v>
      </c>
      <c r="B279" s="56">
        <v>0</v>
      </c>
      <c r="C279" s="57">
        <v>0</v>
      </c>
      <c r="D279" s="74"/>
      <c r="E279" s="74"/>
      <c r="F279" s="59" t="e">
        <f>VLOOKUP(E279,[1]库存!$B$1:$C$65536,2,FALSE)</f>
        <v>#N/A</v>
      </c>
      <c r="G279" s="59" t="e">
        <v>#N/A</v>
      </c>
      <c r="H279" s="74"/>
      <c r="I279" s="74"/>
      <c r="J279" s="81"/>
      <c r="K279" s="61"/>
      <c r="L279" s="62">
        <v>0</v>
      </c>
      <c r="M279" s="63">
        <v>0</v>
      </c>
      <c r="N279" s="64">
        <v>0</v>
      </c>
      <c r="O279" s="62">
        <v>0</v>
      </c>
      <c r="P279" s="65">
        <f t="shared" si="8"/>
        <v>0</v>
      </c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7"/>
      <c r="BF279" s="67"/>
      <c r="BG279" s="68"/>
      <c r="BI279" s="69">
        <v>0</v>
      </c>
      <c r="BJ279" s="70">
        <v>0</v>
      </c>
      <c r="BK279" s="71">
        <v>0</v>
      </c>
      <c r="BL279" s="71">
        <v>0</v>
      </c>
      <c r="BM279" s="71">
        <v>0</v>
      </c>
      <c r="BN279" s="72">
        <v>0</v>
      </c>
      <c r="BO279" s="73"/>
      <c r="BP279" s="73"/>
      <c r="BQ279" s="71">
        <v>0</v>
      </c>
      <c r="BR279" s="71">
        <v>0</v>
      </c>
      <c r="BS279" s="71">
        <v>0</v>
      </c>
      <c r="BT279" s="72">
        <v>0</v>
      </c>
      <c r="BU279" s="73"/>
      <c r="BV279" s="73"/>
    </row>
    <row r="280" ht="30" customHeight="1" spans="1:74">
      <c r="A280" s="55" t="s">
        <v>165</v>
      </c>
      <c r="B280" s="56" t="s">
        <v>42</v>
      </c>
      <c r="C280" s="57" t="s">
        <v>462</v>
      </c>
      <c r="D280" s="59" t="s">
        <v>510</v>
      </c>
      <c r="E280" s="59" t="s">
        <v>522</v>
      </c>
      <c r="F280" s="59" t="str">
        <f>VLOOKUP(E280,[1]库存!$B$1:$C$65536,2,FALSE)</f>
        <v>SE3168 FCAB RHD</v>
      </c>
      <c r="G280" s="59" t="s">
        <v>523</v>
      </c>
      <c r="H280" s="59" t="s">
        <v>524</v>
      </c>
      <c r="I280" s="59" t="s">
        <v>521</v>
      </c>
      <c r="J280" s="80" t="s">
        <v>65</v>
      </c>
      <c r="K280" s="61"/>
      <c r="L280" s="62">
        <v>3</v>
      </c>
      <c r="M280" s="63">
        <v>850</v>
      </c>
      <c r="N280" s="64">
        <v>16</v>
      </c>
      <c r="O280" s="62">
        <v>3</v>
      </c>
      <c r="P280" s="65">
        <f t="shared" si="8"/>
        <v>0</v>
      </c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7"/>
      <c r="BF280" s="67"/>
      <c r="BG280" s="68"/>
      <c r="BI280" s="69">
        <v>0</v>
      </c>
      <c r="BJ280" s="70">
        <v>0</v>
      </c>
      <c r="BK280" s="71">
        <v>0</v>
      </c>
      <c r="BL280" s="71">
        <v>0</v>
      </c>
      <c r="BM280" s="71">
        <v>0</v>
      </c>
      <c r="BN280" s="72">
        <v>0</v>
      </c>
      <c r="BO280" s="73"/>
      <c r="BP280" s="73"/>
      <c r="BQ280" s="71">
        <v>0</v>
      </c>
      <c r="BR280" s="71">
        <v>0</v>
      </c>
      <c r="BS280" s="71">
        <v>0</v>
      </c>
      <c r="BT280" s="72">
        <v>0</v>
      </c>
      <c r="BU280" s="73"/>
      <c r="BV280" s="73"/>
    </row>
    <row r="281" ht="30" customHeight="1" spans="1:74">
      <c r="A281" s="55">
        <v>0</v>
      </c>
      <c r="B281" s="56">
        <v>0</v>
      </c>
      <c r="C281" s="57">
        <v>0</v>
      </c>
      <c r="D281" s="74"/>
      <c r="E281" s="74"/>
      <c r="F281" s="59" t="e">
        <f>VLOOKUP(E281,[1]库存!$B$1:$C$65536,2,FALSE)</f>
        <v>#N/A</v>
      </c>
      <c r="G281" s="59" t="e">
        <v>#N/A</v>
      </c>
      <c r="H281" s="74"/>
      <c r="I281" s="74"/>
      <c r="J281" s="81"/>
      <c r="K281" s="61"/>
      <c r="L281" s="62">
        <v>0</v>
      </c>
      <c r="M281" s="63">
        <v>0</v>
      </c>
      <c r="N281" s="64">
        <v>0</v>
      </c>
      <c r="O281" s="62">
        <v>0</v>
      </c>
      <c r="P281" s="65">
        <f t="shared" si="8"/>
        <v>0</v>
      </c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7"/>
      <c r="BF281" s="67"/>
      <c r="BG281" s="68"/>
      <c r="BI281" s="69">
        <v>0</v>
      </c>
      <c r="BJ281" s="70">
        <v>0</v>
      </c>
      <c r="BK281" s="71">
        <v>0</v>
      </c>
      <c r="BL281" s="71">
        <v>0</v>
      </c>
      <c r="BM281" s="71">
        <v>0</v>
      </c>
      <c r="BN281" s="72">
        <v>0</v>
      </c>
      <c r="BO281" s="73"/>
      <c r="BP281" s="73"/>
      <c r="BQ281" s="71">
        <v>0</v>
      </c>
      <c r="BR281" s="71">
        <v>0</v>
      </c>
      <c r="BS281" s="71">
        <v>0</v>
      </c>
      <c r="BT281" s="72">
        <v>0</v>
      </c>
      <c r="BU281" s="73"/>
      <c r="BV281" s="73"/>
    </row>
    <row r="282" ht="30" customHeight="1" spans="1:74">
      <c r="A282" s="55">
        <v>0</v>
      </c>
      <c r="B282" s="56">
        <v>0</v>
      </c>
      <c r="C282" s="57">
        <v>0</v>
      </c>
      <c r="E282" s="88"/>
      <c r="F282" s="59" t="e">
        <f>VLOOKUP(E282,[1]库存!$B$1:$C$65536,2,FALSE)</f>
        <v>#N/A</v>
      </c>
      <c r="G282" s="59" t="e">
        <v>#N/A</v>
      </c>
      <c r="H282" s="89"/>
      <c r="I282" s="88"/>
      <c r="J282" s="90"/>
      <c r="K282" s="61"/>
      <c r="L282" s="62">
        <v>0</v>
      </c>
      <c r="M282" s="63">
        <v>0</v>
      </c>
      <c r="N282" s="64">
        <v>0</v>
      </c>
      <c r="O282" s="62">
        <v>0</v>
      </c>
      <c r="P282" s="65">
        <f t="shared" si="8"/>
        <v>0</v>
      </c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7"/>
      <c r="BF282" s="67"/>
      <c r="BG282" s="68"/>
      <c r="BI282" s="69">
        <v>0</v>
      </c>
      <c r="BJ282" s="70">
        <v>0</v>
      </c>
      <c r="BK282" s="71">
        <v>0</v>
      </c>
      <c r="BL282" s="71">
        <v>0</v>
      </c>
      <c r="BM282" s="71">
        <v>0</v>
      </c>
      <c r="BN282" s="72">
        <v>0</v>
      </c>
      <c r="BO282" s="73"/>
      <c r="BP282" s="73"/>
      <c r="BQ282" s="71">
        <v>0</v>
      </c>
      <c r="BR282" s="71">
        <v>0</v>
      </c>
      <c r="BS282" s="71">
        <v>0</v>
      </c>
      <c r="BT282" s="72">
        <v>0</v>
      </c>
      <c r="BU282" s="73"/>
      <c r="BV282" s="73"/>
    </row>
    <row r="283" ht="30" customHeight="1" spans="1:74">
      <c r="A283" s="55" t="s">
        <v>165</v>
      </c>
      <c r="B283" s="56" t="s">
        <v>42</v>
      </c>
      <c r="C283" s="57" t="s">
        <v>43</v>
      </c>
      <c r="D283" s="91" t="s">
        <v>525</v>
      </c>
      <c r="E283" s="91" t="s">
        <v>526</v>
      </c>
      <c r="F283" s="91" t="str">
        <f>VLOOKUP(E283,[1]库存!$B$1:$C$65536,2,FALSE)</f>
        <v>VW491/1 FSAB LH A状态</v>
      </c>
      <c r="G283" s="91" t="s">
        <v>527</v>
      </c>
      <c r="H283" s="91" t="s">
        <v>528</v>
      </c>
      <c r="I283" s="91" t="s">
        <v>529</v>
      </c>
      <c r="J283" s="63"/>
      <c r="K283" s="61"/>
      <c r="L283" s="62">
        <v>2</v>
      </c>
      <c r="M283" s="63">
        <v>1000</v>
      </c>
      <c r="N283" s="64">
        <v>14</v>
      </c>
      <c r="O283" s="62">
        <v>2</v>
      </c>
      <c r="P283" s="65">
        <f t="shared" si="8"/>
        <v>0</v>
      </c>
      <c r="Q283" s="103"/>
      <c r="R283" s="66"/>
      <c r="S283" s="103"/>
      <c r="T283" s="66"/>
      <c r="U283" s="103"/>
      <c r="V283" s="66"/>
      <c r="W283" s="103"/>
      <c r="X283" s="66"/>
      <c r="Y283" s="103"/>
      <c r="Z283" s="66"/>
      <c r="AA283" s="103"/>
      <c r="AB283" s="66"/>
      <c r="AC283" s="103"/>
      <c r="AD283" s="66"/>
      <c r="AE283" s="103"/>
      <c r="AF283" s="66"/>
      <c r="AG283" s="103"/>
      <c r="AH283" s="66"/>
      <c r="AI283" s="103"/>
      <c r="AJ283" s="66"/>
      <c r="AK283" s="103"/>
      <c r="AL283" s="66"/>
      <c r="AM283" s="103"/>
      <c r="AN283" s="66"/>
      <c r="AO283" s="103"/>
      <c r="AP283" s="66"/>
      <c r="AQ283" s="103"/>
      <c r="AR283" s="66"/>
      <c r="AS283" s="103"/>
      <c r="AT283" s="66"/>
      <c r="AU283" s="103"/>
      <c r="AV283" s="66"/>
      <c r="AW283" s="103"/>
      <c r="AX283" s="66"/>
      <c r="AY283" s="103"/>
      <c r="AZ283" s="66"/>
      <c r="BA283" s="103"/>
      <c r="BB283" s="66"/>
      <c r="BC283" s="103"/>
      <c r="BD283" s="66"/>
      <c r="BE283" s="67"/>
      <c r="BF283" s="67"/>
      <c r="BG283" s="68"/>
      <c r="BI283" s="69">
        <v>0</v>
      </c>
      <c r="BJ283" s="70">
        <v>0</v>
      </c>
      <c r="BK283" s="71">
        <v>0</v>
      </c>
      <c r="BL283" s="71">
        <v>0</v>
      </c>
      <c r="BM283" s="71">
        <v>0</v>
      </c>
      <c r="BN283" s="72">
        <v>0</v>
      </c>
      <c r="BO283" s="73"/>
      <c r="BP283" s="73"/>
      <c r="BQ283" s="71">
        <v>0</v>
      </c>
      <c r="BR283" s="71">
        <v>0</v>
      </c>
      <c r="BS283" s="71">
        <v>0</v>
      </c>
      <c r="BT283" s="72">
        <v>0</v>
      </c>
      <c r="BU283" s="73"/>
      <c r="BV283" s="73"/>
    </row>
    <row r="284" ht="30" customHeight="1" spans="1:74">
      <c r="A284" s="55">
        <v>0</v>
      </c>
      <c r="B284" s="56">
        <v>0</v>
      </c>
      <c r="C284" s="57">
        <v>0</v>
      </c>
      <c r="D284" s="92"/>
      <c r="E284" s="92"/>
      <c r="F284" s="91" t="e">
        <f>VLOOKUP(E284,[1]库存!$B$1:$C$65536,2,FALSE)</f>
        <v>#N/A</v>
      </c>
      <c r="G284" s="91" t="e">
        <v>#N/A</v>
      </c>
      <c r="H284" s="92"/>
      <c r="I284" s="92"/>
      <c r="J284" s="87"/>
      <c r="K284" s="61"/>
      <c r="L284" s="62">
        <v>0</v>
      </c>
      <c r="M284" s="63">
        <v>0</v>
      </c>
      <c r="N284" s="64">
        <v>0</v>
      </c>
      <c r="O284" s="62">
        <v>0</v>
      </c>
      <c r="P284" s="65">
        <f t="shared" si="8"/>
        <v>0</v>
      </c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7"/>
      <c r="BF284" s="67"/>
      <c r="BG284" s="68"/>
      <c r="BI284" s="69">
        <v>0</v>
      </c>
      <c r="BJ284" s="70">
        <v>0</v>
      </c>
      <c r="BK284" s="71">
        <v>0</v>
      </c>
      <c r="BL284" s="71">
        <v>0</v>
      </c>
      <c r="BM284" s="71">
        <v>0</v>
      </c>
      <c r="BN284" s="72">
        <v>0</v>
      </c>
      <c r="BO284" s="73"/>
      <c r="BP284" s="73"/>
      <c r="BQ284" s="71">
        <v>0</v>
      </c>
      <c r="BR284" s="71">
        <v>0</v>
      </c>
      <c r="BS284" s="71">
        <v>0</v>
      </c>
      <c r="BT284" s="72">
        <v>0</v>
      </c>
      <c r="BU284" s="73"/>
      <c r="BV284" s="73"/>
    </row>
    <row r="285" ht="30" customHeight="1" spans="1:74">
      <c r="A285" s="55" t="s">
        <v>165</v>
      </c>
      <c r="B285" s="56" t="s">
        <v>42</v>
      </c>
      <c r="C285" s="57" t="s">
        <v>43</v>
      </c>
      <c r="D285" s="91" t="s">
        <v>525</v>
      </c>
      <c r="E285" s="91" t="s">
        <v>530</v>
      </c>
      <c r="F285" s="91" t="str">
        <f>VLOOKUP(E285,[1]库存!$B$1:$C$65536,2,FALSE)</f>
        <v>VW491/1 FSAB RH A状态</v>
      </c>
      <c r="G285" s="91" t="s">
        <v>531</v>
      </c>
      <c r="H285" s="91" t="s">
        <v>532</v>
      </c>
      <c r="I285" s="91" t="s">
        <v>529</v>
      </c>
      <c r="J285" s="63"/>
      <c r="K285" s="61"/>
      <c r="L285" s="62">
        <v>2</v>
      </c>
      <c r="M285" s="63">
        <v>1000</v>
      </c>
      <c r="N285" s="64">
        <v>14</v>
      </c>
      <c r="O285" s="62">
        <v>2</v>
      </c>
      <c r="P285" s="65">
        <f t="shared" si="8"/>
        <v>0</v>
      </c>
      <c r="Q285" s="103"/>
      <c r="R285" s="66"/>
      <c r="S285" s="103"/>
      <c r="T285" s="66"/>
      <c r="U285" s="103"/>
      <c r="V285" s="66"/>
      <c r="W285" s="103"/>
      <c r="X285" s="66"/>
      <c r="Y285" s="103"/>
      <c r="Z285" s="66"/>
      <c r="AA285" s="103"/>
      <c r="AB285" s="66"/>
      <c r="AC285" s="103"/>
      <c r="AD285" s="66"/>
      <c r="AE285" s="103"/>
      <c r="AF285" s="66"/>
      <c r="AG285" s="103"/>
      <c r="AH285" s="66"/>
      <c r="AI285" s="103"/>
      <c r="AJ285" s="66"/>
      <c r="AK285" s="103"/>
      <c r="AL285" s="66"/>
      <c r="AM285" s="103"/>
      <c r="AN285" s="66"/>
      <c r="AO285" s="103"/>
      <c r="AP285" s="66"/>
      <c r="AQ285" s="103"/>
      <c r="AR285" s="66"/>
      <c r="AS285" s="103"/>
      <c r="AT285" s="66"/>
      <c r="AU285" s="103"/>
      <c r="AV285" s="66"/>
      <c r="AW285" s="103"/>
      <c r="AX285" s="66"/>
      <c r="AY285" s="103"/>
      <c r="AZ285" s="66"/>
      <c r="BA285" s="103"/>
      <c r="BB285" s="66"/>
      <c r="BC285" s="103"/>
      <c r="BD285" s="66"/>
      <c r="BE285" s="67"/>
      <c r="BF285" s="67"/>
      <c r="BG285" s="68"/>
      <c r="BI285" s="69">
        <v>0</v>
      </c>
      <c r="BJ285" s="70">
        <v>0</v>
      </c>
      <c r="BK285" s="71">
        <v>0</v>
      </c>
      <c r="BL285" s="71">
        <v>0</v>
      </c>
      <c r="BM285" s="71">
        <v>0</v>
      </c>
      <c r="BN285" s="72">
        <v>0</v>
      </c>
      <c r="BO285" s="73"/>
      <c r="BP285" s="73"/>
      <c r="BQ285" s="71">
        <v>0</v>
      </c>
      <c r="BR285" s="71">
        <v>0</v>
      </c>
      <c r="BS285" s="71">
        <v>0</v>
      </c>
      <c r="BT285" s="72">
        <v>0</v>
      </c>
      <c r="BU285" s="73"/>
      <c r="BV285" s="73"/>
    </row>
    <row r="286" ht="30" customHeight="1" spans="1:74">
      <c r="A286" s="55">
        <v>0</v>
      </c>
      <c r="B286" s="56">
        <v>0</v>
      </c>
      <c r="C286" s="57">
        <v>0</v>
      </c>
      <c r="D286" s="92"/>
      <c r="E286" s="92"/>
      <c r="F286" s="91" t="e">
        <f>VLOOKUP(E286,[1]库存!$B$1:$C$65536,2,FALSE)</f>
        <v>#N/A</v>
      </c>
      <c r="G286" s="91" t="e">
        <v>#N/A</v>
      </c>
      <c r="H286" s="92"/>
      <c r="I286" s="92"/>
      <c r="J286" s="87"/>
      <c r="K286" s="61"/>
      <c r="L286" s="62">
        <v>0</v>
      </c>
      <c r="M286" s="63">
        <v>0</v>
      </c>
      <c r="N286" s="64">
        <v>0</v>
      </c>
      <c r="O286" s="62">
        <v>0</v>
      </c>
      <c r="P286" s="65">
        <f t="shared" si="8"/>
        <v>0</v>
      </c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7"/>
      <c r="BF286" s="67"/>
      <c r="BG286" s="68"/>
      <c r="BI286" s="69">
        <v>0</v>
      </c>
      <c r="BJ286" s="70">
        <v>0</v>
      </c>
      <c r="BK286" s="71">
        <v>0</v>
      </c>
      <c r="BL286" s="71">
        <v>0</v>
      </c>
      <c r="BM286" s="71">
        <v>0</v>
      </c>
      <c r="BN286" s="72">
        <v>0</v>
      </c>
      <c r="BO286" s="73"/>
      <c r="BP286" s="73"/>
      <c r="BQ286" s="71">
        <v>0</v>
      </c>
      <c r="BR286" s="71">
        <v>0</v>
      </c>
      <c r="BS286" s="71">
        <v>0</v>
      </c>
      <c r="BT286" s="72">
        <v>0</v>
      </c>
      <c r="BU286" s="73"/>
      <c r="BV286" s="73"/>
    </row>
    <row r="287" ht="30" customHeight="1" spans="1:74">
      <c r="A287" s="55" t="s">
        <v>165</v>
      </c>
      <c r="B287" s="56" t="s">
        <v>42</v>
      </c>
      <c r="C287" s="57" t="s">
        <v>43</v>
      </c>
      <c r="D287" s="59" t="s">
        <v>525</v>
      </c>
      <c r="E287" s="59" t="s">
        <v>533</v>
      </c>
      <c r="F287" s="59" t="str">
        <f>VLOOKUP(E287,[1]库存!$B$1:$C$65536,2,FALSE)</f>
        <v>VW426 FSAB LH</v>
      </c>
      <c r="G287" s="59" t="s">
        <v>534</v>
      </c>
      <c r="H287" s="59" t="s">
        <v>535</v>
      </c>
      <c r="I287" s="59" t="s">
        <v>536</v>
      </c>
      <c r="J287" s="80" t="s">
        <v>65</v>
      </c>
      <c r="K287" s="61"/>
      <c r="L287" s="62">
        <v>2</v>
      </c>
      <c r="M287" s="63">
        <v>1000</v>
      </c>
      <c r="N287" s="64">
        <v>11</v>
      </c>
      <c r="O287" s="62">
        <v>2</v>
      </c>
      <c r="P287" s="65">
        <f t="shared" si="8"/>
        <v>0</v>
      </c>
      <c r="Q287" s="103"/>
      <c r="R287" s="66"/>
      <c r="S287" s="103"/>
      <c r="T287" s="66"/>
      <c r="U287" s="103"/>
      <c r="V287" s="66"/>
      <c r="W287" s="103"/>
      <c r="X287" s="66"/>
      <c r="Y287" s="103"/>
      <c r="Z287" s="66"/>
      <c r="AA287" s="103"/>
      <c r="AB287" s="66"/>
      <c r="AC287" s="103"/>
      <c r="AD287" s="66"/>
      <c r="AE287" s="103"/>
      <c r="AF287" s="66"/>
      <c r="AG287" s="103"/>
      <c r="AH287" s="66"/>
      <c r="AI287" s="103"/>
      <c r="AJ287" s="66"/>
      <c r="AK287" s="103"/>
      <c r="AL287" s="66"/>
      <c r="AM287" s="103"/>
      <c r="AN287" s="66"/>
      <c r="AO287" s="103"/>
      <c r="AP287" s="66"/>
      <c r="AQ287" s="103"/>
      <c r="AR287" s="66"/>
      <c r="AS287" s="103"/>
      <c r="AT287" s="66"/>
      <c r="AU287" s="103"/>
      <c r="AV287" s="66"/>
      <c r="AW287" s="103"/>
      <c r="AX287" s="66"/>
      <c r="AY287" s="103"/>
      <c r="AZ287" s="66"/>
      <c r="BA287" s="103"/>
      <c r="BB287" s="66"/>
      <c r="BC287" s="103"/>
      <c r="BD287" s="66"/>
      <c r="BE287" s="67"/>
      <c r="BF287" s="67"/>
      <c r="BG287" s="68"/>
      <c r="BI287" s="69">
        <v>0</v>
      </c>
      <c r="BJ287" s="70">
        <v>0</v>
      </c>
      <c r="BK287" s="71">
        <v>0</v>
      </c>
      <c r="BL287" s="71">
        <v>0</v>
      </c>
      <c r="BM287" s="71">
        <v>0</v>
      </c>
      <c r="BN287" s="72">
        <v>0</v>
      </c>
      <c r="BO287" s="73"/>
      <c r="BP287" s="73"/>
      <c r="BQ287" s="71">
        <v>0</v>
      </c>
      <c r="BR287" s="71">
        <v>0</v>
      </c>
      <c r="BS287" s="71">
        <v>0</v>
      </c>
      <c r="BT287" s="72">
        <v>0</v>
      </c>
      <c r="BU287" s="73"/>
      <c r="BV287" s="73"/>
    </row>
    <row r="288" ht="30" customHeight="1" spans="1:74">
      <c r="A288" s="55">
        <v>0</v>
      </c>
      <c r="B288" s="56">
        <v>0</v>
      </c>
      <c r="C288" s="57">
        <v>0</v>
      </c>
      <c r="D288" s="74"/>
      <c r="E288" s="74"/>
      <c r="F288" s="59" t="e">
        <f>VLOOKUP(E288,[1]库存!$B$1:$C$65536,2,FALSE)</f>
        <v>#N/A</v>
      </c>
      <c r="G288" s="59" t="e">
        <v>#N/A</v>
      </c>
      <c r="H288" s="74"/>
      <c r="I288" s="74"/>
      <c r="J288" s="81"/>
      <c r="K288" s="61"/>
      <c r="L288" s="62">
        <v>0</v>
      </c>
      <c r="M288" s="63">
        <v>0</v>
      </c>
      <c r="N288" s="64">
        <v>0</v>
      </c>
      <c r="O288" s="62">
        <v>0</v>
      </c>
      <c r="P288" s="65">
        <f t="shared" si="8"/>
        <v>0</v>
      </c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7"/>
      <c r="BF288" s="67"/>
      <c r="BG288" s="68"/>
      <c r="BI288" s="69">
        <v>0</v>
      </c>
      <c r="BJ288" s="70">
        <v>0</v>
      </c>
      <c r="BK288" s="71">
        <v>0</v>
      </c>
      <c r="BL288" s="71">
        <v>0</v>
      </c>
      <c r="BM288" s="71">
        <v>0</v>
      </c>
      <c r="BN288" s="72">
        <v>0</v>
      </c>
      <c r="BO288" s="73"/>
      <c r="BP288" s="73"/>
      <c r="BQ288" s="71">
        <v>0</v>
      </c>
      <c r="BR288" s="71">
        <v>0</v>
      </c>
      <c r="BS288" s="71">
        <v>0</v>
      </c>
      <c r="BT288" s="72">
        <v>0</v>
      </c>
      <c r="BU288" s="73"/>
      <c r="BV288" s="73"/>
    </row>
    <row r="289" ht="30" customHeight="1" spans="1:74">
      <c r="A289" s="55" t="s">
        <v>165</v>
      </c>
      <c r="B289" s="56" t="s">
        <v>42</v>
      </c>
      <c r="C289" s="57" t="s">
        <v>43</v>
      </c>
      <c r="D289" s="59" t="s">
        <v>525</v>
      </c>
      <c r="E289" s="59" t="s">
        <v>537</v>
      </c>
      <c r="F289" s="59" t="str">
        <f>VLOOKUP(E289,[1]库存!$B$1:$C$65536,2,FALSE)</f>
        <v>VW426 FSAB RH</v>
      </c>
      <c r="G289" s="59" t="s">
        <v>538</v>
      </c>
      <c r="H289" s="59" t="s">
        <v>539</v>
      </c>
      <c r="I289" s="59" t="s">
        <v>536</v>
      </c>
      <c r="J289" s="80" t="s">
        <v>65</v>
      </c>
      <c r="K289" s="61"/>
      <c r="L289" s="62">
        <v>2</v>
      </c>
      <c r="M289" s="63">
        <v>1000</v>
      </c>
      <c r="N289" s="64">
        <v>11</v>
      </c>
      <c r="O289" s="62">
        <v>2</v>
      </c>
      <c r="P289" s="65">
        <f t="shared" si="8"/>
        <v>0</v>
      </c>
      <c r="Q289" s="103"/>
      <c r="R289" s="66"/>
      <c r="S289" s="103"/>
      <c r="T289" s="66"/>
      <c r="U289" s="103"/>
      <c r="V289" s="66"/>
      <c r="W289" s="103"/>
      <c r="X289" s="66"/>
      <c r="Y289" s="103"/>
      <c r="Z289" s="66"/>
      <c r="AA289" s="103"/>
      <c r="AB289" s="66"/>
      <c r="AC289" s="103"/>
      <c r="AD289" s="66"/>
      <c r="AE289" s="103"/>
      <c r="AF289" s="66"/>
      <c r="AG289" s="103"/>
      <c r="AH289" s="66"/>
      <c r="AI289" s="103"/>
      <c r="AJ289" s="66"/>
      <c r="AK289" s="103"/>
      <c r="AL289" s="66"/>
      <c r="AM289" s="103"/>
      <c r="AN289" s="66"/>
      <c r="AO289" s="103"/>
      <c r="AP289" s="66"/>
      <c r="AQ289" s="103"/>
      <c r="AR289" s="66"/>
      <c r="AS289" s="103"/>
      <c r="AT289" s="66"/>
      <c r="AU289" s="103"/>
      <c r="AV289" s="66"/>
      <c r="AW289" s="103"/>
      <c r="AX289" s="66"/>
      <c r="AY289" s="103"/>
      <c r="AZ289" s="66"/>
      <c r="BA289" s="103"/>
      <c r="BB289" s="66"/>
      <c r="BC289" s="103"/>
      <c r="BD289" s="66"/>
      <c r="BE289" s="67"/>
      <c r="BF289" s="67"/>
      <c r="BG289" s="68"/>
      <c r="BI289" s="69">
        <v>0</v>
      </c>
      <c r="BJ289" s="70">
        <v>0</v>
      </c>
      <c r="BK289" s="71">
        <v>0</v>
      </c>
      <c r="BL289" s="71">
        <v>0</v>
      </c>
      <c r="BM289" s="71">
        <v>0</v>
      </c>
      <c r="BN289" s="72">
        <v>0</v>
      </c>
      <c r="BO289" s="73"/>
      <c r="BP289" s="73"/>
      <c r="BQ289" s="71">
        <v>0</v>
      </c>
      <c r="BR289" s="71">
        <v>0</v>
      </c>
      <c r="BS289" s="71">
        <v>0</v>
      </c>
      <c r="BT289" s="72">
        <v>0</v>
      </c>
      <c r="BU289" s="73"/>
      <c r="BV289" s="73"/>
    </row>
    <row r="290" ht="30" customHeight="1" spans="1:74">
      <c r="A290" s="55">
        <v>0</v>
      </c>
      <c r="B290" s="56">
        <v>0</v>
      </c>
      <c r="C290" s="57">
        <v>0</v>
      </c>
      <c r="D290" s="74"/>
      <c r="E290" s="74"/>
      <c r="F290" s="59" t="e">
        <f>VLOOKUP(E290,[1]库存!$B$1:$C$65536,2,FALSE)</f>
        <v>#N/A</v>
      </c>
      <c r="G290" s="59" t="e">
        <v>#N/A</v>
      </c>
      <c r="H290" s="74"/>
      <c r="I290" s="74"/>
      <c r="J290" s="81"/>
      <c r="K290" s="61"/>
      <c r="L290" s="62">
        <v>0</v>
      </c>
      <c r="M290" s="63">
        <v>0</v>
      </c>
      <c r="N290" s="64">
        <v>0</v>
      </c>
      <c r="O290" s="62">
        <v>0</v>
      </c>
      <c r="P290" s="65">
        <f t="shared" si="8"/>
        <v>0</v>
      </c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7"/>
      <c r="BF290" s="67"/>
      <c r="BG290" s="68"/>
      <c r="BI290" s="69">
        <v>0</v>
      </c>
      <c r="BJ290" s="70">
        <v>0</v>
      </c>
      <c r="BK290" s="71">
        <v>0</v>
      </c>
      <c r="BL290" s="71">
        <v>0</v>
      </c>
      <c r="BM290" s="71">
        <v>0</v>
      </c>
      <c r="BN290" s="72">
        <v>0</v>
      </c>
      <c r="BO290" s="73"/>
      <c r="BP290" s="73"/>
      <c r="BQ290" s="71">
        <v>0</v>
      </c>
      <c r="BR290" s="71">
        <v>0</v>
      </c>
      <c r="BS290" s="71">
        <v>0</v>
      </c>
      <c r="BT290" s="72">
        <v>0</v>
      </c>
      <c r="BU290" s="73"/>
      <c r="BV290" s="73"/>
    </row>
    <row r="291" ht="30" customHeight="1" spans="1:74">
      <c r="A291" s="55" t="s">
        <v>540</v>
      </c>
      <c r="B291" s="56" t="s">
        <v>42</v>
      </c>
      <c r="C291" s="57" t="s">
        <v>43</v>
      </c>
      <c r="D291" s="59" t="s">
        <v>525</v>
      </c>
      <c r="E291" s="59" t="s">
        <v>541</v>
      </c>
      <c r="F291" s="59" t="str">
        <f>VLOOKUP(E291,[1]库存!$B$1:$C$65536,2,FALSE)</f>
        <v>AUDI AU416 RSAB LH A状态</v>
      </c>
      <c r="G291" s="59" t="s">
        <v>542</v>
      </c>
      <c r="H291" s="59" t="s">
        <v>543</v>
      </c>
      <c r="I291" s="59" t="s">
        <v>250</v>
      </c>
      <c r="J291" s="80" t="s">
        <v>65</v>
      </c>
      <c r="K291" s="61"/>
      <c r="L291" s="62">
        <v>2</v>
      </c>
      <c r="M291" s="63">
        <v>1000</v>
      </c>
      <c r="N291" s="64">
        <v>14</v>
      </c>
      <c r="O291" s="62">
        <v>2</v>
      </c>
      <c r="P291" s="65">
        <f t="shared" si="8"/>
        <v>0</v>
      </c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7"/>
      <c r="BF291" s="67"/>
      <c r="BG291" s="68"/>
      <c r="BI291" s="69">
        <v>0</v>
      </c>
      <c r="BJ291" s="70">
        <v>0</v>
      </c>
      <c r="BK291" s="71">
        <v>0</v>
      </c>
      <c r="BL291" s="71">
        <v>0</v>
      </c>
      <c r="BM291" s="71">
        <v>0</v>
      </c>
      <c r="BN291" s="72">
        <v>0</v>
      </c>
      <c r="BO291" s="73"/>
      <c r="BP291" s="73"/>
      <c r="BQ291" s="71">
        <v>0</v>
      </c>
      <c r="BR291" s="71">
        <v>0</v>
      </c>
      <c r="BS291" s="71">
        <v>0</v>
      </c>
      <c r="BT291" s="72">
        <v>0</v>
      </c>
      <c r="BU291" s="73"/>
      <c r="BV291" s="73"/>
    </row>
    <row r="292" ht="30" customHeight="1" spans="1:74">
      <c r="A292" s="55">
        <v>0</v>
      </c>
      <c r="B292" s="56">
        <v>0</v>
      </c>
      <c r="C292" s="57">
        <v>0</v>
      </c>
      <c r="D292" s="74"/>
      <c r="E292" s="74"/>
      <c r="F292" s="59" t="e">
        <f>VLOOKUP(E292,[1]库存!$B$1:$C$65536,2,FALSE)</f>
        <v>#N/A</v>
      </c>
      <c r="G292" s="59" t="e">
        <v>#N/A</v>
      </c>
      <c r="H292" s="74"/>
      <c r="I292" s="74"/>
      <c r="J292" s="81"/>
      <c r="K292" s="61"/>
      <c r="L292" s="62">
        <v>0</v>
      </c>
      <c r="M292" s="63">
        <v>0</v>
      </c>
      <c r="N292" s="64">
        <v>0</v>
      </c>
      <c r="O292" s="62">
        <v>0</v>
      </c>
      <c r="P292" s="65">
        <f t="shared" si="8"/>
        <v>0</v>
      </c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7"/>
      <c r="BF292" s="67"/>
      <c r="BG292" s="68"/>
      <c r="BI292" s="69">
        <v>0</v>
      </c>
      <c r="BJ292" s="70">
        <v>0</v>
      </c>
      <c r="BK292" s="71">
        <v>0</v>
      </c>
      <c r="BL292" s="71">
        <v>0</v>
      </c>
      <c r="BM292" s="71">
        <v>0</v>
      </c>
      <c r="BN292" s="72">
        <v>0</v>
      </c>
      <c r="BO292" s="73"/>
      <c r="BP292" s="73"/>
      <c r="BQ292" s="71">
        <v>0</v>
      </c>
      <c r="BR292" s="71">
        <v>0</v>
      </c>
      <c r="BS292" s="71">
        <v>0</v>
      </c>
      <c r="BT292" s="72">
        <v>0</v>
      </c>
      <c r="BU292" s="73"/>
      <c r="BV292" s="73"/>
    </row>
    <row r="293" ht="30" customHeight="1" spans="1:74">
      <c r="A293" s="55" t="s">
        <v>540</v>
      </c>
      <c r="B293" s="56" t="s">
        <v>42</v>
      </c>
      <c r="C293" s="57" t="s">
        <v>43</v>
      </c>
      <c r="D293" s="59" t="s">
        <v>525</v>
      </c>
      <c r="E293" s="59" t="s">
        <v>544</v>
      </c>
      <c r="F293" s="59" t="str">
        <f>VLOOKUP(E293,[1]库存!$B$1:$C$65536,2,FALSE)</f>
        <v>AUDI AU416 RSAB RH A状态</v>
      </c>
      <c r="G293" s="59" t="s">
        <v>545</v>
      </c>
      <c r="H293" s="59" t="s">
        <v>546</v>
      </c>
      <c r="I293" s="59" t="s">
        <v>250</v>
      </c>
      <c r="J293" s="80" t="s">
        <v>65</v>
      </c>
      <c r="K293" s="61"/>
      <c r="L293" s="62">
        <v>2</v>
      </c>
      <c r="M293" s="63">
        <v>1000</v>
      </c>
      <c r="N293" s="64">
        <v>14</v>
      </c>
      <c r="O293" s="62">
        <v>2</v>
      </c>
      <c r="P293" s="65">
        <f t="shared" si="8"/>
        <v>0</v>
      </c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7"/>
      <c r="BF293" s="67"/>
      <c r="BG293" s="68"/>
      <c r="BI293" s="69">
        <v>0</v>
      </c>
      <c r="BJ293" s="70">
        <v>0</v>
      </c>
      <c r="BK293" s="71">
        <v>0</v>
      </c>
      <c r="BL293" s="71">
        <v>0</v>
      </c>
      <c r="BM293" s="71">
        <v>0</v>
      </c>
      <c r="BN293" s="72">
        <v>0</v>
      </c>
      <c r="BO293" s="73"/>
      <c r="BP293" s="73"/>
      <c r="BQ293" s="71">
        <v>0</v>
      </c>
      <c r="BR293" s="71">
        <v>0</v>
      </c>
      <c r="BS293" s="71">
        <v>0</v>
      </c>
      <c r="BT293" s="72">
        <v>0</v>
      </c>
      <c r="BU293" s="73"/>
      <c r="BV293" s="73"/>
    </row>
    <row r="294" ht="30" customHeight="1" spans="1:74">
      <c r="A294" s="55">
        <v>0</v>
      </c>
      <c r="B294" s="56">
        <v>0</v>
      </c>
      <c r="C294" s="57">
        <v>0</v>
      </c>
      <c r="D294" s="74"/>
      <c r="E294" s="74"/>
      <c r="F294" s="59" t="e">
        <f>VLOOKUP(E294,[1]库存!$B$1:$C$65536,2,FALSE)</f>
        <v>#N/A</v>
      </c>
      <c r="G294" s="59" t="e">
        <v>#N/A</v>
      </c>
      <c r="H294" s="74"/>
      <c r="I294" s="74"/>
      <c r="J294" s="81"/>
      <c r="K294" s="61"/>
      <c r="L294" s="62">
        <v>0</v>
      </c>
      <c r="M294" s="63">
        <v>0</v>
      </c>
      <c r="N294" s="64">
        <v>0</v>
      </c>
      <c r="O294" s="62">
        <v>0</v>
      </c>
      <c r="P294" s="65">
        <f t="shared" si="8"/>
        <v>0</v>
      </c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7"/>
      <c r="BF294" s="67"/>
      <c r="BG294" s="68"/>
      <c r="BI294" s="69">
        <v>0</v>
      </c>
      <c r="BJ294" s="70">
        <v>0</v>
      </c>
      <c r="BK294" s="71">
        <v>0</v>
      </c>
      <c r="BL294" s="71">
        <v>0</v>
      </c>
      <c r="BM294" s="71">
        <v>0</v>
      </c>
      <c r="BN294" s="72">
        <v>0</v>
      </c>
      <c r="BO294" s="73"/>
      <c r="BP294" s="73"/>
      <c r="BQ294" s="71">
        <v>0</v>
      </c>
      <c r="BR294" s="71">
        <v>0</v>
      </c>
      <c r="BS294" s="71">
        <v>0</v>
      </c>
      <c r="BT294" s="72">
        <v>0</v>
      </c>
      <c r="BU294" s="73"/>
      <c r="BV294" s="73"/>
    </row>
    <row r="295" ht="30" customHeight="1" spans="1:74">
      <c r="A295" s="55">
        <v>0</v>
      </c>
      <c r="B295" s="56">
        <v>0</v>
      </c>
      <c r="C295" s="57">
        <v>0</v>
      </c>
      <c r="E295" s="88"/>
      <c r="F295" s="59" t="e">
        <f>VLOOKUP(E295,[1]库存!$B$1:$C$65536,2,FALSE)</f>
        <v>#N/A</v>
      </c>
      <c r="G295" s="59" t="e">
        <v>#N/A</v>
      </c>
      <c r="H295" s="89"/>
      <c r="I295" s="88"/>
      <c r="J295" s="90"/>
      <c r="K295" s="61"/>
      <c r="L295" s="62">
        <v>0</v>
      </c>
      <c r="M295" s="63">
        <v>0</v>
      </c>
      <c r="N295" s="64">
        <v>0</v>
      </c>
      <c r="O295" s="62">
        <v>0</v>
      </c>
      <c r="P295" s="65">
        <f t="shared" si="8"/>
        <v>0</v>
      </c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7"/>
      <c r="BF295" s="67"/>
      <c r="BG295" s="68"/>
      <c r="BI295" s="69">
        <v>0</v>
      </c>
      <c r="BJ295" s="70">
        <v>0</v>
      </c>
      <c r="BK295" s="71">
        <v>0</v>
      </c>
      <c r="BL295" s="71">
        <v>0</v>
      </c>
      <c r="BM295" s="71">
        <v>0</v>
      </c>
      <c r="BN295" s="72">
        <v>0</v>
      </c>
      <c r="BO295" s="73"/>
      <c r="BP295" s="73"/>
      <c r="BQ295" s="71">
        <v>0</v>
      </c>
      <c r="BR295" s="71">
        <v>0</v>
      </c>
      <c r="BS295" s="71">
        <v>0</v>
      </c>
      <c r="BT295" s="72">
        <v>0</v>
      </c>
      <c r="BU295" s="73"/>
      <c r="BV295" s="73"/>
    </row>
    <row r="296" ht="30" customHeight="1" spans="1:74">
      <c r="A296" s="55">
        <v>0</v>
      </c>
      <c r="B296" s="56" t="s">
        <v>42</v>
      </c>
      <c r="C296" s="57" t="s">
        <v>43</v>
      </c>
      <c r="D296" s="59" t="s">
        <v>547</v>
      </c>
      <c r="E296" s="59"/>
      <c r="F296" s="59" t="e">
        <f>VLOOKUP(E296,[1]库存!$B$1:$C$65536,2,FALSE)</f>
        <v>#N/A</v>
      </c>
      <c r="G296" s="59" t="e">
        <v>#N/A</v>
      </c>
      <c r="H296" s="59" t="s">
        <v>548</v>
      </c>
      <c r="I296" s="59" t="s">
        <v>549</v>
      </c>
      <c r="J296" s="63"/>
      <c r="K296" s="61"/>
      <c r="L296" s="62">
        <v>2</v>
      </c>
      <c r="M296" s="63">
        <v>1300</v>
      </c>
      <c r="N296" s="64">
        <v>11</v>
      </c>
      <c r="O296" s="62">
        <v>2</v>
      </c>
      <c r="P296" s="65">
        <f t="shared" si="8"/>
        <v>0</v>
      </c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7"/>
      <c r="BF296" s="67"/>
      <c r="BG296" s="68"/>
      <c r="BI296" s="69">
        <v>0</v>
      </c>
      <c r="BJ296" s="70">
        <v>0</v>
      </c>
      <c r="BK296" s="71">
        <v>0</v>
      </c>
      <c r="BL296" s="71">
        <v>0</v>
      </c>
      <c r="BM296" s="71">
        <v>0</v>
      </c>
      <c r="BN296" s="72">
        <v>0</v>
      </c>
      <c r="BO296" s="73"/>
      <c r="BP296" s="73"/>
      <c r="BQ296" s="71">
        <v>0</v>
      </c>
      <c r="BR296" s="71">
        <v>0</v>
      </c>
      <c r="BS296" s="71">
        <v>0</v>
      </c>
      <c r="BT296" s="72">
        <v>0</v>
      </c>
      <c r="BU296" s="73"/>
      <c r="BV296" s="73"/>
    </row>
    <row r="297" ht="30" customHeight="1" spans="1:74">
      <c r="A297" s="55">
        <v>0</v>
      </c>
      <c r="B297" s="56">
        <v>0</v>
      </c>
      <c r="C297" s="57">
        <v>0</v>
      </c>
      <c r="D297" s="74"/>
      <c r="E297" s="74"/>
      <c r="F297" s="59" t="e">
        <f>VLOOKUP(E297,[1]库存!$B$1:$C$65536,2,FALSE)</f>
        <v>#N/A</v>
      </c>
      <c r="G297" s="59" t="e">
        <v>#N/A</v>
      </c>
      <c r="H297" s="74"/>
      <c r="I297" s="74"/>
      <c r="J297" s="87"/>
      <c r="K297" s="61"/>
      <c r="L297" s="62">
        <v>0</v>
      </c>
      <c r="M297" s="63">
        <v>0</v>
      </c>
      <c r="N297" s="64">
        <v>0</v>
      </c>
      <c r="O297" s="62">
        <v>0</v>
      </c>
      <c r="P297" s="65">
        <f t="shared" si="8"/>
        <v>0</v>
      </c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7"/>
      <c r="BF297" s="67"/>
      <c r="BG297" s="68"/>
      <c r="BI297" s="69">
        <v>0</v>
      </c>
      <c r="BJ297" s="70">
        <v>0</v>
      </c>
      <c r="BK297" s="71">
        <v>0</v>
      </c>
      <c r="BL297" s="71">
        <v>0</v>
      </c>
      <c r="BM297" s="71">
        <v>0</v>
      </c>
      <c r="BN297" s="72">
        <v>0</v>
      </c>
      <c r="BO297" s="73"/>
      <c r="BP297" s="73"/>
      <c r="BQ297" s="71">
        <v>0</v>
      </c>
      <c r="BR297" s="71">
        <v>0</v>
      </c>
      <c r="BS297" s="71">
        <v>0</v>
      </c>
      <c r="BT297" s="72">
        <v>0</v>
      </c>
      <c r="BU297" s="73"/>
      <c r="BV297" s="73"/>
    </row>
    <row r="298" ht="30" customHeight="1" spans="1:74">
      <c r="A298" s="55" t="s">
        <v>41</v>
      </c>
      <c r="B298" s="56" t="s">
        <v>42</v>
      </c>
      <c r="C298" s="57" t="s">
        <v>43</v>
      </c>
      <c r="D298" s="59" t="s">
        <v>547</v>
      </c>
      <c r="E298" s="59" t="s">
        <v>550</v>
      </c>
      <c r="F298" s="59" t="str">
        <f>VLOOKUP(E298,[1]库存!$B$1:$C$65536,2,FALSE)</f>
        <v>CHERY M36T PAB</v>
      </c>
      <c r="G298" s="59" t="s">
        <v>551</v>
      </c>
      <c r="H298" s="59" t="s">
        <v>552</v>
      </c>
      <c r="I298" s="59" t="s">
        <v>277</v>
      </c>
      <c r="J298" s="100" t="s">
        <v>281</v>
      </c>
      <c r="K298" s="61"/>
      <c r="L298" s="62">
        <v>2</v>
      </c>
      <c r="M298" s="63">
        <v>600</v>
      </c>
      <c r="N298" s="64">
        <v>14</v>
      </c>
      <c r="O298" s="62">
        <v>2</v>
      </c>
      <c r="P298" s="65">
        <f t="shared" si="8"/>
        <v>0</v>
      </c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7"/>
      <c r="BF298" s="67"/>
      <c r="BG298" s="68"/>
      <c r="BI298" s="69">
        <v>0</v>
      </c>
      <c r="BJ298" s="70">
        <v>0</v>
      </c>
      <c r="BK298" s="71">
        <v>0</v>
      </c>
      <c r="BL298" s="71">
        <v>0</v>
      </c>
      <c r="BM298" s="71">
        <v>0</v>
      </c>
      <c r="BN298" s="72">
        <v>0</v>
      </c>
      <c r="BO298" s="73"/>
      <c r="BP298" s="73"/>
      <c r="BQ298" s="71">
        <v>0</v>
      </c>
      <c r="BR298" s="71">
        <v>0</v>
      </c>
      <c r="BS298" s="71">
        <v>0</v>
      </c>
      <c r="BT298" s="72">
        <v>0</v>
      </c>
      <c r="BU298" s="73"/>
      <c r="BV298" s="73"/>
    </row>
    <row r="299" ht="30" customHeight="1" spans="1:74">
      <c r="A299" s="55">
        <v>0</v>
      </c>
      <c r="B299" s="56">
        <v>0</v>
      </c>
      <c r="C299" s="57">
        <v>0</v>
      </c>
      <c r="D299" s="74"/>
      <c r="E299" s="74"/>
      <c r="F299" s="59" t="e">
        <f>VLOOKUP(E299,[1]库存!$B$1:$C$65536,2,FALSE)</f>
        <v>#N/A</v>
      </c>
      <c r="G299" s="59" t="e">
        <v>#N/A</v>
      </c>
      <c r="H299" s="74"/>
      <c r="I299" s="74"/>
      <c r="J299" s="101"/>
      <c r="K299" s="61"/>
      <c r="L299" s="62">
        <v>0</v>
      </c>
      <c r="M299" s="63">
        <v>0</v>
      </c>
      <c r="N299" s="64">
        <v>0</v>
      </c>
      <c r="O299" s="62">
        <v>0</v>
      </c>
      <c r="P299" s="65">
        <f t="shared" si="8"/>
        <v>0</v>
      </c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7"/>
      <c r="BF299" s="67"/>
      <c r="BG299" s="68"/>
      <c r="BI299" s="69">
        <v>0</v>
      </c>
      <c r="BJ299" s="70">
        <v>0</v>
      </c>
      <c r="BK299" s="71">
        <v>0</v>
      </c>
      <c r="BL299" s="71">
        <v>0</v>
      </c>
      <c r="BM299" s="71">
        <v>0</v>
      </c>
      <c r="BN299" s="72">
        <v>0</v>
      </c>
      <c r="BO299" s="73"/>
      <c r="BP299" s="73"/>
      <c r="BQ299" s="71">
        <v>0</v>
      </c>
      <c r="BR299" s="71">
        <v>0</v>
      </c>
      <c r="BS299" s="71">
        <v>0</v>
      </c>
      <c r="BT299" s="72">
        <v>0</v>
      </c>
      <c r="BU299" s="73"/>
      <c r="BV299" s="73"/>
    </row>
    <row r="300" ht="30" customHeight="1" spans="1:74">
      <c r="A300" s="55">
        <v>0</v>
      </c>
      <c r="B300" s="56" t="s">
        <v>42</v>
      </c>
      <c r="C300" s="57" t="s">
        <v>43</v>
      </c>
      <c r="D300" s="59" t="s">
        <v>547</v>
      </c>
      <c r="E300" s="59" t="s">
        <v>553</v>
      </c>
      <c r="F300" s="59" t="str">
        <f>VLOOKUP(E300,[1]库存!$B$1:$C$65536,2,FALSE)</f>
        <v>SGM 328 PAB</v>
      </c>
      <c r="G300" s="59" t="s">
        <v>554</v>
      </c>
      <c r="H300" s="59" t="s">
        <v>555</v>
      </c>
      <c r="I300" s="59" t="s">
        <v>347</v>
      </c>
      <c r="J300" s="100" t="s">
        <v>281</v>
      </c>
      <c r="K300" s="61"/>
      <c r="L300" s="62">
        <v>2</v>
      </c>
      <c r="M300" s="63">
        <v>1200</v>
      </c>
      <c r="N300" s="64">
        <v>10</v>
      </c>
      <c r="O300" s="62">
        <v>2</v>
      </c>
      <c r="P300" s="65">
        <f t="shared" si="8"/>
        <v>0</v>
      </c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7"/>
      <c r="BF300" s="67"/>
      <c r="BG300" s="68"/>
      <c r="BI300" s="69">
        <v>0</v>
      </c>
      <c r="BJ300" s="70">
        <v>0</v>
      </c>
      <c r="BK300" s="71">
        <v>0</v>
      </c>
      <c r="BL300" s="71">
        <v>0</v>
      </c>
      <c r="BM300" s="71">
        <v>0</v>
      </c>
      <c r="BN300" s="72">
        <v>0</v>
      </c>
      <c r="BO300" s="73"/>
      <c r="BP300" s="73"/>
      <c r="BQ300" s="71">
        <v>0</v>
      </c>
      <c r="BR300" s="71">
        <v>0</v>
      </c>
      <c r="BS300" s="71">
        <v>0</v>
      </c>
      <c r="BT300" s="72">
        <v>0</v>
      </c>
      <c r="BU300" s="73"/>
      <c r="BV300" s="73"/>
    </row>
    <row r="301" ht="30" customHeight="1" spans="1:74">
      <c r="A301" s="55">
        <v>0</v>
      </c>
      <c r="B301" s="56">
        <v>0</v>
      </c>
      <c r="C301" s="57">
        <v>0</v>
      </c>
      <c r="D301" s="74"/>
      <c r="E301" s="74"/>
      <c r="F301" s="59" t="e">
        <f>VLOOKUP(E301,[1]库存!$B$1:$C$65536,2,FALSE)</f>
        <v>#N/A</v>
      </c>
      <c r="G301" s="59" t="e">
        <v>#N/A</v>
      </c>
      <c r="H301" s="74"/>
      <c r="I301" s="74"/>
      <c r="J301" s="101"/>
      <c r="K301" s="61"/>
      <c r="L301" s="62">
        <v>0</v>
      </c>
      <c r="M301" s="63">
        <v>0</v>
      </c>
      <c r="N301" s="64">
        <v>0</v>
      </c>
      <c r="O301" s="62">
        <v>0</v>
      </c>
      <c r="P301" s="65">
        <f t="shared" si="8"/>
        <v>0</v>
      </c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7"/>
      <c r="BF301" s="67"/>
      <c r="BG301" s="68"/>
      <c r="BI301" s="69">
        <v>0</v>
      </c>
      <c r="BJ301" s="70">
        <v>0</v>
      </c>
      <c r="BK301" s="71">
        <v>0</v>
      </c>
      <c r="BL301" s="71">
        <v>0</v>
      </c>
      <c r="BM301" s="71">
        <v>0</v>
      </c>
      <c r="BN301" s="72">
        <v>0</v>
      </c>
      <c r="BO301" s="73"/>
      <c r="BP301" s="73"/>
      <c r="BQ301" s="71">
        <v>0</v>
      </c>
      <c r="BR301" s="71">
        <v>0</v>
      </c>
      <c r="BS301" s="71">
        <v>0</v>
      </c>
      <c r="BT301" s="72">
        <v>0</v>
      </c>
      <c r="BU301" s="73"/>
      <c r="BV301" s="73"/>
    </row>
    <row r="302" ht="30" customHeight="1" spans="1:74">
      <c r="A302" s="55" t="s">
        <v>41</v>
      </c>
      <c r="B302" s="56" t="s">
        <v>42</v>
      </c>
      <c r="C302" s="57" t="s">
        <v>43</v>
      </c>
      <c r="D302" s="59" t="s">
        <v>547</v>
      </c>
      <c r="E302" s="59" t="s">
        <v>556</v>
      </c>
      <c r="F302" s="59" t="str">
        <f>VLOOKUP(E302,[1]库存!$B$1:$C$65536,2,FALSE)</f>
        <v>GWM CH071 PAB</v>
      </c>
      <c r="G302" s="59" t="s">
        <v>557</v>
      </c>
      <c r="H302" s="59" t="s">
        <v>558</v>
      </c>
      <c r="I302" s="59" t="s">
        <v>347</v>
      </c>
      <c r="J302" s="100" t="s">
        <v>281</v>
      </c>
      <c r="K302" s="61"/>
      <c r="L302" s="62">
        <v>2</v>
      </c>
      <c r="M302" s="63">
        <v>1200</v>
      </c>
      <c r="N302" s="64">
        <v>10</v>
      </c>
      <c r="O302" s="62">
        <v>2</v>
      </c>
      <c r="P302" s="65">
        <f t="shared" si="8"/>
        <v>0</v>
      </c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7"/>
      <c r="BF302" s="67"/>
      <c r="BG302" s="68"/>
      <c r="BI302" s="69">
        <v>0</v>
      </c>
      <c r="BJ302" s="70">
        <v>0</v>
      </c>
      <c r="BK302" s="71">
        <v>0</v>
      </c>
      <c r="BL302" s="71">
        <v>0</v>
      </c>
      <c r="BM302" s="71">
        <v>0</v>
      </c>
      <c r="BN302" s="72">
        <v>0</v>
      </c>
      <c r="BO302" s="73"/>
      <c r="BP302" s="73"/>
      <c r="BQ302" s="71">
        <v>0</v>
      </c>
      <c r="BR302" s="71">
        <v>0</v>
      </c>
      <c r="BS302" s="71">
        <v>0</v>
      </c>
      <c r="BT302" s="72">
        <v>0</v>
      </c>
      <c r="BU302" s="73"/>
      <c r="BV302" s="73"/>
    </row>
    <row r="303" ht="30" customHeight="1" spans="1:74">
      <c r="A303" s="55">
        <v>0</v>
      </c>
      <c r="B303" s="56">
        <v>0</v>
      </c>
      <c r="C303" s="57">
        <v>0</v>
      </c>
      <c r="D303" s="74"/>
      <c r="E303" s="74"/>
      <c r="F303" s="59" t="e">
        <f>VLOOKUP(E303,[1]库存!$B$1:$C$65536,2,FALSE)</f>
        <v>#N/A</v>
      </c>
      <c r="G303" s="59" t="e">
        <v>#N/A</v>
      </c>
      <c r="H303" s="74"/>
      <c r="I303" s="74"/>
      <c r="J303" s="101"/>
      <c r="K303" s="61"/>
      <c r="L303" s="62">
        <v>0</v>
      </c>
      <c r="M303" s="63">
        <v>0</v>
      </c>
      <c r="N303" s="64">
        <v>0</v>
      </c>
      <c r="O303" s="62">
        <v>0</v>
      </c>
      <c r="P303" s="65">
        <f t="shared" si="8"/>
        <v>0</v>
      </c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7"/>
      <c r="BF303" s="67"/>
      <c r="BG303" s="68"/>
      <c r="BI303" s="69">
        <v>0</v>
      </c>
      <c r="BJ303" s="70">
        <v>0</v>
      </c>
      <c r="BK303" s="71">
        <v>0</v>
      </c>
      <c r="BL303" s="71">
        <v>0</v>
      </c>
      <c r="BM303" s="71">
        <v>0</v>
      </c>
      <c r="BN303" s="72">
        <v>0</v>
      </c>
      <c r="BO303" s="73"/>
      <c r="BP303" s="73"/>
      <c r="BQ303" s="71">
        <v>0</v>
      </c>
      <c r="BR303" s="71">
        <v>0</v>
      </c>
      <c r="BS303" s="71">
        <v>0</v>
      </c>
      <c r="BT303" s="72">
        <v>0</v>
      </c>
      <c r="BU303" s="73"/>
      <c r="BV303" s="73"/>
    </row>
    <row r="304" ht="30" customHeight="1" spans="1:74">
      <c r="A304" s="55">
        <v>0</v>
      </c>
      <c r="B304" s="56" t="s">
        <v>42</v>
      </c>
      <c r="C304" s="57" t="s">
        <v>43</v>
      </c>
      <c r="D304" s="59" t="s">
        <v>547</v>
      </c>
      <c r="E304" s="59" t="s">
        <v>559</v>
      </c>
      <c r="F304" s="59" t="str">
        <f>VLOOKUP(E304,[1]库存!$B$1:$C$65536,2,FALSE)</f>
        <v>SGMW CN201 PAB</v>
      </c>
      <c r="G304" s="59" t="s">
        <v>560</v>
      </c>
      <c r="H304" s="59" t="s">
        <v>561</v>
      </c>
      <c r="I304" s="59" t="s">
        <v>549</v>
      </c>
      <c r="J304" s="100" t="s">
        <v>281</v>
      </c>
      <c r="K304" s="61"/>
      <c r="L304" s="62">
        <v>2</v>
      </c>
      <c r="M304" s="63">
        <v>1050</v>
      </c>
      <c r="N304" s="64">
        <v>12</v>
      </c>
      <c r="O304" s="62">
        <v>2</v>
      </c>
      <c r="P304" s="65">
        <f t="shared" si="8"/>
        <v>0</v>
      </c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7"/>
      <c r="BF304" s="67"/>
      <c r="BG304" s="68"/>
      <c r="BI304" s="69">
        <v>0</v>
      </c>
      <c r="BJ304" s="70">
        <v>0</v>
      </c>
      <c r="BK304" s="71">
        <v>0</v>
      </c>
      <c r="BL304" s="71">
        <v>0</v>
      </c>
      <c r="BM304" s="71">
        <v>0</v>
      </c>
      <c r="BN304" s="72">
        <v>0</v>
      </c>
      <c r="BO304" s="73"/>
      <c r="BP304" s="73"/>
      <c r="BQ304" s="71">
        <v>0</v>
      </c>
      <c r="BR304" s="71">
        <v>0</v>
      </c>
      <c r="BS304" s="71">
        <v>0</v>
      </c>
      <c r="BT304" s="72">
        <v>0</v>
      </c>
      <c r="BU304" s="73"/>
      <c r="BV304" s="73"/>
    </row>
    <row r="305" ht="30" customHeight="1" spans="1:74">
      <c r="A305" s="55">
        <v>0</v>
      </c>
      <c r="B305" s="56">
        <v>0</v>
      </c>
      <c r="C305" s="57">
        <v>0</v>
      </c>
      <c r="D305" s="74"/>
      <c r="E305" s="74"/>
      <c r="F305" s="59" t="e">
        <f>VLOOKUP(E305,[1]库存!$B$1:$C$65536,2,FALSE)</f>
        <v>#N/A</v>
      </c>
      <c r="G305" s="59" t="e">
        <v>#N/A</v>
      </c>
      <c r="H305" s="74"/>
      <c r="I305" s="74"/>
      <c r="J305" s="101"/>
      <c r="K305" s="61"/>
      <c r="L305" s="62">
        <v>0</v>
      </c>
      <c r="M305" s="63">
        <v>0</v>
      </c>
      <c r="N305" s="64">
        <v>0</v>
      </c>
      <c r="O305" s="62">
        <v>0</v>
      </c>
      <c r="P305" s="65">
        <f t="shared" si="8"/>
        <v>0</v>
      </c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7"/>
      <c r="BF305" s="67"/>
      <c r="BG305" s="68"/>
      <c r="BI305" s="69">
        <v>0</v>
      </c>
      <c r="BJ305" s="70">
        <v>0</v>
      </c>
      <c r="BK305" s="71">
        <v>0</v>
      </c>
      <c r="BL305" s="71">
        <v>0</v>
      </c>
      <c r="BM305" s="71">
        <v>0</v>
      </c>
      <c r="BN305" s="72">
        <v>0</v>
      </c>
      <c r="BO305" s="73"/>
      <c r="BP305" s="73"/>
      <c r="BQ305" s="71">
        <v>0</v>
      </c>
      <c r="BR305" s="71">
        <v>0</v>
      </c>
      <c r="BS305" s="71">
        <v>0</v>
      </c>
      <c r="BT305" s="72">
        <v>0</v>
      </c>
      <c r="BU305" s="73"/>
      <c r="BV305" s="73"/>
    </row>
    <row r="306" ht="30" customHeight="1" spans="1:74">
      <c r="A306" s="55" t="s">
        <v>41</v>
      </c>
      <c r="B306" s="56" t="s">
        <v>42</v>
      </c>
      <c r="C306" s="57" t="s">
        <v>43</v>
      </c>
      <c r="D306" s="59" t="s">
        <v>547</v>
      </c>
      <c r="E306" s="59" t="s">
        <v>562</v>
      </c>
      <c r="F306" s="59" t="str">
        <f>VLOOKUP(E306,[1]库存!$B$1:$C$65536,2,FALSE)</f>
        <v>CHANGAN F202 PAB</v>
      </c>
      <c r="G306" s="59" t="s">
        <v>563</v>
      </c>
      <c r="H306" s="59" t="s">
        <v>564</v>
      </c>
      <c r="I306" s="59" t="s">
        <v>565</v>
      </c>
      <c r="J306" s="100" t="s">
        <v>281</v>
      </c>
      <c r="K306" s="61"/>
      <c r="L306" s="62">
        <v>2</v>
      </c>
      <c r="M306" s="63">
        <v>1100</v>
      </c>
      <c r="N306" s="64">
        <v>13</v>
      </c>
      <c r="O306" s="62">
        <v>2</v>
      </c>
      <c r="P306" s="65">
        <f t="shared" si="8"/>
        <v>0</v>
      </c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7"/>
      <c r="BF306" s="67"/>
      <c r="BG306" s="68"/>
      <c r="BI306" s="69">
        <v>0</v>
      </c>
      <c r="BJ306" s="70">
        <v>0</v>
      </c>
      <c r="BK306" s="71">
        <v>0</v>
      </c>
      <c r="BL306" s="71">
        <v>0</v>
      </c>
      <c r="BM306" s="71">
        <v>0</v>
      </c>
      <c r="BN306" s="72">
        <v>0</v>
      </c>
      <c r="BO306" s="73"/>
      <c r="BP306" s="73"/>
      <c r="BQ306" s="71">
        <v>0</v>
      </c>
      <c r="BR306" s="71">
        <v>0</v>
      </c>
      <c r="BS306" s="71">
        <v>0</v>
      </c>
      <c r="BT306" s="72">
        <v>0</v>
      </c>
      <c r="BU306" s="73"/>
      <c r="BV306" s="73"/>
    </row>
    <row r="307" ht="30" customHeight="1" spans="1:74">
      <c r="A307" s="55">
        <v>0</v>
      </c>
      <c r="B307" s="56">
        <v>0</v>
      </c>
      <c r="C307" s="57">
        <v>0</v>
      </c>
      <c r="D307" s="74"/>
      <c r="E307" s="74"/>
      <c r="F307" s="59" t="e">
        <f>VLOOKUP(E307,[1]库存!$B$1:$C$65536,2,FALSE)</f>
        <v>#N/A</v>
      </c>
      <c r="G307" s="59" t="e">
        <v>#N/A</v>
      </c>
      <c r="H307" s="74"/>
      <c r="I307" s="74"/>
      <c r="J307" s="101"/>
      <c r="K307" s="61"/>
      <c r="L307" s="62">
        <v>0</v>
      </c>
      <c r="M307" s="63">
        <v>0</v>
      </c>
      <c r="N307" s="64">
        <v>0</v>
      </c>
      <c r="O307" s="62">
        <v>0</v>
      </c>
      <c r="P307" s="65">
        <f t="shared" si="8"/>
        <v>0</v>
      </c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7"/>
      <c r="BF307" s="67"/>
      <c r="BG307" s="68"/>
      <c r="BI307" s="69">
        <v>0</v>
      </c>
      <c r="BJ307" s="70">
        <v>0</v>
      </c>
      <c r="BK307" s="71">
        <v>0</v>
      </c>
      <c r="BL307" s="71">
        <v>0</v>
      </c>
      <c r="BM307" s="71">
        <v>0</v>
      </c>
      <c r="BN307" s="72">
        <v>0</v>
      </c>
      <c r="BO307" s="73"/>
      <c r="BP307" s="73"/>
      <c r="BQ307" s="71">
        <v>0</v>
      </c>
      <c r="BR307" s="71">
        <v>0</v>
      </c>
      <c r="BS307" s="71">
        <v>0</v>
      </c>
      <c r="BT307" s="72">
        <v>0</v>
      </c>
      <c r="BU307" s="73"/>
      <c r="BV307" s="73"/>
    </row>
    <row r="308" ht="30" customHeight="1" spans="1:74">
      <c r="A308" s="55">
        <v>0</v>
      </c>
      <c r="B308" s="56">
        <v>0</v>
      </c>
      <c r="C308" s="57">
        <v>0</v>
      </c>
      <c r="E308" s="88"/>
      <c r="F308" s="59" t="e">
        <f>VLOOKUP(E308,[1]库存!$B$1:$C$65536,2,FALSE)</f>
        <v>#N/A</v>
      </c>
      <c r="G308" s="59" t="e">
        <v>#N/A</v>
      </c>
      <c r="H308" s="89"/>
      <c r="I308" s="88"/>
      <c r="J308" s="90"/>
      <c r="K308" s="61"/>
      <c r="L308" s="62">
        <v>0</v>
      </c>
      <c r="M308" s="63">
        <v>0</v>
      </c>
      <c r="N308" s="64">
        <v>0</v>
      </c>
      <c r="O308" s="62">
        <v>0</v>
      </c>
      <c r="P308" s="65">
        <f t="shared" si="8"/>
        <v>0</v>
      </c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7"/>
      <c r="BF308" s="67"/>
      <c r="BG308" s="68"/>
      <c r="BI308" s="69">
        <v>0</v>
      </c>
      <c r="BJ308" s="70">
        <v>0</v>
      </c>
      <c r="BK308" s="71">
        <v>0</v>
      </c>
      <c r="BL308" s="71">
        <v>0</v>
      </c>
      <c r="BM308" s="71">
        <v>0</v>
      </c>
      <c r="BN308" s="72">
        <v>0</v>
      </c>
      <c r="BO308" s="73"/>
      <c r="BP308" s="73"/>
      <c r="BQ308" s="71">
        <v>0</v>
      </c>
      <c r="BR308" s="71">
        <v>0</v>
      </c>
      <c r="BS308" s="71">
        <v>0</v>
      </c>
      <c r="BT308" s="72">
        <v>0</v>
      </c>
      <c r="BU308" s="73"/>
      <c r="BV308" s="73"/>
    </row>
    <row r="309" ht="30" customHeight="1" spans="1:74">
      <c r="A309" s="55">
        <v>0</v>
      </c>
      <c r="B309" s="56" t="s">
        <v>42</v>
      </c>
      <c r="C309" s="57" t="s">
        <v>462</v>
      </c>
      <c r="D309" s="91" t="s">
        <v>566</v>
      </c>
      <c r="E309" s="91" t="s">
        <v>567</v>
      </c>
      <c r="F309" s="91" t="str">
        <f>VLOOKUP(E309,[1]库存!$B$1:$C$65536,2,FALSE)</f>
        <v>CAT PAB B状态导流袋半成品</v>
      </c>
      <c r="G309" s="91" t="s">
        <v>568</v>
      </c>
      <c r="H309" s="91" t="s">
        <v>569</v>
      </c>
      <c r="I309" s="91" t="s">
        <v>567</v>
      </c>
      <c r="J309" s="159" t="s">
        <v>570</v>
      </c>
      <c r="K309" s="61"/>
      <c r="L309" s="62">
        <v>4</v>
      </c>
      <c r="M309" s="63">
        <v>1000</v>
      </c>
      <c r="N309" s="64">
        <v>1</v>
      </c>
      <c r="O309" s="62">
        <v>4</v>
      </c>
      <c r="P309" s="65">
        <f t="shared" si="8"/>
        <v>0</v>
      </c>
      <c r="Q309" s="66"/>
      <c r="R309" s="66"/>
      <c r="S309" s="66"/>
      <c r="T309" s="66"/>
      <c r="U309" s="66"/>
      <c r="V309" s="66"/>
      <c r="W309" s="66">
        <v>0</v>
      </c>
      <c r="X309" s="66"/>
      <c r="Y309" s="66">
        <v>0</v>
      </c>
      <c r="Z309" s="66"/>
      <c r="AA309" s="66">
        <v>1450</v>
      </c>
      <c r="AB309" s="66"/>
      <c r="AC309" s="66">
        <v>1450</v>
      </c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7"/>
      <c r="BF309" s="67"/>
      <c r="BG309" s="68"/>
      <c r="BI309" s="69">
        <v>0</v>
      </c>
      <c r="BJ309" s="70">
        <v>0</v>
      </c>
      <c r="BK309" s="71">
        <v>0</v>
      </c>
      <c r="BL309" s="71">
        <v>0</v>
      </c>
      <c r="BM309" s="71">
        <v>0</v>
      </c>
      <c r="BN309" s="72">
        <v>0</v>
      </c>
      <c r="BO309" s="73"/>
      <c r="BP309" s="73"/>
      <c r="BQ309" s="71">
        <v>0</v>
      </c>
      <c r="BR309" s="71">
        <v>0</v>
      </c>
      <c r="BS309" s="71">
        <v>0</v>
      </c>
      <c r="BT309" s="72">
        <v>0</v>
      </c>
      <c r="BU309" s="73"/>
      <c r="BV309" s="73"/>
    </row>
    <row r="310" ht="30" customHeight="1" spans="1:74">
      <c r="A310" s="55">
        <v>0</v>
      </c>
      <c r="B310" s="56">
        <v>0</v>
      </c>
      <c r="C310" s="57">
        <v>0</v>
      </c>
      <c r="D310" s="92"/>
      <c r="E310" s="92"/>
      <c r="F310" s="91" t="e">
        <f>VLOOKUP(E310,[1]库存!$B$1:$C$65536,2,FALSE)</f>
        <v>#N/A</v>
      </c>
      <c r="G310" s="91" t="e">
        <v>#N/A</v>
      </c>
      <c r="H310" s="92"/>
      <c r="I310" s="92"/>
      <c r="J310" s="160"/>
      <c r="K310" s="61"/>
      <c r="L310" s="62">
        <v>0</v>
      </c>
      <c r="M310" s="63">
        <v>0</v>
      </c>
      <c r="N310" s="64">
        <v>0</v>
      </c>
      <c r="O310" s="62">
        <v>0</v>
      </c>
      <c r="P310" s="65">
        <f t="shared" si="8"/>
        <v>0</v>
      </c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>
        <v>1500</v>
      </c>
      <c r="AB310" s="66"/>
      <c r="AC310" s="66">
        <v>1000</v>
      </c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7"/>
      <c r="BF310" s="67"/>
      <c r="BG310" s="68"/>
      <c r="BI310" s="69">
        <v>0</v>
      </c>
      <c r="BJ310" s="70">
        <v>0</v>
      </c>
      <c r="BK310" s="71">
        <v>0</v>
      </c>
      <c r="BL310" s="71">
        <v>0</v>
      </c>
      <c r="BM310" s="71">
        <v>0</v>
      </c>
      <c r="BN310" s="72">
        <v>0</v>
      </c>
      <c r="BO310" s="73"/>
      <c r="BP310" s="73"/>
      <c r="BQ310" s="71">
        <v>0</v>
      </c>
      <c r="BR310" s="71">
        <v>0</v>
      </c>
      <c r="BS310" s="71">
        <v>0</v>
      </c>
      <c r="BT310" s="72">
        <v>0</v>
      </c>
      <c r="BU310" s="73"/>
      <c r="BV310" s="73"/>
    </row>
    <row r="311" ht="30" customHeight="1" spans="1:74">
      <c r="A311" s="55" t="s">
        <v>165</v>
      </c>
      <c r="B311" s="56" t="s">
        <v>42</v>
      </c>
      <c r="C311" s="57" t="s">
        <v>462</v>
      </c>
      <c r="D311" s="91" t="s">
        <v>571</v>
      </c>
      <c r="E311" s="91" t="s">
        <v>572</v>
      </c>
      <c r="F311" s="91" t="str">
        <f>VLOOKUP(E311,[1]库存!$B$1:$C$65536,2,FALSE)</f>
        <v>CAT PAB B状态</v>
      </c>
      <c r="G311" s="91" t="s">
        <v>573</v>
      </c>
      <c r="H311" s="91" t="s">
        <v>574</v>
      </c>
      <c r="I311" s="91" t="s">
        <v>572</v>
      </c>
      <c r="J311" s="160"/>
      <c r="K311" s="61"/>
      <c r="L311" s="62">
        <v>4</v>
      </c>
      <c r="M311" s="63">
        <v>1000</v>
      </c>
      <c r="N311" s="64">
        <v>34</v>
      </c>
      <c r="O311" s="62">
        <v>4</v>
      </c>
      <c r="P311" s="65">
        <f t="shared" si="8"/>
        <v>0</v>
      </c>
      <c r="Q311" s="66"/>
      <c r="R311" s="66"/>
      <c r="S311" s="66"/>
      <c r="T311" s="66"/>
      <c r="U311" s="66"/>
      <c r="V311" s="66"/>
      <c r="W311" s="66">
        <v>0</v>
      </c>
      <c r="X311" s="66"/>
      <c r="Y311" s="66">
        <v>0</v>
      </c>
      <c r="Z311" s="66"/>
      <c r="AA311" s="66">
        <v>1450</v>
      </c>
      <c r="AB311" s="66"/>
      <c r="AC311" s="66">
        <v>1450</v>
      </c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7"/>
      <c r="BF311" s="67"/>
      <c r="BG311" s="68"/>
      <c r="BI311" s="69">
        <v>0</v>
      </c>
      <c r="BJ311" s="70">
        <v>0</v>
      </c>
      <c r="BK311" s="71">
        <v>0</v>
      </c>
      <c r="BL311" s="71">
        <v>0</v>
      </c>
      <c r="BM311" s="71">
        <v>0</v>
      </c>
      <c r="BN311" s="72">
        <v>0</v>
      </c>
      <c r="BO311" s="73"/>
      <c r="BP311" s="73"/>
      <c r="BQ311" s="71">
        <v>0</v>
      </c>
      <c r="BR311" s="71">
        <v>0</v>
      </c>
      <c r="BS311" s="71">
        <v>0</v>
      </c>
      <c r="BT311" s="72">
        <v>0</v>
      </c>
      <c r="BU311" s="73"/>
      <c r="BV311" s="73"/>
    </row>
    <row r="312" ht="30" customHeight="1" spans="1:74">
      <c r="A312" s="55">
        <v>0</v>
      </c>
      <c r="B312" s="56">
        <v>0</v>
      </c>
      <c r="C312" s="57">
        <v>0</v>
      </c>
      <c r="D312" s="92"/>
      <c r="E312" s="92"/>
      <c r="F312" s="91" t="e">
        <f>VLOOKUP(E312,[1]库存!$B$1:$C$65536,2,FALSE)</f>
        <v>#N/A</v>
      </c>
      <c r="G312" s="91" t="e">
        <v>#N/A</v>
      </c>
      <c r="H312" s="92"/>
      <c r="I312" s="92"/>
      <c r="J312" s="160"/>
      <c r="K312" s="61"/>
      <c r="L312" s="62">
        <v>0</v>
      </c>
      <c r="M312" s="63">
        <v>0</v>
      </c>
      <c r="N312" s="64">
        <v>0</v>
      </c>
      <c r="O312" s="62">
        <v>0</v>
      </c>
      <c r="P312" s="65">
        <f t="shared" si="8"/>
        <v>0</v>
      </c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>
        <v>1261</v>
      </c>
      <c r="AB312" s="66"/>
      <c r="AC312" s="66">
        <v>1501</v>
      </c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7"/>
      <c r="BF312" s="67"/>
      <c r="BG312" s="68"/>
      <c r="BI312" s="69">
        <v>0</v>
      </c>
      <c r="BJ312" s="70">
        <v>0</v>
      </c>
      <c r="BK312" s="71">
        <v>0</v>
      </c>
      <c r="BL312" s="71">
        <v>0</v>
      </c>
      <c r="BM312" s="71">
        <v>0</v>
      </c>
      <c r="BN312" s="72">
        <v>0</v>
      </c>
      <c r="BO312" s="73"/>
      <c r="BP312" s="73"/>
      <c r="BQ312" s="71">
        <v>0</v>
      </c>
      <c r="BR312" s="71">
        <v>0</v>
      </c>
      <c r="BS312" s="71">
        <v>0</v>
      </c>
      <c r="BT312" s="72">
        <v>0</v>
      </c>
      <c r="BU312" s="73"/>
      <c r="BV312" s="73"/>
    </row>
    <row r="313" ht="30" customHeight="1" spans="1:74">
      <c r="A313" s="55">
        <v>0</v>
      </c>
      <c r="B313" s="56" t="s">
        <v>42</v>
      </c>
      <c r="C313" s="57" t="s">
        <v>462</v>
      </c>
      <c r="D313" s="91" t="s">
        <v>566</v>
      </c>
      <c r="E313" s="91"/>
      <c r="F313" s="91" t="e">
        <f>VLOOKUP(E313,[1]库存!$B$1:$C$65536,2,FALSE)</f>
        <v>#N/A</v>
      </c>
      <c r="G313" s="91" t="e">
        <v>#N/A</v>
      </c>
      <c r="H313" s="91" t="s">
        <v>575</v>
      </c>
      <c r="I313" s="91" t="s">
        <v>576</v>
      </c>
      <c r="J313" s="159" t="s">
        <v>570</v>
      </c>
      <c r="K313" s="61"/>
      <c r="L313" s="62">
        <v>4</v>
      </c>
      <c r="M313" s="63">
        <v>1000</v>
      </c>
      <c r="N313" s="64">
        <v>1</v>
      </c>
      <c r="O313" s="62">
        <v>4</v>
      </c>
      <c r="P313" s="65">
        <f t="shared" si="8"/>
        <v>0</v>
      </c>
      <c r="Q313" s="66" t="s">
        <v>577</v>
      </c>
      <c r="R313" s="66" t="s">
        <v>577</v>
      </c>
      <c r="S313" s="66" t="s">
        <v>577</v>
      </c>
      <c r="T313" s="66" t="s">
        <v>577</v>
      </c>
      <c r="U313" s="66" t="s">
        <v>578</v>
      </c>
      <c r="V313" s="66" t="s">
        <v>577</v>
      </c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7"/>
      <c r="BF313" s="67"/>
      <c r="BG313" s="68"/>
      <c r="BI313" s="69">
        <v>0</v>
      </c>
      <c r="BJ313" s="70">
        <v>0</v>
      </c>
      <c r="BK313" s="71">
        <v>0</v>
      </c>
      <c r="BL313" s="71">
        <v>0</v>
      </c>
      <c r="BM313" s="71">
        <v>0</v>
      </c>
      <c r="BN313" s="72">
        <v>0</v>
      </c>
      <c r="BO313" s="73"/>
      <c r="BP313" s="73"/>
      <c r="BQ313" s="71">
        <v>0</v>
      </c>
      <c r="BR313" s="71">
        <v>0</v>
      </c>
      <c r="BS313" s="71">
        <v>0</v>
      </c>
      <c r="BT313" s="72">
        <v>0</v>
      </c>
      <c r="BU313" s="73"/>
      <c r="BV313" s="73"/>
    </row>
    <row r="314" ht="30" customHeight="1" spans="1:74">
      <c r="A314" s="55">
        <v>0</v>
      </c>
      <c r="B314" s="56">
        <v>0</v>
      </c>
      <c r="C314" s="57">
        <v>0</v>
      </c>
      <c r="D314" s="92"/>
      <c r="E314" s="92"/>
      <c r="F314" s="91" t="e">
        <f>VLOOKUP(E314,[1]库存!$B$1:$C$65536,2,FALSE)</f>
        <v>#N/A</v>
      </c>
      <c r="G314" s="91" t="e">
        <v>#N/A</v>
      </c>
      <c r="H314" s="92"/>
      <c r="I314" s="92"/>
      <c r="J314" s="160"/>
      <c r="K314" s="61"/>
      <c r="L314" s="62">
        <v>0</v>
      </c>
      <c r="M314" s="63">
        <v>0</v>
      </c>
      <c r="N314" s="64">
        <v>0</v>
      </c>
      <c r="O314" s="62">
        <v>0</v>
      </c>
      <c r="P314" s="65">
        <f t="shared" si="8"/>
        <v>0</v>
      </c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7"/>
      <c r="BF314" s="67"/>
      <c r="BG314" s="68"/>
      <c r="BI314" s="69">
        <v>0</v>
      </c>
      <c r="BJ314" s="70">
        <v>0</v>
      </c>
      <c r="BK314" s="71">
        <v>0</v>
      </c>
      <c r="BL314" s="71">
        <v>0</v>
      </c>
      <c r="BM314" s="71">
        <v>0</v>
      </c>
      <c r="BN314" s="72">
        <v>0</v>
      </c>
      <c r="BO314" s="73"/>
      <c r="BP314" s="73"/>
      <c r="BQ314" s="71">
        <v>0</v>
      </c>
      <c r="BR314" s="71">
        <v>0</v>
      </c>
      <c r="BS314" s="71">
        <v>0</v>
      </c>
      <c r="BT314" s="72">
        <v>0</v>
      </c>
      <c r="BU314" s="73"/>
      <c r="BV314" s="73"/>
    </row>
    <row r="315" ht="30" customHeight="1" spans="1:74">
      <c r="A315" s="55" t="s">
        <v>165</v>
      </c>
      <c r="B315" s="56" t="s">
        <v>42</v>
      </c>
      <c r="C315" s="57" t="s">
        <v>462</v>
      </c>
      <c r="D315" s="91" t="s">
        <v>571</v>
      </c>
      <c r="E315" s="91"/>
      <c r="F315" s="91" t="e">
        <f>VLOOKUP(E315,[1]库存!$B$1:$C$65536,2,FALSE)</f>
        <v>#N/A</v>
      </c>
      <c r="G315" s="91" t="e">
        <v>#N/A</v>
      </c>
      <c r="H315" s="91" t="s">
        <v>579</v>
      </c>
      <c r="I315" s="91" t="s">
        <v>576</v>
      </c>
      <c r="J315" s="160"/>
      <c r="K315" s="61"/>
      <c r="L315" s="62">
        <v>4</v>
      </c>
      <c r="M315" s="63">
        <v>1000</v>
      </c>
      <c r="N315" s="64">
        <v>34</v>
      </c>
      <c r="O315" s="62">
        <v>4</v>
      </c>
      <c r="P315" s="65">
        <f t="shared" si="8"/>
        <v>0</v>
      </c>
      <c r="Q315" s="66" t="s">
        <v>577</v>
      </c>
      <c r="R315" s="66" t="s">
        <v>577</v>
      </c>
      <c r="S315" s="66" t="s">
        <v>577</v>
      </c>
      <c r="T315" s="66" t="s">
        <v>577</v>
      </c>
      <c r="U315" s="66" t="s">
        <v>578</v>
      </c>
      <c r="V315" s="66" t="s">
        <v>577</v>
      </c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7"/>
      <c r="BF315" s="67"/>
      <c r="BG315" s="68"/>
      <c r="BI315" s="69">
        <v>0</v>
      </c>
      <c r="BJ315" s="70">
        <v>0</v>
      </c>
      <c r="BK315" s="71">
        <v>0</v>
      </c>
      <c r="BL315" s="71">
        <v>0</v>
      </c>
      <c r="BM315" s="71">
        <v>0</v>
      </c>
      <c r="BN315" s="72">
        <v>0</v>
      </c>
      <c r="BO315" s="73"/>
      <c r="BP315" s="73"/>
      <c r="BQ315" s="71">
        <v>0</v>
      </c>
      <c r="BR315" s="71">
        <v>0</v>
      </c>
      <c r="BS315" s="71">
        <v>0</v>
      </c>
      <c r="BT315" s="72">
        <v>0</v>
      </c>
      <c r="BU315" s="73"/>
      <c r="BV315" s="73"/>
    </row>
    <row r="316" ht="30" customHeight="1" spans="1:74">
      <c r="A316" s="55">
        <v>0</v>
      </c>
      <c r="B316" s="56">
        <v>0</v>
      </c>
      <c r="C316" s="57">
        <v>0</v>
      </c>
      <c r="D316" s="92"/>
      <c r="E316" s="92"/>
      <c r="F316" s="91" t="e">
        <f>VLOOKUP(E316,[1]库存!$B$1:$C$65536,2,FALSE)</f>
        <v>#N/A</v>
      </c>
      <c r="G316" s="91" t="e">
        <v>#N/A</v>
      </c>
      <c r="H316" s="92"/>
      <c r="I316" s="92"/>
      <c r="J316" s="160"/>
      <c r="K316" s="61"/>
      <c r="L316" s="62">
        <v>0</v>
      </c>
      <c r="M316" s="63">
        <v>0</v>
      </c>
      <c r="N316" s="64">
        <v>0</v>
      </c>
      <c r="O316" s="62">
        <v>0</v>
      </c>
      <c r="P316" s="65">
        <f t="shared" si="8"/>
        <v>0</v>
      </c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7"/>
      <c r="BF316" s="67"/>
      <c r="BG316" s="68"/>
      <c r="BI316" s="69">
        <v>0</v>
      </c>
      <c r="BJ316" s="70">
        <v>0</v>
      </c>
      <c r="BK316" s="71">
        <v>0</v>
      </c>
      <c r="BL316" s="71">
        <v>0</v>
      </c>
      <c r="BM316" s="71">
        <v>0</v>
      </c>
      <c r="BN316" s="72">
        <v>0</v>
      </c>
      <c r="BO316" s="73"/>
      <c r="BP316" s="73"/>
      <c r="BQ316" s="71">
        <v>0</v>
      </c>
      <c r="BR316" s="71">
        <v>0</v>
      </c>
      <c r="BS316" s="71">
        <v>0</v>
      </c>
      <c r="BT316" s="72">
        <v>0</v>
      </c>
      <c r="BU316" s="73"/>
      <c r="BV316" s="73"/>
    </row>
    <row r="317" ht="30" customHeight="1" spans="1:74">
      <c r="A317" s="55">
        <v>0</v>
      </c>
      <c r="B317" s="56">
        <v>0</v>
      </c>
      <c r="C317" s="57">
        <v>0</v>
      </c>
      <c r="E317" s="88"/>
      <c r="F317" s="59" t="e">
        <f>VLOOKUP(E317,[1]库存!$B$1:$C$65536,2,FALSE)</f>
        <v>#N/A</v>
      </c>
      <c r="G317" s="59" t="e">
        <v>#N/A</v>
      </c>
      <c r="H317" s="89"/>
      <c r="I317" s="88"/>
      <c r="J317" s="90"/>
      <c r="K317" s="61"/>
      <c r="L317" s="62">
        <v>0</v>
      </c>
      <c r="M317" s="63">
        <v>0</v>
      </c>
      <c r="N317" s="64">
        <v>0</v>
      </c>
      <c r="O317" s="62">
        <v>0</v>
      </c>
      <c r="P317" s="65">
        <f t="shared" si="8"/>
        <v>0</v>
      </c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7"/>
      <c r="BF317" s="67"/>
      <c r="BG317" s="68"/>
      <c r="BI317" s="69">
        <v>0</v>
      </c>
      <c r="BJ317" s="70">
        <v>0</v>
      </c>
      <c r="BK317" s="71">
        <v>0</v>
      </c>
      <c r="BL317" s="71">
        <v>0</v>
      </c>
      <c r="BM317" s="71">
        <v>0</v>
      </c>
      <c r="BN317" s="72">
        <v>0</v>
      </c>
      <c r="BO317" s="73"/>
      <c r="BP317" s="73"/>
      <c r="BQ317" s="71">
        <v>0</v>
      </c>
      <c r="BR317" s="71">
        <v>0</v>
      </c>
      <c r="BS317" s="71">
        <v>0</v>
      </c>
      <c r="BT317" s="72">
        <v>0</v>
      </c>
      <c r="BU317" s="73"/>
      <c r="BV317" s="73"/>
    </row>
    <row r="318" ht="30" customHeight="1" spans="1:74">
      <c r="A318" s="55" t="s">
        <v>96</v>
      </c>
      <c r="B318" s="56" t="s">
        <v>42</v>
      </c>
      <c r="C318" s="57" t="s">
        <v>43</v>
      </c>
      <c r="D318" s="91" t="s">
        <v>580</v>
      </c>
      <c r="E318" s="91" t="s">
        <v>581</v>
      </c>
      <c r="F318" s="91" t="str">
        <f>VLOOKUP(E318,[1]库存!$B$1:$C$65536,2,FALSE)</f>
        <v>SAIC SK81 PAB A状态</v>
      </c>
      <c r="G318" s="91" t="s">
        <v>582</v>
      </c>
      <c r="H318" s="91" t="s">
        <v>583</v>
      </c>
      <c r="I318" s="91" t="s">
        <v>584</v>
      </c>
      <c r="J318" s="63"/>
      <c r="K318" s="61"/>
      <c r="L318" s="62">
        <v>2</v>
      </c>
      <c r="M318" s="63">
        <v>950</v>
      </c>
      <c r="N318" s="64">
        <v>10</v>
      </c>
      <c r="O318" s="62">
        <v>2</v>
      </c>
      <c r="P318" s="65">
        <f t="shared" si="8"/>
        <v>0</v>
      </c>
      <c r="Q318" s="66"/>
      <c r="R318" s="66"/>
      <c r="S318" s="66">
        <v>1000</v>
      </c>
      <c r="T318" s="66"/>
      <c r="U318" s="66">
        <v>1000</v>
      </c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7"/>
      <c r="BF318" s="67"/>
      <c r="BG318" s="68"/>
      <c r="BI318" s="69">
        <v>0</v>
      </c>
      <c r="BJ318" s="70">
        <v>0</v>
      </c>
      <c r="BK318" s="71">
        <v>0</v>
      </c>
      <c r="BL318" s="71">
        <v>0</v>
      </c>
      <c r="BM318" s="71">
        <v>0</v>
      </c>
      <c r="BN318" s="72">
        <v>0</v>
      </c>
      <c r="BO318" s="73"/>
      <c r="BP318" s="73"/>
      <c r="BQ318" s="71">
        <v>0</v>
      </c>
      <c r="BR318" s="71">
        <v>0</v>
      </c>
      <c r="BS318" s="71">
        <v>0</v>
      </c>
      <c r="BT318" s="72">
        <v>0</v>
      </c>
      <c r="BU318" s="73"/>
      <c r="BV318" s="73"/>
    </row>
    <row r="319" ht="30" customHeight="1" spans="1:74">
      <c r="A319" s="55">
        <v>0</v>
      </c>
      <c r="B319" s="56">
        <v>0</v>
      </c>
      <c r="C319" s="57">
        <v>0</v>
      </c>
      <c r="D319" s="92"/>
      <c r="E319" s="92"/>
      <c r="F319" s="91" t="e">
        <f>VLOOKUP(E319,[1]库存!$B$1:$C$65536,2,FALSE)</f>
        <v>#N/A</v>
      </c>
      <c r="G319" s="91" t="e">
        <v>#N/A</v>
      </c>
      <c r="H319" s="92"/>
      <c r="I319" s="92"/>
      <c r="J319" s="87"/>
      <c r="K319" s="61"/>
      <c r="L319" s="62">
        <v>0</v>
      </c>
      <c r="M319" s="63">
        <v>0</v>
      </c>
      <c r="N319" s="64">
        <v>0</v>
      </c>
      <c r="O319" s="62">
        <v>0</v>
      </c>
      <c r="P319" s="65">
        <f t="shared" si="8"/>
        <v>0</v>
      </c>
      <c r="Q319" s="66"/>
      <c r="R319" s="66"/>
      <c r="S319" s="66">
        <v>1128</v>
      </c>
      <c r="T319" s="66"/>
      <c r="U319" s="66">
        <v>1061</v>
      </c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7"/>
      <c r="BF319" s="67"/>
      <c r="BG319" s="68"/>
      <c r="BI319" s="69">
        <v>0</v>
      </c>
      <c r="BJ319" s="70">
        <v>0</v>
      </c>
      <c r="BK319" s="71">
        <v>0</v>
      </c>
      <c r="BL319" s="71">
        <v>0</v>
      </c>
      <c r="BM319" s="71">
        <v>0</v>
      </c>
      <c r="BN319" s="72">
        <v>0</v>
      </c>
      <c r="BO319" s="73"/>
      <c r="BP319" s="73"/>
      <c r="BQ319" s="71">
        <v>0</v>
      </c>
      <c r="BR319" s="71">
        <v>0</v>
      </c>
      <c r="BS319" s="71">
        <v>0</v>
      </c>
      <c r="BT319" s="72">
        <v>0</v>
      </c>
      <c r="BU319" s="73"/>
      <c r="BV319" s="73"/>
    </row>
    <row r="320" ht="30" customHeight="1" spans="1:74">
      <c r="A320" s="55" t="s">
        <v>96</v>
      </c>
      <c r="B320" s="56" t="s">
        <v>42</v>
      </c>
      <c r="C320" s="57" t="s">
        <v>43</v>
      </c>
      <c r="D320" s="91" t="s">
        <v>580</v>
      </c>
      <c r="E320" s="91" t="s">
        <v>585</v>
      </c>
      <c r="F320" s="91" t="str">
        <f>VLOOKUP(E320,[1]库存!$B$1:$C$65536,2,FALSE)</f>
        <v>SGM 358-2 PAB</v>
      </c>
      <c r="G320" s="91" t="s">
        <v>586</v>
      </c>
      <c r="H320" s="91" t="s">
        <v>587</v>
      </c>
      <c r="I320" s="91" t="s">
        <v>588</v>
      </c>
      <c r="J320" s="63"/>
      <c r="K320" s="61"/>
      <c r="L320" s="62">
        <v>2</v>
      </c>
      <c r="M320" s="63">
        <v>900</v>
      </c>
      <c r="N320" s="64">
        <v>14</v>
      </c>
      <c r="O320" s="62">
        <v>2</v>
      </c>
      <c r="P320" s="65">
        <f t="shared" si="8"/>
        <v>0</v>
      </c>
      <c r="Q320" s="66">
        <v>1000</v>
      </c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7"/>
      <c r="BF320" s="67"/>
      <c r="BG320" s="68"/>
      <c r="BI320" s="69">
        <v>0</v>
      </c>
      <c r="BJ320" s="70">
        <v>0</v>
      </c>
      <c r="BK320" s="71">
        <v>0</v>
      </c>
      <c r="BL320" s="71">
        <v>0</v>
      </c>
      <c r="BM320" s="71">
        <v>0</v>
      </c>
      <c r="BN320" s="72">
        <v>0</v>
      </c>
      <c r="BO320" s="73"/>
      <c r="BP320" s="73"/>
      <c r="BQ320" s="71">
        <v>0</v>
      </c>
      <c r="BR320" s="71">
        <v>0</v>
      </c>
      <c r="BS320" s="71">
        <v>0</v>
      </c>
      <c r="BT320" s="72">
        <v>0</v>
      </c>
      <c r="BU320" s="73"/>
      <c r="BV320" s="73"/>
    </row>
    <row r="321" ht="30" customHeight="1" spans="1:74">
      <c r="A321" s="55">
        <v>0</v>
      </c>
      <c r="B321" s="56">
        <v>0</v>
      </c>
      <c r="C321" s="57">
        <v>0</v>
      </c>
      <c r="D321" s="92"/>
      <c r="E321" s="92"/>
      <c r="F321" s="91" t="e">
        <f>VLOOKUP(E321,[1]库存!$B$1:$C$65536,2,FALSE)</f>
        <v>#N/A</v>
      </c>
      <c r="G321" s="91" t="e">
        <v>#N/A</v>
      </c>
      <c r="H321" s="92"/>
      <c r="I321" s="92"/>
      <c r="J321" s="87"/>
      <c r="K321" s="61"/>
      <c r="L321" s="62">
        <v>0</v>
      </c>
      <c r="M321" s="63">
        <v>0</v>
      </c>
      <c r="N321" s="64">
        <v>0</v>
      </c>
      <c r="O321" s="62">
        <v>0</v>
      </c>
      <c r="P321" s="65">
        <f t="shared" si="8"/>
        <v>0</v>
      </c>
      <c r="Q321" s="66">
        <v>989</v>
      </c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7"/>
      <c r="BF321" s="67"/>
      <c r="BG321" s="68"/>
      <c r="BI321" s="69">
        <v>0</v>
      </c>
      <c r="BJ321" s="70">
        <v>0</v>
      </c>
      <c r="BK321" s="71">
        <v>0</v>
      </c>
      <c r="BL321" s="71">
        <v>0</v>
      </c>
      <c r="BM321" s="71">
        <v>0</v>
      </c>
      <c r="BN321" s="72">
        <v>0</v>
      </c>
      <c r="BO321" s="73"/>
      <c r="BP321" s="73"/>
      <c r="BQ321" s="71">
        <v>0</v>
      </c>
      <c r="BR321" s="71">
        <v>0</v>
      </c>
      <c r="BS321" s="71">
        <v>0</v>
      </c>
      <c r="BT321" s="72">
        <v>0</v>
      </c>
      <c r="BU321" s="73"/>
      <c r="BV321" s="73"/>
    </row>
    <row r="322" ht="30" customHeight="1" spans="1:74">
      <c r="A322" s="55" t="s">
        <v>96</v>
      </c>
      <c r="B322" s="56" t="s">
        <v>42</v>
      </c>
      <c r="C322" s="57" t="s">
        <v>43</v>
      </c>
      <c r="D322" s="59" t="s">
        <v>580</v>
      </c>
      <c r="E322" s="59" t="s">
        <v>589</v>
      </c>
      <c r="F322" s="59" t="str">
        <f>VLOOKUP(E322,[1]库存!$B$1:$C$65536,2,FALSE)</f>
        <v>SMCV SK83-B2 PAB</v>
      </c>
      <c r="G322" s="59" t="s">
        <v>590</v>
      </c>
      <c r="H322" s="59" t="s">
        <v>591</v>
      </c>
      <c r="I322" s="59" t="s">
        <v>584</v>
      </c>
      <c r="J322" s="80" t="s">
        <v>65</v>
      </c>
      <c r="K322" s="61"/>
      <c r="L322" s="62">
        <v>2</v>
      </c>
      <c r="M322" s="63">
        <v>900</v>
      </c>
      <c r="N322" s="64">
        <v>10</v>
      </c>
      <c r="O322" s="62">
        <v>2</v>
      </c>
      <c r="P322" s="65">
        <f t="shared" si="8"/>
        <v>0</v>
      </c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7"/>
      <c r="BF322" s="67"/>
      <c r="BG322" s="68"/>
      <c r="BI322" s="69">
        <v>0</v>
      </c>
      <c r="BJ322" s="70">
        <v>0</v>
      </c>
      <c r="BK322" s="71">
        <v>0</v>
      </c>
      <c r="BL322" s="71">
        <v>0</v>
      </c>
      <c r="BM322" s="71">
        <v>0</v>
      </c>
      <c r="BN322" s="72">
        <v>0</v>
      </c>
      <c r="BO322" s="73"/>
      <c r="BP322" s="73"/>
      <c r="BQ322" s="71">
        <v>0</v>
      </c>
      <c r="BR322" s="71">
        <v>0</v>
      </c>
      <c r="BS322" s="71">
        <v>0</v>
      </c>
      <c r="BT322" s="72">
        <v>0</v>
      </c>
      <c r="BU322" s="73"/>
      <c r="BV322" s="73"/>
    </row>
    <row r="323" ht="30" customHeight="1" spans="1:74">
      <c r="A323" s="55">
        <v>0</v>
      </c>
      <c r="B323" s="56">
        <v>0</v>
      </c>
      <c r="C323" s="57">
        <v>0</v>
      </c>
      <c r="D323" s="74"/>
      <c r="E323" s="74"/>
      <c r="F323" s="59" t="e">
        <f>VLOOKUP(E323,[1]库存!$B$1:$C$65536,2,FALSE)</f>
        <v>#N/A</v>
      </c>
      <c r="G323" s="59" t="e">
        <v>#N/A</v>
      </c>
      <c r="H323" s="74"/>
      <c r="I323" s="74"/>
      <c r="J323" s="81"/>
      <c r="K323" s="61"/>
      <c r="L323" s="62">
        <v>0</v>
      </c>
      <c r="M323" s="63">
        <v>0</v>
      </c>
      <c r="N323" s="64">
        <v>0</v>
      </c>
      <c r="O323" s="62">
        <v>0</v>
      </c>
      <c r="P323" s="65">
        <f t="shared" si="8"/>
        <v>0</v>
      </c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7"/>
      <c r="BF323" s="67"/>
      <c r="BG323" s="68"/>
      <c r="BI323" s="69">
        <v>0</v>
      </c>
      <c r="BJ323" s="70">
        <v>0</v>
      </c>
      <c r="BK323" s="71">
        <v>0</v>
      </c>
      <c r="BL323" s="71">
        <v>0</v>
      </c>
      <c r="BM323" s="71">
        <v>0</v>
      </c>
      <c r="BN323" s="72">
        <v>0</v>
      </c>
      <c r="BO323" s="73"/>
      <c r="BP323" s="73"/>
      <c r="BQ323" s="71">
        <v>0</v>
      </c>
      <c r="BR323" s="71">
        <v>0</v>
      </c>
      <c r="BS323" s="71">
        <v>0</v>
      </c>
      <c r="BT323" s="72">
        <v>0</v>
      </c>
      <c r="BU323" s="73"/>
      <c r="BV323" s="73"/>
    </row>
    <row r="324" ht="30" customHeight="1" spans="1:74">
      <c r="A324" s="55" t="s">
        <v>96</v>
      </c>
      <c r="B324" s="56" t="s">
        <v>42</v>
      </c>
      <c r="C324" s="57" t="s">
        <v>43</v>
      </c>
      <c r="D324" s="59" t="s">
        <v>580</v>
      </c>
      <c r="E324" s="59" t="s">
        <v>592</v>
      </c>
      <c r="F324" s="59" t="str">
        <f>VLOOKUP(E324,[1]库存!$B$1:$C$65536,2,FALSE)</f>
        <v>SGM 358 PAB</v>
      </c>
      <c r="G324" s="59" t="s">
        <v>593</v>
      </c>
      <c r="H324" s="59" t="s">
        <v>594</v>
      </c>
      <c r="I324" s="59" t="s">
        <v>336</v>
      </c>
      <c r="J324" s="80" t="s">
        <v>65</v>
      </c>
      <c r="K324" s="61"/>
      <c r="L324" s="62">
        <v>2</v>
      </c>
      <c r="M324" s="63">
        <v>900</v>
      </c>
      <c r="N324" s="64">
        <v>14</v>
      </c>
      <c r="O324" s="62">
        <v>2</v>
      </c>
      <c r="P324" s="65">
        <f t="shared" si="8"/>
        <v>0</v>
      </c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7"/>
      <c r="BF324" s="67"/>
      <c r="BG324" s="68"/>
      <c r="BI324" s="69">
        <v>0</v>
      </c>
      <c r="BJ324" s="70">
        <v>0</v>
      </c>
      <c r="BK324" s="71">
        <v>0</v>
      </c>
      <c r="BL324" s="71">
        <v>0</v>
      </c>
      <c r="BM324" s="71">
        <v>0</v>
      </c>
      <c r="BN324" s="72">
        <v>0</v>
      </c>
      <c r="BO324" s="73"/>
      <c r="BP324" s="73"/>
      <c r="BQ324" s="71">
        <v>0</v>
      </c>
      <c r="BR324" s="71">
        <v>0</v>
      </c>
      <c r="BS324" s="71">
        <v>0</v>
      </c>
      <c r="BT324" s="72">
        <v>0</v>
      </c>
      <c r="BU324" s="73"/>
      <c r="BV324" s="73"/>
    </row>
    <row r="325" ht="30" customHeight="1" spans="1:74">
      <c r="A325" s="55">
        <v>0</v>
      </c>
      <c r="B325" s="56">
        <v>0</v>
      </c>
      <c r="C325" s="57">
        <v>0</v>
      </c>
      <c r="D325" s="74"/>
      <c r="E325" s="74"/>
      <c r="F325" s="59" t="e">
        <f>VLOOKUP(E325,[1]库存!$B$1:$C$65536,2,FALSE)</f>
        <v>#N/A</v>
      </c>
      <c r="G325" s="59" t="e">
        <v>#N/A</v>
      </c>
      <c r="H325" s="74"/>
      <c r="I325" s="74"/>
      <c r="J325" s="81"/>
      <c r="K325" s="61"/>
      <c r="L325" s="62">
        <v>0</v>
      </c>
      <c r="M325" s="63">
        <v>0</v>
      </c>
      <c r="N325" s="64">
        <v>0</v>
      </c>
      <c r="O325" s="62">
        <v>0</v>
      </c>
      <c r="P325" s="65">
        <f t="shared" si="8"/>
        <v>0</v>
      </c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7"/>
      <c r="BF325" s="67"/>
      <c r="BG325" s="68"/>
      <c r="BI325" s="69">
        <v>0</v>
      </c>
      <c r="BJ325" s="70">
        <v>0</v>
      </c>
      <c r="BK325" s="71">
        <v>0</v>
      </c>
      <c r="BL325" s="71">
        <v>0</v>
      </c>
      <c r="BM325" s="71">
        <v>0</v>
      </c>
      <c r="BN325" s="72">
        <v>0</v>
      </c>
      <c r="BO325" s="73"/>
      <c r="BP325" s="73"/>
      <c r="BQ325" s="71">
        <v>0</v>
      </c>
      <c r="BR325" s="71">
        <v>0</v>
      </c>
      <c r="BS325" s="71">
        <v>0</v>
      </c>
      <c r="BT325" s="72">
        <v>0</v>
      </c>
      <c r="BU325" s="73"/>
      <c r="BV325" s="73"/>
    </row>
    <row r="326" ht="30" customHeight="1" spans="1:74">
      <c r="A326" s="55">
        <v>0</v>
      </c>
      <c r="B326" s="56" t="s">
        <v>42</v>
      </c>
      <c r="C326" s="57" t="s">
        <v>43</v>
      </c>
      <c r="D326" s="59" t="s">
        <v>580</v>
      </c>
      <c r="E326" s="59" t="s">
        <v>595</v>
      </c>
      <c r="F326" s="59" t="str">
        <f>VLOOKUP(E326,[1]库存!$B$1:$C$65536,2,FALSE)</f>
        <v>SGM E17 PAB</v>
      </c>
      <c r="G326" s="59" t="s">
        <v>596</v>
      </c>
      <c r="H326" s="59" t="s">
        <v>597</v>
      </c>
      <c r="I326" s="59" t="s">
        <v>598</v>
      </c>
      <c r="J326" s="82" t="s">
        <v>80</v>
      </c>
      <c r="K326" s="61"/>
      <c r="L326" s="62">
        <v>2</v>
      </c>
      <c r="M326" s="63">
        <v>900</v>
      </c>
      <c r="N326" s="64">
        <v>12</v>
      </c>
      <c r="O326" s="62">
        <v>2</v>
      </c>
      <c r="P326" s="65">
        <f t="shared" ref="P326:P389" si="13">SUM(AG326:AJ326)</f>
        <v>0</v>
      </c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7"/>
      <c r="BF326" s="67"/>
      <c r="BG326" s="68"/>
      <c r="BI326" s="69">
        <v>0</v>
      </c>
      <c r="BJ326" s="70">
        <v>0</v>
      </c>
      <c r="BK326" s="71">
        <v>0</v>
      </c>
      <c r="BL326" s="71">
        <v>0</v>
      </c>
      <c r="BM326" s="71">
        <v>0</v>
      </c>
      <c r="BN326" s="72">
        <v>0</v>
      </c>
      <c r="BO326" s="73"/>
      <c r="BP326" s="73"/>
      <c r="BQ326" s="71">
        <v>0</v>
      </c>
      <c r="BR326" s="71">
        <v>0</v>
      </c>
      <c r="BS326" s="71">
        <v>0</v>
      </c>
      <c r="BT326" s="72">
        <v>0</v>
      </c>
      <c r="BU326" s="73"/>
      <c r="BV326" s="73"/>
    </row>
    <row r="327" ht="30" customHeight="1" spans="1:74">
      <c r="A327" s="55">
        <v>0</v>
      </c>
      <c r="B327" s="56">
        <v>0</v>
      </c>
      <c r="C327" s="57">
        <v>0</v>
      </c>
      <c r="D327" s="74"/>
      <c r="E327" s="74"/>
      <c r="F327" s="59" t="e">
        <f>VLOOKUP(E327,[1]库存!$B$1:$C$65536,2,FALSE)</f>
        <v>#N/A</v>
      </c>
      <c r="G327" s="59" t="e">
        <v>#N/A</v>
      </c>
      <c r="H327" s="74"/>
      <c r="I327" s="74"/>
      <c r="J327" s="83"/>
      <c r="K327" s="61"/>
      <c r="L327" s="62">
        <v>0</v>
      </c>
      <c r="M327" s="63">
        <v>0</v>
      </c>
      <c r="N327" s="64">
        <v>0</v>
      </c>
      <c r="O327" s="62">
        <v>0</v>
      </c>
      <c r="P327" s="65">
        <f t="shared" si="13"/>
        <v>0</v>
      </c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7"/>
      <c r="BF327" s="67"/>
      <c r="BG327" s="68"/>
      <c r="BI327" s="69">
        <v>0</v>
      </c>
      <c r="BJ327" s="70">
        <v>0</v>
      </c>
      <c r="BK327" s="71">
        <v>0</v>
      </c>
      <c r="BL327" s="71">
        <v>0</v>
      </c>
      <c r="BM327" s="71">
        <v>0</v>
      </c>
      <c r="BN327" s="72">
        <v>0</v>
      </c>
      <c r="BO327" s="73"/>
      <c r="BP327" s="73"/>
      <c r="BQ327" s="71">
        <v>0</v>
      </c>
      <c r="BR327" s="71">
        <v>0</v>
      </c>
      <c r="BS327" s="71">
        <v>0</v>
      </c>
      <c r="BT327" s="72">
        <v>0</v>
      </c>
      <c r="BU327" s="73"/>
      <c r="BV327" s="73"/>
    </row>
    <row r="328" ht="30" customHeight="1" spans="1:74">
      <c r="A328" s="55">
        <v>0</v>
      </c>
      <c r="B328" s="56" t="s">
        <v>42</v>
      </c>
      <c r="C328" s="57" t="s">
        <v>43</v>
      </c>
      <c r="D328" s="59" t="s">
        <v>580</v>
      </c>
      <c r="E328" s="59" t="s">
        <v>599</v>
      </c>
      <c r="F328" s="59" t="str">
        <f>VLOOKUP(E328,[1]库存!$B$1:$C$65536,2,FALSE)</f>
        <v>SAIC SV91 LOW CONFIGURE PAB</v>
      </c>
      <c r="G328" s="59" t="s">
        <v>600</v>
      </c>
      <c r="H328" s="59" t="s">
        <v>601</v>
      </c>
      <c r="I328" s="59" t="s">
        <v>584</v>
      </c>
      <c r="J328" s="82" t="s">
        <v>80</v>
      </c>
      <c r="K328" s="61"/>
      <c r="L328" s="62">
        <v>2</v>
      </c>
      <c r="M328" s="63">
        <v>0</v>
      </c>
      <c r="N328" s="64">
        <v>0</v>
      </c>
      <c r="O328" s="62">
        <v>2</v>
      </c>
      <c r="P328" s="65">
        <f t="shared" si="13"/>
        <v>0</v>
      </c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7"/>
      <c r="BF328" s="67"/>
      <c r="BG328" s="68"/>
      <c r="BI328" s="69">
        <v>0</v>
      </c>
      <c r="BJ328" s="70">
        <v>0</v>
      </c>
      <c r="BK328" s="71">
        <v>0</v>
      </c>
      <c r="BL328" s="71">
        <v>0</v>
      </c>
      <c r="BM328" s="71">
        <v>0</v>
      </c>
      <c r="BN328" s="72">
        <v>0</v>
      </c>
      <c r="BO328" s="73"/>
      <c r="BP328" s="73"/>
      <c r="BQ328" s="71">
        <v>0</v>
      </c>
      <c r="BR328" s="71">
        <v>0</v>
      </c>
      <c r="BS328" s="71">
        <v>0</v>
      </c>
      <c r="BT328" s="72">
        <v>0</v>
      </c>
      <c r="BU328" s="73"/>
      <c r="BV328" s="73"/>
    </row>
    <row r="329" ht="30" customHeight="1" spans="1:74">
      <c r="A329" s="55">
        <v>0</v>
      </c>
      <c r="B329" s="56">
        <v>0</v>
      </c>
      <c r="C329" s="57">
        <v>0</v>
      </c>
      <c r="D329" s="74"/>
      <c r="E329" s="74"/>
      <c r="F329" s="59" t="e">
        <f>VLOOKUP(E329,[1]库存!$B$1:$C$65536,2,FALSE)</f>
        <v>#N/A</v>
      </c>
      <c r="G329" s="59" t="e">
        <v>#N/A</v>
      </c>
      <c r="H329" s="74"/>
      <c r="I329" s="74"/>
      <c r="J329" s="83"/>
      <c r="K329" s="61"/>
      <c r="L329" s="62">
        <v>0</v>
      </c>
      <c r="M329" s="63">
        <v>0</v>
      </c>
      <c r="N329" s="64">
        <v>0</v>
      </c>
      <c r="O329" s="62">
        <v>0</v>
      </c>
      <c r="P329" s="65">
        <f t="shared" si="13"/>
        <v>0</v>
      </c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7"/>
      <c r="BF329" s="67"/>
      <c r="BG329" s="68"/>
      <c r="BI329" s="69">
        <v>0</v>
      </c>
      <c r="BJ329" s="70">
        <v>0</v>
      </c>
      <c r="BK329" s="71">
        <v>0</v>
      </c>
      <c r="BL329" s="71">
        <v>0</v>
      </c>
      <c r="BM329" s="71">
        <v>0</v>
      </c>
      <c r="BN329" s="72">
        <v>0</v>
      </c>
      <c r="BO329" s="73"/>
      <c r="BP329" s="73"/>
      <c r="BQ329" s="71">
        <v>0</v>
      </c>
      <c r="BR329" s="71">
        <v>0</v>
      </c>
      <c r="BS329" s="71">
        <v>0</v>
      </c>
      <c r="BT329" s="72">
        <v>0</v>
      </c>
      <c r="BU329" s="73"/>
      <c r="BV329" s="73"/>
    </row>
    <row r="330" ht="30" customHeight="1" spans="1:74">
      <c r="A330" s="55">
        <v>0</v>
      </c>
      <c r="B330" s="56" t="s">
        <v>42</v>
      </c>
      <c r="C330" s="57" t="s">
        <v>43</v>
      </c>
      <c r="D330" s="59" t="s">
        <v>580</v>
      </c>
      <c r="E330" s="59"/>
      <c r="F330" s="59" t="e">
        <f>VLOOKUP(E330,[1]库存!$B$1:$C$65536,2,FALSE)</f>
        <v>#N/A</v>
      </c>
      <c r="G330" s="59" t="e">
        <v>#N/A</v>
      </c>
      <c r="H330" s="59" t="s">
        <v>602</v>
      </c>
      <c r="I330" s="59" t="s">
        <v>549</v>
      </c>
      <c r="J330" s="63" t="s">
        <v>603</v>
      </c>
      <c r="K330" s="61"/>
      <c r="L330" s="62">
        <v>2</v>
      </c>
      <c r="M330" s="63">
        <v>1300</v>
      </c>
      <c r="N330" s="64">
        <v>10</v>
      </c>
      <c r="O330" s="62">
        <v>2</v>
      </c>
      <c r="P330" s="65">
        <f t="shared" si="13"/>
        <v>0</v>
      </c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7"/>
      <c r="BF330" s="67"/>
      <c r="BG330" s="68"/>
      <c r="BI330" s="69">
        <v>0</v>
      </c>
      <c r="BJ330" s="70">
        <v>0</v>
      </c>
      <c r="BK330" s="71">
        <v>0</v>
      </c>
      <c r="BL330" s="71">
        <v>0</v>
      </c>
      <c r="BM330" s="71">
        <v>0</v>
      </c>
      <c r="BN330" s="72">
        <v>0</v>
      </c>
      <c r="BO330" s="73"/>
      <c r="BP330" s="73"/>
      <c r="BQ330" s="71">
        <v>0</v>
      </c>
      <c r="BR330" s="71">
        <v>0</v>
      </c>
      <c r="BS330" s="71">
        <v>0</v>
      </c>
      <c r="BT330" s="72">
        <v>0</v>
      </c>
      <c r="BU330" s="73"/>
      <c r="BV330" s="73"/>
    </row>
    <row r="331" ht="30" customHeight="1" spans="1:74">
      <c r="A331" s="55">
        <v>0</v>
      </c>
      <c r="B331" s="56">
        <v>0</v>
      </c>
      <c r="C331" s="57">
        <v>0</v>
      </c>
      <c r="D331" s="74"/>
      <c r="E331" s="74"/>
      <c r="F331" s="59" t="e">
        <f>VLOOKUP(E331,[1]库存!$B$1:$C$65536,2,FALSE)</f>
        <v>#N/A</v>
      </c>
      <c r="G331" s="59" t="e">
        <v>#N/A</v>
      </c>
      <c r="H331" s="74"/>
      <c r="I331" s="74"/>
      <c r="J331" s="87"/>
      <c r="K331" s="61"/>
      <c r="L331" s="62">
        <v>0</v>
      </c>
      <c r="M331" s="63">
        <v>0</v>
      </c>
      <c r="N331" s="64">
        <v>0</v>
      </c>
      <c r="O331" s="62">
        <v>0</v>
      </c>
      <c r="P331" s="65">
        <f t="shared" si="13"/>
        <v>0</v>
      </c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7"/>
      <c r="BF331" s="67"/>
      <c r="BG331" s="68"/>
      <c r="BI331" s="69">
        <v>0</v>
      </c>
      <c r="BJ331" s="70">
        <v>0</v>
      </c>
      <c r="BK331" s="71">
        <v>0</v>
      </c>
      <c r="BL331" s="71">
        <v>0</v>
      </c>
      <c r="BM331" s="71">
        <v>0</v>
      </c>
      <c r="BN331" s="72">
        <v>0</v>
      </c>
      <c r="BO331" s="73"/>
      <c r="BP331" s="73"/>
      <c r="BQ331" s="71">
        <v>0</v>
      </c>
      <c r="BR331" s="71">
        <v>0</v>
      </c>
      <c r="BS331" s="71">
        <v>0</v>
      </c>
      <c r="BT331" s="72">
        <v>0</v>
      </c>
      <c r="BU331" s="73"/>
      <c r="BV331" s="73"/>
    </row>
    <row r="332" ht="30" customHeight="1" spans="1:74">
      <c r="A332" s="55">
        <v>0</v>
      </c>
      <c r="B332" s="56" t="s">
        <v>42</v>
      </c>
      <c r="C332" s="57" t="s">
        <v>43</v>
      </c>
      <c r="D332" s="59" t="s">
        <v>580</v>
      </c>
      <c r="E332" s="59" t="s">
        <v>604</v>
      </c>
      <c r="F332" s="59" t="str">
        <f>VLOOKUP(E332,[1]库存!$B$1:$C$65536,2,FALSE)</f>
        <v>CHANG AN F102 PAB</v>
      </c>
      <c r="G332" s="59" t="s">
        <v>605</v>
      </c>
      <c r="H332" s="59" t="s">
        <v>606</v>
      </c>
      <c r="I332" s="59" t="s">
        <v>607</v>
      </c>
      <c r="J332" s="82" t="s">
        <v>80</v>
      </c>
      <c r="K332" s="61"/>
      <c r="L332" s="62">
        <v>2</v>
      </c>
      <c r="M332" s="63">
        <v>1100</v>
      </c>
      <c r="N332" s="64">
        <v>10</v>
      </c>
      <c r="O332" s="62">
        <v>2</v>
      </c>
      <c r="P332" s="65">
        <f t="shared" si="13"/>
        <v>0</v>
      </c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7"/>
      <c r="BF332" s="67"/>
      <c r="BG332" s="68"/>
      <c r="BI332" s="69">
        <v>0</v>
      </c>
      <c r="BJ332" s="70">
        <v>0</v>
      </c>
      <c r="BK332" s="71">
        <v>0</v>
      </c>
      <c r="BL332" s="71">
        <v>0</v>
      </c>
      <c r="BM332" s="71">
        <v>0</v>
      </c>
      <c r="BN332" s="72">
        <v>0</v>
      </c>
      <c r="BO332" s="73"/>
      <c r="BP332" s="73"/>
      <c r="BQ332" s="71">
        <v>0</v>
      </c>
      <c r="BR332" s="71">
        <v>0</v>
      </c>
      <c r="BS332" s="71">
        <v>0</v>
      </c>
      <c r="BT332" s="72">
        <v>0</v>
      </c>
      <c r="BU332" s="73"/>
      <c r="BV332" s="73"/>
    </row>
    <row r="333" ht="30" customHeight="1" spans="1:74">
      <c r="A333" s="55">
        <v>0</v>
      </c>
      <c r="B333" s="56">
        <v>0</v>
      </c>
      <c r="C333" s="57">
        <v>0</v>
      </c>
      <c r="D333" s="74"/>
      <c r="E333" s="74"/>
      <c r="F333" s="59" t="e">
        <f>VLOOKUP(E333,[1]库存!$B$1:$C$65536,2,FALSE)</f>
        <v>#N/A</v>
      </c>
      <c r="G333" s="59" t="e">
        <v>#N/A</v>
      </c>
      <c r="H333" s="74"/>
      <c r="I333" s="74"/>
      <c r="J333" s="83"/>
      <c r="K333" s="61"/>
      <c r="L333" s="62">
        <v>0</v>
      </c>
      <c r="M333" s="63">
        <v>0</v>
      </c>
      <c r="N333" s="64">
        <v>0</v>
      </c>
      <c r="O333" s="62">
        <v>0</v>
      </c>
      <c r="P333" s="65">
        <f t="shared" si="13"/>
        <v>0</v>
      </c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7"/>
      <c r="BF333" s="67"/>
      <c r="BG333" s="68"/>
      <c r="BI333" s="69">
        <v>0</v>
      </c>
      <c r="BJ333" s="70">
        <v>0</v>
      </c>
      <c r="BK333" s="71">
        <v>0</v>
      </c>
      <c r="BL333" s="71">
        <v>0</v>
      </c>
      <c r="BM333" s="71">
        <v>0</v>
      </c>
      <c r="BN333" s="72">
        <v>0</v>
      </c>
      <c r="BO333" s="73"/>
      <c r="BP333" s="73"/>
      <c r="BQ333" s="71">
        <v>0</v>
      </c>
      <c r="BR333" s="71">
        <v>0</v>
      </c>
      <c r="BS333" s="71">
        <v>0</v>
      </c>
      <c r="BT333" s="72">
        <v>0</v>
      </c>
      <c r="BU333" s="73"/>
      <c r="BV333" s="73"/>
    </row>
    <row r="334" ht="30" customHeight="1" spans="1:74">
      <c r="A334" s="55" t="s">
        <v>41</v>
      </c>
      <c r="B334" s="56" t="s">
        <v>42</v>
      </c>
      <c r="C334" s="57" t="s">
        <v>43</v>
      </c>
      <c r="D334" s="59" t="s">
        <v>580</v>
      </c>
      <c r="E334" s="59" t="s">
        <v>608</v>
      </c>
      <c r="F334" s="59" t="str">
        <f>VLOOKUP(E334,[1]库存!$B$1:$C$65536,2,FALSE)</f>
        <v>R102 PAB</v>
      </c>
      <c r="G334" s="59" t="s">
        <v>609</v>
      </c>
      <c r="H334" s="59" t="s">
        <v>610</v>
      </c>
      <c r="I334" s="59" t="s">
        <v>584</v>
      </c>
      <c r="J334" s="82" t="s">
        <v>80</v>
      </c>
      <c r="K334" s="61"/>
      <c r="L334" s="62">
        <v>0</v>
      </c>
      <c r="M334" s="63">
        <v>900</v>
      </c>
      <c r="N334" s="64">
        <v>12</v>
      </c>
      <c r="O334" s="62">
        <v>0</v>
      </c>
      <c r="P334" s="65">
        <f t="shared" si="13"/>
        <v>0</v>
      </c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7"/>
      <c r="BF334" s="67"/>
      <c r="BG334" s="68"/>
      <c r="BI334" s="69">
        <v>0</v>
      </c>
      <c r="BJ334" s="70">
        <v>0</v>
      </c>
      <c r="BK334" s="71">
        <v>0</v>
      </c>
      <c r="BL334" s="71">
        <v>0</v>
      </c>
      <c r="BM334" s="71">
        <v>0</v>
      </c>
      <c r="BN334" s="72">
        <v>0</v>
      </c>
      <c r="BO334" s="73"/>
      <c r="BP334" s="73"/>
      <c r="BQ334" s="71">
        <v>0</v>
      </c>
      <c r="BR334" s="71">
        <v>0</v>
      </c>
      <c r="BS334" s="71">
        <v>0</v>
      </c>
      <c r="BT334" s="72">
        <v>0</v>
      </c>
      <c r="BU334" s="73"/>
      <c r="BV334" s="73"/>
    </row>
    <row r="335" ht="30" customHeight="1" spans="1:74">
      <c r="A335" s="55">
        <v>0</v>
      </c>
      <c r="B335" s="56">
        <v>0</v>
      </c>
      <c r="C335" s="57">
        <v>0</v>
      </c>
      <c r="D335" s="74"/>
      <c r="E335" s="74"/>
      <c r="F335" s="59" t="e">
        <f>VLOOKUP(E335,[1]库存!$B$1:$C$65536,2,FALSE)</f>
        <v>#N/A</v>
      </c>
      <c r="G335" s="59" t="e">
        <v>#N/A</v>
      </c>
      <c r="H335" s="74"/>
      <c r="I335" s="74"/>
      <c r="J335" s="83"/>
      <c r="K335" s="61"/>
      <c r="L335" s="62">
        <v>0</v>
      </c>
      <c r="M335" s="63">
        <v>0</v>
      </c>
      <c r="N335" s="64">
        <v>0</v>
      </c>
      <c r="O335" s="62">
        <v>0</v>
      </c>
      <c r="P335" s="65">
        <f t="shared" si="13"/>
        <v>0</v>
      </c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7"/>
      <c r="BF335" s="67"/>
      <c r="BG335" s="68"/>
      <c r="BI335" s="69">
        <v>0</v>
      </c>
      <c r="BJ335" s="70">
        <v>0</v>
      </c>
      <c r="BK335" s="71">
        <v>0</v>
      </c>
      <c r="BL335" s="71">
        <v>0</v>
      </c>
      <c r="BM335" s="71">
        <v>0</v>
      </c>
      <c r="BN335" s="72">
        <v>0</v>
      </c>
      <c r="BO335" s="73"/>
      <c r="BP335" s="73"/>
      <c r="BQ335" s="71">
        <v>0</v>
      </c>
      <c r="BR335" s="71">
        <v>0</v>
      </c>
      <c r="BS335" s="71">
        <v>0</v>
      </c>
      <c r="BT335" s="72">
        <v>0</v>
      </c>
      <c r="BU335" s="73"/>
      <c r="BV335" s="73"/>
    </row>
    <row r="336" ht="30" customHeight="1" spans="1:74">
      <c r="A336" s="55">
        <v>0</v>
      </c>
      <c r="B336" s="56">
        <v>0</v>
      </c>
      <c r="C336" s="57">
        <v>0</v>
      </c>
      <c r="E336" s="88"/>
      <c r="F336" s="59" t="e">
        <f>VLOOKUP(E336,[1]库存!$B$1:$C$65536,2,FALSE)</f>
        <v>#N/A</v>
      </c>
      <c r="G336" s="59" t="e">
        <v>#N/A</v>
      </c>
      <c r="H336" s="89"/>
      <c r="I336" s="88"/>
      <c r="J336" s="90"/>
      <c r="K336" s="61"/>
      <c r="L336" s="62">
        <v>0</v>
      </c>
      <c r="M336" s="63">
        <v>0</v>
      </c>
      <c r="N336" s="64">
        <v>0</v>
      </c>
      <c r="O336" s="62">
        <v>0</v>
      </c>
      <c r="P336" s="65">
        <f t="shared" si="13"/>
        <v>0</v>
      </c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7"/>
      <c r="BF336" s="67"/>
      <c r="BG336" s="68"/>
      <c r="BI336" s="69">
        <v>0</v>
      </c>
      <c r="BJ336" s="70">
        <v>0</v>
      </c>
      <c r="BK336" s="71">
        <v>0</v>
      </c>
      <c r="BL336" s="71">
        <v>0</v>
      </c>
      <c r="BM336" s="71">
        <v>0</v>
      </c>
      <c r="BN336" s="72">
        <v>0</v>
      </c>
      <c r="BO336" s="73"/>
      <c r="BP336" s="73"/>
      <c r="BQ336" s="71">
        <v>0</v>
      </c>
      <c r="BR336" s="71">
        <v>0</v>
      </c>
      <c r="BS336" s="71">
        <v>0</v>
      </c>
      <c r="BT336" s="72">
        <v>0</v>
      </c>
      <c r="BU336" s="73"/>
      <c r="BV336" s="73"/>
    </row>
    <row r="337" ht="30" customHeight="1" spans="1:74">
      <c r="A337" s="55" t="s">
        <v>41</v>
      </c>
      <c r="B337" s="56" t="s">
        <v>42</v>
      </c>
      <c r="C337" s="57" t="s">
        <v>43</v>
      </c>
      <c r="D337" s="91" t="s">
        <v>611</v>
      </c>
      <c r="E337" s="91" t="s">
        <v>612</v>
      </c>
      <c r="F337" s="91" t="str">
        <f>VLOOKUP(E337,[1]库存!$B$1:$C$65536,2,FALSE)</f>
        <v>FC-3AC PAB B状态</v>
      </c>
      <c r="G337" s="91" t="s">
        <v>613</v>
      </c>
      <c r="H337" s="91" t="s">
        <v>614</v>
      </c>
      <c r="I337" s="91" t="s">
        <v>615</v>
      </c>
      <c r="J337" s="64"/>
      <c r="K337" s="61"/>
      <c r="L337" s="62">
        <v>2</v>
      </c>
      <c r="M337" s="63">
        <v>900</v>
      </c>
      <c r="N337" s="64">
        <v>14</v>
      </c>
      <c r="O337" s="62">
        <v>2</v>
      </c>
      <c r="P337" s="65">
        <f t="shared" si="13"/>
        <v>0</v>
      </c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7"/>
      <c r="BF337" s="67"/>
      <c r="BG337" s="68"/>
      <c r="BI337" s="69">
        <v>0</v>
      </c>
      <c r="BJ337" s="70">
        <v>0</v>
      </c>
      <c r="BK337" s="71">
        <v>0</v>
      </c>
      <c r="BL337" s="71">
        <v>0</v>
      </c>
      <c r="BM337" s="71">
        <v>0</v>
      </c>
      <c r="BN337" s="72">
        <v>0</v>
      </c>
      <c r="BO337" s="73"/>
      <c r="BP337" s="73"/>
      <c r="BQ337" s="71">
        <v>0</v>
      </c>
      <c r="BR337" s="71">
        <v>0</v>
      </c>
      <c r="BS337" s="71">
        <v>0</v>
      </c>
      <c r="BT337" s="72">
        <v>0</v>
      </c>
      <c r="BU337" s="73"/>
      <c r="BV337" s="73"/>
    </row>
    <row r="338" ht="30" customHeight="1" spans="1:74">
      <c r="A338" s="55">
        <v>0</v>
      </c>
      <c r="B338" s="56">
        <v>0</v>
      </c>
      <c r="C338" s="57">
        <v>0</v>
      </c>
      <c r="D338" s="92"/>
      <c r="E338" s="92"/>
      <c r="F338" s="91" t="e">
        <f>VLOOKUP(E338,[1]库存!$B$1:$C$65536,2,FALSE)</f>
        <v>#N/A</v>
      </c>
      <c r="G338" s="91" t="e">
        <v>#N/A</v>
      </c>
      <c r="H338" s="92"/>
      <c r="I338" s="92"/>
      <c r="J338" s="93"/>
      <c r="K338" s="61"/>
      <c r="L338" s="62">
        <v>0</v>
      </c>
      <c r="M338" s="63">
        <v>0</v>
      </c>
      <c r="N338" s="64">
        <v>0</v>
      </c>
      <c r="O338" s="62">
        <v>0</v>
      </c>
      <c r="P338" s="65">
        <f t="shared" si="13"/>
        <v>0</v>
      </c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7"/>
      <c r="BF338" s="67"/>
      <c r="BG338" s="68"/>
      <c r="BI338" s="69">
        <v>0</v>
      </c>
      <c r="BJ338" s="70">
        <v>0</v>
      </c>
      <c r="BK338" s="71">
        <v>0</v>
      </c>
      <c r="BL338" s="71">
        <v>0</v>
      </c>
      <c r="BM338" s="71">
        <v>0</v>
      </c>
      <c r="BN338" s="72">
        <v>0</v>
      </c>
      <c r="BO338" s="73"/>
      <c r="BP338" s="73"/>
      <c r="BQ338" s="71">
        <v>0</v>
      </c>
      <c r="BR338" s="71">
        <v>0</v>
      </c>
      <c r="BS338" s="71">
        <v>0</v>
      </c>
      <c r="BT338" s="72">
        <v>0</v>
      </c>
      <c r="BU338" s="73"/>
      <c r="BV338" s="73"/>
    </row>
    <row r="339" ht="30" customHeight="1" spans="1:74">
      <c r="A339" s="55" t="s">
        <v>41</v>
      </c>
      <c r="B339" s="56" t="s">
        <v>42</v>
      </c>
      <c r="C339" s="57" t="s">
        <v>43</v>
      </c>
      <c r="D339" s="59" t="s">
        <v>611</v>
      </c>
      <c r="E339" s="59" t="s">
        <v>616</v>
      </c>
      <c r="F339" s="59" t="str">
        <f>VLOOKUP(E339,[1]库存!$B$1:$C$65536,2,FALSE)</f>
        <v>FE-6 PAB气袋</v>
      </c>
      <c r="G339" s="59" t="s">
        <v>617</v>
      </c>
      <c r="H339" s="59" t="s">
        <v>618</v>
      </c>
      <c r="I339" s="59" t="s">
        <v>619</v>
      </c>
      <c r="J339" s="77" t="s">
        <v>620</v>
      </c>
      <c r="K339" s="61"/>
      <c r="L339" s="62">
        <v>2</v>
      </c>
      <c r="M339" s="63">
        <v>900</v>
      </c>
      <c r="N339" s="64">
        <v>14</v>
      </c>
      <c r="O339" s="62">
        <v>2</v>
      </c>
      <c r="P339" s="65">
        <f t="shared" si="13"/>
        <v>0</v>
      </c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7"/>
      <c r="BF339" s="67"/>
      <c r="BG339" s="68"/>
      <c r="BI339" s="69">
        <v>0</v>
      </c>
      <c r="BJ339" s="70">
        <v>0</v>
      </c>
      <c r="BK339" s="71">
        <v>0</v>
      </c>
      <c r="BL339" s="71">
        <v>0</v>
      </c>
      <c r="BM339" s="71">
        <v>0</v>
      </c>
      <c r="BN339" s="72">
        <v>0</v>
      </c>
      <c r="BO339" s="73"/>
      <c r="BP339" s="73"/>
      <c r="BQ339" s="71">
        <v>0</v>
      </c>
      <c r="BR339" s="71">
        <v>0</v>
      </c>
      <c r="BS339" s="71">
        <v>0</v>
      </c>
      <c r="BT339" s="72">
        <v>0</v>
      </c>
      <c r="BU339" s="73"/>
      <c r="BV339" s="73"/>
    </row>
    <row r="340" ht="30" customHeight="1" spans="1:74">
      <c r="A340" s="55">
        <v>0</v>
      </c>
      <c r="B340" s="56">
        <v>0</v>
      </c>
      <c r="C340" s="57">
        <v>0</v>
      </c>
      <c r="D340" s="74"/>
      <c r="E340" s="74"/>
      <c r="F340" s="59" t="e">
        <f>VLOOKUP(E340,[1]库存!$B$1:$C$65536,2,FALSE)</f>
        <v>#N/A</v>
      </c>
      <c r="G340" s="59" t="e">
        <v>#N/A</v>
      </c>
      <c r="H340" s="74"/>
      <c r="I340" s="74"/>
      <c r="J340" s="79"/>
      <c r="K340" s="61"/>
      <c r="L340" s="62">
        <v>0</v>
      </c>
      <c r="M340" s="63">
        <v>0</v>
      </c>
      <c r="N340" s="64">
        <v>0</v>
      </c>
      <c r="O340" s="62">
        <v>0</v>
      </c>
      <c r="P340" s="65">
        <f t="shared" si="13"/>
        <v>0</v>
      </c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7"/>
      <c r="BF340" s="67"/>
      <c r="BG340" s="68"/>
      <c r="BI340" s="69">
        <v>0</v>
      </c>
      <c r="BJ340" s="70">
        <v>0</v>
      </c>
      <c r="BK340" s="71">
        <v>0</v>
      </c>
      <c r="BL340" s="71">
        <v>0</v>
      </c>
      <c r="BM340" s="71">
        <v>0</v>
      </c>
      <c r="BN340" s="72">
        <v>0</v>
      </c>
      <c r="BO340" s="73"/>
      <c r="BP340" s="73"/>
      <c r="BQ340" s="71">
        <v>0</v>
      </c>
      <c r="BR340" s="71">
        <v>0</v>
      </c>
      <c r="BS340" s="71">
        <v>0</v>
      </c>
      <c r="BT340" s="72">
        <v>0</v>
      </c>
      <c r="BU340" s="73"/>
      <c r="BV340" s="73"/>
    </row>
    <row r="341" ht="30" customHeight="1" spans="1:74">
      <c r="A341" s="55" t="s">
        <v>41</v>
      </c>
      <c r="B341" s="56" t="s">
        <v>42</v>
      </c>
      <c r="C341" s="57" t="s">
        <v>43</v>
      </c>
      <c r="D341" s="59" t="s">
        <v>611</v>
      </c>
      <c r="E341" s="59" t="s">
        <v>621</v>
      </c>
      <c r="F341" s="59" t="str">
        <f>VLOOKUP(E341,[1]库存!$B$1:$C$65536,2,FALSE)</f>
        <v>Geely FE-5A PAB A状态</v>
      </c>
      <c r="G341" s="59" t="s">
        <v>622</v>
      </c>
      <c r="H341" s="59" t="s">
        <v>623</v>
      </c>
      <c r="I341" s="59" t="s">
        <v>615</v>
      </c>
      <c r="J341" s="80" t="s">
        <v>65</v>
      </c>
      <c r="K341" s="61"/>
      <c r="L341" s="62">
        <v>2</v>
      </c>
      <c r="M341" s="63">
        <v>950</v>
      </c>
      <c r="N341" s="64">
        <v>14</v>
      </c>
      <c r="O341" s="62">
        <v>2</v>
      </c>
      <c r="P341" s="65">
        <f t="shared" si="13"/>
        <v>0</v>
      </c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7"/>
      <c r="BF341" s="67"/>
      <c r="BG341" s="68"/>
      <c r="BI341" s="69">
        <v>0</v>
      </c>
      <c r="BJ341" s="70">
        <v>0</v>
      </c>
      <c r="BK341" s="71">
        <v>0</v>
      </c>
      <c r="BL341" s="71">
        <v>0</v>
      </c>
      <c r="BM341" s="71">
        <v>0</v>
      </c>
      <c r="BN341" s="72">
        <v>0</v>
      </c>
      <c r="BO341" s="73"/>
      <c r="BP341" s="73"/>
      <c r="BQ341" s="71">
        <v>0</v>
      </c>
      <c r="BR341" s="71">
        <v>0</v>
      </c>
      <c r="BS341" s="71">
        <v>0</v>
      </c>
      <c r="BT341" s="72">
        <v>0</v>
      </c>
      <c r="BU341" s="73"/>
      <c r="BV341" s="73"/>
    </row>
    <row r="342" ht="30" customHeight="1" spans="1:74">
      <c r="A342" s="55">
        <v>0</v>
      </c>
      <c r="B342" s="56">
        <v>0</v>
      </c>
      <c r="C342" s="57">
        <v>0</v>
      </c>
      <c r="D342" s="74"/>
      <c r="E342" s="74"/>
      <c r="F342" s="59" t="e">
        <f>VLOOKUP(E342,[1]库存!$B$1:$C$65536,2,FALSE)</f>
        <v>#N/A</v>
      </c>
      <c r="G342" s="59" t="e">
        <v>#N/A</v>
      </c>
      <c r="H342" s="74"/>
      <c r="I342" s="74"/>
      <c r="J342" s="81"/>
      <c r="K342" s="61"/>
      <c r="L342" s="62">
        <v>0</v>
      </c>
      <c r="M342" s="63">
        <v>0</v>
      </c>
      <c r="N342" s="64">
        <v>0</v>
      </c>
      <c r="O342" s="62">
        <v>0</v>
      </c>
      <c r="P342" s="65">
        <f t="shared" si="13"/>
        <v>0</v>
      </c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7"/>
      <c r="BF342" s="67"/>
      <c r="BG342" s="68"/>
      <c r="BI342" s="69">
        <v>0</v>
      </c>
      <c r="BJ342" s="70">
        <v>0</v>
      </c>
      <c r="BK342" s="71">
        <v>0</v>
      </c>
      <c r="BL342" s="71">
        <v>0</v>
      </c>
      <c r="BM342" s="71">
        <v>0</v>
      </c>
      <c r="BN342" s="72">
        <v>0</v>
      </c>
      <c r="BO342" s="73"/>
      <c r="BP342" s="73"/>
      <c r="BQ342" s="71">
        <v>0</v>
      </c>
      <c r="BR342" s="71">
        <v>0</v>
      </c>
      <c r="BS342" s="71">
        <v>0</v>
      </c>
      <c r="BT342" s="72">
        <v>0</v>
      </c>
      <c r="BU342" s="73"/>
      <c r="BV342" s="73"/>
    </row>
    <row r="343" ht="30" customHeight="1" spans="1:74">
      <c r="A343" s="55">
        <v>0</v>
      </c>
      <c r="B343" s="56" t="s">
        <v>42</v>
      </c>
      <c r="C343" s="57" t="s">
        <v>43</v>
      </c>
      <c r="D343" s="59" t="s">
        <v>611</v>
      </c>
      <c r="E343" s="59" t="s">
        <v>624</v>
      </c>
      <c r="F343" s="59" t="str">
        <f>VLOOKUP(E343,[1]库存!$B$1:$C$65536,2,FALSE)</f>
        <v>M31T PAB</v>
      </c>
      <c r="G343" s="59" t="s">
        <v>625</v>
      </c>
      <c r="H343" s="59" t="s">
        <v>626</v>
      </c>
      <c r="I343" s="59" t="s">
        <v>627</v>
      </c>
      <c r="J343" s="82" t="s">
        <v>80</v>
      </c>
      <c r="K343" s="61"/>
      <c r="L343" s="62">
        <v>2</v>
      </c>
      <c r="M343" s="63">
        <v>600</v>
      </c>
      <c r="N343" s="64">
        <v>12</v>
      </c>
      <c r="O343" s="62">
        <v>2</v>
      </c>
      <c r="P343" s="65">
        <f t="shared" si="13"/>
        <v>0</v>
      </c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7"/>
      <c r="BF343" s="67"/>
      <c r="BG343" s="68"/>
      <c r="BI343" s="69">
        <v>0</v>
      </c>
      <c r="BJ343" s="70">
        <v>0</v>
      </c>
      <c r="BK343" s="71">
        <v>0</v>
      </c>
      <c r="BL343" s="71">
        <v>0</v>
      </c>
      <c r="BM343" s="71">
        <v>0</v>
      </c>
      <c r="BN343" s="72">
        <v>0</v>
      </c>
      <c r="BO343" s="73"/>
      <c r="BP343" s="73"/>
      <c r="BQ343" s="71">
        <v>0</v>
      </c>
      <c r="BR343" s="71">
        <v>0</v>
      </c>
      <c r="BS343" s="71">
        <v>0</v>
      </c>
      <c r="BT343" s="72">
        <v>0</v>
      </c>
      <c r="BU343" s="73"/>
      <c r="BV343" s="73"/>
    </row>
    <row r="344" ht="30" customHeight="1" spans="1:74">
      <c r="A344" s="55">
        <v>0</v>
      </c>
      <c r="B344" s="56">
        <v>0</v>
      </c>
      <c r="C344" s="57">
        <v>0</v>
      </c>
      <c r="D344" s="74"/>
      <c r="E344" s="74"/>
      <c r="F344" s="59" t="e">
        <f>VLOOKUP(E344,[1]库存!$B$1:$C$65536,2,FALSE)</f>
        <v>#N/A</v>
      </c>
      <c r="G344" s="59" t="e">
        <v>#N/A</v>
      </c>
      <c r="H344" s="74"/>
      <c r="I344" s="74"/>
      <c r="J344" s="83"/>
      <c r="K344" s="61"/>
      <c r="L344" s="62">
        <v>0</v>
      </c>
      <c r="M344" s="63">
        <v>0</v>
      </c>
      <c r="N344" s="64">
        <v>0</v>
      </c>
      <c r="O344" s="62">
        <v>0</v>
      </c>
      <c r="P344" s="65">
        <f t="shared" si="13"/>
        <v>0</v>
      </c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7"/>
      <c r="BF344" s="67"/>
      <c r="BG344" s="68"/>
      <c r="BI344" s="69">
        <v>0</v>
      </c>
      <c r="BJ344" s="70">
        <v>0</v>
      </c>
      <c r="BK344" s="71">
        <v>0</v>
      </c>
      <c r="BL344" s="71">
        <v>0</v>
      </c>
      <c r="BM344" s="71">
        <v>0</v>
      </c>
      <c r="BN344" s="72">
        <v>0</v>
      </c>
      <c r="BO344" s="73"/>
      <c r="BP344" s="73"/>
      <c r="BQ344" s="71">
        <v>0</v>
      </c>
      <c r="BR344" s="71">
        <v>0</v>
      </c>
      <c r="BS344" s="71">
        <v>0</v>
      </c>
      <c r="BT344" s="72">
        <v>0</v>
      </c>
      <c r="BU344" s="73"/>
      <c r="BV344" s="73"/>
    </row>
    <row r="345" ht="30" customHeight="1" spans="1:74">
      <c r="A345" s="55" t="s">
        <v>41</v>
      </c>
      <c r="B345" s="56" t="s">
        <v>42</v>
      </c>
      <c r="C345" s="57" t="s">
        <v>43</v>
      </c>
      <c r="D345" s="59" t="s">
        <v>611</v>
      </c>
      <c r="E345" s="59" t="s">
        <v>628</v>
      </c>
      <c r="F345" s="59" t="str">
        <f>VLOOKUP(E345,[1]库存!$B$1:$C$65536,2,FALSE)</f>
        <v>GEELY E51 PAB</v>
      </c>
      <c r="G345" s="59" t="s">
        <v>629</v>
      </c>
      <c r="H345" s="59" t="s">
        <v>630</v>
      </c>
      <c r="I345" s="59" t="s">
        <v>631</v>
      </c>
      <c r="J345" s="80" t="s">
        <v>65</v>
      </c>
      <c r="K345" s="61"/>
      <c r="L345" s="62">
        <v>2</v>
      </c>
      <c r="M345" s="63">
        <v>750</v>
      </c>
      <c r="N345" s="64">
        <v>13</v>
      </c>
      <c r="O345" s="62">
        <v>2</v>
      </c>
      <c r="P345" s="65">
        <f t="shared" si="13"/>
        <v>0</v>
      </c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7"/>
      <c r="BF345" s="67"/>
      <c r="BG345" s="68"/>
      <c r="BI345" s="69">
        <v>0</v>
      </c>
      <c r="BJ345" s="70">
        <v>0</v>
      </c>
      <c r="BK345" s="71">
        <v>0</v>
      </c>
      <c r="BL345" s="71">
        <v>0</v>
      </c>
      <c r="BM345" s="71">
        <v>0</v>
      </c>
      <c r="BN345" s="72">
        <v>0</v>
      </c>
      <c r="BO345" s="73"/>
      <c r="BP345" s="73"/>
      <c r="BQ345" s="71">
        <v>0</v>
      </c>
      <c r="BR345" s="71">
        <v>0</v>
      </c>
      <c r="BS345" s="71">
        <v>0</v>
      </c>
      <c r="BT345" s="72">
        <v>0</v>
      </c>
      <c r="BU345" s="73"/>
      <c r="BV345" s="73"/>
    </row>
    <row r="346" ht="30" customHeight="1" spans="1:74">
      <c r="A346" s="55">
        <v>0</v>
      </c>
      <c r="B346" s="56">
        <v>0</v>
      </c>
      <c r="C346" s="57">
        <v>0</v>
      </c>
      <c r="D346" s="74"/>
      <c r="E346" s="74"/>
      <c r="F346" s="59" t="e">
        <f>VLOOKUP(E346,[1]库存!$B$1:$C$65536,2,FALSE)</f>
        <v>#N/A</v>
      </c>
      <c r="G346" s="59" t="e">
        <v>#N/A</v>
      </c>
      <c r="H346" s="74"/>
      <c r="I346" s="74"/>
      <c r="J346" s="81"/>
      <c r="K346" s="61"/>
      <c r="L346" s="62">
        <v>0</v>
      </c>
      <c r="M346" s="63">
        <v>0</v>
      </c>
      <c r="N346" s="64">
        <v>0</v>
      </c>
      <c r="O346" s="62">
        <v>0</v>
      </c>
      <c r="P346" s="65">
        <f t="shared" si="13"/>
        <v>0</v>
      </c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7"/>
      <c r="BF346" s="67"/>
      <c r="BG346" s="68"/>
      <c r="BI346" s="69">
        <v>0</v>
      </c>
      <c r="BJ346" s="70">
        <v>0</v>
      </c>
      <c r="BK346" s="71">
        <v>0</v>
      </c>
      <c r="BL346" s="71">
        <v>0</v>
      </c>
      <c r="BM346" s="71">
        <v>0</v>
      </c>
      <c r="BN346" s="72">
        <v>0</v>
      </c>
      <c r="BO346" s="73"/>
      <c r="BP346" s="73"/>
      <c r="BQ346" s="71">
        <v>0</v>
      </c>
      <c r="BR346" s="71">
        <v>0</v>
      </c>
      <c r="BS346" s="71">
        <v>0</v>
      </c>
      <c r="BT346" s="72">
        <v>0</v>
      </c>
      <c r="BU346" s="73"/>
      <c r="BV346" s="73"/>
    </row>
    <row r="347" ht="30" customHeight="1" spans="1:74">
      <c r="A347" s="55">
        <v>0</v>
      </c>
      <c r="B347" s="56">
        <v>0</v>
      </c>
      <c r="C347" s="57">
        <v>0</v>
      </c>
      <c r="E347" s="88"/>
      <c r="F347" s="59" t="e">
        <f>VLOOKUP(E347,[1]库存!$B$1:$C$65536,2,FALSE)</f>
        <v>#N/A</v>
      </c>
      <c r="G347" s="59" t="e">
        <v>#N/A</v>
      </c>
      <c r="H347" s="89"/>
      <c r="I347" s="88"/>
      <c r="J347" s="90"/>
      <c r="K347" s="61"/>
      <c r="L347" s="62">
        <v>0</v>
      </c>
      <c r="M347" s="63">
        <v>0</v>
      </c>
      <c r="N347" s="64">
        <v>0</v>
      </c>
      <c r="O347" s="62">
        <v>0</v>
      </c>
      <c r="P347" s="65">
        <f t="shared" si="13"/>
        <v>0</v>
      </c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7"/>
      <c r="BF347" s="67"/>
      <c r="BG347" s="68"/>
      <c r="BI347" s="69">
        <v>0</v>
      </c>
      <c r="BJ347" s="70">
        <v>0</v>
      </c>
      <c r="BK347" s="71">
        <v>0</v>
      </c>
      <c r="BL347" s="71">
        <v>0</v>
      </c>
      <c r="BM347" s="71">
        <v>0</v>
      </c>
      <c r="BN347" s="72">
        <v>0</v>
      </c>
      <c r="BO347" s="73"/>
      <c r="BP347" s="73"/>
      <c r="BQ347" s="71">
        <v>0</v>
      </c>
      <c r="BR347" s="71">
        <v>0</v>
      </c>
      <c r="BS347" s="71">
        <v>0</v>
      </c>
      <c r="BT347" s="72">
        <v>0</v>
      </c>
      <c r="BU347" s="73"/>
      <c r="BV347" s="73"/>
    </row>
    <row r="348" ht="30" customHeight="1" spans="1:74">
      <c r="A348" s="55">
        <v>0</v>
      </c>
      <c r="B348" s="56" t="s">
        <v>42</v>
      </c>
      <c r="C348" s="57" t="s">
        <v>43</v>
      </c>
      <c r="D348" s="59" t="s">
        <v>632</v>
      </c>
      <c r="E348" s="59" t="s">
        <v>633</v>
      </c>
      <c r="F348" s="59" t="str">
        <f>VLOOKUP(E348,[1]库存!$B$1:$C$65536,2,FALSE)</f>
        <v>EM2EU SAB LH A状态</v>
      </c>
      <c r="G348" s="59" t="s">
        <v>634</v>
      </c>
      <c r="H348" s="59" t="s">
        <v>635</v>
      </c>
      <c r="I348" s="59" t="s">
        <v>636</v>
      </c>
      <c r="J348" s="94" t="s">
        <v>65</v>
      </c>
      <c r="K348" s="61"/>
      <c r="L348" s="62">
        <v>2</v>
      </c>
      <c r="M348" s="63">
        <v>1300</v>
      </c>
      <c r="N348" s="64">
        <v>12</v>
      </c>
      <c r="O348" s="62">
        <v>2</v>
      </c>
      <c r="P348" s="65">
        <f t="shared" si="13"/>
        <v>0</v>
      </c>
      <c r="Q348" s="66">
        <v>540</v>
      </c>
      <c r="R348" s="66"/>
      <c r="S348" s="66"/>
      <c r="T348" s="66"/>
      <c r="U348" s="66"/>
      <c r="V348" s="66"/>
      <c r="W348" s="66"/>
      <c r="X348" s="67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7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7"/>
      <c r="BA348" s="66"/>
      <c r="BB348" s="66"/>
      <c r="BC348" s="66"/>
      <c r="BD348" s="66"/>
      <c r="BE348" s="67"/>
      <c r="BF348" s="67"/>
      <c r="BG348" s="68"/>
      <c r="BI348" s="69">
        <v>0</v>
      </c>
      <c r="BJ348" s="70">
        <v>0</v>
      </c>
      <c r="BK348" s="71">
        <v>0</v>
      </c>
      <c r="BL348" s="71">
        <v>0</v>
      </c>
      <c r="BM348" s="71">
        <v>0</v>
      </c>
      <c r="BN348" s="72">
        <v>0</v>
      </c>
      <c r="BO348" s="73"/>
      <c r="BP348" s="73"/>
      <c r="BQ348" s="71">
        <v>0</v>
      </c>
      <c r="BR348" s="71">
        <v>0</v>
      </c>
      <c r="BS348" s="71">
        <v>0</v>
      </c>
      <c r="BT348" s="72">
        <v>0</v>
      </c>
      <c r="BU348" s="73"/>
      <c r="BV348" s="73"/>
    </row>
    <row r="349" ht="30" customHeight="1" spans="1:74">
      <c r="A349" s="55">
        <v>0</v>
      </c>
      <c r="B349" s="56">
        <v>0</v>
      </c>
      <c r="C349" s="57">
        <v>0</v>
      </c>
      <c r="D349" s="74"/>
      <c r="E349" s="74"/>
      <c r="F349" s="59" t="e">
        <f>VLOOKUP(E349,[1]库存!$B$1:$C$65536,2,FALSE)</f>
        <v>#N/A</v>
      </c>
      <c r="G349" s="59" t="e">
        <v>#N/A</v>
      </c>
      <c r="H349" s="74"/>
      <c r="I349" s="74"/>
      <c r="J349" s="95"/>
      <c r="K349" s="61"/>
      <c r="L349" s="62">
        <v>0</v>
      </c>
      <c r="M349" s="63">
        <v>0</v>
      </c>
      <c r="N349" s="64">
        <v>0</v>
      </c>
      <c r="O349" s="62">
        <v>0</v>
      </c>
      <c r="P349" s="65">
        <f t="shared" si="13"/>
        <v>0</v>
      </c>
      <c r="Q349" s="66" t="s">
        <v>637</v>
      </c>
      <c r="R349" s="66"/>
      <c r="S349" s="66"/>
      <c r="T349" s="66"/>
      <c r="U349" s="66"/>
      <c r="V349" s="66"/>
      <c r="W349" s="66"/>
      <c r="X349" s="67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7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7"/>
      <c r="BA349" s="66"/>
      <c r="BB349" s="66"/>
      <c r="BC349" s="66"/>
      <c r="BD349" s="66"/>
      <c r="BE349" s="67"/>
      <c r="BF349" s="67"/>
      <c r="BG349" s="68"/>
      <c r="BI349" s="69">
        <v>0</v>
      </c>
      <c r="BJ349" s="70">
        <v>0</v>
      </c>
      <c r="BK349" s="71">
        <v>0</v>
      </c>
      <c r="BL349" s="71">
        <v>0</v>
      </c>
      <c r="BM349" s="71">
        <v>0</v>
      </c>
      <c r="BN349" s="72">
        <v>0</v>
      </c>
      <c r="BO349" s="73"/>
      <c r="BP349" s="73"/>
      <c r="BQ349" s="71">
        <v>0</v>
      </c>
      <c r="BR349" s="71">
        <v>0</v>
      </c>
      <c r="BS349" s="71">
        <v>0</v>
      </c>
      <c r="BT349" s="72">
        <v>0</v>
      </c>
      <c r="BU349" s="73"/>
      <c r="BV349" s="73"/>
    </row>
    <row r="350" ht="30" customHeight="1" spans="1:74">
      <c r="A350" s="55">
        <v>0</v>
      </c>
      <c r="B350" s="56" t="s">
        <v>42</v>
      </c>
      <c r="C350" s="57" t="s">
        <v>43</v>
      </c>
      <c r="D350" s="59" t="s">
        <v>632</v>
      </c>
      <c r="E350" s="59" t="s">
        <v>638</v>
      </c>
      <c r="F350" s="59" t="str">
        <f>VLOOKUP(E350,[1]库存!$B$1:$C$65536,2,FALSE)</f>
        <v>EM2EU SAB RH A状态</v>
      </c>
      <c r="G350" s="59" t="s">
        <v>639</v>
      </c>
      <c r="H350" s="59" t="s">
        <v>640</v>
      </c>
      <c r="I350" s="59" t="s">
        <v>636</v>
      </c>
      <c r="J350" s="94" t="s">
        <v>65</v>
      </c>
      <c r="K350" s="61"/>
      <c r="L350" s="62">
        <v>2</v>
      </c>
      <c r="M350" s="63">
        <v>1300</v>
      </c>
      <c r="N350" s="64">
        <v>12</v>
      </c>
      <c r="O350" s="62">
        <v>2</v>
      </c>
      <c r="P350" s="65">
        <f t="shared" si="13"/>
        <v>0</v>
      </c>
      <c r="Q350" s="66">
        <v>600</v>
      </c>
      <c r="R350" s="66"/>
      <c r="S350" s="66"/>
      <c r="T350" s="66"/>
      <c r="U350" s="66"/>
      <c r="V350" s="66"/>
      <c r="W350" s="66"/>
      <c r="X350" s="67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7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7"/>
      <c r="BA350" s="66"/>
      <c r="BB350" s="66"/>
      <c r="BC350" s="66"/>
      <c r="BD350" s="66"/>
      <c r="BE350" s="67"/>
      <c r="BF350" s="67"/>
      <c r="BG350" s="68"/>
      <c r="BI350" s="69">
        <v>0</v>
      </c>
      <c r="BJ350" s="70">
        <v>0</v>
      </c>
      <c r="BK350" s="71">
        <v>0</v>
      </c>
      <c r="BL350" s="71">
        <v>0</v>
      </c>
      <c r="BM350" s="71">
        <v>0</v>
      </c>
      <c r="BN350" s="72">
        <v>0</v>
      </c>
      <c r="BO350" s="73"/>
      <c r="BP350" s="73"/>
      <c r="BQ350" s="71">
        <v>0</v>
      </c>
      <c r="BR350" s="71">
        <v>0</v>
      </c>
      <c r="BS350" s="71">
        <v>0</v>
      </c>
      <c r="BT350" s="72">
        <v>0</v>
      </c>
      <c r="BU350" s="73"/>
      <c r="BV350" s="73"/>
    </row>
    <row r="351" ht="30" customHeight="1" spans="1:74">
      <c r="A351" s="55">
        <v>0</v>
      </c>
      <c r="B351" s="56">
        <v>0</v>
      </c>
      <c r="C351" s="57">
        <v>0</v>
      </c>
      <c r="D351" s="74"/>
      <c r="E351" s="74"/>
      <c r="F351" s="59" t="e">
        <f>VLOOKUP(E351,[1]库存!$B$1:$C$65536,2,FALSE)</f>
        <v>#N/A</v>
      </c>
      <c r="G351" s="59" t="e">
        <v>#N/A</v>
      </c>
      <c r="H351" s="74"/>
      <c r="I351" s="74"/>
      <c r="J351" s="95"/>
      <c r="K351" s="61"/>
      <c r="L351" s="62">
        <v>0</v>
      </c>
      <c r="M351" s="63">
        <v>0</v>
      </c>
      <c r="N351" s="64">
        <v>0</v>
      </c>
      <c r="O351" s="62">
        <v>0</v>
      </c>
      <c r="P351" s="65">
        <f t="shared" si="13"/>
        <v>0</v>
      </c>
      <c r="Q351" s="66" t="s">
        <v>641</v>
      </c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7"/>
      <c r="BF351" s="67"/>
      <c r="BG351" s="68"/>
      <c r="BI351" s="69">
        <v>0</v>
      </c>
      <c r="BJ351" s="70">
        <v>0</v>
      </c>
      <c r="BK351" s="71">
        <v>0</v>
      </c>
      <c r="BL351" s="71">
        <v>0</v>
      </c>
      <c r="BM351" s="71">
        <v>0</v>
      </c>
      <c r="BN351" s="72">
        <v>0</v>
      </c>
      <c r="BO351" s="73"/>
      <c r="BP351" s="73"/>
      <c r="BQ351" s="71">
        <v>0</v>
      </c>
      <c r="BR351" s="71">
        <v>0</v>
      </c>
      <c r="BS351" s="71">
        <v>0</v>
      </c>
      <c r="BT351" s="72">
        <v>0</v>
      </c>
      <c r="BU351" s="73"/>
      <c r="BV351" s="73"/>
    </row>
    <row r="352" ht="30" customHeight="1" spans="1:74">
      <c r="A352" s="55">
        <v>0</v>
      </c>
      <c r="B352" s="56" t="s">
        <v>42</v>
      </c>
      <c r="C352" s="57" t="s">
        <v>43</v>
      </c>
      <c r="D352" s="113" t="s">
        <v>632</v>
      </c>
      <c r="E352" s="113" t="s">
        <v>633</v>
      </c>
      <c r="F352" s="113" t="s">
        <v>642</v>
      </c>
      <c r="G352" s="309" t="s">
        <v>643</v>
      </c>
      <c r="H352" s="113" t="s">
        <v>644</v>
      </c>
      <c r="I352" s="113"/>
      <c r="J352" s="94" t="s">
        <v>65</v>
      </c>
      <c r="K352" s="61"/>
      <c r="L352" s="62">
        <v>2</v>
      </c>
      <c r="M352" s="63">
        <v>1300</v>
      </c>
      <c r="N352" s="64">
        <v>11</v>
      </c>
      <c r="O352" s="62">
        <v>2</v>
      </c>
      <c r="P352" s="65">
        <f t="shared" si="13"/>
        <v>0</v>
      </c>
      <c r="Q352" s="66"/>
      <c r="R352" s="66"/>
      <c r="S352" s="66"/>
      <c r="T352" s="66"/>
      <c r="U352" s="66"/>
      <c r="V352" s="66"/>
      <c r="W352" s="66"/>
      <c r="X352" s="67"/>
      <c r="Y352" s="66"/>
      <c r="Z352" s="66"/>
      <c r="AA352" s="66"/>
      <c r="AB352" s="66"/>
      <c r="AC352" s="66"/>
      <c r="AD352" s="66"/>
      <c r="AE352" s="66"/>
      <c r="AF352" s="66"/>
      <c r="AG352" s="66"/>
      <c r="AH352" s="67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7"/>
      <c r="BF352" s="67"/>
      <c r="BG352" s="68"/>
      <c r="BI352" s="69">
        <v>0</v>
      </c>
      <c r="BJ352" s="70">
        <v>0</v>
      </c>
      <c r="BK352" s="71">
        <v>0</v>
      </c>
      <c r="BL352" s="71">
        <v>0</v>
      </c>
      <c r="BM352" s="71">
        <v>0</v>
      </c>
      <c r="BN352" s="72">
        <v>0</v>
      </c>
      <c r="BO352" s="73"/>
      <c r="BP352" s="73"/>
      <c r="BQ352" s="71">
        <v>0</v>
      </c>
      <c r="BR352" s="71">
        <v>0</v>
      </c>
      <c r="BS352" s="71">
        <v>0</v>
      </c>
      <c r="BT352" s="72">
        <v>0</v>
      </c>
      <c r="BU352" s="73"/>
      <c r="BV352" s="73"/>
    </row>
    <row r="353" ht="30" customHeight="1" spans="1:74">
      <c r="A353" s="55">
        <v>0</v>
      </c>
      <c r="B353" s="56">
        <v>0</v>
      </c>
      <c r="C353" s="57">
        <v>0</v>
      </c>
      <c r="D353" s="127"/>
      <c r="E353" s="127"/>
      <c r="F353" s="113" t="e">
        <f>VLOOKUP(E353,[1]库存!$B$1:$C$65536,2,FALSE)</f>
        <v>#N/A</v>
      </c>
      <c r="G353" s="113" t="e">
        <v>#N/A</v>
      </c>
      <c r="H353" s="127"/>
      <c r="I353" s="127"/>
      <c r="J353" s="95"/>
      <c r="K353" s="61"/>
      <c r="L353" s="62">
        <v>0</v>
      </c>
      <c r="M353" s="63">
        <v>0</v>
      </c>
      <c r="N353" s="64">
        <v>0</v>
      </c>
      <c r="O353" s="62">
        <v>0</v>
      </c>
      <c r="P353" s="65">
        <f t="shared" si="13"/>
        <v>0</v>
      </c>
      <c r="Q353" s="66"/>
      <c r="R353" s="66"/>
      <c r="S353" s="66"/>
      <c r="T353" s="66"/>
      <c r="U353" s="66"/>
      <c r="V353" s="66"/>
      <c r="W353" s="66"/>
      <c r="X353" s="67"/>
      <c r="Y353" s="66"/>
      <c r="Z353" s="66"/>
      <c r="AA353" s="66"/>
      <c r="AB353" s="66"/>
      <c r="AC353" s="66"/>
      <c r="AD353" s="66"/>
      <c r="AE353" s="66"/>
      <c r="AF353" s="66"/>
      <c r="AG353" s="66"/>
      <c r="AH353" s="67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7"/>
      <c r="BF353" s="67"/>
      <c r="BG353" s="68"/>
      <c r="BI353" s="69">
        <v>0</v>
      </c>
      <c r="BJ353" s="70">
        <v>0</v>
      </c>
      <c r="BK353" s="71">
        <v>0</v>
      </c>
      <c r="BL353" s="71">
        <v>0</v>
      </c>
      <c r="BM353" s="71">
        <v>0</v>
      </c>
      <c r="BN353" s="72">
        <v>0</v>
      </c>
      <c r="BO353" s="73"/>
      <c r="BP353" s="73"/>
      <c r="BQ353" s="71">
        <v>0</v>
      </c>
      <c r="BR353" s="71">
        <v>0</v>
      </c>
      <c r="BS353" s="71">
        <v>0</v>
      </c>
      <c r="BT353" s="72">
        <v>0</v>
      </c>
      <c r="BU353" s="73"/>
      <c r="BV353" s="73"/>
    </row>
    <row r="354" ht="30" customHeight="1" spans="1:74">
      <c r="A354" s="55">
        <v>0</v>
      </c>
      <c r="B354" s="56" t="s">
        <v>42</v>
      </c>
      <c r="C354" s="57" t="s">
        <v>43</v>
      </c>
      <c r="D354" s="113" t="s">
        <v>632</v>
      </c>
      <c r="E354" s="113" t="s">
        <v>638</v>
      </c>
      <c r="F354" s="113" t="s">
        <v>645</v>
      </c>
      <c r="G354" s="309" t="s">
        <v>646</v>
      </c>
      <c r="H354" s="113" t="s">
        <v>647</v>
      </c>
      <c r="I354" s="113"/>
      <c r="J354" s="94" t="s">
        <v>65</v>
      </c>
      <c r="K354" s="61"/>
      <c r="L354" s="62">
        <v>2</v>
      </c>
      <c r="M354" s="63">
        <v>1300</v>
      </c>
      <c r="N354" s="64">
        <v>11</v>
      </c>
      <c r="O354" s="62">
        <v>2</v>
      </c>
      <c r="P354" s="65">
        <f t="shared" si="13"/>
        <v>0</v>
      </c>
      <c r="Q354" s="66"/>
      <c r="R354" s="66"/>
      <c r="S354" s="66"/>
      <c r="T354" s="66"/>
      <c r="U354" s="66"/>
      <c r="V354" s="66"/>
      <c r="W354" s="66"/>
      <c r="X354" s="67"/>
      <c r="Y354" s="66"/>
      <c r="Z354" s="66"/>
      <c r="AA354" s="66"/>
      <c r="AB354" s="66"/>
      <c r="AC354" s="66"/>
      <c r="AD354" s="66"/>
      <c r="AE354" s="66"/>
      <c r="AF354" s="66"/>
      <c r="AG354" s="66"/>
      <c r="AH354" s="67"/>
      <c r="AI354" s="66"/>
      <c r="AJ354" s="66"/>
      <c r="AK354" s="96"/>
      <c r="AL354" s="66"/>
      <c r="AM354" s="9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7"/>
      <c r="BF354" s="67"/>
      <c r="BG354" s="68"/>
      <c r="BI354" s="69">
        <v>0</v>
      </c>
      <c r="BJ354" s="70">
        <v>0</v>
      </c>
      <c r="BK354" s="71">
        <v>0</v>
      </c>
      <c r="BL354" s="71">
        <v>0</v>
      </c>
      <c r="BM354" s="71">
        <v>0</v>
      </c>
      <c r="BN354" s="72">
        <v>0</v>
      </c>
      <c r="BO354" s="73"/>
      <c r="BP354" s="73"/>
      <c r="BQ354" s="71">
        <v>0</v>
      </c>
      <c r="BR354" s="71">
        <v>0</v>
      </c>
      <c r="BS354" s="71">
        <v>0</v>
      </c>
      <c r="BT354" s="72">
        <v>0</v>
      </c>
      <c r="BU354" s="73"/>
      <c r="BV354" s="73"/>
    </row>
    <row r="355" ht="30" customHeight="1" spans="1:74">
      <c r="A355" s="55">
        <v>0</v>
      </c>
      <c r="B355" s="56">
        <v>0</v>
      </c>
      <c r="C355" s="57">
        <v>0</v>
      </c>
      <c r="D355" s="127"/>
      <c r="E355" s="127"/>
      <c r="F355" s="113" t="e">
        <f>VLOOKUP(E355,[1]库存!$B$1:$C$65536,2,FALSE)</f>
        <v>#N/A</v>
      </c>
      <c r="G355" s="113" t="e">
        <v>#N/A</v>
      </c>
      <c r="H355" s="127"/>
      <c r="I355" s="127"/>
      <c r="J355" s="95"/>
      <c r="K355" s="61"/>
      <c r="L355" s="62">
        <v>0</v>
      </c>
      <c r="M355" s="63">
        <v>0</v>
      </c>
      <c r="N355" s="64">
        <v>0</v>
      </c>
      <c r="O355" s="62">
        <v>0</v>
      </c>
      <c r="P355" s="65">
        <f t="shared" si="13"/>
        <v>0</v>
      </c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7"/>
      <c r="BF355" s="67"/>
      <c r="BG355" s="68"/>
      <c r="BI355" s="69">
        <v>0</v>
      </c>
      <c r="BJ355" s="70">
        <v>0</v>
      </c>
      <c r="BK355" s="71">
        <v>0</v>
      </c>
      <c r="BL355" s="71">
        <v>0</v>
      </c>
      <c r="BM355" s="71">
        <v>0</v>
      </c>
      <c r="BN355" s="72">
        <v>0</v>
      </c>
      <c r="BO355" s="73"/>
      <c r="BP355" s="73"/>
      <c r="BQ355" s="71">
        <v>0</v>
      </c>
      <c r="BR355" s="71">
        <v>0</v>
      </c>
      <c r="BS355" s="71">
        <v>0</v>
      </c>
      <c r="BT355" s="72">
        <v>0</v>
      </c>
      <c r="BU355" s="73"/>
      <c r="BV355" s="73"/>
    </row>
    <row r="356" ht="30" customHeight="1" spans="1:74">
      <c r="A356" s="55" t="s">
        <v>211</v>
      </c>
      <c r="B356" s="56" t="s">
        <v>42</v>
      </c>
      <c r="C356" s="57" t="s">
        <v>43</v>
      </c>
      <c r="D356" s="59" t="s">
        <v>632</v>
      </c>
      <c r="E356" s="59" t="s">
        <v>648</v>
      </c>
      <c r="F356" s="59" t="str">
        <f>VLOOKUP(E356,[1]库存!$B$1:$C$65536,2,FALSE)</f>
        <v>SGHA SAB LH</v>
      </c>
      <c r="G356" s="59" t="s">
        <v>649</v>
      </c>
      <c r="H356" s="59" t="s">
        <v>650</v>
      </c>
      <c r="I356" s="59" t="s">
        <v>651</v>
      </c>
      <c r="J356" s="80" t="s">
        <v>65</v>
      </c>
      <c r="K356" s="61"/>
      <c r="L356" s="62">
        <v>2</v>
      </c>
      <c r="M356" s="117">
        <v>600</v>
      </c>
      <c r="N356" s="64">
        <v>9</v>
      </c>
      <c r="O356" s="62">
        <v>4</v>
      </c>
      <c r="P356" s="65">
        <f t="shared" si="13"/>
        <v>0</v>
      </c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7"/>
      <c r="BF356" s="67"/>
      <c r="BG356" s="68"/>
      <c r="BI356" s="69">
        <v>0</v>
      </c>
      <c r="BJ356" s="70">
        <v>0</v>
      </c>
      <c r="BK356" s="71">
        <v>0</v>
      </c>
      <c r="BL356" s="71">
        <v>0</v>
      </c>
      <c r="BM356" s="71">
        <v>0</v>
      </c>
      <c r="BN356" s="72">
        <v>0</v>
      </c>
      <c r="BO356" s="73"/>
      <c r="BP356" s="73"/>
      <c r="BQ356" s="71">
        <v>0</v>
      </c>
      <c r="BR356" s="71">
        <v>0</v>
      </c>
      <c r="BS356" s="71">
        <v>0</v>
      </c>
      <c r="BT356" s="72">
        <v>0</v>
      </c>
      <c r="BU356" s="73"/>
      <c r="BV356" s="73"/>
    </row>
    <row r="357" ht="30" customHeight="1" spans="1:74">
      <c r="A357" s="55">
        <v>0</v>
      </c>
      <c r="B357" s="56">
        <v>0</v>
      </c>
      <c r="C357" s="57">
        <v>0</v>
      </c>
      <c r="D357" s="74"/>
      <c r="E357" s="74"/>
      <c r="F357" s="59" t="e">
        <f>VLOOKUP(E357,[1]库存!$B$1:$C$65536,2,FALSE)</f>
        <v>#N/A</v>
      </c>
      <c r="G357" s="59" t="e">
        <v>#N/A</v>
      </c>
      <c r="H357" s="74"/>
      <c r="I357" s="74"/>
      <c r="J357" s="81"/>
      <c r="K357" s="61"/>
      <c r="L357" s="62">
        <v>0</v>
      </c>
      <c r="M357" s="63">
        <v>0</v>
      </c>
      <c r="N357" s="64">
        <v>0</v>
      </c>
      <c r="O357" s="62">
        <v>0</v>
      </c>
      <c r="P357" s="65">
        <f t="shared" si="13"/>
        <v>0</v>
      </c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7"/>
      <c r="BF357" s="67"/>
      <c r="BG357" s="68"/>
      <c r="BI357" s="69">
        <v>0</v>
      </c>
      <c r="BJ357" s="70">
        <v>0</v>
      </c>
      <c r="BK357" s="71">
        <v>0</v>
      </c>
      <c r="BL357" s="71">
        <v>0</v>
      </c>
      <c r="BM357" s="71">
        <v>0</v>
      </c>
      <c r="BN357" s="72">
        <v>0</v>
      </c>
      <c r="BO357" s="73"/>
      <c r="BP357" s="73"/>
      <c r="BQ357" s="71">
        <v>0</v>
      </c>
      <c r="BR357" s="71">
        <v>0</v>
      </c>
      <c r="BS357" s="71">
        <v>0</v>
      </c>
      <c r="BT357" s="72">
        <v>0</v>
      </c>
      <c r="BU357" s="73"/>
      <c r="BV357" s="73"/>
    </row>
    <row r="358" ht="30" customHeight="1" spans="1:74">
      <c r="A358" s="55" t="s">
        <v>211</v>
      </c>
      <c r="B358" s="56" t="s">
        <v>42</v>
      </c>
      <c r="C358" s="57" t="s">
        <v>43</v>
      </c>
      <c r="D358" s="59" t="s">
        <v>632</v>
      </c>
      <c r="E358" s="59" t="s">
        <v>652</v>
      </c>
      <c r="F358" s="59" t="str">
        <f>VLOOKUP(E358,[1]库存!$B$1:$C$65536,2,FALSE)</f>
        <v>SGHA SAB RH</v>
      </c>
      <c r="G358" s="59" t="s">
        <v>653</v>
      </c>
      <c r="H358" s="59" t="s">
        <v>654</v>
      </c>
      <c r="I358" s="59" t="s">
        <v>651</v>
      </c>
      <c r="J358" s="80" t="s">
        <v>65</v>
      </c>
      <c r="K358" s="61"/>
      <c r="L358" s="62">
        <v>2</v>
      </c>
      <c r="M358" s="117">
        <v>600</v>
      </c>
      <c r="N358" s="64">
        <v>9</v>
      </c>
      <c r="O358" s="62">
        <v>4</v>
      </c>
      <c r="P358" s="65">
        <f t="shared" si="13"/>
        <v>0</v>
      </c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7"/>
      <c r="BF358" s="67"/>
      <c r="BG358" s="68"/>
      <c r="BI358" s="69">
        <v>0</v>
      </c>
      <c r="BJ358" s="70">
        <v>0</v>
      </c>
      <c r="BK358" s="71">
        <v>0</v>
      </c>
      <c r="BL358" s="71">
        <v>0</v>
      </c>
      <c r="BM358" s="71">
        <v>0</v>
      </c>
      <c r="BN358" s="72">
        <v>0</v>
      </c>
      <c r="BO358" s="73"/>
      <c r="BP358" s="73"/>
      <c r="BQ358" s="71">
        <v>0</v>
      </c>
      <c r="BR358" s="71">
        <v>0</v>
      </c>
      <c r="BS358" s="71">
        <v>0</v>
      </c>
      <c r="BT358" s="72">
        <v>0</v>
      </c>
      <c r="BU358" s="73"/>
      <c r="BV358" s="73"/>
    </row>
    <row r="359" ht="30" customHeight="1" spans="1:74">
      <c r="A359" s="55">
        <v>0</v>
      </c>
      <c r="B359" s="56">
        <v>0</v>
      </c>
      <c r="C359" s="57">
        <v>0</v>
      </c>
      <c r="D359" s="74"/>
      <c r="E359" s="74"/>
      <c r="F359" s="59" t="e">
        <f>VLOOKUP(E359,[1]库存!$B$1:$C$65536,2,FALSE)</f>
        <v>#N/A</v>
      </c>
      <c r="G359" s="59" t="e">
        <v>#N/A</v>
      </c>
      <c r="H359" s="74"/>
      <c r="I359" s="74"/>
      <c r="J359" s="81"/>
      <c r="K359" s="61"/>
      <c r="L359" s="62">
        <v>0</v>
      </c>
      <c r="M359" s="63">
        <v>0</v>
      </c>
      <c r="N359" s="64">
        <v>0</v>
      </c>
      <c r="O359" s="62">
        <v>0</v>
      </c>
      <c r="P359" s="65">
        <f t="shared" si="13"/>
        <v>0</v>
      </c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7"/>
      <c r="BF359" s="67"/>
      <c r="BG359" s="68"/>
      <c r="BI359" s="69">
        <v>0</v>
      </c>
      <c r="BJ359" s="70">
        <v>0</v>
      </c>
      <c r="BK359" s="71">
        <v>0</v>
      </c>
      <c r="BL359" s="71">
        <v>0</v>
      </c>
      <c r="BM359" s="71">
        <v>0</v>
      </c>
      <c r="BN359" s="72">
        <v>0</v>
      </c>
      <c r="BO359" s="73"/>
      <c r="BP359" s="73"/>
      <c r="BQ359" s="71">
        <v>0</v>
      </c>
      <c r="BR359" s="71">
        <v>0</v>
      </c>
      <c r="BS359" s="71">
        <v>0</v>
      </c>
      <c r="BT359" s="72">
        <v>0</v>
      </c>
      <c r="BU359" s="73"/>
      <c r="BV359" s="73"/>
    </row>
    <row r="360" ht="30" customHeight="1" spans="1:74">
      <c r="A360" s="55">
        <v>0</v>
      </c>
      <c r="B360" s="56" t="s">
        <v>42</v>
      </c>
      <c r="C360" s="57" t="s">
        <v>43</v>
      </c>
      <c r="D360" s="59" t="s">
        <v>632</v>
      </c>
      <c r="E360" s="59" t="s">
        <v>655</v>
      </c>
      <c r="F360" s="59" t="e">
        <f>VLOOKUP(E360,[1]库存!$B$1:$C$65536,2,FALSE)</f>
        <v>#N/A</v>
      </c>
      <c r="G360" s="59" t="e">
        <v>#N/A</v>
      </c>
      <c r="H360" s="59" t="s">
        <v>656</v>
      </c>
      <c r="I360" s="59" t="s">
        <v>657</v>
      </c>
      <c r="J360" s="60" t="s">
        <v>658</v>
      </c>
      <c r="K360" s="61"/>
      <c r="L360" s="62">
        <v>2</v>
      </c>
      <c r="M360" s="63">
        <v>1300</v>
      </c>
      <c r="N360" s="64">
        <v>8</v>
      </c>
      <c r="O360" s="62">
        <v>2</v>
      </c>
      <c r="P360" s="65">
        <f t="shared" si="13"/>
        <v>0</v>
      </c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7"/>
      <c r="BF360" s="67"/>
      <c r="BG360" s="68"/>
      <c r="BI360" s="69">
        <v>0</v>
      </c>
      <c r="BJ360" s="70">
        <v>0</v>
      </c>
      <c r="BK360" s="71">
        <v>0</v>
      </c>
      <c r="BL360" s="71">
        <v>0</v>
      </c>
      <c r="BM360" s="71">
        <v>0</v>
      </c>
      <c r="BN360" s="72">
        <v>0</v>
      </c>
      <c r="BO360" s="73"/>
      <c r="BP360" s="73"/>
      <c r="BQ360" s="71">
        <v>0</v>
      </c>
      <c r="BR360" s="71">
        <v>0</v>
      </c>
      <c r="BS360" s="71">
        <v>0</v>
      </c>
      <c r="BT360" s="72">
        <v>0</v>
      </c>
      <c r="BU360" s="73"/>
      <c r="BV360" s="73"/>
    </row>
    <row r="361" ht="30" customHeight="1" spans="1:74">
      <c r="A361" s="55">
        <v>0</v>
      </c>
      <c r="B361" s="56">
        <v>0</v>
      </c>
      <c r="C361" s="57">
        <v>0</v>
      </c>
      <c r="D361" s="74"/>
      <c r="E361" s="74"/>
      <c r="F361" s="59" t="e">
        <f>VLOOKUP(E361,[1]库存!$B$1:$C$65536,2,FALSE)</f>
        <v>#N/A</v>
      </c>
      <c r="G361" s="59" t="e">
        <v>#N/A</v>
      </c>
      <c r="H361" s="74"/>
      <c r="I361" s="74"/>
      <c r="J361" s="75"/>
      <c r="K361" s="61"/>
      <c r="L361" s="62">
        <v>0</v>
      </c>
      <c r="M361" s="63">
        <v>0</v>
      </c>
      <c r="N361" s="64">
        <v>0</v>
      </c>
      <c r="O361" s="62">
        <v>0</v>
      </c>
      <c r="P361" s="65">
        <f t="shared" si="13"/>
        <v>0</v>
      </c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7"/>
      <c r="BF361" s="67"/>
      <c r="BG361" s="68"/>
      <c r="BI361" s="69">
        <v>0</v>
      </c>
      <c r="BJ361" s="70">
        <v>0</v>
      </c>
      <c r="BK361" s="71">
        <v>0</v>
      </c>
      <c r="BL361" s="71">
        <v>0</v>
      </c>
      <c r="BM361" s="71">
        <v>0</v>
      </c>
      <c r="BN361" s="72">
        <v>0</v>
      </c>
      <c r="BO361" s="73"/>
      <c r="BP361" s="73"/>
      <c r="BQ361" s="71">
        <v>0</v>
      </c>
      <c r="BR361" s="71">
        <v>0</v>
      </c>
      <c r="BS361" s="71">
        <v>0</v>
      </c>
      <c r="BT361" s="72">
        <v>0</v>
      </c>
      <c r="BU361" s="73"/>
      <c r="BV361" s="73"/>
    </row>
    <row r="362" ht="30" customHeight="1" spans="1:74">
      <c r="A362" s="55">
        <v>0</v>
      </c>
      <c r="B362" s="56" t="s">
        <v>42</v>
      </c>
      <c r="C362" s="57" t="s">
        <v>43</v>
      </c>
      <c r="D362" s="59" t="s">
        <v>632</v>
      </c>
      <c r="E362" s="59" t="s">
        <v>659</v>
      </c>
      <c r="F362" s="59" t="e">
        <f>VLOOKUP(E362,[1]库存!$B$1:$C$65536,2,FALSE)</f>
        <v>#N/A</v>
      </c>
      <c r="G362" s="59" t="e">
        <v>#N/A</v>
      </c>
      <c r="H362" s="59" t="s">
        <v>660</v>
      </c>
      <c r="I362" s="59" t="s">
        <v>657</v>
      </c>
      <c r="J362" s="75"/>
      <c r="K362" s="61"/>
      <c r="L362" s="62">
        <v>2</v>
      </c>
      <c r="M362" s="63">
        <v>1300</v>
      </c>
      <c r="N362" s="64">
        <v>8</v>
      </c>
      <c r="O362" s="62">
        <v>2</v>
      </c>
      <c r="P362" s="65">
        <f t="shared" si="13"/>
        <v>0</v>
      </c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7"/>
      <c r="BF362" s="67"/>
      <c r="BG362" s="68"/>
      <c r="BI362" s="69">
        <v>0</v>
      </c>
      <c r="BJ362" s="70">
        <v>0</v>
      </c>
      <c r="BK362" s="71">
        <v>0</v>
      </c>
      <c r="BL362" s="71">
        <v>0</v>
      </c>
      <c r="BM362" s="71">
        <v>0</v>
      </c>
      <c r="BN362" s="72">
        <v>0</v>
      </c>
      <c r="BO362" s="73"/>
      <c r="BP362" s="73"/>
      <c r="BQ362" s="71">
        <v>0</v>
      </c>
      <c r="BR362" s="71">
        <v>0</v>
      </c>
      <c r="BS362" s="71">
        <v>0</v>
      </c>
      <c r="BT362" s="72">
        <v>0</v>
      </c>
      <c r="BU362" s="73"/>
      <c r="BV362" s="73"/>
    </row>
    <row r="363" ht="30" customHeight="1" spans="1:74">
      <c r="A363" s="55">
        <v>0</v>
      </c>
      <c r="B363" s="56">
        <v>0</v>
      </c>
      <c r="C363" s="57">
        <v>0</v>
      </c>
      <c r="D363" s="74"/>
      <c r="E363" s="74"/>
      <c r="F363" s="59" t="e">
        <f>VLOOKUP(E363,[1]库存!$B$1:$C$65536,2,FALSE)</f>
        <v>#N/A</v>
      </c>
      <c r="G363" s="59" t="e">
        <v>#N/A</v>
      </c>
      <c r="H363" s="74"/>
      <c r="I363" s="74"/>
      <c r="J363" s="75"/>
      <c r="K363" s="61"/>
      <c r="L363" s="62">
        <v>0</v>
      </c>
      <c r="M363" s="63">
        <v>0</v>
      </c>
      <c r="N363" s="64">
        <v>0</v>
      </c>
      <c r="O363" s="62">
        <v>0</v>
      </c>
      <c r="P363" s="65">
        <f t="shared" si="13"/>
        <v>0</v>
      </c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7"/>
      <c r="BF363" s="67"/>
      <c r="BG363" s="68"/>
      <c r="BI363" s="69">
        <v>0</v>
      </c>
      <c r="BJ363" s="70">
        <v>0</v>
      </c>
      <c r="BK363" s="71">
        <v>0</v>
      </c>
      <c r="BL363" s="71">
        <v>0</v>
      </c>
      <c r="BM363" s="71">
        <v>0</v>
      </c>
      <c r="BN363" s="72">
        <v>0</v>
      </c>
      <c r="BO363" s="73"/>
      <c r="BP363" s="73"/>
      <c r="BQ363" s="71">
        <v>0</v>
      </c>
      <c r="BR363" s="71">
        <v>0</v>
      </c>
      <c r="BS363" s="71">
        <v>0</v>
      </c>
      <c r="BT363" s="72">
        <v>0</v>
      </c>
      <c r="BU363" s="73"/>
      <c r="BV363" s="73"/>
    </row>
    <row r="364" ht="30" customHeight="1" spans="1:74">
      <c r="A364" s="55">
        <v>0</v>
      </c>
      <c r="B364" s="56" t="s">
        <v>42</v>
      </c>
      <c r="C364" s="57" t="s">
        <v>43</v>
      </c>
      <c r="D364" s="59" t="s">
        <v>632</v>
      </c>
      <c r="E364" s="59" t="s">
        <v>661</v>
      </c>
      <c r="F364" s="59" t="e">
        <f>VLOOKUP(E364,[1]库存!$B$1:$C$65536,2,FALSE)</f>
        <v>#N/A</v>
      </c>
      <c r="G364" s="59" t="e">
        <v>#N/A</v>
      </c>
      <c r="H364" s="59" t="s">
        <v>662</v>
      </c>
      <c r="I364" s="59" t="s">
        <v>651</v>
      </c>
      <c r="J364" s="60" t="s">
        <v>658</v>
      </c>
      <c r="K364" s="61"/>
      <c r="L364" s="62">
        <v>2</v>
      </c>
      <c r="M364" s="63">
        <v>1300</v>
      </c>
      <c r="N364" s="64">
        <v>10</v>
      </c>
      <c r="O364" s="62">
        <v>2</v>
      </c>
      <c r="P364" s="65">
        <f t="shared" si="13"/>
        <v>0</v>
      </c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7"/>
      <c r="BF364" s="67"/>
      <c r="BG364" s="68"/>
      <c r="BI364" s="69">
        <v>0</v>
      </c>
      <c r="BJ364" s="70">
        <v>0</v>
      </c>
      <c r="BK364" s="71">
        <v>0</v>
      </c>
      <c r="BL364" s="71">
        <v>0</v>
      </c>
      <c r="BM364" s="71">
        <v>0</v>
      </c>
      <c r="BN364" s="72">
        <v>0</v>
      </c>
      <c r="BO364" s="73"/>
      <c r="BP364" s="73"/>
      <c r="BQ364" s="71">
        <v>0</v>
      </c>
      <c r="BR364" s="71">
        <v>0</v>
      </c>
      <c r="BS364" s="71">
        <v>0</v>
      </c>
      <c r="BT364" s="72">
        <v>0</v>
      </c>
      <c r="BU364" s="73"/>
      <c r="BV364" s="73"/>
    </row>
    <row r="365" ht="30" customHeight="1" spans="1:74">
      <c r="A365" s="55">
        <v>0</v>
      </c>
      <c r="B365" s="56">
        <v>0</v>
      </c>
      <c r="C365" s="57">
        <v>0</v>
      </c>
      <c r="D365" s="74"/>
      <c r="E365" s="74"/>
      <c r="F365" s="59" t="e">
        <f>VLOOKUP(E365,[1]库存!$B$1:$C$65536,2,FALSE)</f>
        <v>#N/A</v>
      </c>
      <c r="G365" s="59" t="e">
        <v>#N/A</v>
      </c>
      <c r="H365" s="74"/>
      <c r="I365" s="74"/>
      <c r="J365" s="75"/>
      <c r="K365" s="61"/>
      <c r="L365" s="62">
        <v>0</v>
      </c>
      <c r="M365" s="63">
        <v>0</v>
      </c>
      <c r="N365" s="64">
        <v>0</v>
      </c>
      <c r="O365" s="62">
        <v>0</v>
      </c>
      <c r="P365" s="65">
        <f t="shared" si="13"/>
        <v>0</v>
      </c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7"/>
      <c r="BF365" s="67"/>
      <c r="BG365" s="68"/>
      <c r="BI365" s="69">
        <v>0</v>
      </c>
      <c r="BJ365" s="70">
        <v>0</v>
      </c>
      <c r="BK365" s="71">
        <v>0</v>
      </c>
      <c r="BL365" s="71">
        <v>0</v>
      </c>
      <c r="BM365" s="71">
        <v>0</v>
      </c>
      <c r="BN365" s="72">
        <v>0</v>
      </c>
      <c r="BO365" s="73"/>
      <c r="BP365" s="73"/>
      <c r="BQ365" s="71">
        <v>0</v>
      </c>
      <c r="BR365" s="71">
        <v>0</v>
      </c>
      <c r="BS365" s="71">
        <v>0</v>
      </c>
      <c r="BT365" s="72">
        <v>0</v>
      </c>
      <c r="BU365" s="73"/>
      <c r="BV365" s="73"/>
    </row>
    <row r="366" ht="30" customHeight="1" spans="1:74">
      <c r="A366" s="55">
        <v>0</v>
      </c>
      <c r="B366" s="56" t="s">
        <v>42</v>
      </c>
      <c r="C366" s="57" t="s">
        <v>43</v>
      </c>
      <c r="D366" s="59" t="s">
        <v>632</v>
      </c>
      <c r="E366" s="59" t="s">
        <v>663</v>
      </c>
      <c r="F366" s="59" t="e">
        <f>VLOOKUP(E366,[1]库存!$B$1:$C$65536,2,FALSE)</f>
        <v>#N/A</v>
      </c>
      <c r="G366" s="59" t="e">
        <v>#N/A</v>
      </c>
      <c r="H366" s="59" t="s">
        <v>664</v>
      </c>
      <c r="I366" s="59" t="s">
        <v>651</v>
      </c>
      <c r="J366" s="75"/>
      <c r="K366" s="61"/>
      <c r="L366" s="62">
        <v>2</v>
      </c>
      <c r="M366" s="63">
        <v>1300</v>
      </c>
      <c r="N366" s="64">
        <v>10</v>
      </c>
      <c r="O366" s="62">
        <v>2</v>
      </c>
      <c r="P366" s="65">
        <f t="shared" si="13"/>
        <v>0</v>
      </c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7"/>
      <c r="BF366" s="67"/>
      <c r="BG366" s="68"/>
      <c r="BI366" s="69">
        <v>0</v>
      </c>
      <c r="BJ366" s="70">
        <v>0</v>
      </c>
      <c r="BK366" s="71">
        <v>0</v>
      </c>
      <c r="BL366" s="71">
        <v>0</v>
      </c>
      <c r="BM366" s="71">
        <v>0</v>
      </c>
      <c r="BN366" s="72">
        <v>0</v>
      </c>
      <c r="BO366" s="73"/>
      <c r="BP366" s="73"/>
      <c r="BQ366" s="71">
        <v>0</v>
      </c>
      <c r="BR366" s="71">
        <v>0</v>
      </c>
      <c r="BS366" s="71">
        <v>0</v>
      </c>
      <c r="BT366" s="72">
        <v>0</v>
      </c>
      <c r="BU366" s="73"/>
      <c r="BV366" s="73"/>
    </row>
    <row r="367" ht="30" customHeight="1" spans="1:74">
      <c r="A367" s="55">
        <v>0</v>
      </c>
      <c r="B367" s="56">
        <v>0</v>
      </c>
      <c r="C367" s="57">
        <v>0</v>
      </c>
      <c r="D367" s="74"/>
      <c r="E367" s="74"/>
      <c r="F367" s="59" t="e">
        <f>VLOOKUP(E367,[1]库存!$B$1:$C$65536,2,FALSE)</f>
        <v>#N/A</v>
      </c>
      <c r="G367" s="59" t="e">
        <v>#N/A</v>
      </c>
      <c r="H367" s="74"/>
      <c r="I367" s="74"/>
      <c r="J367" s="75"/>
      <c r="K367" s="61"/>
      <c r="L367" s="62">
        <v>0</v>
      </c>
      <c r="M367" s="63">
        <v>0</v>
      </c>
      <c r="N367" s="64">
        <v>0</v>
      </c>
      <c r="O367" s="62">
        <v>0</v>
      </c>
      <c r="P367" s="65">
        <f t="shared" si="13"/>
        <v>0</v>
      </c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7"/>
      <c r="BF367" s="67"/>
      <c r="BG367" s="68"/>
      <c r="BI367" s="69">
        <v>0</v>
      </c>
      <c r="BJ367" s="70">
        <v>0</v>
      </c>
      <c r="BK367" s="71">
        <v>0</v>
      </c>
      <c r="BL367" s="71">
        <v>0</v>
      </c>
      <c r="BM367" s="71">
        <v>0</v>
      </c>
      <c r="BN367" s="72">
        <v>0</v>
      </c>
      <c r="BO367" s="73"/>
      <c r="BP367" s="73"/>
      <c r="BQ367" s="71">
        <v>0</v>
      </c>
      <c r="BR367" s="71">
        <v>0</v>
      </c>
      <c r="BS367" s="71">
        <v>0</v>
      </c>
      <c r="BT367" s="72">
        <v>0</v>
      </c>
      <c r="BU367" s="73"/>
      <c r="BV367" s="73"/>
    </row>
    <row r="368" ht="30" customHeight="1" spans="1:74">
      <c r="A368" s="55">
        <v>0</v>
      </c>
      <c r="B368" s="56" t="s">
        <v>42</v>
      </c>
      <c r="C368" s="57" t="s">
        <v>43</v>
      </c>
      <c r="D368" s="59" t="s">
        <v>632</v>
      </c>
      <c r="E368" s="59"/>
      <c r="F368" s="59" t="e">
        <f>VLOOKUP(E368,[1]库存!$B$1:$C$65536,2,FALSE)</f>
        <v>#N/A</v>
      </c>
      <c r="G368" s="59" t="e">
        <v>#N/A</v>
      </c>
      <c r="H368" s="59" t="s">
        <v>665</v>
      </c>
      <c r="I368" s="59" t="s">
        <v>666</v>
      </c>
      <c r="J368" s="63"/>
      <c r="K368" s="61"/>
      <c r="L368" s="62">
        <v>2</v>
      </c>
      <c r="M368" s="63">
        <v>1300</v>
      </c>
      <c r="N368" s="64">
        <v>10</v>
      </c>
      <c r="O368" s="62">
        <v>2</v>
      </c>
      <c r="P368" s="65">
        <f t="shared" si="13"/>
        <v>0</v>
      </c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7"/>
      <c r="BF368" s="67"/>
      <c r="BG368" s="68"/>
      <c r="BI368" s="69">
        <v>0</v>
      </c>
      <c r="BJ368" s="70">
        <v>0</v>
      </c>
      <c r="BK368" s="71">
        <v>0</v>
      </c>
      <c r="BL368" s="71">
        <v>0</v>
      </c>
      <c r="BM368" s="71">
        <v>0</v>
      </c>
      <c r="BN368" s="72">
        <v>0</v>
      </c>
      <c r="BO368" s="73"/>
      <c r="BP368" s="73"/>
      <c r="BQ368" s="71">
        <v>0</v>
      </c>
      <c r="BR368" s="71">
        <v>0</v>
      </c>
      <c r="BS368" s="71">
        <v>0</v>
      </c>
      <c r="BT368" s="72">
        <v>0</v>
      </c>
      <c r="BU368" s="73"/>
      <c r="BV368" s="73"/>
    </row>
    <row r="369" ht="30" customHeight="1" spans="1:74">
      <c r="A369" s="55">
        <v>0</v>
      </c>
      <c r="B369" s="56">
        <v>0</v>
      </c>
      <c r="C369" s="57">
        <v>0</v>
      </c>
      <c r="D369" s="74"/>
      <c r="E369" s="74"/>
      <c r="F369" s="59" t="e">
        <f>VLOOKUP(E369,[1]库存!$B$1:$C$65536,2,FALSE)</f>
        <v>#N/A</v>
      </c>
      <c r="G369" s="59" t="e">
        <v>#N/A</v>
      </c>
      <c r="H369" s="74"/>
      <c r="I369" s="74"/>
      <c r="J369" s="87"/>
      <c r="K369" s="61"/>
      <c r="L369" s="62">
        <v>0</v>
      </c>
      <c r="M369" s="63">
        <v>0</v>
      </c>
      <c r="N369" s="64">
        <v>0</v>
      </c>
      <c r="O369" s="62">
        <v>0</v>
      </c>
      <c r="P369" s="65">
        <f t="shared" si="13"/>
        <v>0</v>
      </c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7"/>
      <c r="BF369" s="67"/>
      <c r="BG369" s="68"/>
      <c r="BI369" s="69">
        <v>0</v>
      </c>
      <c r="BJ369" s="70">
        <v>0</v>
      </c>
      <c r="BK369" s="71">
        <v>0</v>
      </c>
      <c r="BL369" s="71">
        <v>0</v>
      </c>
      <c r="BM369" s="71">
        <v>0</v>
      </c>
      <c r="BN369" s="72">
        <v>0</v>
      </c>
      <c r="BO369" s="73"/>
      <c r="BP369" s="73"/>
      <c r="BQ369" s="71">
        <v>0</v>
      </c>
      <c r="BR369" s="71">
        <v>0</v>
      </c>
      <c r="BS369" s="71">
        <v>0</v>
      </c>
      <c r="BT369" s="72">
        <v>0</v>
      </c>
      <c r="BU369" s="73"/>
      <c r="BV369" s="73"/>
    </row>
    <row r="370" ht="30" customHeight="1" spans="1:74">
      <c r="A370" s="55">
        <v>0</v>
      </c>
      <c r="B370" s="56" t="s">
        <v>42</v>
      </c>
      <c r="C370" s="57" t="s">
        <v>43</v>
      </c>
      <c r="D370" s="59" t="s">
        <v>632</v>
      </c>
      <c r="E370" s="59"/>
      <c r="F370" s="59" t="e">
        <f>VLOOKUP(E370,[1]库存!$B$1:$C$65536,2,FALSE)</f>
        <v>#N/A</v>
      </c>
      <c r="G370" s="59" t="e">
        <v>#N/A</v>
      </c>
      <c r="H370" s="59" t="s">
        <v>667</v>
      </c>
      <c r="I370" s="59" t="s">
        <v>668</v>
      </c>
      <c r="J370" s="63"/>
      <c r="K370" s="61"/>
      <c r="L370" s="62">
        <v>2</v>
      </c>
      <c r="M370" s="63">
        <v>1300</v>
      </c>
      <c r="N370" s="64">
        <v>10</v>
      </c>
      <c r="O370" s="62">
        <v>2</v>
      </c>
      <c r="P370" s="65">
        <f t="shared" si="13"/>
        <v>0</v>
      </c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7"/>
      <c r="BF370" s="67"/>
      <c r="BG370" s="68"/>
      <c r="BI370" s="69">
        <v>0</v>
      </c>
      <c r="BJ370" s="70">
        <v>0</v>
      </c>
      <c r="BK370" s="71">
        <v>0</v>
      </c>
      <c r="BL370" s="71">
        <v>0</v>
      </c>
      <c r="BM370" s="71">
        <v>0</v>
      </c>
      <c r="BN370" s="72">
        <v>0</v>
      </c>
      <c r="BO370" s="73"/>
      <c r="BP370" s="73"/>
      <c r="BQ370" s="71">
        <v>0</v>
      </c>
      <c r="BR370" s="71">
        <v>0</v>
      </c>
      <c r="BS370" s="71">
        <v>0</v>
      </c>
      <c r="BT370" s="72">
        <v>0</v>
      </c>
      <c r="BU370" s="73"/>
      <c r="BV370" s="73"/>
    </row>
    <row r="371" ht="30" customHeight="1" spans="1:74">
      <c r="A371" s="55">
        <v>0</v>
      </c>
      <c r="B371" s="56">
        <v>0</v>
      </c>
      <c r="C371" s="57">
        <v>0</v>
      </c>
      <c r="D371" s="74"/>
      <c r="E371" s="74"/>
      <c r="F371" s="59" t="e">
        <f>VLOOKUP(E371,[1]库存!$B$1:$C$65536,2,FALSE)</f>
        <v>#N/A</v>
      </c>
      <c r="G371" s="59" t="e">
        <v>#N/A</v>
      </c>
      <c r="H371" s="74"/>
      <c r="I371" s="74"/>
      <c r="J371" s="87"/>
      <c r="K371" s="61"/>
      <c r="L371" s="62">
        <v>0</v>
      </c>
      <c r="M371" s="63">
        <v>0</v>
      </c>
      <c r="N371" s="64">
        <v>0</v>
      </c>
      <c r="O371" s="62">
        <v>0</v>
      </c>
      <c r="P371" s="65">
        <f t="shared" si="13"/>
        <v>0</v>
      </c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7"/>
      <c r="BF371" s="67"/>
      <c r="BG371" s="68"/>
      <c r="BI371" s="69">
        <v>0</v>
      </c>
      <c r="BJ371" s="70">
        <v>0</v>
      </c>
      <c r="BK371" s="71">
        <v>0</v>
      </c>
      <c r="BL371" s="71">
        <v>0</v>
      </c>
      <c r="BM371" s="71">
        <v>0</v>
      </c>
      <c r="BN371" s="72">
        <v>0</v>
      </c>
      <c r="BO371" s="73"/>
      <c r="BP371" s="73"/>
      <c r="BQ371" s="71">
        <v>0</v>
      </c>
      <c r="BR371" s="71">
        <v>0</v>
      </c>
      <c r="BS371" s="71">
        <v>0</v>
      </c>
      <c r="BT371" s="72">
        <v>0</v>
      </c>
      <c r="BU371" s="73"/>
      <c r="BV371" s="73"/>
    </row>
    <row r="372" ht="30" customHeight="1" spans="1:74">
      <c r="A372" s="55">
        <v>0</v>
      </c>
      <c r="B372" s="56">
        <v>0</v>
      </c>
      <c r="C372" s="57">
        <v>0</v>
      </c>
      <c r="E372" s="88"/>
      <c r="F372" s="59" t="e">
        <f>VLOOKUP(E372,[1]库存!$B$1:$C$65536,2,FALSE)</f>
        <v>#N/A</v>
      </c>
      <c r="G372" s="59" t="e">
        <v>#N/A</v>
      </c>
      <c r="H372" s="89"/>
      <c r="I372" s="88"/>
      <c r="J372" s="90"/>
      <c r="K372" s="61"/>
      <c r="L372" s="62">
        <v>0</v>
      </c>
      <c r="M372" s="63">
        <v>0</v>
      </c>
      <c r="N372" s="64">
        <v>0</v>
      </c>
      <c r="O372" s="62">
        <v>0</v>
      </c>
      <c r="P372" s="65">
        <f t="shared" si="13"/>
        <v>0</v>
      </c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7"/>
      <c r="BF372" s="67"/>
      <c r="BG372" s="68"/>
      <c r="BI372" s="69">
        <v>0</v>
      </c>
      <c r="BJ372" s="70">
        <v>0</v>
      </c>
      <c r="BK372" s="71">
        <v>0</v>
      </c>
      <c r="BL372" s="71">
        <v>0</v>
      </c>
      <c r="BM372" s="71">
        <v>0</v>
      </c>
      <c r="BN372" s="72">
        <v>0</v>
      </c>
      <c r="BO372" s="73"/>
      <c r="BP372" s="73"/>
      <c r="BQ372" s="71">
        <v>0</v>
      </c>
      <c r="BR372" s="71">
        <v>0</v>
      </c>
      <c r="BS372" s="71">
        <v>0</v>
      </c>
      <c r="BT372" s="72">
        <v>0</v>
      </c>
      <c r="BU372" s="73"/>
      <c r="BV372" s="73"/>
    </row>
    <row r="373" ht="30" customHeight="1" spans="1:74">
      <c r="A373" s="55" t="s">
        <v>165</v>
      </c>
      <c r="B373" s="56" t="s">
        <v>42</v>
      </c>
      <c r="C373" s="57" t="s">
        <v>43</v>
      </c>
      <c r="D373" s="91" t="s">
        <v>669</v>
      </c>
      <c r="E373" s="91" t="s">
        <v>670</v>
      </c>
      <c r="F373" s="91" t="str">
        <f>VLOOKUP(E373,[1]库存!$B$1:$C$65536,2,FALSE)</f>
        <v>CHERY A3II SAB LH (埃)</v>
      </c>
      <c r="G373" s="91" t="s">
        <v>671</v>
      </c>
      <c r="H373" s="91" t="s">
        <v>672</v>
      </c>
      <c r="I373" s="91" t="s">
        <v>673</v>
      </c>
      <c r="J373" s="64"/>
      <c r="K373" s="61"/>
      <c r="L373" s="62">
        <v>2</v>
      </c>
      <c r="M373" s="63">
        <v>1200</v>
      </c>
      <c r="N373" s="64">
        <v>11</v>
      </c>
      <c r="O373" s="62">
        <v>2</v>
      </c>
      <c r="P373" s="65">
        <f t="shared" si="13"/>
        <v>0</v>
      </c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7"/>
      <c r="BF373" s="67"/>
      <c r="BG373" s="68"/>
      <c r="BI373" s="69">
        <v>0</v>
      </c>
      <c r="BJ373" s="70">
        <v>0</v>
      </c>
      <c r="BK373" s="71">
        <v>0</v>
      </c>
      <c r="BL373" s="71">
        <v>0</v>
      </c>
      <c r="BM373" s="71">
        <v>0</v>
      </c>
      <c r="BN373" s="72">
        <v>0</v>
      </c>
      <c r="BO373" s="73"/>
      <c r="BP373" s="73"/>
      <c r="BQ373" s="71">
        <v>0</v>
      </c>
      <c r="BR373" s="71">
        <v>0</v>
      </c>
      <c r="BS373" s="71">
        <v>0</v>
      </c>
      <c r="BT373" s="72">
        <v>0</v>
      </c>
      <c r="BU373" s="73"/>
      <c r="BV373" s="73"/>
    </row>
    <row r="374" ht="30" customHeight="1" spans="1:74">
      <c r="A374" s="55">
        <v>0</v>
      </c>
      <c r="B374" s="56">
        <v>0</v>
      </c>
      <c r="C374" s="57">
        <v>0</v>
      </c>
      <c r="D374" s="92"/>
      <c r="E374" s="92"/>
      <c r="F374" s="91" t="e">
        <f>VLOOKUP(E374,[1]库存!$B$1:$C$65536,2,FALSE)</f>
        <v>#N/A</v>
      </c>
      <c r="G374" s="91" t="e">
        <v>#N/A</v>
      </c>
      <c r="H374" s="92"/>
      <c r="I374" s="92"/>
      <c r="J374" s="93"/>
      <c r="K374" s="61"/>
      <c r="L374" s="62">
        <v>0</v>
      </c>
      <c r="M374" s="63">
        <v>0</v>
      </c>
      <c r="N374" s="64">
        <v>0</v>
      </c>
      <c r="O374" s="62">
        <v>0</v>
      </c>
      <c r="P374" s="65">
        <f t="shared" si="13"/>
        <v>0</v>
      </c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7"/>
      <c r="BF374" s="67"/>
      <c r="BG374" s="68"/>
      <c r="BI374" s="69">
        <v>0</v>
      </c>
      <c r="BJ374" s="70">
        <v>0</v>
      </c>
      <c r="BK374" s="71">
        <v>0</v>
      </c>
      <c r="BL374" s="71">
        <v>0</v>
      </c>
      <c r="BM374" s="71">
        <v>0</v>
      </c>
      <c r="BN374" s="72">
        <v>0</v>
      </c>
      <c r="BO374" s="73"/>
      <c r="BP374" s="73"/>
      <c r="BQ374" s="71">
        <v>0</v>
      </c>
      <c r="BR374" s="71">
        <v>0</v>
      </c>
      <c r="BS374" s="71">
        <v>0</v>
      </c>
      <c r="BT374" s="72">
        <v>0</v>
      </c>
      <c r="BU374" s="73"/>
      <c r="BV374" s="73"/>
    </row>
    <row r="375" ht="30" customHeight="1" spans="1:74">
      <c r="A375" s="55" t="s">
        <v>165</v>
      </c>
      <c r="B375" s="56" t="s">
        <v>42</v>
      </c>
      <c r="C375" s="57" t="s">
        <v>43</v>
      </c>
      <c r="D375" s="91" t="s">
        <v>669</v>
      </c>
      <c r="E375" s="91" t="s">
        <v>674</v>
      </c>
      <c r="F375" s="91" t="str">
        <f>VLOOKUP(E375,[1]库存!$B$1:$C$65536,2,FALSE)</f>
        <v>CHERY A3II SAB RH (埃)</v>
      </c>
      <c r="G375" s="91" t="s">
        <v>675</v>
      </c>
      <c r="H375" s="91" t="s">
        <v>676</v>
      </c>
      <c r="I375" s="91" t="s">
        <v>673</v>
      </c>
      <c r="J375" s="64"/>
      <c r="K375" s="61"/>
      <c r="L375" s="62">
        <v>2</v>
      </c>
      <c r="M375" s="63">
        <v>1200</v>
      </c>
      <c r="N375" s="64">
        <v>11</v>
      </c>
      <c r="O375" s="62">
        <v>2</v>
      </c>
      <c r="P375" s="65">
        <f t="shared" si="13"/>
        <v>0</v>
      </c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7"/>
      <c r="BF375" s="67"/>
      <c r="BG375" s="68"/>
      <c r="BI375" s="69">
        <v>0</v>
      </c>
      <c r="BJ375" s="70">
        <v>0</v>
      </c>
      <c r="BK375" s="71">
        <v>0</v>
      </c>
      <c r="BL375" s="71">
        <v>0</v>
      </c>
      <c r="BM375" s="71">
        <v>0</v>
      </c>
      <c r="BN375" s="72">
        <v>0</v>
      </c>
      <c r="BO375" s="73"/>
      <c r="BP375" s="73"/>
      <c r="BQ375" s="71">
        <v>0</v>
      </c>
      <c r="BR375" s="71">
        <v>0</v>
      </c>
      <c r="BS375" s="71">
        <v>0</v>
      </c>
      <c r="BT375" s="72">
        <v>0</v>
      </c>
      <c r="BU375" s="73"/>
      <c r="BV375" s="73"/>
    </row>
    <row r="376" ht="30" customHeight="1" spans="1:74">
      <c r="A376" s="55">
        <v>0</v>
      </c>
      <c r="B376" s="56">
        <v>0</v>
      </c>
      <c r="C376" s="57">
        <v>0</v>
      </c>
      <c r="D376" s="92"/>
      <c r="E376" s="92"/>
      <c r="F376" s="91" t="e">
        <f>VLOOKUP(E376,[1]库存!$B$1:$C$65536,2,FALSE)</f>
        <v>#N/A</v>
      </c>
      <c r="G376" s="91" t="e">
        <v>#N/A</v>
      </c>
      <c r="H376" s="92"/>
      <c r="I376" s="92"/>
      <c r="J376" s="93"/>
      <c r="K376" s="61"/>
      <c r="L376" s="62">
        <v>0</v>
      </c>
      <c r="M376" s="63">
        <v>0</v>
      </c>
      <c r="N376" s="64">
        <v>0</v>
      </c>
      <c r="O376" s="62">
        <v>0</v>
      </c>
      <c r="P376" s="65">
        <f t="shared" si="13"/>
        <v>0</v>
      </c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7"/>
      <c r="BF376" s="67"/>
      <c r="BG376" s="68"/>
      <c r="BI376" s="69">
        <v>0</v>
      </c>
      <c r="BJ376" s="70">
        <v>0</v>
      </c>
      <c r="BK376" s="71">
        <v>0</v>
      </c>
      <c r="BL376" s="71">
        <v>0</v>
      </c>
      <c r="BM376" s="71">
        <v>0</v>
      </c>
      <c r="BN376" s="72">
        <v>0</v>
      </c>
      <c r="BO376" s="73"/>
      <c r="BP376" s="73"/>
      <c r="BQ376" s="71">
        <v>0</v>
      </c>
      <c r="BR376" s="71">
        <v>0</v>
      </c>
      <c r="BS376" s="71">
        <v>0</v>
      </c>
      <c r="BT376" s="72">
        <v>0</v>
      </c>
      <c r="BU376" s="73"/>
      <c r="BV376" s="73"/>
    </row>
    <row r="377" ht="30" customHeight="1" spans="1:74">
      <c r="A377" s="55">
        <v>0</v>
      </c>
      <c r="B377" s="56" t="s">
        <v>42</v>
      </c>
      <c r="C377" s="57" t="s">
        <v>43</v>
      </c>
      <c r="D377" s="59" t="s">
        <v>669</v>
      </c>
      <c r="E377" s="59" t="s">
        <v>677</v>
      </c>
      <c r="F377" s="59" t="str">
        <f>VLOOKUP(E377,[1]库存!$B$1:$C$65536,2,FALSE)</f>
        <v>Geely FE-3 SABL</v>
      </c>
      <c r="G377" s="59" t="s">
        <v>678</v>
      </c>
      <c r="H377" s="59" t="s">
        <v>679</v>
      </c>
      <c r="I377" s="59" t="s">
        <v>680</v>
      </c>
      <c r="J377" s="60" t="s">
        <v>65</v>
      </c>
      <c r="K377" s="61"/>
      <c r="L377" s="62">
        <v>2</v>
      </c>
      <c r="M377" s="63">
        <v>1150</v>
      </c>
      <c r="N377" s="64">
        <v>10</v>
      </c>
      <c r="O377" s="62">
        <v>2</v>
      </c>
      <c r="P377" s="65">
        <f t="shared" si="13"/>
        <v>0</v>
      </c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7"/>
      <c r="BF377" s="67"/>
      <c r="BG377" s="68"/>
      <c r="BI377" s="69">
        <v>0</v>
      </c>
      <c r="BJ377" s="70">
        <v>0</v>
      </c>
      <c r="BK377" s="71">
        <v>0</v>
      </c>
      <c r="BL377" s="71">
        <v>0</v>
      </c>
      <c r="BM377" s="71">
        <v>0</v>
      </c>
      <c r="BN377" s="72">
        <v>0</v>
      </c>
      <c r="BO377" s="73"/>
      <c r="BP377" s="73"/>
      <c r="BQ377" s="71">
        <v>0</v>
      </c>
      <c r="BR377" s="71">
        <v>0</v>
      </c>
      <c r="BS377" s="71">
        <v>0</v>
      </c>
      <c r="BT377" s="72">
        <v>0</v>
      </c>
      <c r="BU377" s="73"/>
      <c r="BV377" s="73"/>
    </row>
    <row r="378" ht="30" customHeight="1" spans="1:74">
      <c r="A378" s="55">
        <v>0</v>
      </c>
      <c r="B378" s="56">
        <v>0</v>
      </c>
      <c r="C378" s="57">
        <v>0</v>
      </c>
      <c r="D378" s="74"/>
      <c r="E378" s="74"/>
      <c r="F378" s="59" t="e">
        <f>VLOOKUP(E378,[1]库存!$B$1:$C$65536,2,FALSE)</f>
        <v>#N/A</v>
      </c>
      <c r="G378" s="59" t="e">
        <v>#N/A</v>
      </c>
      <c r="H378" s="74"/>
      <c r="I378" s="74"/>
      <c r="J378" s="75"/>
      <c r="K378" s="61"/>
      <c r="L378" s="62">
        <v>0</v>
      </c>
      <c r="M378" s="63">
        <v>0</v>
      </c>
      <c r="N378" s="64">
        <v>0</v>
      </c>
      <c r="O378" s="62">
        <v>0</v>
      </c>
      <c r="P378" s="65">
        <f t="shared" si="13"/>
        <v>0</v>
      </c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7"/>
      <c r="BF378" s="67"/>
      <c r="BG378" s="68"/>
      <c r="BI378" s="69">
        <v>0</v>
      </c>
      <c r="BJ378" s="70">
        <v>0</v>
      </c>
      <c r="BK378" s="71">
        <v>0</v>
      </c>
      <c r="BL378" s="71">
        <v>0</v>
      </c>
      <c r="BM378" s="71">
        <v>0</v>
      </c>
      <c r="BN378" s="72">
        <v>0</v>
      </c>
      <c r="BO378" s="73"/>
      <c r="BP378" s="73"/>
      <c r="BQ378" s="71">
        <v>0</v>
      </c>
      <c r="BR378" s="71">
        <v>0</v>
      </c>
      <c r="BS378" s="71">
        <v>0</v>
      </c>
      <c r="BT378" s="72">
        <v>0</v>
      </c>
      <c r="BU378" s="73"/>
      <c r="BV378" s="73"/>
    </row>
    <row r="379" ht="30" customHeight="1" spans="1:74">
      <c r="A379" s="55">
        <v>0</v>
      </c>
      <c r="B379" s="56" t="s">
        <v>42</v>
      </c>
      <c r="C379" s="57" t="s">
        <v>43</v>
      </c>
      <c r="D379" s="59" t="s">
        <v>669</v>
      </c>
      <c r="E379" s="59" t="s">
        <v>681</v>
      </c>
      <c r="F379" s="59" t="str">
        <f>VLOOKUP(E379,[1]库存!$B$1:$C$65536,2,FALSE)</f>
        <v>Geely FE-3 SABR</v>
      </c>
      <c r="G379" s="59" t="s">
        <v>682</v>
      </c>
      <c r="H379" s="59" t="s">
        <v>683</v>
      </c>
      <c r="I379" s="59" t="s">
        <v>680</v>
      </c>
      <c r="J379" s="60" t="s">
        <v>65</v>
      </c>
      <c r="K379" s="61"/>
      <c r="L379" s="62">
        <v>2</v>
      </c>
      <c r="M379" s="63">
        <v>1150</v>
      </c>
      <c r="N379" s="64">
        <v>10</v>
      </c>
      <c r="O379" s="62">
        <v>2</v>
      </c>
      <c r="P379" s="65">
        <f t="shared" si="13"/>
        <v>0</v>
      </c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7"/>
      <c r="BF379" s="67"/>
      <c r="BG379" s="68"/>
      <c r="BI379" s="69">
        <v>0</v>
      </c>
      <c r="BJ379" s="70">
        <v>0</v>
      </c>
      <c r="BK379" s="71">
        <v>0</v>
      </c>
      <c r="BL379" s="71">
        <v>0</v>
      </c>
      <c r="BM379" s="71">
        <v>0</v>
      </c>
      <c r="BN379" s="72">
        <v>0</v>
      </c>
      <c r="BO379" s="73"/>
      <c r="BP379" s="73"/>
      <c r="BQ379" s="71">
        <v>0</v>
      </c>
      <c r="BR379" s="71">
        <v>0</v>
      </c>
      <c r="BS379" s="71">
        <v>0</v>
      </c>
      <c r="BT379" s="72">
        <v>0</v>
      </c>
      <c r="BU379" s="73"/>
      <c r="BV379" s="73"/>
    </row>
    <row r="380" ht="30" customHeight="1" spans="1:74">
      <c r="A380" s="55">
        <v>0</v>
      </c>
      <c r="B380" s="56">
        <v>0</v>
      </c>
      <c r="C380" s="57">
        <v>0</v>
      </c>
      <c r="D380" s="74"/>
      <c r="E380" s="74"/>
      <c r="F380" s="59" t="e">
        <f>VLOOKUP(E380,[1]库存!$B$1:$C$65536,2,FALSE)</f>
        <v>#N/A</v>
      </c>
      <c r="G380" s="59" t="e">
        <v>#N/A</v>
      </c>
      <c r="H380" s="74"/>
      <c r="I380" s="74"/>
      <c r="J380" s="75"/>
      <c r="K380" s="61"/>
      <c r="L380" s="62">
        <v>0</v>
      </c>
      <c r="M380" s="63">
        <v>0</v>
      </c>
      <c r="N380" s="64">
        <v>0</v>
      </c>
      <c r="O380" s="62">
        <v>0</v>
      </c>
      <c r="P380" s="65">
        <f t="shared" si="13"/>
        <v>0</v>
      </c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7"/>
      <c r="BF380" s="67"/>
      <c r="BG380" s="68"/>
      <c r="BI380" s="69">
        <v>0</v>
      </c>
      <c r="BJ380" s="70">
        <v>0</v>
      </c>
      <c r="BK380" s="71">
        <v>0</v>
      </c>
      <c r="BL380" s="71">
        <v>0</v>
      </c>
      <c r="BM380" s="71">
        <v>0</v>
      </c>
      <c r="BN380" s="72">
        <v>0</v>
      </c>
      <c r="BO380" s="73"/>
      <c r="BP380" s="73"/>
      <c r="BQ380" s="71">
        <v>0</v>
      </c>
      <c r="BR380" s="71">
        <v>0</v>
      </c>
      <c r="BS380" s="71">
        <v>0</v>
      </c>
      <c r="BT380" s="72">
        <v>0</v>
      </c>
      <c r="BU380" s="73"/>
      <c r="BV380" s="73"/>
    </row>
    <row r="381" ht="30" customHeight="1" spans="1:74">
      <c r="A381" s="55" t="s">
        <v>246</v>
      </c>
      <c r="B381" s="56" t="s">
        <v>42</v>
      </c>
      <c r="C381" s="57" t="s">
        <v>43</v>
      </c>
      <c r="D381" s="141" t="s">
        <v>669</v>
      </c>
      <c r="E381" s="141" t="s">
        <v>684</v>
      </c>
      <c r="F381" s="141" t="str">
        <f>VLOOKUP(E381,[1]库存!$B$1:$C$65536,2,FALSE)</f>
        <v>K6 SAB LH （国产缝纫线）</v>
      </c>
      <c r="G381" s="141" t="s">
        <v>685</v>
      </c>
      <c r="H381" s="141" t="s">
        <v>686</v>
      </c>
      <c r="I381" s="141" t="s">
        <v>687</v>
      </c>
      <c r="J381" s="60" t="s">
        <v>65</v>
      </c>
      <c r="K381" s="61"/>
      <c r="L381" s="62">
        <v>2</v>
      </c>
      <c r="M381" s="63">
        <v>700</v>
      </c>
      <c r="N381" s="64">
        <v>10</v>
      </c>
      <c r="O381" s="62">
        <v>2</v>
      </c>
      <c r="P381" s="65">
        <f t="shared" si="13"/>
        <v>0</v>
      </c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7"/>
      <c r="BF381" s="67"/>
      <c r="BG381" s="68"/>
      <c r="BI381" s="69">
        <v>0</v>
      </c>
      <c r="BJ381" s="70">
        <v>0</v>
      </c>
      <c r="BK381" s="71">
        <v>0</v>
      </c>
      <c r="BL381" s="71">
        <v>0</v>
      </c>
      <c r="BM381" s="71">
        <v>0</v>
      </c>
      <c r="BN381" s="72">
        <v>0</v>
      </c>
      <c r="BO381" s="73"/>
      <c r="BP381" s="73"/>
      <c r="BQ381" s="71">
        <v>0</v>
      </c>
      <c r="BR381" s="71">
        <v>0</v>
      </c>
      <c r="BS381" s="71">
        <v>0</v>
      </c>
      <c r="BT381" s="72">
        <v>0</v>
      </c>
      <c r="BU381" s="73"/>
      <c r="BV381" s="73"/>
    </row>
    <row r="382" ht="30" customHeight="1" spans="1:74">
      <c r="A382" s="55">
        <v>0</v>
      </c>
      <c r="B382" s="56">
        <v>0</v>
      </c>
      <c r="C382" s="57">
        <v>0</v>
      </c>
      <c r="D382" s="161"/>
      <c r="E382" s="161"/>
      <c r="F382" s="141" t="e">
        <f>VLOOKUP(E382,[1]库存!$B$1:$C$65536,2,FALSE)</f>
        <v>#N/A</v>
      </c>
      <c r="G382" s="141" t="e">
        <v>#N/A</v>
      </c>
      <c r="H382" s="161"/>
      <c r="I382" s="161"/>
      <c r="J382" s="75"/>
      <c r="K382" s="61"/>
      <c r="L382" s="62">
        <v>0</v>
      </c>
      <c r="M382" s="63">
        <v>0</v>
      </c>
      <c r="N382" s="64">
        <v>0</v>
      </c>
      <c r="O382" s="62">
        <v>0</v>
      </c>
      <c r="P382" s="65">
        <f t="shared" si="13"/>
        <v>0</v>
      </c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7"/>
      <c r="BF382" s="67"/>
      <c r="BG382" s="68"/>
      <c r="BI382" s="69">
        <v>0</v>
      </c>
      <c r="BJ382" s="70">
        <v>0</v>
      </c>
      <c r="BK382" s="71">
        <v>0</v>
      </c>
      <c r="BL382" s="71">
        <v>0</v>
      </c>
      <c r="BM382" s="71">
        <v>0</v>
      </c>
      <c r="BN382" s="72">
        <v>0</v>
      </c>
      <c r="BO382" s="73"/>
      <c r="BP382" s="73"/>
      <c r="BQ382" s="71">
        <v>0</v>
      </c>
      <c r="BR382" s="71">
        <v>0</v>
      </c>
      <c r="BS382" s="71">
        <v>0</v>
      </c>
      <c r="BT382" s="72">
        <v>0</v>
      </c>
      <c r="BU382" s="73"/>
      <c r="BV382" s="73"/>
    </row>
    <row r="383" ht="30" customHeight="1" spans="1:74">
      <c r="A383" s="55" t="s">
        <v>246</v>
      </c>
      <c r="B383" s="56" t="s">
        <v>42</v>
      </c>
      <c r="C383" s="57" t="s">
        <v>43</v>
      </c>
      <c r="D383" s="141" t="s">
        <v>669</v>
      </c>
      <c r="E383" s="141" t="s">
        <v>688</v>
      </c>
      <c r="F383" s="141" t="str">
        <f>VLOOKUP(E383,[1]库存!$B$1:$C$65536,2,FALSE)</f>
        <v>K6 SAB RH （国产缝纫线）</v>
      </c>
      <c r="G383" s="141" t="s">
        <v>689</v>
      </c>
      <c r="H383" s="141" t="s">
        <v>690</v>
      </c>
      <c r="I383" s="141" t="s">
        <v>687</v>
      </c>
      <c r="J383" s="60" t="s">
        <v>65</v>
      </c>
      <c r="K383" s="61"/>
      <c r="L383" s="62">
        <v>2</v>
      </c>
      <c r="M383" s="63">
        <v>700</v>
      </c>
      <c r="N383" s="64">
        <v>10</v>
      </c>
      <c r="O383" s="62">
        <v>2</v>
      </c>
      <c r="P383" s="65">
        <f t="shared" si="13"/>
        <v>0</v>
      </c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7"/>
      <c r="BF383" s="67"/>
      <c r="BG383" s="68"/>
      <c r="BI383" s="69">
        <v>0</v>
      </c>
      <c r="BJ383" s="70">
        <v>0</v>
      </c>
      <c r="BK383" s="71">
        <v>0</v>
      </c>
      <c r="BL383" s="71">
        <v>0</v>
      </c>
      <c r="BM383" s="71">
        <v>0</v>
      </c>
      <c r="BN383" s="72">
        <v>0</v>
      </c>
      <c r="BO383" s="73"/>
      <c r="BP383" s="73"/>
      <c r="BQ383" s="71">
        <v>0</v>
      </c>
      <c r="BR383" s="71">
        <v>0</v>
      </c>
      <c r="BS383" s="71">
        <v>0</v>
      </c>
      <c r="BT383" s="72">
        <v>0</v>
      </c>
      <c r="BU383" s="73"/>
      <c r="BV383" s="73"/>
    </row>
    <row r="384" ht="30" customHeight="1" spans="1:74">
      <c r="A384" s="55">
        <v>0</v>
      </c>
      <c r="B384" s="56">
        <v>0</v>
      </c>
      <c r="C384" s="57">
        <v>0</v>
      </c>
      <c r="D384" s="161"/>
      <c r="E384" s="161"/>
      <c r="F384" s="141" t="e">
        <f>VLOOKUP(E384,[1]库存!$B$1:$C$65536,2,FALSE)</f>
        <v>#N/A</v>
      </c>
      <c r="G384" s="141" t="e">
        <v>#N/A</v>
      </c>
      <c r="H384" s="161"/>
      <c r="I384" s="161"/>
      <c r="J384" s="75"/>
      <c r="K384" s="61"/>
      <c r="L384" s="62">
        <v>0</v>
      </c>
      <c r="M384" s="63">
        <v>0</v>
      </c>
      <c r="N384" s="64">
        <v>0</v>
      </c>
      <c r="O384" s="62">
        <v>0</v>
      </c>
      <c r="P384" s="65">
        <f t="shared" si="13"/>
        <v>0</v>
      </c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7"/>
      <c r="BF384" s="67"/>
      <c r="BG384" s="68"/>
      <c r="BI384" s="69">
        <v>0</v>
      </c>
      <c r="BJ384" s="70">
        <v>0</v>
      </c>
      <c r="BK384" s="71">
        <v>0</v>
      </c>
      <c r="BL384" s="71">
        <v>0</v>
      </c>
      <c r="BM384" s="71">
        <v>0</v>
      </c>
      <c r="BN384" s="72">
        <v>0</v>
      </c>
      <c r="BO384" s="73"/>
      <c r="BP384" s="73"/>
      <c r="BQ384" s="71">
        <v>0</v>
      </c>
      <c r="BR384" s="71">
        <v>0</v>
      </c>
      <c r="BS384" s="71">
        <v>0</v>
      </c>
      <c r="BT384" s="72">
        <v>0</v>
      </c>
      <c r="BU384" s="73"/>
      <c r="BV384" s="73"/>
    </row>
    <row r="385" ht="30" customHeight="1" spans="1:74">
      <c r="A385" s="55">
        <v>0</v>
      </c>
      <c r="B385" s="56" t="s">
        <v>42</v>
      </c>
      <c r="C385" s="57" t="s">
        <v>43</v>
      </c>
      <c r="D385" s="59" t="s">
        <v>669</v>
      </c>
      <c r="E385" s="59"/>
      <c r="F385" s="59" t="e">
        <f>VLOOKUP(E385,[1]库存!$B$1:$C$65536,2,FALSE)</f>
        <v>#N/A</v>
      </c>
      <c r="G385" s="59" t="e">
        <v>#N/A</v>
      </c>
      <c r="H385" s="59" t="s">
        <v>691</v>
      </c>
      <c r="I385" s="59" t="s">
        <v>692</v>
      </c>
      <c r="J385" s="60" t="s">
        <v>65</v>
      </c>
      <c r="K385" s="61"/>
      <c r="L385" s="62">
        <v>2</v>
      </c>
      <c r="M385" s="63">
        <v>700</v>
      </c>
      <c r="N385" s="64">
        <v>10</v>
      </c>
      <c r="O385" s="62">
        <v>2</v>
      </c>
      <c r="P385" s="65">
        <f t="shared" si="13"/>
        <v>0</v>
      </c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7"/>
      <c r="BF385" s="67"/>
      <c r="BG385" s="68"/>
      <c r="BI385" s="69">
        <v>0</v>
      </c>
      <c r="BJ385" s="70">
        <v>0</v>
      </c>
      <c r="BK385" s="71">
        <v>0</v>
      </c>
      <c r="BL385" s="71">
        <v>0</v>
      </c>
      <c r="BM385" s="71">
        <v>0</v>
      </c>
      <c r="BN385" s="72">
        <v>0</v>
      </c>
      <c r="BO385" s="73"/>
      <c r="BP385" s="73"/>
      <c r="BQ385" s="71">
        <v>0</v>
      </c>
      <c r="BR385" s="71">
        <v>0</v>
      </c>
      <c r="BS385" s="71">
        <v>0</v>
      </c>
      <c r="BT385" s="72">
        <v>0</v>
      </c>
      <c r="BU385" s="73"/>
      <c r="BV385" s="73"/>
    </row>
    <row r="386" ht="30" customHeight="1" spans="1:74">
      <c r="A386" s="55">
        <v>0</v>
      </c>
      <c r="B386" s="56">
        <v>0</v>
      </c>
      <c r="C386" s="57">
        <v>0</v>
      </c>
      <c r="D386" s="74"/>
      <c r="E386" s="74"/>
      <c r="F386" s="59" t="e">
        <f>VLOOKUP(E386,[1]库存!$B$1:$C$65536,2,FALSE)</f>
        <v>#N/A</v>
      </c>
      <c r="G386" s="59" t="e">
        <v>#N/A</v>
      </c>
      <c r="H386" s="74"/>
      <c r="I386" s="74"/>
      <c r="J386" s="75"/>
      <c r="K386" s="61"/>
      <c r="L386" s="62">
        <v>0</v>
      </c>
      <c r="M386" s="63">
        <v>0</v>
      </c>
      <c r="N386" s="64">
        <v>0</v>
      </c>
      <c r="O386" s="62">
        <v>0</v>
      </c>
      <c r="P386" s="65">
        <f t="shared" si="13"/>
        <v>0</v>
      </c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7"/>
      <c r="BF386" s="67"/>
      <c r="BG386" s="68"/>
      <c r="BI386" s="69">
        <v>0</v>
      </c>
      <c r="BJ386" s="70">
        <v>0</v>
      </c>
      <c r="BK386" s="71">
        <v>0</v>
      </c>
      <c r="BL386" s="71">
        <v>0</v>
      </c>
      <c r="BM386" s="71">
        <v>0</v>
      </c>
      <c r="BN386" s="72">
        <v>0</v>
      </c>
      <c r="BO386" s="73"/>
      <c r="BP386" s="73"/>
      <c r="BQ386" s="71">
        <v>0</v>
      </c>
      <c r="BR386" s="71">
        <v>0</v>
      </c>
      <c r="BS386" s="71">
        <v>0</v>
      </c>
      <c r="BT386" s="72">
        <v>0</v>
      </c>
      <c r="BU386" s="73"/>
      <c r="BV386" s="73"/>
    </row>
    <row r="387" ht="30" customHeight="1" spans="1:74">
      <c r="A387" s="55">
        <v>0</v>
      </c>
      <c r="B387" s="56" t="s">
        <v>42</v>
      </c>
      <c r="C387" s="57" t="s">
        <v>43</v>
      </c>
      <c r="D387" s="59" t="s">
        <v>669</v>
      </c>
      <c r="E387" s="59"/>
      <c r="F387" s="59" t="e">
        <f>VLOOKUP(E387,[1]库存!$B$1:$C$65536,2,FALSE)</f>
        <v>#N/A</v>
      </c>
      <c r="G387" s="59" t="e">
        <v>#N/A</v>
      </c>
      <c r="H387" s="59" t="s">
        <v>693</v>
      </c>
      <c r="I387" s="59" t="s">
        <v>694</v>
      </c>
      <c r="J387" s="60" t="s">
        <v>65</v>
      </c>
      <c r="K387" s="61"/>
      <c r="L387" s="62">
        <v>2</v>
      </c>
      <c r="M387" s="63">
        <v>700</v>
      </c>
      <c r="N387" s="64">
        <v>10</v>
      </c>
      <c r="O387" s="62">
        <v>2</v>
      </c>
      <c r="P387" s="65">
        <f t="shared" si="13"/>
        <v>0</v>
      </c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7"/>
      <c r="BF387" s="67"/>
      <c r="BG387" s="68"/>
      <c r="BI387" s="69">
        <v>0</v>
      </c>
      <c r="BJ387" s="70">
        <v>0</v>
      </c>
      <c r="BK387" s="71">
        <v>0</v>
      </c>
      <c r="BL387" s="71">
        <v>0</v>
      </c>
      <c r="BM387" s="71">
        <v>0</v>
      </c>
      <c r="BN387" s="72">
        <v>0</v>
      </c>
      <c r="BO387" s="73"/>
      <c r="BP387" s="73"/>
      <c r="BQ387" s="71">
        <v>0</v>
      </c>
      <c r="BR387" s="71">
        <v>0</v>
      </c>
      <c r="BS387" s="71">
        <v>0</v>
      </c>
      <c r="BT387" s="72">
        <v>0</v>
      </c>
      <c r="BU387" s="73"/>
      <c r="BV387" s="73"/>
    </row>
    <row r="388" ht="30" customHeight="1" spans="1:74">
      <c r="A388" s="55">
        <v>0</v>
      </c>
      <c r="B388" s="56">
        <v>0</v>
      </c>
      <c r="C388" s="57">
        <v>0</v>
      </c>
      <c r="D388" s="74"/>
      <c r="E388" s="74"/>
      <c r="F388" s="59" t="e">
        <f>VLOOKUP(E388,[1]库存!$B$1:$C$65536,2,FALSE)</f>
        <v>#N/A</v>
      </c>
      <c r="G388" s="59" t="e">
        <v>#N/A</v>
      </c>
      <c r="H388" s="74"/>
      <c r="I388" s="74"/>
      <c r="J388" s="75"/>
      <c r="K388" s="61"/>
      <c r="L388" s="62">
        <v>0</v>
      </c>
      <c r="M388" s="63">
        <v>0</v>
      </c>
      <c r="N388" s="64">
        <v>0</v>
      </c>
      <c r="O388" s="62">
        <v>0</v>
      </c>
      <c r="P388" s="65">
        <f t="shared" si="13"/>
        <v>0</v>
      </c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7"/>
      <c r="BF388" s="67"/>
      <c r="BG388" s="68"/>
      <c r="BI388" s="69">
        <v>0</v>
      </c>
      <c r="BJ388" s="70">
        <v>0</v>
      </c>
      <c r="BK388" s="71">
        <v>0</v>
      </c>
      <c r="BL388" s="71">
        <v>0</v>
      </c>
      <c r="BM388" s="71">
        <v>0</v>
      </c>
      <c r="BN388" s="72">
        <v>0</v>
      </c>
      <c r="BO388" s="73"/>
      <c r="BP388" s="73"/>
      <c r="BQ388" s="71">
        <v>0</v>
      </c>
      <c r="BR388" s="71">
        <v>0</v>
      </c>
      <c r="BS388" s="71">
        <v>0</v>
      </c>
      <c r="BT388" s="72">
        <v>0</v>
      </c>
      <c r="BU388" s="73"/>
      <c r="BV388" s="73"/>
    </row>
    <row r="389" ht="30" customHeight="1" spans="1:74">
      <c r="A389" s="55" t="s">
        <v>165</v>
      </c>
      <c r="B389" s="56" t="s">
        <v>42</v>
      </c>
      <c r="C389" s="57" t="s">
        <v>43</v>
      </c>
      <c r="D389" s="59" t="s">
        <v>669</v>
      </c>
      <c r="E389" s="59" t="s">
        <v>695</v>
      </c>
      <c r="F389" s="59" t="str">
        <f>VLOOKUP(E389,[1]库存!$B$1:$C$65536,2,FALSE)</f>
        <v>KC-1 SAB LH （国产缝纫线）</v>
      </c>
      <c r="G389" s="59" t="s">
        <v>696</v>
      </c>
      <c r="H389" s="59" t="s">
        <v>697</v>
      </c>
      <c r="I389" s="59" t="s">
        <v>698</v>
      </c>
      <c r="J389" s="60" t="s">
        <v>65</v>
      </c>
      <c r="K389" s="61"/>
      <c r="L389" s="62">
        <v>2</v>
      </c>
      <c r="M389" s="63">
        <v>1300</v>
      </c>
      <c r="N389" s="64">
        <v>10</v>
      </c>
      <c r="O389" s="62">
        <v>2</v>
      </c>
      <c r="P389" s="65">
        <f t="shared" si="13"/>
        <v>0</v>
      </c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7"/>
      <c r="BF389" s="67"/>
      <c r="BG389" s="68"/>
      <c r="BI389" s="69">
        <v>0</v>
      </c>
      <c r="BJ389" s="70">
        <v>0</v>
      </c>
      <c r="BK389" s="71">
        <v>0</v>
      </c>
      <c r="BL389" s="71">
        <v>0</v>
      </c>
      <c r="BM389" s="71">
        <v>0</v>
      </c>
      <c r="BN389" s="72">
        <v>0</v>
      </c>
      <c r="BO389" s="73"/>
      <c r="BP389" s="73"/>
      <c r="BQ389" s="71">
        <v>0</v>
      </c>
      <c r="BR389" s="71">
        <v>0</v>
      </c>
      <c r="BS389" s="71">
        <v>0</v>
      </c>
      <c r="BT389" s="72">
        <v>0</v>
      </c>
      <c r="BU389" s="73"/>
      <c r="BV389" s="73"/>
    </row>
    <row r="390" ht="30" customHeight="1" spans="1:74">
      <c r="A390" s="55">
        <v>0</v>
      </c>
      <c r="B390" s="56">
        <v>0</v>
      </c>
      <c r="C390" s="57">
        <v>0</v>
      </c>
      <c r="D390" s="74"/>
      <c r="E390" s="74"/>
      <c r="F390" s="59" t="e">
        <f>VLOOKUP(E390,[1]库存!$B$1:$C$65536,2,FALSE)</f>
        <v>#N/A</v>
      </c>
      <c r="G390" s="59" t="e">
        <v>#N/A</v>
      </c>
      <c r="H390" s="74"/>
      <c r="I390" s="74"/>
      <c r="J390" s="75"/>
      <c r="K390" s="61"/>
      <c r="L390" s="62">
        <v>0</v>
      </c>
      <c r="M390" s="63">
        <v>0</v>
      </c>
      <c r="N390" s="64">
        <v>0</v>
      </c>
      <c r="O390" s="62">
        <v>0</v>
      </c>
      <c r="P390" s="65">
        <f t="shared" ref="P390:P453" si="14">SUM(AG390:AJ390)</f>
        <v>0</v>
      </c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7"/>
      <c r="BF390" s="67"/>
      <c r="BG390" s="68"/>
      <c r="BI390" s="69">
        <v>0</v>
      </c>
      <c r="BJ390" s="70">
        <v>0</v>
      </c>
      <c r="BK390" s="71">
        <v>0</v>
      </c>
      <c r="BL390" s="71">
        <v>0</v>
      </c>
      <c r="BM390" s="71">
        <v>0</v>
      </c>
      <c r="BN390" s="72">
        <v>0</v>
      </c>
      <c r="BO390" s="73"/>
      <c r="BP390" s="73"/>
      <c r="BQ390" s="71">
        <v>0</v>
      </c>
      <c r="BR390" s="71">
        <v>0</v>
      </c>
      <c r="BS390" s="71">
        <v>0</v>
      </c>
      <c r="BT390" s="72">
        <v>0</v>
      </c>
      <c r="BU390" s="73"/>
      <c r="BV390" s="73"/>
    </row>
    <row r="391" ht="30" customHeight="1" spans="1:74">
      <c r="A391" s="55" t="s">
        <v>165</v>
      </c>
      <c r="B391" s="56" t="s">
        <v>42</v>
      </c>
      <c r="C391" s="57" t="s">
        <v>43</v>
      </c>
      <c r="D391" s="59" t="s">
        <v>669</v>
      </c>
      <c r="E391" s="59" t="s">
        <v>699</v>
      </c>
      <c r="F391" s="59" t="str">
        <f>VLOOKUP(E391,[1]库存!$B$1:$C$65536,2,FALSE)</f>
        <v>KC-1 SAB RH （国产缝纫线）</v>
      </c>
      <c r="G391" s="59" t="s">
        <v>700</v>
      </c>
      <c r="H391" s="59" t="s">
        <v>701</v>
      </c>
      <c r="I391" s="59" t="s">
        <v>698</v>
      </c>
      <c r="J391" s="60" t="s">
        <v>65</v>
      </c>
      <c r="K391" s="61"/>
      <c r="L391" s="62">
        <v>2</v>
      </c>
      <c r="M391" s="63">
        <v>1300</v>
      </c>
      <c r="N391" s="64">
        <v>10</v>
      </c>
      <c r="O391" s="62">
        <v>2</v>
      </c>
      <c r="P391" s="65">
        <f t="shared" si="14"/>
        <v>0</v>
      </c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7"/>
      <c r="BF391" s="67"/>
      <c r="BG391" s="68"/>
      <c r="BI391" s="69">
        <v>0</v>
      </c>
      <c r="BJ391" s="70">
        <v>0</v>
      </c>
      <c r="BK391" s="71">
        <v>0</v>
      </c>
      <c r="BL391" s="71">
        <v>0</v>
      </c>
      <c r="BM391" s="71">
        <v>0</v>
      </c>
      <c r="BN391" s="72">
        <v>0</v>
      </c>
      <c r="BO391" s="73"/>
      <c r="BP391" s="73"/>
      <c r="BQ391" s="71">
        <v>0</v>
      </c>
      <c r="BR391" s="71">
        <v>0</v>
      </c>
      <c r="BS391" s="71">
        <v>0</v>
      </c>
      <c r="BT391" s="72">
        <v>0</v>
      </c>
      <c r="BU391" s="73"/>
      <c r="BV391" s="73"/>
    </row>
    <row r="392" ht="30" customHeight="1" spans="1:74">
      <c r="A392" s="55">
        <v>0</v>
      </c>
      <c r="B392" s="56">
        <v>0</v>
      </c>
      <c r="C392" s="57">
        <v>0</v>
      </c>
      <c r="D392" s="74"/>
      <c r="E392" s="74"/>
      <c r="F392" s="59" t="e">
        <f>VLOOKUP(E392,[1]库存!$B$1:$C$65536,2,FALSE)</f>
        <v>#N/A</v>
      </c>
      <c r="G392" s="59" t="e">
        <v>#N/A</v>
      </c>
      <c r="H392" s="74"/>
      <c r="I392" s="74"/>
      <c r="J392" s="75"/>
      <c r="K392" s="61"/>
      <c r="L392" s="62">
        <v>0</v>
      </c>
      <c r="M392" s="63">
        <v>0</v>
      </c>
      <c r="N392" s="64">
        <v>0</v>
      </c>
      <c r="O392" s="62">
        <v>0</v>
      </c>
      <c r="P392" s="65">
        <f t="shared" si="14"/>
        <v>0</v>
      </c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7"/>
      <c r="BF392" s="67"/>
      <c r="BG392" s="68"/>
      <c r="BI392" s="69">
        <v>0</v>
      </c>
      <c r="BJ392" s="70">
        <v>0</v>
      </c>
      <c r="BK392" s="71">
        <v>0</v>
      </c>
      <c r="BL392" s="71">
        <v>0</v>
      </c>
      <c r="BM392" s="71">
        <v>0</v>
      </c>
      <c r="BN392" s="72">
        <v>0</v>
      </c>
      <c r="BO392" s="73"/>
      <c r="BP392" s="73"/>
      <c r="BQ392" s="71">
        <v>0</v>
      </c>
      <c r="BR392" s="71">
        <v>0</v>
      </c>
      <c r="BS392" s="71">
        <v>0</v>
      </c>
      <c r="BT392" s="72">
        <v>0</v>
      </c>
      <c r="BU392" s="73"/>
      <c r="BV392" s="73"/>
    </row>
    <row r="393" ht="30" customHeight="1" spans="1:74">
      <c r="A393" s="55">
        <v>0</v>
      </c>
      <c r="B393" s="56" t="s">
        <v>42</v>
      </c>
      <c r="C393" s="57" t="s">
        <v>43</v>
      </c>
      <c r="D393" s="59" t="s">
        <v>669</v>
      </c>
      <c r="E393" s="59" t="s">
        <v>702</v>
      </c>
      <c r="F393" s="59" t="str">
        <f>VLOOKUP(E393,[1]库存!$B$1:$C$65536,2,FALSE)</f>
        <v>LC SABL</v>
      </c>
      <c r="G393" s="59" t="s">
        <v>703</v>
      </c>
      <c r="H393" s="59" t="s">
        <v>704</v>
      </c>
      <c r="I393" s="59" t="s">
        <v>705</v>
      </c>
      <c r="J393" s="60" t="s">
        <v>65</v>
      </c>
      <c r="K393" s="61"/>
      <c r="L393" s="62">
        <v>2</v>
      </c>
      <c r="M393" s="63">
        <v>1210</v>
      </c>
      <c r="N393" s="64">
        <v>10</v>
      </c>
      <c r="O393" s="62">
        <v>2</v>
      </c>
      <c r="P393" s="65">
        <f t="shared" si="14"/>
        <v>0</v>
      </c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7"/>
      <c r="BF393" s="67"/>
      <c r="BG393" s="68"/>
      <c r="BI393" s="69">
        <v>0</v>
      </c>
      <c r="BJ393" s="70">
        <v>0</v>
      </c>
      <c r="BK393" s="71">
        <v>0</v>
      </c>
      <c r="BL393" s="71">
        <v>0</v>
      </c>
      <c r="BM393" s="71">
        <v>0</v>
      </c>
      <c r="BN393" s="72">
        <v>0</v>
      </c>
      <c r="BO393" s="73"/>
      <c r="BP393" s="73"/>
      <c r="BQ393" s="71">
        <v>0</v>
      </c>
      <c r="BR393" s="71">
        <v>0</v>
      </c>
      <c r="BS393" s="71">
        <v>0</v>
      </c>
      <c r="BT393" s="72">
        <v>0</v>
      </c>
      <c r="BU393" s="73"/>
      <c r="BV393" s="73"/>
    </row>
    <row r="394" ht="30" customHeight="1" spans="1:74">
      <c r="A394" s="55">
        <v>0</v>
      </c>
      <c r="B394" s="56">
        <v>0</v>
      </c>
      <c r="C394" s="57">
        <v>0</v>
      </c>
      <c r="D394" s="74"/>
      <c r="E394" s="74"/>
      <c r="F394" s="59" t="e">
        <f>VLOOKUP(E394,[1]库存!$B$1:$C$65536,2,FALSE)</f>
        <v>#N/A</v>
      </c>
      <c r="G394" s="59" t="e">
        <v>#N/A</v>
      </c>
      <c r="H394" s="74"/>
      <c r="I394" s="74"/>
      <c r="J394" s="75"/>
      <c r="K394" s="61"/>
      <c r="L394" s="62">
        <v>0</v>
      </c>
      <c r="M394" s="63">
        <v>0</v>
      </c>
      <c r="N394" s="64">
        <v>0</v>
      </c>
      <c r="O394" s="62">
        <v>0</v>
      </c>
      <c r="P394" s="65">
        <f t="shared" si="14"/>
        <v>0</v>
      </c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7"/>
      <c r="BF394" s="67"/>
      <c r="BG394" s="68"/>
      <c r="BI394" s="69">
        <v>0</v>
      </c>
      <c r="BJ394" s="70">
        <v>0</v>
      </c>
      <c r="BK394" s="71">
        <v>0</v>
      </c>
      <c r="BL394" s="71">
        <v>0</v>
      </c>
      <c r="BM394" s="71">
        <v>0</v>
      </c>
      <c r="BN394" s="72">
        <v>0</v>
      </c>
      <c r="BO394" s="73"/>
      <c r="BP394" s="73"/>
      <c r="BQ394" s="71">
        <v>0</v>
      </c>
      <c r="BR394" s="71">
        <v>0</v>
      </c>
      <c r="BS394" s="71">
        <v>0</v>
      </c>
      <c r="BT394" s="72">
        <v>0</v>
      </c>
      <c r="BU394" s="73"/>
      <c r="BV394" s="73"/>
    </row>
    <row r="395" ht="30" customHeight="1" spans="1:74">
      <c r="A395" s="55">
        <v>0</v>
      </c>
      <c r="B395" s="56" t="s">
        <v>42</v>
      </c>
      <c r="C395" s="57" t="s">
        <v>43</v>
      </c>
      <c r="D395" s="59" t="s">
        <v>669</v>
      </c>
      <c r="E395" s="59" t="s">
        <v>706</v>
      </c>
      <c r="F395" s="59" t="str">
        <f>VLOOKUP(E395,[1]库存!$B$1:$C$65536,2,FALSE)</f>
        <v>LC SABR</v>
      </c>
      <c r="G395" s="59" t="s">
        <v>707</v>
      </c>
      <c r="H395" s="59" t="s">
        <v>708</v>
      </c>
      <c r="I395" s="59" t="s">
        <v>705</v>
      </c>
      <c r="J395" s="60" t="s">
        <v>65</v>
      </c>
      <c r="K395" s="61"/>
      <c r="L395" s="62">
        <v>2</v>
      </c>
      <c r="M395" s="63">
        <v>1210</v>
      </c>
      <c r="N395" s="64">
        <v>10</v>
      </c>
      <c r="O395" s="62">
        <v>2</v>
      </c>
      <c r="P395" s="65">
        <f t="shared" si="14"/>
        <v>0</v>
      </c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7"/>
      <c r="BF395" s="67"/>
      <c r="BG395" s="68"/>
      <c r="BI395" s="69">
        <v>0</v>
      </c>
      <c r="BJ395" s="70">
        <v>0</v>
      </c>
      <c r="BK395" s="71">
        <v>0</v>
      </c>
      <c r="BL395" s="71">
        <v>0</v>
      </c>
      <c r="BM395" s="71">
        <v>0</v>
      </c>
      <c r="BN395" s="72">
        <v>0</v>
      </c>
      <c r="BO395" s="73"/>
      <c r="BP395" s="73"/>
      <c r="BQ395" s="71">
        <v>0</v>
      </c>
      <c r="BR395" s="71">
        <v>0</v>
      </c>
      <c r="BS395" s="71">
        <v>0</v>
      </c>
      <c r="BT395" s="72">
        <v>0</v>
      </c>
      <c r="BU395" s="73"/>
      <c r="BV395" s="73"/>
    </row>
    <row r="396" ht="30" customHeight="1" spans="1:74">
      <c r="A396" s="55">
        <v>0</v>
      </c>
      <c r="B396" s="56">
        <v>0</v>
      </c>
      <c r="C396" s="57">
        <v>0</v>
      </c>
      <c r="D396" s="74"/>
      <c r="E396" s="74"/>
      <c r="F396" s="59" t="e">
        <f>VLOOKUP(E396,[1]库存!$B$1:$C$65536,2,FALSE)</f>
        <v>#N/A</v>
      </c>
      <c r="G396" s="59" t="e">
        <v>#N/A</v>
      </c>
      <c r="H396" s="74"/>
      <c r="I396" s="74"/>
      <c r="J396" s="75"/>
      <c r="K396" s="61"/>
      <c r="L396" s="62">
        <v>0</v>
      </c>
      <c r="M396" s="63">
        <v>0</v>
      </c>
      <c r="N396" s="64">
        <v>0</v>
      </c>
      <c r="O396" s="62">
        <v>0</v>
      </c>
      <c r="P396" s="65">
        <f t="shared" si="14"/>
        <v>0</v>
      </c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7"/>
      <c r="BF396" s="67"/>
      <c r="BG396" s="68"/>
      <c r="BI396" s="69">
        <v>0</v>
      </c>
      <c r="BJ396" s="70">
        <v>0</v>
      </c>
      <c r="BK396" s="71">
        <v>0</v>
      </c>
      <c r="BL396" s="71">
        <v>0</v>
      </c>
      <c r="BM396" s="71">
        <v>0</v>
      </c>
      <c r="BN396" s="72">
        <v>0</v>
      </c>
      <c r="BO396" s="73"/>
      <c r="BP396" s="73"/>
      <c r="BQ396" s="71">
        <v>0</v>
      </c>
      <c r="BR396" s="71">
        <v>0</v>
      </c>
      <c r="BS396" s="71">
        <v>0</v>
      </c>
      <c r="BT396" s="72">
        <v>0</v>
      </c>
      <c r="BU396" s="73"/>
      <c r="BV396" s="73"/>
    </row>
    <row r="397" ht="30" customHeight="1" spans="1:74">
      <c r="A397" s="55">
        <v>0</v>
      </c>
      <c r="B397" s="56" t="s">
        <v>42</v>
      </c>
      <c r="C397" s="57" t="s">
        <v>43</v>
      </c>
      <c r="D397" s="141" t="s">
        <v>669</v>
      </c>
      <c r="E397" s="141" t="s">
        <v>709</v>
      </c>
      <c r="F397" s="141" t="str">
        <f>VLOOKUP(E397,[1]库存!$B$1:$C$65536,2,FALSE)</f>
        <v>D568 MCA SAB LH (埃)</v>
      </c>
      <c r="G397" s="141" t="s">
        <v>710</v>
      </c>
      <c r="H397" s="141" t="s">
        <v>711</v>
      </c>
      <c r="I397" s="141" t="s">
        <v>712</v>
      </c>
      <c r="J397" s="60" t="s">
        <v>65</v>
      </c>
      <c r="K397" s="61"/>
      <c r="L397" s="62">
        <v>2</v>
      </c>
      <c r="M397" s="63">
        <v>1200</v>
      </c>
      <c r="N397" s="64">
        <v>11</v>
      </c>
      <c r="O397" s="62">
        <v>2</v>
      </c>
      <c r="P397" s="65">
        <f t="shared" si="14"/>
        <v>0</v>
      </c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7"/>
      <c r="BF397" s="67"/>
      <c r="BG397" s="68"/>
      <c r="BI397" s="69">
        <v>0</v>
      </c>
      <c r="BJ397" s="70">
        <v>0</v>
      </c>
      <c r="BK397" s="71">
        <v>0</v>
      </c>
      <c r="BL397" s="71">
        <v>0</v>
      </c>
      <c r="BM397" s="71">
        <v>0</v>
      </c>
      <c r="BN397" s="72">
        <v>0</v>
      </c>
      <c r="BO397" s="73"/>
      <c r="BP397" s="73"/>
      <c r="BQ397" s="71">
        <v>0</v>
      </c>
      <c r="BR397" s="71">
        <v>0</v>
      </c>
      <c r="BS397" s="71">
        <v>0</v>
      </c>
      <c r="BT397" s="72">
        <v>0</v>
      </c>
      <c r="BU397" s="73"/>
      <c r="BV397" s="73"/>
    </row>
    <row r="398" ht="30" customHeight="1" spans="1:74">
      <c r="A398" s="55">
        <v>0</v>
      </c>
      <c r="B398" s="56">
        <v>0</v>
      </c>
      <c r="C398" s="57">
        <v>0</v>
      </c>
      <c r="D398" s="161"/>
      <c r="E398" s="161"/>
      <c r="F398" s="141" t="e">
        <f>VLOOKUP(E398,[1]库存!$B$1:$C$65536,2,FALSE)</f>
        <v>#N/A</v>
      </c>
      <c r="G398" s="141" t="e">
        <v>#N/A</v>
      </c>
      <c r="H398" s="161"/>
      <c r="I398" s="161"/>
      <c r="J398" s="75"/>
      <c r="K398" s="61"/>
      <c r="L398" s="62">
        <v>0</v>
      </c>
      <c r="M398" s="63">
        <v>0</v>
      </c>
      <c r="N398" s="64">
        <v>0</v>
      </c>
      <c r="O398" s="62">
        <v>0</v>
      </c>
      <c r="P398" s="65">
        <f t="shared" si="14"/>
        <v>0</v>
      </c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7"/>
      <c r="BF398" s="67"/>
      <c r="BG398" s="68"/>
      <c r="BI398" s="69">
        <v>0</v>
      </c>
      <c r="BJ398" s="70">
        <v>0</v>
      </c>
      <c r="BK398" s="71">
        <v>0</v>
      </c>
      <c r="BL398" s="71">
        <v>0</v>
      </c>
      <c r="BM398" s="71">
        <v>0</v>
      </c>
      <c r="BN398" s="72">
        <v>0</v>
      </c>
      <c r="BO398" s="73"/>
      <c r="BP398" s="73"/>
      <c r="BQ398" s="71">
        <v>0</v>
      </c>
      <c r="BR398" s="71">
        <v>0</v>
      </c>
      <c r="BS398" s="71">
        <v>0</v>
      </c>
      <c r="BT398" s="72">
        <v>0</v>
      </c>
      <c r="BU398" s="73"/>
      <c r="BV398" s="73"/>
    </row>
    <row r="399" ht="30" customHeight="1" spans="1:74">
      <c r="A399" s="55">
        <v>0</v>
      </c>
      <c r="B399" s="56" t="s">
        <v>42</v>
      </c>
      <c r="C399" s="57" t="s">
        <v>43</v>
      </c>
      <c r="D399" s="141" t="s">
        <v>669</v>
      </c>
      <c r="E399" s="141" t="s">
        <v>713</v>
      </c>
      <c r="F399" s="141" t="str">
        <f>VLOOKUP(E399,[1]库存!$B$1:$C$65536,2,FALSE)</f>
        <v>D568 MCA SAB RH (埃)</v>
      </c>
      <c r="G399" s="141" t="s">
        <v>714</v>
      </c>
      <c r="H399" s="141" t="s">
        <v>715</v>
      </c>
      <c r="I399" s="141" t="s">
        <v>712</v>
      </c>
      <c r="J399" s="60" t="s">
        <v>65</v>
      </c>
      <c r="K399" s="61"/>
      <c r="L399" s="62">
        <v>2</v>
      </c>
      <c r="M399" s="63">
        <v>1200</v>
      </c>
      <c r="N399" s="64">
        <v>11</v>
      </c>
      <c r="O399" s="62">
        <v>2</v>
      </c>
      <c r="P399" s="65">
        <f t="shared" si="14"/>
        <v>0</v>
      </c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7"/>
      <c r="BF399" s="67"/>
      <c r="BG399" s="68"/>
      <c r="BI399" s="69">
        <v>0</v>
      </c>
      <c r="BJ399" s="70">
        <v>0</v>
      </c>
      <c r="BK399" s="71">
        <v>0</v>
      </c>
      <c r="BL399" s="71">
        <v>0</v>
      </c>
      <c r="BM399" s="71">
        <v>0</v>
      </c>
      <c r="BN399" s="72">
        <v>0</v>
      </c>
      <c r="BO399" s="73"/>
      <c r="BP399" s="73"/>
      <c r="BQ399" s="71">
        <v>0</v>
      </c>
      <c r="BR399" s="71">
        <v>0</v>
      </c>
      <c r="BS399" s="71">
        <v>0</v>
      </c>
      <c r="BT399" s="72">
        <v>0</v>
      </c>
      <c r="BU399" s="73"/>
      <c r="BV399" s="73"/>
    </row>
    <row r="400" ht="30" customHeight="1" spans="1:74">
      <c r="A400" s="55">
        <v>0</v>
      </c>
      <c r="B400" s="56">
        <v>0</v>
      </c>
      <c r="C400" s="57">
        <v>0</v>
      </c>
      <c r="D400" s="161"/>
      <c r="E400" s="161"/>
      <c r="F400" s="141" t="e">
        <f>VLOOKUP(E400,[1]库存!$B$1:$C$65536,2,FALSE)</f>
        <v>#N/A</v>
      </c>
      <c r="G400" s="141" t="e">
        <v>#N/A</v>
      </c>
      <c r="H400" s="161"/>
      <c r="I400" s="161"/>
      <c r="J400" s="75"/>
      <c r="K400" s="61"/>
      <c r="L400" s="62">
        <v>0</v>
      </c>
      <c r="M400" s="63">
        <v>0</v>
      </c>
      <c r="N400" s="64">
        <v>0</v>
      </c>
      <c r="O400" s="62">
        <v>0</v>
      </c>
      <c r="P400" s="65">
        <f t="shared" si="14"/>
        <v>0</v>
      </c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7"/>
      <c r="BF400" s="67"/>
      <c r="BG400" s="68"/>
      <c r="BI400" s="69">
        <v>0</v>
      </c>
      <c r="BJ400" s="70">
        <v>0</v>
      </c>
      <c r="BK400" s="71">
        <v>0</v>
      </c>
      <c r="BL400" s="71">
        <v>0</v>
      </c>
      <c r="BM400" s="71">
        <v>0</v>
      </c>
      <c r="BN400" s="72">
        <v>0</v>
      </c>
      <c r="BO400" s="73"/>
      <c r="BP400" s="73"/>
      <c r="BQ400" s="71">
        <v>0</v>
      </c>
      <c r="BR400" s="71">
        <v>0</v>
      </c>
      <c r="BS400" s="71">
        <v>0</v>
      </c>
      <c r="BT400" s="72">
        <v>0</v>
      </c>
      <c r="BU400" s="73"/>
      <c r="BV400" s="73"/>
    </row>
    <row r="401" ht="30" customHeight="1" spans="1:75 16331:16349">
      <c r="A401" s="55">
        <v>0</v>
      </c>
      <c r="B401" s="56">
        <v>0</v>
      </c>
      <c r="C401" s="57">
        <v>0</v>
      </c>
      <c r="E401" s="88"/>
      <c r="F401" s="59" t="e">
        <f>VLOOKUP(E401,[1]库存!$B$1:$C$65536,2,FALSE)</f>
        <v>#N/A</v>
      </c>
      <c r="G401" s="59" t="e">
        <v>#N/A</v>
      </c>
      <c r="H401" s="89"/>
      <c r="I401" s="88"/>
      <c r="J401" s="90"/>
      <c r="K401" s="61"/>
      <c r="L401" s="62">
        <v>0</v>
      </c>
      <c r="M401" s="63">
        <v>0</v>
      </c>
      <c r="N401" s="64">
        <v>0</v>
      </c>
      <c r="O401" s="62">
        <v>0</v>
      </c>
      <c r="P401" s="65">
        <f t="shared" si="14"/>
        <v>0</v>
      </c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7"/>
      <c r="BF401" s="67"/>
      <c r="BG401" s="68"/>
      <c r="BI401" s="69">
        <v>0</v>
      </c>
      <c r="BJ401" s="70">
        <v>0</v>
      </c>
      <c r="BK401" s="71">
        <v>0</v>
      </c>
      <c r="BL401" s="71">
        <v>0</v>
      </c>
      <c r="BM401" s="71">
        <v>0</v>
      </c>
      <c r="BN401" s="72">
        <v>0</v>
      </c>
      <c r="BO401" s="73"/>
      <c r="BP401" s="73"/>
      <c r="BQ401" s="71">
        <v>0</v>
      </c>
      <c r="BR401" s="71">
        <v>0</v>
      </c>
      <c r="BS401" s="71">
        <v>0</v>
      </c>
      <c r="BT401" s="72">
        <v>0</v>
      </c>
      <c r="BU401" s="73"/>
      <c r="BV401" s="73"/>
    </row>
    <row r="402" ht="30" customHeight="1" spans="1:75 16331:16349">
      <c r="A402" s="55" t="s">
        <v>540</v>
      </c>
      <c r="B402" s="56" t="s">
        <v>42</v>
      </c>
      <c r="C402" s="57" t="s">
        <v>43</v>
      </c>
      <c r="D402" s="59" t="s">
        <v>716</v>
      </c>
      <c r="E402" s="59" t="s">
        <v>717</v>
      </c>
      <c r="F402" s="59" t="str">
        <f>VLOOKUP(E402,[1]库存!$B$1:$C$65536,2,FALSE)</f>
        <v>BMW G6x RSAB LH B状态</v>
      </c>
      <c r="G402" s="59" t="s">
        <v>718</v>
      </c>
      <c r="H402" s="59" t="s">
        <v>719</v>
      </c>
      <c r="I402" s="59" t="s">
        <v>720</v>
      </c>
      <c r="J402" s="63"/>
      <c r="K402" s="61"/>
      <c r="L402" s="62">
        <v>2</v>
      </c>
      <c r="M402" s="63">
        <v>1000</v>
      </c>
      <c r="N402" s="64">
        <v>12.5</v>
      </c>
      <c r="O402" s="62">
        <v>2</v>
      </c>
      <c r="P402" s="65">
        <f t="shared" si="14"/>
        <v>0</v>
      </c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7"/>
      <c r="BF402" s="67"/>
      <c r="BG402" s="68"/>
      <c r="BI402" s="69">
        <v>0</v>
      </c>
      <c r="BJ402" s="70">
        <v>0</v>
      </c>
      <c r="BK402" s="71">
        <v>0</v>
      </c>
      <c r="BL402" s="71">
        <v>0</v>
      </c>
      <c r="BM402" s="71">
        <v>0</v>
      </c>
      <c r="BN402" s="72">
        <v>0</v>
      </c>
      <c r="BO402" s="73"/>
      <c r="BP402" s="73"/>
      <c r="BQ402" s="71">
        <v>0</v>
      </c>
      <c r="BR402" s="71">
        <v>0</v>
      </c>
      <c r="BS402" s="71">
        <v>0</v>
      </c>
      <c r="BT402" s="72">
        <v>0</v>
      </c>
      <c r="BU402" s="73"/>
      <c r="BV402" s="73"/>
    </row>
    <row r="403" ht="30" customHeight="1" spans="1:75 16331:16349">
      <c r="A403" s="55">
        <v>0</v>
      </c>
      <c r="B403" s="56">
        <v>0</v>
      </c>
      <c r="C403" s="57">
        <v>0</v>
      </c>
      <c r="D403" s="74"/>
      <c r="E403" s="74"/>
      <c r="F403" s="59" t="e">
        <f>VLOOKUP(E403,[1]库存!$B$1:$C$65536,2,FALSE)</f>
        <v>#N/A</v>
      </c>
      <c r="G403" s="59" t="e">
        <v>#N/A</v>
      </c>
      <c r="H403" s="74"/>
      <c r="I403" s="74"/>
      <c r="J403" s="87"/>
      <c r="K403" s="61"/>
      <c r="L403" s="62">
        <v>0</v>
      </c>
      <c r="M403" s="63">
        <v>0</v>
      </c>
      <c r="N403" s="64">
        <v>0</v>
      </c>
      <c r="O403" s="62">
        <v>0</v>
      </c>
      <c r="P403" s="65">
        <f t="shared" si="14"/>
        <v>0</v>
      </c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7"/>
      <c r="BF403" s="67"/>
      <c r="BG403" s="68"/>
      <c r="BI403" s="69">
        <v>0</v>
      </c>
      <c r="BJ403" s="70">
        <v>0</v>
      </c>
      <c r="BK403" s="71">
        <v>0</v>
      </c>
      <c r="BL403" s="71">
        <v>0</v>
      </c>
      <c r="BM403" s="71">
        <v>0</v>
      </c>
      <c r="BN403" s="72">
        <v>0</v>
      </c>
      <c r="BO403" s="73"/>
      <c r="BP403" s="73"/>
      <c r="BQ403" s="71">
        <v>0</v>
      </c>
      <c r="BR403" s="71">
        <v>0</v>
      </c>
      <c r="BS403" s="71">
        <v>0</v>
      </c>
      <c r="BT403" s="72">
        <v>0</v>
      </c>
      <c r="BU403" s="73"/>
      <c r="BV403" s="73"/>
    </row>
    <row r="404" ht="30" customHeight="1" spans="1:75 16331:16349">
      <c r="A404" s="55" t="s">
        <v>540</v>
      </c>
      <c r="B404" s="56" t="s">
        <v>42</v>
      </c>
      <c r="C404" s="57" t="s">
        <v>43</v>
      </c>
      <c r="D404" s="59" t="s">
        <v>716</v>
      </c>
      <c r="E404" s="59" t="s">
        <v>721</v>
      </c>
      <c r="F404" s="59" t="str">
        <f>VLOOKUP(E404,[1]库存!$B$1:$C$65536,2,FALSE)</f>
        <v>BMW G6x RSAB RH B状态</v>
      </c>
      <c r="G404" s="59" t="s">
        <v>722</v>
      </c>
      <c r="H404" s="59" t="s">
        <v>723</v>
      </c>
      <c r="I404" s="59" t="s">
        <v>720</v>
      </c>
      <c r="J404" s="63"/>
      <c r="K404" s="61"/>
      <c r="L404" s="62">
        <v>2</v>
      </c>
      <c r="M404" s="63">
        <v>1000</v>
      </c>
      <c r="N404" s="64">
        <v>12.5</v>
      </c>
      <c r="O404" s="62">
        <v>2</v>
      </c>
      <c r="P404" s="65">
        <f t="shared" si="14"/>
        <v>0</v>
      </c>
      <c r="Q404" s="66"/>
      <c r="R404" s="66"/>
      <c r="S404" s="66"/>
      <c r="T404" s="66"/>
      <c r="U404" s="66">
        <v>1400</v>
      </c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7"/>
      <c r="BF404" s="67"/>
      <c r="BG404" s="68"/>
      <c r="BI404" s="69">
        <v>0</v>
      </c>
      <c r="BJ404" s="70">
        <v>0</v>
      </c>
      <c r="BK404" s="71">
        <v>0</v>
      </c>
      <c r="BL404" s="71">
        <v>0</v>
      </c>
      <c r="BM404" s="71">
        <v>0</v>
      </c>
      <c r="BN404" s="72">
        <v>0</v>
      </c>
      <c r="BO404" s="73"/>
      <c r="BP404" s="73"/>
      <c r="BQ404" s="71">
        <v>0</v>
      </c>
      <c r="BR404" s="71">
        <v>0</v>
      </c>
      <c r="BS404" s="71">
        <v>0</v>
      </c>
      <c r="BT404" s="72">
        <v>0</v>
      </c>
      <c r="BU404" s="73"/>
      <c r="BV404" s="73"/>
    </row>
    <row r="405" ht="30" customHeight="1" spans="1:75 16331:16349">
      <c r="A405" s="55">
        <v>0</v>
      </c>
      <c r="B405" s="56">
        <v>0</v>
      </c>
      <c r="C405" s="57">
        <v>0</v>
      </c>
      <c r="D405" s="74"/>
      <c r="E405" s="74"/>
      <c r="F405" s="59" t="e">
        <f>VLOOKUP(E405,[1]库存!$B$1:$C$65536,2,FALSE)</f>
        <v>#N/A</v>
      </c>
      <c r="G405" s="59" t="e">
        <v>#N/A</v>
      </c>
      <c r="H405" s="74"/>
      <c r="I405" s="74"/>
      <c r="J405" s="87"/>
      <c r="K405" s="61"/>
      <c r="L405" s="62">
        <v>0</v>
      </c>
      <c r="M405" s="63">
        <v>0</v>
      </c>
      <c r="N405" s="64">
        <v>0</v>
      </c>
      <c r="O405" s="62">
        <v>0</v>
      </c>
      <c r="P405" s="65">
        <f t="shared" si="14"/>
        <v>0</v>
      </c>
      <c r="Q405" s="66"/>
      <c r="R405" s="66"/>
      <c r="S405" s="66"/>
      <c r="T405" s="66"/>
      <c r="U405" s="66" t="s">
        <v>724</v>
      </c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7"/>
      <c r="BF405" s="67"/>
      <c r="BG405" s="68"/>
      <c r="BI405" s="69">
        <v>0</v>
      </c>
      <c r="BJ405" s="70">
        <v>0</v>
      </c>
      <c r="BK405" s="71">
        <v>0</v>
      </c>
      <c r="BL405" s="71">
        <v>0</v>
      </c>
      <c r="BM405" s="71">
        <v>0</v>
      </c>
      <c r="BN405" s="72">
        <v>0</v>
      </c>
      <c r="BO405" s="73"/>
      <c r="BP405" s="73"/>
      <c r="BQ405" s="71">
        <v>0</v>
      </c>
      <c r="BR405" s="71">
        <v>0</v>
      </c>
      <c r="BS405" s="71">
        <v>0</v>
      </c>
      <c r="BT405" s="72">
        <v>0</v>
      </c>
      <c r="BU405" s="73"/>
      <c r="BV405" s="73"/>
    </row>
    <row r="406" ht="30" customHeight="1" spans="1:75 16331:16349">
      <c r="A406" s="55">
        <v>0</v>
      </c>
      <c r="B406" s="56">
        <v>0</v>
      </c>
      <c r="C406" s="57">
        <v>0</v>
      </c>
      <c r="E406" s="88"/>
      <c r="F406" s="59" t="e">
        <f>VLOOKUP(E406,[1]库存!$B$1:$C$65536,2,FALSE)</f>
        <v>#N/A</v>
      </c>
      <c r="G406" s="59" t="e">
        <v>#N/A</v>
      </c>
      <c r="H406" s="89"/>
      <c r="I406" s="88"/>
      <c r="J406" s="90"/>
      <c r="K406" s="61"/>
      <c r="L406" s="62">
        <v>0</v>
      </c>
      <c r="M406" s="63">
        <v>0</v>
      </c>
      <c r="N406" s="64">
        <v>0</v>
      </c>
      <c r="O406" s="62">
        <v>0</v>
      </c>
      <c r="P406" s="65">
        <f t="shared" si="14"/>
        <v>0</v>
      </c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7"/>
      <c r="BF406" s="67"/>
      <c r="BG406" s="68"/>
      <c r="BI406" s="69">
        <v>0</v>
      </c>
      <c r="BJ406" s="70">
        <v>0</v>
      </c>
      <c r="BK406" s="71">
        <v>0</v>
      </c>
      <c r="BL406" s="71">
        <v>0</v>
      </c>
      <c r="BM406" s="71">
        <v>0</v>
      </c>
      <c r="BN406" s="72">
        <v>0</v>
      </c>
      <c r="BO406" s="73"/>
      <c r="BP406" s="73"/>
      <c r="BQ406" s="71">
        <v>0</v>
      </c>
      <c r="BR406" s="71">
        <v>0</v>
      </c>
      <c r="BS406" s="71">
        <v>0</v>
      </c>
      <c r="BT406" s="72">
        <v>0</v>
      </c>
      <c r="BU406" s="73"/>
      <c r="BV406" s="73"/>
    </row>
    <row r="407" s="1" customFormat="1" ht="30" customHeight="1" spans="1:75 16331:16349">
      <c r="A407" s="110" t="s">
        <v>211</v>
      </c>
      <c r="B407" s="111" t="s">
        <v>42</v>
      </c>
      <c r="C407" s="112" t="s">
        <v>43</v>
      </c>
      <c r="D407" s="113" t="s">
        <v>725</v>
      </c>
      <c r="E407" s="113" t="s">
        <v>726</v>
      </c>
      <c r="F407" s="113" t="str">
        <f>VLOOKUP(E407,[1]库存!$B$1:$C$65536,2,FALSE)</f>
        <v>EHEA-E SAB LH A状态</v>
      </c>
      <c r="G407" s="113" t="s">
        <v>727</v>
      </c>
      <c r="H407" s="113" t="s">
        <v>728</v>
      </c>
      <c r="I407" s="113" t="s">
        <v>729</v>
      </c>
      <c r="J407" s="117"/>
      <c r="K407" s="115"/>
      <c r="L407" s="116">
        <v>2</v>
      </c>
      <c r="M407" s="117">
        <v>1600</v>
      </c>
      <c r="N407" s="114">
        <v>11</v>
      </c>
      <c r="O407" s="116">
        <v>2</v>
      </c>
      <c r="P407" s="65">
        <f t="shared" si="14"/>
        <v>0</v>
      </c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118"/>
      <c r="BH407" s="119"/>
      <c r="BI407" s="120">
        <v>0</v>
      </c>
      <c r="BJ407" s="121">
        <v>0</v>
      </c>
      <c r="BK407" s="122">
        <v>0</v>
      </c>
      <c r="BL407" s="122">
        <v>0</v>
      </c>
      <c r="BM407" s="122">
        <v>0</v>
      </c>
      <c r="BN407" s="123">
        <v>0</v>
      </c>
      <c r="BO407" s="124"/>
      <c r="BP407" s="124"/>
      <c r="BQ407" s="122">
        <v>0</v>
      </c>
      <c r="BR407" s="122">
        <v>0</v>
      </c>
      <c r="BS407" s="122">
        <v>0</v>
      </c>
      <c r="BT407" s="123">
        <v>0</v>
      </c>
      <c r="BU407" s="124"/>
      <c r="BV407" s="124"/>
      <c r="BW407" s="125"/>
      <c r="XDC407" s="126"/>
      <c r="XDD407" s="126"/>
      <c r="XDE407" s="126"/>
      <c r="XDF407" s="126"/>
      <c r="XDG407" s="126"/>
      <c r="XDH407" s="126"/>
      <c r="XDI407" s="126"/>
      <c r="XDJ407" s="126"/>
      <c r="XDK407" s="126"/>
      <c r="XDL407" s="126"/>
      <c r="XDM407" s="126"/>
      <c r="XDN407" s="126"/>
      <c r="XDO407" s="126"/>
      <c r="XDP407" s="126"/>
      <c r="XDQ407" s="126"/>
      <c r="XDR407" s="126"/>
      <c r="XDS407" s="126"/>
      <c r="XDT407" s="126"/>
      <c r="XDU407" s="126"/>
    </row>
    <row r="408" s="1" customFormat="1" ht="30" customHeight="1" spans="1:75 16331:16349">
      <c r="A408" s="110">
        <v>0</v>
      </c>
      <c r="B408" s="111">
        <v>0</v>
      </c>
      <c r="C408" s="112">
        <v>0</v>
      </c>
      <c r="D408" s="127"/>
      <c r="E408" s="127"/>
      <c r="F408" s="113" t="e">
        <f>VLOOKUP(E408,[1]库存!$B$1:$C$65536,2,FALSE)</f>
        <v>#N/A</v>
      </c>
      <c r="G408" s="113" t="e">
        <v>#N/A</v>
      </c>
      <c r="H408" s="127"/>
      <c r="I408" s="127"/>
      <c r="J408" s="162"/>
      <c r="K408" s="115"/>
      <c r="L408" s="116">
        <v>0</v>
      </c>
      <c r="M408" s="117">
        <v>0</v>
      </c>
      <c r="N408" s="114">
        <v>0</v>
      </c>
      <c r="O408" s="116">
        <v>0</v>
      </c>
      <c r="P408" s="65">
        <f t="shared" si="14"/>
        <v>0</v>
      </c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118"/>
      <c r="BH408" s="119"/>
      <c r="BI408" s="120">
        <v>0</v>
      </c>
      <c r="BJ408" s="121">
        <v>0</v>
      </c>
      <c r="BK408" s="122">
        <v>0</v>
      </c>
      <c r="BL408" s="122">
        <v>0</v>
      </c>
      <c r="BM408" s="122">
        <v>0</v>
      </c>
      <c r="BN408" s="123">
        <v>0</v>
      </c>
      <c r="BO408" s="124"/>
      <c r="BP408" s="124"/>
      <c r="BQ408" s="122">
        <v>0</v>
      </c>
      <c r="BR408" s="122">
        <v>0</v>
      </c>
      <c r="BS408" s="122">
        <v>0</v>
      </c>
      <c r="BT408" s="123">
        <v>0</v>
      </c>
      <c r="BU408" s="124"/>
      <c r="BV408" s="124"/>
      <c r="BW408" s="125"/>
      <c r="XDC408" s="126"/>
      <c r="XDD408" s="126"/>
      <c r="XDE408" s="126"/>
      <c r="XDF408" s="126"/>
      <c r="XDG408" s="126"/>
      <c r="XDH408" s="126"/>
      <c r="XDI408" s="126"/>
      <c r="XDJ408" s="126"/>
      <c r="XDK408" s="126"/>
      <c r="XDL408" s="126"/>
      <c r="XDM408" s="126"/>
      <c r="XDN408" s="126"/>
      <c r="XDO408" s="126"/>
      <c r="XDP408" s="126"/>
      <c r="XDQ408" s="126"/>
      <c r="XDR408" s="126"/>
      <c r="XDS408" s="126"/>
      <c r="XDT408" s="126"/>
      <c r="XDU408" s="126"/>
    </row>
    <row r="409" s="1" customFormat="1" ht="30" customHeight="1" spans="1:75 16331:16349">
      <c r="A409" s="110" t="s">
        <v>211</v>
      </c>
      <c r="B409" s="111" t="s">
        <v>42</v>
      </c>
      <c r="C409" s="112" t="s">
        <v>43</v>
      </c>
      <c r="D409" s="113" t="s">
        <v>725</v>
      </c>
      <c r="E409" s="113" t="s">
        <v>730</v>
      </c>
      <c r="F409" s="113" t="str">
        <f>VLOOKUP(E409,[1]库存!$B$1:$C$65536,2,FALSE)</f>
        <v>EHEA-E SAB RH  A状态</v>
      </c>
      <c r="G409" s="113" t="s">
        <v>731</v>
      </c>
      <c r="H409" s="113" t="s">
        <v>732</v>
      </c>
      <c r="I409" s="113" t="s">
        <v>729</v>
      </c>
      <c r="J409" s="117"/>
      <c r="K409" s="115"/>
      <c r="L409" s="116">
        <v>2</v>
      </c>
      <c r="M409" s="117">
        <v>1600</v>
      </c>
      <c r="N409" s="114">
        <v>11</v>
      </c>
      <c r="O409" s="116">
        <v>2</v>
      </c>
      <c r="P409" s="65">
        <f t="shared" si="14"/>
        <v>0</v>
      </c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118"/>
      <c r="BH409" s="119"/>
      <c r="BI409" s="120">
        <v>0</v>
      </c>
      <c r="BJ409" s="121">
        <v>0</v>
      </c>
      <c r="BK409" s="122">
        <v>0</v>
      </c>
      <c r="BL409" s="122">
        <v>0</v>
      </c>
      <c r="BM409" s="122">
        <v>0</v>
      </c>
      <c r="BN409" s="123">
        <v>0</v>
      </c>
      <c r="BO409" s="124"/>
      <c r="BP409" s="124"/>
      <c r="BQ409" s="122">
        <v>0</v>
      </c>
      <c r="BR409" s="122">
        <v>0</v>
      </c>
      <c r="BS409" s="122">
        <v>0</v>
      </c>
      <c r="BT409" s="123">
        <v>0</v>
      </c>
      <c r="BU409" s="124"/>
      <c r="BV409" s="124"/>
      <c r="BW409" s="125"/>
      <c r="XDC409" s="126"/>
      <c r="XDD409" s="126"/>
      <c r="XDE409" s="126"/>
      <c r="XDF409" s="126"/>
      <c r="XDG409" s="126"/>
      <c r="XDH409" s="126"/>
      <c r="XDI409" s="126"/>
      <c r="XDJ409" s="126"/>
      <c r="XDK409" s="126"/>
      <c r="XDL409" s="126"/>
      <c r="XDM409" s="126"/>
      <c r="XDN409" s="126"/>
      <c r="XDO409" s="126"/>
      <c r="XDP409" s="126"/>
      <c r="XDQ409" s="126"/>
      <c r="XDR409" s="126"/>
      <c r="XDS409" s="126"/>
      <c r="XDT409" s="126"/>
      <c r="XDU409" s="126"/>
    </row>
    <row r="410" s="1" customFormat="1" ht="30" customHeight="1" spans="1:75 16331:16349">
      <c r="A410" s="110">
        <v>0</v>
      </c>
      <c r="B410" s="111">
        <v>0</v>
      </c>
      <c r="C410" s="112">
        <v>0</v>
      </c>
      <c r="D410" s="127"/>
      <c r="E410" s="127"/>
      <c r="F410" s="113" t="e">
        <f>VLOOKUP(E410,[1]库存!$B$1:$C$65536,2,FALSE)</f>
        <v>#N/A</v>
      </c>
      <c r="G410" s="113" t="e">
        <v>#N/A</v>
      </c>
      <c r="H410" s="127"/>
      <c r="I410" s="127"/>
      <c r="J410" s="162"/>
      <c r="K410" s="115"/>
      <c r="L410" s="116">
        <v>0</v>
      </c>
      <c r="M410" s="117">
        <v>0</v>
      </c>
      <c r="N410" s="114">
        <v>0</v>
      </c>
      <c r="O410" s="116">
        <v>0</v>
      </c>
      <c r="P410" s="65">
        <f t="shared" si="14"/>
        <v>0</v>
      </c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118"/>
      <c r="BH410" s="119"/>
      <c r="BI410" s="120">
        <v>0</v>
      </c>
      <c r="BJ410" s="121">
        <v>0</v>
      </c>
      <c r="BK410" s="122">
        <v>0</v>
      </c>
      <c r="BL410" s="122">
        <v>0</v>
      </c>
      <c r="BM410" s="122">
        <v>0</v>
      </c>
      <c r="BN410" s="123">
        <v>0</v>
      </c>
      <c r="BO410" s="124"/>
      <c r="BP410" s="124"/>
      <c r="BQ410" s="122">
        <v>0</v>
      </c>
      <c r="BR410" s="122">
        <v>0</v>
      </c>
      <c r="BS410" s="122">
        <v>0</v>
      </c>
      <c r="BT410" s="123">
        <v>0</v>
      </c>
      <c r="BU410" s="124"/>
      <c r="BV410" s="124"/>
      <c r="BW410" s="125"/>
      <c r="XDC410" s="126"/>
      <c r="XDD410" s="126"/>
      <c r="XDE410" s="126"/>
      <c r="XDF410" s="126"/>
      <c r="XDG410" s="126"/>
      <c r="XDH410" s="126"/>
      <c r="XDI410" s="126"/>
      <c r="XDJ410" s="126"/>
      <c r="XDK410" s="126"/>
      <c r="XDL410" s="126"/>
      <c r="XDM410" s="126"/>
      <c r="XDN410" s="126"/>
      <c r="XDO410" s="126"/>
      <c r="XDP410" s="126"/>
      <c r="XDQ410" s="126"/>
      <c r="XDR410" s="126"/>
      <c r="XDS410" s="126"/>
      <c r="XDT410" s="126"/>
      <c r="XDU410" s="126"/>
    </row>
    <row r="411" ht="30" customHeight="1" spans="1:75 16331:16349">
      <c r="A411" s="55">
        <v>0</v>
      </c>
      <c r="B411" s="56">
        <v>0</v>
      </c>
      <c r="C411" s="57">
        <v>0</v>
      </c>
      <c r="E411" s="88"/>
      <c r="F411" s="59" t="e">
        <f>VLOOKUP(E411,[1]库存!$B$1:$C$65536,2,FALSE)</f>
        <v>#N/A</v>
      </c>
      <c r="G411" s="59" t="e">
        <v>#N/A</v>
      </c>
      <c r="H411" s="89"/>
      <c r="I411" s="88"/>
      <c r="J411" s="90"/>
      <c r="K411" s="61"/>
      <c r="L411" s="62">
        <v>0</v>
      </c>
      <c r="M411" s="63">
        <v>0</v>
      </c>
      <c r="N411" s="64">
        <v>0</v>
      </c>
      <c r="O411" s="62">
        <v>0</v>
      </c>
      <c r="P411" s="65">
        <f t="shared" si="14"/>
        <v>0</v>
      </c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7"/>
      <c r="BF411" s="67"/>
      <c r="BG411" s="68"/>
      <c r="BI411" s="69">
        <v>0</v>
      </c>
      <c r="BJ411" s="70">
        <v>0</v>
      </c>
      <c r="BK411" s="71">
        <v>0</v>
      </c>
      <c r="BL411" s="71">
        <v>0</v>
      </c>
      <c r="BM411" s="71">
        <v>0</v>
      </c>
      <c r="BN411" s="72">
        <v>0</v>
      </c>
      <c r="BO411" s="73"/>
      <c r="BP411" s="73"/>
      <c r="BQ411" s="71">
        <v>0</v>
      </c>
      <c r="BR411" s="71">
        <v>0</v>
      </c>
      <c r="BS411" s="71">
        <v>0</v>
      </c>
      <c r="BT411" s="72">
        <v>0</v>
      </c>
      <c r="BU411" s="73"/>
      <c r="BV411" s="73"/>
    </row>
    <row r="412" ht="30" customHeight="1" spans="1:75 16331:16349">
      <c r="A412" s="55">
        <v>0</v>
      </c>
      <c r="B412" s="56" t="s">
        <v>42</v>
      </c>
      <c r="C412" s="57" t="s">
        <v>43</v>
      </c>
      <c r="D412" s="59" t="s">
        <v>733</v>
      </c>
      <c r="E412" s="59" t="s">
        <v>734</v>
      </c>
      <c r="F412" s="59" t="str">
        <f>VLOOKUP(E412,[1]库存!$B$1:$C$65536,2,FALSE)</f>
        <v>SGM E17 SAB LH</v>
      </c>
      <c r="G412" s="59" t="s">
        <v>735</v>
      </c>
      <c r="H412" s="59" t="s">
        <v>736</v>
      </c>
      <c r="I412" s="59" t="s">
        <v>737</v>
      </c>
      <c r="J412" s="63"/>
      <c r="K412" s="61"/>
      <c r="L412" s="62">
        <v>2</v>
      </c>
      <c r="M412" s="63">
        <v>1200</v>
      </c>
      <c r="N412" s="64">
        <v>12</v>
      </c>
      <c r="O412" s="62">
        <v>2</v>
      </c>
      <c r="P412" s="65">
        <f t="shared" si="14"/>
        <v>0</v>
      </c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7"/>
      <c r="BF412" s="67"/>
      <c r="BG412" s="68"/>
      <c r="BI412" s="69">
        <v>0</v>
      </c>
      <c r="BJ412" s="70">
        <v>0</v>
      </c>
      <c r="BK412" s="71">
        <v>0</v>
      </c>
      <c r="BL412" s="71">
        <v>0</v>
      </c>
      <c r="BM412" s="71">
        <v>0</v>
      </c>
      <c r="BN412" s="72">
        <v>0</v>
      </c>
      <c r="BO412" s="73"/>
      <c r="BP412" s="73"/>
      <c r="BQ412" s="71">
        <v>0</v>
      </c>
      <c r="BR412" s="71">
        <v>0</v>
      </c>
      <c r="BS412" s="71">
        <v>0</v>
      </c>
      <c r="BT412" s="72">
        <v>0</v>
      </c>
      <c r="BU412" s="73"/>
      <c r="BV412" s="73"/>
    </row>
    <row r="413" ht="30" customHeight="1" spans="1:75 16331:16349">
      <c r="A413" s="55">
        <v>0</v>
      </c>
      <c r="B413" s="56">
        <v>0</v>
      </c>
      <c r="C413" s="57">
        <v>0</v>
      </c>
      <c r="D413" s="74"/>
      <c r="E413" s="74"/>
      <c r="F413" s="59" t="e">
        <f>VLOOKUP(E413,[1]库存!$B$1:$C$65536,2,FALSE)</f>
        <v>#N/A</v>
      </c>
      <c r="G413" s="59" t="e">
        <v>#N/A</v>
      </c>
      <c r="H413" s="74"/>
      <c r="I413" s="74"/>
      <c r="J413" s="87"/>
      <c r="K413" s="61"/>
      <c r="L413" s="62">
        <v>0</v>
      </c>
      <c r="M413" s="63">
        <v>0</v>
      </c>
      <c r="N413" s="64">
        <v>0</v>
      </c>
      <c r="O413" s="62">
        <v>0</v>
      </c>
      <c r="P413" s="65">
        <f t="shared" si="14"/>
        <v>0</v>
      </c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7"/>
      <c r="BF413" s="67"/>
      <c r="BG413" s="68"/>
      <c r="BI413" s="69">
        <v>0</v>
      </c>
      <c r="BJ413" s="70">
        <v>0</v>
      </c>
      <c r="BK413" s="71">
        <v>0</v>
      </c>
      <c r="BL413" s="71">
        <v>0</v>
      </c>
      <c r="BM413" s="71">
        <v>0</v>
      </c>
      <c r="BN413" s="72">
        <v>0</v>
      </c>
      <c r="BO413" s="73"/>
      <c r="BP413" s="73"/>
      <c r="BQ413" s="71">
        <v>0</v>
      </c>
      <c r="BR413" s="71">
        <v>0</v>
      </c>
      <c r="BS413" s="71">
        <v>0</v>
      </c>
      <c r="BT413" s="72">
        <v>0</v>
      </c>
      <c r="BU413" s="73"/>
      <c r="BV413" s="73"/>
    </row>
    <row r="414" ht="30" customHeight="1" spans="1:75 16331:16349">
      <c r="A414" s="55">
        <v>0</v>
      </c>
      <c r="B414" s="56" t="s">
        <v>42</v>
      </c>
      <c r="C414" s="57" t="s">
        <v>43</v>
      </c>
      <c r="D414" s="59" t="s">
        <v>733</v>
      </c>
      <c r="E414" s="59" t="s">
        <v>738</v>
      </c>
      <c r="F414" s="59" t="str">
        <f>VLOOKUP(E414,[1]库存!$B$1:$C$65536,2,FALSE)</f>
        <v>SGM E17 SAB RH</v>
      </c>
      <c r="G414" s="59" t="s">
        <v>739</v>
      </c>
      <c r="H414" s="59" t="s">
        <v>740</v>
      </c>
      <c r="I414" s="59" t="s">
        <v>737</v>
      </c>
      <c r="J414" s="63"/>
      <c r="K414" s="61"/>
      <c r="L414" s="62">
        <v>2</v>
      </c>
      <c r="M414" s="63">
        <v>1200</v>
      </c>
      <c r="N414" s="64">
        <v>12</v>
      </c>
      <c r="O414" s="62">
        <v>2</v>
      </c>
      <c r="P414" s="65">
        <f t="shared" si="14"/>
        <v>0</v>
      </c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7"/>
      <c r="BF414" s="67"/>
      <c r="BG414" s="68"/>
      <c r="BI414" s="69">
        <v>0</v>
      </c>
      <c r="BJ414" s="70">
        <v>0</v>
      </c>
      <c r="BK414" s="71">
        <v>0</v>
      </c>
      <c r="BL414" s="71">
        <v>0</v>
      </c>
      <c r="BM414" s="71">
        <v>0</v>
      </c>
      <c r="BN414" s="72">
        <v>0</v>
      </c>
      <c r="BO414" s="73"/>
      <c r="BP414" s="73"/>
      <c r="BQ414" s="71">
        <v>0</v>
      </c>
      <c r="BR414" s="71">
        <v>0</v>
      </c>
      <c r="BS414" s="71">
        <v>0</v>
      </c>
      <c r="BT414" s="72">
        <v>0</v>
      </c>
      <c r="BU414" s="73"/>
      <c r="BV414" s="73"/>
    </row>
    <row r="415" ht="30" customHeight="1" spans="1:75 16331:16349">
      <c r="A415" s="55">
        <v>0</v>
      </c>
      <c r="B415" s="56">
        <v>0</v>
      </c>
      <c r="C415" s="57">
        <v>0</v>
      </c>
      <c r="D415" s="74"/>
      <c r="E415" s="74"/>
      <c r="F415" s="59" t="e">
        <f>VLOOKUP(E415,[1]库存!$B$1:$C$65536,2,FALSE)</f>
        <v>#N/A</v>
      </c>
      <c r="G415" s="59" t="e">
        <v>#N/A</v>
      </c>
      <c r="H415" s="74"/>
      <c r="I415" s="74"/>
      <c r="J415" s="87"/>
      <c r="K415" s="61"/>
      <c r="L415" s="62">
        <v>0</v>
      </c>
      <c r="M415" s="63">
        <v>0</v>
      </c>
      <c r="N415" s="64">
        <v>0</v>
      </c>
      <c r="O415" s="62">
        <v>0</v>
      </c>
      <c r="P415" s="65">
        <f t="shared" si="14"/>
        <v>0</v>
      </c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7"/>
      <c r="BF415" s="67"/>
      <c r="BG415" s="68"/>
      <c r="BI415" s="69">
        <v>0</v>
      </c>
      <c r="BJ415" s="70">
        <v>0</v>
      </c>
      <c r="BK415" s="71">
        <v>0</v>
      </c>
      <c r="BL415" s="71">
        <v>0</v>
      </c>
      <c r="BM415" s="71">
        <v>0</v>
      </c>
      <c r="BN415" s="72">
        <v>0</v>
      </c>
      <c r="BO415" s="73"/>
      <c r="BP415" s="73"/>
      <c r="BQ415" s="71">
        <v>0</v>
      </c>
      <c r="BR415" s="71">
        <v>0</v>
      </c>
      <c r="BS415" s="71">
        <v>0</v>
      </c>
      <c r="BT415" s="72">
        <v>0</v>
      </c>
      <c r="BU415" s="73"/>
      <c r="BV415" s="73"/>
    </row>
    <row r="416" s="1" customFormat="1" ht="30" customHeight="1" spans="1:75 16331:16349">
      <c r="A416" s="110" t="s">
        <v>41</v>
      </c>
      <c r="B416" s="111" t="s">
        <v>42</v>
      </c>
      <c r="C416" s="112" t="s">
        <v>43</v>
      </c>
      <c r="D416" s="113" t="s">
        <v>733</v>
      </c>
      <c r="E416" s="113" t="s">
        <v>741</v>
      </c>
      <c r="F416" s="113" t="str">
        <f>VLOOKUP(E416,[1]库存!$B$1:$C$65536,2,FALSE)</f>
        <v>GAC A06 SAB LH（埃）</v>
      </c>
      <c r="G416" s="113" t="s">
        <v>742</v>
      </c>
      <c r="H416" s="113" t="s">
        <v>743</v>
      </c>
      <c r="I416" s="113" t="s">
        <v>744</v>
      </c>
      <c r="J416" s="163" t="s">
        <v>745</v>
      </c>
      <c r="K416" s="115"/>
      <c r="L416" s="116">
        <v>2</v>
      </c>
      <c r="M416" s="117">
        <v>1200</v>
      </c>
      <c r="N416" s="114">
        <v>12</v>
      </c>
      <c r="O416" s="116">
        <v>2</v>
      </c>
      <c r="P416" s="65">
        <f t="shared" si="14"/>
        <v>0</v>
      </c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118"/>
      <c r="BH416" s="119"/>
      <c r="BI416" s="120">
        <v>0</v>
      </c>
      <c r="BJ416" s="121">
        <v>0</v>
      </c>
      <c r="BK416" s="122">
        <v>0</v>
      </c>
      <c r="BL416" s="122">
        <v>0</v>
      </c>
      <c r="BM416" s="122">
        <v>0</v>
      </c>
      <c r="BN416" s="123">
        <v>0</v>
      </c>
      <c r="BO416" s="124"/>
      <c r="BP416" s="124"/>
      <c r="BQ416" s="122">
        <v>0</v>
      </c>
      <c r="BR416" s="122">
        <v>0</v>
      </c>
      <c r="BS416" s="122">
        <v>0</v>
      </c>
      <c r="BT416" s="123">
        <v>0</v>
      </c>
      <c r="BU416" s="124"/>
      <c r="BV416" s="124"/>
      <c r="BW416" s="125"/>
      <c r="XDC416" s="126"/>
      <c r="XDD416" s="126"/>
      <c r="XDE416" s="126"/>
      <c r="XDF416" s="126"/>
      <c r="XDG416" s="126"/>
      <c r="XDH416" s="126"/>
      <c r="XDI416" s="126"/>
      <c r="XDJ416" s="126"/>
      <c r="XDK416" s="126"/>
      <c r="XDL416" s="126"/>
      <c r="XDM416" s="126"/>
      <c r="XDN416" s="126"/>
      <c r="XDO416" s="126"/>
      <c r="XDP416" s="126"/>
      <c r="XDQ416" s="126"/>
      <c r="XDR416" s="126"/>
      <c r="XDS416" s="126"/>
      <c r="XDT416" s="126"/>
      <c r="XDU416" s="126"/>
    </row>
    <row r="417" s="1" customFormat="1" ht="30" customHeight="1" spans="1:75 16331:16349">
      <c r="A417" s="110">
        <v>0</v>
      </c>
      <c r="B417" s="111">
        <v>0</v>
      </c>
      <c r="C417" s="112">
        <v>0</v>
      </c>
      <c r="D417" s="127"/>
      <c r="E417" s="127"/>
      <c r="F417" s="113" t="e">
        <f>VLOOKUP(E417,[1]库存!$B$1:$C$65536,2,FALSE)</f>
        <v>#N/A</v>
      </c>
      <c r="G417" s="113" t="e">
        <v>#N/A</v>
      </c>
      <c r="H417" s="127"/>
      <c r="I417" s="127"/>
      <c r="J417" s="164"/>
      <c r="K417" s="115"/>
      <c r="L417" s="116">
        <v>0</v>
      </c>
      <c r="M417" s="117">
        <v>0</v>
      </c>
      <c r="N417" s="114">
        <v>0</v>
      </c>
      <c r="O417" s="116">
        <v>0</v>
      </c>
      <c r="P417" s="65">
        <f t="shared" si="14"/>
        <v>0</v>
      </c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118"/>
      <c r="BH417" s="119"/>
      <c r="BI417" s="120">
        <v>0</v>
      </c>
      <c r="BJ417" s="121">
        <v>0</v>
      </c>
      <c r="BK417" s="122">
        <v>0</v>
      </c>
      <c r="BL417" s="122">
        <v>0</v>
      </c>
      <c r="BM417" s="122">
        <v>0</v>
      </c>
      <c r="BN417" s="123">
        <v>0</v>
      </c>
      <c r="BO417" s="124"/>
      <c r="BP417" s="124"/>
      <c r="BQ417" s="122">
        <v>0</v>
      </c>
      <c r="BR417" s="122">
        <v>0</v>
      </c>
      <c r="BS417" s="122">
        <v>0</v>
      </c>
      <c r="BT417" s="123">
        <v>0</v>
      </c>
      <c r="BU417" s="124"/>
      <c r="BV417" s="124"/>
      <c r="BW417" s="125"/>
      <c r="XDC417" s="126"/>
      <c r="XDD417" s="126"/>
      <c r="XDE417" s="126"/>
      <c r="XDF417" s="126"/>
      <c r="XDG417" s="126"/>
      <c r="XDH417" s="126"/>
      <c r="XDI417" s="126"/>
      <c r="XDJ417" s="126"/>
      <c r="XDK417" s="126"/>
      <c r="XDL417" s="126"/>
      <c r="XDM417" s="126"/>
      <c r="XDN417" s="126"/>
      <c r="XDO417" s="126"/>
      <c r="XDP417" s="126"/>
      <c r="XDQ417" s="126"/>
      <c r="XDR417" s="126"/>
      <c r="XDS417" s="126"/>
      <c r="XDT417" s="126"/>
      <c r="XDU417" s="126"/>
    </row>
    <row r="418" s="1" customFormat="1" ht="30" customHeight="1" spans="1:75 16331:16349">
      <c r="A418" s="110" t="s">
        <v>41</v>
      </c>
      <c r="B418" s="111" t="s">
        <v>42</v>
      </c>
      <c r="C418" s="112" t="s">
        <v>43</v>
      </c>
      <c r="D418" s="113" t="s">
        <v>733</v>
      </c>
      <c r="E418" s="113" t="s">
        <v>746</v>
      </c>
      <c r="F418" s="113" t="str">
        <f>VLOOKUP(E418,[1]库存!$B$1:$C$65536,2,FALSE)</f>
        <v>GAC A06 SAB RH（埃）</v>
      </c>
      <c r="G418" s="113" t="s">
        <v>747</v>
      </c>
      <c r="H418" s="113" t="s">
        <v>748</v>
      </c>
      <c r="I418" s="113" t="s">
        <v>744</v>
      </c>
      <c r="J418" s="164"/>
      <c r="K418" s="115"/>
      <c r="L418" s="116">
        <v>2</v>
      </c>
      <c r="M418" s="117">
        <v>1200</v>
      </c>
      <c r="N418" s="114">
        <v>12</v>
      </c>
      <c r="O418" s="116">
        <v>2</v>
      </c>
      <c r="P418" s="65">
        <f t="shared" si="14"/>
        <v>0</v>
      </c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118"/>
      <c r="BH418" s="119"/>
      <c r="BI418" s="120">
        <v>0</v>
      </c>
      <c r="BJ418" s="121">
        <v>0</v>
      </c>
      <c r="BK418" s="122">
        <v>0</v>
      </c>
      <c r="BL418" s="122">
        <v>0</v>
      </c>
      <c r="BM418" s="122">
        <v>0</v>
      </c>
      <c r="BN418" s="123">
        <v>0</v>
      </c>
      <c r="BO418" s="124"/>
      <c r="BP418" s="124"/>
      <c r="BQ418" s="122">
        <v>0</v>
      </c>
      <c r="BR418" s="122">
        <v>0</v>
      </c>
      <c r="BS418" s="122">
        <v>0</v>
      </c>
      <c r="BT418" s="123">
        <v>0</v>
      </c>
      <c r="BU418" s="124"/>
      <c r="BV418" s="124"/>
      <c r="BW418" s="125"/>
      <c r="XDC418" s="126"/>
      <c r="XDD418" s="126"/>
      <c r="XDE418" s="126"/>
      <c r="XDF418" s="126"/>
      <c r="XDG418" s="126"/>
      <c r="XDH418" s="126"/>
      <c r="XDI418" s="126"/>
      <c r="XDJ418" s="126"/>
      <c r="XDK418" s="126"/>
      <c r="XDL418" s="126"/>
      <c r="XDM418" s="126"/>
      <c r="XDN418" s="126"/>
      <c r="XDO418" s="126"/>
      <c r="XDP418" s="126"/>
      <c r="XDQ418" s="126"/>
      <c r="XDR418" s="126"/>
      <c r="XDS418" s="126"/>
      <c r="XDT418" s="126"/>
      <c r="XDU418" s="126"/>
    </row>
    <row r="419" s="1" customFormat="1" ht="30" customHeight="1" spans="1:75 16331:16349">
      <c r="A419" s="110">
        <v>0</v>
      </c>
      <c r="B419" s="111">
        <v>0</v>
      </c>
      <c r="C419" s="112">
        <v>0</v>
      </c>
      <c r="D419" s="127"/>
      <c r="E419" s="127"/>
      <c r="F419" s="113" t="e">
        <f>VLOOKUP(E419,[1]库存!$B$1:$C$65536,2,FALSE)</f>
        <v>#N/A</v>
      </c>
      <c r="G419" s="113" t="e">
        <v>#N/A</v>
      </c>
      <c r="H419" s="127"/>
      <c r="I419" s="127"/>
      <c r="J419" s="164"/>
      <c r="K419" s="115"/>
      <c r="L419" s="116">
        <v>0</v>
      </c>
      <c r="M419" s="117">
        <v>0</v>
      </c>
      <c r="N419" s="114">
        <v>0</v>
      </c>
      <c r="O419" s="116">
        <v>0</v>
      </c>
      <c r="P419" s="65">
        <f t="shared" si="14"/>
        <v>0</v>
      </c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118"/>
      <c r="BH419" s="119"/>
      <c r="BI419" s="120">
        <v>0</v>
      </c>
      <c r="BJ419" s="121">
        <v>0</v>
      </c>
      <c r="BK419" s="122">
        <v>0</v>
      </c>
      <c r="BL419" s="122">
        <v>0</v>
      </c>
      <c r="BM419" s="122">
        <v>0</v>
      </c>
      <c r="BN419" s="123">
        <v>0</v>
      </c>
      <c r="BO419" s="124"/>
      <c r="BP419" s="124"/>
      <c r="BQ419" s="122">
        <v>0</v>
      </c>
      <c r="BR419" s="122">
        <v>0</v>
      </c>
      <c r="BS419" s="122">
        <v>0</v>
      </c>
      <c r="BT419" s="123">
        <v>0</v>
      </c>
      <c r="BU419" s="124"/>
      <c r="BV419" s="124"/>
      <c r="BW419" s="125"/>
      <c r="XDC419" s="126"/>
      <c r="XDD419" s="126"/>
      <c r="XDE419" s="126"/>
      <c r="XDF419" s="126"/>
      <c r="XDG419" s="126"/>
      <c r="XDH419" s="126"/>
      <c r="XDI419" s="126"/>
      <c r="XDJ419" s="126"/>
      <c r="XDK419" s="126"/>
      <c r="XDL419" s="126"/>
      <c r="XDM419" s="126"/>
      <c r="XDN419" s="126"/>
      <c r="XDO419" s="126"/>
      <c r="XDP419" s="126"/>
      <c r="XDQ419" s="126"/>
      <c r="XDR419" s="126"/>
      <c r="XDS419" s="126"/>
      <c r="XDT419" s="126"/>
      <c r="XDU419" s="126"/>
    </row>
    <row r="420" ht="30" customHeight="1" spans="1:75 16331:16349">
      <c r="A420" s="55">
        <v>0</v>
      </c>
      <c r="B420" s="56" t="s">
        <v>42</v>
      </c>
      <c r="C420" s="57" t="s">
        <v>43</v>
      </c>
      <c r="D420" s="59" t="s">
        <v>733</v>
      </c>
      <c r="E420" s="59" t="s">
        <v>749</v>
      </c>
      <c r="F420" s="59" t="str">
        <f>VLOOKUP(E420,[1]库存!$B$1:$C$65536,2,FALSE)</f>
        <v>GWM CH071 SAB LH</v>
      </c>
      <c r="G420" s="59" t="s">
        <v>750</v>
      </c>
      <c r="H420" s="59" t="s">
        <v>751</v>
      </c>
      <c r="I420" s="59" t="s">
        <v>752</v>
      </c>
      <c r="J420" s="165" t="s">
        <v>80</v>
      </c>
      <c r="K420" s="61"/>
      <c r="L420" s="62">
        <v>2</v>
      </c>
      <c r="M420" s="63">
        <v>1200</v>
      </c>
      <c r="N420" s="64">
        <v>12</v>
      </c>
      <c r="O420" s="62">
        <v>2</v>
      </c>
      <c r="P420" s="65">
        <f t="shared" si="14"/>
        <v>0</v>
      </c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7"/>
      <c r="BF420" s="67"/>
      <c r="BG420" s="68"/>
      <c r="BI420" s="69">
        <v>0</v>
      </c>
      <c r="BJ420" s="70">
        <v>0</v>
      </c>
      <c r="BK420" s="71">
        <v>0</v>
      </c>
      <c r="BL420" s="71">
        <v>0</v>
      </c>
      <c r="BM420" s="71">
        <v>0</v>
      </c>
      <c r="BN420" s="72">
        <v>0</v>
      </c>
      <c r="BO420" s="73"/>
      <c r="BP420" s="73"/>
      <c r="BQ420" s="71">
        <v>0</v>
      </c>
      <c r="BR420" s="71">
        <v>0</v>
      </c>
      <c r="BS420" s="71">
        <v>0</v>
      </c>
      <c r="BT420" s="72">
        <v>0</v>
      </c>
      <c r="BU420" s="73"/>
      <c r="BV420" s="73"/>
    </row>
    <row r="421" ht="30" customHeight="1" spans="1:75 16331:16349">
      <c r="A421" s="55">
        <v>0</v>
      </c>
      <c r="B421" s="56">
        <v>0</v>
      </c>
      <c r="C421" s="57">
        <v>0</v>
      </c>
      <c r="D421" s="74"/>
      <c r="E421" s="74"/>
      <c r="F421" s="59" t="e">
        <f>VLOOKUP(E421,[1]库存!$B$1:$C$65536,2,FALSE)</f>
        <v>#N/A</v>
      </c>
      <c r="G421" s="59" t="e">
        <v>#N/A</v>
      </c>
      <c r="H421" s="74"/>
      <c r="I421" s="74"/>
      <c r="J421" s="166"/>
      <c r="K421" s="61"/>
      <c r="L421" s="62">
        <v>0</v>
      </c>
      <c r="M421" s="63">
        <v>0</v>
      </c>
      <c r="N421" s="64">
        <v>0</v>
      </c>
      <c r="O421" s="62">
        <v>0</v>
      </c>
      <c r="P421" s="65">
        <f t="shared" si="14"/>
        <v>0</v>
      </c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7"/>
      <c r="BF421" s="67"/>
      <c r="BG421" s="68"/>
      <c r="BI421" s="69">
        <v>0</v>
      </c>
      <c r="BJ421" s="70">
        <v>0</v>
      </c>
      <c r="BK421" s="71">
        <v>0</v>
      </c>
      <c r="BL421" s="71">
        <v>0</v>
      </c>
      <c r="BM421" s="71">
        <v>0</v>
      </c>
      <c r="BN421" s="72">
        <v>0</v>
      </c>
      <c r="BO421" s="73"/>
      <c r="BP421" s="73"/>
      <c r="BQ421" s="71">
        <v>0</v>
      </c>
      <c r="BR421" s="71">
        <v>0</v>
      </c>
      <c r="BS421" s="71">
        <v>0</v>
      </c>
      <c r="BT421" s="72">
        <v>0</v>
      </c>
      <c r="BU421" s="73"/>
      <c r="BV421" s="73"/>
    </row>
    <row r="422" ht="30" customHeight="1" spans="1:75 16331:16349">
      <c r="A422" s="55" t="s">
        <v>41</v>
      </c>
      <c r="B422" s="56" t="s">
        <v>42</v>
      </c>
      <c r="C422" s="57" t="s">
        <v>43</v>
      </c>
      <c r="D422" s="59" t="s">
        <v>733</v>
      </c>
      <c r="E422" s="59" t="s">
        <v>753</v>
      </c>
      <c r="F422" s="59" t="str">
        <f>VLOOKUP(E422,[1]库存!$B$1:$C$65536,2,FALSE)</f>
        <v>GWM CH071 SAB RH</v>
      </c>
      <c r="G422" s="59" t="s">
        <v>754</v>
      </c>
      <c r="H422" s="59" t="s">
        <v>755</v>
      </c>
      <c r="I422" s="59" t="s">
        <v>752</v>
      </c>
      <c r="J422" s="166"/>
      <c r="K422" s="61"/>
      <c r="L422" s="62">
        <v>2</v>
      </c>
      <c r="M422" s="63">
        <v>1100</v>
      </c>
      <c r="N422" s="64">
        <v>12</v>
      </c>
      <c r="O422" s="62">
        <v>2</v>
      </c>
      <c r="P422" s="65">
        <f t="shared" si="14"/>
        <v>0</v>
      </c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7"/>
      <c r="BF422" s="67"/>
      <c r="BG422" s="68"/>
      <c r="BI422" s="69">
        <v>0</v>
      </c>
      <c r="BJ422" s="70">
        <v>0</v>
      </c>
      <c r="BK422" s="71">
        <v>0</v>
      </c>
      <c r="BL422" s="71">
        <v>0</v>
      </c>
      <c r="BM422" s="71">
        <v>0</v>
      </c>
      <c r="BN422" s="72">
        <v>0</v>
      </c>
      <c r="BO422" s="73"/>
      <c r="BP422" s="73"/>
      <c r="BQ422" s="71">
        <v>0</v>
      </c>
      <c r="BR422" s="71">
        <v>0</v>
      </c>
      <c r="BS422" s="71">
        <v>0</v>
      </c>
      <c r="BT422" s="72">
        <v>0</v>
      </c>
      <c r="BU422" s="73"/>
      <c r="BV422" s="73"/>
    </row>
    <row r="423" ht="30" customHeight="1" spans="1:75 16331:16349">
      <c r="A423" s="55">
        <v>0</v>
      </c>
      <c r="B423" s="56">
        <v>0</v>
      </c>
      <c r="C423" s="57">
        <v>0</v>
      </c>
      <c r="D423" s="74"/>
      <c r="E423" s="74"/>
      <c r="F423" s="59" t="e">
        <f>VLOOKUP(E423,[1]库存!$B$1:$C$65536,2,FALSE)</f>
        <v>#N/A</v>
      </c>
      <c r="G423" s="59" t="e">
        <v>#N/A</v>
      </c>
      <c r="H423" s="74"/>
      <c r="I423" s="74"/>
      <c r="J423" s="166"/>
      <c r="K423" s="61"/>
      <c r="L423" s="62">
        <v>0</v>
      </c>
      <c r="M423" s="63">
        <v>0</v>
      </c>
      <c r="N423" s="64">
        <v>0</v>
      </c>
      <c r="O423" s="62">
        <v>0</v>
      </c>
      <c r="P423" s="65">
        <f t="shared" si="14"/>
        <v>0</v>
      </c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7"/>
      <c r="BF423" s="67"/>
      <c r="BG423" s="68"/>
      <c r="BI423" s="69">
        <v>0</v>
      </c>
      <c r="BJ423" s="70">
        <v>0</v>
      </c>
      <c r="BK423" s="71">
        <v>0</v>
      </c>
      <c r="BL423" s="71">
        <v>0</v>
      </c>
      <c r="BM423" s="71">
        <v>0</v>
      </c>
      <c r="BN423" s="72">
        <v>0</v>
      </c>
      <c r="BO423" s="73"/>
      <c r="BP423" s="73"/>
      <c r="BQ423" s="71">
        <v>0</v>
      </c>
      <c r="BR423" s="71">
        <v>0</v>
      </c>
      <c r="BS423" s="71">
        <v>0</v>
      </c>
      <c r="BT423" s="72">
        <v>0</v>
      </c>
      <c r="BU423" s="73"/>
      <c r="BV423" s="73"/>
    </row>
    <row r="424" ht="30" customHeight="1" spans="1:75 16331:16349">
      <c r="A424" s="55">
        <v>0</v>
      </c>
      <c r="B424" s="56" t="s">
        <v>42</v>
      </c>
      <c r="C424" s="57" t="s">
        <v>43</v>
      </c>
      <c r="D424" s="59" t="s">
        <v>733</v>
      </c>
      <c r="E424" s="59" t="s">
        <v>756</v>
      </c>
      <c r="F424" s="59" t="str">
        <f>VLOOKUP(E424,[1]库存!$B$1:$C$65536,2,FALSE)</f>
        <v>ZOTYE A12 SAB LH</v>
      </c>
      <c r="G424" s="59" t="s">
        <v>757</v>
      </c>
      <c r="H424" s="59" t="s">
        <v>758</v>
      </c>
      <c r="I424" s="59" t="s">
        <v>759</v>
      </c>
      <c r="J424" s="63"/>
      <c r="K424" s="61"/>
      <c r="L424" s="62">
        <v>2</v>
      </c>
      <c r="M424" s="63">
        <v>1000</v>
      </c>
      <c r="N424" s="64">
        <v>12</v>
      </c>
      <c r="O424" s="62">
        <v>2</v>
      </c>
      <c r="P424" s="65">
        <f t="shared" si="14"/>
        <v>0</v>
      </c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7"/>
      <c r="BF424" s="67"/>
      <c r="BG424" s="68"/>
      <c r="BI424" s="69">
        <v>0</v>
      </c>
      <c r="BJ424" s="70">
        <v>0</v>
      </c>
      <c r="BK424" s="71">
        <v>0</v>
      </c>
      <c r="BL424" s="71">
        <v>0</v>
      </c>
      <c r="BM424" s="71">
        <v>0</v>
      </c>
      <c r="BN424" s="72">
        <v>0</v>
      </c>
      <c r="BO424" s="73"/>
      <c r="BP424" s="73"/>
      <c r="BQ424" s="71">
        <v>0</v>
      </c>
      <c r="BR424" s="71">
        <v>0</v>
      </c>
      <c r="BS424" s="71">
        <v>0</v>
      </c>
      <c r="BT424" s="72">
        <v>0</v>
      </c>
      <c r="BU424" s="73"/>
      <c r="BV424" s="73"/>
    </row>
    <row r="425" ht="30" customHeight="1" spans="1:75 16331:16349">
      <c r="A425" s="55">
        <v>0</v>
      </c>
      <c r="B425" s="56">
        <v>0</v>
      </c>
      <c r="C425" s="57">
        <v>0</v>
      </c>
      <c r="D425" s="74"/>
      <c r="E425" s="74"/>
      <c r="F425" s="59" t="e">
        <f>VLOOKUP(E425,[1]库存!$B$1:$C$65536,2,FALSE)</f>
        <v>#N/A</v>
      </c>
      <c r="G425" s="59" t="e">
        <v>#N/A</v>
      </c>
      <c r="H425" s="74"/>
      <c r="I425" s="74"/>
      <c r="J425" s="87"/>
      <c r="K425" s="61"/>
      <c r="L425" s="62">
        <v>0</v>
      </c>
      <c r="M425" s="63">
        <v>0</v>
      </c>
      <c r="N425" s="64">
        <v>0</v>
      </c>
      <c r="O425" s="62">
        <v>0</v>
      </c>
      <c r="P425" s="65">
        <f t="shared" si="14"/>
        <v>0</v>
      </c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7"/>
      <c r="BF425" s="67"/>
      <c r="BG425" s="68"/>
      <c r="BI425" s="69">
        <v>0</v>
      </c>
      <c r="BJ425" s="70">
        <v>0</v>
      </c>
      <c r="BK425" s="71">
        <v>0</v>
      </c>
      <c r="BL425" s="71">
        <v>0</v>
      </c>
      <c r="BM425" s="71">
        <v>0</v>
      </c>
      <c r="BN425" s="72">
        <v>0</v>
      </c>
      <c r="BO425" s="73"/>
      <c r="BP425" s="73"/>
      <c r="BQ425" s="71">
        <v>0</v>
      </c>
      <c r="BR425" s="71">
        <v>0</v>
      </c>
      <c r="BS425" s="71">
        <v>0</v>
      </c>
      <c r="BT425" s="72">
        <v>0</v>
      </c>
      <c r="BU425" s="73"/>
      <c r="BV425" s="73"/>
    </row>
    <row r="426" ht="30" customHeight="1" spans="1:75 16331:16349">
      <c r="A426" s="55">
        <v>0</v>
      </c>
      <c r="B426" s="56" t="s">
        <v>42</v>
      </c>
      <c r="C426" s="57" t="s">
        <v>43</v>
      </c>
      <c r="D426" s="59" t="s">
        <v>733</v>
      </c>
      <c r="E426" s="59" t="s">
        <v>760</v>
      </c>
      <c r="F426" s="59" t="str">
        <f>VLOOKUP(E426,[1]库存!$B$1:$C$65536,2,FALSE)</f>
        <v>ZOTYE A12 SAB RH</v>
      </c>
      <c r="G426" s="59" t="s">
        <v>761</v>
      </c>
      <c r="H426" s="59" t="s">
        <v>762</v>
      </c>
      <c r="I426" s="59" t="s">
        <v>759</v>
      </c>
      <c r="J426" s="63"/>
      <c r="K426" s="61"/>
      <c r="L426" s="62">
        <v>2</v>
      </c>
      <c r="M426" s="63">
        <v>1000</v>
      </c>
      <c r="N426" s="64">
        <v>12</v>
      </c>
      <c r="O426" s="62">
        <v>2</v>
      </c>
      <c r="P426" s="65">
        <f t="shared" si="14"/>
        <v>0</v>
      </c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7"/>
      <c r="BF426" s="67"/>
      <c r="BG426" s="68"/>
      <c r="BI426" s="69">
        <v>0</v>
      </c>
      <c r="BJ426" s="70">
        <v>0</v>
      </c>
      <c r="BK426" s="71">
        <v>0</v>
      </c>
      <c r="BL426" s="71">
        <v>0</v>
      </c>
      <c r="BM426" s="71">
        <v>0</v>
      </c>
      <c r="BN426" s="72">
        <v>0</v>
      </c>
      <c r="BO426" s="73"/>
      <c r="BP426" s="73"/>
      <c r="BQ426" s="71">
        <v>0</v>
      </c>
      <c r="BR426" s="71">
        <v>0</v>
      </c>
      <c r="BS426" s="71">
        <v>0</v>
      </c>
      <c r="BT426" s="72">
        <v>0</v>
      </c>
      <c r="BU426" s="73"/>
      <c r="BV426" s="73"/>
    </row>
    <row r="427" ht="30" customHeight="1" spans="1:75 16331:16349">
      <c r="A427" s="55">
        <v>0</v>
      </c>
      <c r="B427" s="56">
        <v>0</v>
      </c>
      <c r="C427" s="57">
        <v>0</v>
      </c>
      <c r="D427" s="74"/>
      <c r="E427" s="74"/>
      <c r="F427" s="59" t="e">
        <f>VLOOKUP(E427,[1]库存!$B$1:$C$65536,2,FALSE)</f>
        <v>#N/A</v>
      </c>
      <c r="G427" s="59" t="e">
        <v>#N/A</v>
      </c>
      <c r="H427" s="74"/>
      <c r="I427" s="74"/>
      <c r="J427" s="87"/>
      <c r="K427" s="61"/>
      <c r="L427" s="62">
        <v>0</v>
      </c>
      <c r="M427" s="63">
        <v>0</v>
      </c>
      <c r="N427" s="64">
        <v>0</v>
      </c>
      <c r="O427" s="62">
        <v>0</v>
      </c>
      <c r="P427" s="65">
        <f t="shared" si="14"/>
        <v>0</v>
      </c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7"/>
      <c r="BF427" s="67"/>
      <c r="BG427" s="68"/>
      <c r="BI427" s="69">
        <v>0</v>
      </c>
      <c r="BJ427" s="70">
        <v>0</v>
      </c>
      <c r="BK427" s="71">
        <v>0</v>
      </c>
      <c r="BL427" s="71">
        <v>0</v>
      </c>
      <c r="BM427" s="71">
        <v>0</v>
      </c>
      <c r="BN427" s="72">
        <v>0</v>
      </c>
      <c r="BO427" s="73"/>
      <c r="BP427" s="73"/>
      <c r="BQ427" s="71">
        <v>0</v>
      </c>
      <c r="BR427" s="71">
        <v>0</v>
      </c>
      <c r="BS427" s="71">
        <v>0</v>
      </c>
      <c r="BT427" s="72">
        <v>0</v>
      </c>
      <c r="BU427" s="73"/>
      <c r="BV427" s="73"/>
    </row>
    <row r="428" ht="30" customHeight="1" spans="1:75 16331:16349">
      <c r="A428" s="55">
        <v>0</v>
      </c>
      <c r="B428" s="56" t="s">
        <v>42</v>
      </c>
      <c r="C428" s="57" t="s">
        <v>43</v>
      </c>
      <c r="D428" s="59" t="s">
        <v>733</v>
      </c>
      <c r="E428" s="59" t="s">
        <v>763</v>
      </c>
      <c r="F428" s="59" t="str">
        <f>VLOOKUP(E428,[1]库存!$B$1:$C$65536,2,FALSE)</f>
        <v>B211 SAB</v>
      </c>
      <c r="G428" s="59" t="s">
        <v>764</v>
      </c>
      <c r="H428" s="167" t="s">
        <v>765</v>
      </c>
      <c r="I428" s="59" t="s">
        <v>766</v>
      </c>
      <c r="J428" s="63"/>
      <c r="K428" s="61"/>
      <c r="L428" s="62">
        <v>2</v>
      </c>
      <c r="M428" s="63">
        <v>1500</v>
      </c>
      <c r="N428" s="64">
        <v>9</v>
      </c>
      <c r="O428" s="62">
        <v>2</v>
      </c>
      <c r="P428" s="65">
        <f t="shared" si="14"/>
        <v>0</v>
      </c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7"/>
      <c r="BF428" s="67"/>
      <c r="BG428" s="68"/>
      <c r="BI428" s="69">
        <v>0</v>
      </c>
      <c r="BJ428" s="70">
        <v>0</v>
      </c>
      <c r="BK428" s="71">
        <v>0</v>
      </c>
      <c r="BL428" s="71">
        <v>0</v>
      </c>
      <c r="BM428" s="71">
        <v>0</v>
      </c>
      <c r="BN428" s="72">
        <v>0</v>
      </c>
      <c r="BO428" s="73"/>
      <c r="BP428" s="73"/>
      <c r="BQ428" s="71">
        <v>0</v>
      </c>
      <c r="BR428" s="71">
        <v>0</v>
      </c>
      <c r="BS428" s="71">
        <v>0</v>
      </c>
      <c r="BT428" s="72">
        <v>0</v>
      </c>
      <c r="BU428" s="73"/>
      <c r="BV428" s="73"/>
    </row>
    <row r="429" ht="30" customHeight="1" spans="1:75 16331:16349">
      <c r="A429" s="55">
        <v>0</v>
      </c>
      <c r="B429" s="56">
        <v>0</v>
      </c>
      <c r="C429" s="57">
        <v>0</v>
      </c>
      <c r="D429" s="74"/>
      <c r="E429" s="74"/>
      <c r="F429" s="59" t="e">
        <f>VLOOKUP(E429,[1]库存!$B$1:$C$65536,2,FALSE)</f>
        <v>#N/A</v>
      </c>
      <c r="G429" s="59" t="e">
        <v>#N/A</v>
      </c>
      <c r="H429" s="168"/>
      <c r="I429" s="74"/>
      <c r="J429" s="87"/>
      <c r="K429" s="61"/>
      <c r="L429" s="62">
        <v>0</v>
      </c>
      <c r="M429" s="63">
        <v>0</v>
      </c>
      <c r="N429" s="64">
        <v>0</v>
      </c>
      <c r="O429" s="62">
        <v>0</v>
      </c>
      <c r="P429" s="65">
        <f t="shared" si="14"/>
        <v>0</v>
      </c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7"/>
      <c r="BF429" s="67"/>
      <c r="BG429" s="68"/>
      <c r="BI429" s="69">
        <v>0</v>
      </c>
      <c r="BJ429" s="70">
        <v>0</v>
      </c>
      <c r="BK429" s="71">
        <v>0</v>
      </c>
      <c r="BL429" s="71">
        <v>0</v>
      </c>
      <c r="BM429" s="71">
        <v>0</v>
      </c>
      <c r="BN429" s="72">
        <v>0</v>
      </c>
      <c r="BO429" s="73"/>
      <c r="BP429" s="73"/>
      <c r="BQ429" s="71">
        <v>0</v>
      </c>
      <c r="BR429" s="71">
        <v>0</v>
      </c>
      <c r="BS429" s="71">
        <v>0</v>
      </c>
      <c r="BT429" s="72">
        <v>0</v>
      </c>
      <c r="BU429" s="73"/>
      <c r="BV429" s="73"/>
    </row>
    <row r="430" ht="30" customHeight="1" spans="1:75 16331:16349">
      <c r="A430" s="55">
        <v>0</v>
      </c>
      <c r="B430" s="56">
        <v>0</v>
      </c>
      <c r="C430" s="57">
        <v>0</v>
      </c>
      <c r="E430" s="88"/>
      <c r="F430" s="59" t="e">
        <f>VLOOKUP(E430,[1]库存!$B$1:$C$65536,2,FALSE)</f>
        <v>#N/A</v>
      </c>
      <c r="G430" s="59" t="e">
        <v>#N/A</v>
      </c>
      <c r="H430" s="89"/>
      <c r="I430" s="88"/>
      <c r="J430" s="90"/>
      <c r="K430" s="61"/>
      <c r="L430" s="62">
        <v>0</v>
      </c>
      <c r="M430" s="63">
        <v>0</v>
      </c>
      <c r="N430" s="64">
        <v>0</v>
      </c>
      <c r="O430" s="62">
        <v>0</v>
      </c>
      <c r="P430" s="65">
        <f t="shared" si="14"/>
        <v>0</v>
      </c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7"/>
      <c r="BF430" s="67"/>
      <c r="BG430" s="68"/>
      <c r="BI430" s="69">
        <v>0</v>
      </c>
      <c r="BJ430" s="70">
        <v>0</v>
      </c>
      <c r="BK430" s="71">
        <v>0</v>
      </c>
      <c r="BL430" s="71">
        <v>0</v>
      </c>
      <c r="BM430" s="71">
        <v>0</v>
      </c>
      <c r="BN430" s="72">
        <v>0</v>
      </c>
      <c r="BO430" s="73"/>
      <c r="BP430" s="73"/>
      <c r="BQ430" s="71">
        <v>0</v>
      </c>
      <c r="BR430" s="71">
        <v>0</v>
      </c>
      <c r="BS430" s="71">
        <v>0</v>
      </c>
      <c r="BT430" s="72">
        <v>0</v>
      </c>
      <c r="BU430" s="73"/>
      <c r="BV430" s="73"/>
    </row>
    <row r="431" ht="30" customHeight="1" spans="1:75 16331:16349">
      <c r="A431" s="55" t="s">
        <v>246</v>
      </c>
      <c r="B431" s="56" t="s">
        <v>42</v>
      </c>
      <c r="C431" s="57" t="s">
        <v>43</v>
      </c>
      <c r="D431" s="91" t="s">
        <v>767</v>
      </c>
      <c r="E431" s="91" t="s">
        <v>768</v>
      </c>
      <c r="F431" s="91" t="str">
        <f>VLOOKUP(E431,[1]库存!$B$1:$C$65536,2,FALSE)</f>
        <v>TOYOTA 825B RSAB LH B状态</v>
      </c>
      <c r="G431" s="91" t="s">
        <v>769</v>
      </c>
      <c r="H431" s="91" t="s">
        <v>770</v>
      </c>
      <c r="I431" s="91" t="s">
        <v>771</v>
      </c>
      <c r="J431" s="64"/>
      <c r="K431" s="61"/>
      <c r="L431" s="62">
        <v>2</v>
      </c>
      <c r="M431" s="63">
        <v>1000</v>
      </c>
      <c r="N431" s="64">
        <v>18</v>
      </c>
      <c r="O431" s="62">
        <v>2</v>
      </c>
      <c r="P431" s="65">
        <f t="shared" si="14"/>
        <v>0</v>
      </c>
      <c r="Q431" s="66"/>
      <c r="R431" s="66"/>
      <c r="S431" s="66"/>
      <c r="T431" s="66"/>
      <c r="U431" s="66"/>
      <c r="V431" s="66"/>
      <c r="W431" s="66">
        <v>0</v>
      </c>
      <c r="X431" s="66"/>
      <c r="Y431" s="66">
        <v>0</v>
      </c>
      <c r="Z431" s="66"/>
      <c r="AA431" s="66"/>
      <c r="AB431" s="66"/>
      <c r="AC431" s="66">
        <v>1300</v>
      </c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7"/>
      <c r="BF431" s="67"/>
      <c r="BG431" s="68"/>
      <c r="BI431" s="69">
        <v>0</v>
      </c>
      <c r="BJ431" s="70">
        <v>0</v>
      </c>
      <c r="BK431" s="71">
        <v>0</v>
      </c>
      <c r="BL431" s="71">
        <v>0</v>
      </c>
      <c r="BM431" s="71">
        <v>0</v>
      </c>
      <c r="BN431" s="72">
        <v>0</v>
      </c>
      <c r="BO431" s="73"/>
      <c r="BP431" s="73"/>
      <c r="BQ431" s="71">
        <v>0</v>
      </c>
      <c r="BR431" s="71">
        <v>0</v>
      </c>
      <c r="BS431" s="71">
        <v>0</v>
      </c>
      <c r="BT431" s="72">
        <v>0</v>
      </c>
      <c r="BU431" s="73"/>
      <c r="BV431" s="73"/>
    </row>
    <row r="432" ht="30" customHeight="1" spans="1:75 16331:16349">
      <c r="A432" s="55">
        <v>0</v>
      </c>
      <c r="B432" s="56">
        <v>0</v>
      </c>
      <c r="C432" s="57">
        <v>0</v>
      </c>
      <c r="D432" s="92"/>
      <c r="E432" s="92"/>
      <c r="F432" s="91" t="e">
        <f>VLOOKUP(E432,[1]库存!$B$1:$C$65536,2,FALSE)</f>
        <v>#N/A</v>
      </c>
      <c r="G432" s="91" t="e">
        <v>#N/A</v>
      </c>
      <c r="H432" s="92"/>
      <c r="I432" s="92"/>
      <c r="J432" s="93"/>
      <c r="K432" s="61"/>
      <c r="L432" s="62">
        <v>0</v>
      </c>
      <c r="M432" s="63">
        <v>0</v>
      </c>
      <c r="N432" s="64">
        <v>0</v>
      </c>
      <c r="O432" s="62">
        <v>0</v>
      </c>
      <c r="P432" s="65">
        <f t="shared" si="14"/>
        <v>0</v>
      </c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>
        <v>1321</v>
      </c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7"/>
      <c r="BF432" s="67"/>
      <c r="BG432" s="68"/>
      <c r="BI432" s="69">
        <v>0</v>
      </c>
      <c r="BJ432" s="70">
        <v>0</v>
      </c>
      <c r="BK432" s="71">
        <v>0</v>
      </c>
      <c r="BL432" s="71">
        <v>0</v>
      </c>
      <c r="BM432" s="71">
        <v>0</v>
      </c>
      <c r="BN432" s="72">
        <v>0</v>
      </c>
      <c r="BO432" s="73"/>
      <c r="BP432" s="73"/>
      <c r="BQ432" s="71">
        <v>0</v>
      </c>
      <c r="BR432" s="71">
        <v>0</v>
      </c>
      <c r="BS432" s="71">
        <v>0</v>
      </c>
      <c r="BT432" s="72">
        <v>0</v>
      </c>
      <c r="BU432" s="73"/>
      <c r="BV432" s="73"/>
    </row>
    <row r="433" ht="30" customHeight="1" spans="1:74">
      <c r="A433" s="55" t="s">
        <v>246</v>
      </c>
      <c r="B433" s="56" t="s">
        <v>42</v>
      </c>
      <c r="C433" s="57" t="s">
        <v>43</v>
      </c>
      <c r="D433" s="91" t="s">
        <v>767</v>
      </c>
      <c r="E433" s="91" t="s">
        <v>772</v>
      </c>
      <c r="F433" s="91" t="str">
        <f>VLOOKUP(E433,[1]库存!$B$1:$C$65536,2,FALSE)</f>
        <v>TOYOTA 825B RSAB RH B状态</v>
      </c>
      <c r="G433" s="91" t="s">
        <v>773</v>
      </c>
      <c r="H433" s="91" t="s">
        <v>774</v>
      </c>
      <c r="I433" s="91" t="s">
        <v>771</v>
      </c>
      <c r="J433" s="64"/>
      <c r="K433" s="61"/>
      <c r="L433" s="62">
        <v>2</v>
      </c>
      <c r="M433" s="63">
        <v>1000</v>
      </c>
      <c r="N433" s="64">
        <v>18</v>
      </c>
      <c r="O433" s="62">
        <v>2</v>
      </c>
      <c r="P433" s="65">
        <f t="shared" si="14"/>
        <v>0</v>
      </c>
      <c r="Q433" s="66">
        <v>1300</v>
      </c>
      <c r="R433" s="66"/>
      <c r="S433" s="66">
        <v>1300</v>
      </c>
      <c r="T433" s="66"/>
      <c r="U433" s="66">
        <v>0</v>
      </c>
      <c r="V433" s="66"/>
      <c r="W433" s="66"/>
      <c r="X433" s="66"/>
      <c r="Y433" s="66"/>
      <c r="Z433" s="66"/>
      <c r="AA433" s="66">
        <v>1300</v>
      </c>
      <c r="AB433" s="66"/>
      <c r="AC433" s="66"/>
      <c r="AD433" s="66"/>
      <c r="AE433" s="66"/>
      <c r="AF433" s="66"/>
      <c r="AG433" s="66"/>
      <c r="AH433" s="66"/>
      <c r="AI433" s="66"/>
      <c r="AJ433" s="66"/>
      <c r="AK433" s="96"/>
      <c r="AL433" s="66"/>
      <c r="AM433" s="9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7"/>
      <c r="BF433" s="67"/>
      <c r="BG433" s="68"/>
      <c r="BI433" s="69">
        <v>0</v>
      </c>
      <c r="BJ433" s="70">
        <v>0</v>
      </c>
      <c r="BK433" s="71">
        <v>0</v>
      </c>
      <c r="BL433" s="71">
        <v>0</v>
      </c>
      <c r="BM433" s="71">
        <v>0</v>
      </c>
      <c r="BN433" s="72">
        <v>0</v>
      </c>
      <c r="BO433" s="73"/>
      <c r="BP433" s="73"/>
      <c r="BQ433" s="71">
        <v>0</v>
      </c>
      <c r="BR433" s="71">
        <v>0</v>
      </c>
      <c r="BS433" s="71">
        <v>0</v>
      </c>
      <c r="BT433" s="72">
        <v>0</v>
      </c>
      <c r="BU433" s="73"/>
      <c r="BV433" s="73"/>
    </row>
    <row r="434" ht="30" customHeight="1" spans="1:74">
      <c r="A434" s="55">
        <v>0</v>
      </c>
      <c r="B434" s="56">
        <v>0</v>
      </c>
      <c r="C434" s="57">
        <v>0</v>
      </c>
      <c r="D434" s="92"/>
      <c r="E434" s="92"/>
      <c r="F434" s="91" t="e">
        <f>VLOOKUP(E434,[1]库存!$B$1:$C$65536,2,FALSE)</f>
        <v>#N/A</v>
      </c>
      <c r="G434" s="91" t="e">
        <v>#N/A</v>
      </c>
      <c r="H434" s="92"/>
      <c r="I434" s="92"/>
      <c r="J434" s="93"/>
      <c r="K434" s="61"/>
      <c r="L434" s="62">
        <v>0</v>
      </c>
      <c r="M434" s="63">
        <v>0</v>
      </c>
      <c r="N434" s="64">
        <v>0</v>
      </c>
      <c r="O434" s="62">
        <v>0</v>
      </c>
      <c r="P434" s="65">
        <f t="shared" si="14"/>
        <v>0</v>
      </c>
      <c r="Q434" s="66">
        <v>1157</v>
      </c>
      <c r="R434" s="66"/>
      <c r="S434" s="66">
        <v>1355</v>
      </c>
      <c r="T434" s="66"/>
      <c r="U434" s="66"/>
      <c r="V434" s="66"/>
      <c r="W434" s="66"/>
      <c r="X434" s="66"/>
      <c r="Y434" s="66"/>
      <c r="Z434" s="66"/>
      <c r="AA434" s="66">
        <v>1199</v>
      </c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7"/>
      <c r="BF434" s="67"/>
      <c r="BG434" s="68"/>
      <c r="BI434" s="69">
        <v>0</v>
      </c>
      <c r="BJ434" s="70">
        <v>0</v>
      </c>
      <c r="BK434" s="71">
        <v>0</v>
      </c>
      <c r="BL434" s="71">
        <v>0</v>
      </c>
      <c r="BM434" s="71">
        <v>0</v>
      </c>
      <c r="BN434" s="72">
        <v>0</v>
      </c>
      <c r="BO434" s="73"/>
      <c r="BP434" s="73"/>
      <c r="BQ434" s="71">
        <v>0</v>
      </c>
      <c r="BR434" s="71">
        <v>0</v>
      </c>
      <c r="BS434" s="71">
        <v>0</v>
      </c>
      <c r="BT434" s="72">
        <v>0</v>
      </c>
      <c r="BU434" s="73"/>
      <c r="BV434" s="73"/>
    </row>
    <row r="435" ht="39" spans="1:74">
      <c r="A435" s="55">
        <v>0</v>
      </c>
      <c r="B435" s="56" t="s">
        <v>42</v>
      </c>
      <c r="C435" s="57" t="s">
        <v>43</v>
      </c>
      <c r="D435" s="169" t="s">
        <v>767</v>
      </c>
      <c r="E435" s="169" t="s">
        <v>768</v>
      </c>
      <c r="F435" s="169" t="s">
        <v>775</v>
      </c>
      <c r="G435" s="169">
        <v>8000004550</v>
      </c>
      <c r="H435" s="169" t="s">
        <v>776</v>
      </c>
      <c r="I435" s="169" t="s">
        <v>771</v>
      </c>
      <c r="J435" s="64"/>
      <c r="K435" s="61"/>
      <c r="L435" s="62">
        <v>2</v>
      </c>
      <c r="M435" s="63">
        <v>1000</v>
      </c>
      <c r="N435" s="64">
        <v>18</v>
      </c>
      <c r="O435" s="62">
        <v>2</v>
      </c>
      <c r="P435" s="65">
        <f t="shared" si="14"/>
        <v>0</v>
      </c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7"/>
      <c r="BF435" s="67"/>
      <c r="BG435" s="68"/>
      <c r="BI435" s="69">
        <v>0</v>
      </c>
      <c r="BJ435" s="70">
        <v>0</v>
      </c>
      <c r="BK435" s="71">
        <v>0</v>
      </c>
      <c r="BL435" s="71">
        <v>0</v>
      </c>
      <c r="BM435" s="71">
        <v>0</v>
      </c>
      <c r="BN435" s="72">
        <v>0</v>
      </c>
      <c r="BO435" s="73"/>
      <c r="BP435" s="73"/>
      <c r="BQ435" s="71">
        <v>0</v>
      </c>
      <c r="BR435" s="71">
        <v>0</v>
      </c>
      <c r="BS435" s="71">
        <v>0</v>
      </c>
      <c r="BT435" s="72">
        <v>0</v>
      </c>
      <c r="BU435" s="73"/>
      <c r="BV435" s="73"/>
    </row>
    <row r="436" ht="30" customHeight="1" spans="1:74">
      <c r="A436" s="55">
        <v>0</v>
      </c>
      <c r="B436" s="56">
        <v>0</v>
      </c>
      <c r="C436" s="57">
        <v>0</v>
      </c>
      <c r="D436" s="170"/>
      <c r="E436" s="170"/>
      <c r="F436" s="169">
        <v>0</v>
      </c>
      <c r="G436" s="169" t="e">
        <v>#N/A</v>
      </c>
      <c r="H436" s="170"/>
      <c r="I436" s="170"/>
      <c r="J436" s="93"/>
      <c r="K436" s="61"/>
      <c r="L436" s="62">
        <v>0</v>
      </c>
      <c r="M436" s="63">
        <v>0</v>
      </c>
      <c r="N436" s="64">
        <v>0</v>
      </c>
      <c r="O436" s="62">
        <v>0</v>
      </c>
      <c r="P436" s="65">
        <f t="shared" si="14"/>
        <v>0</v>
      </c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7"/>
      <c r="BF436" s="67"/>
      <c r="BG436" s="68"/>
      <c r="BI436" s="69">
        <v>0</v>
      </c>
      <c r="BJ436" s="70">
        <v>0</v>
      </c>
      <c r="BK436" s="71">
        <v>0</v>
      </c>
      <c r="BL436" s="71">
        <v>0</v>
      </c>
      <c r="BM436" s="71">
        <v>0</v>
      </c>
      <c r="BN436" s="72">
        <v>0</v>
      </c>
      <c r="BO436" s="73"/>
      <c r="BP436" s="73"/>
      <c r="BQ436" s="71">
        <v>0</v>
      </c>
      <c r="BR436" s="71">
        <v>0</v>
      </c>
      <c r="BS436" s="71">
        <v>0</v>
      </c>
      <c r="BT436" s="72">
        <v>0</v>
      </c>
      <c r="BU436" s="73"/>
      <c r="BV436" s="73"/>
    </row>
    <row r="437" ht="36" customHeight="1" spans="1:74">
      <c r="A437" s="55">
        <v>0</v>
      </c>
      <c r="B437" s="56" t="s">
        <v>42</v>
      </c>
      <c r="C437" s="57" t="s">
        <v>43</v>
      </c>
      <c r="D437" s="169" t="s">
        <v>767</v>
      </c>
      <c r="E437" s="169" t="s">
        <v>772</v>
      </c>
      <c r="F437" s="169" t="s">
        <v>777</v>
      </c>
      <c r="G437" s="169">
        <v>8000004551</v>
      </c>
      <c r="H437" s="169" t="s">
        <v>778</v>
      </c>
      <c r="I437" s="169" t="s">
        <v>771</v>
      </c>
      <c r="J437" s="64"/>
      <c r="K437" s="61"/>
      <c r="L437" s="62">
        <v>2</v>
      </c>
      <c r="M437" s="63">
        <v>1000</v>
      </c>
      <c r="N437" s="64">
        <v>18</v>
      </c>
      <c r="O437" s="62">
        <v>2</v>
      </c>
      <c r="P437" s="65">
        <f t="shared" si="14"/>
        <v>0</v>
      </c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7"/>
      <c r="BF437" s="67"/>
      <c r="BG437" s="68"/>
      <c r="BI437" s="69">
        <v>0</v>
      </c>
      <c r="BJ437" s="70">
        <v>0</v>
      </c>
      <c r="BK437" s="71">
        <v>0</v>
      </c>
      <c r="BL437" s="71">
        <v>0</v>
      </c>
      <c r="BM437" s="71">
        <v>0</v>
      </c>
      <c r="BN437" s="72">
        <v>0</v>
      </c>
      <c r="BO437" s="73"/>
      <c r="BP437" s="73"/>
      <c r="BQ437" s="71">
        <v>0</v>
      </c>
      <c r="BR437" s="71">
        <v>0</v>
      </c>
      <c r="BS437" s="71">
        <v>0</v>
      </c>
      <c r="BT437" s="72">
        <v>0</v>
      </c>
      <c r="BU437" s="73"/>
      <c r="BV437" s="73"/>
    </row>
    <row r="438" ht="36" customHeight="1" spans="1:74">
      <c r="A438" s="55">
        <v>0</v>
      </c>
      <c r="B438" s="56">
        <v>0</v>
      </c>
      <c r="C438" s="57">
        <v>0</v>
      </c>
      <c r="D438" s="170"/>
      <c r="E438" s="170"/>
      <c r="F438" s="169">
        <v>0</v>
      </c>
      <c r="G438" s="169" t="e">
        <v>#N/A</v>
      </c>
      <c r="H438" s="170"/>
      <c r="I438" s="170"/>
      <c r="J438" s="93"/>
      <c r="K438" s="61"/>
      <c r="L438" s="62">
        <v>0</v>
      </c>
      <c r="M438" s="63">
        <v>0</v>
      </c>
      <c r="N438" s="64">
        <v>0</v>
      </c>
      <c r="O438" s="62">
        <v>0</v>
      </c>
      <c r="P438" s="65">
        <f t="shared" si="14"/>
        <v>0</v>
      </c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7"/>
      <c r="BF438" s="67"/>
      <c r="BG438" s="68"/>
      <c r="BI438" s="69">
        <v>0</v>
      </c>
      <c r="BJ438" s="70">
        <v>0</v>
      </c>
      <c r="BK438" s="71">
        <v>0</v>
      </c>
      <c r="BL438" s="71">
        <v>0</v>
      </c>
      <c r="BM438" s="71">
        <v>0</v>
      </c>
      <c r="BN438" s="72">
        <v>0</v>
      </c>
      <c r="BO438" s="73"/>
      <c r="BP438" s="73"/>
      <c r="BQ438" s="71">
        <v>0</v>
      </c>
      <c r="BR438" s="71">
        <v>0</v>
      </c>
      <c r="BS438" s="71">
        <v>0</v>
      </c>
      <c r="BT438" s="72">
        <v>0</v>
      </c>
      <c r="BU438" s="73"/>
      <c r="BV438" s="73"/>
    </row>
    <row r="439" ht="30" customHeight="1" spans="1:74">
      <c r="A439" s="55">
        <v>0</v>
      </c>
      <c r="B439" s="56">
        <v>0</v>
      </c>
      <c r="C439" s="57">
        <v>0</v>
      </c>
      <c r="E439" s="88"/>
      <c r="F439" s="59" t="e">
        <f>VLOOKUP(E439,[1]库存!$B$1:$C$65536,2,FALSE)</f>
        <v>#N/A</v>
      </c>
      <c r="G439" s="59" t="e">
        <v>#N/A</v>
      </c>
      <c r="H439" s="89"/>
      <c r="I439" s="88"/>
      <c r="J439" s="90"/>
      <c r="K439" s="61"/>
      <c r="L439" s="62">
        <v>0</v>
      </c>
      <c r="M439" s="63">
        <v>0</v>
      </c>
      <c r="N439" s="64">
        <v>0</v>
      </c>
      <c r="O439" s="62">
        <v>0</v>
      </c>
      <c r="P439" s="65">
        <f t="shared" si="14"/>
        <v>0</v>
      </c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7"/>
      <c r="BF439" s="67"/>
      <c r="BG439" s="68"/>
      <c r="BI439" s="69">
        <v>0</v>
      </c>
      <c r="BJ439" s="70">
        <v>0</v>
      </c>
      <c r="BK439" s="71">
        <v>0</v>
      </c>
      <c r="BL439" s="71">
        <v>0</v>
      </c>
      <c r="BM439" s="71">
        <v>0</v>
      </c>
      <c r="BN439" s="72">
        <v>0</v>
      </c>
      <c r="BO439" s="73"/>
      <c r="BP439" s="73"/>
      <c r="BQ439" s="71">
        <v>0</v>
      </c>
      <c r="BR439" s="71">
        <v>0</v>
      </c>
      <c r="BS439" s="71">
        <v>0</v>
      </c>
      <c r="BT439" s="72">
        <v>0</v>
      </c>
      <c r="BU439" s="73"/>
      <c r="BV439" s="73"/>
    </row>
    <row r="440" ht="30" customHeight="1" spans="1:74">
      <c r="A440" s="55">
        <v>0</v>
      </c>
      <c r="B440" s="56" t="s">
        <v>42</v>
      </c>
      <c r="C440" s="57" t="s">
        <v>43</v>
      </c>
      <c r="D440" s="91" t="s">
        <v>779</v>
      </c>
      <c r="E440" s="91" t="s">
        <v>780</v>
      </c>
      <c r="F440" s="91" t="str">
        <f>VLOOKUP(E440,[1]库存!$B$1:$C$65536,2,FALSE)</f>
        <v>SC3EAE SAB LH A状态</v>
      </c>
      <c r="G440" s="91" t="s">
        <v>781</v>
      </c>
      <c r="H440" s="91" t="s">
        <v>782</v>
      </c>
      <c r="I440" s="91" t="s">
        <v>783</v>
      </c>
      <c r="J440" s="63"/>
      <c r="K440" s="61"/>
      <c r="L440" s="62">
        <v>2</v>
      </c>
      <c r="M440" s="63">
        <v>1400</v>
      </c>
      <c r="N440" s="64">
        <v>10</v>
      </c>
      <c r="O440" s="62">
        <v>2</v>
      </c>
      <c r="P440" s="65">
        <f t="shared" si="14"/>
        <v>0</v>
      </c>
      <c r="Q440" s="66">
        <v>600</v>
      </c>
      <c r="R440" s="66"/>
      <c r="S440" s="66">
        <v>1700</v>
      </c>
      <c r="T440" s="66"/>
      <c r="U440" s="66">
        <v>1700</v>
      </c>
      <c r="V440" s="66"/>
      <c r="W440" s="66"/>
      <c r="X440" s="66"/>
      <c r="Y440" s="66"/>
      <c r="Z440" s="66"/>
      <c r="AA440" s="66">
        <v>1700</v>
      </c>
      <c r="AB440" s="66"/>
      <c r="AC440" s="66">
        <v>1700</v>
      </c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7"/>
      <c r="BF440" s="67"/>
      <c r="BG440" s="68"/>
      <c r="BI440" s="69">
        <v>0</v>
      </c>
      <c r="BJ440" s="70">
        <v>0</v>
      </c>
      <c r="BK440" s="71">
        <v>0</v>
      </c>
      <c r="BL440" s="71">
        <v>0</v>
      </c>
      <c r="BM440" s="71">
        <v>0</v>
      </c>
      <c r="BN440" s="72">
        <v>0</v>
      </c>
      <c r="BO440" s="73"/>
      <c r="BP440" s="73"/>
      <c r="BQ440" s="71">
        <v>0</v>
      </c>
      <c r="BR440" s="71">
        <v>0</v>
      </c>
      <c r="BS440" s="71">
        <v>0</v>
      </c>
      <c r="BT440" s="72">
        <v>0</v>
      </c>
      <c r="BU440" s="73"/>
      <c r="BV440" s="73"/>
    </row>
    <row r="441" ht="30" customHeight="1" spans="1:74">
      <c r="A441" s="55">
        <v>0</v>
      </c>
      <c r="B441" s="56">
        <v>0</v>
      </c>
      <c r="C441" s="57">
        <v>0</v>
      </c>
      <c r="D441" s="92"/>
      <c r="E441" s="92"/>
      <c r="F441" s="91" t="e">
        <f>VLOOKUP(E441,[1]库存!$B$1:$C$65536,2,FALSE)</f>
        <v>#N/A</v>
      </c>
      <c r="G441" s="91" t="e">
        <v>#N/A</v>
      </c>
      <c r="H441" s="92"/>
      <c r="I441" s="92"/>
      <c r="J441" s="87"/>
      <c r="K441" s="61"/>
      <c r="L441" s="62">
        <v>0</v>
      </c>
      <c r="M441" s="63">
        <v>0</v>
      </c>
      <c r="N441" s="64">
        <v>0</v>
      </c>
      <c r="O441" s="62">
        <v>0</v>
      </c>
      <c r="P441" s="65">
        <f t="shared" si="14"/>
        <v>0</v>
      </c>
      <c r="Q441" s="66">
        <v>321</v>
      </c>
      <c r="R441" s="66"/>
      <c r="S441" s="66">
        <v>1697</v>
      </c>
      <c r="T441" s="66"/>
      <c r="U441" s="66">
        <v>1483</v>
      </c>
      <c r="V441" s="66"/>
      <c r="W441" s="66"/>
      <c r="X441" s="66"/>
      <c r="Y441" s="66"/>
      <c r="Z441" s="66"/>
      <c r="AA441" s="66">
        <v>1634</v>
      </c>
      <c r="AB441" s="66"/>
      <c r="AC441" s="66">
        <v>1715</v>
      </c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7"/>
      <c r="BF441" s="67"/>
      <c r="BG441" s="68"/>
      <c r="BI441" s="69">
        <v>0</v>
      </c>
      <c r="BJ441" s="70">
        <v>0</v>
      </c>
      <c r="BK441" s="71">
        <v>0</v>
      </c>
      <c r="BL441" s="71">
        <v>0</v>
      </c>
      <c r="BM441" s="71">
        <v>0</v>
      </c>
      <c r="BN441" s="72">
        <v>0</v>
      </c>
      <c r="BO441" s="73"/>
      <c r="BP441" s="73"/>
      <c r="BQ441" s="71">
        <v>0</v>
      </c>
      <c r="BR441" s="71">
        <v>0</v>
      </c>
      <c r="BS441" s="71">
        <v>0</v>
      </c>
      <c r="BT441" s="72">
        <v>0</v>
      </c>
      <c r="BU441" s="73"/>
      <c r="BV441" s="73"/>
    </row>
    <row r="442" ht="30" customHeight="1" spans="1:74">
      <c r="A442" s="55">
        <v>0</v>
      </c>
      <c r="B442" s="56" t="s">
        <v>42</v>
      </c>
      <c r="C442" s="57" t="s">
        <v>43</v>
      </c>
      <c r="D442" s="91" t="s">
        <v>779</v>
      </c>
      <c r="E442" s="91" t="s">
        <v>784</v>
      </c>
      <c r="F442" s="91" t="str">
        <f>VLOOKUP(E442,[1]库存!$B$1:$C$65536,2,FALSE)</f>
        <v>SC3EAE SAB RH A状态</v>
      </c>
      <c r="G442" s="91" t="s">
        <v>785</v>
      </c>
      <c r="H442" s="91" t="s">
        <v>786</v>
      </c>
      <c r="I442" s="91" t="s">
        <v>783</v>
      </c>
      <c r="J442" s="63"/>
      <c r="K442" s="61"/>
      <c r="L442" s="62">
        <v>2</v>
      </c>
      <c r="M442" s="63">
        <v>1400</v>
      </c>
      <c r="N442" s="64">
        <v>10</v>
      </c>
      <c r="O442" s="62">
        <v>2</v>
      </c>
      <c r="P442" s="65">
        <f t="shared" si="14"/>
        <v>0</v>
      </c>
      <c r="Q442" s="66">
        <v>1080</v>
      </c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7"/>
      <c r="BF442" s="67"/>
      <c r="BG442" s="68"/>
      <c r="BI442" s="69">
        <v>0</v>
      </c>
      <c r="BJ442" s="70">
        <v>0</v>
      </c>
      <c r="BK442" s="71">
        <v>0</v>
      </c>
      <c r="BL442" s="71">
        <v>0</v>
      </c>
      <c r="BM442" s="71">
        <v>0</v>
      </c>
      <c r="BN442" s="72">
        <v>0</v>
      </c>
      <c r="BO442" s="73"/>
      <c r="BP442" s="73"/>
      <c r="BQ442" s="71">
        <v>0</v>
      </c>
      <c r="BR442" s="71">
        <v>0</v>
      </c>
      <c r="BS442" s="71">
        <v>0</v>
      </c>
      <c r="BT442" s="72">
        <v>0</v>
      </c>
      <c r="BU442" s="73"/>
      <c r="BV442" s="73"/>
    </row>
    <row r="443" ht="30" customHeight="1" spans="1:74">
      <c r="A443" s="55">
        <v>0</v>
      </c>
      <c r="B443" s="56">
        <v>0</v>
      </c>
      <c r="C443" s="57">
        <v>0</v>
      </c>
      <c r="D443" s="92"/>
      <c r="E443" s="92"/>
      <c r="F443" s="91" t="e">
        <f>VLOOKUP(E443,[1]库存!$B$1:$C$65536,2,FALSE)</f>
        <v>#N/A</v>
      </c>
      <c r="G443" s="91" t="e">
        <v>#N/A</v>
      </c>
      <c r="H443" s="92"/>
      <c r="I443" s="92"/>
      <c r="J443" s="87"/>
      <c r="K443" s="61"/>
      <c r="L443" s="62">
        <v>0</v>
      </c>
      <c r="M443" s="63">
        <v>0</v>
      </c>
      <c r="N443" s="64">
        <v>0</v>
      </c>
      <c r="O443" s="62">
        <v>0</v>
      </c>
      <c r="P443" s="65">
        <f t="shared" si="14"/>
        <v>0</v>
      </c>
      <c r="Q443" s="66">
        <v>1153</v>
      </c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7"/>
      <c r="BF443" s="67"/>
      <c r="BG443" s="68"/>
      <c r="BI443" s="69">
        <v>0</v>
      </c>
      <c r="BJ443" s="70">
        <v>0</v>
      </c>
      <c r="BK443" s="71">
        <v>0</v>
      </c>
      <c r="BL443" s="71">
        <v>0</v>
      </c>
      <c r="BM443" s="71">
        <v>0</v>
      </c>
      <c r="BN443" s="72">
        <v>0</v>
      </c>
      <c r="BO443" s="73"/>
      <c r="BP443" s="73"/>
      <c r="BQ443" s="71">
        <v>0</v>
      </c>
      <c r="BR443" s="71">
        <v>0</v>
      </c>
      <c r="BS443" s="71">
        <v>0</v>
      </c>
      <c r="BT443" s="72">
        <v>0</v>
      </c>
      <c r="BU443" s="73"/>
      <c r="BV443" s="73"/>
    </row>
    <row r="444" ht="30" customHeight="1" spans="1:74">
      <c r="A444" s="55">
        <v>0</v>
      </c>
      <c r="B444" s="56" t="s">
        <v>42</v>
      </c>
      <c r="C444" s="57" t="s">
        <v>43</v>
      </c>
      <c r="D444" s="59" t="s">
        <v>779</v>
      </c>
      <c r="E444" s="59" t="s">
        <v>787</v>
      </c>
      <c r="F444" s="59" t="e">
        <f>VLOOKUP(E444,[1]库存!$B$1:$C$65536,2,FALSE)</f>
        <v>#N/A</v>
      </c>
      <c r="G444" s="59" t="e">
        <v>#N/A</v>
      </c>
      <c r="H444" s="59" t="s">
        <v>788</v>
      </c>
      <c r="I444" s="59" t="s">
        <v>789</v>
      </c>
      <c r="J444" s="60" t="s">
        <v>790</v>
      </c>
      <c r="K444" s="61"/>
      <c r="L444" s="62">
        <v>2</v>
      </c>
      <c r="M444" s="63">
        <v>1200</v>
      </c>
      <c r="N444" s="64">
        <v>13</v>
      </c>
      <c r="O444" s="62">
        <v>2</v>
      </c>
      <c r="P444" s="65">
        <f t="shared" si="14"/>
        <v>0</v>
      </c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7"/>
      <c r="BF444" s="67"/>
      <c r="BG444" s="68"/>
      <c r="BI444" s="69">
        <v>0</v>
      </c>
      <c r="BJ444" s="70">
        <v>0</v>
      </c>
      <c r="BK444" s="71">
        <v>0</v>
      </c>
      <c r="BL444" s="71">
        <v>0</v>
      </c>
      <c r="BM444" s="71">
        <v>0</v>
      </c>
      <c r="BN444" s="72">
        <v>0</v>
      </c>
      <c r="BO444" s="73"/>
      <c r="BP444" s="73"/>
      <c r="BQ444" s="71">
        <v>0</v>
      </c>
      <c r="BR444" s="71">
        <v>0</v>
      </c>
      <c r="BS444" s="71">
        <v>0</v>
      </c>
      <c r="BT444" s="72">
        <v>0</v>
      </c>
      <c r="BU444" s="73"/>
      <c r="BV444" s="73"/>
    </row>
    <row r="445" ht="30" customHeight="1" spans="1:74">
      <c r="A445" s="55">
        <v>0</v>
      </c>
      <c r="B445" s="56">
        <v>0</v>
      </c>
      <c r="C445" s="57">
        <v>0</v>
      </c>
      <c r="D445" s="74"/>
      <c r="E445" s="74"/>
      <c r="F445" s="59" t="e">
        <f>VLOOKUP(E445,[1]库存!$B$1:$C$65536,2,FALSE)</f>
        <v>#N/A</v>
      </c>
      <c r="G445" s="59" t="e">
        <v>#N/A</v>
      </c>
      <c r="H445" s="74"/>
      <c r="I445" s="74"/>
      <c r="J445" s="75"/>
      <c r="K445" s="61"/>
      <c r="L445" s="62">
        <v>0</v>
      </c>
      <c r="M445" s="63">
        <v>0</v>
      </c>
      <c r="N445" s="64">
        <v>0</v>
      </c>
      <c r="O445" s="62">
        <v>0</v>
      </c>
      <c r="P445" s="65">
        <f t="shared" si="14"/>
        <v>0</v>
      </c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7"/>
      <c r="BF445" s="67"/>
      <c r="BG445" s="68"/>
      <c r="BI445" s="69">
        <v>0</v>
      </c>
      <c r="BJ445" s="70">
        <v>0</v>
      </c>
      <c r="BK445" s="71">
        <v>0</v>
      </c>
      <c r="BL445" s="71">
        <v>0</v>
      </c>
      <c r="BM445" s="71">
        <v>0</v>
      </c>
      <c r="BN445" s="72">
        <v>0</v>
      </c>
      <c r="BO445" s="73"/>
      <c r="BP445" s="73"/>
      <c r="BQ445" s="71">
        <v>0</v>
      </c>
      <c r="BR445" s="71">
        <v>0</v>
      </c>
      <c r="BS445" s="71">
        <v>0</v>
      </c>
      <c r="BT445" s="72">
        <v>0</v>
      </c>
      <c r="BU445" s="73"/>
      <c r="BV445" s="73"/>
    </row>
    <row r="446" ht="30" customHeight="1" spans="1:74">
      <c r="A446" s="55">
        <v>0</v>
      </c>
      <c r="B446" s="56" t="s">
        <v>42</v>
      </c>
      <c r="C446" s="57" t="s">
        <v>43</v>
      </c>
      <c r="D446" s="59" t="s">
        <v>779</v>
      </c>
      <c r="E446" s="59" t="s">
        <v>791</v>
      </c>
      <c r="F446" s="59" t="e">
        <f>VLOOKUP(E446,[1]库存!$B$1:$C$65536,2,FALSE)</f>
        <v>#N/A</v>
      </c>
      <c r="G446" s="59" t="e">
        <v>#N/A</v>
      </c>
      <c r="H446" s="59" t="s">
        <v>792</v>
      </c>
      <c r="I446" s="59" t="s">
        <v>789</v>
      </c>
      <c r="J446" s="75"/>
      <c r="K446" s="61"/>
      <c r="L446" s="62">
        <v>2</v>
      </c>
      <c r="M446" s="63">
        <v>1200</v>
      </c>
      <c r="N446" s="64">
        <v>13</v>
      </c>
      <c r="O446" s="62">
        <v>2</v>
      </c>
      <c r="P446" s="65">
        <f t="shared" si="14"/>
        <v>0</v>
      </c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7"/>
      <c r="BF446" s="67"/>
      <c r="BG446" s="68"/>
      <c r="BI446" s="69">
        <v>0</v>
      </c>
      <c r="BJ446" s="70">
        <v>0</v>
      </c>
      <c r="BK446" s="71">
        <v>0</v>
      </c>
      <c r="BL446" s="71">
        <v>0</v>
      </c>
      <c r="BM446" s="71">
        <v>0</v>
      </c>
      <c r="BN446" s="72">
        <v>0</v>
      </c>
      <c r="BO446" s="73"/>
      <c r="BP446" s="73"/>
      <c r="BQ446" s="71">
        <v>0</v>
      </c>
      <c r="BR446" s="71">
        <v>0</v>
      </c>
      <c r="BS446" s="71">
        <v>0</v>
      </c>
      <c r="BT446" s="72">
        <v>0</v>
      </c>
      <c r="BU446" s="73"/>
      <c r="BV446" s="73"/>
    </row>
    <row r="447" ht="30" customHeight="1" spans="1:74">
      <c r="A447" s="55">
        <v>0</v>
      </c>
      <c r="B447" s="56">
        <v>0</v>
      </c>
      <c r="C447" s="57">
        <v>0</v>
      </c>
      <c r="D447" s="74"/>
      <c r="E447" s="74"/>
      <c r="F447" s="59" t="e">
        <f>VLOOKUP(E447,[1]库存!$B$1:$C$65536,2,FALSE)</f>
        <v>#N/A</v>
      </c>
      <c r="G447" s="59" t="e">
        <v>#N/A</v>
      </c>
      <c r="H447" s="74"/>
      <c r="I447" s="74"/>
      <c r="J447" s="75"/>
      <c r="K447" s="61"/>
      <c r="L447" s="62">
        <v>0</v>
      </c>
      <c r="M447" s="63">
        <v>0</v>
      </c>
      <c r="N447" s="64">
        <v>0</v>
      </c>
      <c r="O447" s="62">
        <v>0</v>
      </c>
      <c r="P447" s="65">
        <f t="shared" si="14"/>
        <v>0</v>
      </c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7"/>
      <c r="BF447" s="67"/>
      <c r="BG447" s="68"/>
      <c r="BI447" s="69">
        <v>0</v>
      </c>
      <c r="BJ447" s="70">
        <v>0</v>
      </c>
      <c r="BK447" s="71">
        <v>0</v>
      </c>
      <c r="BL447" s="71">
        <v>0</v>
      </c>
      <c r="BM447" s="71">
        <v>0</v>
      </c>
      <c r="BN447" s="72">
        <v>0</v>
      </c>
      <c r="BO447" s="73"/>
      <c r="BP447" s="73"/>
      <c r="BQ447" s="71">
        <v>0</v>
      </c>
      <c r="BR447" s="71">
        <v>0</v>
      </c>
      <c r="BS447" s="71">
        <v>0</v>
      </c>
      <c r="BT447" s="72">
        <v>0</v>
      </c>
      <c r="BU447" s="73"/>
      <c r="BV447" s="73"/>
    </row>
    <row r="448" ht="30" customHeight="1" spans="1:74">
      <c r="A448" s="55">
        <v>0</v>
      </c>
      <c r="B448" s="56" t="s">
        <v>42</v>
      </c>
      <c r="C448" s="57" t="s">
        <v>43</v>
      </c>
      <c r="D448" s="59" t="s">
        <v>779</v>
      </c>
      <c r="E448" s="59"/>
      <c r="F448" s="59" t="e">
        <f>VLOOKUP(E448,[1]库存!$B$1:$C$65536,2,FALSE)</f>
        <v>#N/A</v>
      </c>
      <c r="G448" s="59" t="e">
        <v>#N/A</v>
      </c>
      <c r="H448" s="59" t="s">
        <v>793</v>
      </c>
      <c r="I448" s="59" t="s">
        <v>794</v>
      </c>
      <c r="J448" s="63"/>
      <c r="K448" s="61"/>
      <c r="L448" s="62">
        <v>2</v>
      </c>
      <c r="M448" s="63">
        <v>1200</v>
      </c>
      <c r="N448" s="64">
        <v>9</v>
      </c>
      <c r="O448" s="62">
        <v>2</v>
      </c>
      <c r="P448" s="65">
        <f t="shared" si="14"/>
        <v>0</v>
      </c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7"/>
      <c r="BF448" s="67"/>
      <c r="BG448" s="68"/>
      <c r="BI448" s="69">
        <v>0</v>
      </c>
      <c r="BJ448" s="70">
        <v>0</v>
      </c>
      <c r="BK448" s="71">
        <v>0</v>
      </c>
      <c r="BL448" s="71">
        <v>0</v>
      </c>
      <c r="BM448" s="71">
        <v>0</v>
      </c>
      <c r="BN448" s="72">
        <v>0</v>
      </c>
      <c r="BO448" s="73"/>
      <c r="BP448" s="73"/>
      <c r="BQ448" s="71">
        <v>0</v>
      </c>
      <c r="BR448" s="71">
        <v>0</v>
      </c>
      <c r="BS448" s="71">
        <v>0</v>
      </c>
      <c r="BT448" s="72">
        <v>0</v>
      </c>
      <c r="BU448" s="73"/>
      <c r="BV448" s="73"/>
    </row>
    <row r="449" ht="30" customHeight="1" spans="1:74">
      <c r="A449" s="55">
        <v>0</v>
      </c>
      <c r="B449" s="56">
        <v>0</v>
      </c>
      <c r="C449" s="57">
        <v>0</v>
      </c>
      <c r="D449" s="74"/>
      <c r="E449" s="74"/>
      <c r="F449" s="59" t="e">
        <f>VLOOKUP(E449,[1]库存!$B$1:$C$65536,2,FALSE)</f>
        <v>#N/A</v>
      </c>
      <c r="G449" s="59" t="e">
        <v>#N/A</v>
      </c>
      <c r="H449" s="74"/>
      <c r="I449" s="74"/>
      <c r="J449" s="87"/>
      <c r="K449" s="61"/>
      <c r="L449" s="62">
        <v>0</v>
      </c>
      <c r="M449" s="63">
        <v>0</v>
      </c>
      <c r="N449" s="64">
        <v>0</v>
      </c>
      <c r="O449" s="62">
        <v>0</v>
      </c>
      <c r="P449" s="65">
        <f t="shared" si="14"/>
        <v>0</v>
      </c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7"/>
      <c r="BF449" s="67"/>
      <c r="BG449" s="68"/>
      <c r="BI449" s="69">
        <v>0</v>
      </c>
      <c r="BJ449" s="70">
        <v>0</v>
      </c>
      <c r="BK449" s="71">
        <v>0</v>
      </c>
      <c r="BL449" s="71">
        <v>0</v>
      </c>
      <c r="BM449" s="71">
        <v>0</v>
      </c>
      <c r="BN449" s="72">
        <v>0</v>
      </c>
      <c r="BO449" s="73"/>
      <c r="BP449" s="73"/>
      <c r="BQ449" s="71">
        <v>0</v>
      </c>
      <c r="BR449" s="71">
        <v>0</v>
      </c>
      <c r="BS449" s="71">
        <v>0</v>
      </c>
      <c r="BT449" s="72">
        <v>0</v>
      </c>
      <c r="BU449" s="73"/>
      <c r="BV449" s="73"/>
    </row>
    <row r="450" ht="30" customHeight="1" spans="1:74">
      <c r="A450" s="55">
        <v>0</v>
      </c>
      <c r="B450" s="56" t="s">
        <v>42</v>
      </c>
      <c r="C450" s="57" t="s">
        <v>43</v>
      </c>
      <c r="D450" s="59" t="s">
        <v>779</v>
      </c>
      <c r="E450" s="59"/>
      <c r="F450" s="59" t="e">
        <f>VLOOKUP(E450,[1]库存!$B$1:$C$65536,2,FALSE)</f>
        <v>#N/A</v>
      </c>
      <c r="G450" s="59" t="e">
        <v>#N/A</v>
      </c>
      <c r="H450" s="59" t="s">
        <v>795</v>
      </c>
      <c r="I450" s="59" t="s">
        <v>796</v>
      </c>
      <c r="J450" s="63"/>
      <c r="K450" s="61"/>
      <c r="L450" s="62">
        <v>2</v>
      </c>
      <c r="M450" s="63">
        <v>1200</v>
      </c>
      <c r="N450" s="64">
        <v>9</v>
      </c>
      <c r="O450" s="62">
        <v>2</v>
      </c>
      <c r="P450" s="65">
        <f t="shared" si="14"/>
        <v>0</v>
      </c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7"/>
      <c r="BF450" s="67"/>
      <c r="BG450" s="68"/>
      <c r="BI450" s="69">
        <v>0</v>
      </c>
      <c r="BJ450" s="70">
        <v>0</v>
      </c>
      <c r="BK450" s="71">
        <v>0</v>
      </c>
      <c r="BL450" s="71">
        <v>0</v>
      </c>
      <c r="BM450" s="71">
        <v>0</v>
      </c>
      <c r="BN450" s="72">
        <v>0</v>
      </c>
      <c r="BO450" s="73"/>
      <c r="BP450" s="73"/>
      <c r="BQ450" s="71">
        <v>0</v>
      </c>
      <c r="BR450" s="71">
        <v>0</v>
      </c>
      <c r="BS450" s="71">
        <v>0</v>
      </c>
      <c r="BT450" s="72">
        <v>0</v>
      </c>
      <c r="BU450" s="73"/>
      <c r="BV450" s="73"/>
    </row>
    <row r="451" ht="30" customHeight="1" spans="1:74">
      <c r="A451" s="55">
        <v>0</v>
      </c>
      <c r="B451" s="56">
        <v>0</v>
      </c>
      <c r="C451" s="57">
        <v>0</v>
      </c>
      <c r="D451" s="74"/>
      <c r="E451" s="74"/>
      <c r="F451" s="59" t="e">
        <f>VLOOKUP(E451,[1]库存!$B$1:$C$65536,2,FALSE)</f>
        <v>#N/A</v>
      </c>
      <c r="G451" s="59" t="e">
        <v>#N/A</v>
      </c>
      <c r="H451" s="74"/>
      <c r="I451" s="74"/>
      <c r="J451" s="87"/>
      <c r="K451" s="61"/>
      <c r="L451" s="62">
        <v>0</v>
      </c>
      <c r="M451" s="63">
        <v>0</v>
      </c>
      <c r="N451" s="64">
        <v>0</v>
      </c>
      <c r="O451" s="62">
        <v>0</v>
      </c>
      <c r="P451" s="65">
        <f t="shared" si="14"/>
        <v>0</v>
      </c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7"/>
      <c r="BF451" s="67"/>
      <c r="BG451" s="68"/>
      <c r="BI451" s="69">
        <v>0</v>
      </c>
      <c r="BJ451" s="70">
        <v>0</v>
      </c>
      <c r="BK451" s="71">
        <v>0</v>
      </c>
      <c r="BL451" s="71">
        <v>0</v>
      </c>
      <c r="BM451" s="71">
        <v>0</v>
      </c>
      <c r="BN451" s="72">
        <v>0</v>
      </c>
      <c r="BO451" s="73"/>
      <c r="BP451" s="73"/>
      <c r="BQ451" s="71">
        <v>0</v>
      </c>
      <c r="BR451" s="71">
        <v>0</v>
      </c>
      <c r="BS451" s="71">
        <v>0</v>
      </c>
      <c r="BT451" s="72">
        <v>0</v>
      </c>
      <c r="BU451" s="73"/>
      <c r="BV451" s="73"/>
    </row>
    <row r="452" ht="30" customHeight="1" spans="1:74">
      <c r="A452" s="55">
        <v>0</v>
      </c>
      <c r="B452" s="56">
        <v>0</v>
      </c>
      <c r="C452" s="57">
        <v>0</v>
      </c>
      <c r="E452" s="88"/>
      <c r="F452" s="59" t="e">
        <f>VLOOKUP(E452,[1]库存!$B$1:$C$65536,2,FALSE)</f>
        <v>#N/A</v>
      </c>
      <c r="G452" s="59" t="e">
        <v>#N/A</v>
      </c>
      <c r="H452" s="89"/>
      <c r="I452" s="88"/>
      <c r="J452" s="90"/>
      <c r="K452" s="61"/>
      <c r="L452" s="62">
        <v>0</v>
      </c>
      <c r="M452" s="63">
        <v>0</v>
      </c>
      <c r="N452" s="64">
        <v>0</v>
      </c>
      <c r="O452" s="62">
        <v>0</v>
      </c>
      <c r="P452" s="65">
        <f t="shared" si="14"/>
        <v>0</v>
      </c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7"/>
      <c r="BF452" s="67"/>
      <c r="BG452" s="68"/>
      <c r="BI452" s="69">
        <v>0</v>
      </c>
      <c r="BJ452" s="70">
        <v>0</v>
      </c>
      <c r="BK452" s="71">
        <v>0</v>
      </c>
      <c r="BL452" s="71">
        <v>0</v>
      </c>
      <c r="BM452" s="71">
        <v>0</v>
      </c>
      <c r="BN452" s="72">
        <v>0</v>
      </c>
      <c r="BO452" s="73"/>
      <c r="BP452" s="73"/>
      <c r="BQ452" s="71">
        <v>0</v>
      </c>
      <c r="BR452" s="71">
        <v>0</v>
      </c>
      <c r="BS452" s="71">
        <v>0</v>
      </c>
      <c r="BT452" s="72">
        <v>0</v>
      </c>
      <c r="BU452" s="73"/>
      <c r="BV452" s="73"/>
    </row>
    <row r="453" ht="30" customHeight="1" spans="1:74">
      <c r="A453" s="55" t="s">
        <v>211</v>
      </c>
      <c r="B453" s="56" t="s">
        <v>42</v>
      </c>
      <c r="C453" s="57" t="s">
        <v>43</v>
      </c>
      <c r="D453" s="59" t="s">
        <v>797</v>
      </c>
      <c r="E453" s="59" t="s">
        <v>798</v>
      </c>
      <c r="F453" s="59" t="str">
        <f>VLOOKUP(E453,[1]库存!$B$1:$C$65536,2,FALSE)</f>
        <v>EKEA-A D1 SAB LH B状态</v>
      </c>
      <c r="G453" s="59" t="s">
        <v>799</v>
      </c>
      <c r="H453" s="59" t="s">
        <v>800</v>
      </c>
      <c r="I453" s="59" t="s">
        <v>801</v>
      </c>
      <c r="J453" s="80" t="s">
        <v>65</v>
      </c>
      <c r="K453" s="61"/>
      <c r="L453" s="62">
        <v>2</v>
      </c>
      <c r="M453" s="63">
        <v>1200</v>
      </c>
      <c r="N453" s="64">
        <v>7</v>
      </c>
      <c r="O453" s="62">
        <v>2</v>
      </c>
      <c r="P453" s="65">
        <f t="shared" si="14"/>
        <v>0</v>
      </c>
      <c r="Q453" s="66"/>
      <c r="R453" s="66"/>
      <c r="S453" s="66">
        <v>1400</v>
      </c>
      <c r="T453" s="66"/>
      <c r="U453" s="66">
        <v>1100</v>
      </c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7"/>
      <c r="BF453" s="67"/>
      <c r="BG453" s="68"/>
      <c r="BI453" s="69">
        <v>0</v>
      </c>
      <c r="BJ453" s="70">
        <v>0</v>
      </c>
      <c r="BK453" s="71">
        <v>0</v>
      </c>
      <c r="BL453" s="71">
        <v>0</v>
      </c>
      <c r="BM453" s="71">
        <v>0</v>
      </c>
      <c r="BN453" s="72">
        <v>0</v>
      </c>
      <c r="BO453" s="73"/>
      <c r="BP453" s="73"/>
      <c r="BQ453" s="71">
        <v>0</v>
      </c>
      <c r="BR453" s="71">
        <v>0</v>
      </c>
      <c r="BS453" s="71">
        <v>0</v>
      </c>
      <c r="BT453" s="72">
        <v>0</v>
      </c>
      <c r="BU453" s="73"/>
      <c r="BV453" s="73"/>
    </row>
    <row r="454" ht="30" customHeight="1" spans="1:74">
      <c r="A454" s="55">
        <v>0</v>
      </c>
      <c r="B454" s="56">
        <v>0</v>
      </c>
      <c r="C454" s="57">
        <v>0</v>
      </c>
      <c r="D454" s="74"/>
      <c r="E454" s="74"/>
      <c r="F454" s="59" t="e">
        <f>VLOOKUP(E454,[1]库存!$B$1:$C$65536,2,FALSE)</f>
        <v>#N/A</v>
      </c>
      <c r="G454" s="59" t="e">
        <v>#N/A</v>
      </c>
      <c r="H454" s="74"/>
      <c r="I454" s="74"/>
      <c r="J454" s="81"/>
      <c r="K454" s="61"/>
      <c r="L454" s="62">
        <v>0</v>
      </c>
      <c r="M454" s="63">
        <v>0</v>
      </c>
      <c r="N454" s="64">
        <v>0</v>
      </c>
      <c r="O454" s="62">
        <v>0</v>
      </c>
      <c r="P454" s="65">
        <f t="shared" ref="P454:P517" si="15">SUM(AG454:AJ454)</f>
        <v>0</v>
      </c>
      <c r="Q454" s="66"/>
      <c r="R454" s="66"/>
      <c r="S454" s="66" t="s">
        <v>802</v>
      </c>
      <c r="T454" s="66"/>
      <c r="U454" s="66" t="s">
        <v>803</v>
      </c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7"/>
      <c r="BF454" s="67"/>
      <c r="BG454" s="68"/>
      <c r="BI454" s="69">
        <v>0</v>
      </c>
      <c r="BJ454" s="70">
        <v>0</v>
      </c>
      <c r="BK454" s="71">
        <v>0</v>
      </c>
      <c r="BL454" s="71">
        <v>0</v>
      </c>
      <c r="BM454" s="71">
        <v>0</v>
      </c>
      <c r="BN454" s="72">
        <v>0</v>
      </c>
      <c r="BO454" s="73"/>
      <c r="BP454" s="73"/>
      <c r="BQ454" s="71">
        <v>0</v>
      </c>
      <c r="BR454" s="71">
        <v>0</v>
      </c>
      <c r="BS454" s="71">
        <v>0</v>
      </c>
      <c r="BT454" s="72">
        <v>0</v>
      </c>
      <c r="BU454" s="73"/>
      <c r="BV454" s="73"/>
    </row>
    <row r="455" ht="30" customHeight="1" spans="1:74">
      <c r="A455" s="55" t="s">
        <v>211</v>
      </c>
      <c r="B455" s="56" t="s">
        <v>42</v>
      </c>
      <c r="C455" s="57" t="s">
        <v>43</v>
      </c>
      <c r="D455" s="59" t="s">
        <v>797</v>
      </c>
      <c r="E455" s="59" t="s">
        <v>804</v>
      </c>
      <c r="F455" s="59" t="str">
        <f>VLOOKUP(E455,[1]库存!$B$1:$C$65536,2,FALSE)</f>
        <v>EKEA-A D1 SAB RH B状态</v>
      </c>
      <c r="G455" s="59" t="s">
        <v>805</v>
      </c>
      <c r="H455" s="59" t="s">
        <v>806</v>
      </c>
      <c r="I455" s="59" t="s">
        <v>801</v>
      </c>
      <c r="J455" s="80" t="s">
        <v>65</v>
      </c>
      <c r="K455" s="61"/>
      <c r="L455" s="62">
        <v>2</v>
      </c>
      <c r="M455" s="63">
        <v>1200</v>
      </c>
      <c r="N455" s="64">
        <v>7</v>
      </c>
      <c r="O455" s="62">
        <v>2</v>
      </c>
      <c r="P455" s="65">
        <f t="shared" si="15"/>
        <v>0</v>
      </c>
      <c r="Q455" s="66">
        <v>1600</v>
      </c>
      <c r="R455" s="66"/>
      <c r="S455" s="66">
        <v>100</v>
      </c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7"/>
      <c r="BF455" s="67"/>
      <c r="BG455" s="68"/>
      <c r="BI455" s="69">
        <v>0</v>
      </c>
      <c r="BJ455" s="70">
        <v>0</v>
      </c>
      <c r="BK455" s="71">
        <v>0</v>
      </c>
      <c r="BL455" s="71">
        <v>0</v>
      </c>
      <c r="BM455" s="71">
        <v>0</v>
      </c>
      <c r="BN455" s="72">
        <v>0</v>
      </c>
      <c r="BO455" s="73"/>
      <c r="BP455" s="73"/>
      <c r="BQ455" s="71">
        <v>0</v>
      </c>
      <c r="BR455" s="71">
        <v>0</v>
      </c>
      <c r="BS455" s="71">
        <v>0</v>
      </c>
      <c r="BT455" s="72">
        <v>0</v>
      </c>
      <c r="BU455" s="73"/>
      <c r="BV455" s="73"/>
    </row>
    <row r="456" ht="30" customHeight="1" spans="1:74">
      <c r="A456" s="55">
        <v>0</v>
      </c>
      <c r="B456" s="56">
        <v>0</v>
      </c>
      <c r="C456" s="57">
        <v>0</v>
      </c>
      <c r="D456" s="74"/>
      <c r="E456" s="74"/>
      <c r="F456" s="59" t="e">
        <f>VLOOKUP(E456,[1]库存!$B$1:$C$65536,2,FALSE)</f>
        <v>#N/A</v>
      </c>
      <c r="G456" s="59" t="e">
        <v>#N/A</v>
      </c>
      <c r="H456" s="74"/>
      <c r="I456" s="74"/>
      <c r="J456" s="81"/>
      <c r="K456" s="61"/>
      <c r="L456" s="62">
        <v>0</v>
      </c>
      <c r="M456" s="63">
        <v>0</v>
      </c>
      <c r="N456" s="64">
        <v>0</v>
      </c>
      <c r="O456" s="62">
        <v>0</v>
      </c>
      <c r="P456" s="65">
        <f t="shared" si="15"/>
        <v>0</v>
      </c>
      <c r="Q456" s="66" t="s">
        <v>807</v>
      </c>
      <c r="R456" s="66"/>
      <c r="S456" s="66" t="s">
        <v>808</v>
      </c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7"/>
      <c r="BF456" s="67"/>
      <c r="BG456" s="68"/>
      <c r="BI456" s="69">
        <v>0</v>
      </c>
      <c r="BJ456" s="70">
        <v>0</v>
      </c>
      <c r="BK456" s="71">
        <v>0</v>
      </c>
      <c r="BL456" s="71">
        <v>0</v>
      </c>
      <c r="BM456" s="71">
        <v>0</v>
      </c>
      <c r="BN456" s="72">
        <v>0</v>
      </c>
      <c r="BO456" s="73"/>
      <c r="BP456" s="73"/>
      <c r="BQ456" s="71">
        <v>0</v>
      </c>
      <c r="BR456" s="71">
        <v>0</v>
      </c>
      <c r="BS456" s="71">
        <v>0</v>
      </c>
      <c r="BT456" s="72">
        <v>0</v>
      </c>
      <c r="BU456" s="73"/>
      <c r="BV456" s="73"/>
    </row>
    <row r="457" ht="30" customHeight="1" spans="1:74">
      <c r="A457" s="55">
        <v>0</v>
      </c>
      <c r="B457" s="56" t="s">
        <v>42</v>
      </c>
      <c r="C457" s="57" t="s">
        <v>43</v>
      </c>
      <c r="D457" s="59" t="s">
        <v>797</v>
      </c>
      <c r="E457" s="59"/>
      <c r="F457" s="59" t="e">
        <f>VLOOKUP(E457,[1]库存!$B$1:$C$65536,2,FALSE)</f>
        <v>#N/A</v>
      </c>
      <c r="G457" s="59" t="e">
        <v>#N/A</v>
      </c>
      <c r="H457" s="59" t="s">
        <v>809</v>
      </c>
      <c r="I457" s="59" t="s">
        <v>801</v>
      </c>
      <c r="J457" s="82" t="s">
        <v>810</v>
      </c>
      <c r="K457" s="61"/>
      <c r="L457" s="62">
        <v>2</v>
      </c>
      <c r="M457" s="63">
        <v>1400</v>
      </c>
      <c r="N457" s="64">
        <v>8</v>
      </c>
      <c r="O457" s="62">
        <v>2</v>
      </c>
      <c r="P457" s="65">
        <f t="shared" si="15"/>
        <v>0</v>
      </c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7"/>
      <c r="BF457" s="67"/>
      <c r="BG457" s="68"/>
      <c r="BI457" s="69">
        <v>0</v>
      </c>
      <c r="BJ457" s="70">
        <v>0</v>
      </c>
      <c r="BK457" s="71">
        <v>0</v>
      </c>
      <c r="BL457" s="71">
        <v>0</v>
      </c>
      <c r="BM457" s="71">
        <v>0</v>
      </c>
      <c r="BN457" s="72">
        <v>0</v>
      </c>
      <c r="BO457" s="73"/>
      <c r="BP457" s="73"/>
      <c r="BQ457" s="71">
        <v>0</v>
      </c>
      <c r="BR457" s="71">
        <v>0</v>
      </c>
      <c r="BS457" s="71">
        <v>0</v>
      </c>
      <c r="BT457" s="72">
        <v>0</v>
      </c>
      <c r="BU457" s="73"/>
      <c r="BV457" s="73"/>
    </row>
    <row r="458" ht="30" customHeight="1" spans="1:74">
      <c r="A458" s="55">
        <v>0</v>
      </c>
      <c r="B458" s="56">
        <v>0</v>
      </c>
      <c r="C458" s="57">
        <v>0</v>
      </c>
      <c r="D458" s="74"/>
      <c r="E458" s="74"/>
      <c r="F458" s="59" t="e">
        <f>VLOOKUP(E458,[1]库存!$B$1:$C$65536,2,FALSE)</f>
        <v>#N/A</v>
      </c>
      <c r="G458" s="59" t="e">
        <v>#N/A</v>
      </c>
      <c r="H458" s="74"/>
      <c r="I458" s="74"/>
      <c r="J458" s="83"/>
      <c r="K458" s="61"/>
      <c r="L458" s="62">
        <v>0</v>
      </c>
      <c r="M458" s="63">
        <v>0</v>
      </c>
      <c r="N458" s="64">
        <v>0</v>
      </c>
      <c r="O458" s="62">
        <v>0</v>
      </c>
      <c r="P458" s="65">
        <f t="shared" si="15"/>
        <v>0</v>
      </c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7"/>
      <c r="BF458" s="67"/>
      <c r="BG458" s="68"/>
      <c r="BI458" s="69">
        <v>0</v>
      </c>
      <c r="BJ458" s="70">
        <v>0</v>
      </c>
      <c r="BK458" s="71">
        <v>0</v>
      </c>
      <c r="BL458" s="71">
        <v>0</v>
      </c>
      <c r="BM458" s="71">
        <v>0</v>
      </c>
      <c r="BN458" s="72">
        <v>0</v>
      </c>
      <c r="BO458" s="73"/>
      <c r="BP458" s="73"/>
      <c r="BQ458" s="71">
        <v>0</v>
      </c>
      <c r="BR458" s="71">
        <v>0</v>
      </c>
      <c r="BS458" s="71">
        <v>0</v>
      </c>
      <c r="BT458" s="72">
        <v>0</v>
      </c>
      <c r="BU458" s="73"/>
      <c r="BV458" s="73"/>
    </row>
    <row r="459" ht="30" customHeight="1" spans="1:74">
      <c r="A459" s="55" t="s">
        <v>211</v>
      </c>
      <c r="B459" s="56" t="s">
        <v>42</v>
      </c>
      <c r="C459" s="57" t="s">
        <v>43</v>
      </c>
      <c r="D459" s="59" t="s">
        <v>797</v>
      </c>
      <c r="E459" s="59" t="s">
        <v>811</v>
      </c>
      <c r="F459" s="59" t="str">
        <f>VLOOKUP(E459,[1]库存!$B$1:$C$65536,2,FALSE)</f>
        <v>HA5H SAB RH A状态</v>
      </c>
      <c r="G459" s="59" t="s">
        <v>812</v>
      </c>
      <c r="H459" s="59" t="s">
        <v>813</v>
      </c>
      <c r="I459" s="59" t="s">
        <v>801</v>
      </c>
      <c r="J459" s="63"/>
      <c r="K459" s="61"/>
      <c r="L459" s="62">
        <v>2</v>
      </c>
      <c r="M459" s="63">
        <v>1400</v>
      </c>
      <c r="N459" s="64">
        <v>8</v>
      </c>
      <c r="O459" s="62">
        <v>2</v>
      </c>
      <c r="P459" s="65">
        <f t="shared" si="15"/>
        <v>0</v>
      </c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7"/>
      <c r="BF459" s="67"/>
      <c r="BG459" s="68"/>
      <c r="BI459" s="69">
        <v>0</v>
      </c>
      <c r="BJ459" s="70">
        <v>0</v>
      </c>
      <c r="BK459" s="71">
        <v>0</v>
      </c>
      <c r="BL459" s="71">
        <v>0</v>
      </c>
      <c r="BM459" s="71">
        <v>0</v>
      </c>
      <c r="BN459" s="72">
        <v>0</v>
      </c>
      <c r="BO459" s="73"/>
      <c r="BP459" s="73"/>
      <c r="BQ459" s="71">
        <v>0</v>
      </c>
      <c r="BR459" s="71">
        <v>0</v>
      </c>
      <c r="BS459" s="71">
        <v>0</v>
      </c>
      <c r="BT459" s="72">
        <v>0</v>
      </c>
      <c r="BU459" s="73"/>
      <c r="BV459" s="73"/>
    </row>
    <row r="460" ht="30" customHeight="1" spans="1:74">
      <c r="A460" s="55">
        <v>0</v>
      </c>
      <c r="B460" s="56">
        <v>0</v>
      </c>
      <c r="C460" s="57">
        <v>0</v>
      </c>
      <c r="D460" s="74"/>
      <c r="E460" s="74"/>
      <c r="F460" s="59" t="e">
        <f>VLOOKUP(E460,[1]库存!$B$1:$C$65536,2,FALSE)</f>
        <v>#N/A</v>
      </c>
      <c r="G460" s="59" t="e">
        <v>#N/A</v>
      </c>
      <c r="H460" s="74"/>
      <c r="I460" s="74"/>
      <c r="J460" s="87"/>
      <c r="K460" s="61"/>
      <c r="L460" s="62">
        <v>0</v>
      </c>
      <c r="M460" s="63">
        <v>0</v>
      </c>
      <c r="N460" s="64">
        <v>0</v>
      </c>
      <c r="O460" s="62">
        <v>0</v>
      </c>
      <c r="P460" s="65">
        <f t="shared" si="15"/>
        <v>0</v>
      </c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7"/>
      <c r="BF460" s="67"/>
      <c r="BG460" s="68"/>
      <c r="BI460" s="69">
        <v>0</v>
      </c>
      <c r="BJ460" s="70">
        <v>0</v>
      </c>
      <c r="BK460" s="71">
        <v>0</v>
      </c>
      <c r="BL460" s="71">
        <v>0</v>
      </c>
      <c r="BM460" s="71">
        <v>0</v>
      </c>
      <c r="BN460" s="72">
        <v>0</v>
      </c>
      <c r="BO460" s="73"/>
      <c r="BP460" s="73"/>
      <c r="BQ460" s="71">
        <v>0</v>
      </c>
      <c r="BR460" s="71">
        <v>0</v>
      </c>
      <c r="BS460" s="71">
        <v>0</v>
      </c>
      <c r="BT460" s="72">
        <v>0</v>
      </c>
      <c r="BU460" s="73"/>
      <c r="BV460" s="73"/>
    </row>
    <row r="461" ht="30" customHeight="1" spans="1:74">
      <c r="A461" s="55">
        <v>0</v>
      </c>
      <c r="B461" s="56" t="s">
        <v>42</v>
      </c>
      <c r="C461" s="57" t="s">
        <v>43</v>
      </c>
      <c r="D461" s="59" t="s">
        <v>797</v>
      </c>
      <c r="E461" s="59"/>
      <c r="F461" s="59" t="e">
        <f>VLOOKUP(E461,[1]库存!$B$1:$C$65536,2,FALSE)</f>
        <v>#N/A</v>
      </c>
      <c r="G461" s="59" t="e">
        <v>#N/A</v>
      </c>
      <c r="H461" s="59" t="s">
        <v>814</v>
      </c>
      <c r="I461" s="59" t="s">
        <v>815</v>
      </c>
      <c r="J461" s="63"/>
      <c r="K461" s="61"/>
      <c r="L461" s="62">
        <v>2</v>
      </c>
      <c r="M461" s="63">
        <v>1200</v>
      </c>
      <c r="N461" s="64">
        <v>9</v>
      </c>
      <c r="O461" s="62">
        <v>2</v>
      </c>
      <c r="P461" s="65">
        <f t="shared" si="15"/>
        <v>0</v>
      </c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7"/>
      <c r="BF461" s="67"/>
      <c r="BG461" s="68"/>
      <c r="BI461" s="69">
        <v>0</v>
      </c>
      <c r="BJ461" s="70">
        <v>0</v>
      </c>
      <c r="BK461" s="71">
        <v>0</v>
      </c>
      <c r="BL461" s="71">
        <v>0</v>
      </c>
      <c r="BM461" s="71">
        <v>0</v>
      </c>
      <c r="BN461" s="72">
        <v>0</v>
      </c>
      <c r="BO461" s="73"/>
      <c r="BP461" s="73"/>
      <c r="BQ461" s="71">
        <v>0</v>
      </c>
      <c r="BR461" s="71">
        <v>0</v>
      </c>
      <c r="BS461" s="71">
        <v>0</v>
      </c>
      <c r="BT461" s="72">
        <v>0</v>
      </c>
      <c r="BU461" s="73"/>
      <c r="BV461" s="73"/>
    </row>
    <row r="462" ht="30" customHeight="1" spans="1:74">
      <c r="A462" s="55">
        <v>0</v>
      </c>
      <c r="B462" s="56">
        <v>0</v>
      </c>
      <c r="C462" s="57">
        <v>0</v>
      </c>
      <c r="D462" s="74"/>
      <c r="E462" s="74"/>
      <c r="F462" s="59" t="e">
        <f>VLOOKUP(E462,[1]库存!$B$1:$C$65536,2,FALSE)</f>
        <v>#N/A</v>
      </c>
      <c r="G462" s="59" t="e">
        <v>#N/A</v>
      </c>
      <c r="H462" s="74"/>
      <c r="I462" s="74"/>
      <c r="J462" s="87"/>
      <c r="K462" s="61"/>
      <c r="L462" s="62">
        <v>0</v>
      </c>
      <c r="M462" s="63">
        <v>0</v>
      </c>
      <c r="N462" s="64">
        <v>0</v>
      </c>
      <c r="O462" s="62">
        <v>0</v>
      </c>
      <c r="P462" s="65">
        <f t="shared" si="15"/>
        <v>0</v>
      </c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7"/>
      <c r="BF462" s="67"/>
      <c r="BG462" s="68"/>
      <c r="BI462" s="69">
        <v>0</v>
      </c>
      <c r="BJ462" s="70">
        <v>0</v>
      </c>
      <c r="BK462" s="71">
        <v>0</v>
      </c>
      <c r="BL462" s="71">
        <v>0</v>
      </c>
      <c r="BM462" s="71">
        <v>0</v>
      </c>
      <c r="BN462" s="72">
        <v>0</v>
      </c>
      <c r="BO462" s="73"/>
      <c r="BP462" s="73"/>
      <c r="BQ462" s="71">
        <v>0</v>
      </c>
      <c r="BR462" s="71">
        <v>0</v>
      </c>
      <c r="BS462" s="71">
        <v>0</v>
      </c>
      <c r="BT462" s="72">
        <v>0</v>
      </c>
      <c r="BU462" s="73"/>
      <c r="BV462" s="73"/>
    </row>
    <row r="463" ht="30" customHeight="1" spans="1:74">
      <c r="A463" s="55">
        <v>0</v>
      </c>
      <c r="B463" s="56" t="s">
        <v>42</v>
      </c>
      <c r="C463" s="57" t="s">
        <v>43</v>
      </c>
      <c r="D463" s="59" t="s">
        <v>797</v>
      </c>
      <c r="E463" s="59"/>
      <c r="F463" s="59" t="e">
        <f>VLOOKUP(E463,[1]库存!$B$1:$C$65536,2,FALSE)</f>
        <v>#N/A</v>
      </c>
      <c r="G463" s="59" t="e">
        <v>#N/A</v>
      </c>
      <c r="H463" s="59" t="s">
        <v>816</v>
      </c>
      <c r="I463" s="59" t="s">
        <v>817</v>
      </c>
      <c r="J463" s="63"/>
      <c r="K463" s="61"/>
      <c r="L463" s="62">
        <v>2</v>
      </c>
      <c r="M463" s="63">
        <v>1200</v>
      </c>
      <c r="N463" s="64">
        <v>9</v>
      </c>
      <c r="O463" s="62">
        <v>2</v>
      </c>
      <c r="P463" s="65">
        <f t="shared" si="15"/>
        <v>0</v>
      </c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7"/>
      <c r="BF463" s="67"/>
      <c r="BG463" s="68"/>
      <c r="BI463" s="69">
        <v>0</v>
      </c>
      <c r="BJ463" s="70">
        <v>0</v>
      </c>
      <c r="BK463" s="71">
        <v>0</v>
      </c>
      <c r="BL463" s="71">
        <v>0</v>
      </c>
      <c r="BM463" s="71">
        <v>0</v>
      </c>
      <c r="BN463" s="72">
        <v>0</v>
      </c>
      <c r="BO463" s="73"/>
      <c r="BP463" s="73"/>
      <c r="BQ463" s="71">
        <v>0</v>
      </c>
      <c r="BR463" s="71">
        <v>0</v>
      </c>
      <c r="BS463" s="71">
        <v>0</v>
      </c>
      <c r="BT463" s="72">
        <v>0</v>
      </c>
      <c r="BU463" s="73"/>
      <c r="BV463" s="73"/>
    </row>
    <row r="464" ht="30" customHeight="1" spans="1:74">
      <c r="A464" s="55">
        <v>0</v>
      </c>
      <c r="B464" s="56">
        <v>0</v>
      </c>
      <c r="C464" s="57">
        <v>0</v>
      </c>
      <c r="D464" s="74"/>
      <c r="E464" s="74"/>
      <c r="F464" s="59" t="e">
        <f>VLOOKUP(E464,[1]库存!$B$1:$C$65536,2,FALSE)</f>
        <v>#N/A</v>
      </c>
      <c r="G464" s="59" t="e">
        <v>#N/A</v>
      </c>
      <c r="H464" s="74"/>
      <c r="I464" s="74"/>
      <c r="J464" s="87"/>
      <c r="K464" s="61"/>
      <c r="L464" s="62">
        <v>0</v>
      </c>
      <c r="M464" s="63">
        <v>0</v>
      </c>
      <c r="N464" s="64">
        <v>0</v>
      </c>
      <c r="O464" s="62">
        <v>0</v>
      </c>
      <c r="P464" s="65">
        <f t="shared" si="15"/>
        <v>0</v>
      </c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7"/>
      <c r="BF464" s="67"/>
      <c r="BG464" s="68"/>
      <c r="BI464" s="69">
        <v>0</v>
      </c>
      <c r="BJ464" s="70">
        <v>0</v>
      </c>
      <c r="BK464" s="71">
        <v>0</v>
      </c>
      <c r="BL464" s="71">
        <v>0</v>
      </c>
      <c r="BM464" s="71">
        <v>0</v>
      </c>
      <c r="BN464" s="72">
        <v>0</v>
      </c>
      <c r="BO464" s="73"/>
      <c r="BP464" s="73"/>
      <c r="BQ464" s="71">
        <v>0</v>
      </c>
      <c r="BR464" s="71">
        <v>0</v>
      </c>
      <c r="BS464" s="71">
        <v>0</v>
      </c>
      <c r="BT464" s="72">
        <v>0</v>
      </c>
      <c r="BU464" s="73"/>
      <c r="BV464" s="73"/>
    </row>
    <row r="465" ht="30" customHeight="1" spans="1:74">
      <c r="A465" s="55">
        <v>0</v>
      </c>
      <c r="B465" s="56">
        <v>0</v>
      </c>
      <c r="C465" s="57">
        <v>0</v>
      </c>
      <c r="E465" s="88"/>
      <c r="F465" s="59" t="e">
        <f>VLOOKUP(E465,[1]库存!$B$1:$C$65536,2,FALSE)</f>
        <v>#N/A</v>
      </c>
      <c r="G465" s="59" t="e">
        <v>#N/A</v>
      </c>
      <c r="H465" s="89"/>
      <c r="I465" s="88"/>
      <c r="J465" s="90"/>
      <c r="K465" s="61"/>
      <c r="L465" s="62">
        <v>0</v>
      </c>
      <c r="M465" s="63">
        <v>0</v>
      </c>
      <c r="N465" s="64">
        <v>0</v>
      </c>
      <c r="O465" s="62">
        <v>0</v>
      </c>
      <c r="P465" s="65">
        <f t="shared" si="15"/>
        <v>0</v>
      </c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7"/>
      <c r="BF465" s="67"/>
      <c r="BG465" s="68"/>
      <c r="BI465" s="69">
        <v>0</v>
      </c>
      <c r="BJ465" s="70">
        <v>0</v>
      </c>
      <c r="BK465" s="71">
        <v>0</v>
      </c>
      <c r="BL465" s="71">
        <v>0</v>
      </c>
      <c r="BM465" s="71">
        <v>0</v>
      </c>
      <c r="BN465" s="72">
        <v>0</v>
      </c>
      <c r="BO465" s="73"/>
      <c r="BP465" s="73"/>
      <c r="BQ465" s="71">
        <v>0</v>
      </c>
      <c r="BR465" s="71">
        <v>0</v>
      </c>
      <c r="BS465" s="71">
        <v>0</v>
      </c>
      <c r="BT465" s="72">
        <v>0</v>
      </c>
      <c r="BU465" s="73"/>
      <c r="BV465" s="73"/>
    </row>
    <row r="466" ht="30" customHeight="1" spans="1:74">
      <c r="A466" s="55" t="s">
        <v>96</v>
      </c>
      <c r="B466" s="56" t="s">
        <v>42</v>
      </c>
      <c r="C466" s="57" t="s">
        <v>43</v>
      </c>
      <c r="D466" s="59" t="s">
        <v>818</v>
      </c>
      <c r="E466" s="59" t="s">
        <v>819</v>
      </c>
      <c r="F466" s="59" t="str">
        <f>VLOOKUP(E466,[1]库存!$B$1:$C$65536,2,FALSE)</f>
        <v>SGMW CN200 SAB LH B状态</v>
      </c>
      <c r="G466" s="59" t="s">
        <v>820</v>
      </c>
      <c r="H466" s="59" t="s">
        <v>821</v>
      </c>
      <c r="I466" s="59" t="s">
        <v>822</v>
      </c>
      <c r="J466" s="63"/>
      <c r="K466" s="61"/>
      <c r="L466" s="62">
        <v>2</v>
      </c>
      <c r="M466" s="63">
        <v>1550</v>
      </c>
      <c r="N466" s="64">
        <v>12</v>
      </c>
      <c r="O466" s="62">
        <v>2</v>
      </c>
      <c r="P466" s="65">
        <f t="shared" si="15"/>
        <v>0</v>
      </c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7"/>
      <c r="BF466" s="67"/>
      <c r="BG466" s="68"/>
      <c r="BI466" s="69">
        <v>0</v>
      </c>
      <c r="BJ466" s="70">
        <v>0</v>
      </c>
      <c r="BK466" s="71">
        <v>0</v>
      </c>
      <c r="BL466" s="71">
        <v>0</v>
      </c>
      <c r="BM466" s="71">
        <v>0</v>
      </c>
      <c r="BN466" s="72">
        <v>0</v>
      </c>
      <c r="BO466" s="73"/>
      <c r="BP466" s="73"/>
      <c r="BQ466" s="71">
        <v>0</v>
      </c>
      <c r="BR466" s="71">
        <v>0</v>
      </c>
      <c r="BS466" s="71">
        <v>0</v>
      </c>
      <c r="BT466" s="72">
        <v>0</v>
      </c>
      <c r="BU466" s="73"/>
      <c r="BV466" s="73"/>
    </row>
    <row r="467" ht="30" customHeight="1" spans="1:74">
      <c r="A467" s="55">
        <v>0</v>
      </c>
      <c r="B467" s="56">
        <v>0</v>
      </c>
      <c r="C467" s="57">
        <v>0</v>
      </c>
      <c r="D467" s="74"/>
      <c r="E467" s="74"/>
      <c r="F467" s="59" t="e">
        <f>VLOOKUP(E467,[1]库存!$B$1:$C$65536,2,FALSE)</f>
        <v>#N/A</v>
      </c>
      <c r="G467" s="59" t="e">
        <v>#N/A</v>
      </c>
      <c r="H467" s="74"/>
      <c r="I467" s="74"/>
      <c r="J467" s="87"/>
      <c r="K467" s="61"/>
      <c r="L467" s="62">
        <v>0</v>
      </c>
      <c r="M467" s="63">
        <v>0</v>
      </c>
      <c r="N467" s="64">
        <v>0</v>
      </c>
      <c r="O467" s="62">
        <v>0</v>
      </c>
      <c r="P467" s="65">
        <f t="shared" si="15"/>
        <v>0</v>
      </c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7"/>
      <c r="BF467" s="67"/>
      <c r="BG467" s="68"/>
      <c r="BI467" s="69">
        <v>0</v>
      </c>
      <c r="BJ467" s="70">
        <v>0</v>
      </c>
      <c r="BK467" s="71">
        <v>0</v>
      </c>
      <c r="BL467" s="71">
        <v>0</v>
      </c>
      <c r="BM467" s="71">
        <v>0</v>
      </c>
      <c r="BN467" s="72">
        <v>0</v>
      </c>
      <c r="BO467" s="73"/>
      <c r="BP467" s="73"/>
      <c r="BQ467" s="71">
        <v>0</v>
      </c>
      <c r="BR467" s="71">
        <v>0</v>
      </c>
      <c r="BS467" s="71">
        <v>0</v>
      </c>
      <c r="BT467" s="72">
        <v>0</v>
      </c>
      <c r="BU467" s="73"/>
      <c r="BV467" s="73"/>
    </row>
    <row r="468" ht="30" customHeight="1" spans="1:74">
      <c r="A468" s="55" t="s">
        <v>96</v>
      </c>
      <c r="B468" s="56" t="s">
        <v>42</v>
      </c>
      <c r="C468" s="57" t="s">
        <v>43</v>
      </c>
      <c r="D468" s="59" t="s">
        <v>818</v>
      </c>
      <c r="E468" s="59" t="s">
        <v>823</v>
      </c>
      <c r="F468" s="59" t="str">
        <f>VLOOKUP(E468,[1]库存!$B$1:$C$65536,2,FALSE)</f>
        <v>SGMW CN200 SAB RH B状态</v>
      </c>
      <c r="G468" s="59" t="s">
        <v>824</v>
      </c>
      <c r="H468" s="59" t="s">
        <v>825</v>
      </c>
      <c r="I468" s="59" t="s">
        <v>822</v>
      </c>
      <c r="J468" s="63"/>
      <c r="K468" s="61"/>
      <c r="L468" s="62">
        <v>2</v>
      </c>
      <c r="M468" s="63">
        <v>1550</v>
      </c>
      <c r="N468" s="64">
        <v>12</v>
      </c>
      <c r="O468" s="62">
        <v>2</v>
      </c>
      <c r="P468" s="65">
        <f t="shared" si="15"/>
        <v>0</v>
      </c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7"/>
      <c r="BF468" s="67"/>
      <c r="BG468" s="68"/>
      <c r="BI468" s="69">
        <v>0</v>
      </c>
      <c r="BJ468" s="70">
        <v>0</v>
      </c>
      <c r="BK468" s="71">
        <v>0</v>
      </c>
      <c r="BL468" s="71">
        <v>0</v>
      </c>
      <c r="BM468" s="71">
        <v>0</v>
      </c>
      <c r="BN468" s="72">
        <v>0</v>
      </c>
      <c r="BO468" s="73"/>
      <c r="BP468" s="73"/>
      <c r="BQ468" s="71">
        <v>0</v>
      </c>
      <c r="BR468" s="71">
        <v>0</v>
      </c>
      <c r="BS468" s="71">
        <v>0</v>
      </c>
      <c r="BT468" s="72">
        <v>0</v>
      </c>
      <c r="BU468" s="73"/>
      <c r="BV468" s="73"/>
    </row>
    <row r="469" ht="30" customHeight="1" spans="1:74">
      <c r="A469" s="55">
        <v>0</v>
      </c>
      <c r="B469" s="56">
        <v>0</v>
      </c>
      <c r="C469" s="57">
        <v>0</v>
      </c>
      <c r="D469" s="74"/>
      <c r="E469" s="74"/>
      <c r="F469" s="59" t="e">
        <f>VLOOKUP(E469,[1]库存!$B$1:$C$65536,2,FALSE)</f>
        <v>#N/A</v>
      </c>
      <c r="G469" s="59" t="e">
        <v>#N/A</v>
      </c>
      <c r="H469" s="74"/>
      <c r="I469" s="74"/>
      <c r="J469" s="87"/>
      <c r="K469" s="61"/>
      <c r="L469" s="62">
        <v>0</v>
      </c>
      <c r="M469" s="63">
        <v>0</v>
      </c>
      <c r="N469" s="64">
        <v>0</v>
      </c>
      <c r="O469" s="62">
        <v>0</v>
      </c>
      <c r="P469" s="65">
        <f t="shared" si="15"/>
        <v>0</v>
      </c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7"/>
      <c r="BF469" s="67"/>
      <c r="BG469" s="68"/>
      <c r="BI469" s="69">
        <v>0</v>
      </c>
      <c r="BJ469" s="70">
        <v>0</v>
      </c>
      <c r="BK469" s="71">
        <v>0</v>
      </c>
      <c r="BL469" s="71">
        <v>0</v>
      </c>
      <c r="BM469" s="71">
        <v>0</v>
      </c>
      <c r="BN469" s="72">
        <v>0</v>
      </c>
      <c r="BO469" s="73"/>
      <c r="BP469" s="73"/>
      <c r="BQ469" s="71">
        <v>0</v>
      </c>
      <c r="BR469" s="71">
        <v>0</v>
      </c>
      <c r="BS469" s="71">
        <v>0</v>
      </c>
      <c r="BT469" s="72">
        <v>0</v>
      </c>
      <c r="BU469" s="73"/>
      <c r="BV469" s="73"/>
    </row>
    <row r="470" ht="30" customHeight="1" spans="1:74">
      <c r="A470" s="55" t="s">
        <v>41</v>
      </c>
      <c r="B470" s="56" t="s">
        <v>42</v>
      </c>
      <c r="C470" s="57" t="s">
        <v>43</v>
      </c>
      <c r="D470" s="59" t="s">
        <v>818</v>
      </c>
      <c r="E470" s="59" t="s">
        <v>826</v>
      </c>
      <c r="F470" s="59" t="str">
        <f>VLOOKUP(E470,[1]库存!$B$1:$C$65536,2,FALSE)</f>
        <v>CHANGAN S101 VAVE SABL</v>
      </c>
      <c r="G470" s="59" t="s">
        <v>827</v>
      </c>
      <c r="H470" s="52" t="s">
        <v>828</v>
      </c>
      <c r="I470" s="59" t="s">
        <v>737</v>
      </c>
      <c r="J470" s="80" t="s">
        <v>65</v>
      </c>
      <c r="K470" s="61"/>
      <c r="L470" s="62">
        <v>2</v>
      </c>
      <c r="M470" s="63">
        <v>1550</v>
      </c>
      <c r="N470" s="64">
        <v>13</v>
      </c>
      <c r="O470" s="62">
        <v>2</v>
      </c>
      <c r="P470" s="65">
        <f t="shared" si="15"/>
        <v>0</v>
      </c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7"/>
      <c r="BF470" s="67"/>
      <c r="BG470" s="68"/>
      <c r="BI470" s="69">
        <v>0</v>
      </c>
      <c r="BJ470" s="70">
        <v>0</v>
      </c>
      <c r="BK470" s="71">
        <v>0</v>
      </c>
      <c r="BL470" s="71">
        <v>0</v>
      </c>
      <c r="BM470" s="71">
        <v>0</v>
      </c>
      <c r="BN470" s="72">
        <v>0</v>
      </c>
      <c r="BO470" s="73"/>
      <c r="BP470" s="73"/>
      <c r="BQ470" s="71">
        <v>0</v>
      </c>
      <c r="BR470" s="71">
        <v>0</v>
      </c>
      <c r="BS470" s="71">
        <v>0</v>
      </c>
      <c r="BT470" s="72">
        <v>0</v>
      </c>
      <c r="BU470" s="73"/>
      <c r="BV470" s="73"/>
    </row>
    <row r="471" ht="30" customHeight="1" spans="1:74">
      <c r="A471" s="55">
        <v>0</v>
      </c>
      <c r="B471" s="56">
        <v>0</v>
      </c>
      <c r="C471" s="57">
        <v>0</v>
      </c>
      <c r="D471" s="74"/>
      <c r="E471" s="74"/>
      <c r="F471" s="59" t="e">
        <f>VLOOKUP(E471,[1]库存!$B$1:$C$65536,2,FALSE)</f>
        <v>#N/A</v>
      </c>
      <c r="G471" s="59" t="e">
        <v>#N/A</v>
      </c>
      <c r="H471" s="52"/>
      <c r="I471" s="74"/>
      <c r="J471" s="81"/>
      <c r="K471" s="61"/>
      <c r="L471" s="62">
        <v>0</v>
      </c>
      <c r="M471" s="63">
        <v>0</v>
      </c>
      <c r="N471" s="64">
        <v>0</v>
      </c>
      <c r="O471" s="62">
        <v>0</v>
      </c>
      <c r="P471" s="65">
        <f t="shared" si="15"/>
        <v>0</v>
      </c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7"/>
      <c r="BF471" s="67"/>
      <c r="BG471" s="68"/>
      <c r="BI471" s="69">
        <v>0</v>
      </c>
      <c r="BJ471" s="70">
        <v>0</v>
      </c>
      <c r="BK471" s="71">
        <v>0</v>
      </c>
      <c r="BL471" s="71">
        <v>0</v>
      </c>
      <c r="BM471" s="71">
        <v>0</v>
      </c>
      <c r="BN471" s="72">
        <v>0</v>
      </c>
      <c r="BO471" s="73"/>
      <c r="BP471" s="73"/>
      <c r="BQ471" s="71">
        <v>0</v>
      </c>
      <c r="BR471" s="71">
        <v>0</v>
      </c>
      <c r="BS471" s="71">
        <v>0</v>
      </c>
      <c r="BT471" s="72">
        <v>0</v>
      </c>
      <c r="BU471" s="73"/>
      <c r="BV471" s="73"/>
    </row>
    <row r="472" ht="30" customHeight="1" spans="1:74">
      <c r="A472" s="55" t="s">
        <v>41</v>
      </c>
      <c r="B472" s="56" t="s">
        <v>42</v>
      </c>
      <c r="C472" s="57" t="s">
        <v>43</v>
      </c>
      <c r="D472" s="59" t="s">
        <v>818</v>
      </c>
      <c r="E472" s="59" t="s">
        <v>829</v>
      </c>
      <c r="F472" s="59" t="str">
        <f>VLOOKUP(E472,[1]库存!$B$1:$C$65536,2,FALSE)</f>
        <v>CHANGAN S101 VAVE SABR</v>
      </c>
      <c r="G472" s="59" t="s">
        <v>830</v>
      </c>
      <c r="H472" s="52" t="s">
        <v>831</v>
      </c>
      <c r="I472" s="59" t="s">
        <v>737</v>
      </c>
      <c r="J472" s="80" t="s">
        <v>65</v>
      </c>
      <c r="K472" s="61"/>
      <c r="L472" s="62">
        <v>2</v>
      </c>
      <c r="M472" s="63">
        <v>1550</v>
      </c>
      <c r="N472" s="64">
        <v>13</v>
      </c>
      <c r="O472" s="62">
        <v>2</v>
      </c>
      <c r="P472" s="65">
        <f t="shared" si="15"/>
        <v>0</v>
      </c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7"/>
      <c r="BF472" s="67"/>
      <c r="BG472" s="68"/>
      <c r="BI472" s="69">
        <v>0</v>
      </c>
      <c r="BJ472" s="70">
        <v>0</v>
      </c>
      <c r="BK472" s="71">
        <v>0</v>
      </c>
      <c r="BL472" s="71">
        <v>0</v>
      </c>
      <c r="BM472" s="71">
        <v>0</v>
      </c>
      <c r="BN472" s="72">
        <v>0</v>
      </c>
      <c r="BO472" s="73"/>
      <c r="BP472" s="73"/>
      <c r="BQ472" s="71">
        <v>0</v>
      </c>
      <c r="BR472" s="71">
        <v>0</v>
      </c>
      <c r="BS472" s="71">
        <v>0</v>
      </c>
      <c r="BT472" s="72">
        <v>0</v>
      </c>
      <c r="BU472" s="73"/>
      <c r="BV472" s="73"/>
    </row>
    <row r="473" ht="30" customHeight="1" spans="1:74">
      <c r="A473" s="55">
        <v>0</v>
      </c>
      <c r="B473" s="56">
        <v>0</v>
      </c>
      <c r="C473" s="57">
        <v>0</v>
      </c>
      <c r="D473" s="74"/>
      <c r="E473" s="74"/>
      <c r="F473" s="59" t="e">
        <f>VLOOKUP(E473,[1]库存!$B$1:$C$65536,2,FALSE)</f>
        <v>#N/A</v>
      </c>
      <c r="G473" s="59" t="e">
        <v>#N/A</v>
      </c>
      <c r="H473" s="52"/>
      <c r="I473" s="74"/>
      <c r="J473" s="81"/>
      <c r="K473" s="61"/>
      <c r="L473" s="62">
        <v>0</v>
      </c>
      <c r="M473" s="63">
        <v>0</v>
      </c>
      <c r="N473" s="64">
        <v>0</v>
      </c>
      <c r="O473" s="62">
        <v>0</v>
      </c>
      <c r="P473" s="65">
        <f t="shared" si="15"/>
        <v>0</v>
      </c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7"/>
      <c r="BF473" s="67"/>
      <c r="BG473" s="68"/>
      <c r="BI473" s="69">
        <v>0</v>
      </c>
      <c r="BJ473" s="70">
        <v>0</v>
      </c>
      <c r="BK473" s="71">
        <v>0</v>
      </c>
      <c r="BL473" s="71">
        <v>0</v>
      </c>
      <c r="BM473" s="71">
        <v>0</v>
      </c>
      <c r="BN473" s="72">
        <v>0</v>
      </c>
      <c r="BO473" s="73"/>
      <c r="BP473" s="73"/>
      <c r="BQ473" s="71">
        <v>0</v>
      </c>
      <c r="BR473" s="71">
        <v>0</v>
      </c>
      <c r="BS473" s="71">
        <v>0</v>
      </c>
      <c r="BT473" s="72">
        <v>0</v>
      </c>
      <c r="BU473" s="73"/>
      <c r="BV473" s="73"/>
    </row>
    <row r="474" ht="30" customHeight="1" spans="1:74">
      <c r="A474" s="55">
        <v>0</v>
      </c>
      <c r="B474" s="56">
        <v>0</v>
      </c>
      <c r="C474" s="57">
        <v>0</v>
      </c>
      <c r="E474" s="88"/>
      <c r="F474" s="59" t="e">
        <f>VLOOKUP(E474,[1]库存!$B$1:$C$65536,2,FALSE)</f>
        <v>#N/A</v>
      </c>
      <c r="G474" s="59" t="e">
        <v>#N/A</v>
      </c>
      <c r="H474" s="89"/>
      <c r="I474" s="88"/>
      <c r="J474" s="90"/>
      <c r="K474" s="61"/>
      <c r="L474" s="62">
        <v>0</v>
      </c>
      <c r="M474" s="63">
        <v>0</v>
      </c>
      <c r="N474" s="64">
        <v>0</v>
      </c>
      <c r="O474" s="62">
        <v>0</v>
      </c>
      <c r="P474" s="65">
        <f t="shared" si="15"/>
        <v>0</v>
      </c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7"/>
      <c r="BF474" s="67"/>
      <c r="BG474" s="68"/>
      <c r="BI474" s="69">
        <v>0</v>
      </c>
      <c r="BJ474" s="70">
        <v>0</v>
      </c>
      <c r="BK474" s="71">
        <v>0</v>
      </c>
      <c r="BL474" s="71">
        <v>0</v>
      </c>
      <c r="BM474" s="71">
        <v>0</v>
      </c>
      <c r="BN474" s="72">
        <v>0</v>
      </c>
      <c r="BO474" s="73"/>
      <c r="BP474" s="73"/>
      <c r="BQ474" s="71">
        <v>0</v>
      </c>
      <c r="BR474" s="71">
        <v>0</v>
      </c>
      <c r="BS474" s="71">
        <v>0</v>
      </c>
      <c r="BT474" s="72">
        <v>0</v>
      </c>
      <c r="BU474" s="73"/>
      <c r="BV474" s="73"/>
    </row>
    <row r="475" ht="30" customHeight="1" spans="1:74">
      <c r="A475" s="55" t="s">
        <v>211</v>
      </c>
      <c r="B475" s="56" t="s">
        <v>42</v>
      </c>
      <c r="C475" s="57" t="s">
        <v>43</v>
      </c>
      <c r="D475" s="59" t="s">
        <v>832</v>
      </c>
      <c r="E475" s="59" t="s">
        <v>833</v>
      </c>
      <c r="F475" s="59" t="str">
        <f>VLOOKUP(E475,[1]库存!$B$1:$C$65536,2,FALSE)</f>
        <v>SA2HRU SAB LH A状态</v>
      </c>
      <c r="G475" s="59" t="s">
        <v>834</v>
      </c>
      <c r="H475" s="59" t="s">
        <v>835</v>
      </c>
      <c r="I475" s="59" t="s">
        <v>836</v>
      </c>
      <c r="J475" s="171"/>
      <c r="K475" s="61"/>
      <c r="L475" s="62">
        <v>2</v>
      </c>
      <c r="M475" s="63">
        <v>1500</v>
      </c>
      <c r="N475" s="64">
        <v>11</v>
      </c>
      <c r="O475" s="62">
        <v>2</v>
      </c>
      <c r="P475" s="65">
        <f t="shared" si="15"/>
        <v>0</v>
      </c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7"/>
      <c r="BF475" s="67"/>
      <c r="BG475" s="68"/>
      <c r="BI475" s="69">
        <v>0</v>
      </c>
      <c r="BJ475" s="70">
        <v>0</v>
      </c>
      <c r="BK475" s="71">
        <v>0</v>
      </c>
      <c r="BL475" s="71">
        <v>0</v>
      </c>
      <c r="BM475" s="71">
        <v>0</v>
      </c>
      <c r="BN475" s="72">
        <v>0</v>
      </c>
      <c r="BO475" s="73"/>
      <c r="BP475" s="73"/>
      <c r="BQ475" s="71">
        <v>0</v>
      </c>
      <c r="BR475" s="71">
        <v>0</v>
      </c>
      <c r="BS475" s="71">
        <v>0</v>
      </c>
      <c r="BT475" s="72">
        <v>0</v>
      </c>
      <c r="BU475" s="73"/>
      <c r="BV475" s="73"/>
    </row>
    <row r="476" ht="30" customHeight="1" spans="1:74">
      <c r="A476" s="55">
        <v>0</v>
      </c>
      <c r="B476" s="56">
        <v>0</v>
      </c>
      <c r="C476" s="57">
        <v>0</v>
      </c>
      <c r="D476" s="74"/>
      <c r="E476" s="74"/>
      <c r="F476" s="59" t="e">
        <f>VLOOKUP(E476,[1]库存!$B$1:$C$65536,2,FALSE)</f>
        <v>#N/A</v>
      </c>
      <c r="G476" s="59" t="e">
        <v>#N/A</v>
      </c>
      <c r="H476" s="74"/>
      <c r="I476" s="74"/>
      <c r="J476" s="172"/>
      <c r="K476" s="61"/>
      <c r="L476" s="62">
        <v>0</v>
      </c>
      <c r="M476" s="63">
        <v>0</v>
      </c>
      <c r="N476" s="64">
        <v>0</v>
      </c>
      <c r="O476" s="62">
        <v>0</v>
      </c>
      <c r="P476" s="65">
        <f t="shared" si="15"/>
        <v>0</v>
      </c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7"/>
      <c r="BF476" s="67"/>
      <c r="BG476" s="68"/>
      <c r="BI476" s="69">
        <v>0</v>
      </c>
      <c r="BJ476" s="70">
        <v>0</v>
      </c>
      <c r="BK476" s="71">
        <v>0</v>
      </c>
      <c r="BL476" s="71">
        <v>0</v>
      </c>
      <c r="BM476" s="71">
        <v>0</v>
      </c>
      <c r="BN476" s="72">
        <v>0</v>
      </c>
      <c r="BO476" s="73"/>
      <c r="BP476" s="73"/>
      <c r="BQ476" s="71">
        <v>0</v>
      </c>
      <c r="BR476" s="71">
        <v>0</v>
      </c>
      <c r="BS476" s="71">
        <v>0</v>
      </c>
      <c r="BT476" s="72">
        <v>0</v>
      </c>
      <c r="BU476" s="73"/>
      <c r="BV476" s="73"/>
    </row>
    <row r="477" ht="30" customHeight="1" spans="1:74">
      <c r="A477" s="55" t="s">
        <v>211</v>
      </c>
      <c r="B477" s="56" t="s">
        <v>42</v>
      </c>
      <c r="C477" s="57" t="s">
        <v>43</v>
      </c>
      <c r="D477" s="59" t="s">
        <v>832</v>
      </c>
      <c r="E477" s="59" t="s">
        <v>837</v>
      </c>
      <c r="F477" s="59" t="str">
        <f>VLOOKUP(E477,[1]库存!$B$1:$C$65536,2,FALSE)</f>
        <v>SA2HRU SAB RH A状态</v>
      </c>
      <c r="G477" s="59" t="s">
        <v>838</v>
      </c>
      <c r="H477" s="59" t="s">
        <v>839</v>
      </c>
      <c r="I477" s="59" t="s">
        <v>836</v>
      </c>
      <c r="J477" s="172"/>
      <c r="K477" s="61"/>
      <c r="L477" s="62">
        <v>2</v>
      </c>
      <c r="M477" s="63">
        <v>1500</v>
      </c>
      <c r="N477" s="64">
        <v>11</v>
      </c>
      <c r="O477" s="62">
        <v>2</v>
      </c>
      <c r="P477" s="65">
        <f t="shared" si="15"/>
        <v>0</v>
      </c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7"/>
      <c r="BF477" s="67"/>
      <c r="BG477" s="68"/>
      <c r="BI477" s="69">
        <v>0</v>
      </c>
      <c r="BJ477" s="70">
        <v>0</v>
      </c>
      <c r="BK477" s="71">
        <v>0</v>
      </c>
      <c r="BL477" s="71">
        <v>0</v>
      </c>
      <c r="BM477" s="71">
        <v>0</v>
      </c>
      <c r="BN477" s="72">
        <v>0</v>
      </c>
      <c r="BO477" s="73"/>
      <c r="BP477" s="73"/>
      <c r="BQ477" s="71">
        <v>0</v>
      </c>
      <c r="BR477" s="71">
        <v>0</v>
      </c>
      <c r="BS477" s="71">
        <v>0</v>
      </c>
      <c r="BT477" s="72">
        <v>0</v>
      </c>
      <c r="BU477" s="73"/>
      <c r="BV477" s="73"/>
    </row>
    <row r="478" ht="30" customHeight="1" spans="1:74">
      <c r="A478" s="55">
        <v>0</v>
      </c>
      <c r="B478" s="56">
        <v>0</v>
      </c>
      <c r="C478" s="57">
        <v>0</v>
      </c>
      <c r="D478" s="74"/>
      <c r="E478" s="74"/>
      <c r="F478" s="59" t="e">
        <f>VLOOKUP(E478,[1]库存!$B$1:$C$65536,2,FALSE)</f>
        <v>#N/A</v>
      </c>
      <c r="G478" s="59" t="e">
        <v>#N/A</v>
      </c>
      <c r="H478" s="74"/>
      <c r="I478" s="74"/>
      <c r="J478" s="172"/>
      <c r="K478" s="61"/>
      <c r="L478" s="62">
        <v>0</v>
      </c>
      <c r="M478" s="63">
        <v>0</v>
      </c>
      <c r="N478" s="64">
        <v>0</v>
      </c>
      <c r="O478" s="62">
        <v>0</v>
      </c>
      <c r="P478" s="65">
        <f t="shared" si="15"/>
        <v>0</v>
      </c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7"/>
      <c r="BF478" s="67"/>
      <c r="BG478" s="68"/>
      <c r="BI478" s="69">
        <v>0</v>
      </c>
      <c r="BJ478" s="70">
        <v>0</v>
      </c>
      <c r="BK478" s="71">
        <v>0</v>
      </c>
      <c r="BL478" s="71">
        <v>0</v>
      </c>
      <c r="BM478" s="71">
        <v>0</v>
      </c>
      <c r="BN478" s="72">
        <v>0</v>
      </c>
      <c r="BO478" s="73"/>
      <c r="BP478" s="73"/>
      <c r="BQ478" s="71">
        <v>0</v>
      </c>
      <c r="BR478" s="71">
        <v>0</v>
      </c>
      <c r="BS478" s="71">
        <v>0</v>
      </c>
      <c r="BT478" s="72">
        <v>0</v>
      </c>
      <c r="BU478" s="73"/>
      <c r="BV478" s="73"/>
    </row>
    <row r="479" ht="30" customHeight="1" spans="1:74">
      <c r="A479" s="55">
        <v>0</v>
      </c>
      <c r="B479" s="56" t="s">
        <v>42</v>
      </c>
      <c r="C479" s="57" t="s">
        <v>43</v>
      </c>
      <c r="D479" s="59" t="s">
        <v>832</v>
      </c>
      <c r="E479" s="59" t="s">
        <v>840</v>
      </c>
      <c r="F479" s="59" t="e">
        <f>VLOOKUP(E479,[1]库存!$B$1:$C$65536,2,FALSE)</f>
        <v>#N/A</v>
      </c>
      <c r="G479" s="59" t="e">
        <v>#N/A</v>
      </c>
      <c r="H479" s="59" t="s">
        <v>841</v>
      </c>
      <c r="I479" s="59" t="s">
        <v>842</v>
      </c>
      <c r="J479" s="63" t="s">
        <v>843</v>
      </c>
      <c r="K479" s="61"/>
      <c r="L479" s="62">
        <v>2</v>
      </c>
      <c r="M479" s="63">
        <v>1500</v>
      </c>
      <c r="N479" s="64">
        <v>11</v>
      </c>
      <c r="O479" s="62">
        <v>2</v>
      </c>
      <c r="P479" s="65">
        <f t="shared" si="15"/>
        <v>0</v>
      </c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7"/>
      <c r="BF479" s="67"/>
      <c r="BG479" s="68"/>
      <c r="BI479" s="69">
        <v>0</v>
      </c>
      <c r="BJ479" s="70">
        <v>0</v>
      </c>
      <c r="BK479" s="71">
        <v>0</v>
      </c>
      <c r="BL479" s="71">
        <v>0</v>
      </c>
      <c r="BM479" s="71">
        <v>0</v>
      </c>
      <c r="BN479" s="72">
        <v>0</v>
      </c>
      <c r="BO479" s="73"/>
      <c r="BP479" s="73"/>
      <c r="BQ479" s="71">
        <v>0</v>
      </c>
      <c r="BR479" s="71">
        <v>0</v>
      </c>
      <c r="BS479" s="71">
        <v>0</v>
      </c>
      <c r="BT479" s="72">
        <v>0</v>
      </c>
      <c r="BU479" s="73"/>
      <c r="BV479" s="73"/>
    </row>
    <row r="480" ht="30" customHeight="1" spans="1:74">
      <c r="A480" s="55">
        <v>0</v>
      </c>
      <c r="B480" s="56">
        <v>0</v>
      </c>
      <c r="C480" s="57">
        <v>0</v>
      </c>
      <c r="D480" s="74"/>
      <c r="E480" s="74"/>
      <c r="F480" s="59" t="e">
        <f>VLOOKUP(E480,[1]库存!$B$1:$C$65536,2,FALSE)</f>
        <v>#N/A</v>
      </c>
      <c r="G480" s="59" t="e">
        <v>#N/A</v>
      </c>
      <c r="H480" s="74"/>
      <c r="I480" s="74"/>
      <c r="J480" s="87"/>
      <c r="K480" s="61"/>
      <c r="L480" s="62">
        <v>0</v>
      </c>
      <c r="M480" s="63">
        <v>0</v>
      </c>
      <c r="N480" s="64">
        <v>0</v>
      </c>
      <c r="O480" s="62">
        <v>0</v>
      </c>
      <c r="P480" s="65">
        <f t="shared" si="15"/>
        <v>0</v>
      </c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7"/>
      <c r="BF480" s="67"/>
      <c r="BG480" s="68"/>
      <c r="BI480" s="69">
        <v>0</v>
      </c>
      <c r="BJ480" s="70">
        <v>0</v>
      </c>
      <c r="BK480" s="71">
        <v>0</v>
      </c>
      <c r="BL480" s="71">
        <v>0</v>
      </c>
      <c r="BM480" s="71">
        <v>0</v>
      </c>
      <c r="BN480" s="72">
        <v>0</v>
      </c>
      <c r="BO480" s="73"/>
      <c r="BP480" s="73"/>
      <c r="BQ480" s="71">
        <v>0</v>
      </c>
      <c r="BR480" s="71">
        <v>0</v>
      </c>
      <c r="BS480" s="71">
        <v>0</v>
      </c>
      <c r="BT480" s="72">
        <v>0</v>
      </c>
      <c r="BU480" s="73"/>
      <c r="BV480" s="73"/>
    </row>
    <row r="481" ht="30" customHeight="1" spans="1:74">
      <c r="A481" s="55">
        <v>0</v>
      </c>
      <c r="B481" s="56" t="s">
        <v>42</v>
      </c>
      <c r="C481" s="57" t="s">
        <v>43</v>
      </c>
      <c r="D481" s="59" t="s">
        <v>832</v>
      </c>
      <c r="E481" s="59" t="s">
        <v>844</v>
      </c>
      <c r="F481" s="59" t="e">
        <f>VLOOKUP(E481,[1]库存!$B$1:$C$65536,2,FALSE)</f>
        <v>#N/A</v>
      </c>
      <c r="G481" s="59" t="e">
        <v>#N/A</v>
      </c>
      <c r="H481" s="59" t="s">
        <v>845</v>
      </c>
      <c r="I481" s="59" t="s">
        <v>842</v>
      </c>
      <c r="J481" s="87"/>
      <c r="K481" s="61"/>
      <c r="L481" s="62">
        <v>2</v>
      </c>
      <c r="M481" s="63">
        <v>1500</v>
      </c>
      <c r="N481" s="64">
        <v>11</v>
      </c>
      <c r="O481" s="62">
        <v>2</v>
      </c>
      <c r="P481" s="65">
        <f t="shared" si="15"/>
        <v>0</v>
      </c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7"/>
      <c r="BF481" s="67"/>
      <c r="BG481" s="68"/>
      <c r="BI481" s="69">
        <v>0</v>
      </c>
      <c r="BJ481" s="70">
        <v>0</v>
      </c>
      <c r="BK481" s="71">
        <v>0</v>
      </c>
      <c r="BL481" s="71">
        <v>0</v>
      </c>
      <c r="BM481" s="71">
        <v>0</v>
      </c>
      <c r="BN481" s="72">
        <v>0</v>
      </c>
      <c r="BO481" s="73"/>
      <c r="BP481" s="73"/>
      <c r="BQ481" s="71">
        <v>0</v>
      </c>
      <c r="BR481" s="71">
        <v>0</v>
      </c>
      <c r="BS481" s="71">
        <v>0</v>
      </c>
      <c r="BT481" s="72">
        <v>0</v>
      </c>
      <c r="BU481" s="73"/>
      <c r="BV481" s="73"/>
    </row>
    <row r="482" ht="30" customHeight="1" spans="1:74">
      <c r="A482" s="55">
        <v>0</v>
      </c>
      <c r="B482" s="56">
        <v>0</v>
      </c>
      <c r="C482" s="57">
        <v>0</v>
      </c>
      <c r="D482" s="74"/>
      <c r="E482" s="74"/>
      <c r="F482" s="59" t="e">
        <f>VLOOKUP(E482,[1]库存!$B$1:$C$65536,2,FALSE)</f>
        <v>#N/A</v>
      </c>
      <c r="G482" s="59" t="e">
        <v>#N/A</v>
      </c>
      <c r="H482" s="74"/>
      <c r="I482" s="74"/>
      <c r="J482" s="87"/>
      <c r="K482" s="61"/>
      <c r="L482" s="62">
        <v>0</v>
      </c>
      <c r="M482" s="63">
        <v>0</v>
      </c>
      <c r="N482" s="64">
        <v>0</v>
      </c>
      <c r="O482" s="62">
        <v>0</v>
      </c>
      <c r="P482" s="65">
        <f t="shared" si="15"/>
        <v>0</v>
      </c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7"/>
      <c r="BF482" s="67"/>
      <c r="BG482" s="68"/>
      <c r="BI482" s="69">
        <v>0</v>
      </c>
      <c r="BJ482" s="70">
        <v>0</v>
      </c>
      <c r="BK482" s="71">
        <v>0</v>
      </c>
      <c r="BL482" s="71">
        <v>0</v>
      </c>
      <c r="BM482" s="71">
        <v>0</v>
      </c>
      <c r="BN482" s="72">
        <v>0</v>
      </c>
      <c r="BO482" s="73"/>
      <c r="BP482" s="73"/>
      <c r="BQ482" s="71">
        <v>0</v>
      </c>
      <c r="BR482" s="71">
        <v>0</v>
      </c>
      <c r="BS482" s="71">
        <v>0</v>
      </c>
      <c r="BT482" s="72">
        <v>0</v>
      </c>
      <c r="BU482" s="73"/>
      <c r="BV482" s="73"/>
    </row>
    <row r="483" ht="30" customHeight="1" spans="1:74">
      <c r="A483" s="55">
        <v>0</v>
      </c>
      <c r="B483" s="56" t="s">
        <v>42</v>
      </c>
      <c r="C483" s="57" t="s">
        <v>43</v>
      </c>
      <c r="D483" s="59" t="s">
        <v>832</v>
      </c>
      <c r="E483" s="59"/>
      <c r="F483" s="59" t="e">
        <f>VLOOKUP(E483,[1]库存!$B$1:$C$65536,2,FALSE)</f>
        <v>#N/A</v>
      </c>
      <c r="G483" s="59" t="e">
        <v>#N/A</v>
      </c>
      <c r="H483" s="59" t="s">
        <v>846</v>
      </c>
      <c r="I483" s="59" t="s">
        <v>847</v>
      </c>
      <c r="J483" s="63"/>
      <c r="K483" s="61"/>
      <c r="L483" s="62">
        <v>2</v>
      </c>
      <c r="M483" s="63">
        <v>1500</v>
      </c>
      <c r="N483" s="64">
        <v>11</v>
      </c>
      <c r="O483" s="62">
        <v>2</v>
      </c>
      <c r="P483" s="65">
        <f t="shared" si="15"/>
        <v>0</v>
      </c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7"/>
      <c r="BF483" s="67"/>
      <c r="BG483" s="68"/>
      <c r="BI483" s="69">
        <v>0</v>
      </c>
      <c r="BJ483" s="70">
        <v>0</v>
      </c>
      <c r="BK483" s="71">
        <v>0</v>
      </c>
      <c r="BL483" s="71">
        <v>0</v>
      </c>
      <c r="BM483" s="71">
        <v>0</v>
      </c>
      <c r="BN483" s="72">
        <v>0</v>
      </c>
      <c r="BO483" s="73"/>
      <c r="BP483" s="73"/>
      <c r="BQ483" s="71">
        <v>0</v>
      </c>
      <c r="BR483" s="71">
        <v>0</v>
      </c>
      <c r="BS483" s="71">
        <v>0</v>
      </c>
      <c r="BT483" s="72">
        <v>0</v>
      </c>
      <c r="BU483" s="73"/>
      <c r="BV483" s="73"/>
    </row>
    <row r="484" ht="30" customHeight="1" spans="1:74">
      <c r="A484" s="55">
        <v>0</v>
      </c>
      <c r="B484" s="56">
        <v>0</v>
      </c>
      <c r="C484" s="57">
        <v>0</v>
      </c>
      <c r="D484" s="74"/>
      <c r="E484" s="74"/>
      <c r="F484" s="59" t="e">
        <f>VLOOKUP(E484,[1]库存!$B$1:$C$65536,2,FALSE)</f>
        <v>#N/A</v>
      </c>
      <c r="G484" s="59" t="e">
        <v>#N/A</v>
      </c>
      <c r="H484" s="74"/>
      <c r="I484" s="74"/>
      <c r="J484" s="87"/>
      <c r="K484" s="61"/>
      <c r="L484" s="62">
        <v>0</v>
      </c>
      <c r="M484" s="63">
        <v>0</v>
      </c>
      <c r="N484" s="64">
        <v>0</v>
      </c>
      <c r="O484" s="62">
        <v>0</v>
      </c>
      <c r="P484" s="65">
        <f t="shared" si="15"/>
        <v>0</v>
      </c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7"/>
      <c r="BF484" s="67"/>
      <c r="BG484" s="68"/>
      <c r="BI484" s="69">
        <v>0</v>
      </c>
      <c r="BJ484" s="70">
        <v>0</v>
      </c>
      <c r="BK484" s="71">
        <v>0</v>
      </c>
      <c r="BL484" s="71">
        <v>0</v>
      </c>
      <c r="BM484" s="71">
        <v>0</v>
      </c>
      <c r="BN484" s="72">
        <v>0</v>
      </c>
      <c r="BO484" s="73"/>
      <c r="BP484" s="73"/>
      <c r="BQ484" s="71">
        <v>0</v>
      </c>
      <c r="BR484" s="71">
        <v>0</v>
      </c>
      <c r="BS484" s="71">
        <v>0</v>
      </c>
      <c r="BT484" s="72">
        <v>0</v>
      </c>
      <c r="BU484" s="73"/>
      <c r="BV484" s="73"/>
    </row>
    <row r="485" ht="30" customHeight="1" spans="1:74">
      <c r="A485" s="55">
        <v>0</v>
      </c>
      <c r="B485" s="56" t="s">
        <v>42</v>
      </c>
      <c r="C485" s="57" t="s">
        <v>43</v>
      </c>
      <c r="D485" s="59" t="s">
        <v>832</v>
      </c>
      <c r="E485" s="59"/>
      <c r="F485" s="59" t="e">
        <f>VLOOKUP(E485,[1]库存!$B$1:$C$65536,2,FALSE)</f>
        <v>#N/A</v>
      </c>
      <c r="G485" s="59" t="e">
        <v>#N/A</v>
      </c>
      <c r="H485" s="59" t="s">
        <v>848</v>
      </c>
      <c r="I485" s="59" t="s">
        <v>849</v>
      </c>
      <c r="J485" s="87"/>
      <c r="K485" s="61"/>
      <c r="L485" s="62">
        <v>2</v>
      </c>
      <c r="M485" s="63">
        <v>1500</v>
      </c>
      <c r="N485" s="64">
        <v>11</v>
      </c>
      <c r="O485" s="62">
        <v>2</v>
      </c>
      <c r="P485" s="65">
        <f t="shared" si="15"/>
        <v>0</v>
      </c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7"/>
      <c r="BF485" s="67"/>
      <c r="BG485" s="68"/>
      <c r="BI485" s="69">
        <v>0</v>
      </c>
      <c r="BJ485" s="70">
        <v>0</v>
      </c>
      <c r="BK485" s="71">
        <v>0</v>
      </c>
      <c r="BL485" s="71">
        <v>0</v>
      </c>
      <c r="BM485" s="71">
        <v>0</v>
      </c>
      <c r="BN485" s="72">
        <v>0</v>
      </c>
      <c r="BO485" s="73"/>
      <c r="BP485" s="73"/>
      <c r="BQ485" s="71">
        <v>0</v>
      </c>
      <c r="BR485" s="71">
        <v>0</v>
      </c>
      <c r="BS485" s="71">
        <v>0</v>
      </c>
      <c r="BT485" s="72">
        <v>0</v>
      </c>
      <c r="BU485" s="73"/>
      <c r="BV485" s="73"/>
    </row>
    <row r="486" ht="30" customHeight="1" spans="1:74">
      <c r="A486" s="55">
        <v>0</v>
      </c>
      <c r="B486" s="56">
        <v>0</v>
      </c>
      <c r="C486" s="57">
        <v>0</v>
      </c>
      <c r="D486" s="74"/>
      <c r="E486" s="74"/>
      <c r="F486" s="59" t="e">
        <f>VLOOKUP(E486,[1]库存!$B$1:$C$65536,2,FALSE)</f>
        <v>#N/A</v>
      </c>
      <c r="G486" s="59" t="e">
        <v>#N/A</v>
      </c>
      <c r="H486" s="74"/>
      <c r="I486" s="74"/>
      <c r="J486" s="87"/>
      <c r="K486" s="61"/>
      <c r="L486" s="62">
        <v>0</v>
      </c>
      <c r="M486" s="63">
        <v>0</v>
      </c>
      <c r="N486" s="64">
        <v>0</v>
      </c>
      <c r="O486" s="62">
        <v>0</v>
      </c>
      <c r="P486" s="65">
        <f t="shared" si="15"/>
        <v>0</v>
      </c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7"/>
      <c r="BF486" s="67"/>
      <c r="BG486" s="68"/>
      <c r="BI486" s="69">
        <v>0</v>
      </c>
      <c r="BJ486" s="70">
        <v>0</v>
      </c>
      <c r="BK486" s="71">
        <v>0</v>
      </c>
      <c r="BL486" s="71">
        <v>0</v>
      </c>
      <c r="BM486" s="71">
        <v>0</v>
      </c>
      <c r="BN486" s="72">
        <v>0</v>
      </c>
      <c r="BO486" s="73"/>
      <c r="BP486" s="73"/>
      <c r="BQ486" s="71">
        <v>0</v>
      </c>
      <c r="BR486" s="71">
        <v>0</v>
      </c>
      <c r="BS486" s="71">
        <v>0</v>
      </c>
      <c r="BT486" s="72">
        <v>0</v>
      </c>
      <c r="BU486" s="73"/>
      <c r="BV486" s="73"/>
    </row>
    <row r="487" ht="30" customHeight="1" spans="1:74">
      <c r="A487" s="55" t="s">
        <v>211</v>
      </c>
      <c r="B487" s="56" t="s">
        <v>42</v>
      </c>
      <c r="C487" s="57" t="s">
        <v>43</v>
      </c>
      <c r="D487" s="59" t="s">
        <v>832</v>
      </c>
      <c r="E487" s="59" t="s">
        <v>850</v>
      </c>
      <c r="F487" s="59" t="str">
        <f>VLOOKUP(E487,[1]库存!$B$1:$C$65536,2,FALSE)</f>
        <v>S59 SAB LH</v>
      </c>
      <c r="G487" s="59" t="s">
        <v>851</v>
      </c>
      <c r="H487" s="59" t="s">
        <v>852</v>
      </c>
      <c r="I487" s="59" t="s">
        <v>853</v>
      </c>
      <c r="J487" s="100" t="s">
        <v>854</v>
      </c>
      <c r="K487" s="61"/>
      <c r="L487" s="62">
        <v>2</v>
      </c>
      <c r="M487" s="63">
        <v>1200</v>
      </c>
      <c r="N487" s="64">
        <v>11</v>
      </c>
      <c r="O487" s="62">
        <v>2</v>
      </c>
      <c r="P487" s="65">
        <f t="shared" si="15"/>
        <v>0</v>
      </c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7"/>
      <c r="BF487" s="67"/>
      <c r="BG487" s="68"/>
      <c r="BI487" s="69">
        <v>0</v>
      </c>
      <c r="BJ487" s="70">
        <v>0</v>
      </c>
      <c r="BK487" s="71">
        <v>0</v>
      </c>
      <c r="BL487" s="71">
        <v>0</v>
      </c>
      <c r="BM487" s="71">
        <v>0</v>
      </c>
      <c r="BN487" s="72">
        <v>0</v>
      </c>
      <c r="BO487" s="73"/>
      <c r="BP487" s="73"/>
      <c r="BQ487" s="71">
        <v>0</v>
      </c>
      <c r="BR487" s="71">
        <v>0</v>
      </c>
      <c r="BS487" s="71">
        <v>0</v>
      </c>
      <c r="BT487" s="72">
        <v>0</v>
      </c>
      <c r="BU487" s="73"/>
      <c r="BV487" s="73"/>
    </row>
    <row r="488" ht="30" customHeight="1" spans="1:74">
      <c r="A488" s="55">
        <v>0</v>
      </c>
      <c r="B488" s="56">
        <v>0</v>
      </c>
      <c r="C488" s="57">
        <v>0</v>
      </c>
      <c r="D488" s="74"/>
      <c r="E488" s="74"/>
      <c r="F488" s="59" t="e">
        <f>VLOOKUP(E488,[1]库存!$B$1:$C$65536,2,FALSE)</f>
        <v>#N/A</v>
      </c>
      <c r="G488" s="59" t="e">
        <v>#N/A</v>
      </c>
      <c r="H488" s="74"/>
      <c r="I488" s="74"/>
      <c r="J488" s="101"/>
      <c r="K488" s="61"/>
      <c r="L488" s="62">
        <v>0</v>
      </c>
      <c r="M488" s="63">
        <v>0</v>
      </c>
      <c r="N488" s="64">
        <v>0</v>
      </c>
      <c r="O488" s="62">
        <v>0</v>
      </c>
      <c r="P488" s="65">
        <f t="shared" si="15"/>
        <v>0</v>
      </c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7"/>
      <c r="BF488" s="67"/>
      <c r="BG488" s="68"/>
      <c r="BI488" s="69">
        <v>0</v>
      </c>
      <c r="BJ488" s="70">
        <v>0</v>
      </c>
      <c r="BK488" s="71">
        <v>0</v>
      </c>
      <c r="BL488" s="71">
        <v>0</v>
      </c>
      <c r="BM488" s="71">
        <v>0</v>
      </c>
      <c r="BN488" s="72">
        <v>0</v>
      </c>
      <c r="BO488" s="73"/>
      <c r="BP488" s="73"/>
      <c r="BQ488" s="71">
        <v>0</v>
      </c>
      <c r="BR488" s="71">
        <v>0</v>
      </c>
      <c r="BS488" s="71">
        <v>0</v>
      </c>
      <c r="BT488" s="72">
        <v>0</v>
      </c>
      <c r="BU488" s="73"/>
      <c r="BV488" s="73"/>
    </row>
    <row r="489" ht="30" customHeight="1" spans="1:74">
      <c r="A489" s="55" t="s">
        <v>211</v>
      </c>
      <c r="B489" s="56" t="s">
        <v>42</v>
      </c>
      <c r="C489" s="57" t="s">
        <v>43</v>
      </c>
      <c r="D489" s="59" t="s">
        <v>832</v>
      </c>
      <c r="E489" s="59" t="s">
        <v>855</v>
      </c>
      <c r="F489" s="59" t="str">
        <f>VLOOKUP(E489,[1]库存!$B$1:$C$65536,2,FALSE)</f>
        <v>S59 SAB RH</v>
      </c>
      <c r="G489" s="59" t="s">
        <v>856</v>
      </c>
      <c r="H489" s="59" t="s">
        <v>857</v>
      </c>
      <c r="I489" s="59" t="s">
        <v>853</v>
      </c>
      <c r="J489" s="100" t="s">
        <v>854</v>
      </c>
      <c r="K489" s="61"/>
      <c r="L489" s="62">
        <v>2</v>
      </c>
      <c r="M489" s="63">
        <v>1200</v>
      </c>
      <c r="N489" s="64">
        <v>11</v>
      </c>
      <c r="O489" s="62">
        <v>2</v>
      </c>
      <c r="P489" s="65">
        <f t="shared" si="15"/>
        <v>0</v>
      </c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7"/>
      <c r="BF489" s="67"/>
      <c r="BG489" s="68"/>
      <c r="BI489" s="69">
        <v>0</v>
      </c>
      <c r="BJ489" s="70">
        <v>0</v>
      </c>
      <c r="BK489" s="71">
        <v>0</v>
      </c>
      <c r="BL489" s="71">
        <v>0</v>
      </c>
      <c r="BM489" s="71">
        <v>0</v>
      </c>
      <c r="BN489" s="72">
        <v>0</v>
      </c>
      <c r="BO489" s="73"/>
      <c r="BP489" s="73"/>
      <c r="BQ489" s="71">
        <v>0</v>
      </c>
      <c r="BR489" s="71">
        <v>0</v>
      </c>
      <c r="BS489" s="71">
        <v>0</v>
      </c>
      <c r="BT489" s="72">
        <v>0</v>
      </c>
      <c r="BU489" s="73"/>
      <c r="BV489" s="73"/>
    </row>
    <row r="490" ht="30" customHeight="1" spans="1:74">
      <c r="A490" s="55">
        <v>0</v>
      </c>
      <c r="B490" s="56">
        <v>0</v>
      </c>
      <c r="C490" s="57">
        <v>0</v>
      </c>
      <c r="D490" s="74"/>
      <c r="E490" s="74"/>
      <c r="F490" s="59" t="e">
        <f>VLOOKUP(E490,[1]库存!$B$1:$C$65536,2,FALSE)</f>
        <v>#N/A</v>
      </c>
      <c r="G490" s="59" t="e">
        <v>#N/A</v>
      </c>
      <c r="H490" s="74"/>
      <c r="I490" s="74"/>
      <c r="J490" s="101"/>
      <c r="K490" s="61"/>
      <c r="L490" s="62">
        <v>0</v>
      </c>
      <c r="M490" s="63">
        <v>0</v>
      </c>
      <c r="N490" s="64">
        <v>0</v>
      </c>
      <c r="O490" s="62">
        <v>0</v>
      </c>
      <c r="P490" s="65">
        <f t="shared" si="15"/>
        <v>0</v>
      </c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7"/>
      <c r="BF490" s="67"/>
      <c r="BG490" s="68"/>
      <c r="BI490" s="69">
        <v>0</v>
      </c>
      <c r="BJ490" s="70">
        <v>0</v>
      </c>
      <c r="BK490" s="71">
        <v>0</v>
      </c>
      <c r="BL490" s="71">
        <v>0</v>
      </c>
      <c r="BM490" s="71">
        <v>0</v>
      </c>
      <c r="BN490" s="72">
        <v>0</v>
      </c>
      <c r="BO490" s="73"/>
      <c r="BP490" s="73"/>
      <c r="BQ490" s="71">
        <v>0</v>
      </c>
      <c r="BR490" s="71">
        <v>0</v>
      </c>
      <c r="BS490" s="71">
        <v>0</v>
      </c>
      <c r="BT490" s="72">
        <v>0</v>
      </c>
      <c r="BU490" s="73"/>
      <c r="BV490" s="73"/>
    </row>
    <row r="491" ht="30" customHeight="1" spans="1:74">
      <c r="A491" s="55">
        <v>0</v>
      </c>
      <c r="B491" s="56" t="s">
        <v>42</v>
      </c>
      <c r="C491" s="57" t="s">
        <v>43</v>
      </c>
      <c r="D491" s="59" t="s">
        <v>832</v>
      </c>
      <c r="E491" s="59" t="s">
        <v>787</v>
      </c>
      <c r="F491" s="59" t="e">
        <f>VLOOKUP(E491,[1]库存!$B$1:$C$65536,2,FALSE)</f>
        <v>#N/A</v>
      </c>
      <c r="G491" s="59" t="e">
        <v>#N/A</v>
      </c>
      <c r="H491" s="59" t="s">
        <v>788</v>
      </c>
      <c r="I491" s="59" t="s">
        <v>789</v>
      </c>
      <c r="J491" s="80" t="s">
        <v>858</v>
      </c>
      <c r="K491" s="61"/>
      <c r="L491" s="62">
        <v>2</v>
      </c>
      <c r="M491" s="63">
        <v>1200</v>
      </c>
      <c r="N491" s="64">
        <v>11</v>
      </c>
      <c r="O491" s="62">
        <v>2</v>
      </c>
      <c r="P491" s="65">
        <f t="shared" si="15"/>
        <v>0</v>
      </c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7"/>
      <c r="BF491" s="67"/>
      <c r="BG491" s="68"/>
      <c r="BI491" s="69">
        <v>0</v>
      </c>
      <c r="BJ491" s="70">
        <v>0</v>
      </c>
      <c r="BK491" s="71">
        <v>0</v>
      </c>
      <c r="BL491" s="71">
        <v>0</v>
      </c>
      <c r="BM491" s="71">
        <v>0</v>
      </c>
      <c r="BN491" s="72">
        <v>0</v>
      </c>
      <c r="BO491" s="73"/>
      <c r="BP491" s="73"/>
      <c r="BQ491" s="71">
        <v>0</v>
      </c>
      <c r="BR491" s="71">
        <v>0</v>
      </c>
      <c r="BS491" s="71">
        <v>0</v>
      </c>
      <c r="BT491" s="72">
        <v>0</v>
      </c>
      <c r="BU491" s="73"/>
      <c r="BV491" s="73"/>
    </row>
    <row r="492" ht="30" customHeight="1" spans="1:74">
      <c r="A492" s="55">
        <v>0</v>
      </c>
      <c r="B492" s="56">
        <v>0</v>
      </c>
      <c r="C492" s="57">
        <v>0</v>
      </c>
      <c r="D492" s="74"/>
      <c r="E492" s="74"/>
      <c r="F492" s="59" t="e">
        <f>VLOOKUP(E492,[1]库存!$B$1:$C$65536,2,FALSE)</f>
        <v>#N/A</v>
      </c>
      <c r="G492" s="59" t="e">
        <v>#N/A</v>
      </c>
      <c r="H492" s="74"/>
      <c r="I492" s="74"/>
      <c r="J492" s="81"/>
      <c r="K492" s="61"/>
      <c r="L492" s="62">
        <v>0</v>
      </c>
      <c r="M492" s="63">
        <v>0</v>
      </c>
      <c r="N492" s="64">
        <v>0</v>
      </c>
      <c r="O492" s="62">
        <v>0</v>
      </c>
      <c r="P492" s="65">
        <f t="shared" si="15"/>
        <v>0</v>
      </c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7"/>
      <c r="BF492" s="67"/>
      <c r="BG492" s="68"/>
      <c r="BI492" s="69">
        <v>0</v>
      </c>
      <c r="BJ492" s="70">
        <v>0</v>
      </c>
      <c r="BK492" s="71">
        <v>0</v>
      </c>
      <c r="BL492" s="71">
        <v>0</v>
      </c>
      <c r="BM492" s="71">
        <v>0</v>
      </c>
      <c r="BN492" s="72">
        <v>0</v>
      </c>
      <c r="BO492" s="73"/>
      <c r="BP492" s="73"/>
      <c r="BQ492" s="71">
        <v>0</v>
      </c>
      <c r="BR492" s="71">
        <v>0</v>
      </c>
      <c r="BS492" s="71">
        <v>0</v>
      </c>
      <c r="BT492" s="72">
        <v>0</v>
      </c>
      <c r="BU492" s="73"/>
      <c r="BV492" s="73"/>
    </row>
    <row r="493" ht="30" customHeight="1" spans="1:74">
      <c r="A493" s="55">
        <v>0</v>
      </c>
      <c r="B493" s="56" t="s">
        <v>42</v>
      </c>
      <c r="C493" s="57" t="s">
        <v>43</v>
      </c>
      <c r="D493" s="59" t="s">
        <v>832</v>
      </c>
      <c r="E493" s="59" t="s">
        <v>791</v>
      </c>
      <c r="F493" s="59" t="e">
        <f>VLOOKUP(E493,[1]库存!$B$1:$C$65536,2,FALSE)</f>
        <v>#N/A</v>
      </c>
      <c r="G493" s="59" t="e">
        <v>#N/A</v>
      </c>
      <c r="H493" s="59" t="s">
        <v>792</v>
      </c>
      <c r="I493" s="59" t="s">
        <v>789</v>
      </c>
      <c r="J493" s="81"/>
      <c r="K493" s="61"/>
      <c r="L493" s="62">
        <v>2</v>
      </c>
      <c r="M493" s="63">
        <v>1200</v>
      </c>
      <c r="N493" s="64">
        <v>11</v>
      </c>
      <c r="O493" s="62">
        <v>2</v>
      </c>
      <c r="P493" s="65">
        <f t="shared" si="15"/>
        <v>0</v>
      </c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7"/>
      <c r="BF493" s="67"/>
      <c r="BG493" s="68"/>
      <c r="BI493" s="69">
        <v>0</v>
      </c>
      <c r="BJ493" s="70">
        <v>0</v>
      </c>
      <c r="BK493" s="71">
        <v>0</v>
      </c>
      <c r="BL493" s="71">
        <v>0</v>
      </c>
      <c r="BM493" s="71">
        <v>0</v>
      </c>
      <c r="BN493" s="72">
        <v>0</v>
      </c>
      <c r="BO493" s="73"/>
      <c r="BP493" s="73"/>
      <c r="BQ493" s="71">
        <v>0</v>
      </c>
      <c r="BR493" s="71">
        <v>0</v>
      </c>
      <c r="BS493" s="71">
        <v>0</v>
      </c>
      <c r="BT493" s="72">
        <v>0</v>
      </c>
      <c r="BU493" s="73"/>
      <c r="BV493" s="73"/>
    </row>
    <row r="494" ht="30" customHeight="1" spans="1:74">
      <c r="A494" s="55">
        <v>0</v>
      </c>
      <c r="B494" s="56">
        <v>0</v>
      </c>
      <c r="C494" s="57">
        <v>0</v>
      </c>
      <c r="D494" s="74"/>
      <c r="E494" s="74"/>
      <c r="F494" s="59" t="e">
        <f>VLOOKUP(E494,[1]库存!$B$1:$C$65536,2,FALSE)</f>
        <v>#N/A</v>
      </c>
      <c r="G494" s="59" t="e">
        <v>#N/A</v>
      </c>
      <c r="H494" s="74"/>
      <c r="I494" s="74"/>
      <c r="J494" s="81"/>
      <c r="K494" s="61"/>
      <c r="L494" s="62">
        <v>0</v>
      </c>
      <c r="M494" s="63">
        <v>0</v>
      </c>
      <c r="N494" s="64">
        <v>0</v>
      </c>
      <c r="O494" s="62">
        <v>0</v>
      </c>
      <c r="P494" s="65">
        <f t="shared" si="15"/>
        <v>0</v>
      </c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7"/>
      <c r="BF494" s="67"/>
      <c r="BG494" s="68"/>
      <c r="BI494" s="69">
        <v>0</v>
      </c>
      <c r="BJ494" s="70">
        <v>0</v>
      </c>
      <c r="BK494" s="71">
        <v>0</v>
      </c>
      <c r="BL494" s="71">
        <v>0</v>
      </c>
      <c r="BM494" s="71">
        <v>0</v>
      </c>
      <c r="BN494" s="72">
        <v>0</v>
      </c>
      <c r="BO494" s="73"/>
      <c r="BP494" s="73"/>
      <c r="BQ494" s="71">
        <v>0</v>
      </c>
      <c r="BR494" s="71">
        <v>0</v>
      </c>
      <c r="BS494" s="71">
        <v>0</v>
      </c>
      <c r="BT494" s="72">
        <v>0</v>
      </c>
      <c r="BU494" s="73"/>
      <c r="BV494" s="73"/>
    </row>
    <row r="495" ht="30" customHeight="1" spans="1:74">
      <c r="A495" s="55">
        <v>0</v>
      </c>
      <c r="B495" s="56" t="s">
        <v>42</v>
      </c>
      <c r="C495" s="57" t="s">
        <v>43</v>
      </c>
      <c r="D495" s="59" t="s">
        <v>832</v>
      </c>
      <c r="E495" s="59" t="s">
        <v>859</v>
      </c>
      <c r="F495" s="59" t="e">
        <f>VLOOKUP(E495,[1]库存!$B$1:$C$65536,2,FALSE)</f>
        <v>#N/A</v>
      </c>
      <c r="G495" s="59" t="e">
        <v>#N/A</v>
      </c>
      <c r="H495" s="59" t="s">
        <v>860</v>
      </c>
      <c r="I495" s="59" t="s">
        <v>651</v>
      </c>
      <c r="J495" s="60" t="s">
        <v>861</v>
      </c>
      <c r="K495" s="61"/>
      <c r="L495" s="62">
        <v>2</v>
      </c>
      <c r="M495" s="63">
        <v>1600</v>
      </c>
      <c r="N495" s="64">
        <v>11</v>
      </c>
      <c r="O495" s="62">
        <v>2</v>
      </c>
      <c r="P495" s="65">
        <f t="shared" si="15"/>
        <v>0</v>
      </c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7"/>
      <c r="BF495" s="67"/>
      <c r="BG495" s="68"/>
      <c r="BI495" s="69">
        <v>0</v>
      </c>
      <c r="BJ495" s="70">
        <v>0</v>
      </c>
      <c r="BK495" s="71">
        <v>0</v>
      </c>
      <c r="BL495" s="71">
        <v>0</v>
      </c>
      <c r="BM495" s="71">
        <v>0</v>
      </c>
      <c r="BN495" s="72">
        <v>0</v>
      </c>
      <c r="BO495" s="73"/>
      <c r="BP495" s="73"/>
      <c r="BQ495" s="71">
        <v>0</v>
      </c>
      <c r="BR495" s="71">
        <v>0</v>
      </c>
      <c r="BS495" s="71">
        <v>0</v>
      </c>
      <c r="BT495" s="72">
        <v>0</v>
      </c>
      <c r="BU495" s="73"/>
      <c r="BV495" s="73"/>
    </row>
    <row r="496" ht="30" customHeight="1" spans="1:74">
      <c r="A496" s="55">
        <v>0</v>
      </c>
      <c r="B496" s="56">
        <v>0</v>
      </c>
      <c r="C496" s="57">
        <v>0</v>
      </c>
      <c r="D496" s="74"/>
      <c r="E496" s="74"/>
      <c r="F496" s="59" t="e">
        <f>VLOOKUP(E496,[1]库存!$B$1:$C$65536,2,FALSE)</f>
        <v>#N/A</v>
      </c>
      <c r="G496" s="59" t="e">
        <v>#N/A</v>
      </c>
      <c r="H496" s="74"/>
      <c r="I496" s="74"/>
      <c r="J496" s="75"/>
      <c r="K496" s="61"/>
      <c r="L496" s="62">
        <v>0</v>
      </c>
      <c r="M496" s="63">
        <v>0</v>
      </c>
      <c r="N496" s="64">
        <v>0</v>
      </c>
      <c r="O496" s="62">
        <v>0</v>
      </c>
      <c r="P496" s="65">
        <f t="shared" si="15"/>
        <v>0</v>
      </c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7"/>
      <c r="BF496" s="67"/>
      <c r="BG496" s="68"/>
      <c r="BI496" s="69">
        <v>0</v>
      </c>
      <c r="BJ496" s="70">
        <v>0</v>
      </c>
      <c r="BK496" s="71">
        <v>0</v>
      </c>
      <c r="BL496" s="71">
        <v>0</v>
      </c>
      <c r="BM496" s="71">
        <v>0</v>
      </c>
      <c r="BN496" s="72">
        <v>0</v>
      </c>
      <c r="BO496" s="73"/>
      <c r="BP496" s="73"/>
      <c r="BQ496" s="71">
        <v>0</v>
      </c>
      <c r="BR496" s="71">
        <v>0</v>
      </c>
      <c r="BS496" s="71">
        <v>0</v>
      </c>
      <c r="BT496" s="72">
        <v>0</v>
      </c>
      <c r="BU496" s="73"/>
      <c r="BV496" s="73"/>
    </row>
    <row r="497" ht="30" customHeight="1" spans="1:74">
      <c r="A497" s="55">
        <v>0</v>
      </c>
      <c r="B497" s="56" t="s">
        <v>42</v>
      </c>
      <c r="C497" s="57" t="s">
        <v>43</v>
      </c>
      <c r="D497" s="59" t="s">
        <v>832</v>
      </c>
      <c r="E497" s="59" t="s">
        <v>862</v>
      </c>
      <c r="F497" s="59" t="e">
        <f>VLOOKUP(E497,[1]库存!$B$1:$C$65536,2,FALSE)</f>
        <v>#N/A</v>
      </c>
      <c r="G497" s="59" t="e">
        <v>#N/A</v>
      </c>
      <c r="H497" s="59" t="s">
        <v>863</v>
      </c>
      <c r="I497" s="59" t="s">
        <v>651</v>
      </c>
      <c r="J497" s="75"/>
      <c r="K497" s="61"/>
      <c r="L497" s="62">
        <v>2</v>
      </c>
      <c r="M497" s="63">
        <v>1600</v>
      </c>
      <c r="N497" s="64">
        <v>11</v>
      </c>
      <c r="O497" s="62">
        <v>2</v>
      </c>
      <c r="P497" s="65">
        <f t="shared" si="15"/>
        <v>0</v>
      </c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7"/>
      <c r="BF497" s="67"/>
      <c r="BG497" s="68"/>
      <c r="BI497" s="69">
        <v>0</v>
      </c>
      <c r="BJ497" s="70">
        <v>0</v>
      </c>
      <c r="BK497" s="71">
        <v>0</v>
      </c>
      <c r="BL497" s="71">
        <v>0</v>
      </c>
      <c r="BM497" s="71">
        <v>0</v>
      </c>
      <c r="BN497" s="72">
        <v>0</v>
      </c>
      <c r="BO497" s="73"/>
      <c r="BP497" s="73"/>
      <c r="BQ497" s="71">
        <v>0</v>
      </c>
      <c r="BR497" s="71">
        <v>0</v>
      </c>
      <c r="BS497" s="71">
        <v>0</v>
      </c>
      <c r="BT497" s="72">
        <v>0</v>
      </c>
      <c r="BU497" s="73"/>
      <c r="BV497" s="73"/>
    </row>
    <row r="498" ht="30" customHeight="1" spans="1:74">
      <c r="A498" s="55">
        <v>0</v>
      </c>
      <c r="B498" s="56">
        <v>0</v>
      </c>
      <c r="C498" s="57">
        <v>0</v>
      </c>
      <c r="D498" s="74"/>
      <c r="E498" s="74"/>
      <c r="F498" s="59" t="e">
        <f>VLOOKUP(E498,[1]库存!$B$1:$C$65536,2,FALSE)</f>
        <v>#N/A</v>
      </c>
      <c r="G498" s="59" t="e">
        <v>#N/A</v>
      </c>
      <c r="H498" s="74"/>
      <c r="I498" s="74"/>
      <c r="J498" s="75"/>
      <c r="K498" s="61"/>
      <c r="L498" s="62">
        <v>0</v>
      </c>
      <c r="M498" s="63">
        <v>0</v>
      </c>
      <c r="N498" s="64">
        <v>0</v>
      </c>
      <c r="O498" s="62">
        <v>0</v>
      </c>
      <c r="P498" s="65">
        <f t="shared" si="15"/>
        <v>0</v>
      </c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7"/>
      <c r="BF498" s="67"/>
      <c r="BG498" s="68"/>
      <c r="BI498" s="69">
        <v>0</v>
      </c>
      <c r="BJ498" s="70">
        <v>0</v>
      </c>
      <c r="BK498" s="71">
        <v>0</v>
      </c>
      <c r="BL498" s="71">
        <v>0</v>
      </c>
      <c r="BM498" s="71">
        <v>0</v>
      </c>
      <c r="BN498" s="72">
        <v>0</v>
      </c>
      <c r="BO498" s="73"/>
      <c r="BP498" s="73"/>
      <c r="BQ498" s="71">
        <v>0</v>
      </c>
      <c r="BR498" s="71">
        <v>0</v>
      </c>
      <c r="BS498" s="71">
        <v>0</v>
      </c>
      <c r="BT498" s="72">
        <v>0</v>
      </c>
      <c r="BU498" s="73"/>
      <c r="BV498" s="73"/>
    </row>
    <row r="499" ht="30" customHeight="1" spans="1:74">
      <c r="A499" s="55">
        <v>0</v>
      </c>
      <c r="B499" s="56">
        <v>0</v>
      </c>
      <c r="C499" s="57">
        <v>0</v>
      </c>
      <c r="E499" s="88"/>
      <c r="F499" s="59" t="e">
        <f>VLOOKUP(E499,[1]库存!$B$1:$C$65536,2,FALSE)</f>
        <v>#N/A</v>
      </c>
      <c r="G499" s="59" t="e">
        <v>#N/A</v>
      </c>
      <c r="H499" s="89"/>
      <c r="I499" s="88"/>
      <c r="J499" s="90"/>
      <c r="K499" s="61"/>
      <c r="L499" s="62">
        <v>0</v>
      </c>
      <c r="M499" s="63">
        <v>0</v>
      </c>
      <c r="N499" s="64">
        <v>0</v>
      </c>
      <c r="O499" s="62">
        <v>0</v>
      </c>
      <c r="P499" s="65">
        <f t="shared" si="15"/>
        <v>0</v>
      </c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7"/>
      <c r="BF499" s="67"/>
      <c r="BG499" s="68"/>
      <c r="BI499" s="69">
        <v>0</v>
      </c>
      <c r="BJ499" s="70">
        <v>0</v>
      </c>
      <c r="BK499" s="71">
        <v>0</v>
      </c>
      <c r="BL499" s="71">
        <v>0</v>
      </c>
      <c r="BM499" s="71">
        <v>0</v>
      </c>
      <c r="BN499" s="72">
        <v>0</v>
      </c>
      <c r="BO499" s="73"/>
      <c r="BP499" s="73"/>
      <c r="BQ499" s="71">
        <v>0</v>
      </c>
      <c r="BR499" s="71">
        <v>0</v>
      </c>
      <c r="BS499" s="71">
        <v>0</v>
      </c>
      <c r="BT499" s="72">
        <v>0</v>
      </c>
      <c r="BU499" s="73"/>
      <c r="BV499" s="73"/>
    </row>
    <row r="500" ht="30" customHeight="1" spans="1:74">
      <c r="A500" s="55" t="s">
        <v>165</v>
      </c>
      <c r="B500" s="56" t="s">
        <v>42</v>
      </c>
      <c r="C500" s="57" t="s">
        <v>43</v>
      </c>
      <c r="D500" s="91" t="s">
        <v>864</v>
      </c>
      <c r="E500" s="91" t="s">
        <v>865</v>
      </c>
      <c r="F500" s="91" t="str">
        <f>VLOOKUP(E500,[1]库存!$B$1:$C$65536,2,FALSE)</f>
        <v>E0S(D01) FSAB LH</v>
      </c>
      <c r="G500" s="91" t="s">
        <v>866</v>
      </c>
      <c r="H500" s="91" t="s">
        <v>867</v>
      </c>
      <c r="I500" s="91" t="s">
        <v>170</v>
      </c>
      <c r="J500" s="64"/>
      <c r="K500" s="159"/>
      <c r="L500" s="173">
        <v>2</v>
      </c>
      <c r="M500" s="63">
        <v>1250</v>
      </c>
      <c r="N500" s="64">
        <v>11</v>
      </c>
      <c r="O500" s="62">
        <v>2</v>
      </c>
      <c r="P500" s="65">
        <f t="shared" si="15"/>
        <v>0</v>
      </c>
      <c r="Q500" s="66"/>
      <c r="R500" s="66"/>
      <c r="S500" s="66"/>
      <c r="T500" s="66"/>
      <c r="U500" s="66" t="s">
        <v>471</v>
      </c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7"/>
      <c r="BF500" s="67"/>
      <c r="BG500" s="68"/>
      <c r="BI500" s="69">
        <v>0</v>
      </c>
      <c r="BJ500" s="70">
        <v>0</v>
      </c>
      <c r="BK500" s="71">
        <v>0</v>
      </c>
      <c r="BL500" s="71">
        <v>0</v>
      </c>
      <c r="BM500" s="71">
        <v>0</v>
      </c>
      <c r="BN500" s="72">
        <v>0</v>
      </c>
      <c r="BO500" s="73"/>
      <c r="BP500" s="73"/>
      <c r="BQ500" s="71">
        <v>0</v>
      </c>
      <c r="BR500" s="71">
        <v>0</v>
      </c>
      <c r="BS500" s="71">
        <v>0</v>
      </c>
      <c r="BT500" s="72">
        <v>0</v>
      </c>
      <c r="BU500" s="73"/>
      <c r="BV500" s="73"/>
    </row>
    <row r="501" ht="30" customHeight="1" spans="1:74">
      <c r="A501" s="55">
        <v>0</v>
      </c>
      <c r="B501" s="56">
        <v>0</v>
      </c>
      <c r="C501" s="57">
        <v>0</v>
      </c>
      <c r="D501" s="92"/>
      <c r="E501" s="92"/>
      <c r="F501" s="91" t="e">
        <f>VLOOKUP(E501,[1]库存!$B$1:$C$65536,2,FALSE)</f>
        <v>#N/A</v>
      </c>
      <c r="G501" s="91" t="e">
        <v>#N/A</v>
      </c>
      <c r="H501" s="92"/>
      <c r="I501" s="92"/>
      <c r="J501" s="93"/>
      <c r="K501" s="159"/>
      <c r="L501" s="173">
        <v>0</v>
      </c>
      <c r="M501" s="63">
        <v>0</v>
      </c>
      <c r="N501" s="64">
        <v>0</v>
      </c>
      <c r="O501" s="62">
        <v>0</v>
      </c>
      <c r="P501" s="65">
        <f t="shared" si="15"/>
        <v>0</v>
      </c>
      <c r="Q501" s="66"/>
      <c r="R501" s="66"/>
      <c r="S501" s="66"/>
      <c r="T501" s="66"/>
      <c r="U501" s="66" t="s">
        <v>868</v>
      </c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7"/>
      <c r="BF501" s="67"/>
      <c r="BG501" s="68"/>
      <c r="BI501" s="69">
        <v>0</v>
      </c>
      <c r="BJ501" s="70">
        <v>0</v>
      </c>
      <c r="BK501" s="71">
        <v>0</v>
      </c>
      <c r="BL501" s="71">
        <v>0</v>
      </c>
      <c r="BM501" s="71">
        <v>0</v>
      </c>
      <c r="BN501" s="72">
        <v>0</v>
      </c>
      <c r="BO501" s="73"/>
      <c r="BP501" s="73"/>
      <c r="BQ501" s="71">
        <v>0</v>
      </c>
      <c r="BR501" s="71">
        <v>0</v>
      </c>
      <c r="BS501" s="71">
        <v>0</v>
      </c>
      <c r="BT501" s="72">
        <v>0</v>
      </c>
      <c r="BU501" s="73"/>
      <c r="BV501" s="73"/>
    </row>
    <row r="502" ht="30" customHeight="1" spans="1:74">
      <c r="A502" s="55" t="s">
        <v>165</v>
      </c>
      <c r="B502" s="56" t="s">
        <v>42</v>
      </c>
      <c r="C502" s="57" t="s">
        <v>43</v>
      </c>
      <c r="D502" s="91" t="s">
        <v>864</v>
      </c>
      <c r="E502" s="91" t="s">
        <v>869</v>
      </c>
      <c r="F502" s="91" t="str">
        <f>VLOOKUP(E502,[1]库存!$B$1:$C$65536,2,FALSE)</f>
        <v>E0S(D01) FSAB RH</v>
      </c>
      <c r="G502" s="91" t="s">
        <v>870</v>
      </c>
      <c r="H502" s="91" t="s">
        <v>871</v>
      </c>
      <c r="I502" s="91" t="s">
        <v>170</v>
      </c>
      <c r="J502" s="64"/>
      <c r="K502" s="159"/>
      <c r="L502" s="173">
        <v>2</v>
      </c>
      <c r="M502" s="63">
        <v>1250</v>
      </c>
      <c r="N502" s="64">
        <v>11</v>
      </c>
      <c r="O502" s="62">
        <v>2</v>
      </c>
      <c r="P502" s="65">
        <f t="shared" si="15"/>
        <v>0</v>
      </c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7"/>
      <c r="BF502" s="67"/>
      <c r="BG502" s="68"/>
      <c r="BI502" s="69">
        <v>0</v>
      </c>
      <c r="BJ502" s="70">
        <v>0</v>
      </c>
      <c r="BK502" s="71">
        <v>0</v>
      </c>
      <c r="BL502" s="71">
        <v>0</v>
      </c>
      <c r="BM502" s="71">
        <v>0</v>
      </c>
      <c r="BN502" s="72">
        <v>0</v>
      </c>
      <c r="BO502" s="73"/>
      <c r="BP502" s="73"/>
      <c r="BQ502" s="71">
        <v>0</v>
      </c>
      <c r="BR502" s="71">
        <v>0</v>
      </c>
      <c r="BS502" s="71">
        <v>0</v>
      </c>
      <c r="BT502" s="72">
        <v>0</v>
      </c>
      <c r="BU502" s="73"/>
      <c r="BV502" s="73"/>
    </row>
    <row r="503" ht="30" customHeight="1" spans="1:74">
      <c r="A503" s="55">
        <v>0</v>
      </c>
      <c r="B503" s="56">
        <v>0</v>
      </c>
      <c r="C503" s="57">
        <v>0</v>
      </c>
      <c r="D503" s="92"/>
      <c r="E503" s="92"/>
      <c r="F503" s="91" t="e">
        <f>VLOOKUP(E503,[1]库存!$B$1:$C$65536,2,FALSE)</f>
        <v>#N/A</v>
      </c>
      <c r="G503" s="91" t="e">
        <v>#N/A</v>
      </c>
      <c r="H503" s="92"/>
      <c r="I503" s="92"/>
      <c r="J503" s="93"/>
      <c r="K503" s="159"/>
      <c r="L503" s="173">
        <v>0</v>
      </c>
      <c r="M503" s="63">
        <v>0</v>
      </c>
      <c r="N503" s="64">
        <v>0</v>
      </c>
      <c r="O503" s="62">
        <v>0</v>
      </c>
      <c r="P503" s="65">
        <f t="shared" si="15"/>
        <v>0</v>
      </c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  <c r="BD503" s="66"/>
      <c r="BE503" s="67"/>
      <c r="BF503" s="67"/>
      <c r="BG503" s="68"/>
      <c r="BI503" s="69">
        <v>0</v>
      </c>
      <c r="BJ503" s="70">
        <v>0</v>
      </c>
      <c r="BK503" s="71">
        <v>0</v>
      </c>
      <c r="BL503" s="71">
        <v>0</v>
      </c>
      <c r="BM503" s="71">
        <v>0</v>
      </c>
      <c r="BN503" s="72">
        <v>0</v>
      </c>
      <c r="BO503" s="73"/>
      <c r="BP503" s="73"/>
      <c r="BQ503" s="71">
        <v>0</v>
      </c>
      <c r="BR503" s="71">
        <v>0</v>
      </c>
      <c r="BS503" s="71">
        <v>0</v>
      </c>
      <c r="BT503" s="72">
        <v>0</v>
      </c>
      <c r="BU503" s="73"/>
      <c r="BV503" s="73"/>
    </row>
    <row r="504" ht="30" customHeight="1" spans="1:74">
      <c r="A504" s="55" t="s">
        <v>165</v>
      </c>
      <c r="B504" s="56" t="s">
        <v>42</v>
      </c>
      <c r="C504" s="57" t="s">
        <v>43</v>
      </c>
      <c r="D504" s="59" t="s">
        <v>864</v>
      </c>
      <c r="E504" s="59" t="s">
        <v>872</v>
      </c>
      <c r="F504" s="59" t="str">
        <f>VLOOKUP(E504,[1]库存!$B$1:$C$65536,2,FALSE)</f>
        <v>T1L FSAB</v>
      </c>
      <c r="G504" s="59" t="s">
        <v>873</v>
      </c>
      <c r="H504" s="59" t="s">
        <v>874</v>
      </c>
      <c r="I504" s="59" t="s">
        <v>170</v>
      </c>
      <c r="J504" s="63"/>
      <c r="K504" s="159"/>
      <c r="L504" s="173">
        <v>2</v>
      </c>
      <c r="M504" s="63">
        <v>1250</v>
      </c>
      <c r="N504" s="64">
        <v>11</v>
      </c>
      <c r="O504" s="62">
        <v>2</v>
      </c>
      <c r="P504" s="65">
        <f t="shared" si="15"/>
        <v>0</v>
      </c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>
        <v>1000</v>
      </c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  <c r="BD504" s="66"/>
      <c r="BE504" s="67"/>
      <c r="BF504" s="67"/>
      <c r="BG504" s="68"/>
      <c r="BI504" s="69">
        <v>0</v>
      </c>
      <c r="BJ504" s="70">
        <v>0</v>
      </c>
      <c r="BK504" s="71">
        <v>0</v>
      </c>
      <c r="BL504" s="71">
        <v>0</v>
      </c>
      <c r="BM504" s="71">
        <v>0</v>
      </c>
      <c r="BN504" s="72">
        <v>0</v>
      </c>
      <c r="BO504" s="73"/>
      <c r="BP504" s="73"/>
      <c r="BQ504" s="71">
        <v>0</v>
      </c>
      <c r="BR504" s="71">
        <v>0</v>
      </c>
      <c r="BS504" s="71">
        <v>0</v>
      </c>
      <c r="BT504" s="72">
        <v>0</v>
      </c>
      <c r="BU504" s="73"/>
      <c r="BV504" s="73"/>
    </row>
    <row r="505" ht="30" customHeight="1" spans="1:74">
      <c r="A505" s="55">
        <v>0</v>
      </c>
      <c r="B505" s="56">
        <v>0</v>
      </c>
      <c r="C505" s="57">
        <v>0</v>
      </c>
      <c r="D505" s="74"/>
      <c r="E505" s="74"/>
      <c r="F505" s="59" t="e">
        <f>VLOOKUP(E505,[1]库存!$B$1:$C$65536,2,FALSE)</f>
        <v>#N/A</v>
      </c>
      <c r="G505" s="59" t="e">
        <v>#N/A</v>
      </c>
      <c r="H505" s="74"/>
      <c r="I505" s="74"/>
      <c r="J505" s="87"/>
      <c r="K505" s="159"/>
      <c r="L505" s="173">
        <v>0</v>
      </c>
      <c r="M505" s="63">
        <v>0</v>
      </c>
      <c r="N505" s="64">
        <v>0</v>
      </c>
      <c r="O505" s="62">
        <v>0</v>
      </c>
      <c r="P505" s="65">
        <f t="shared" si="15"/>
        <v>0</v>
      </c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>
        <v>1047</v>
      </c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  <c r="BD505" s="66"/>
      <c r="BE505" s="67"/>
      <c r="BF505" s="67"/>
      <c r="BG505" s="68"/>
      <c r="BI505" s="69">
        <v>0</v>
      </c>
      <c r="BJ505" s="70">
        <v>0</v>
      </c>
      <c r="BK505" s="71">
        <v>0</v>
      </c>
      <c r="BL505" s="71">
        <v>0</v>
      </c>
      <c r="BM505" s="71">
        <v>0</v>
      </c>
      <c r="BN505" s="72">
        <v>0</v>
      </c>
      <c r="BO505" s="73"/>
      <c r="BP505" s="73"/>
      <c r="BQ505" s="71">
        <v>0</v>
      </c>
      <c r="BR505" s="71">
        <v>0</v>
      </c>
      <c r="BS505" s="71">
        <v>0</v>
      </c>
      <c r="BT505" s="72">
        <v>0</v>
      </c>
      <c r="BU505" s="73"/>
      <c r="BV505" s="73"/>
    </row>
    <row r="506" ht="30" customHeight="1" spans="1:74">
      <c r="A506" s="55">
        <v>0</v>
      </c>
      <c r="B506" s="56">
        <v>0</v>
      </c>
      <c r="C506" s="57">
        <v>0</v>
      </c>
      <c r="E506" s="88"/>
      <c r="F506" s="59" t="e">
        <f>VLOOKUP(E506,[1]库存!$B$1:$C$65536,2,FALSE)</f>
        <v>#N/A</v>
      </c>
      <c r="G506" s="59" t="e">
        <v>#N/A</v>
      </c>
      <c r="H506" s="89"/>
      <c r="I506" s="88"/>
      <c r="J506" s="90"/>
      <c r="K506" s="61"/>
      <c r="L506" s="62">
        <v>0</v>
      </c>
      <c r="M506" s="63">
        <v>0</v>
      </c>
      <c r="N506" s="64">
        <v>0</v>
      </c>
      <c r="O506" s="62">
        <v>0</v>
      </c>
      <c r="P506" s="65">
        <f t="shared" si="15"/>
        <v>0</v>
      </c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  <c r="BD506" s="66"/>
      <c r="BE506" s="67"/>
      <c r="BF506" s="67"/>
      <c r="BG506" s="68"/>
      <c r="BI506" s="69">
        <v>0</v>
      </c>
      <c r="BJ506" s="70">
        <v>0</v>
      </c>
      <c r="BK506" s="71">
        <v>0</v>
      </c>
      <c r="BL506" s="71">
        <v>0</v>
      </c>
      <c r="BM506" s="71">
        <v>0</v>
      </c>
      <c r="BN506" s="72">
        <v>0</v>
      </c>
      <c r="BO506" s="73"/>
      <c r="BP506" s="73"/>
      <c r="BQ506" s="71">
        <v>0</v>
      </c>
      <c r="BR506" s="71">
        <v>0</v>
      </c>
      <c r="BS506" s="71">
        <v>0</v>
      </c>
      <c r="BT506" s="72">
        <v>0</v>
      </c>
      <c r="BU506" s="73"/>
      <c r="BV506" s="73"/>
    </row>
    <row r="507" ht="30" customHeight="1" spans="1:74">
      <c r="A507" s="55" t="s">
        <v>211</v>
      </c>
      <c r="B507" s="56" t="s">
        <v>42</v>
      </c>
      <c r="C507" s="57" t="s">
        <v>43</v>
      </c>
      <c r="D507" s="91" t="s">
        <v>875</v>
      </c>
      <c r="E507" s="91" t="s">
        <v>876</v>
      </c>
      <c r="F507" s="91" t="str">
        <f>VLOOKUP(E507,[1]库存!$B$1:$C$65536,2,FALSE)</f>
        <v>MR SAB LH B状态</v>
      </c>
      <c r="G507" s="91" t="s">
        <v>877</v>
      </c>
      <c r="H507" s="91" t="s">
        <v>878</v>
      </c>
      <c r="I507" s="91" t="s">
        <v>879</v>
      </c>
      <c r="J507" s="63"/>
      <c r="K507" s="61"/>
      <c r="L507" s="62">
        <v>2</v>
      </c>
      <c r="M507" s="63">
        <v>1200</v>
      </c>
      <c r="N507" s="64">
        <v>8</v>
      </c>
      <c r="O507" s="62">
        <v>2</v>
      </c>
      <c r="P507" s="65">
        <f t="shared" si="15"/>
        <v>0</v>
      </c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  <c r="BD507" s="66"/>
      <c r="BE507" s="67"/>
      <c r="BF507" s="67"/>
      <c r="BG507" s="68"/>
      <c r="BI507" s="69">
        <v>0</v>
      </c>
      <c r="BJ507" s="70">
        <v>0</v>
      </c>
      <c r="BK507" s="71">
        <v>0</v>
      </c>
      <c r="BL507" s="71">
        <v>0</v>
      </c>
      <c r="BM507" s="71">
        <v>0</v>
      </c>
      <c r="BN507" s="72">
        <v>0</v>
      </c>
      <c r="BO507" s="73"/>
      <c r="BP507" s="73"/>
      <c r="BQ507" s="71">
        <v>0</v>
      </c>
      <c r="BR507" s="71">
        <v>0</v>
      </c>
      <c r="BS507" s="71">
        <v>0</v>
      </c>
      <c r="BT507" s="72">
        <v>0</v>
      </c>
      <c r="BU507" s="73"/>
      <c r="BV507" s="73"/>
    </row>
    <row r="508" ht="30" customHeight="1" spans="1:74">
      <c r="A508" s="55">
        <v>0</v>
      </c>
      <c r="B508" s="56">
        <v>0</v>
      </c>
      <c r="C508" s="57">
        <v>0</v>
      </c>
      <c r="D508" s="92"/>
      <c r="E508" s="92"/>
      <c r="F508" s="91" t="e">
        <f>VLOOKUP(E508,[1]库存!$B$1:$C$65536,2,FALSE)</f>
        <v>#N/A</v>
      </c>
      <c r="G508" s="91" t="e">
        <v>#N/A</v>
      </c>
      <c r="H508" s="92"/>
      <c r="I508" s="92"/>
      <c r="J508" s="87"/>
      <c r="K508" s="61"/>
      <c r="L508" s="62">
        <v>0</v>
      </c>
      <c r="M508" s="63">
        <v>0</v>
      </c>
      <c r="N508" s="64">
        <v>0</v>
      </c>
      <c r="O508" s="62">
        <v>0</v>
      </c>
      <c r="P508" s="65">
        <f t="shared" si="15"/>
        <v>0</v>
      </c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7"/>
      <c r="BF508" s="67"/>
      <c r="BG508" s="68"/>
      <c r="BI508" s="69">
        <v>0</v>
      </c>
      <c r="BJ508" s="70">
        <v>0</v>
      </c>
      <c r="BK508" s="71">
        <v>0</v>
      </c>
      <c r="BL508" s="71">
        <v>0</v>
      </c>
      <c r="BM508" s="71">
        <v>0</v>
      </c>
      <c r="BN508" s="72">
        <v>0</v>
      </c>
      <c r="BO508" s="73"/>
      <c r="BP508" s="73"/>
      <c r="BQ508" s="71">
        <v>0</v>
      </c>
      <c r="BR508" s="71">
        <v>0</v>
      </c>
      <c r="BS508" s="71">
        <v>0</v>
      </c>
      <c r="BT508" s="72">
        <v>0</v>
      </c>
      <c r="BU508" s="73"/>
      <c r="BV508" s="73"/>
    </row>
    <row r="509" ht="30" customHeight="1" spans="1:74">
      <c r="A509" s="55" t="s">
        <v>211</v>
      </c>
      <c r="B509" s="56" t="s">
        <v>42</v>
      </c>
      <c r="C509" s="57" t="s">
        <v>43</v>
      </c>
      <c r="D509" s="91" t="s">
        <v>875</v>
      </c>
      <c r="E509" s="91" t="s">
        <v>880</v>
      </c>
      <c r="F509" s="91" t="str">
        <f>VLOOKUP(E509,[1]库存!$B$1:$C$65536,2,FALSE)</f>
        <v>MR SAB RH B状态</v>
      </c>
      <c r="G509" s="91" t="s">
        <v>881</v>
      </c>
      <c r="H509" s="91" t="s">
        <v>882</v>
      </c>
      <c r="I509" s="91" t="s">
        <v>879</v>
      </c>
      <c r="J509" s="63"/>
      <c r="K509" s="61"/>
      <c r="L509" s="62">
        <v>2</v>
      </c>
      <c r="M509" s="63">
        <v>1200</v>
      </c>
      <c r="N509" s="64">
        <v>8</v>
      </c>
      <c r="O509" s="62">
        <v>2</v>
      </c>
      <c r="P509" s="65">
        <f t="shared" si="15"/>
        <v>0</v>
      </c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7"/>
      <c r="BF509" s="67"/>
      <c r="BG509" s="68"/>
      <c r="BI509" s="69">
        <v>0</v>
      </c>
      <c r="BJ509" s="70">
        <v>0</v>
      </c>
      <c r="BK509" s="71">
        <v>0</v>
      </c>
      <c r="BL509" s="71">
        <v>0</v>
      </c>
      <c r="BM509" s="71">
        <v>0</v>
      </c>
      <c r="BN509" s="72">
        <v>0</v>
      </c>
      <c r="BO509" s="73"/>
      <c r="BP509" s="73"/>
      <c r="BQ509" s="71">
        <v>0</v>
      </c>
      <c r="BR509" s="71">
        <v>0</v>
      </c>
      <c r="BS509" s="71">
        <v>0</v>
      </c>
      <c r="BT509" s="72">
        <v>0</v>
      </c>
      <c r="BU509" s="73"/>
      <c r="BV509" s="73"/>
    </row>
    <row r="510" ht="30" customHeight="1" spans="1:74">
      <c r="A510" s="55">
        <v>0</v>
      </c>
      <c r="B510" s="56">
        <v>0</v>
      </c>
      <c r="C510" s="57">
        <v>0</v>
      </c>
      <c r="D510" s="92"/>
      <c r="E510" s="92"/>
      <c r="F510" s="91" t="e">
        <f>VLOOKUP(E510,[1]库存!$B$1:$C$65536,2,FALSE)</f>
        <v>#N/A</v>
      </c>
      <c r="G510" s="91" t="e">
        <v>#N/A</v>
      </c>
      <c r="H510" s="92"/>
      <c r="I510" s="92"/>
      <c r="J510" s="87"/>
      <c r="K510" s="61"/>
      <c r="L510" s="62">
        <v>0</v>
      </c>
      <c r="M510" s="63">
        <v>0</v>
      </c>
      <c r="N510" s="64">
        <v>0</v>
      </c>
      <c r="O510" s="62">
        <v>0</v>
      </c>
      <c r="P510" s="65">
        <f t="shared" si="15"/>
        <v>0</v>
      </c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7"/>
      <c r="BF510" s="67"/>
      <c r="BG510" s="68"/>
      <c r="BI510" s="69">
        <v>0</v>
      </c>
      <c r="BJ510" s="70">
        <v>0</v>
      </c>
      <c r="BK510" s="71">
        <v>0</v>
      </c>
      <c r="BL510" s="71">
        <v>0</v>
      </c>
      <c r="BM510" s="71">
        <v>0</v>
      </c>
      <c r="BN510" s="72">
        <v>0</v>
      </c>
      <c r="BO510" s="73"/>
      <c r="BP510" s="73"/>
      <c r="BQ510" s="71">
        <v>0</v>
      </c>
      <c r="BR510" s="71">
        <v>0</v>
      </c>
      <c r="BS510" s="71">
        <v>0</v>
      </c>
      <c r="BT510" s="72">
        <v>0</v>
      </c>
      <c r="BU510" s="73"/>
      <c r="BV510" s="73"/>
    </row>
    <row r="511" ht="30" customHeight="1" spans="1:74">
      <c r="A511" s="55" t="s">
        <v>211</v>
      </c>
      <c r="B511" s="56" t="s">
        <v>42</v>
      </c>
      <c r="C511" s="57" t="s">
        <v>43</v>
      </c>
      <c r="D511" s="59" t="s">
        <v>875</v>
      </c>
      <c r="E511" s="59" t="s">
        <v>883</v>
      </c>
      <c r="F511" s="59" t="str">
        <f>VLOOKUP(E511,[1]库存!$B$1:$C$65536,2,FALSE)</f>
        <v>HA5H-A SAB LH A状态</v>
      </c>
      <c r="G511" s="59" t="s">
        <v>884</v>
      </c>
      <c r="H511" s="59" t="s">
        <v>885</v>
      </c>
      <c r="I511" s="59" t="s">
        <v>886</v>
      </c>
      <c r="J511" s="63"/>
      <c r="K511" s="61"/>
      <c r="L511" s="62">
        <v>2</v>
      </c>
      <c r="M511" s="63">
        <v>1700</v>
      </c>
      <c r="N511" s="64">
        <v>10</v>
      </c>
      <c r="O511" s="62">
        <v>2</v>
      </c>
      <c r="P511" s="65">
        <f t="shared" si="15"/>
        <v>0</v>
      </c>
      <c r="Q511" s="66">
        <v>880</v>
      </c>
      <c r="R511" s="67"/>
      <c r="S511" s="66">
        <v>1600</v>
      </c>
      <c r="T511" s="67"/>
      <c r="U511" s="66">
        <v>1600</v>
      </c>
      <c r="V511" s="67"/>
      <c r="W511" s="66">
        <v>1600</v>
      </c>
      <c r="X511" s="67"/>
      <c r="Y511" s="66"/>
      <c r="Z511" s="67"/>
      <c r="AA511" s="66"/>
      <c r="AB511" s="67"/>
      <c r="AC511" s="66"/>
      <c r="AD511" s="67"/>
      <c r="AE511" s="66"/>
      <c r="AF511" s="67"/>
      <c r="AG511" s="66"/>
      <c r="AH511" s="66"/>
      <c r="AI511" s="66"/>
      <c r="AJ511" s="67"/>
      <c r="AK511" s="96"/>
      <c r="AL511" s="67"/>
      <c r="AM511" s="96"/>
      <c r="AN511" s="67"/>
      <c r="AO511" s="66"/>
      <c r="AP511" s="67"/>
      <c r="AQ511" s="66"/>
      <c r="AR511" s="67"/>
      <c r="AS511" s="66"/>
      <c r="AT511" s="67"/>
      <c r="AU511" s="66"/>
      <c r="AV511" s="67"/>
      <c r="AW511" s="66"/>
      <c r="AX511" s="67"/>
      <c r="AY511" s="66"/>
      <c r="AZ511" s="67"/>
      <c r="BA511" s="66"/>
      <c r="BB511" s="67"/>
      <c r="BC511" s="66"/>
      <c r="BD511" s="67"/>
      <c r="BE511" s="67"/>
      <c r="BF511" s="67"/>
      <c r="BG511" s="68"/>
      <c r="BI511" s="69">
        <v>0</v>
      </c>
      <c r="BJ511" s="70">
        <v>0</v>
      </c>
      <c r="BK511" s="71">
        <v>0</v>
      </c>
      <c r="BL511" s="71">
        <v>0</v>
      </c>
      <c r="BM511" s="71">
        <v>0</v>
      </c>
      <c r="BN511" s="72">
        <v>0</v>
      </c>
      <c r="BO511" s="73"/>
      <c r="BP511" s="73"/>
      <c r="BQ511" s="71">
        <v>0</v>
      </c>
      <c r="BR511" s="71">
        <v>0</v>
      </c>
      <c r="BS511" s="71">
        <v>0</v>
      </c>
      <c r="BT511" s="72">
        <v>0</v>
      </c>
      <c r="BU511" s="73"/>
      <c r="BV511" s="73"/>
    </row>
    <row r="512" ht="30" customHeight="1" spans="1:74">
      <c r="A512" s="55">
        <v>0</v>
      </c>
      <c r="B512" s="56">
        <v>0</v>
      </c>
      <c r="C512" s="57">
        <v>0</v>
      </c>
      <c r="D512" s="74"/>
      <c r="E512" s="74"/>
      <c r="F512" s="59" t="e">
        <f>VLOOKUP(E512,[1]库存!$B$1:$C$65536,2,FALSE)</f>
        <v>#N/A</v>
      </c>
      <c r="G512" s="59" t="e">
        <v>#N/A</v>
      </c>
      <c r="H512" s="74"/>
      <c r="I512" s="74"/>
      <c r="J512" s="87"/>
      <c r="K512" s="61"/>
      <c r="L512" s="62">
        <v>0</v>
      </c>
      <c r="M512" s="63">
        <v>0</v>
      </c>
      <c r="N512" s="64">
        <v>0</v>
      </c>
      <c r="O512" s="62">
        <v>0</v>
      </c>
      <c r="P512" s="65">
        <f t="shared" si="15"/>
        <v>0</v>
      </c>
      <c r="Q512" s="66">
        <v>777</v>
      </c>
      <c r="R512" s="66"/>
      <c r="S512" s="66">
        <v>1676</v>
      </c>
      <c r="T512" s="66"/>
      <c r="U512" s="66">
        <v>1529</v>
      </c>
      <c r="V512" s="66"/>
      <c r="W512" s="66">
        <v>1553</v>
      </c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7"/>
      <c r="BF512" s="67"/>
      <c r="BG512" s="68"/>
      <c r="BI512" s="69">
        <v>0</v>
      </c>
      <c r="BJ512" s="70">
        <v>0</v>
      </c>
      <c r="BK512" s="71">
        <v>0</v>
      </c>
      <c r="BL512" s="71">
        <v>0</v>
      </c>
      <c r="BM512" s="71">
        <v>0</v>
      </c>
      <c r="BN512" s="72">
        <v>0</v>
      </c>
      <c r="BO512" s="73"/>
      <c r="BP512" s="73"/>
      <c r="BQ512" s="71">
        <v>0</v>
      </c>
      <c r="BR512" s="71">
        <v>0</v>
      </c>
      <c r="BS512" s="71">
        <v>0</v>
      </c>
      <c r="BT512" s="72">
        <v>0</v>
      </c>
      <c r="BU512" s="73"/>
      <c r="BV512" s="73"/>
    </row>
    <row r="513" ht="30" customHeight="1" spans="1:75 16331:16349">
      <c r="A513" s="55" t="s">
        <v>211</v>
      </c>
      <c r="B513" s="56" t="s">
        <v>42</v>
      </c>
      <c r="C513" s="57" t="s">
        <v>43</v>
      </c>
      <c r="D513" s="59" t="s">
        <v>875</v>
      </c>
      <c r="E513" s="59" t="s">
        <v>887</v>
      </c>
      <c r="F513" s="59" t="str">
        <f>VLOOKUP(E513,[1]库存!$B$1:$C$65536,2,FALSE)</f>
        <v>HA5H-A SAB RH A状态</v>
      </c>
      <c r="G513" s="59" t="s">
        <v>888</v>
      </c>
      <c r="H513" s="59" t="s">
        <v>889</v>
      </c>
      <c r="I513" s="59" t="s">
        <v>886</v>
      </c>
      <c r="J513" s="63"/>
      <c r="K513" s="61"/>
      <c r="L513" s="62">
        <v>2</v>
      </c>
      <c r="M513" s="63">
        <v>1700</v>
      </c>
      <c r="N513" s="64">
        <v>10</v>
      </c>
      <c r="O513" s="62">
        <v>2</v>
      </c>
      <c r="P513" s="65">
        <f t="shared" si="15"/>
        <v>0</v>
      </c>
      <c r="Q513" s="66">
        <v>600</v>
      </c>
      <c r="R513" s="66"/>
      <c r="S513" s="66"/>
      <c r="T513" s="66"/>
      <c r="U513" s="66"/>
      <c r="V513" s="66"/>
      <c r="W513" s="66"/>
      <c r="X513" s="66"/>
      <c r="Y513" s="66">
        <v>1600</v>
      </c>
      <c r="Z513" s="66"/>
      <c r="AA513" s="66">
        <v>1300</v>
      </c>
      <c r="AB513" s="66"/>
      <c r="AC513" s="66">
        <v>1600</v>
      </c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  <c r="BD513" s="66"/>
      <c r="BE513" s="67"/>
      <c r="BF513" s="67"/>
      <c r="BG513" s="68"/>
      <c r="BI513" s="69">
        <v>0</v>
      </c>
      <c r="BJ513" s="70">
        <v>0</v>
      </c>
      <c r="BK513" s="71">
        <v>0</v>
      </c>
      <c r="BL513" s="71">
        <v>0</v>
      </c>
      <c r="BM513" s="71">
        <v>0</v>
      </c>
      <c r="BN513" s="72">
        <v>0</v>
      </c>
      <c r="BO513" s="73"/>
      <c r="BP513" s="73"/>
      <c r="BQ513" s="71">
        <v>0</v>
      </c>
      <c r="BR513" s="71">
        <v>0</v>
      </c>
      <c r="BS513" s="71">
        <v>0</v>
      </c>
      <c r="BT513" s="72">
        <v>0</v>
      </c>
      <c r="BU513" s="73"/>
      <c r="BV513" s="73"/>
    </row>
    <row r="514" ht="30" customHeight="1" spans="1:75 16331:16349">
      <c r="A514" s="55">
        <v>0</v>
      </c>
      <c r="B514" s="56">
        <v>0</v>
      </c>
      <c r="C514" s="57">
        <v>0</v>
      </c>
      <c r="D514" s="74"/>
      <c r="E514" s="74"/>
      <c r="F514" s="59" t="e">
        <f>VLOOKUP(E514,[1]库存!$B$1:$C$65536,2,FALSE)</f>
        <v>#N/A</v>
      </c>
      <c r="G514" s="59" t="e">
        <v>#N/A</v>
      </c>
      <c r="H514" s="74"/>
      <c r="I514" s="74"/>
      <c r="J514" s="87"/>
      <c r="K514" s="61"/>
      <c r="L514" s="62">
        <v>0</v>
      </c>
      <c r="M514" s="63">
        <v>0</v>
      </c>
      <c r="N514" s="64">
        <v>0</v>
      </c>
      <c r="O514" s="62">
        <v>0</v>
      </c>
      <c r="P514" s="65">
        <f t="shared" si="15"/>
        <v>0</v>
      </c>
      <c r="Q514" s="66">
        <v>680</v>
      </c>
      <c r="R514" s="66"/>
      <c r="S514" s="66"/>
      <c r="T514" s="66"/>
      <c r="U514" s="66"/>
      <c r="V514" s="66"/>
      <c r="W514" s="66"/>
      <c r="X514" s="66"/>
      <c r="Y514" s="66">
        <v>1064</v>
      </c>
      <c r="Z514" s="66"/>
      <c r="AA514" s="66">
        <v>1605</v>
      </c>
      <c r="AB514" s="66"/>
      <c r="AC514" s="66">
        <v>1724</v>
      </c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  <c r="BD514" s="66"/>
      <c r="BE514" s="67"/>
      <c r="BF514" s="67"/>
      <c r="BG514" s="68"/>
      <c r="BI514" s="69">
        <v>0</v>
      </c>
      <c r="BJ514" s="70">
        <v>0</v>
      </c>
      <c r="BK514" s="71">
        <v>0</v>
      </c>
      <c r="BL514" s="71">
        <v>0</v>
      </c>
      <c r="BM514" s="71">
        <v>0</v>
      </c>
      <c r="BN514" s="72">
        <v>0</v>
      </c>
      <c r="BO514" s="73"/>
      <c r="BP514" s="73"/>
      <c r="BQ514" s="71">
        <v>0</v>
      </c>
      <c r="BR514" s="71">
        <v>0</v>
      </c>
      <c r="BS514" s="71">
        <v>0</v>
      </c>
      <c r="BT514" s="72">
        <v>0</v>
      </c>
      <c r="BU514" s="73"/>
      <c r="BV514" s="73"/>
    </row>
    <row r="515" ht="30" customHeight="1" spans="1:75 16331:16349">
      <c r="A515" s="55">
        <v>0</v>
      </c>
      <c r="B515" s="56" t="s">
        <v>42</v>
      </c>
      <c r="C515" s="57" t="s">
        <v>43</v>
      </c>
      <c r="D515" s="59" t="s">
        <v>875</v>
      </c>
      <c r="E515" s="59"/>
      <c r="F515" s="59" t="e">
        <f>VLOOKUP(E515,[1]库存!$B$1:$C$65536,2,FALSE)</f>
        <v>#N/A</v>
      </c>
      <c r="G515" s="59" t="e">
        <v>#N/A</v>
      </c>
      <c r="H515" s="59" t="s">
        <v>890</v>
      </c>
      <c r="I515" s="59" t="s">
        <v>891</v>
      </c>
      <c r="J515" s="63"/>
      <c r="K515" s="61"/>
      <c r="L515" s="62">
        <v>2</v>
      </c>
      <c r="M515" s="63">
        <v>1700</v>
      </c>
      <c r="N515" s="64">
        <v>10</v>
      </c>
      <c r="O515" s="62">
        <v>2</v>
      </c>
      <c r="P515" s="65">
        <f t="shared" si="15"/>
        <v>0</v>
      </c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  <c r="BD515" s="66"/>
      <c r="BE515" s="67"/>
      <c r="BF515" s="67"/>
      <c r="BG515" s="68"/>
      <c r="BI515" s="69">
        <v>0</v>
      </c>
      <c r="BJ515" s="70">
        <v>0</v>
      </c>
      <c r="BK515" s="71">
        <v>0</v>
      </c>
      <c r="BL515" s="71">
        <v>0</v>
      </c>
      <c r="BM515" s="71">
        <v>0</v>
      </c>
      <c r="BN515" s="72">
        <v>0</v>
      </c>
      <c r="BO515" s="73"/>
      <c r="BP515" s="73"/>
      <c r="BQ515" s="71">
        <v>0</v>
      </c>
      <c r="BR515" s="71">
        <v>0</v>
      </c>
      <c r="BS515" s="71">
        <v>0</v>
      </c>
      <c r="BT515" s="72">
        <v>0</v>
      </c>
      <c r="BU515" s="73"/>
      <c r="BV515" s="73"/>
    </row>
    <row r="516" ht="30" customHeight="1" spans="1:75 16331:16349">
      <c r="A516" s="55">
        <v>0</v>
      </c>
      <c r="B516" s="56">
        <v>0</v>
      </c>
      <c r="C516" s="57">
        <v>0</v>
      </c>
      <c r="D516" s="74"/>
      <c r="E516" s="74"/>
      <c r="F516" s="59" t="e">
        <f>VLOOKUP(E516,[1]库存!$B$1:$C$65536,2,FALSE)</f>
        <v>#N/A</v>
      </c>
      <c r="G516" s="59" t="e">
        <v>#N/A</v>
      </c>
      <c r="H516" s="74"/>
      <c r="I516" s="74"/>
      <c r="J516" s="87"/>
      <c r="K516" s="61"/>
      <c r="L516" s="62">
        <v>0</v>
      </c>
      <c r="M516" s="63">
        <v>0</v>
      </c>
      <c r="N516" s="64">
        <v>0</v>
      </c>
      <c r="O516" s="62">
        <v>0</v>
      </c>
      <c r="P516" s="65">
        <f t="shared" si="15"/>
        <v>0</v>
      </c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  <c r="BD516" s="66"/>
      <c r="BE516" s="67"/>
      <c r="BF516" s="67"/>
      <c r="BG516" s="68"/>
      <c r="BI516" s="69">
        <v>0</v>
      </c>
      <c r="BJ516" s="70">
        <v>0</v>
      </c>
      <c r="BK516" s="71">
        <v>0</v>
      </c>
      <c r="BL516" s="71">
        <v>0</v>
      </c>
      <c r="BM516" s="71">
        <v>0</v>
      </c>
      <c r="BN516" s="72">
        <v>0</v>
      </c>
      <c r="BO516" s="73"/>
      <c r="BP516" s="73"/>
      <c r="BQ516" s="71">
        <v>0</v>
      </c>
      <c r="BR516" s="71">
        <v>0</v>
      </c>
      <c r="BS516" s="71">
        <v>0</v>
      </c>
      <c r="BT516" s="72">
        <v>0</v>
      </c>
      <c r="BU516" s="73"/>
      <c r="BV516" s="73"/>
    </row>
    <row r="517" ht="30" customHeight="1" spans="1:75 16331:16349">
      <c r="A517" s="55">
        <v>0</v>
      </c>
      <c r="B517" s="56" t="s">
        <v>42</v>
      </c>
      <c r="C517" s="57" t="s">
        <v>43</v>
      </c>
      <c r="D517" s="59" t="s">
        <v>875</v>
      </c>
      <c r="E517" s="59"/>
      <c r="F517" s="59" t="e">
        <f>VLOOKUP(E517,[1]库存!$B$1:$C$65536,2,FALSE)</f>
        <v>#N/A</v>
      </c>
      <c r="G517" s="59" t="e">
        <v>#N/A</v>
      </c>
      <c r="H517" s="59" t="s">
        <v>892</v>
      </c>
      <c r="I517" s="59" t="s">
        <v>893</v>
      </c>
      <c r="J517" s="63"/>
      <c r="K517" s="61"/>
      <c r="L517" s="62">
        <v>2</v>
      </c>
      <c r="M517" s="63">
        <v>1700</v>
      </c>
      <c r="N517" s="64">
        <v>10</v>
      </c>
      <c r="O517" s="62">
        <v>2</v>
      </c>
      <c r="P517" s="65">
        <f t="shared" si="15"/>
        <v>0</v>
      </c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  <c r="BD517" s="66"/>
      <c r="BE517" s="67"/>
      <c r="BF517" s="67"/>
      <c r="BG517" s="68"/>
      <c r="BI517" s="69">
        <v>0</v>
      </c>
      <c r="BJ517" s="70">
        <v>0</v>
      </c>
      <c r="BK517" s="71">
        <v>0</v>
      </c>
      <c r="BL517" s="71">
        <v>0</v>
      </c>
      <c r="BM517" s="71">
        <v>0</v>
      </c>
      <c r="BN517" s="72">
        <v>0</v>
      </c>
      <c r="BO517" s="73"/>
      <c r="BP517" s="73"/>
      <c r="BQ517" s="71">
        <v>0</v>
      </c>
      <c r="BR517" s="71">
        <v>0</v>
      </c>
      <c r="BS517" s="71">
        <v>0</v>
      </c>
      <c r="BT517" s="72">
        <v>0</v>
      </c>
      <c r="BU517" s="73"/>
      <c r="BV517" s="73"/>
    </row>
    <row r="518" ht="30" customHeight="1" spans="1:75 16331:16349">
      <c r="A518" s="55">
        <v>0</v>
      </c>
      <c r="B518" s="56">
        <v>0</v>
      </c>
      <c r="C518" s="57">
        <v>0</v>
      </c>
      <c r="D518" s="74"/>
      <c r="E518" s="74"/>
      <c r="F518" s="59" t="e">
        <f>VLOOKUP(E518,[1]库存!$B$1:$C$65536,2,FALSE)</f>
        <v>#N/A</v>
      </c>
      <c r="G518" s="59" t="e">
        <v>#N/A</v>
      </c>
      <c r="H518" s="74"/>
      <c r="I518" s="74"/>
      <c r="J518" s="87"/>
      <c r="K518" s="61"/>
      <c r="L518" s="62">
        <v>0</v>
      </c>
      <c r="M518" s="63">
        <v>0</v>
      </c>
      <c r="N518" s="64">
        <v>0</v>
      </c>
      <c r="O518" s="62">
        <v>0</v>
      </c>
      <c r="P518" s="65">
        <f t="shared" ref="P518:P581" si="16">SUM(AG518:AJ518)</f>
        <v>0</v>
      </c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7"/>
      <c r="BF518" s="67"/>
      <c r="BG518" s="68"/>
      <c r="BI518" s="69">
        <v>0</v>
      </c>
      <c r="BJ518" s="70">
        <v>0</v>
      </c>
      <c r="BK518" s="71">
        <v>0</v>
      </c>
      <c r="BL518" s="71">
        <v>0</v>
      </c>
      <c r="BM518" s="71">
        <v>0</v>
      </c>
      <c r="BN518" s="72">
        <v>0</v>
      </c>
      <c r="BO518" s="73"/>
      <c r="BP518" s="73"/>
      <c r="BQ518" s="71">
        <v>0</v>
      </c>
      <c r="BR518" s="71">
        <v>0</v>
      </c>
      <c r="BS518" s="71">
        <v>0</v>
      </c>
      <c r="BT518" s="72">
        <v>0</v>
      </c>
      <c r="BU518" s="73"/>
      <c r="BV518" s="73"/>
    </row>
    <row r="519" ht="30" customHeight="1" spans="1:75 16331:16349">
      <c r="A519" s="55">
        <v>0</v>
      </c>
      <c r="B519" s="56">
        <v>0</v>
      </c>
      <c r="C519" s="57">
        <v>0</v>
      </c>
      <c r="E519" s="88"/>
      <c r="F519" s="59" t="e">
        <f>VLOOKUP(E519,[1]库存!$B$1:$C$65536,2,FALSE)</f>
        <v>#N/A</v>
      </c>
      <c r="G519" s="59" t="e">
        <v>#N/A</v>
      </c>
      <c r="H519" s="89"/>
      <c r="I519" s="88"/>
      <c r="J519" s="90"/>
      <c r="K519" s="61"/>
      <c r="L519" s="62">
        <v>0</v>
      </c>
      <c r="M519" s="63">
        <v>0</v>
      </c>
      <c r="N519" s="64">
        <v>0</v>
      </c>
      <c r="O519" s="62">
        <v>0</v>
      </c>
      <c r="P519" s="65">
        <f t="shared" si="16"/>
        <v>0</v>
      </c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7"/>
      <c r="BF519" s="67"/>
      <c r="BG519" s="68"/>
      <c r="BI519" s="69">
        <v>0</v>
      </c>
      <c r="BJ519" s="70">
        <v>0</v>
      </c>
      <c r="BK519" s="71">
        <v>0</v>
      </c>
      <c r="BL519" s="71">
        <v>0</v>
      </c>
      <c r="BM519" s="71">
        <v>0</v>
      </c>
      <c r="BN519" s="72">
        <v>0</v>
      </c>
      <c r="BO519" s="73"/>
      <c r="BP519" s="73"/>
      <c r="BQ519" s="71">
        <v>0</v>
      </c>
      <c r="BR519" s="71">
        <v>0</v>
      </c>
      <c r="BS519" s="71">
        <v>0</v>
      </c>
      <c r="BT519" s="72">
        <v>0</v>
      </c>
      <c r="BU519" s="73"/>
      <c r="BV519" s="73"/>
    </row>
    <row r="520" ht="30" customHeight="1" spans="1:75 16331:16349">
      <c r="A520" s="55" t="s">
        <v>211</v>
      </c>
      <c r="B520" s="56" t="s">
        <v>42</v>
      </c>
      <c r="C520" s="57" t="s">
        <v>43</v>
      </c>
      <c r="D520" s="57" t="s">
        <v>894</v>
      </c>
      <c r="E520" s="91" t="s">
        <v>895</v>
      </c>
      <c r="F520" s="91" t="str">
        <f>VLOOKUP(E520,[1]库存!$B$1:$C$65536,2,FALSE)</f>
        <v>WX SAB D1 LH</v>
      </c>
      <c r="G520" s="91" t="s">
        <v>896</v>
      </c>
      <c r="H520" s="91" t="s">
        <v>897</v>
      </c>
      <c r="I520" s="91" t="s">
        <v>898</v>
      </c>
      <c r="J520" s="63"/>
      <c r="K520" s="61"/>
      <c r="L520" s="62">
        <v>0</v>
      </c>
      <c r="M520" s="63">
        <v>1800</v>
      </c>
      <c r="N520" s="64">
        <v>10</v>
      </c>
      <c r="O520" s="62">
        <v>0</v>
      </c>
      <c r="P520" s="65">
        <f t="shared" si="16"/>
        <v>0</v>
      </c>
      <c r="Q520" s="66"/>
      <c r="R520" s="66"/>
      <c r="S520" s="66">
        <v>1300</v>
      </c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105"/>
      <c r="BF520" s="67"/>
      <c r="BG520" s="68"/>
      <c r="BI520" s="69">
        <v>0</v>
      </c>
      <c r="BJ520" s="70">
        <v>0</v>
      </c>
      <c r="BK520" s="71">
        <v>0</v>
      </c>
      <c r="BL520" s="71">
        <v>0</v>
      </c>
      <c r="BM520" s="71">
        <v>0</v>
      </c>
      <c r="BN520" s="72">
        <v>0</v>
      </c>
      <c r="BO520" s="73"/>
      <c r="BP520" s="73"/>
      <c r="BQ520" s="71">
        <v>0</v>
      </c>
      <c r="BR520" s="71">
        <v>0</v>
      </c>
      <c r="BS520" s="71">
        <v>0</v>
      </c>
      <c r="BT520" s="72">
        <v>0</v>
      </c>
      <c r="BU520" s="73"/>
      <c r="BV520" s="73"/>
    </row>
    <row r="521" ht="30" customHeight="1" spans="1:75 16331:16349">
      <c r="A521" s="55">
        <v>0</v>
      </c>
      <c r="B521" s="56">
        <v>0</v>
      </c>
      <c r="C521" s="57">
        <v>0</v>
      </c>
      <c r="D521" s="174"/>
      <c r="E521" s="92"/>
      <c r="F521" s="91" t="e">
        <f>VLOOKUP(E521,[1]库存!$B$1:$C$65536,2,FALSE)</f>
        <v>#N/A</v>
      </c>
      <c r="G521" s="91" t="e">
        <v>#N/A</v>
      </c>
      <c r="H521" s="92"/>
      <c r="I521" s="92"/>
      <c r="J521" s="87"/>
      <c r="K521" s="61"/>
      <c r="L521" s="62">
        <v>0</v>
      </c>
      <c r="M521" s="63">
        <v>0</v>
      </c>
      <c r="N521" s="64">
        <v>0</v>
      </c>
      <c r="O521" s="62">
        <v>0</v>
      </c>
      <c r="P521" s="65">
        <f t="shared" si="16"/>
        <v>0</v>
      </c>
      <c r="Q521" s="66"/>
      <c r="R521" s="66"/>
      <c r="S521" s="66">
        <v>1355</v>
      </c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7"/>
      <c r="BF521" s="67"/>
      <c r="BG521" s="68"/>
      <c r="BI521" s="69">
        <v>0</v>
      </c>
      <c r="BJ521" s="70">
        <v>0</v>
      </c>
      <c r="BK521" s="71">
        <v>0</v>
      </c>
      <c r="BL521" s="71">
        <v>0</v>
      </c>
      <c r="BM521" s="71">
        <v>0</v>
      </c>
      <c r="BN521" s="72">
        <v>0</v>
      </c>
      <c r="BO521" s="73"/>
      <c r="BP521" s="73"/>
      <c r="BQ521" s="71">
        <v>0</v>
      </c>
      <c r="BR521" s="71">
        <v>0</v>
      </c>
      <c r="BS521" s="71">
        <v>0</v>
      </c>
      <c r="BT521" s="72">
        <v>0</v>
      </c>
      <c r="BU521" s="73"/>
      <c r="BV521" s="73"/>
    </row>
    <row r="522" ht="30" customHeight="1" spans="1:75 16331:16349">
      <c r="A522" s="55" t="s">
        <v>211</v>
      </c>
      <c r="B522" s="56" t="s">
        <v>42</v>
      </c>
      <c r="C522" s="57" t="s">
        <v>43</v>
      </c>
      <c r="D522" s="57" t="s">
        <v>894</v>
      </c>
      <c r="E522" s="91" t="s">
        <v>899</v>
      </c>
      <c r="F522" s="91" t="str">
        <f>VLOOKUP(E522,[1]库存!$B$1:$C$65536,2,FALSE)</f>
        <v>WX SAB D1 RH</v>
      </c>
      <c r="G522" s="91" t="s">
        <v>900</v>
      </c>
      <c r="H522" s="91" t="s">
        <v>901</v>
      </c>
      <c r="I522" s="91" t="s">
        <v>898</v>
      </c>
      <c r="J522" s="63"/>
      <c r="K522" s="61"/>
      <c r="L522" s="62">
        <v>0</v>
      </c>
      <c r="M522" s="63">
        <v>1800</v>
      </c>
      <c r="N522" s="64">
        <v>10</v>
      </c>
      <c r="O522" s="62">
        <v>0</v>
      </c>
      <c r="P522" s="65">
        <f t="shared" si="16"/>
        <v>0</v>
      </c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105"/>
      <c r="BF522" s="105"/>
      <c r="BG522" s="68"/>
      <c r="BI522" s="69">
        <v>0</v>
      </c>
      <c r="BJ522" s="70">
        <v>0</v>
      </c>
      <c r="BK522" s="71">
        <v>0</v>
      </c>
      <c r="BL522" s="71">
        <v>0</v>
      </c>
      <c r="BM522" s="71">
        <v>0</v>
      </c>
      <c r="BN522" s="72">
        <v>0</v>
      </c>
      <c r="BO522" s="73"/>
      <c r="BP522" s="73"/>
      <c r="BQ522" s="71">
        <v>0</v>
      </c>
      <c r="BR522" s="71">
        <v>0</v>
      </c>
      <c r="BS522" s="71">
        <v>0</v>
      </c>
      <c r="BT522" s="72">
        <v>0</v>
      </c>
      <c r="BU522" s="73"/>
      <c r="BV522" s="73"/>
    </row>
    <row r="523" ht="30" customHeight="1" spans="1:75 16331:16349">
      <c r="A523" s="55">
        <v>0</v>
      </c>
      <c r="B523" s="56">
        <v>0</v>
      </c>
      <c r="C523" s="57">
        <v>0</v>
      </c>
      <c r="D523" s="174"/>
      <c r="E523" s="92"/>
      <c r="F523" s="91" t="e">
        <f>VLOOKUP(E523,[1]库存!$B$1:$C$65536,2,FALSE)</f>
        <v>#N/A</v>
      </c>
      <c r="G523" s="91" t="e">
        <v>#N/A</v>
      </c>
      <c r="H523" s="92"/>
      <c r="I523" s="92"/>
      <c r="J523" s="87"/>
      <c r="K523" s="61"/>
      <c r="L523" s="62">
        <v>0</v>
      </c>
      <c r="M523" s="63">
        <v>0</v>
      </c>
      <c r="N523" s="64">
        <v>0</v>
      </c>
      <c r="O523" s="62">
        <v>0</v>
      </c>
      <c r="P523" s="65">
        <f t="shared" si="16"/>
        <v>0</v>
      </c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7"/>
      <c r="BF523" s="67"/>
      <c r="BG523" s="68"/>
      <c r="BI523" s="69">
        <v>0</v>
      </c>
      <c r="BJ523" s="70">
        <v>0</v>
      </c>
      <c r="BK523" s="71">
        <v>0</v>
      </c>
      <c r="BL523" s="71">
        <v>0</v>
      </c>
      <c r="BM523" s="71">
        <v>0</v>
      </c>
      <c r="BN523" s="72">
        <v>0</v>
      </c>
      <c r="BO523" s="73"/>
      <c r="BP523" s="73"/>
      <c r="BQ523" s="71">
        <v>0</v>
      </c>
      <c r="BR523" s="71">
        <v>0</v>
      </c>
      <c r="BS523" s="71">
        <v>0</v>
      </c>
      <c r="BT523" s="72">
        <v>0</v>
      </c>
      <c r="BU523" s="73"/>
      <c r="BV523" s="73"/>
    </row>
    <row r="524" ht="30" customHeight="1" spans="1:75 16331:16349">
      <c r="A524" s="55" t="s">
        <v>211</v>
      </c>
      <c r="B524" s="56" t="s">
        <v>42</v>
      </c>
      <c r="C524" s="57" t="s">
        <v>43</v>
      </c>
      <c r="D524" s="57" t="s">
        <v>894</v>
      </c>
      <c r="E524" s="91" t="s">
        <v>902</v>
      </c>
      <c r="F524" s="91" t="str">
        <f>VLOOKUP(E524,[1]库存!$B$1:$C$65536,2,FALSE)</f>
        <v>SC2EM SAB LH A状态</v>
      </c>
      <c r="G524" s="91" t="s">
        <v>903</v>
      </c>
      <c r="H524" s="91" t="s">
        <v>904</v>
      </c>
      <c r="I524" s="91" t="s">
        <v>905</v>
      </c>
      <c r="J524" s="63"/>
      <c r="K524" s="61"/>
      <c r="L524" s="62">
        <v>0</v>
      </c>
      <c r="M524" s="63">
        <v>1400</v>
      </c>
      <c r="N524" s="64">
        <v>9</v>
      </c>
      <c r="O524" s="62">
        <v>0</v>
      </c>
      <c r="P524" s="65">
        <f t="shared" si="16"/>
        <v>0</v>
      </c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7"/>
      <c r="BF524" s="67"/>
      <c r="BG524" s="68"/>
      <c r="BI524" s="69">
        <v>0</v>
      </c>
      <c r="BJ524" s="70">
        <v>0</v>
      </c>
      <c r="BK524" s="71">
        <v>0</v>
      </c>
      <c r="BL524" s="71">
        <v>0</v>
      </c>
      <c r="BM524" s="71">
        <v>0</v>
      </c>
      <c r="BN524" s="72">
        <v>0</v>
      </c>
      <c r="BO524" s="73"/>
      <c r="BP524" s="73"/>
      <c r="BQ524" s="71">
        <v>0</v>
      </c>
      <c r="BR524" s="71">
        <v>0</v>
      </c>
      <c r="BS524" s="71">
        <v>0</v>
      </c>
      <c r="BT524" s="72">
        <v>0</v>
      </c>
      <c r="BU524" s="73"/>
      <c r="BV524" s="73"/>
    </row>
    <row r="525" ht="30" customHeight="1" spans="1:75 16331:16349">
      <c r="A525" s="55">
        <v>0</v>
      </c>
      <c r="B525" s="56">
        <v>0</v>
      </c>
      <c r="C525" s="57">
        <v>0</v>
      </c>
      <c r="D525" s="174"/>
      <c r="E525" s="92"/>
      <c r="F525" s="91" t="e">
        <f>VLOOKUP(E525,[1]库存!$B$1:$C$65536,2,FALSE)</f>
        <v>#N/A</v>
      </c>
      <c r="G525" s="91" t="e">
        <v>#N/A</v>
      </c>
      <c r="H525" s="92"/>
      <c r="I525" s="92"/>
      <c r="J525" s="87"/>
      <c r="K525" s="61"/>
      <c r="L525" s="62">
        <v>0</v>
      </c>
      <c r="M525" s="63">
        <v>0</v>
      </c>
      <c r="N525" s="64">
        <v>0</v>
      </c>
      <c r="O525" s="62">
        <v>0</v>
      </c>
      <c r="P525" s="65">
        <f t="shared" si="16"/>
        <v>0</v>
      </c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7"/>
      <c r="BF525" s="67"/>
      <c r="BG525" s="68"/>
      <c r="BI525" s="69">
        <v>0</v>
      </c>
      <c r="BJ525" s="70">
        <v>0</v>
      </c>
      <c r="BK525" s="71">
        <v>0</v>
      </c>
      <c r="BL525" s="71">
        <v>0</v>
      </c>
      <c r="BM525" s="71">
        <v>0</v>
      </c>
      <c r="BN525" s="72">
        <v>0</v>
      </c>
      <c r="BO525" s="73"/>
      <c r="BP525" s="73"/>
      <c r="BQ525" s="71">
        <v>0</v>
      </c>
      <c r="BR525" s="71">
        <v>0</v>
      </c>
      <c r="BS525" s="71">
        <v>0</v>
      </c>
      <c r="BT525" s="72">
        <v>0</v>
      </c>
      <c r="BU525" s="73"/>
      <c r="BV525" s="73"/>
    </row>
    <row r="526" ht="30" customHeight="1" spans="1:75 16331:16349">
      <c r="A526" s="55" t="s">
        <v>211</v>
      </c>
      <c r="B526" s="56" t="s">
        <v>42</v>
      </c>
      <c r="C526" s="57" t="s">
        <v>43</v>
      </c>
      <c r="D526" s="57" t="s">
        <v>894</v>
      </c>
      <c r="E526" s="91" t="s">
        <v>906</v>
      </c>
      <c r="F526" s="91" t="str">
        <f>VLOOKUP(E526,[1]库存!$B$1:$C$65536,2,FALSE)</f>
        <v>SC2EM SAB RH A状态</v>
      </c>
      <c r="G526" s="91" t="s">
        <v>907</v>
      </c>
      <c r="H526" s="91" t="s">
        <v>908</v>
      </c>
      <c r="I526" s="91" t="s">
        <v>905</v>
      </c>
      <c r="J526" s="63"/>
      <c r="K526" s="61"/>
      <c r="L526" s="62">
        <v>0</v>
      </c>
      <c r="M526" s="63">
        <v>1400</v>
      </c>
      <c r="N526" s="64">
        <v>9</v>
      </c>
      <c r="O526" s="62">
        <v>0</v>
      </c>
      <c r="P526" s="65">
        <f t="shared" si="16"/>
        <v>0</v>
      </c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7"/>
      <c r="BF526" s="67"/>
      <c r="BG526" s="68"/>
      <c r="BI526" s="69">
        <v>0</v>
      </c>
      <c r="BJ526" s="70">
        <v>0</v>
      </c>
      <c r="BK526" s="71">
        <v>0</v>
      </c>
      <c r="BL526" s="71">
        <v>0</v>
      </c>
      <c r="BM526" s="71">
        <v>0</v>
      </c>
      <c r="BN526" s="72">
        <v>0</v>
      </c>
      <c r="BO526" s="73"/>
      <c r="BP526" s="73"/>
      <c r="BQ526" s="71">
        <v>0</v>
      </c>
      <c r="BR526" s="71">
        <v>0</v>
      </c>
      <c r="BS526" s="71">
        <v>0</v>
      </c>
      <c r="BT526" s="72">
        <v>0</v>
      </c>
      <c r="BU526" s="73"/>
      <c r="BV526" s="73"/>
    </row>
    <row r="527" ht="30" customHeight="1" spans="1:75 16331:16349">
      <c r="A527" s="55">
        <v>0</v>
      </c>
      <c r="B527" s="56">
        <v>0</v>
      </c>
      <c r="C527" s="57">
        <v>0</v>
      </c>
      <c r="D527" s="174"/>
      <c r="E527" s="92"/>
      <c r="F527" s="91" t="e">
        <f>VLOOKUP(E527,[1]库存!$B$1:$C$65536,2,FALSE)</f>
        <v>#N/A</v>
      </c>
      <c r="G527" s="91" t="e">
        <v>#N/A</v>
      </c>
      <c r="H527" s="92"/>
      <c r="I527" s="92"/>
      <c r="J527" s="87"/>
      <c r="K527" s="61"/>
      <c r="L527" s="62">
        <v>0</v>
      </c>
      <c r="M527" s="63">
        <v>0</v>
      </c>
      <c r="N527" s="64">
        <v>0</v>
      </c>
      <c r="O527" s="62">
        <v>0</v>
      </c>
      <c r="P527" s="65">
        <f t="shared" si="16"/>
        <v>0</v>
      </c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7"/>
      <c r="BF527" s="67"/>
      <c r="BG527" s="68"/>
      <c r="BI527" s="69">
        <v>0</v>
      </c>
      <c r="BJ527" s="70">
        <v>0</v>
      </c>
      <c r="BK527" s="71">
        <v>0</v>
      </c>
      <c r="BL527" s="71">
        <v>0</v>
      </c>
      <c r="BM527" s="71">
        <v>0</v>
      </c>
      <c r="BN527" s="72">
        <v>0</v>
      </c>
      <c r="BO527" s="73"/>
      <c r="BP527" s="73"/>
      <c r="BQ527" s="71">
        <v>0</v>
      </c>
      <c r="BR527" s="71">
        <v>0</v>
      </c>
      <c r="BS527" s="71">
        <v>0</v>
      </c>
      <c r="BT527" s="72">
        <v>0</v>
      </c>
      <c r="BU527" s="73"/>
      <c r="BV527" s="73"/>
    </row>
    <row r="528" s="2" customFormat="1" ht="30" customHeight="1" spans="1:75 16331:16349">
      <c r="A528" s="55">
        <v>0</v>
      </c>
      <c r="B528" s="56" t="s">
        <v>42</v>
      </c>
      <c r="C528" s="57" t="s">
        <v>43</v>
      </c>
      <c r="D528" s="76" t="s">
        <v>894</v>
      </c>
      <c r="E528" s="59" t="s">
        <v>902</v>
      </c>
      <c r="F528" s="59" t="s">
        <v>909</v>
      </c>
      <c r="G528" s="308" t="s">
        <v>910</v>
      </c>
      <c r="H528" s="59" t="s">
        <v>911</v>
      </c>
      <c r="I528" s="59" t="s">
        <v>905</v>
      </c>
      <c r="J528" s="63"/>
      <c r="K528" s="61"/>
      <c r="L528" s="62">
        <v>0</v>
      </c>
      <c r="M528" s="63">
        <v>1400</v>
      </c>
      <c r="N528" s="64">
        <v>9</v>
      </c>
      <c r="O528" s="62">
        <v>0</v>
      </c>
      <c r="P528" s="65">
        <f t="shared" si="16"/>
        <v>0</v>
      </c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>
        <v>800</v>
      </c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8"/>
      <c r="BH528" s="11"/>
      <c r="BI528" s="69">
        <v>0</v>
      </c>
      <c r="BJ528" s="70">
        <v>0</v>
      </c>
      <c r="BK528" s="71">
        <v>0</v>
      </c>
      <c r="BL528" s="71">
        <v>0</v>
      </c>
      <c r="BM528" s="71">
        <v>0</v>
      </c>
      <c r="BN528" s="72">
        <v>0</v>
      </c>
      <c r="BO528" s="73"/>
      <c r="BP528" s="73"/>
      <c r="BQ528" s="71">
        <v>0</v>
      </c>
      <c r="BR528" s="71">
        <v>0</v>
      </c>
      <c r="BS528" s="71">
        <v>0</v>
      </c>
      <c r="BT528" s="72">
        <v>0</v>
      </c>
      <c r="BU528" s="73"/>
      <c r="BV528" s="73"/>
      <c r="BW528" s="175"/>
      <c r="XDC528" s="176"/>
      <c r="XDD528" s="176"/>
      <c r="XDE528" s="176"/>
      <c r="XDF528" s="176"/>
      <c r="XDG528" s="176"/>
      <c r="XDH528" s="176"/>
      <c r="XDI528" s="176"/>
      <c r="XDJ528" s="176"/>
      <c r="XDK528" s="176"/>
      <c r="XDL528" s="176"/>
      <c r="XDM528" s="176"/>
      <c r="XDN528" s="176"/>
      <c r="XDO528" s="176"/>
      <c r="XDP528" s="176"/>
      <c r="XDQ528" s="176"/>
      <c r="XDR528" s="176"/>
      <c r="XDS528" s="176"/>
      <c r="XDT528" s="176"/>
      <c r="XDU528" s="176"/>
    </row>
    <row r="529" s="2" customFormat="1" ht="30" customHeight="1" spans="1:75 16331:16349">
      <c r="A529" s="55">
        <v>0</v>
      </c>
      <c r="B529" s="56">
        <v>0</v>
      </c>
      <c r="C529" s="57">
        <v>0</v>
      </c>
      <c r="D529" s="78"/>
      <c r="E529" s="74"/>
      <c r="F529" s="59">
        <v>0</v>
      </c>
      <c r="G529" s="59" t="e">
        <v>#N/A</v>
      </c>
      <c r="H529" s="74"/>
      <c r="I529" s="74"/>
      <c r="J529" s="87"/>
      <c r="K529" s="61"/>
      <c r="L529" s="62">
        <v>0</v>
      </c>
      <c r="M529" s="63">
        <v>0</v>
      </c>
      <c r="N529" s="64">
        <v>0</v>
      </c>
      <c r="O529" s="62">
        <v>0</v>
      </c>
      <c r="P529" s="65">
        <f t="shared" si="16"/>
        <v>0</v>
      </c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 t="s">
        <v>912</v>
      </c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8"/>
      <c r="BH529" s="11"/>
      <c r="BI529" s="69">
        <v>0</v>
      </c>
      <c r="BJ529" s="70">
        <v>0</v>
      </c>
      <c r="BK529" s="71">
        <v>0</v>
      </c>
      <c r="BL529" s="71">
        <v>0</v>
      </c>
      <c r="BM529" s="71">
        <v>0</v>
      </c>
      <c r="BN529" s="72">
        <v>0</v>
      </c>
      <c r="BO529" s="73"/>
      <c r="BP529" s="73"/>
      <c r="BQ529" s="71">
        <v>0</v>
      </c>
      <c r="BR529" s="71">
        <v>0</v>
      </c>
      <c r="BS529" s="71">
        <v>0</v>
      </c>
      <c r="BT529" s="72">
        <v>0</v>
      </c>
      <c r="BU529" s="73"/>
      <c r="BV529" s="73"/>
      <c r="BW529" s="175"/>
      <c r="XDC529" s="176"/>
      <c r="XDD529" s="176"/>
      <c r="XDE529" s="176"/>
      <c r="XDF529" s="176"/>
      <c r="XDG529" s="176"/>
      <c r="XDH529" s="176"/>
      <c r="XDI529" s="176"/>
      <c r="XDJ529" s="176"/>
      <c r="XDK529" s="176"/>
      <c r="XDL529" s="176"/>
      <c r="XDM529" s="176"/>
      <c r="XDN529" s="176"/>
      <c r="XDO529" s="176"/>
      <c r="XDP529" s="176"/>
      <c r="XDQ529" s="176"/>
      <c r="XDR529" s="176"/>
      <c r="XDS529" s="176"/>
      <c r="XDT529" s="176"/>
      <c r="XDU529" s="176"/>
    </row>
    <row r="530" s="2" customFormat="1" ht="30" customHeight="1" spans="1:75 16331:16349">
      <c r="A530" s="55">
        <v>0</v>
      </c>
      <c r="B530" s="56" t="s">
        <v>42</v>
      </c>
      <c r="C530" s="57" t="s">
        <v>43</v>
      </c>
      <c r="D530" s="76" t="s">
        <v>894</v>
      </c>
      <c r="E530" s="59" t="s">
        <v>906</v>
      </c>
      <c r="F530" s="59" t="s">
        <v>913</v>
      </c>
      <c r="G530" s="308" t="s">
        <v>914</v>
      </c>
      <c r="H530" s="59" t="s">
        <v>915</v>
      </c>
      <c r="I530" s="59" t="s">
        <v>905</v>
      </c>
      <c r="J530" s="63"/>
      <c r="K530" s="61"/>
      <c r="L530" s="62">
        <v>0</v>
      </c>
      <c r="M530" s="63">
        <v>1400</v>
      </c>
      <c r="N530" s="64">
        <v>9</v>
      </c>
      <c r="O530" s="62">
        <v>0</v>
      </c>
      <c r="P530" s="65">
        <f t="shared" si="16"/>
        <v>0</v>
      </c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>
        <v>800</v>
      </c>
      <c r="AB530" s="66"/>
      <c r="AC530" s="66" t="s">
        <v>471</v>
      </c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8"/>
      <c r="BH530" s="11"/>
      <c r="BI530" s="69">
        <v>0</v>
      </c>
      <c r="BJ530" s="70">
        <v>0</v>
      </c>
      <c r="BK530" s="71">
        <v>0</v>
      </c>
      <c r="BL530" s="71">
        <v>0</v>
      </c>
      <c r="BM530" s="71">
        <v>0</v>
      </c>
      <c r="BN530" s="72">
        <v>0</v>
      </c>
      <c r="BO530" s="73"/>
      <c r="BP530" s="73"/>
      <c r="BQ530" s="71">
        <v>0</v>
      </c>
      <c r="BR530" s="71">
        <v>0</v>
      </c>
      <c r="BS530" s="71">
        <v>0</v>
      </c>
      <c r="BT530" s="72">
        <v>0</v>
      </c>
      <c r="BU530" s="73"/>
      <c r="BV530" s="73"/>
      <c r="BW530" s="175"/>
      <c r="XDC530" s="176"/>
      <c r="XDD530" s="176"/>
      <c r="XDE530" s="176"/>
      <c r="XDF530" s="176"/>
      <c r="XDG530" s="176"/>
      <c r="XDH530" s="176"/>
      <c r="XDI530" s="176"/>
      <c r="XDJ530" s="176"/>
      <c r="XDK530" s="176"/>
      <c r="XDL530" s="176"/>
      <c r="XDM530" s="176"/>
      <c r="XDN530" s="176"/>
      <c r="XDO530" s="176"/>
      <c r="XDP530" s="176"/>
      <c r="XDQ530" s="176"/>
      <c r="XDR530" s="176"/>
      <c r="XDS530" s="176"/>
      <c r="XDT530" s="176"/>
      <c r="XDU530" s="176"/>
    </row>
    <row r="531" s="2" customFormat="1" ht="30" customHeight="1" spans="1:75 16331:16349">
      <c r="A531" s="55">
        <v>0</v>
      </c>
      <c r="B531" s="56">
        <v>0</v>
      </c>
      <c r="C531" s="57">
        <v>0</v>
      </c>
      <c r="D531" s="78"/>
      <c r="E531" s="74"/>
      <c r="F531" s="59" t="e">
        <f>VLOOKUP(E531,[1]库存!$B$1:$C$65536,2,FALSE)</f>
        <v>#N/A</v>
      </c>
      <c r="G531" s="59" t="e">
        <v>#N/A</v>
      </c>
      <c r="H531" s="74"/>
      <c r="I531" s="74"/>
      <c r="J531" s="87"/>
      <c r="K531" s="61"/>
      <c r="L531" s="62">
        <v>0</v>
      </c>
      <c r="M531" s="63">
        <v>0</v>
      </c>
      <c r="N531" s="64">
        <v>0</v>
      </c>
      <c r="O531" s="62">
        <v>0</v>
      </c>
      <c r="P531" s="65">
        <f t="shared" si="16"/>
        <v>0</v>
      </c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 t="s">
        <v>916</v>
      </c>
      <c r="AB531" s="66"/>
      <c r="AC531" s="66" t="s">
        <v>917</v>
      </c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8"/>
      <c r="BH531" s="11"/>
      <c r="BI531" s="69">
        <v>0</v>
      </c>
      <c r="BJ531" s="70">
        <v>0</v>
      </c>
      <c r="BK531" s="71">
        <v>0</v>
      </c>
      <c r="BL531" s="71">
        <v>0</v>
      </c>
      <c r="BM531" s="71">
        <v>0</v>
      </c>
      <c r="BN531" s="72">
        <v>0</v>
      </c>
      <c r="BO531" s="73"/>
      <c r="BP531" s="73"/>
      <c r="BQ531" s="71">
        <v>0</v>
      </c>
      <c r="BR531" s="71">
        <v>0</v>
      </c>
      <c r="BS531" s="71">
        <v>0</v>
      </c>
      <c r="BT531" s="72">
        <v>0</v>
      </c>
      <c r="BU531" s="73"/>
      <c r="BV531" s="73"/>
      <c r="BW531" s="175"/>
      <c r="XDC531" s="176"/>
      <c r="XDD531" s="176"/>
      <c r="XDE531" s="176"/>
      <c r="XDF531" s="176"/>
      <c r="XDG531" s="176"/>
      <c r="XDH531" s="176"/>
      <c r="XDI531" s="176"/>
      <c r="XDJ531" s="176"/>
      <c r="XDK531" s="176"/>
      <c r="XDL531" s="176"/>
      <c r="XDM531" s="176"/>
      <c r="XDN531" s="176"/>
      <c r="XDO531" s="176"/>
      <c r="XDP531" s="176"/>
      <c r="XDQ531" s="176"/>
      <c r="XDR531" s="176"/>
      <c r="XDS531" s="176"/>
      <c r="XDT531" s="176"/>
      <c r="XDU531" s="176"/>
    </row>
    <row r="532" ht="30" customHeight="1" spans="1:75 16331:16349">
      <c r="A532" s="55">
        <v>0</v>
      </c>
      <c r="B532" s="56" t="s">
        <v>42</v>
      </c>
      <c r="C532" s="57" t="s">
        <v>43</v>
      </c>
      <c r="D532" s="76" t="s">
        <v>894</v>
      </c>
      <c r="E532" s="59"/>
      <c r="F532" s="59" t="e">
        <f>VLOOKUP(E532,[1]库存!$B$1:$C$65536,2,FALSE)</f>
        <v>#N/A</v>
      </c>
      <c r="G532" s="59" t="e">
        <v>#N/A</v>
      </c>
      <c r="H532" s="59" t="s">
        <v>918</v>
      </c>
      <c r="I532" s="59" t="s">
        <v>919</v>
      </c>
      <c r="J532" s="63"/>
      <c r="K532" s="61"/>
      <c r="L532" s="62">
        <v>0</v>
      </c>
      <c r="M532" s="63">
        <v>1800</v>
      </c>
      <c r="N532" s="64">
        <v>10</v>
      </c>
      <c r="O532" s="62">
        <v>0</v>
      </c>
      <c r="P532" s="65">
        <f t="shared" si="16"/>
        <v>0</v>
      </c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7"/>
      <c r="BF532" s="67"/>
      <c r="BG532" s="68"/>
      <c r="BI532" s="69">
        <v>0</v>
      </c>
      <c r="BJ532" s="70">
        <v>0</v>
      </c>
      <c r="BK532" s="71">
        <v>0</v>
      </c>
      <c r="BL532" s="71">
        <v>0</v>
      </c>
      <c r="BM532" s="71">
        <v>0</v>
      </c>
      <c r="BN532" s="72">
        <v>0</v>
      </c>
      <c r="BO532" s="73"/>
      <c r="BP532" s="73"/>
      <c r="BQ532" s="71">
        <v>0</v>
      </c>
      <c r="BR532" s="71">
        <v>0</v>
      </c>
      <c r="BS532" s="71">
        <v>0</v>
      </c>
      <c r="BT532" s="72">
        <v>0</v>
      </c>
      <c r="BU532" s="73"/>
      <c r="BV532" s="73"/>
    </row>
    <row r="533" ht="30" customHeight="1" spans="1:75 16331:16349">
      <c r="A533" s="55">
        <v>0</v>
      </c>
      <c r="B533" s="56">
        <v>0</v>
      </c>
      <c r="C533" s="57">
        <v>0</v>
      </c>
      <c r="D533" s="78"/>
      <c r="E533" s="74"/>
      <c r="F533" s="59" t="e">
        <f>VLOOKUP(E533,[1]库存!$B$1:$C$65536,2,FALSE)</f>
        <v>#N/A</v>
      </c>
      <c r="G533" s="59" t="e">
        <v>#N/A</v>
      </c>
      <c r="H533" s="74"/>
      <c r="I533" s="74"/>
      <c r="J533" s="87"/>
      <c r="K533" s="61"/>
      <c r="L533" s="62">
        <v>0</v>
      </c>
      <c r="M533" s="63">
        <v>0</v>
      </c>
      <c r="N533" s="64">
        <v>0</v>
      </c>
      <c r="O533" s="62">
        <v>0</v>
      </c>
      <c r="P533" s="65">
        <f t="shared" si="16"/>
        <v>0</v>
      </c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7"/>
      <c r="BF533" s="67"/>
      <c r="BG533" s="68"/>
      <c r="BI533" s="69">
        <v>0</v>
      </c>
      <c r="BJ533" s="70">
        <v>0</v>
      </c>
      <c r="BK533" s="71">
        <v>0</v>
      </c>
      <c r="BL533" s="71">
        <v>0</v>
      </c>
      <c r="BM533" s="71">
        <v>0</v>
      </c>
      <c r="BN533" s="72">
        <v>0</v>
      </c>
      <c r="BO533" s="73"/>
      <c r="BP533" s="73"/>
      <c r="BQ533" s="71">
        <v>0</v>
      </c>
      <c r="BR533" s="71">
        <v>0</v>
      </c>
      <c r="BS533" s="71">
        <v>0</v>
      </c>
      <c r="BT533" s="72">
        <v>0</v>
      </c>
      <c r="BU533" s="73"/>
      <c r="BV533" s="73"/>
    </row>
    <row r="534" ht="30" customHeight="1" spans="1:75 16331:16349">
      <c r="A534" s="55">
        <v>0</v>
      </c>
      <c r="B534" s="56" t="s">
        <v>42</v>
      </c>
      <c r="C534" s="57" t="s">
        <v>43</v>
      </c>
      <c r="D534" s="76" t="s">
        <v>894</v>
      </c>
      <c r="E534" s="59"/>
      <c r="F534" s="59" t="e">
        <f>VLOOKUP(E534,[1]库存!$B$1:$C$65536,2,FALSE)</f>
        <v>#N/A</v>
      </c>
      <c r="G534" s="59" t="e">
        <v>#N/A</v>
      </c>
      <c r="H534" s="59" t="s">
        <v>920</v>
      </c>
      <c r="I534" s="59" t="s">
        <v>921</v>
      </c>
      <c r="J534" s="63"/>
      <c r="K534" s="61"/>
      <c r="L534" s="62">
        <v>0</v>
      </c>
      <c r="M534" s="63">
        <v>1800</v>
      </c>
      <c r="N534" s="64">
        <v>10</v>
      </c>
      <c r="O534" s="62">
        <v>0</v>
      </c>
      <c r="P534" s="65">
        <f t="shared" si="16"/>
        <v>0</v>
      </c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7"/>
      <c r="BF534" s="67"/>
      <c r="BG534" s="68"/>
      <c r="BI534" s="69">
        <v>0</v>
      </c>
      <c r="BJ534" s="70">
        <v>0</v>
      </c>
      <c r="BK534" s="71">
        <v>0</v>
      </c>
      <c r="BL534" s="71">
        <v>0</v>
      </c>
      <c r="BM534" s="71">
        <v>0</v>
      </c>
      <c r="BN534" s="72">
        <v>0</v>
      </c>
      <c r="BO534" s="73"/>
      <c r="BP534" s="73"/>
      <c r="BQ534" s="71">
        <v>0</v>
      </c>
      <c r="BR534" s="71">
        <v>0</v>
      </c>
      <c r="BS534" s="71">
        <v>0</v>
      </c>
      <c r="BT534" s="72">
        <v>0</v>
      </c>
      <c r="BU534" s="73"/>
      <c r="BV534" s="73"/>
    </row>
    <row r="535" ht="30" customHeight="1" spans="1:75 16331:16349">
      <c r="A535" s="55">
        <v>0</v>
      </c>
      <c r="B535" s="56">
        <v>0</v>
      </c>
      <c r="C535" s="57">
        <v>0</v>
      </c>
      <c r="D535" s="78"/>
      <c r="E535" s="74"/>
      <c r="F535" s="59" t="e">
        <f>VLOOKUP(E535,[1]库存!$B$1:$C$65536,2,FALSE)</f>
        <v>#N/A</v>
      </c>
      <c r="G535" s="59" t="e">
        <v>#N/A</v>
      </c>
      <c r="H535" s="74"/>
      <c r="I535" s="74"/>
      <c r="J535" s="87"/>
      <c r="K535" s="61"/>
      <c r="L535" s="62">
        <v>0</v>
      </c>
      <c r="M535" s="63">
        <v>0</v>
      </c>
      <c r="N535" s="64">
        <v>0</v>
      </c>
      <c r="O535" s="62">
        <v>0</v>
      </c>
      <c r="P535" s="65">
        <f t="shared" si="16"/>
        <v>0</v>
      </c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7"/>
      <c r="BF535" s="67"/>
      <c r="BG535" s="68"/>
      <c r="BI535" s="69">
        <v>0</v>
      </c>
      <c r="BJ535" s="70">
        <v>0</v>
      </c>
      <c r="BK535" s="71">
        <v>0</v>
      </c>
      <c r="BL535" s="71">
        <v>0</v>
      </c>
      <c r="BM535" s="71">
        <v>0</v>
      </c>
      <c r="BN535" s="72">
        <v>0</v>
      </c>
      <c r="BO535" s="73"/>
      <c r="BP535" s="73"/>
      <c r="BQ535" s="71">
        <v>0</v>
      </c>
      <c r="BR535" s="71">
        <v>0</v>
      </c>
      <c r="BS535" s="71">
        <v>0</v>
      </c>
      <c r="BT535" s="72">
        <v>0</v>
      </c>
      <c r="BU535" s="73"/>
      <c r="BV535" s="73"/>
    </row>
    <row r="536" ht="30" customHeight="1" spans="1:75 16331:16349">
      <c r="A536" s="55">
        <v>0</v>
      </c>
      <c r="B536" s="56">
        <v>0</v>
      </c>
      <c r="C536" s="57">
        <v>0</v>
      </c>
      <c r="E536" s="88"/>
      <c r="F536" s="59" t="e">
        <f>VLOOKUP(E536,[1]库存!$B$1:$C$65536,2,FALSE)</f>
        <v>#N/A</v>
      </c>
      <c r="G536" s="59" t="e">
        <v>#N/A</v>
      </c>
      <c r="H536" s="89"/>
      <c r="I536" s="88"/>
      <c r="J536" s="90"/>
      <c r="K536" s="61"/>
      <c r="L536" s="62">
        <v>0</v>
      </c>
      <c r="M536" s="63">
        <v>0</v>
      </c>
      <c r="N536" s="64">
        <v>0</v>
      </c>
      <c r="O536" s="62">
        <v>0</v>
      </c>
      <c r="P536" s="65">
        <f t="shared" si="16"/>
        <v>0</v>
      </c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7"/>
      <c r="BF536" s="67"/>
      <c r="BG536" s="68"/>
      <c r="BI536" s="69">
        <v>0</v>
      </c>
      <c r="BJ536" s="70">
        <v>0</v>
      </c>
      <c r="BK536" s="71">
        <v>0</v>
      </c>
      <c r="BL536" s="71">
        <v>0</v>
      </c>
      <c r="BM536" s="71">
        <v>0</v>
      </c>
      <c r="BN536" s="72">
        <v>0</v>
      </c>
      <c r="BO536" s="73"/>
      <c r="BP536" s="73"/>
      <c r="BQ536" s="71">
        <v>0</v>
      </c>
      <c r="BR536" s="71">
        <v>0</v>
      </c>
      <c r="BS536" s="71">
        <v>0</v>
      </c>
      <c r="BT536" s="72">
        <v>0</v>
      </c>
      <c r="BU536" s="73"/>
      <c r="BV536" s="73"/>
    </row>
    <row r="537" ht="30" customHeight="1" spans="1:75 16331:16349">
      <c r="A537" s="55" t="s">
        <v>211</v>
      </c>
      <c r="B537" s="56" t="s">
        <v>42</v>
      </c>
      <c r="C537" s="57" t="s">
        <v>43</v>
      </c>
      <c r="D537" s="76" t="s">
        <v>922</v>
      </c>
      <c r="E537" s="59" t="s">
        <v>923</v>
      </c>
      <c r="F537" s="59" t="str">
        <f>VLOOKUP(E537,[1]库存!$B$1:$C$65536,2,FALSE)</f>
        <v>CKEA SAB LH</v>
      </c>
      <c r="G537" s="59" t="s">
        <v>924</v>
      </c>
      <c r="H537" s="59" t="s">
        <v>925</v>
      </c>
      <c r="I537" s="59" t="s">
        <v>729</v>
      </c>
      <c r="J537" s="63"/>
      <c r="K537" s="61"/>
      <c r="L537" s="62">
        <v>0</v>
      </c>
      <c r="M537" s="63">
        <v>1500</v>
      </c>
      <c r="N537" s="64">
        <v>11</v>
      </c>
      <c r="O537" s="62">
        <v>2</v>
      </c>
      <c r="P537" s="65">
        <f t="shared" si="16"/>
        <v>0</v>
      </c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>
        <v>1350</v>
      </c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7"/>
      <c r="BF537" s="67"/>
      <c r="BG537" s="68"/>
      <c r="BI537" s="69">
        <v>0</v>
      </c>
      <c r="BJ537" s="70">
        <v>0</v>
      </c>
      <c r="BK537" s="71">
        <v>0</v>
      </c>
      <c r="BL537" s="71">
        <v>0</v>
      </c>
      <c r="BM537" s="71">
        <v>0</v>
      </c>
      <c r="BN537" s="72">
        <v>0</v>
      </c>
      <c r="BO537" s="73"/>
      <c r="BP537" s="73"/>
      <c r="BQ537" s="71">
        <v>0</v>
      </c>
      <c r="BR537" s="71">
        <v>0</v>
      </c>
      <c r="BS537" s="71">
        <v>0</v>
      </c>
      <c r="BT537" s="72">
        <v>0</v>
      </c>
      <c r="BU537" s="73"/>
      <c r="BV537" s="73"/>
    </row>
    <row r="538" ht="30" customHeight="1" spans="1:75 16331:16349">
      <c r="A538" s="55">
        <v>0</v>
      </c>
      <c r="B538" s="56">
        <v>0</v>
      </c>
      <c r="C538" s="57">
        <v>0</v>
      </c>
      <c r="D538" s="78"/>
      <c r="E538" s="74"/>
      <c r="F538" s="59" t="e">
        <f>VLOOKUP(E538,[1]库存!$B$1:$C$65536,2,FALSE)</f>
        <v>#N/A</v>
      </c>
      <c r="G538" s="59" t="e">
        <v>#N/A</v>
      </c>
      <c r="H538" s="74"/>
      <c r="I538" s="74"/>
      <c r="J538" s="87"/>
      <c r="K538" s="61"/>
      <c r="L538" s="62">
        <v>0</v>
      </c>
      <c r="M538" s="63">
        <v>0</v>
      </c>
      <c r="N538" s="64">
        <v>0</v>
      </c>
      <c r="O538" s="62">
        <v>0</v>
      </c>
      <c r="P538" s="65">
        <f t="shared" si="16"/>
        <v>0</v>
      </c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 t="s">
        <v>926</v>
      </c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7"/>
      <c r="BF538" s="67"/>
      <c r="BG538" s="68"/>
      <c r="BI538" s="69">
        <v>0</v>
      </c>
      <c r="BJ538" s="70">
        <v>0</v>
      </c>
      <c r="BK538" s="71">
        <v>0</v>
      </c>
      <c r="BL538" s="71">
        <v>0</v>
      </c>
      <c r="BM538" s="71">
        <v>0</v>
      </c>
      <c r="BN538" s="72">
        <v>0</v>
      </c>
      <c r="BO538" s="73"/>
      <c r="BP538" s="73"/>
      <c r="BQ538" s="71">
        <v>0</v>
      </c>
      <c r="BR538" s="71">
        <v>0</v>
      </c>
      <c r="BS538" s="71">
        <v>0</v>
      </c>
      <c r="BT538" s="72">
        <v>0</v>
      </c>
      <c r="BU538" s="73"/>
      <c r="BV538" s="73"/>
    </row>
    <row r="539" ht="30" customHeight="1" spans="1:75 16331:16349">
      <c r="A539" s="55" t="s">
        <v>211</v>
      </c>
      <c r="B539" s="56" t="s">
        <v>42</v>
      </c>
      <c r="C539" s="57" t="s">
        <v>43</v>
      </c>
      <c r="D539" s="76" t="s">
        <v>922</v>
      </c>
      <c r="E539" s="59" t="s">
        <v>927</v>
      </c>
      <c r="F539" s="59" t="str">
        <f>VLOOKUP(E539,[1]库存!$B$1:$C$65536,2,FALSE)</f>
        <v>CKEA SAB RH</v>
      </c>
      <c r="G539" s="59" t="s">
        <v>928</v>
      </c>
      <c r="H539" s="59" t="s">
        <v>929</v>
      </c>
      <c r="I539" s="59" t="s">
        <v>729</v>
      </c>
      <c r="J539" s="63"/>
      <c r="K539" s="61"/>
      <c r="L539" s="62">
        <v>0</v>
      </c>
      <c r="M539" s="63">
        <v>1500</v>
      </c>
      <c r="N539" s="64">
        <v>11</v>
      </c>
      <c r="O539" s="62">
        <v>2</v>
      </c>
      <c r="P539" s="65">
        <f t="shared" si="16"/>
        <v>0</v>
      </c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  <c r="BD539" s="66"/>
      <c r="BE539" s="67"/>
      <c r="BF539" s="67"/>
      <c r="BG539" s="68"/>
      <c r="BI539" s="69">
        <v>0</v>
      </c>
      <c r="BJ539" s="70">
        <v>0</v>
      </c>
      <c r="BK539" s="71">
        <v>0</v>
      </c>
      <c r="BL539" s="71">
        <v>0</v>
      </c>
      <c r="BM539" s="71">
        <v>0</v>
      </c>
      <c r="BN539" s="72">
        <v>0</v>
      </c>
      <c r="BO539" s="73"/>
      <c r="BP539" s="73"/>
      <c r="BQ539" s="71">
        <v>0</v>
      </c>
      <c r="BR539" s="71">
        <v>0</v>
      </c>
      <c r="BS539" s="71">
        <v>0</v>
      </c>
      <c r="BT539" s="72">
        <v>0</v>
      </c>
      <c r="BU539" s="73"/>
      <c r="BV539" s="73"/>
    </row>
    <row r="540" ht="30" customHeight="1" spans="1:75 16331:16349">
      <c r="A540" s="55">
        <v>0</v>
      </c>
      <c r="B540" s="56">
        <v>0</v>
      </c>
      <c r="C540" s="57">
        <v>0</v>
      </c>
      <c r="D540" s="78"/>
      <c r="E540" s="74"/>
      <c r="F540" s="59" t="e">
        <f>VLOOKUP(E540,[1]库存!$B$1:$C$65536,2,FALSE)</f>
        <v>#N/A</v>
      </c>
      <c r="G540" s="59" t="e">
        <v>#N/A</v>
      </c>
      <c r="H540" s="74"/>
      <c r="I540" s="74"/>
      <c r="J540" s="87"/>
      <c r="K540" s="61"/>
      <c r="L540" s="62">
        <v>0</v>
      </c>
      <c r="M540" s="63">
        <v>0</v>
      </c>
      <c r="N540" s="64">
        <v>0</v>
      </c>
      <c r="O540" s="62">
        <v>0</v>
      </c>
      <c r="P540" s="65">
        <f t="shared" si="16"/>
        <v>0</v>
      </c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  <c r="BB540" s="66"/>
      <c r="BC540" s="66"/>
      <c r="BD540" s="66"/>
      <c r="BE540" s="67"/>
      <c r="BF540" s="67"/>
      <c r="BG540" s="68"/>
      <c r="BI540" s="69">
        <v>0</v>
      </c>
      <c r="BJ540" s="70">
        <v>0</v>
      </c>
      <c r="BK540" s="71">
        <v>0</v>
      </c>
      <c r="BL540" s="71">
        <v>0</v>
      </c>
      <c r="BM540" s="71">
        <v>0</v>
      </c>
      <c r="BN540" s="72">
        <v>0</v>
      </c>
      <c r="BO540" s="73"/>
      <c r="BP540" s="73"/>
      <c r="BQ540" s="71">
        <v>0</v>
      </c>
      <c r="BR540" s="71">
        <v>0</v>
      </c>
      <c r="BS540" s="71">
        <v>0</v>
      </c>
      <c r="BT540" s="72">
        <v>0</v>
      </c>
      <c r="BU540" s="73"/>
      <c r="BV540" s="73"/>
    </row>
    <row r="541" ht="30" customHeight="1" spans="1:75 16331:16349">
      <c r="A541" s="55" t="s">
        <v>211</v>
      </c>
      <c r="B541" s="56" t="s">
        <v>42</v>
      </c>
      <c r="C541" s="57" t="s">
        <v>43</v>
      </c>
      <c r="D541" s="76" t="s">
        <v>922</v>
      </c>
      <c r="E541" s="59" t="s">
        <v>930</v>
      </c>
      <c r="F541" s="59" t="str">
        <f>VLOOKUP(E541,[1]库存!$B$1:$C$65536,2,FALSE)</f>
        <v>PAHT SAB LH</v>
      </c>
      <c r="G541" s="59" t="s">
        <v>931</v>
      </c>
      <c r="H541" s="59" t="s">
        <v>932</v>
      </c>
      <c r="I541" s="59" t="s">
        <v>729</v>
      </c>
      <c r="J541" s="80" t="s">
        <v>65</v>
      </c>
      <c r="K541" s="61"/>
      <c r="L541" s="62">
        <v>0</v>
      </c>
      <c r="M541" s="63">
        <v>1500</v>
      </c>
      <c r="N541" s="64">
        <v>11</v>
      </c>
      <c r="O541" s="62">
        <v>2</v>
      </c>
      <c r="P541" s="65">
        <f t="shared" si="16"/>
        <v>0</v>
      </c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  <c r="BB541" s="66"/>
      <c r="BC541" s="66"/>
      <c r="BD541" s="66"/>
      <c r="BE541" s="67"/>
      <c r="BF541" s="67"/>
      <c r="BG541" s="68"/>
      <c r="BI541" s="69">
        <v>0</v>
      </c>
      <c r="BJ541" s="70">
        <v>0</v>
      </c>
      <c r="BK541" s="71">
        <v>0</v>
      </c>
      <c r="BL541" s="71">
        <v>0</v>
      </c>
      <c r="BM541" s="71">
        <v>0</v>
      </c>
      <c r="BN541" s="72">
        <v>0</v>
      </c>
      <c r="BO541" s="73"/>
      <c r="BP541" s="73"/>
      <c r="BQ541" s="71">
        <v>0</v>
      </c>
      <c r="BR541" s="71">
        <v>0</v>
      </c>
      <c r="BS541" s="71">
        <v>0</v>
      </c>
      <c r="BT541" s="72">
        <v>0</v>
      </c>
      <c r="BU541" s="73"/>
      <c r="BV541" s="73"/>
    </row>
    <row r="542" ht="30" customHeight="1" spans="1:75 16331:16349">
      <c r="A542" s="55">
        <v>0</v>
      </c>
      <c r="B542" s="56">
        <v>0</v>
      </c>
      <c r="C542" s="57">
        <v>0</v>
      </c>
      <c r="D542" s="78"/>
      <c r="E542" s="74"/>
      <c r="F542" s="59" t="e">
        <f>VLOOKUP(E542,[1]库存!$B$1:$C$65536,2,FALSE)</f>
        <v>#N/A</v>
      </c>
      <c r="G542" s="59" t="e">
        <v>#N/A</v>
      </c>
      <c r="H542" s="74"/>
      <c r="I542" s="74"/>
      <c r="J542" s="81"/>
      <c r="K542" s="61"/>
      <c r="L542" s="62">
        <v>0</v>
      </c>
      <c r="M542" s="63">
        <v>0</v>
      </c>
      <c r="N542" s="64">
        <v>0</v>
      </c>
      <c r="O542" s="62">
        <v>0</v>
      </c>
      <c r="P542" s="65">
        <f t="shared" si="16"/>
        <v>0</v>
      </c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  <c r="BD542" s="66"/>
      <c r="BE542" s="67"/>
      <c r="BF542" s="67"/>
      <c r="BG542" s="68"/>
      <c r="BI542" s="69">
        <v>0</v>
      </c>
      <c r="BJ542" s="70">
        <v>0</v>
      </c>
      <c r="BK542" s="71">
        <v>0</v>
      </c>
      <c r="BL542" s="71">
        <v>0</v>
      </c>
      <c r="BM542" s="71">
        <v>0</v>
      </c>
      <c r="BN542" s="72">
        <v>0</v>
      </c>
      <c r="BO542" s="73"/>
      <c r="BP542" s="73"/>
      <c r="BQ542" s="71">
        <v>0</v>
      </c>
      <c r="BR542" s="71">
        <v>0</v>
      </c>
      <c r="BS542" s="71">
        <v>0</v>
      </c>
      <c r="BT542" s="72">
        <v>0</v>
      </c>
      <c r="BU542" s="73"/>
      <c r="BV542" s="73"/>
    </row>
    <row r="543" ht="30" customHeight="1" spans="1:75 16331:16349">
      <c r="A543" s="55" t="s">
        <v>211</v>
      </c>
      <c r="B543" s="56" t="s">
        <v>42</v>
      </c>
      <c r="C543" s="57" t="s">
        <v>43</v>
      </c>
      <c r="D543" s="76" t="s">
        <v>922</v>
      </c>
      <c r="E543" s="59" t="s">
        <v>933</v>
      </c>
      <c r="F543" s="59" t="str">
        <f>VLOOKUP(E543,[1]库存!$B$1:$C$65536,2,FALSE)</f>
        <v>PAHT SAB RH</v>
      </c>
      <c r="G543" s="59" t="s">
        <v>934</v>
      </c>
      <c r="H543" s="59" t="s">
        <v>935</v>
      </c>
      <c r="I543" s="59" t="s">
        <v>729</v>
      </c>
      <c r="J543" s="80" t="s">
        <v>65</v>
      </c>
      <c r="K543" s="61"/>
      <c r="L543" s="62">
        <v>0</v>
      </c>
      <c r="M543" s="63">
        <v>1500</v>
      </c>
      <c r="N543" s="64">
        <v>11</v>
      </c>
      <c r="O543" s="62">
        <v>2</v>
      </c>
      <c r="P543" s="65">
        <f t="shared" si="16"/>
        <v>0</v>
      </c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  <c r="BD543" s="66"/>
      <c r="BE543" s="67"/>
      <c r="BF543" s="67"/>
      <c r="BG543" s="68"/>
      <c r="BI543" s="69">
        <v>0</v>
      </c>
      <c r="BJ543" s="70">
        <v>0</v>
      </c>
      <c r="BK543" s="71">
        <v>0</v>
      </c>
      <c r="BL543" s="71">
        <v>0</v>
      </c>
      <c r="BM543" s="71">
        <v>0</v>
      </c>
      <c r="BN543" s="72">
        <v>0</v>
      </c>
      <c r="BO543" s="73"/>
      <c r="BP543" s="73"/>
      <c r="BQ543" s="71">
        <v>0</v>
      </c>
      <c r="BR543" s="71">
        <v>0</v>
      </c>
      <c r="BS543" s="71">
        <v>0</v>
      </c>
      <c r="BT543" s="72">
        <v>0</v>
      </c>
      <c r="BU543" s="73"/>
      <c r="BV543" s="73"/>
    </row>
    <row r="544" ht="30" customHeight="1" spans="1:75 16331:16349">
      <c r="A544" s="55">
        <v>0</v>
      </c>
      <c r="B544" s="56">
        <v>0</v>
      </c>
      <c r="C544" s="57">
        <v>0</v>
      </c>
      <c r="D544" s="78"/>
      <c r="E544" s="74"/>
      <c r="F544" s="59" t="e">
        <f>VLOOKUP(E544,[1]库存!$B$1:$C$65536,2,FALSE)</f>
        <v>#N/A</v>
      </c>
      <c r="G544" s="59" t="e">
        <v>#N/A</v>
      </c>
      <c r="H544" s="74"/>
      <c r="I544" s="74"/>
      <c r="J544" s="81"/>
      <c r="K544" s="61"/>
      <c r="L544" s="62">
        <v>0</v>
      </c>
      <c r="M544" s="63">
        <v>0</v>
      </c>
      <c r="N544" s="64">
        <v>0</v>
      </c>
      <c r="O544" s="62">
        <v>0</v>
      </c>
      <c r="P544" s="65">
        <f t="shared" si="16"/>
        <v>0</v>
      </c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7"/>
      <c r="BF544" s="67"/>
      <c r="BG544" s="68"/>
      <c r="BI544" s="69">
        <v>0</v>
      </c>
      <c r="BJ544" s="70">
        <v>0</v>
      </c>
      <c r="BK544" s="71">
        <v>0</v>
      </c>
      <c r="BL544" s="71">
        <v>0</v>
      </c>
      <c r="BM544" s="71">
        <v>0</v>
      </c>
      <c r="BN544" s="72">
        <v>0</v>
      </c>
      <c r="BO544" s="73"/>
      <c r="BP544" s="73"/>
      <c r="BQ544" s="71">
        <v>0</v>
      </c>
      <c r="BR544" s="71">
        <v>0</v>
      </c>
      <c r="BS544" s="71">
        <v>0</v>
      </c>
      <c r="BT544" s="72">
        <v>0</v>
      </c>
      <c r="BU544" s="73"/>
      <c r="BV544" s="73"/>
    </row>
    <row r="545" ht="30" customHeight="1" spans="1:74">
      <c r="A545" s="55">
        <v>0</v>
      </c>
      <c r="B545" s="56" t="s">
        <v>42</v>
      </c>
      <c r="C545" s="57" t="s">
        <v>43</v>
      </c>
      <c r="D545" s="76" t="s">
        <v>922</v>
      </c>
      <c r="E545" s="59"/>
      <c r="F545" s="59" t="e">
        <f>VLOOKUP(E545,[1]库存!$B$1:$C$65536,2,FALSE)</f>
        <v>#N/A</v>
      </c>
      <c r="G545" s="59" t="e">
        <v>#N/A</v>
      </c>
      <c r="H545" s="59" t="s">
        <v>936</v>
      </c>
      <c r="I545" s="59" t="s">
        <v>937</v>
      </c>
      <c r="J545" s="63"/>
      <c r="K545" s="61"/>
      <c r="L545" s="62">
        <v>0</v>
      </c>
      <c r="M545" s="63">
        <v>1800</v>
      </c>
      <c r="N545" s="64">
        <v>10</v>
      </c>
      <c r="O545" s="62">
        <v>0</v>
      </c>
      <c r="P545" s="65">
        <f t="shared" si="16"/>
        <v>0</v>
      </c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  <c r="BD545" s="66"/>
      <c r="BE545" s="67"/>
      <c r="BF545" s="67"/>
      <c r="BG545" s="68"/>
      <c r="BI545" s="69">
        <v>0</v>
      </c>
      <c r="BJ545" s="70">
        <v>0</v>
      </c>
      <c r="BK545" s="71">
        <v>0</v>
      </c>
      <c r="BL545" s="71">
        <v>0</v>
      </c>
      <c r="BM545" s="71">
        <v>0</v>
      </c>
      <c r="BN545" s="72">
        <v>0</v>
      </c>
      <c r="BO545" s="73"/>
      <c r="BP545" s="73"/>
      <c r="BQ545" s="71">
        <v>0</v>
      </c>
      <c r="BR545" s="71">
        <v>0</v>
      </c>
      <c r="BS545" s="71">
        <v>0</v>
      </c>
      <c r="BT545" s="72">
        <v>0</v>
      </c>
      <c r="BU545" s="73"/>
      <c r="BV545" s="73"/>
    </row>
    <row r="546" ht="30" customHeight="1" spans="1:74">
      <c r="A546" s="55">
        <v>0</v>
      </c>
      <c r="B546" s="56">
        <v>0</v>
      </c>
      <c r="C546" s="57">
        <v>0</v>
      </c>
      <c r="D546" s="78"/>
      <c r="E546" s="74"/>
      <c r="F546" s="59" t="e">
        <f>VLOOKUP(E546,[1]库存!$B$1:$C$65536,2,FALSE)</f>
        <v>#N/A</v>
      </c>
      <c r="G546" s="59" t="e">
        <v>#N/A</v>
      </c>
      <c r="H546" s="74"/>
      <c r="I546" s="74"/>
      <c r="J546" s="87"/>
      <c r="K546" s="61"/>
      <c r="L546" s="62">
        <v>0</v>
      </c>
      <c r="M546" s="63">
        <v>0</v>
      </c>
      <c r="N546" s="64">
        <v>0</v>
      </c>
      <c r="O546" s="62">
        <v>0</v>
      </c>
      <c r="P546" s="65">
        <f t="shared" si="16"/>
        <v>0</v>
      </c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  <c r="BD546" s="66"/>
      <c r="BE546" s="67"/>
      <c r="BF546" s="67"/>
      <c r="BG546" s="68"/>
      <c r="BI546" s="69">
        <v>0</v>
      </c>
      <c r="BJ546" s="70">
        <v>0</v>
      </c>
      <c r="BK546" s="71">
        <v>0</v>
      </c>
      <c r="BL546" s="71">
        <v>0</v>
      </c>
      <c r="BM546" s="71">
        <v>0</v>
      </c>
      <c r="BN546" s="72">
        <v>0</v>
      </c>
      <c r="BO546" s="73"/>
      <c r="BP546" s="73"/>
      <c r="BQ546" s="71">
        <v>0</v>
      </c>
      <c r="BR546" s="71">
        <v>0</v>
      </c>
      <c r="BS546" s="71">
        <v>0</v>
      </c>
      <c r="BT546" s="72">
        <v>0</v>
      </c>
      <c r="BU546" s="73"/>
      <c r="BV546" s="73"/>
    </row>
    <row r="547" ht="30" customHeight="1" spans="1:74">
      <c r="A547" s="55">
        <v>0</v>
      </c>
      <c r="B547" s="56" t="s">
        <v>42</v>
      </c>
      <c r="C547" s="57" t="s">
        <v>43</v>
      </c>
      <c r="D547" s="76" t="s">
        <v>922</v>
      </c>
      <c r="E547" s="59"/>
      <c r="F547" s="59" t="e">
        <f>VLOOKUP(E547,[1]库存!$B$1:$C$65536,2,FALSE)</f>
        <v>#N/A</v>
      </c>
      <c r="G547" s="59" t="e">
        <v>#N/A</v>
      </c>
      <c r="H547" s="59" t="s">
        <v>938</v>
      </c>
      <c r="I547" s="59" t="s">
        <v>939</v>
      </c>
      <c r="J547" s="63"/>
      <c r="K547" s="61"/>
      <c r="L547" s="62">
        <v>0</v>
      </c>
      <c r="M547" s="63">
        <v>1800</v>
      </c>
      <c r="N547" s="64">
        <v>10</v>
      </c>
      <c r="O547" s="62">
        <v>0</v>
      </c>
      <c r="P547" s="65">
        <f t="shared" si="16"/>
        <v>0</v>
      </c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  <c r="BB547" s="66"/>
      <c r="BC547" s="66"/>
      <c r="BD547" s="66"/>
      <c r="BE547" s="67"/>
      <c r="BF547" s="67"/>
      <c r="BG547" s="68"/>
      <c r="BI547" s="69">
        <v>0</v>
      </c>
      <c r="BJ547" s="70">
        <v>0</v>
      </c>
      <c r="BK547" s="71">
        <v>0</v>
      </c>
      <c r="BL547" s="71">
        <v>0</v>
      </c>
      <c r="BM547" s="71">
        <v>0</v>
      </c>
      <c r="BN547" s="72">
        <v>0</v>
      </c>
      <c r="BO547" s="73"/>
      <c r="BP547" s="73"/>
      <c r="BQ547" s="71">
        <v>0</v>
      </c>
      <c r="BR547" s="71">
        <v>0</v>
      </c>
      <c r="BS547" s="71">
        <v>0</v>
      </c>
      <c r="BT547" s="72">
        <v>0</v>
      </c>
      <c r="BU547" s="73"/>
      <c r="BV547" s="73"/>
    </row>
    <row r="548" ht="30" customHeight="1" spans="1:74">
      <c r="A548" s="55">
        <v>0</v>
      </c>
      <c r="B548" s="56">
        <v>0</v>
      </c>
      <c r="C548" s="57">
        <v>0</v>
      </c>
      <c r="D548" s="78"/>
      <c r="E548" s="74"/>
      <c r="F548" s="59" t="e">
        <f>VLOOKUP(E548,[1]库存!$B$1:$C$65536,2,FALSE)</f>
        <v>#N/A</v>
      </c>
      <c r="G548" s="59" t="e">
        <v>#N/A</v>
      </c>
      <c r="H548" s="74"/>
      <c r="I548" s="74"/>
      <c r="J548" s="87"/>
      <c r="K548" s="61"/>
      <c r="L548" s="62">
        <v>0</v>
      </c>
      <c r="M548" s="63">
        <v>0</v>
      </c>
      <c r="N548" s="64">
        <v>0</v>
      </c>
      <c r="O548" s="62">
        <v>0</v>
      </c>
      <c r="P548" s="65">
        <f t="shared" si="16"/>
        <v>0</v>
      </c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  <c r="BD548" s="66"/>
      <c r="BE548" s="67"/>
      <c r="BF548" s="67"/>
      <c r="BG548" s="68"/>
      <c r="BI548" s="69">
        <v>0</v>
      </c>
      <c r="BJ548" s="70">
        <v>0</v>
      </c>
      <c r="BK548" s="71">
        <v>0</v>
      </c>
      <c r="BL548" s="71">
        <v>0</v>
      </c>
      <c r="BM548" s="71">
        <v>0</v>
      </c>
      <c r="BN548" s="72">
        <v>0</v>
      </c>
      <c r="BO548" s="73"/>
      <c r="BP548" s="73"/>
      <c r="BQ548" s="71">
        <v>0</v>
      </c>
      <c r="BR548" s="71">
        <v>0</v>
      </c>
      <c r="BS548" s="71">
        <v>0</v>
      </c>
      <c r="BT548" s="72">
        <v>0</v>
      </c>
      <c r="BU548" s="73"/>
      <c r="BV548" s="73"/>
    </row>
    <row r="549" ht="30" customHeight="1" spans="1:74">
      <c r="A549" s="55" t="s">
        <v>211</v>
      </c>
      <c r="B549" s="56" t="s">
        <v>42</v>
      </c>
      <c r="C549" s="57" t="s">
        <v>43</v>
      </c>
      <c r="D549" s="76" t="s">
        <v>922</v>
      </c>
      <c r="E549" s="59" t="s">
        <v>940</v>
      </c>
      <c r="F549" s="59" t="str">
        <f>VLOOKUP(E549,[1]库存!$B$1:$C$65536,2,FALSE)</f>
        <v>EQEA-B SAB LH</v>
      </c>
      <c r="G549" s="59" t="s">
        <v>941</v>
      </c>
      <c r="H549" s="59" t="s">
        <v>942</v>
      </c>
      <c r="I549" s="59" t="s">
        <v>729</v>
      </c>
      <c r="J549" s="63"/>
      <c r="K549" s="61"/>
      <c r="L549" s="62">
        <v>0</v>
      </c>
      <c r="M549" s="63">
        <v>1550</v>
      </c>
      <c r="N549" s="64">
        <v>11</v>
      </c>
      <c r="O549" s="62">
        <v>2</v>
      </c>
      <c r="P549" s="65">
        <f t="shared" si="16"/>
        <v>0</v>
      </c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  <c r="BB549" s="66"/>
      <c r="BC549" s="66"/>
      <c r="BD549" s="66"/>
      <c r="BE549" s="67"/>
      <c r="BF549" s="67"/>
      <c r="BG549" s="68"/>
      <c r="BI549" s="69">
        <v>0</v>
      </c>
      <c r="BJ549" s="70">
        <v>0</v>
      </c>
      <c r="BK549" s="71">
        <v>0</v>
      </c>
      <c r="BL549" s="71">
        <v>0</v>
      </c>
      <c r="BM549" s="71">
        <v>0</v>
      </c>
      <c r="BN549" s="72">
        <v>0</v>
      </c>
      <c r="BO549" s="73"/>
      <c r="BP549" s="73"/>
      <c r="BQ549" s="71">
        <v>0</v>
      </c>
      <c r="BR549" s="71">
        <v>0</v>
      </c>
      <c r="BS549" s="71">
        <v>0</v>
      </c>
      <c r="BT549" s="72">
        <v>0</v>
      </c>
      <c r="BU549" s="73"/>
      <c r="BV549" s="73"/>
    </row>
    <row r="550" ht="30" customHeight="1" spans="1:74">
      <c r="A550" s="55">
        <v>0</v>
      </c>
      <c r="B550" s="56">
        <v>0</v>
      </c>
      <c r="C550" s="57">
        <v>0</v>
      </c>
      <c r="D550" s="78"/>
      <c r="E550" s="74"/>
      <c r="F550" s="59" t="e">
        <f>VLOOKUP(E550,[1]库存!$B$1:$C$65536,2,FALSE)</f>
        <v>#N/A</v>
      </c>
      <c r="G550" s="59" t="e">
        <v>#N/A</v>
      </c>
      <c r="H550" s="74"/>
      <c r="I550" s="74"/>
      <c r="J550" s="87"/>
      <c r="K550" s="61"/>
      <c r="L550" s="62">
        <v>0</v>
      </c>
      <c r="M550" s="63">
        <v>0</v>
      </c>
      <c r="N550" s="64">
        <v>0</v>
      </c>
      <c r="O550" s="62">
        <v>0</v>
      </c>
      <c r="P550" s="65">
        <f t="shared" si="16"/>
        <v>0</v>
      </c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  <c r="BB550" s="66"/>
      <c r="BC550" s="66"/>
      <c r="BD550" s="66"/>
      <c r="BE550" s="67"/>
      <c r="BF550" s="67"/>
      <c r="BG550" s="68"/>
      <c r="BI550" s="69">
        <v>0</v>
      </c>
      <c r="BJ550" s="70">
        <v>0</v>
      </c>
      <c r="BK550" s="71">
        <v>0</v>
      </c>
      <c r="BL550" s="71">
        <v>0</v>
      </c>
      <c r="BM550" s="71">
        <v>0</v>
      </c>
      <c r="BN550" s="72">
        <v>0</v>
      </c>
      <c r="BO550" s="73"/>
      <c r="BP550" s="73"/>
      <c r="BQ550" s="71">
        <v>0</v>
      </c>
      <c r="BR550" s="71">
        <v>0</v>
      </c>
      <c r="BS550" s="71">
        <v>0</v>
      </c>
      <c r="BT550" s="72">
        <v>0</v>
      </c>
      <c r="BU550" s="73"/>
      <c r="BV550" s="73"/>
    </row>
    <row r="551" ht="30" customHeight="1" spans="1:74">
      <c r="A551" s="55" t="s">
        <v>211</v>
      </c>
      <c r="B551" s="56" t="s">
        <v>42</v>
      </c>
      <c r="C551" s="57" t="s">
        <v>43</v>
      </c>
      <c r="D551" s="76" t="s">
        <v>922</v>
      </c>
      <c r="E551" s="59" t="s">
        <v>943</v>
      </c>
      <c r="F551" s="59" t="str">
        <f>VLOOKUP(E551,[1]库存!$B$1:$C$65536,2,FALSE)</f>
        <v>EQEA-B SAB RH</v>
      </c>
      <c r="G551" s="59" t="s">
        <v>944</v>
      </c>
      <c r="H551" s="59" t="s">
        <v>945</v>
      </c>
      <c r="I551" s="59" t="s">
        <v>729</v>
      </c>
      <c r="J551" s="63"/>
      <c r="K551" s="61"/>
      <c r="L551" s="62">
        <v>0</v>
      </c>
      <c r="M551" s="63">
        <v>1550</v>
      </c>
      <c r="N551" s="64">
        <v>11</v>
      </c>
      <c r="O551" s="62">
        <v>2</v>
      </c>
      <c r="P551" s="65">
        <f t="shared" si="16"/>
        <v>0</v>
      </c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  <c r="BB551" s="66"/>
      <c r="BC551" s="66"/>
      <c r="BD551" s="66"/>
      <c r="BE551" s="67"/>
      <c r="BF551" s="67"/>
      <c r="BG551" s="68"/>
      <c r="BI551" s="69">
        <v>0</v>
      </c>
      <c r="BJ551" s="70">
        <v>0</v>
      </c>
      <c r="BK551" s="71">
        <v>0</v>
      </c>
      <c r="BL551" s="71">
        <v>0</v>
      </c>
      <c r="BM551" s="71">
        <v>0</v>
      </c>
      <c r="BN551" s="72">
        <v>0</v>
      </c>
      <c r="BO551" s="73"/>
      <c r="BP551" s="73"/>
      <c r="BQ551" s="71">
        <v>0</v>
      </c>
      <c r="BR551" s="71">
        <v>0</v>
      </c>
      <c r="BS551" s="71">
        <v>0</v>
      </c>
      <c r="BT551" s="72">
        <v>0</v>
      </c>
      <c r="BU551" s="73"/>
      <c r="BV551" s="73"/>
    </row>
    <row r="552" ht="30" customHeight="1" spans="1:74">
      <c r="A552" s="55">
        <v>0</v>
      </c>
      <c r="B552" s="56">
        <v>0</v>
      </c>
      <c r="C552" s="57">
        <v>0</v>
      </c>
      <c r="D552" s="78"/>
      <c r="E552" s="74"/>
      <c r="F552" s="59" t="e">
        <f>VLOOKUP(E552,[1]库存!$B$1:$C$65536,2,FALSE)</f>
        <v>#N/A</v>
      </c>
      <c r="G552" s="59" t="e">
        <v>#N/A</v>
      </c>
      <c r="H552" s="74"/>
      <c r="I552" s="74"/>
      <c r="J552" s="87"/>
      <c r="K552" s="61"/>
      <c r="L552" s="62">
        <v>0</v>
      </c>
      <c r="M552" s="63">
        <v>0</v>
      </c>
      <c r="N552" s="64">
        <v>0</v>
      </c>
      <c r="O552" s="62">
        <v>0</v>
      </c>
      <c r="P552" s="65">
        <f t="shared" si="16"/>
        <v>0</v>
      </c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  <c r="BB552" s="66"/>
      <c r="BC552" s="66"/>
      <c r="BD552" s="66"/>
      <c r="BE552" s="67"/>
      <c r="BF552" s="67"/>
      <c r="BG552" s="68"/>
      <c r="BI552" s="69">
        <v>0</v>
      </c>
      <c r="BJ552" s="70">
        <v>0</v>
      </c>
      <c r="BK552" s="71">
        <v>0</v>
      </c>
      <c r="BL552" s="71">
        <v>0</v>
      </c>
      <c r="BM552" s="71">
        <v>0</v>
      </c>
      <c r="BN552" s="72">
        <v>0</v>
      </c>
      <c r="BO552" s="73"/>
      <c r="BP552" s="73"/>
      <c r="BQ552" s="71">
        <v>0</v>
      </c>
      <c r="BR552" s="71">
        <v>0</v>
      </c>
      <c r="BS552" s="71">
        <v>0</v>
      </c>
      <c r="BT552" s="72">
        <v>0</v>
      </c>
      <c r="BU552" s="73"/>
      <c r="BV552" s="73"/>
    </row>
    <row r="553" ht="30" customHeight="1" spans="1:74">
      <c r="A553" s="55">
        <v>0</v>
      </c>
      <c r="B553" s="56" t="s">
        <v>42</v>
      </c>
      <c r="C553" s="57" t="s">
        <v>43</v>
      </c>
      <c r="D553" s="76" t="s">
        <v>922</v>
      </c>
      <c r="E553" s="59"/>
      <c r="F553" s="59" t="e">
        <f>VLOOKUP(E553,[1]库存!$B$1:$C$65536,2,FALSE)</f>
        <v>#N/A</v>
      </c>
      <c r="G553" s="59" t="e">
        <v>#N/A</v>
      </c>
      <c r="H553" s="59" t="s">
        <v>946</v>
      </c>
      <c r="I553" s="59" t="s">
        <v>947</v>
      </c>
      <c r="J553" s="63"/>
      <c r="K553" s="61"/>
      <c r="L553" s="62">
        <v>0</v>
      </c>
      <c r="M553" s="63">
        <v>1550</v>
      </c>
      <c r="N553" s="64">
        <v>11</v>
      </c>
      <c r="O553" s="62">
        <v>2</v>
      </c>
      <c r="P553" s="65">
        <f t="shared" si="16"/>
        <v>0</v>
      </c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  <c r="BB553" s="66"/>
      <c r="BC553" s="66"/>
      <c r="BD553" s="66"/>
      <c r="BE553" s="67"/>
      <c r="BF553" s="67"/>
      <c r="BG553" s="68"/>
      <c r="BI553" s="69">
        <v>0</v>
      </c>
      <c r="BJ553" s="70">
        <v>0</v>
      </c>
      <c r="BK553" s="71">
        <v>0</v>
      </c>
      <c r="BL553" s="71">
        <v>0</v>
      </c>
      <c r="BM553" s="71">
        <v>0</v>
      </c>
      <c r="BN553" s="72">
        <v>0</v>
      </c>
      <c r="BO553" s="73"/>
      <c r="BP553" s="73"/>
      <c r="BQ553" s="71">
        <v>0</v>
      </c>
      <c r="BR553" s="71">
        <v>0</v>
      </c>
      <c r="BS553" s="71">
        <v>0</v>
      </c>
      <c r="BT553" s="72">
        <v>0</v>
      </c>
      <c r="BU553" s="73"/>
      <c r="BV553" s="73"/>
    </row>
    <row r="554" ht="30" customHeight="1" spans="1:74">
      <c r="A554" s="55">
        <v>0</v>
      </c>
      <c r="B554" s="56">
        <v>0</v>
      </c>
      <c r="C554" s="57">
        <v>0</v>
      </c>
      <c r="D554" s="78"/>
      <c r="E554" s="74"/>
      <c r="F554" s="59" t="e">
        <f>VLOOKUP(E554,[1]库存!$B$1:$C$65536,2,FALSE)</f>
        <v>#N/A</v>
      </c>
      <c r="G554" s="59" t="e">
        <v>#N/A</v>
      </c>
      <c r="H554" s="74"/>
      <c r="I554" s="74"/>
      <c r="J554" s="87"/>
      <c r="K554" s="61"/>
      <c r="L554" s="62">
        <v>0</v>
      </c>
      <c r="M554" s="63">
        <v>0</v>
      </c>
      <c r="N554" s="64">
        <v>0</v>
      </c>
      <c r="O554" s="62">
        <v>0</v>
      </c>
      <c r="P554" s="65">
        <f t="shared" si="16"/>
        <v>0</v>
      </c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  <c r="BD554" s="66"/>
      <c r="BE554" s="67"/>
      <c r="BF554" s="67"/>
      <c r="BG554" s="68"/>
      <c r="BI554" s="69">
        <v>0</v>
      </c>
      <c r="BJ554" s="70">
        <v>0</v>
      </c>
      <c r="BK554" s="71">
        <v>0</v>
      </c>
      <c r="BL554" s="71">
        <v>0</v>
      </c>
      <c r="BM554" s="71">
        <v>0</v>
      </c>
      <c r="BN554" s="72">
        <v>0</v>
      </c>
      <c r="BO554" s="73"/>
      <c r="BP554" s="73"/>
      <c r="BQ554" s="71">
        <v>0</v>
      </c>
      <c r="BR554" s="71">
        <v>0</v>
      </c>
      <c r="BS554" s="71">
        <v>0</v>
      </c>
      <c r="BT554" s="72">
        <v>0</v>
      </c>
      <c r="BU554" s="73"/>
      <c r="BV554" s="73"/>
    </row>
    <row r="555" ht="30" customHeight="1" spans="1:74">
      <c r="A555" s="55">
        <v>0</v>
      </c>
      <c r="B555" s="56" t="s">
        <v>42</v>
      </c>
      <c r="C555" s="57" t="s">
        <v>43</v>
      </c>
      <c r="D555" s="76" t="s">
        <v>922</v>
      </c>
      <c r="E555" s="59"/>
      <c r="F555" s="59" t="e">
        <f>VLOOKUP(E555,[1]库存!$B$1:$C$65536,2,FALSE)</f>
        <v>#N/A</v>
      </c>
      <c r="G555" s="59" t="e">
        <v>#N/A</v>
      </c>
      <c r="H555" s="59" t="s">
        <v>948</v>
      </c>
      <c r="I555" s="59" t="s">
        <v>949</v>
      </c>
      <c r="J555" s="63"/>
      <c r="K555" s="61"/>
      <c r="L555" s="62">
        <v>0</v>
      </c>
      <c r="M555" s="63">
        <v>1550</v>
      </c>
      <c r="N555" s="64">
        <v>11</v>
      </c>
      <c r="O555" s="62">
        <v>2</v>
      </c>
      <c r="P555" s="65">
        <f t="shared" si="16"/>
        <v>0</v>
      </c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  <c r="BD555" s="66"/>
      <c r="BE555" s="67"/>
      <c r="BF555" s="67"/>
      <c r="BG555" s="68"/>
      <c r="BI555" s="69">
        <v>0</v>
      </c>
      <c r="BJ555" s="70">
        <v>0</v>
      </c>
      <c r="BK555" s="71">
        <v>0</v>
      </c>
      <c r="BL555" s="71">
        <v>0</v>
      </c>
      <c r="BM555" s="71">
        <v>0</v>
      </c>
      <c r="BN555" s="72">
        <v>0</v>
      </c>
      <c r="BO555" s="73"/>
      <c r="BP555" s="73"/>
      <c r="BQ555" s="71">
        <v>0</v>
      </c>
      <c r="BR555" s="71">
        <v>0</v>
      </c>
      <c r="BS555" s="71">
        <v>0</v>
      </c>
      <c r="BT555" s="72">
        <v>0</v>
      </c>
      <c r="BU555" s="73"/>
      <c r="BV555" s="73"/>
    </row>
    <row r="556" ht="30" customHeight="1" spans="1:74">
      <c r="A556" s="55">
        <v>0</v>
      </c>
      <c r="B556" s="56">
        <v>0</v>
      </c>
      <c r="C556" s="57">
        <v>0</v>
      </c>
      <c r="D556" s="78"/>
      <c r="E556" s="74"/>
      <c r="F556" s="59" t="e">
        <f>VLOOKUP(E556,[1]库存!$B$1:$C$65536,2,FALSE)</f>
        <v>#N/A</v>
      </c>
      <c r="G556" s="59" t="e">
        <v>#N/A</v>
      </c>
      <c r="H556" s="74"/>
      <c r="I556" s="74"/>
      <c r="J556" s="87"/>
      <c r="K556" s="61"/>
      <c r="L556" s="62">
        <v>0</v>
      </c>
      <c r="M556" s="63">
        <v>0</v>
      </c>
      <c r="N556" s="64">
        <v>0</v>
      </c>
      <c r="O556" s="62">
        <v>0</v>
      </c>
      <c r="P556" s="65">
        <f t="shared" si="16"/>
        <v>0</v>
      </c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  <c r="BD556" s="66"/>
      <c r="BE556" s="67"/>
      <c r="BF556" s="67"/>
      <c r="BG556" s="68"/>
      <c r="BI556" s="69">
        <v>0</v>
      </c>
      <c r="BJ556" s="70">
        <v>0</v>
      </c>
      <c r="BK556" s="71">
        <v>0</v>
      </c>
      <c r="BL556" s="71">
        <v>0</v>
      </c>
      <c r="BM556" s="71">
        <v>0</v>
      </c>
      <c r="BN556" s="72">
        <v>0</v>
      </c>
      <c r="BO556" s="73"/>
      <c r="BP556" s="73"/>
      <c r="BQ556" s="71">
        <v>0</v>
      </c>
      <c r="BR556" s="71">
        <v>0</v>
      </c>
      <c r="BS556" s="71">
        <v>0</v>
      </c>
      <c r="BT556" s="72">
        <v>0</v>
      </c>
      <c r="BU556" s="73"/>
      <c r="BV556" s="73"/>
    </row>
    <row r="557" ht="30" customHeight="1" spans="1:74">
      <c r="A557" s="55">
        <v>0</v>
      </c>
      <c r="B557" s="56">
        <v>0</v>
      </c>
      <c r="C557" s="57">
        <v>0</v>
      </c>
      <c r="E557" s="88"/>
      <c r="F557" s="59" t="e">
        <f>VLOOKUP(E557,[1]库存!$B$1:$C$65536,2,FALSE)</f>
        <v>#N/A</v>
      </c>
      <c r="G557" s="59" t="e">
        <v>#N/A</v>
      </c>
      <c r="H557" s="89"/>
      <c r="I557" s="88"/>
      <c r="J557" s="90"/>
      <c r="K557" s="61"/>
      <c r="L557" s="62">
        <v>0</v>
      </c>
      <c r="M557" s="63">
        <v>0</v>
      </c>
      <c r="N557" s="64">
        <v>0</v>
      </c>
      <c r="O557" s="62">
        <v>0</v>
      </c>
      <c r="P557" s="65">
        <f t="shared" si="16"/>
        <v>0</v>
      </c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  <c r="BD557" s="66"/>
      <c r="BE557" s="67"/>
      <c r="BF557" s="67"/>
      <c r="BG557" s="68"/>
      <c r="BI557" s="69">
        <v>0</v>
      </c>
      <c r="BJ557" s="70">
        <v>0</v>
      </c>
      <c r="BK557" s="71">
        <v>0</v>
      </c>
      <c r="BL557" s="71">
        <v>0</v>
      </c>
      <c r="BM557" s="71">
        <v>0</v>
      </c>
      <c r="BN557" s="72">
        <v>0</v>
      </c>
      <c r="BO557" s="73"/>
      <c r="BP557" s="73"/>
      <c r="BQ557" s="71">
        <v>0</v>
      </c>
      <c r="BR557" s="71">
        <v>0</v>
      </c>
      <c r="BS557" s="71">
        <v>0</v>
      </c>
      <c r="BT557" s="72">
        <v>0</v>
      </c>
      <c r="BU557" s="73"/>
      <c r="BV557" s="73"/>
    </row>
    <row r="558" ht="30" customHeight="1" spans="1:74">
      <c r="A558" s="55" t="s">
        <v>211</v>
      </c>
      <c r="B558" s="56" t="s">
        <v>42</v>
      </c>
      <c r="C558" s="57" t="s">
        <v>43</v>
      </c>
      <c r="D558" s="56" t="s">
        <v>950</v>
      </c>
      <c r="E558" s="91" t="s">
        <v>498</v>
      </c>
      <c r="F558" s="91" t="str">
        <f>VLOOKUP(E558,[1]库存!$B$1:$C$65536,2,FALSE)</f>
        <v>LKPAB-40 E状态</v>
      </c>
      <c r="G558" s="91" t="s">
        <v>499</v>
      </c>
      <c r="H558" s="177" t="s">
        <v>951</v>
      </c>
      <c r="I558" s="91" t="s">
        <v>501</v>
      </c>
      <c r="J558" s="178"/>
      <c r="K558" s="61"/>
      <c r="L558" s="62">
        <v>2</v>
      </c>
      <c r="M558" s="63">
        <v>1500</v>
      </c>
      <c r="N558" s="64">
        <v>14</v>
      </c>
      <c r="O558" s="62">
        <v>2</v>
      </c>
      <c r="P558" s="65">
        <f t="shared" si="16"/>
        <v>0</v>
      </c>
      <c r="Q558" s="103">
        <v>1950</v>
      </c>
      <c r="R558" s="103"/>
      <c r="S558" s="103">
        <v>1950</v>
      </c>
      <c r="T558" s="103"/>
      <c r="U558" s="103">
        <v>1950</v>
      </c>
      <c r="V558" s="103"/>
      <c r="W558" s="103">
        <v>1950</v>
      </c>
      <c r="X558" s="103"/>
      <c r="Y558" s="103">
        <v>0</v>
      </c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  <c r="AR558" s="103"/>
      <c r="AS558" s="103"/>
      <c r="AT558" s="103"/>
      <c r="AU558" s="103"/>
      <c r="AV558" s="103"/>
      <c r="AW558" s="103"/>
      <c r="AX558" s="103"/>
      <c r="AY558" s="103"/>
      <c r="AZ558" s="103"/>
      <c r="BA558" s="103"/>
      <c r="BB558" s="103"/>
      <c r="BC558" s="103"/>
      <c r="BD558" s="103"/>
      <c r="BE558" s="105"/>
      <c r="BF558" s="105"/>
      <c r="BG558" s="68"/>
      <c r="BI558" s="69">
        <v>0</v>
      </c>
      <c r="BJ558" s="70">
        <v>0</v>
      </c>
      <c r="BK558" s="71">
        <v>0</v>
      </c>
      <c r="BL558" s="71">
        <v>0</v>
      </c>
      <c r="BM558" s="71">
        <v>0</v>
      </c>
      <c r="BN558" s="72">
        <v>0</v>
      </c>
      <c r="BO558" s="73"/>
      <c r="BP558" s="73"/>
      <c r="BQ558" s="71">
        <v>0</v>
      </c>
      <c r="BR558" s="71">
        <v>0</v>
      </c>
      <c r="BS558" s="71">
        <v>0</v>
      </c>
      <c r="BT558" s="72">
        <v>0</v>
      </c>
      <c r="BU558" s="73"/>
      <c r="BV558" s="73"/>
    </row>
    <row r="559" ht="30" customHeight="1" spans="1:74">
      <c r="A559" s="55">
        <v>0</v>
      </c>
      <c r="B559" s="56">
        <v>0</v>
      </c>
      <c r="C559" s="57">
        <v>0</v>
      </c>
      <c r="D559" s="56"/>
      <c r="E559" s="92"/>
      <c r="F559" s="91" t="e">
        <f>VLOOKUP(E559,[1]库存!$B$1:$C$65536,2,FALSE)</f>
        <v>#N/A</v>
      </c>
      <c r="G559" s="91" t="e">
        <v>#N/A</v>
      </c>
      <c r="H559" s="179"/>
      <c r="I559" s="92"/>
      <c r="J559" s="180"/>
      <c r="K559" s="61"/>
      <c r="L559" s="62">
        <v>0</v>
      </c>
      <c r="M559" s="63">
        <v>0</v>
      </c>
      <c r="N559" s="64">
        <v>0</v>
      </c>
      <c r="O559" s="62">
        <v>0</v>
      </c>
      <c r="P559" s="65">
        <f t="shared" si="16"/>
        <v>0</v>
      </c>
      <c r="Q559" s="103">
        <v>1745</v>
      </c>
      <c r="R559" s="103"/>
      <c r="S559" s="103">
        <v>1952</v>
      </c>
      <c r="T559" s="103"/>
      <c r="U559" s="103">
        <v>1863</v>
      </c>
      <c r="V559" s="103"/>
      <c r="W559" s="103">
        <v>1971</v>
      </c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  <c r="AR559" s="103"/>
      <c r="AS559" s="103"/>
      <c r="AT559" s="103"/>
      <c r="AU559" s="103"/>
      <c r="AV559" s="103"/>
      <c r="AW559" s="103"/>
      <c r="AX559" s="103"/>
      <c r="AY559" s="103"/>
      <c r="AZ559" s="103"/>
      <c r="BA559" s="103"/>
      <c r="BB559" s="103"/>
      <c r="BC559" s="103"/>
      <c r="BD559" s="103"/>
      <c r="BE559" s="67"/>
      <c r="BF559" s="67"/>
      <c r="BG559" s="68"/>
      <c r="BI559" s="69">
        <v>0</v>
      </c>
      <c r="BJ559" s="70">
        <v>0</v>
      </c>
      <c r="BK559" s="71">
        <v>0</v>
      </c>
      <c r="BL559" s="71">
        <v>0</v>
      </c>
      <c r="BM559" s="71">
        <v>0</v>
      </c>
      <c r="BN559" s="72">
        <v>0</v>
      </c>
      <c r="BO559" s="73"/>
      <c r="BP559" s="73"/>
      <c r="BQ559" s="71">
        <v>0</v>
      </c>
      <c r="BR559" s="71">
        <v>0</v>
      </c>
      <c r="BS559" s="71">
        <v>0</v>
      </c>
      <c r="BT559" s="72">
        <v>0</v>
      </c>
      <c r="BU559" s="73"/>
      <c r="BV559" s="73"/>
    </row>
    <row r="560" ht="30" customHeight="1" spans="1:74">
      <c r="A560" s="55">
        <v>0</v>
      </c>
      <c r="B560" s="56">
        <v>0</v>
      </c>
      <c r="C560" s="56"/>
      <c r="D560" s="52"/>
      <c r="E560" s="52"/>
      <c r="F560" s="52"/>
      <c r="G560" s="59" t="e">
        <v>#N/A</v>
      </c>
      <c r="H560" s="52"/>
      <c r="I560" s="52"/>
      <c r="J560" s="52"/>
      <c r="K560" s="181"/>
      <c r="L560" s="182">
        <v>0</v>
      </c>
      <c r="M560" s="52">
        <v>0</v>
      </c>
      <c r="N560" s="56">
        <v>0</v>
      </c>
      <c r="O560" s="182">
        <v>0</v>
      </c>
      <c r="P560" s="65">
        <f t="shared" si="16"/>
        <v>0</v>
      </c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  <c r="BD560" s="66"/>
      <c r="BE560" s="67"/>
      <c r="BF560" s="67"/>
      <c r="BG560" s="68"/>
      <c r="BI560" s="69">
        <v>0</v>
      </c>
      <c r="BJ560" s="70">
        <v>0</v>
      </c>
      <c r="BK560" s="71">
        <v>0</v>
      </c>
      <c r="BL560" s="71">
        <v>0</v>
      </c>
      <c r="BM560" s="71">
        <v>0</v>
      </c>
      <c r="BN560" s="72">
        <v>0</v>
      </c>
      <c r="BO560" s="151" t="e">
        <f>(BK560+BL560)/#REF!</f>
        <v>#REF!</v>
      </c>
      <c r="BP560" s="151" t="e">
        <f>BM560/#REF!</f>
        <v>#REF!</v>
      </c>
      <c r="BQ560" s="71">
        <v>0</v>
      </c>
      <c r="BR560" s="71">
        <v>0</v>
      </c>
      <c r="BS560" s="71">
        <v>0</v>
      </c>
      <c r="BT560" s="72">
        <v>0</v>
      </c>
      <c r="BU560" s="151" t="e">
        <f t="shared" ref="BU560:BU562" si="17">(BQ560+BR560)/BJ560</f>
        <v>#DIV/0!</v>
      </c>
      <c r="BV560" s="151" t="e">
        <f t="shared" ref="BV560:BV562" si="18">BS560/BJ560</f>
        <v>#DIV/0!</v>
      </c>
    </row>
    <row r="561" ht="30" customHeight="1" spans="1:74">
      <c r="A561" s="55" t="s">
        <v>41</v>
      </c>
      <c r="B561" s="56" t="s">
        <v>42</v>
      </c>
      <c r="C561" s="57" t="s">
        <v>43</v>
      </c>
      <c r="D561" s="76" t="s">
        <v>952</v>
      </c>
      <c r="E561" s="59" t="s">
        <v>953</v>
      </c>
      <c r="F561" s="59" t="str">
        <f>VLOOKUP(E561,[1]库存!$B$1:$C$65536,2,FALSE)</f>
        <v>CHANGAN C385 ICA2 DAB</v>
      </c>
      <c r="G561" s="59" t="s">
        <v>954</v>
      </c>
      <c r="H561" s="59" t="s">
        <v>955</v>
      </c>
      <c r="I561" s="59" t="s">
        <v>956</v>
      </c>
      <c r="J561" s="63"/>
      <c r="K561" s="61"/>
      <c r="L561" s="62">
        <v>0</v>
      </c>
      <c r="M561" s="63">
        <v>1350</v>
      </c>
      <c r="N561" s="64">
        <v>7</v>
      </c>
      <c r="O561" s="62">
        <v>0</v>
      </c>
      <c r="P561" s="65">
        <f t="shared" si="16"/>
        <v>0</v>
      </c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  <c r="BD561" s="66"/>
      <c r="BE561" s="67"/>
      <c r="BF561" s="67"/>
      <c r="BG561" s="68"/>
      <c r="BI561" s="69">
        <v>0</v>
      </c>
      <c r="BJ561" s="70">
        <v>0</v>
      </c>
      <c r="BK561" s="71">
        <v>0</v>
      </c>
      <c r="BL561" s="71">
        <v>0</v>
      </c>
      <c r="BM561" s="71">
        <v>0</v>
      </c>
      <c r="BN561" s="72">
        <v>0</v>
      </c>
      <c r="BO561" s="151" t="e">
        <f t="shared" ref="BO561:BO575" si="19">(BK561+BL561)/BJ561</f>
        <v>#DIV/0!</v>
      </c>
      <c r="BP561" s="151" t="e">
        <f t="shared" ref="BP561:BP575" si="20">BM561/BJ561</f>
        <v>#DIV/0!</v>
      </c>
      <c r="BQ561" s="71">
        <v>0</v>
      </c>
      <c r="BR561" s="71">
        <v>0</v>
      </c>
      <c r="BS561" s="71">
        <v>0</v>
      </c>
      <c r="BT561" s="72">
        <v>0</v>
      </c>
      <c r="BU561" s="151" t="e">
        <f t="shared" si="17"/>
        <v>#DIV/0!</v>
      </c>
      <c r="BV561" s="151" t="e">
        <f t="shared" si="18"/>
        <v>#DIV/0!</v>
      </c>
    </row>
    <row r="562" ht="30" customHeight="1" spans="1:74">
      <c r="A562" s="55">
        <v>0</v>
      </c>
      <c r="B562" s="56">
        <v>0</v>
      </c>
      <c r="C562" s="57">
        <v>0</v>
      </c>
      <c r="D562" s="78"/>
      <c r="E562" s="74"/>
      <c r="F562" s="59" t="e">
        <f>VLOOKUP(E562,[1]库存!$B$1:$C$65536,2,FALSE)</f>
        <v>#N/A</v>
      </c>
      <c r="G562" s="59" t="e">
        <v>#N/A</v>
      </c>
      <c r="H562" s="74"/>
      <c r="I562" s="74"/>
      <c r="J562" s="87"/>
      <c r="K562" s="61"/>
      <c r="L562" s="62">
        <v>0</v>
      </c>
      <c r="M562" s="63">
        <v>0</v>
      </c>
      <c r="N562" s="64">
        <v>0</v>
      </c>
      <c r="O562" s="62">
        <v>0</v>
      </c>
      <c r="P562" s="65">
        <f t="shared" si="16"/>
        <v>0</v>
      </c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  <c r="BD562" s="66"/>
      <c r="BE562" s="67"/>
      <c r="BF562" s="67"/>
      <c r="BG562" s="68"/>
      <c r="BI562" s="69">
        <v>0</v>
      </c>
      <c r="BJ562" s="70">
        <v>0</v>
      </c>
      <c r="BK562" s="71">
        <v>0</v>
      </c>
      <c r="BL562" s="71">
        <v>0</v>
      </c>
      <c r="BM562" s="71">
        <v>0</v>
      </c>
      <c r="BN562" s="72">
        <v>0</v>
      </c>
      <c r="BO562" s="151" t="e">
        <f t="shared" si="19"/>
        <v>#DIV/0!</v>
      </c>
      <c r="BP562" s="151" t="e">
        <f t="shared" si="20"/>
        <v>#DIV/0!</v>
      </c>
      <c r="BQ562" s="71">
        <v>0</v>
      </c>
      <c r="BR562" s="71">
        <v>0</v>
      </c>
      <c r="BS562" s="71">
        <v>0</v>
      </c>
      <c r="BT562" s="72">
        <v>0</v>
      </c>
      <c r="BU562" s="151" t="e">
        <f t="shared" si="17"/>
        <v>#DIV/0!</v>
      </c>
      <c r="BV562" s="151" t="e">
        <f t="shared" si="18"/>
        <v>#DIV/0!</v>
      </c>
    </row>
    <row r="563" ht="30" customHeight="1" spans="1:74">
      <c r="A563" s="55">
        <v>0</v>
      </c>
      <c r="B563" s="56">
        <v>0</v>
      </c>
      <c r="C563" s="57">
        <v>0</v>
      </c>
      <c r="E563" s="88"/>
      <c r="F563" s="59" t="e">
        <f>VLOOKUP(E563,[1]库存!$B$1:$C$65536,2,FALSE)</f>
        <v>#N/A</v>
      </c>
      <c r="G563" s="59" t="e">
        <v>#N/A</v>
      </c>
      <c r="H563" s="89"/>
      <c r="I563" s="88"/>
      <c r="J563" s="90"/>
      <c r="K563" s="61"/>
      <c r="L563" s="62">
        <v>0</v>
      </c>
      <c r="M563" s="63">
        <v>0</v>
      </c>
      <c r="N563" s="64">
        <v>0</v>
      </c>
      <c r="O563" s="62">
        <v>0</v>
      </c>
      <c r="P563" s="65">
        <f t="shared" si="16"/>
        <v>0</v>
      </c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7"/>
      <c r="BF563" s="67"/>
      <c r="BG563" s="68"/>
      <c r="BI563" s="69">
        <v>0</v>
      </c>
      <c r="BJ563" s="70">
        <v>0</v>
      </c>
      <c r="BK563" s="71">
        <v>0</v>
      </c>
      <c r="BL563" s="71">
        <v>0</v>
      </c>
      <c r="BM563" s="71">
        <v>0</v>
      </c>
      <c r="BN563" s="72">
        <v>0</v>
      </c>
      <c r="BO563" s="73"/>
      <c r="BP563" s="73"/>
      <c r="BQ563" s="71">
        <v>0</v>
      </c>
      <c r="BR563" s="71">
        <v>0</v>
      </c>
      <c r="BS563" s="71">
        <v>0</v>
      </c>
      <c r="BT563" s="72">
        <v>0</v>
      </c>
      <c r="BU563" s="73"/>
      <c r="BV563" s="73"/>
    </row>
    <row r="564" ht="30" customHeight="1" spans="1:74">
      <c r="A564" s="55">
        <v>0</v>
      </c>
      <c r="B564" s="56" t="s">
        <v>42</v>
      </c>
      <c r="C564" s="57" t="s">
        <v>43</v>
      </c>
      <c r="D564" s="76" t="s">
        <v>957</v>
      </c>
      <c r="E564" s="59" t="s">
        <v>958</v>
      </c>
      <c r="F564" s="59" t="str">
        <f>VLOOKUP(E564,[1]库存!$B$1:$C$65536,2,FALSE)</f>
        <v>P702 PAB 左侧半成品</v>
      </c>
      <c r="G564" s="59" t="s">
        <v>959</v>
      </c>
      <c r="H564" s="59" t="s">
        <v>960</v>
      </c>
      <c r="I564" s="59"/>
      <c r="J564" s="183" t="s">
        <v>961</v>
      </c>
      <c r="K564" s="61"/>
      <c r="L564" s="62">
        <v>0</v>
      </c>
      <c r="M564" s="63">
        <v>1500</v>
      </c>
      <c r="N564" s="64">
        <v>6</v>
      </c>
      <c r="O564" s="62">
        <v>1</v>
      </c>
      <c r="P564" s="65">
        <f t="shared" si="16"/>
        <v>0</v>
      </c>
      <c r="Q564" s="66" t="s">
        <v>962</v>
      </c>
      <c r="R564" s="66"/>
      <c r="S564" s="66" t="s">
        <v>962</v>
      </c>
      <c r="T564" s="66"/>
      <c r="U564" s="66" t="s">
        <v>963</v>
      </c>
      <c r="V564" s="66"/>
      <c r="W564" s="66">
        <v>100</v>
      </c>
      <c r="X564" s="66"/>
      <c r="Y564" s="66" t="s">
        <v>964</v>
      </c>
      <c r="Z564" s="66"/>
      <c r="AA564" s="66" t="s">
        <v>965</v>
      </c>
      <c r="AB564" s="66"/>
      <c r="AC564" s="66" t="s">
        <v>964</v>
      </c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7"/>
      <c r="BF564" s="67"/>
      <c r="BG564" s="68"/>
      <c r="BI564" s="69">
        <v>0</v>
      </c>
      <c r="BJ564" s="70">
        <v>0</v>
      </c>
      <c r="BK564" s="71">
        <v>0</v>
      </c>
      <c r="BL564" s="71">
        <v>0</v>
      </c>
      <c r="BM564" s="71">
        <v>0</v>
      </c>
      <c r="BN564" s="72">
        <v>0</v>
      </c>
      <c r="BO564" s="151" t="e">
        <f t="shared" si="19"/>
        <v>#DIV/0!</v>
      </c>
      <c r="BP564" s="151" t="e">
        <f t="shared" si="20"/>
        <v>#DIV/0!</v>
      </c>
      <c r="BQ564" s="71">
        <v>0</v>
      </c>
      <c r="BR564" s="71">
        <v>0</v>
      </c>
      <c r="BS564" s="71">
        <v>0</v>
      </c>
      <c r="BT564" s="72">
        <v>0</v>
      </c>
      <c r="BU564" s="151" t="e">
        <f t="shared" ref="BU564:BU575" si="21">(BQ564+BR564)/BJ564</f>
        <v>#DIV/0!</v>
      </c>
      <c r="BV564" s="151" t="e">
        <f t="shared" ref="BV564:BV575" si="22">BS564/BJ564</f>
        <v>#DIV/0!</v>
      </c>
    </row>
    <row r="565" ht="30" customHeight="1" spans="1:74">
      <c r="A565" s="55">
        <v>0</v>
      </c>
      <c r="B565" s="56">
        <v>0</v>
      </c>
      <c r="C565" s="57">
        <v>0</v>
      </c>
      <c r="D565" s="78"/>
      <c r="E565" s="74"/>
      <c r="F565" s="59" t="e">
        <f>VLOOKUP(E565,[1]库存!$B$1:$C$65536,2,FALSE)</f>
        <v>#N/A</v>
      </c>
      <c r="G565" s="59" t="e">
        <v>#N/A</v>
      </c>
      <c r="H565" s="74"/>
      <c r="I565" s="74"/>
      <c r="J565" s="184"/>
      <c r="K565" s="61"/>
      <c r="L565" s="62">
        <v>0</v>
      </c>
      <c r="M565" s="63">
        <v>0</v>
      </c>
      <c r="N565" s="64">
        <v>0</v>
      </c>
      <c r="O565" s="62">
        <v>0</v>
      </c>
      <c r="P565" s="65">
        <f t="shared" si="16"/>
        <v>0</v>
      </c>
      <c r="Q565" s="66"/>
      <c r="R565" s="66"/>
      <c r="S565" s="66"/>
      <c r="T565" s="66"/>
      <c r="U565" s="66"/>
      <c r="V565" s="66"/>
      <c r="W565" s="66">
        <v>840</v>
      </c>
      <c r="X565" s="66"/>
      <c r="Y565" s="66">
        <v>1080</v>
      </c>
      <c r="Z565" s="66"/>
      <c r="AA565" s="66">
        <v>360</v>
      </c>
      <c r="AB565" s="66"/>
      <c r="AC565" s="66">
        <v>1200</v>
      </c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  <c r="BD565" s="66"/>
      <c r="BE565" s="67"/>
      <c r="BF565" s="67"/>
      <c r="BG565" s="68"/>
      <c r="BI565" s="69">
        <v>0</v>
      </c>
      <c r="BJ565" s="70">
        <v>0</v>
      </c>
      <c r="BK565" s="71">
        <v>0</v>
      </c>
      <c r="BL565" s="71">
        <v>0</v>
      </c>
      <c r="BM565" s="71">
        <v>0</v>
      </c>
      <c r="BN565" s="72">
        <v>0</v>
      </c>
      <c r="BO565" s="151" t="e">
        <f t="shared" si="19"/>
        <v>#DIV/0!</v>
      </c>
      <c r="BP565" s="151" t="e">
        <f t="shared" si="20"/>
        <v>#DIV/0!</v>
      </c>
      <c r="BQ565" s="71">
        <v>0</v>
      </c>
      <c r="BR565" s="71">
        <v>0</v>
      </c>
      <c r="BS565" s="71">
        <v>0</v>
      </c>
      <c r="BT565" s="72">
        <v>0</v>
      </c>
      <c r="BU565" s="151" t="e">
        <f t="shared" si="21"/>
        <v>#DIV/0!</v>
      </c>
      <c r="BV565" s="151" t="e">
        <f t="shared" si="22"/>
        <v>#DIV/0!</v>
      </c>
    </row>
    <row r="566" ht="30" customHeight="1" spans="1:74">
      <c r="A566" s="55">
        <v>0</v>
      </c>
      <c r="B566" s="56" t="s">
        <v>42</v>
      </c>
      <c r="C566" s="57" t="s">
        <v>43</v>
      </c>
      <c r="D566" s="76" t="s">
        <v>966</v>
      </c>
      <c r="E566" s="59" t="s">
        <v>967</v>
      </c>
      <c r="F566" s="59" t="str">
        <f>VLOOKUP(E566,[1]库存!$B$1:$C$65536,2,FALSE)</f>
        <v>P702 PAB 拉带半成品</v>
      </c>
      <c r="G566" s="59" t="s">
        <v>968</v>
      </c>
      <c r="H566" s="59" t="s">
        <v>969</v>
      </c>
      <c r="I566" s="59"/>
      <c r="J566" s="183" t="s">
        <v>961</v>
      </c>
      <c r="K566" s="61"/>
      <c r="L566" s="62">
        <v>0</v>
      </c>
      <c r="M566" s="63">
        <v>1500</v>
      </c>
      <c r="N566" s="64">
        <v>3</v>
      </c>
      <c r="O566" s="62">
        <v>0</v>
      </c>
      <c r="P566" s="65">
        <f t="shared" si="16"/>
        <v>0</v>
      </c>
      <c r="Q566" s="66" t="s">
        <v>962</v>
      </c>
      <c r="R566" s="66"/>
      <c r="S566" s="66" t="s">
        <v>962</v>
      </c>
      <c r="T566" s="66"/>
      <c r="U566" s="66" t="s">
        <v>963</v>
      </c>
      <c r="V566" s="66"/>
      <c r="W566" s="66">
        <v>100</v>
      </c>
      <c r="X566" s="66"/>
      <c r="Y566" s="66" t="s">
        <v>964</v>
      </c>
      <c r="Z566" s="66"/>
      <c r="AA566" s="66" t="s">
        <v>965</v>
      </c>
      <c r="AB566" s="66"/>
      <c r="AC566" s="66" t="s">
        <v>964</v>
      </c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  <c r="BD566" s="66"/>
      <c r="BE566" s="67"/>
      <c r="BF566" s="67"/>
      <c r="BG566" s="68"/>
      <c r="BI566" s="69">
        <v>0</v>
      </c>
      <c r="BJ566" s="70">
        <v>0</v>
      </c>
      <c r="BK566" s="71">
        <v>0</v>
      </c>
      <c r="BL566" s="71">
        <v>0</v>
      </c>
      <c r="BM566" s="71">
        <v>0</v>
      </c>
      <c r="BN566" s="72">
        <v>0</v>
      </c>
      <c r="BO566" s="151" t="e">
        <f t="shared" si="19"/>
        <v>#DIV/0!</v>
      </c>
      <c r="BP566" s="151" t="e">
        <f t="shared" si="20"/>
        <v>#DIV/0!</v>
      </c>
      <c r="BQ566" s="71">
        <v>0</v>
      </c>
      <c r="BR566" s="71">
        <v>0</v>
      </c>
      <c r="BS566" s="71">
        <v>0</v>
      </c>
      <c r="BT566" s="72">
        <v>0</v>
      </c>
      <c r="BU566" s="151" t="e">
        <f t="shared" si="21"/>
        <v>#DIV/0!</v>
      </c>
      <c r="BV566" s="151" t="e">
        <f t="shared" si="22"/>
        <v>#DIV/0!</v>
      </c>
    </row>
    <row r="567" ht="30" customHeight="1" spans="1:74">
      <c r="A567" s="55">
        <v>0</v>
      </c>
      <c r="B567" s="56">
        <v>0</v>
      </c>
      <c r="C567" s="57">
        <v>0</v>
      </c>
      <c r="D567" s="78"/>
      <c r="E567" s="74"/>
      <c r="F567" s="59" t="e">
        <f>VLOOKUP(E567,[1]库存!$B$1:$C$65536,2,FALSE)</f>
        <v>#N/A</v>
      </c>
      <c r="G567" s="59" t="e">
        <v>#N/A</v>
      </c>
      <c r="H567" s="74"/>
      <c r="I567" s="74"/>
      <c r="J567" s="184"/>
      <c r="K567" s="61"/>
      <c r="L567" s="62">
        <v>0</v>
      </c>
      <c r="M567" s="63">
        <v>0</v>
      </c>
      <c r="N567" s="64">
        <v>0</v>
      </c>
      <c r="O567" s="62">
        <v>0</v>
      </c>
      <c r="P567" s="65">
        <f t="shared" si="16"/>
        <v>0</v>
      </c>
      <c r="Q567" s="66"/>
      <c r="R567" s="66"/>
      <c r="S567" s="66"/>
      <c r="T567" s="66"/>
      <c r="U567" s="66"/>
      <c r="V567" s="66"/>
      <c r="W567" s="66">
        <v>1000</v>
      </c>
      <c r="X567" s="66"/>
      <c r="Y567" s="66">
        <v>1000</v>
      </c>
      <c r="Z567" s="66"/>
      <c r="AA567" s="66">
        <v>600</v>
      </c>
      <c r="AB567" s="66"/>
      <c r="AC567" s="66">
        <v>1200</v>
      </c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  <c r="BD567" s="66"/>
      <c r="BE567" s="67"/>
      <c r="BF567" s="67"/>
      <c r="BG567" s="68"/>
      <c r="BI567" s="69">
        <v>0</v>
      </c>
      <c r="BJ567" s="70">
        <v>0</v>
      </c>
      <c r="BK567" s="71">
        <v>0</v>
      </c>
      <c r="BL567" s="71">
        <v>0</v>
      </c>
      <c r="BM567" s="71">
        <v>0</v>
      </c>
      <c r="BN567" s="72">
        <v>0</v>
      </c>
      <c r="BO567" s="151" t="e">
        <f t="shared" si="19"/>
        <v>#DIV/0!</v>
      </c>
      <c r="BP567" s="151" t="e">
        <f t="shared" si="20"/>
        <v>#DIV/0!</v>
      </c>
      <c r="BQ567" s="71">
        <v>0</v>
      </c>
      <c r="BR567" s="71">
        <v>0</v>
      </c>
      <c r="BS567" s="71">
        <v>0</v>
      </c>
      <c r="BT567" s="72">
        <v>0</v>
      </c>
      <c r="BU567" s="151" t="e">
        <f t="shared" si="21"/>
        <v>#DIV/0!</v>
      </c>
      <c r="BV567" s="151" t="e">
        <f t="shared" si="22"/>
        <v>#DIV/0!</v>
      </c>
    </row>
    <row r="568" ht="30" customHeight="1" spans="1:74">
      <c r="A568" s="55">
        <v>0</v>
      </c>
      <c r="B568" s="56" t="s">
        <v>42</v>
      </c>
      <c r="C568" s="57" t="s">
        <v>43</v>
      </c>
      <c r="D568" s="76" t="s">
        <v>970</v>
      </c>
      <c r="E568" s="59" t="s">
        <v>971</v>
      </c>
      <c r="F568" s="59" t="str">
        <f>VLOOKUP(E568,[1]库存!$B$1:$C$65536,2,FALSE)</f>
        <v>P702 PAB 右侧半成品</v>
      </c>
      <c r="G568" s="59" t="s">
        <v>972</v>
      </c>
      <c r="H568" s="59" t="s">
        <v>973</v>
      </c>
      <c r="I568" s="59"/>
      <c r="J568" s="183" t="s">
        <v>961</v>
      </c>
      <c r="K568" s="61"/>
      <c r="L568" s="62">
        <v>0</v>
      </c>
      <c r="M568" s="63">
        <v>1500</v>
      </c>
      <c r="N568" s="64">
        <v>11</v>
      </c>
      <c r="O568" s="62">
        <v>1</v>
      </c>
      <c r="P568" s="65">
        <f t="shared" si="16"/>
        <v>0</v>
      </c>
      <c r="Q568" s="66" t="s">
        <v>962</v>
      </c>
      <c r="R568" s="66"/>
      <c r="S568" s="66" t="s">
        <v>962</v>
      </c>
      <c r="T568" s="66"/>
      <c r="U568" s="66" t="s">
        <v>963</v>
      </c>
      <c r="V568" s="66"/>
      <c r="W568" s="66">
        <v>100</v>
      </c>
      <c r="X568" s="66"/>
      <c r="Y568" s="66" t="s">
        <v>964</v>
      </c>
      <c r="Z568" s="66"/>
      <c r="AA568" s="66" t="s">
        <v>965</v>
      </c>
      <c r="AB568" s="66"/>
      <c r="AC568" s="66" t="s">
        <v>964</v>
      </c>
      <c r="AD568" s="66"/>
      <c r="AE568" s="66"/>
      <c r="AF568" s="66"/>
      <c r="AG568" s="66"/>
      <c r="AH568" s="66"/>
      <c r="AI568" s="66"/>
      <c r="AJ568" s="66"/>
      <c r="AK568" s="96"/>
      <c r="AL568" s="96"/>
      <c r="AM568" s="96"/>
      <c r="AN568" s="9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  <c r="BD568" s="66"/>
      <c r="BE568" s="67"/>
      <c r="BF568" s="67"/>
      <c r="BG568" s="68"/>
      <c r="BI568" s="69">
        <v>0</v>
      </c>
      <c r="BJ568" s="70">
        <v>0</v>
      </c>
      <c r="BK568" s="71">
        <v>0</v>
      </c>
      <c r="BL568" s="71">
        <v>0</v>
      </c>
      <c r="BM568" s="71">
        <v>0</v>
      </c>
      <c r="BN568" s="72">
        <v>0</v>
      </c>
      <c r="BO568" s="151" t="e">
        <f t="shared" si="19"/>
        <v>#DIV/0!</v>
      </c>
      <c r="BP568" s="151" t="e">
        <f t="shared" si="20"/>
        <v>#DIV/0!</v>
      </c>
      <c r="BQ568" s="71">
        <v>0</v>
      </c>
      <c r="BR568" s="71">
        <v>0</v>
      </c>
      <c r="BS568" s="71">
        <v>0</v>
      </c>
      <c r="BT568" s="72">
        <v>0</v>
      </c>
      <c r="BU568" s="151" t="e">
        <f t="shared" si="21"/>
        <v>#DIV/0!</v>
      </c>
      <c r="BV568" s="151" t="e">
        <f t="shared" si="22"/>
        <v>#DIV/0!</v>
      </c>
    </row>
    <row r="569" ht="30" customHeight="1" spans="1:74">
      <c r="A569" s="55">
        <v>0</v>
      </c>
      <c r="B569" s="56">
        <v>0</v>
      </c>
      <c r="C569" s="57">
        <v>0</v>
      </c>
      <c r="D569" s="78"/>
      <c r="E569" s="74"/>
      <c r="F569" s="59" t="e">
        <f>VLOOKUP(E569,[1]库存!$B$1:$C$65536,2,FALSE)</f>
        <v>#N/A</v>
      </c>
      <c r="G569" s="59" t="e">
        <v>#N/A</v>
      </c>
      <c r="H569" s="74"/>
      <c r="I569" s="74"/>
      <c r="J569" s="184"/>
      <c r="K569" s="61"/>
      <c r="L569" s="62">
        <v>0</v>
      </c>
      <c r="M569" s="63">
        <v>0</v>
      </c>
      <c r="N569" s="64">
        <v>0</v>
      </c>
      <c r="O569" s="62">
        <v>0</v>
      </c>
      <c r="P569" s="65">
        <f t="shared" si="16"/>
        <v>0</v>
      </c>
      <c r="Q569" s="66"/>
      <c r="R569" s="66"/>
      <c r="S569" s="66"/>
      <c r="T569" s="66"/>
      <c r="U569" s="66"/>
      <c r="V569" s="66"/>
      <c r="W569" s="66">
        <v>750</v>
      </c>
      <c r="X569" s="66"/>
      <c r="Y569" s="66">
        <v>900</v>
      </c>
      <c r="Z569" s="66"/>
      <c r="AA569" s="66">
        <v>900</v>
      </c>
      <c r="AB569" s="66"/>
      <c r="AC569" s="66">
        <v>1000</v>
      </c>
      <c r="AD569" s="66"/>
      <c r="AE569" s="66"/>
      <c r="AF569" s="66"/>
      <c r="AG569" s="66"/>
      <c r="AH569" s="66"/>
      <c r="AI569" s="66"/>
      <c r="AJ569" s="66"/>
      <c r="AK569" s="66"/>
      <c r="AL569" s="96"/>
      <c r="AM569" s="66"/>
      <c r="AN569" s="9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  <c r="BD569" s="66"/>
      <c r="BE569" s="67"/>
      <c r="BF569" s="67"/>
      <c r="BG569" s="68"/>
      <c r="BI569" s="69">
        <v>0</v>
      </c>
      <c r="BJ569" s="70">
        <v>0</v>
      </c>
      <c r="BK569" s="71">
        <v>0</v>
      </c>
      <c r="BL569" s="71">
        <v>0</v>
      </c>
      <c r="BM569" s="71">
        <v>0</v>
      </c>
      <c r="BN569" s="72">
        <v>0</v>
      </c>
      <c r="BO569" s="151" t="e">
        <f t="shared" si="19"/>
        <v>#DIV/0!</v>
      </c>
      <c r="BP569" s="151" t="e">
        <f t="shared" si="20"/>
        <v>#DIV/0!</v>
      </c>
      <c r="BQ569" s="71">
        <v>0</v>
      </c>
      <c r="BR569" s="71">
        <v>0</v>
      </c>
      <c r="BS569" s="71">
        <v>0</v>
      </c>
      <c r="BT569" s="72">
        <v>0</v>
      </c>
      <c r="BU569" s="151" t="e">
        <f t="shared" si="21"/>
        <v>#DIV/0!</v>
      </c>
      <c r="BV569" s="151" t="e">
        <f t="shared" si="22"/>
        <v>#DIV/0!</v>
      </c>
    </row>
    <row r="570" ht="30" customHeight="1" spans="1:74">
      <c r="A570" s="55">
        <v>0</v>
      </c>
      <c r="B570" s="56" t="s">
        <v>42</v>
      </c>
      <c r="C570" s="57" t="s">
        <v>43</v>
      </c>
      <c r="D570" s="76" t="s">
        <v>974</v>
      </c>
      <c r="E570" s="59" t="s">
        <v>975</v>
      </c>
      <c r="F570" s="59" t="str">
        <f>VLOOKUP(E570,[1]库存!$B$1:$C$65536,2,FALSE)</f>
        <v>P702 PAB 导流袋半成品</v>
      </c>
      <c r="G570" s="59" t="s">
        <v>976</v>
      </c>
      <c r="H570" s="59" t="s">
        <v>977</v>
      </c>
      <c r="I570" s="59"/>
      <c r="J570" s="183" t="s">
        <v>961</v>
      </c>
      <c r="K570" s="61"/>
      <c r="L570" s="62">
        <v>0</v>
      </c>
      <c r="M570" s="63">
        <v>1500</v>
      </c>
      <c r="N570" s="64">
        <v>1</v>
      </c>
      <c r="O570" s="62">
        <v>0</v>
      </c>
      <c r="P570" s="65">
        <f t="shared" si="16"/>
        <v>0</v>
      </c>
      <c r="Q570" s="66" t="s">
        <v>962</v>
      </c>
      <c r="R570" s="66"/>
      <c r="S570" s="66" t="s">
        <v>962</v>
      </c>
      <c r="T570" s="66"/>
      <c r="U570" s="66" t="s">
        <v>963</v>
      </c>
      <c r="V570" s="66"/>
      <c r="W570" s="66">
        <v>100</v>
      </c>
      <c r="X570" s="66"/>
      <c r="Y570" s="66" t="s">
        <v>964</v>
      </c>
      <c r="Z570" s="66"/>
      <c r="AA570" s="66" t="s">
        <v>965</v>
      </c>
      <c r="AB570" s="66"/>
      <c r="AC570" s="66" t="s">
        <v>964</v>
      </c>
      <c r="AD570" s="66"/>
      <c r="AE570" s="66"/>
      <c r="AF570" s="66"/>
      <c r="AG570" s="66"/>
      <c r="AH570" s="66"/>
      <c r="AI570" s="66"/>
      <c r="AJ570" s="66"/>
      <c r="AK570" s="96"/>
      <c r="AL570" s="96"/>
      <c r="AM570" s="96"/>
      <c r="AN570" s="9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  <c r="BD570" s="66"/>
      <c r="BE570" s="67"/>
      <c r="BF570" s="67"/>
      <c r="BG570" s="68"/>
      <c r="BI570" s="69">
        <v>0</v>
      </c>
      <c r="BJ570" s="70">
        <v>0</v>
      </c>
      <c r="BK570" s="71">
        <v>0</v>
      </c>
      <c r="BL570" s="71">
        <v>0</v>
      </c>
      <c r="BM570" s="71">
        <v>0</v>
      </c>
      <c r="BN570" s="72">
        <v>0</v>
      </c>
      <c r="BO570" s="151" t="e">
        <f t="shared" si="19"/>
        <v>#DIV/0!</v>
      </c>
      <c r="BP570" s="151" t="e">
        <f t="shared" si="20"/>
        <v>#DIV/0!</v>
      </c>
      <c r="BQ570" s="71">
        <v>0</v>
      </c>
      <c r="BR570" s="71">
        <v>0</v>
      </c>
      <c r="BS570" s="71">
        <v>0</v>
      </c>
      <c r="BT570" s="72">
        <v>0</v>
      </c>
      <c r="BU570" s="151" t="e">
        <f t="shared" si="21"/>
        <v>#DIV/0!</v>
      </c>
      <c r="BV570" s="151" t="e">
        <f t="shared" si="22"/>
        <v>#DIV/0!</v>
      </c>
    </row>
    <row r="571" ht="30" customHeight="1" spans="1:74">
      <c r="A571" s="55">
        <v>0</v>
      </c>
      <c r="B571" s="56">
        <v>0</v>
      </c>
      <c r="C571" s="57">
        <v>0</v>
      </c>
      <c r="D571" s="78"/>
      <c r="E571" s="74"/>
      <c r="F571" s="59" t="e">
        <f>VLOOKUP(E571,[1]库存!$B$1:$C$65536,2,FALSE)</f>
        <v>#N/A</v>
      </c>
      <c r="G571" s="59" t="e">
        <v>#N/A</v>
      </c>
      <c r="H571" s="74"/>
      <c r="I571" s="74"/>
      <c r="J571" s="184"/>
      <c r="K571" s="61"/>
      <c r="L571" s="62">
        <v>0</v>
      </c>
      <c r="M571" s="63">
        <v>0</v>
      </c>
      <c r="N571" s="64">
        <v>0</v>
      </c>
      <c r="O571" s="62">
        <v>0</v>
      </c>
      <c r="P571" s="65">
        <f t="shared" si="16"/>
        <v>0</v>
      </c>
      <c r="Q571" s="66"/>
      <c r="R571" s="66"/>
      <c r="S571" s="66"/>
      <c r="T571" s="66"/>
      <c r="U571" s="66"/>
      <c r="V571" s="66"/>
      <c r="W571" s="66">
        <v>800</v>
      </c>
      <c r="X571" s="66"/>
      <c r="Y571" s="66">
        <v>800</v>
      </c>
      <c r="Z571" s="66"/>
      <c r="AA571" s="66">
        <v>400</v>
      </c>
      <c r="AB571" s="66"/>
      <c r="AC571" s="66">
        <v>1000</v>
      </c>
      <c r="AD571" s="66"/>
      <c r="AE571" s="66"/>
      <c r="AF571" s="66"/>
      <c r="AG571" s="66"/>
      <c r="AH571" s="66"/>
      <c r="AI571" s="66"/>
      <c r="AJ571" s="66"/>
      <c r="AK571" s="66"/>
      <c r="AL571" s="96"/>
      <c r="AM571" s="66"/>
      <c r="AN571" s="9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  <c r="BD571" s="66"/>
      <c r="BE571" s="67"/>
      <c r="BF571" s="67"/>
      <c r="BG571" s="68"/>
      <c r="BI571" s="69">
        <v>0</v>
      </c>
      <c r="BJ571" s="70">
        <v>0</v>
      </c>
      <c r="BK571" s="71">
        <v>0</v>
      </c>
      <c r="BL571" s="71">
        <v>0</v>
      </c>
      <c r="BM571" s="71">
        <v>0</v>
      </c>
      <c r="BN571" s="72">
        <v>0</v>
      </c>
      <c r="BO571" s="151" t="e">
        <f t="shared" si="19"/>
        <v>#DIV/0!</v>
      </c>
      <c r="BP571" s="151" t="e">
        <f t="shared" si="20"/>
        <v>#DIV/0!</v>
      </c>
      <c r="BQ571" s="71">
        <v>0</v>
      </c>
      <c r="BR571" s="71">
        <v>0</v>
      </c>
      <c r="BS571" s="71">
        <v>0</v>
      </c>
      <c r="BT571" s="72">
        <v>0</v>
      </c>
      <c r="BU571" s="151" t="e">
        <f t="shared" si="21"/>
        <v>#DIV/0!</v>
      </c>
      <c r="BV571" s="151" t="e">
        <f t="shared" si="22"/>
        <v>#DIV/0!</v>
      </c>
    </row>
    <row r="572" ht="30" customHeight="1" spans="1:74">
      <c r="A572" s="55">
        <v>0</v>
      </c>
      <c r="B572" s="56" t="s">
        <v>42</v>
      </c>
      <c r="C572" s="57" t="s">
        <v>43</v>
      </c>
      <c r="D572" s="76" t="s">
        <v>978</v>
      </c>
      <c r="E572" s="59" t="s">
        <v>979</v>
      </c>
      <c r="F572" s="59" t="str">
        <f>VLOOKUP(E572,[1]库存!$B$1:$C$65536,2,FALSE)</f>
        <v>P702 PAB 拉带加强片半成品</v>
      </c>
      <c r="G572" s="59" t="s">
        <v>980</v>
      </c>
      <c r="H572" s="59" t="s">
        <v>981</v>
      </c>
      <c r="I572" s="59"/>
      <c r="J572" s="183" t="s">
        <v>961</v>
      </c>
      <c r="K572" s="61"/>
      <c r="L572" s="62">
        <v>0</v>
      </c>
      <c r="M572" s="63">
        <v>1500</v>
      </c>
      <c r="N572" s="64">
        <v>1</v>
      </c>
      <c r="O572" s="62">
        <v>0</v>
      </c>
      <c r="P572" s="65">
        <f t="shared" si="16"/>
        <v>0</v>
      </c>
      <c r="Q572" s="66" t="s">
        <v>962</v>
      </c>
      <c r="R572" s="66"/>
      <c r="S572" s="66" t="s">
        <v>962</v>
      </c>
      <c r="T572" s="66"/>
      <c r="U572" s="66" t="s">
        <v>963</v>
      </c>
      <c r="V572" s="66"/>
      <c r="W572" s="66">
        <v>100</v>
      </c>
      <c r="X572" s="66"/>
      <c r="Y572" s="66" t="s">
        <v>964</v>
      </c>
      <c r="Z572" s="66"/>
      <c r="AA572" s="66" t="s">
        <v>965</v>
      </c>
      <c r="AB572" s="66"/>
      <c r="AC572" s="66" t="s">
        <v>964</v>
      </c>
      <c r="AD572" s="66"/>
      <c r="AE572" s="66"/>
      <c r="AF572" s="66"/>
      <c r="AG572" s="66"/>
      <c r="AH572" s="66"/>
      <c r="AI572" s="66"/>
      <c r="AJ572" s="66"/>
      <c r="AK572" s="96"/>
      <c r="AL572" s="96"/>
      <c r="AM572" s="96"/>
      <c r="AN572" s="9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  <c r="BD572" s="66"/>
      <c r="BE572" s="67"/>
      <c r="BF572" s="67"/>
      <c r="BG572" s="68"/>
      <c r="BI572" s="69">
        <v>0</v>
      </c>
      <c r="BJ572" s="70">
        <v>0</v>
      </c>
      <c r="BK572" s="71">
        <v>0</v>
      </c>
      <c r="BL572" s="71">
        <v>0</v>
      </c>
      <c r="BM572" s="71">
        <v>0</v>
      </c>
      <c r="BN572" s="72">
        <v>0</v>
      </c>
      <c r="BO572" s="151" t="e">
        <f t="shared" si="19"/>
        <v>#DIV/0!</v>
      </c>
      <c r="BP572" s="151" t="e">
        <f t="shared" si="20"/>
        <v>#DIV/0!</v>
      </c>
      <c r="BQ572" s="71">
        <v>0</v>
      </c>
      <c r="BR572" s="71">
        <v>0</v>
      </c>
      <c r="BS572" s="71">
        <v>0</v>
      </c>
      <c r="BT572" s="72">
        <v>0</v>
      </c>
      <c r="BU572" s="151" t="e">
        <f t="shared" si="21"/>
        <v>#DIV/0!</v>
      </c>
      <c r="BV572" s="151" t="e">
        <f t="shared" si="22"/>
        <v>#DIV/0!</v>
      </c>
    </row>
    <row r="573" ht="30" customHeight="1" spans="1:74">
      <c r="A573" s="55">
        <v>0</v>
      </c>
      <c r="B573" s="56">
        <v>0</v>
      </c>
      <c r="C573" s="57">
        <v>0</v>
      </c>
      <c r="D573" s="78"/>
      <c r="E573" s="74"/>
      <c r="F573" s="59" t="e">
        <f>VLOOKUP(E573,[1]库存!$B$1:$C$65536,2,FALSE)</f>
        <v>#N/A</v>
      </c>
      <c r="G573" s="59" t="e">
        <v>#N/A</v>
      </c>
      <c r="H573" s="74"/>
      <c r="I573" s="74"/>
      <c r="J573" s="184"/>
      <c r="K573" s="61"/>
      <c r="L573" s="62">
        <v>0</v>
      </c>
      <c r="M573" s="63">
        <v>0</v>
      </c>
      <c r="N573" s="64">
        <v>0</v>
      </c>
      <c r="O573" s="62">
        <v>0</v>
      </c>
      <c r="P573" s="65">
        <f t="shared" si="16"/>
        <v>0</v>
      </c>
      <c r="Q573" s="66"/>
      <c r="R573" s="66"/>
      <c r="S573" s="66"/>
      <c r="T573" s="66"/>
      <c r="U573" s="66"/>
      <c r="V573" s="66"/>
      <c r="W573" s="66">
        <v>500</v>
      </c>
      <c r="X573" s="66"/>
      <c r="Y573" s="66">
        <v>500</v>
      </c>
      <c r="Z573" s="66"/>
      <c r="AA573" s="66">
        <v>1000</v>
      </c>
      <c r="AB573" s="66"/>
      <c r="AC573" s="66">
        <v>1000</v>
      </c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  <c r="BD573" s="66"/>
      <c r="BE573" s="67"/>
      <c r="BF573" s="67"/>
      <c r="BG573" s="68"/>
      <c r="BI573" s="69">
        <v>0</v>
      </c>
      <c r="BJ573" s="70">
        <v>0</v>
      </c>
      <c r="BK573" s="71">
        <v>0</v>
      </c>
      <c r="BL573" s="71">
        <v>0</v>
      </c>
      <c r="BM573" s="71">
        <v>0</v>
      </c>
      <c r="BN573" s="72">
        <v>0</v>
      </c>
      <c r="BO573" s="151" t="e">
        <f t="shared" si="19"/>
        <v>#DIV/0!</v>
      </c>
      <c r="BP573" s="151" t="e">
        <f t="shared" si="20"/>
        <v>#DIV/0!</v>
      </c>
      <c r="BQ573" s="71">
        <v>0</v>
      </c>
      <c r="BR573" s="71">
        <v>0</v>
      </c>
      <c r="BS573" s="71">
        <v>0</v>
      </c>
      <c r="BT573" s="72">
        <v>0</v>
      </c>
      <c r="BU573" s="151" t="e">
        <f t="shared" si="21"/>
        <v>#DIV/0!</v>
      </c>
      <c r="BV573" s="151" t="e">
        <f t="shared" si="22"/>
        <v>#DIV/0!</v>
      </c>
    </row>
    <row r="574" ht="30" customHeight="1" spans="1:74">
      <c r="A574" s="55">
        <v>0</v>
      </c>
      <c r="B574" s="56" t="s">
        <v>42</v>
      </c>
      <c r="C574" s="57" t="s">
        <v>43</v>
      </c>
      <c r="D574" s="76" t="s">
        <v>982</v>
      </c>
      <c r="E574" s="59" t="s">
        <v>983</v>
      </c>
      <c r="F574" s="59" t="str">
        <f>VLOOKUP(E574,[1]库存!$B$1:$C$65536,2,FALSE)</f>
        <v>FORD P702 PAB</v>
      </c>
      <c r="G574" s="59" t="s">
        <v>984</v>
      </c>
      <c r="H574" s="59" t="s">
        <v>985</v>
      </c>
      <c r="I574" s="59" t="s">
        <v>986</v>
      </c>
      <c r="J574" s="183" t="s">
        <v>961</v>
      </c>
      <c r="K574" s="61"/>
      <c r="L574" s="62">
        <v>0</v>
      </c>
      <c r="M574" s="63">
        <v>600</v>
      </c>
      <c r="N574" s="64">
        <v>38</v>
      </c>
      <c r="O574" s="62">
        <v>3</v>
      </c>
      <c r="P574" s="65">
        <f t="shared" si="16"/>
        <v>0</v>
      </c>
      <c r="Q574" s="66" t="s">
        <v>987</v>
      </c>
      <c r="R574" s="66"/>
      <c r="S574" s="66" t="s">
        <v>962</v>
      </c>
      <c r="T574" s="66"/>
      <c r="U574" s="66" t="s">
        <v>988</v>
      </c>
      <c r="V574" s="66"/>
      <c r="W574" s="66" t="s">
        <v>988</v>
      </c>
      <c r="X574" s="66"/>
      <c r="Y574" s="66" t="s">
        <v>988</v>
      </c>
      <c r="Z574" s="66"/>
      <c r="AA574" s="66" t="s">
        <v>989</v>
      </c>
      <c r="AB574" s="66" t="s">
        <v>990</v>
      </c>
      <c r="AC574" s="66" t="s">
        <v>991</v>
      </c>
      <c r="AD574" s="66" t="s">
        <v>990</v>
      </c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  <c r="BB574" s="66"/>
      <c r="BC574" s="66"/>
      <c r="BD574" s="66"/>
      <c r="BE574" s="67"/>
      <c r="BF574" s="67"/>
      <c r="BG574" s="68"/>
      <c r="BI574" s="69">
        <v>0</v>
      </c>
      <c r="BJ574" s="70">
        <v>0</v>
      </c>
      <c r="BK574" s="71">
        <v>0</v>
      </c>
      <c r="BL574" s="71">
        <v>0</v>
      </c>
      <c r="BM574" s="71">
        <v>0</v>
      </c>
      <c r="BN574" s="72">
        <v>0</v>
      </c>
      <c r="BO574" s="151" t="e">
        <f t="shared" si="19"/>
        <v>#DIV/0!</v>
      </c>
      <c r="BP574" s="151" t="e">
        <f t="shared" si="20"/>
        <v>#DIV/0!</v>
      </c>
      <c r="BQ574" s="71">
        <v>0</v>
      </c>
      <c r="BR574" s="71">
        <v>0</v>
      </c>
      <c r="BS574" s="71">
        <v>0</v>
      </c>
      <c r="BT574" s="72">
        <v>0</v>
      </c>
      <c r="BU574" s="151" t="e">
        <f t="shared" si="21"/>
        <v>#DIV/0!</v>
      </c>
      <c r="BV574" s="151" t="e">
        <f t="shared" si="22"/>
        <v>#DIV/0!</v>
      </c>
    </row>
    <row r="575" ht="30" customHeight="1" spans="1:74">
      <c r="A575" s="55">
        <v>0</v>
      </c>
      <c r="B575" s="56">
        <v>0</v>
      </c>
      <c r="C575" s="57">
        <v>0</v>
      </c>
      <c r="D575" s="78"/>
      <c r="E575" s="74"/>
      <c r="F575" s="59" t="e">
        <f>VLOOKUP(E575,[1]库存!$B$1:$C$65536,2,FALSE)</f>
        <v>#N/A</v>
      </c>
      <c r="G575" s="59" t="e">
        <v>#N/A</v>
      </c>
      <c r="H575" s="74"/>
      <c r="I575" s="74"/>
      <c r="J575" s="184"/>
      <c r="K575" s="61"/>
      <c r="L575" s="62">
        <v>0</v>
      </c>
      <c r="M575" s="63">
        <v>0</v>
      </c>
      <c r="N575" s="64">
        <v>0</v>
      </c>
      <c r="O575" s="62">
        <v>0</v>
      </c>
      <c r="P575" s="65">
        <f t="shared" si="16"/>
        <v>0</v>
      </c>
      <c r="Q575" s="66"/>
      <c r="R575" s="66"/>
      <c r="S575" s="66"/>
      <c r="T575" s="66"/>
      <c r="U575" s="66"/>
      <c r="V575" s="66"/>
      <c r="W575" s="66">
        <v>405</v>
      </c>
      <c r="X575" s="66"/>
      <c r="Y575" s="66">
        <v>282</v>
      </c>
      <c r="Z575" s="66"/>
      <c r="AA575" s="66">
        <v>414</v>
      </c>
      <c r="AB575" s="66">
        <v>465</v>
      </c>
      <c r="AC575" s="66">
        <v>536</v>
      </c>
      <c r="AD575" s="66">
        <v>583</v>
      </c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  <c r="BD575" s="66"/>
      <c r="BE575" s="67"/>
      <c r="BF575" s="67"/>
      <c r="BG575" s="68"/>
      <c r="BI575" s="69">
        <v>0</v>
      </c>
      <c r="BJ575" s="70">
        <v>0</v>
      </c>
      <c r="BK575" s="71">
        <v>0</v>
      </c>
      <c r="BL575" s="71">
        <v>0</v>
      </c>
      <c r="BM575" s="71">
        <v>0</v>
      </c>
      <c r="BN575" s="72">
        <v>0</v>
      </c>
      <c r="BO575" s="151" t="e">
        <f t="shared" si="19"/>
        <v>#DIV/0!</v>
      </c>
      <c r="BP575" s="151" t="e">
        <f t="shared" si="20"/>
        <v>#DIV/0!</v>
      </c>
      <c r="BQ575" s="71">
        <v>0</v>
      </c>
      <c r="BR575" s="71">
        <v>0</v>
      </c>
      <c r="BS575" s="71">
        <v>0</v>
      </c>
      <c r="BT575" s="72">
        <v>0</v>
      </c>
      <c r="BU575" s="151" t="e">
        <f t="shared" si="21"/>
        <v>#DIV/0!</v>
      </c>
      <c r="BV575" s="151" t="e">
        <f t="shared" si="22"/>
        <v>#DIV/0!</v>
      </c>
    </row>
    <row r="576" ht="30" customHeight="1" spans="1:74">
      <c r="A576" s="55">
        <v>0</v>
      </c>
      <c r="B576" s="56">
        <v>0</v>
      </c>
      <c r="C576" s="57">
        <v>0</v>
      </c>
      <c r="E576" s="88"/>
      <c r="F576" s="59" t="e">
        <f>VLOOKUP(E576,[1]库存!$B$1:$C$65536,2,FALSE)</f>
        <v>#N/A</v>
      </c>
      <c r="G576" s="59" t="e">
        <v>#N/A</v>
      </c>
      <c r="H576" s="89"/>
      <c r="I576" s="88"/>
      <c r="J576" s="90"/>
      <c r="K576" s="61"/>
      <c r="L576" s="62">
        <v>0</v>
      </c>
      <c r="M576" s="63">
        <v>0</v>
      </c>
      <c r="N576" s="64">
        <v>0</v>
      </c>
      <c r="O576" s="62">
        <v>0</v>
      </c>
      <c r="P576" s="65">
        <f t="shared" si="16"/>
        <v>0</v>
      </c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  <c r="BB576" s="66"/>
      <c r="BC576" s="66"/>
      <c r="BD576" s="66"/>
      <c r="BE576" s="67"/>
      <c r="BF576" s="67"/>
      <c r="BG576" s="68"/>
      <c r="BI576" s="69">
        <v>0</v>
      </c>
      <c r="BJ576" s="70">
        <v>0</v>
      </c>
      <c r="BK576" s="71">
        <v>0</v>
      </c>
      <c r="BL576" s="71">
        <v>0</v>
      </c>
      <c r="BM576" s="71">
        <v>0</v>
      </c>
      <c r="BN576" s="72">
        <v>0</v>
      </c>
      <c r="BO576" s="73"/>
      <c r="BP576" s="73"/>
      <c r="BQ576" s="71">
        <v>0</v>
      </c>
      <c r="BR576" s="71">
        <v>0</v>
      </c>
      <c r="BS576" s="71">
        <v>0</v>
      </c>
      <c r="BT576" s="72">
        <v>0</v>
      </c>
      <c r="BU576" s="73"/>
      <c r="BV576" s="73"/>
    </row>
    <row r="577" ht="30" customHeight="1" spans="1:74">
      <c r="A577" s="55" t="s">
        <v>410</v>
      </c>
      <c r="B577" s="56" t="s">
        <v>42</v>
      </c>
      <c r="C577" s="57" t="s">
        <v>43</v>
      </c>
      <c r="D577" s="76" t="s">
        <v>992</v>
      </c>
      <c r="E577" s="59" t="s">
        <v>993</v>
      </c>
      <c r="F577" s="59" t="str">
        <f>VLOOKUP(E577,[1]库存!$B$1:$C$65536,2,FALSE)</f>
        <v>NISSAN TNF1S FSAB LH</v>
      </c>
      <c r="G577" s="59" t="s">
        <v>994</v>
      </c>
      <c r="H577" s="59" t="s">
        <v>995</v>
      </c>
      <c r="I577" s="59" t="s">
        <v>996</v>
      </c>
      <c r="J577" s="63"/>
      <c r="K577" s="61"/>
      <c r="L577" s="62">
        <v>0</v>
      </c>
      <c r="M577" s="63">
        <v>1300</v>
      </c>
      <c r="N577" s="64">
        <v>16</v>
      </c>
      <c r="O577" s="62">
        <v>2</v>
      </c>
      <c r="P577" s="65">
        <f t="shared" si="16"/>
        <v>0</v>
      </c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  <c r="BB577" s="66"/>
      <c r="BC577" s="66"/>
      <c r="BD577" s="66"/>
      <c r="BE577" s="67"/>
      <c r="BF577" s="67"/>
      <c r="BG577" s="68"/>
      <c r="BI577" s="69">
        <v>0</v>
      </c>
      <c r="BJ577" s="70">
        <v>0</v>
      </c>
      <c r="BK577" s="71">
        <v>0</v>
      </c>
      <c r="BL577" s="71">
        <v>0</v>
      </c>
      <c r="BM577" s="71">
        <v>0</v>
      </c>
      <c r="BN577" s="72">
        <v>0</v>
      </c>
      <c r="BO577" s="151" t="e">
        <f t="shared" ref="BO577:BO580" si="23">(BK577+BL577)/BJ577</f>
        <v>#DIV/0!</v>
      </c>
      <c r="BP577" s="151" t="e">
        <f t="shared" ref="BP577:BP580" si="24">BM577/BJ577</f>
        <v>#DIV/0!</v>
      </c>
      <c r="BQ577" s="71">
        <v>0</v>
      </c>
      <c r="BR577" s="71">
        <v>0</v>
      </c>
      <c r="BS577" s="71">
        <v>0</v>
      </c>
      <c r="BT577" s="72">
        <v>0</v>
      </c>
      <c r="BU577" s="151" t="e">
        <f t="shared" ref="BU577:BU580" si="25">(BQ577+BR577)/BJ577</f>
        <v>#DIV/0!</v>
      </c>
      <c r="BV577" s="151" t="e">
        <f t="shared" ref="BV577:BV580" si="26">BS577/BJ577</f>
        <v>#DIV/0!</v>
      </c>
    </row>
    <row r="578" ht="30" customHeight="1" spans="1:74">
      <c r="A578" s="55">
        <v>0</v>
      </c>
      <c r="B578" s="56">
        <v>0</v>
      </c>
      <c r="C578" s="57">
        <v>0</v>
      </c>
      <c r="D578" s="78"/>
      <c r="E578" s="74"/>
      <c r="F578" s="59" t="e">
        <f>VLOOKUP(E578,[1]库存!$B$1:$C$65536,2,FALSE)</f>
        <v>#N/A</v>
      </c>
      <c r="G578" s="59" t="e">
        <v>#N/A</v>
      </c>
      <c r="H578" s="74"/>
      <c r="I578" s="74"/>
      <c r="J578" s="87"/>
      <c r="K578" s="61"/>
      <c r="L578" s="62">
        <v>0</v>
      </c>
      <c r="M578" s="63">
        <v>0</v>
      </c>
      <c r="N578" s="64">
        <v>0</v>
      </c>
      <c r="O578" s="62">
        <v>0</v>
      </c>
      <c r="P578" s="65">
        <f t="shared" si="16"/>
        <v>0</v>
      </c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  <c r="BB578" s="66"/>
      <c r="BC578" s="66"/>
      <c r="BD578" s="66"/>
      <c r="BE578" s="67"/>
      <c r="BF578" s="67"/>
      <c r="BG578" s="68"/>
      <c r="BI578" s="69">
        <v>0</v>
      </c>
      <c r="BJ578" s="70">
        <v>0</v>
      </c>
      <c r="BK578" s="71">
        <v>0</v>
      </c>
      <c r="BL578" s="71">
        <v>0</v>
      </c>
      <c r="BM578" s="71">
        <v>0</v>
      </c>
      <c r="BN578" s="72">
        <v>0</v>
      </c>
      <c r="BO578" s="151" t="e">
        <f t="shared" si="23"/>
        <v>#DIV/0!</v>
      </c>
      <c r="BP578" s="151" t="e">
        <f t="shared" si="24"/>
        <v>#DIV/0!</v>
      </c>
      <c r="BQ578" s="71">
        <v>0</v>
      </c>
      <c r="BR578" s="71">
        <v>0</v>
      </c>
      <c r="BS578" s="71">
        <v>0</v>
      </c>
      <c r="BT578" s="72">
        <v>0</v>
      </c>
      <c r="BU578" s="151" t="e">
        <f t="shared" si="25"/>
        <v>#DIV/0!</v>
      </c>
      <c r="BV578" s="151" t="e">
        <f t="shared" si="26"/>
        <v>#DIV/0!</v>
      </c>
    </row>
    <row r="579" ht="30" customHeight="1" spans="1:74">
      <c r="A579" s="55" t="s">
        <v>410</v>
      </c>
      <c r="B579" s="56" t="s">
        <v>42</v>
      </c>
      <c r="C579" s="57" t="s">
        <v>43</v>
      </c>
      <c r="D579" s="76" t="s">
        <v>992</v>
      </c>
      <c r="E579" s="59" t="s">
        <v>997</v>
      </c>
      <c r="F579" s="59" t="str">
        <f>VLOOKUP(E579,[1]库存!$B$1:$C$65536,2,FALSE)</f>
        <v>NISSAN TNF1S FSAB RH</v>
      </c>
      <c r="G579" s="59" t="s">
        <v>998</v>
      </c>
      <c r="H579" s="59" t="s">
        <v>999</v>
      </c>
      <c r="I579" s="59" t="s">
        <v>996</v>
      </c>
      <c r="J579" s="63"/>
      <c r="K579" s="61"/>
      <c r="L579" s="62">
        <v>0</v>
      </c>
      <c r="M579" s="63">
        <v>1300</v>
      </c>
      <c r="N579" s="64">
        <v>16</v>
      </c>
      <c r="O579" s="62">
        <v>2</v>
      </c>
      <c r="P579" s="65">
        <f t="shared" si="16"/>
        <v>0</v>
      </c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  <c r="BD579" s="66"/>
      <c r="BE579" s="67"/>
      <c r="BF579" s="67"/>
      <c r="BG579" s="68"/>
      <c r="BI579" s="69">
        <v>0</v>
      </c>
      <c r="BJ579" s="70">
        <v>0</v>
      </c>
      <c r="BK579" s="71">
        <v>0</v>
      </c>
      <c r="BL579" s="71">
        <v>0</v>
      </c>
      <c r="BM579" s="71">
        <v>0</v>
      </c>
      <c r="BN579" s="72">
        <v>0</v>
      </c>
      <c r="BO579" s="151" t="e">
        <f t="shared" si="23"/>
        <v>#DIV/0!</v>
      </c>
      <c r="BP579" s="151" t="e">
        <f t="shared" si="24"/>
        <v>#DIV/0!</v>
      </c>
      <c r="BQ579" s="71">
        <v>0</v>
      </c>
      <c r="BR579" s="71">
        <v>0</v>
      </c>
      <c r="BS579" s="71">
        <v>0</v>
      </c>
      <c r="BT579" s="72">
        <v>0</v>
      </c>
      <c r="BU579" s="151" t="e">
        <f t="shared" si="25"/>
        <v>#DIV/0!</v>
      </c>
      <c r="BV579" s="151" t="e">
        <f t="shared" si="26"/>
        <v>#DIV/0!</v>
      </c>
    </row>
    <row r="580" ht="30" customHeight="1" spans="1:74">
      <c r="A580" s="55">
        <v>0</v>
      </c>
      <c r="B580" s="56">
        <v>0</v>
      </c>
      <c r="C580" s="57">
        <v>0</v>
      </c>
      <c r="D580" s="78"/>
      <c r="E580" s="74"/>
      <c r="F580" s="59" t="e">
        <f>VLOOKUP(E580,[1]库存!$B$1:$C$65536,2,FALSE)</f>
        <v>#N/A</v>
      </c>
      <c r="G580" s="59" t="e">
        <v>#N/A</v>
      </c>
      <c r="H580" s="74"/>
      <c r="I580" s="74"/>
      <c r="J580" s="87"/>
      <c r="K580" s="61"/>
      <c r="L580" s="62">
        <v>0</v>
      </c>
      <c r="M580" s="63">
        <v>0</v>
      </c>
      <c r="N580" s="64">
        <v>0</v>
      </c>
      <c r="O580" s="62">
        <v>0</v>
      </c>
      <c r="P580" s="65">
        <f t="shared" si="16"/>
        <v>0</v>
      </c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  <c r="BB580" s="66"/>
      <c r="BC580" s="66"/>
      <c r="BD580" s="66"/>
      <c r="BE580" s="67"/>
      <c r="BF580" s="67"/>
      <c r="BG580" s="68"/>
      <c r="BI580" s="69">
        <v>0</v>
      </c>
      <c r="BJ580" s="70">
        <v>0</v>
      </c>
      <c r="BK580" s="71">
        <v>0</v>
      </c>
      <c r="BL580" s="71">
        <v>0</v>
      </c>
      <c r="BM580" s="71">
        <v>0</v>
      </c>
      <c r="BN580" s="72">
        <v>0</v>
      </c>
      <c r="BO580" s="151" t="e">
        <f t="shared" si="23"/>
        <v>#DIV/0!</v>
      </c>
      <c r="BP580" s="151" t="e">
        <f t="shared" si="24"/>
        <v>#DIV/0!</v>
      </c>
      <c r="BQ580" s="71">
        <v>0</v>
      </c>
      <c r="BR580" s="71">
        <v>0</v>
      </c>
      <c r="BS580" s="71">
        <v>0</v>
      </c>
      <c r="BT580" s="72">
        <v>0</v>
      </c>
      <c r="BU580" s="151" t="e">
        <f t="shared" si="25"/>
        <v>#DIV/0!</v>
      </c>
      <c r="BV580" s="151" t="e">
        <f t="shared" si="26"/>
        <v>#DIV/0!</v>
      </c>
    </row>
    <row r="581" ht="30" customHeight="1" spans="1:74">
      <c r="A581" s="55">
        <v>0</v>
      </c>
      <c r="B581" s="56">
        <v>0</v>
      </c>
      <c r="C581" s="57">
        <v>0</v>
      </c>
      <c r="E581" s="88"/>
      <c r="F581" s="59" t="e">
        <f>VLOOKUP(E581,[1]库存!$B$1:$C$65536,2,FALSE)</f>
        <v>#N/A</v>
      </c>
      <c r="G581" s="59" t="e">
        <v>#N/A</v>
      </c>
      <c r="H581" s="89"/>
      <c r="I581" s="88"/>
      <c r="J581" s="90"/>
      <c r="K581" s="61"/>
      <c r="L581" s="62">
        <v>0</v>
      </c>
      <c r="M581" s="63">
        <v>0</v>
      </c>
      <c r="N581" s="64">
        <v>0</v>
      </c>
      <c r="O581" s="62">
        <v>0</v>
      </c>
      <c r="P581" s="65">
        <f t="shared" si="16"/>
        <v>0</v>
      </c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  <c r="BB581" s="66"/>
      <c r="BC581" s="66"/>
      <c r="BD581" s="66"/>
      <c r="BE581" s="67"/>
      <c r="BF581" s="67"/>
      <c r="BG581" s="68"/>
      <c r="BI581" s="69">
        <v>0</v>
      </c>
      <c r="BJ581" s="70">
        <v>0</v>
      </c>
      <c r="BK581" s="71">
        <v>0</v>
      </c>
      <c r="BL581" s="71">
        <v>0</v>
      </c>
      <c r="BM581" s="71">
        <v>0</v>
      </c>
      <c r="BN581" s="72">
        <v>0</v>
      </c>
      <c r="BO581" s="73"/>
      <c r="BP581" s="73"/>
      <c r="BQ581" s="71">
        <v>0</v>
      </c>
      <c r="BR581" s="71">
        <v>0</v>
      </c>
      <c r="BS581" s="71">
        <v>0</v>
      </c>
      <c r="BT581" s="72">
        <v>0</v>
      </c>
      <c r="BU581" s="73"/>
      <c r="BV581" s="73"/>
    </row>
    <row r="582" ht="30" customHeight="1" spans="1:74">
      <c r="A582" s="55" t="s">
        <v>1000</v>
      </c>
      <c r="B582" s="56" t="s">
        <v>42</v>
      </c>
      <c r="C582" s="57" t="s">
        <v>43</v>
      </c>
      <c r="D582" s="76" t="s">
        <v>1001</v>
      </c>
      <c r="E582" s="59" t="s">
        <v>1002</v>
      </c>
      <c r="F582" s="59" t="str">
        <f>VLOOKUP(E582,[1]库存!$B$1:$C$65536,2,FALSE)</f>
        <v>OE RE FSAB LH</v>
      </c>
      <c r="G582" s="59" t="s">
        <v>1003</v>
      </c>
      <c r="H582" s="59" t="s">
        <v>1004</v>
      </c>
      <c r="I582" s="59" t="s">
        <v>1005</v>
      </c>
      <c r="J582" s="63"/>
      <c r="K582" s="61"/>
      <c r="L582" s="62">
        <v>0</v>
      </c>
      <c r="M582" s="63">
        <v>1000</v>
      </c>
      <c r="N582" s="64">
        <v>17</v>
      </c>
      <c r="O582" s="62">
        <v>0</v>
      </c>
      <c r="P582" s="65">
        <f t="shared" ref="P582:P645" si="27">SUM(AG582:AJ582)</f>
        <v>0</v>
      </c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  <c r="BB582" s="66"/>
      <c r="BC582" s="66"/>
      <c r="BD582" s="66"/>
      <c r="BE582" s="67"/>
      <c r="BF582" s="67"/>
      <c r="BG582" s="68"/>
      <c r="BI582" s="69">
        <v>0</v>
      </c>
      <c r="BJ582" s="70">
        <v>0</v>
      </c>
      <c r="BK582" s="71">
        <v>0</v>
      </c>
      <c r="BL582" s="71">
        <v>0</v>
      </c>
      <c r="BM582" s="71">
        <v>0</v>
      </c>
      <c r="BN582" s="72">
        <v>0</v>
      </c>
      <c r="BO582" s="151" t="e">
        <f t="shared" ref="BO582:BO593" si="28">(BK582+BL582)/BJ582</f>
        <v>#DIV/0!</v>
      </c>
      <c r="BP582" s="151" t="e">
        <f t="shared" ref="BP582:BP593" si="29">BM582/BJ582</f>
        <v>#DIV/0!</v>
      </c>
      <c r="BQ582" s="71">
        <v>0</v>
      </c>
      <c r="BR582" s="71">
        <v>0</v>
      </c>
      <c r="BS582" s="71">
        <v>0</v>
      </c>
      <c r="BT582" s="72">
        <v>0</v>
      </c>
      <c r="BU582" s="151" t="e">
        <f t="shared" ref="BU582:BU593" si="30">(BQ582+BR582)/BJ582</f>
        <v>#DIV/0!</v>
      </c>
      <c r="BV582" s="151" t="e">
        <f t="shared" ref="BV582:BV593" si="31">BS582/BJ582</f>
        <v>#DIV/0!</v>
      </c>
    </row>
    <row r="583" ht="30" customHeight="1" spans="1:74">
      <c r="A583" s="55">
        <v>0</v>
      </c>
      <c r="B583" s="56">
        <v>0</v>
      </c>
      <c r="C583" s="57">
        <v>0</v>
      </c>
      <c r="D583" s="78"/>
      <c r="E583" s="74"/>
      <c r="F583" s="59" t="e">
        <f>VLOOKUP(E583,[1]库存!$B$1:$C$65536,2,FALSE)</f>
        <v>#N/A</v>
      </c>
      <c r="G583" s="59" t="e">
        <v>#N/A</v>
      </c>
      <c r="H583" s="74"/>
      <c r="I583" s="74"/>
      <c r="J583" s="87"/>
      <c r="K583" s="61"/>
      <c r="L583" s="62">
        <v>0</v>
      </c>
      <c r="M583" s="63">
        <v>0</v>
      </c>
      <c r="N583" s="64">
        <v>0</v>
      </c>
      <c r="O583" s="62">
        <v>0</v>
      </c>
      <c r="P583" s="65">
        <f t="shared" si="27"/>
        <v>0</v>
      </c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  <c r="BD583" s="66"/>
      <c r="BE583" s="67"/>
      <c r="BF583" s="67"/>
      <c r="BG583" s="68"/>
      <c r="BI583" s="69">
        <v>0</v>
      </c>
      <c r="BJ583" s="70">
        <v>0</v>
      </c>
      <c r="BK583" s="71">
        <v>0</v>
      </c>
      <c r="BL583" s="71">
        <v>0</v>
      </c>
      <c r="BM583" s="71">
        <v>0</v>
      </c>
      <c r="BN583" s="72">
        <v>0</v>
      </c>
      <c r="BO583" s="151" t="e">
        <f t="shared" si="28"/>
        <v>#DIV/0!</v>
      </c>
      <c r="BP583" s="151" t="e">
        <f t="shared" si="29"/>
        <v>#DIV/0!</v>
      </c>
      <c r="BQ583" s="71">
        <v>0</v>
      </c>
      <c r="BR583" s="71">
        <v>0</v>
      </c>
      <c r="BS583" s="71">
        <v>0</v>
      </c>
      <c r="BT583" s="72">
        <v>0</v>
      </c>
      <c r="BU583" s="151" t="e">
        <f t="shared" si="30"/>
        <v>#DIV/0!</v>
      </c>
      <c r="BV583" s="151" t="e">
        <f t="shared" si="31"/>
        <v>#DIV/0!</v>
      </c>
    </row>
    <row r="584" ht="30" customHeight="1" spans="1:74">
      <c r="A584" s="55">
        <v>0</v>
      </c>
      <c r="B584" s="56" t="s">
        <v>42</v>
      </c>
      <c r="C584" s="57" t="s">
        <v>43</v>
      </c>
      <c r="D584" s="76" t="s">
        <v>1001</v>
      </c>
      <c r="E584" s="59" t="s">
        <v>1006</v>
      </c>
      <c r="F584" s="59" t="str">
        <f>VLOOKUP(E584,[1]库存!$B$1:$C$65536,2,FALSE)</f>
        <v>OE RE FSAB RH</v>
      </c>
      <c r="G584" s="59" t="s">
        <v>1007</v>
      </c>
      <c r="H584" s="59" t="s">
        <v>1008</v>
      </c>
      <c r="I584" s="59" t="s">
        <v>1005</v>
      </c>
      <c r="J584" s="63"/>
      <c r="K584" s="61"/>
      <c r="L584" s="62">
        <v>0</v>
      </c>
      <c r="M584" s="63">
        <v>1000</v>
      </c>
      <c r="N584" s="64">
        <v>17</v>
      </c>
      <c r="O584" s="62">
        <v>0</v>
      </c>
      <c r="P584" s="65">
        <f t="shared" si="27"/>
        <v>0</v>
      </c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  <c r="BB584" s="66"/>
      <c r="BC584" s="66"/>
      <c r="BD584" s="66"/>
      <c r="BE584" s="67"/>
      <c r="BF584" s="67"/>
      <c r="BG584" s="68"/>
      <c r="BI584" s="69">
        <v>0</v>
      </c>
      <c r="BJ584" s="70">
        <v>0</v>
      </c>
      <c r="BK584" s="71">
        <v>0</v>
      </c>
      <c r="BL584" s="71">
        <v>0</v>
      </c>
      <c r="BM584" s="71">
        <v>0</v>
      </c>
      <c r="BN584" s="72">
        <v>0</v>
      </c>
      <c r="BO584" s="151" t="e">
        <f t="shared" si="28"/>
        <v>#DIV/0!</v>
      </c>
      <c r="BP584" s="151" t="e">
        <f t="shared" si="29"/>
        <v>#DIV/0!</v>
      </c>
      <c r="BQ584" s="71">
        <v>0</v>
      </c>
      <c r="BR584" s="71">
        <v>0</v>
      </c>
      <c r="BS584" s="71">
        <v>0</v>
      </c>
      <c r="BT584" s="72">
        <v>0</v>
      </c>
      <c r="BU584" s="151" t="e">
        <f t="shared" si="30"/>
        <v>#DIV/0!</v>
      </c>
      <c r="BV584" s="151" t="e">
        <f t="shared" si="31"/>
        <v>#DIV/0!</v>
      </c>
    </row>
    <row r="585" ht="30" customHeight="1" spans="1:74">
      <c r="A585" s="55">
        <v>0</v>
      </c>
      <c r="B585" s="56">
        <v>0</v>
      </c>
      <c r="C585" s="57">
        <v>0</v>
      </c>
      <c r="D585" s="78"/>
      <c r="E585" s="74"/>
      <c r="F585" s="59" t="e">
        <f>VLOOKUP(E585,[1]库存!$B$1:$C$65536,2,FALSE)</f>
        <v>#N/A</v>
      </c>
      <c r="G585" s="59" t="e">
        <v>#N/A</v>
      </c>
      <c r="H585" s="74"/>
      <c r="I585" s="74"/>
      <c r="J585" s="87"/>
      <c r="K585" s="61"/>
      <c r="L585" s="62">
        <v>0</v>
      </c>
      <c r="M585" s="63">
        <v>0</v>
      </c>
      <c r="N585" s="64">
        <v>0</v>
      </c>
      <c r="O585" s="62">
        <v>0</v>
      </c>
      <c r="P585" s="65">
        <f t="shared" si="27"/>
        <v>0</v>
      </c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  <c r="BB585" s="66"/>
      <c r="BC585" s="66"/>
      <c r="BD585" s="66"/>
      <c r="BE585" s="67"/>
      <c r="BF585" s="67"/>
      <c r="BG585" s="68"/>
      <c r="BI585" s="69">
        <v>0</v>
      </c>
      <c r="BJ585" s="70">
        <v>0</v>
      </c>
      <c r="BK585" s="71">
        <v>0</v>
      </c>
      <c r="BL585" s="71">
        <v>0</v>
      </c>
      <c r="BM585" s="71">
        <v>0</v>
      </c>
      <c r="BN585" s="72">
        <v>0</v>
      </c>
      <c r="BO585" s="151" t="e">
        <f t="shared" si="28"/>
        <v>#DIV/0!</v>
      </c>
      <c r="BP585" s="151" t="e">
        <f t="shared" si="29"/>
        <v>#DIV/0!</v>
      </c>
      <c r="BQ585" s="71">
        <v>0</v>
      </c>
      <c r="BR585" s="71">
        <v>0</v>
      </c>
      <c r="BS585" s="71">
        <v>0</v>
      </c>
      <c r="BT585" s="72">
        <v>0</v>
      </c>
      <c r="BU585" s="151" t="e">
        <f t="shared" si="30"/>
        <v>#DIV/0!</v>
      </c>
      <c r="BV585" s="151" t="e">
        <f t="shared" si="31"/>
        <v>#DIV/0!</v>
      </c>
    </row>
    <row r="586" ht="30" customHeight="1" spans="1:74">
      <c r="A586" s="55" t="s">
        <v>211</v>
      </c>
      <c r="B586" s="56" t="s">
        <v>42</v>
      </c>
      <c r="C586" s="57" t="s">
        <v>43</v>
      </c>
      <c r="D586" s="76" t="s">
        <v>1001</v>
      </c>
      <c r="E586" s="59" t="s">
        <v>1009</v>
      </c>
      <c r="F586" s="59" t="str">
        <f>VLOOKUP(E586,[1]库存!$B$1:$C$65536,2,FALSE)</f>
        <v>SC3E-A SAB LH</v>
      </c>
      <c r="G586" s="59" t="s">
        <v>1010</v>
      </c>
      <c r="H586" s="59" t="s">
        <v>1011</v>
      </c>
      <c r="I586" s="59" t="s">
        <v>1012</v>
      </c>
      <c r="J586" s="80" t="s">
        <v>1013</v>
      </c>
      <c r="K586" s="61"/>
      <c r="L586" s="62">
        <v>0</v>
      </c>
      <c r="M586" s="63">
        <v>1500</v>
      </c>
      <c r="N586" s="64">
        <v>8</v>
      </c>
      <c r="O586" s="62">
        <v>0</v>
      </c>
      <c r="P586" s="65">
        <f t="shared" si="27"/>
        <v>0</v>
      </c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  <c r="BB586" s="66"/>
      <c r="BC586" s="66"/>
      <c r="BD586" s="66"/>
      <c r="BE586" s="67"/>
      <c r="BF586" s="67"/>
      <c r="BG586" s="68"/>
      <c r="BI586" s="69">
        <v>0</v>
      </c>
      <c r="BJ586" s="70">
        <v>0</v>
      </c>
      <c r="BK586" s="71">
        <v>0</v>
      </c>
      <c r="BL586" s="71">
        <v>0</v>
      </c>
      <c r="BM586" s="71">
        <v>0</v>
      </c>
      <c r="BN586" s="72">
        <v>0</v>
      </c>
      <c r="BO586" s="151" t="e">
        <f t="shared" si="28"/>
        <v>#DIV/0!</v>
      </c>
      <c r="BP586" s="151" t="e">
        <f t="shared" si="29"/>
        <v>#DIV/0!</v>
      </c>
      <c r="BQ586" s="71">
        <v>0</v>
      </c>
      <c r="BR586" s="71">
        <v>0</v>
      </c>
      <c r="BS586" s="71">
        <v>0</v>
      </c>
      <c r="BT586" s="72">
        <v>0</v>
      </c>
      <c r="BU586" s="151" t="e">
        <f t="shared" si="30"/>
        <v>#DIV/0!</v>
      </c>
      <c r="BV586" s="151" t="e">
        <f t="shared" si="31"/>
        <v>#DIV/0!</v>
      </c>
    </row>
    <row r="587" ht="30" customHeight="1" spans="1:74">
      <c r="A587" s="55">
        <v>0</v>
      </c>
      <c r="B587" s="56">
        <v>0</v>
      </c>
      <c r="C587" s="57">
        <v>0</v>
      </c>
      <c r="D587" s="78"/>
      <c r="E587" s="74"/>
      <c r="F587" s="59" t="e">
        <f>VLOOKUP(E587,[1]库存!$B$1:$C$65536,2,FALSE)</f>
        <v>#N/A</v>
      </c>
      <c r="G587" s="59" t="e">
        <v>#N/A</v>
      </c>
      <c r="H587" s="74"/>
      <c r="I587" s="74"/>
      <c r="J587" s="81"/>
      <c r="K587" s="61"/>
      <c r="L587" s="62">
        <v>0</v>
      </c>
      <c r="M587" s="63">
        <v>0</v>
      </c>
      <c r="N587" s="64">
        <v>0</v>
      </c>
      <c r="O587" s="62">
        <v>0</v>
      </c>
      <c r="P587" s="65">
        <f t="shared" si="27"/>
        <v>0</v>
      </c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  <c r="BB587" s="66"/>
      <c r="BC587" s="66"/>
      <c r="BD587" s="66"/>
      <c r="BE587" s="67"/>
      <c r="BF587" s="67"/>
      <c r="BG587" s="68"/>
      <c r="BI587" s="69">
        <v>0</v>
      </c>
      <c r="BJ587" s="70">
        <v>0</v>
      </c>
      <c r="BK587" s="71">
        <v>0</v>
      </c>
      <c r="BL587" s="71">
        <v>0</v>
      </c>
      <c r="BM587" s="71">
        <v>0</v>
      </c>
      <c r="BN587" s="72">
        <v>0</v>
      </c>
      <c r="BO587" s="151" t="e">
        <f t="shared" si="28"/>
        <v>#DIV/0!</v>
      </c>
      <c r="BP587" s="151" t="e">
        <f t="shared" si="29"/>
        <v>#DIV/0!</v>
      </c>
      <c r="BQ587" s="71">
        <v>0</v>
      </c>
      <c r="BR587" s="71">
        <v>0</v>
      </c>
      <c r="BS587" s="71">
        <v>0</v>
      </c>
      <c r="BT587" s="72">
        <v>0</v>
      </c>
      <c r="BU587" s="151" t="e">
        <f t="shared" si="30"/>
        <v>#DIV/0!</v>
      </c>
      <c r="BV587" s="151" t="e">
        <f t="shared" si="31"/>
        <v>#DIV/0!</v>
      </c>
    </row>
    <row r="588" ht="30" customHeight="1" spans="1:74">
      <c r="A588" s="55" t="s">
        <v>211</v>
      </c>
      <c r="B588" s="56" t="s">
        <v>42</v>
      </c>
      <c r="C588" s="57" t="s">
        <v>43</v>
      </c>
      <c r="D588" s="76" t="s">
        <v>1001</v>
      </c>
      <c r="E588" s="59" t="s">
        <v>1014</v>
      </c>
      <c r="F588" s="59" t="str">
        <f>VLOOKUP(E588,[1]库存!$B$1:$C$65536,2,FALSE)</f>
        <v>SC3E-A SAB RH</v>
      </c>
      <c r="G588" s="59" t="s">
        <v>1015</v>
      </c>
      <c r="H588" s="59" t="s">
        <v>1016</v>
      </c>
      <c r="I588" s="59" t="s">
        <v>1012</v>
      </c>
      <c r="J588" s="81"/>
      <c r="K588" s="61"/>
      <c r="L588" s="62">
        <v>0</v>
      </c>
      <c r="M588" s="63">
        <v>1500</v>
      </c>
      <c r="N588" s="64">
        <v>8</v>
      </c>
      <c r="O588" s="62">
        <v>0</v>
      </c>
      <c r="P588" s="65">
        <f t="shared" si="27"/>
        <v>0</v>
      </c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  <c r="BB588" s="66"/>
      <c r="BC588" s="66"/>
      <c r="BD588" s="66"/>
      <c r="BE588" s="67"/>
      <c r="BF588" s="67"/>
      <c r="BG588" s="68"/>
      <c r="BI588" s="69">
        <v>0</v>
      </c>
      <c r="BJ588" s="70">
        <v>0</v>
      </c>
      <c r="BK588" s="71">
        <v>0</v>
      </c>
      <c r="BL588" s="71">
        <v>0</v>
      </c>
      <c r="BM588" s="71">
        <v>0</v>
      </c>
      <c r="BN588" s="72">
        <v>0</v>
      </c>
      <c r="BO588" s="151" t="e">
        <f t="shared" si="28"/>
        <v>#DIV/0!</v>
      </c>
      <c r="BP588" s="151" t="e">
        <f t="shared" si="29"/>
        <v>#DIV/0!</v>
      </c>
      <c r="BQ588" s="71">
        <v>0</v>
      </c>
      <c r="BR588" s="71">
        <v>0</v>
      </c>
      <c r="BS588" s="71">
        <v>0</v>
      </c>
      <c r="BT588" s="72">
        <v>0</v>
      </c>
      <c r="BU588" s="151" t="e">
        <f t="shared" si="30"/>
        <v>#DIV/0!</v>
      </c>
      <c r="BV588" s="151" t="e">
        <f t="shared" si="31"/>
        <v>#DIV/0!</v>
      </c>
    </row>
    <row r="589" ht="30" customHeight="1" spans="1:74">
      <c r="A589" s="55">
        <v>0</v>
      </c>
      <c r="B589" s="56">
        <v>0</v>
      </c>
      <c r="C589" s="57">
        <v>0</v>
      </c>
      <c r="D589" s="78"/>
      <c r="E589" s="74"/>
      <c r="F589" s="59" t="e">
        <f>VLOOKUP(E589,[1]库存!$B$1:$C$65536,2,FALSE)</f>
        <v>#N/A</v>
      </c>
      <c r="G589" s="59" t="e">
        <v>#N/A</v>
      </c>
      <c r="H589" s="74"/>
      <c r="I589" s="74"/>
      <c r="J589" s="81"/>
      <c r="K589" s="61"/>
      <c r="L589" s="62">
        <v>0</v>
      </c>
      <c r="M589" s="63">
        <v>0</v>
      </c>
      <c r="N589" s="64">
        <v>0</v>
      </c>
      <c r="O589" s="62">
        <v>0</v>
      </c>
      <c r="P589" s="65">
        <f t="shared" si="27"/>
        <v>0</v>
      </c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  <c r="BB589" s="66"/>
      <c r="BC589" s="66"/>
      <c r="BD589" s="66"/>
      <c r="BE589" s="67"/>
      <c r="BF589" s="67"/>
      <c r="BG589" s="68"/>
      <c r="BI589" s="69">
        <v>0</v>
      </c>
      <c r="BJ589" s="70">
        <v>0</v>
      </c>
      <c r="BK589" s="71">
        <v>0</v>
      </c>
      <c r="BL589" s="71">
        <v>0</v>
      </c>
      <c r="BM589" s="71">
        <v>0</v>
      </c>
      <c r="BN589" s="72">
        <v>0</v>
      </c>
      <c r="BO589" s="151" t="e">
        <f t="shared" si="28"/>
        <v>#DIV/0!</v>
      </c>
      <c r="BP589" s="151" t="e">
        <f t="shared" si="29"/>
        <v>#DIV/0!</v>
      </c>
      <c r="BQ589" s="71">
        <v>0</v>
      </c>
      <c r="BR589" s="71">
        <v>0</v>
      </c>
      <c r="BS589" s="71">
        <v>0</v>
      </c>
      <c r="BT589" s="72">
        <v>0</v>
      </c>
      <c r="BU589" s="151" t="e">
        <f t="shared" si="30"/>
        <v>#DIV/0!</v>
      </c>
      <c r="BV589" s="151" t="e">
        <f t="shared" si="31"/>
        <v>#DIV/0!</v>
      </c>
    </row>
    <row r="590" ht="30" customHeight="1" spans="1:74">
      <c r="A590" s="55" t="s">
        <v>211</v>
      </c>
      <c r="B590" s="56" t="s">
        <v>42</v>
      </c>
      <c r="C590" s="57" t="s">
        <v>43</v>
      </c>
      <c r="D590" s="76" t="s">
        <v>1001</v>
      </c>
      <c r="E590" s="59" t="s">
        <v>1017</v>
      </c>
      <c r="F590" s="59" t="str">
        <f>VLOOKUP(E590,[1]库存!$B$1:$C$65536,2,FALSE)</f>
        <v>SC2E-1 SAB LH</v>
      </c>
      <c r="G590" s="59" t="s">
        <v>1018</v>
      </c>
      <c r="H590" s="59" t="s">
        <v>1019</v>
      </c>
      <c r="I590" s="59" t="s">
        <v>1020</v>
      </c>
      <c r="J590" s="60" t="s">
        <v>1021</v>
      </c>
      <c r="K590" s="61"/>
      <c r="L590" s="62">
        <v>0</v>
      </c>
      <c r="M590" s="63">
        <v>1700</v>
      </c>
      <c r="N590" s="64">
        <v>10</v>
      </c>
      <c r="O590" s="62">
        <v>0</v>
      </c>
      <c r="P590" s="65">
        <f t="shared" si="27"/>
        <v>0</v>
      </c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  <c r="BB590" s="66"/>
      <c r="BC590" s="66"/>
      <c r="BD590" s="66"/>
      <c r="BE590" s="67"/>
      <c r="BF590" s="67"/>
      <c r="BG590" s="68"/>
      <c r="BI590" s="69">
        <v>0</v>
      </c>
      <c r="BJ590" s="70">
        <v>0</v>
      </c>
      <c r="BK590" s="71">
        <v>0</v>
      </c>
      <c r="BL590" s="71">
        <v>0</v>
      </c>
      <c r="BM590" s="71">
        <v>0</v>
      </c>
      <c r="BN590" s="72">
        <v>0</v>
      </c>
      <c r="BO590" s="151" t="e">
        <f t="shared" si="28"/>
        <v>#DIV/0!</v>
      </c>
      <c r="BP590" s="151" t="e">
        <f t="shared" si="29"/>
        <v>#DIV/0!</v>
      </c>
      <c r="BQ590" s="71">
        <v>0</v>
      </c>
      <c r="BR590" s="71">
        <v>0</v>
      </c>
      <c r="BS590" s="71">
        <v>0</v>
      </c>
      <c r="BT590" s="72">
        <v>0</v>
      </c>
      <c r="BU590" s="151" t="e">
        <f t="shared" si="30"/>
        <v>#DIV/0!</v>
      </c>
      <c r="BV590" s="151" t="e">
        <f t="shared" si="31"/>
        <v>#DIV/0!</v>
      </c>
    </row>
    <row r="591" ht="30" customHeight="1" spans="1:74">
      <c r="A591" s="55">
        <v>0</v>
      </c>
      <c r="B591" s="56">
        <v>0</v>
      </c>
      <c r="C591" s="57">
        <v>0</v>
      </c>
      <c r="D591" s="78"/>
      <c r="E591" s="74"/>
      <c r="F591" s="59" t="e">
        <f>VLOOKUP(E591,[1]库存!$B$1:$C$65536,2,FALSE)</f>
        <v>#N/A</v>
      </c>
      <c r="G591" s="59" t="e">
        <v>#N/A</v>
      </c>
      <c r="H591" s="74"/>
      <c r="I591" s="74"/>
      <c r="J591" s="75"/>
      <c r="K591" s="61"/>
      <c r="L591" s="62">
        <v>0</v>
      </c>
      <c r="M591" s="63">
        <v>0</v>
      </c>
      <c r="N591" s="64">
        <v>0</v>
      </c>
      <c r="O591" s="62">
        <v>0</v>
      </c>
      <c r="P591" s="65">
        <f t="shared" si="27"/>
        <v>0</v>
      </c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  <c r="BB591" s="66"/>
      <c r="BC591" s="66"/>
      <c r="BD591" s="66"/>
      <c r="BE591" s="67"/>
      <c r="BF591" s="67"/>
      <c r="BG591" s="68"/>
      <c r="BI591" s="69">
        <v>0</v>
      </c>
      <c r="BJ591" s="70">
        <v>0</v>
      </c>
      <c r="BK591" s="71">
        <v>0</v>
      </c>
      <c r="BL591" s="71">
        <v>0</v>
      </c>
      <c r="BM591" s="71">
        <v>0</v>
      </c>
      <c r="BN591" s="72">
        <v>0</v>
      </c>
      <c r="BO591" s="151" t="e">
        <f t="shared" si="28"/>
        <v>#DIV/0!</v>
      </c>
      <c r="BP591" s="151" t="e">
        <f t="shared" si="29"/>
        <v>#DIV/0!</v>
      </c>
      <c r="BQ591" s="71">
        <v>0</v>
      </c>
      <c r="BR591" s="71">
        <v>0</v>
      </c>
      <c r="BS591" s="71">
        <v>0</v>
      </c>
      <c r="BT591" s="72">
        <v>0</v>
      </c>
      <c r="BU591" s="151" t="e">
        <f t="shared" si="30"/>
        <v>#DIV/0!</v>
      </c>
      <c r="BV591" s="151" t="e">
        <f t="shared" si="31"/>
        <v>#DIV/0!</v>
      </c>
    </row>
    <row r="592" ht="30" customHeight="1" spans="1:74">
      <c r="A592" s="55" t="s">
        <v>211</v>
      </c>
      <c r="B592" s="56" t="s">
        <v>42</v>
      </c>
      <c r="C592" s="57" t="s">
        <v>43</v>
      </c>
      <c r="D592" s="76" t="s">
        <v>1001</v>
      </c>
      <c r="E592" s="59" t="s">
        <v>1022</v>
      </c>
      <c r="F592" s="59" t="str">
        <f>VLOOKUP(E592,[1]库存!$B$1:$C$65536,2,FALSE)</f>
        <v>SC2E-1 SAB RH</v>
      </c>
      <c r="G592" s="59" t="s">
        <v>1023</v>
      </c>
      <c r="H592" s="59" t="s">
        <v>1024</v>
      </c>
      <c r="I592" s="59" t="s">
        <v>1020</v>
      </c>
      <c r="J592" s="75"/>
      <c r="K592" s="61"/>
      <c r="L592" s="62">
        <v>0</v>
      </c>
      <c r="M592" s="63">
        <v>1700</v>
      </c>
      <c r="N592" s="64">
        <v>10</v>
      </c>
      <c r="O592" s="62">
        <v>0</v>
      </c>
      <c r="P592" s="65">
        <f t="shared" si="27"/>
        <v>0</v>
      </c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  <c r="BB592" s="66"/>
      <c r="BC592" s="66"/>
      <c r="BD592" s="66"/>
      <c r="BE592" s="67"/>
      <c r="BF592" s="67"/>
      <c r="BG592" s="68"/>
      <c r="BI592" s="69">
        <v>0</v>
      </c>
      <c r="BJ592" s="70">
        <v>0</v>
      </c>
      <c r="BK592" s="71">
        <v>0</v>
      </c>
      <c r="BL592" s="71">
        <v>0</v>
      </c>
      <c r="BM592" s="71">
        <v>0</v>
      </c>
      <c r="BN592" s="72">
        <v>0</v>
      </c>
      <c r="BO592" s="151" t="e">
        <f t="shared" si="28"/>
        <v>#DIV/0!</v>
      </c>
      <c r="BP592" s="151" t="e">
        <f t="shared" si="29"/>
        <v>#DIV/0!</v>
      </c>
      <c r="BQ592" s="71">
        <v>0</v>
      </c>
      <c r="BR592" s="71">
        <v>0</v>
      </c>
      <c r="BS592" s="71">
        <v>0</v>
      </c>
      <c r="BT592" s="72">
        <v>0</v>
      </c>
      <c r="BU592" s="151" t="e">
        <f t="shared" si="30"/>
        <v>#DIV/0!</v>
      </c>
      <c r="BV592" s="151" t="e">
        <f t="shared" si="31"/>
        <v>#DIV/0!</v>
      </c>
    </row>
    <row r="593" ht="30" customHeight="1" spans="1:74">
      <c r="A593" s="55">
        <v>0</v>
      </c>
      <c r="B593" s="56">
        <v>0</v>
      </c>
      <c r="C593" s="57">
        <v>0</v>
      </c>
      <c r="D593" s="78"/>
      <c r="E593" s="74"/>
      <c r="F593" s="59" t="e">
        <f>VLOOKUP(E593,[1]库存!$B$1:$C$65536,2,FALSE)</f>
        <v>#N/A</v>
      </c>
      <c r="G593" s="59" t="e">
        <v>#N/A</v>
      </c>
      <c r="H593" s="74"/>
      <c r="I593" s="74"/>
      <c r="J593" s="75"/>
      <c r="K593" s="61"/>
      <c r="L593" s="62">
        <v>0</v>
      </c>
      <c r="M593" s="63">
        <v>0</v>
      </c>
      <c r="N593" s="64">
        <v>0</v>
      </c>
      <c r="O593" s="62">
        <v>0</v>
      </c>
      <c r="P593" s="65">
        <f t="shared" si="27"/>
        <v>0</v>
      </c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  <c r="BB593" s="66"/>
      <c r="BC593" s="66"/>
      <c r="BD593" s="66"/>
      <c r="BE593" s="67"/>
      <c r="BF593" s="67"/>
      <c r="BG593" s="68"/>
      <c r="BI593" s="69">
        <v>0</v>
      </c>
      <c r="BJ593" s="70">
        <v>0</v>
      </c>
      <c r="BK593" s="71">
        <v>0</v>
      </c>
      <c r="BL593" s="71">
        <v>0</v>
      </c>
      <c r="BM593" s="71">
        <v>0</v>
      </c>
      <c r="BN593" s="72">
        <v>0</v>
      </c>
      <c r="BO593" s="151" t="e">
        <f t="shared" si="28"/>
        <v>#DIV/0!</v>
      </c>
      <c r="BP593" s="151" t="e">
        <f t="shared" si="29"/>
        <v>#DIV/0!</v>
      </c>
      <c r="BQ593" s="71">
        <v>0</v>
      </c>
      <c r="BR593" s="71">
        <v>0</v>
      </c>
      <c r="BS593" s="71">
        <v>0</v>
      </c>
      <c r="BT593" s="72">
        <v>0</v>
      </c>
      <c r="BU593" s="151" t="e">
        <f t="shared" si="30"/>
        <v>#DIV/0!</v>
      </c>
      <c r="BV593" s="151" t="e">
        <f t="shared" si="31"/>
        <v>#DIV/0!</v>
      </c>
    </row>
    <row r="594" ht="30" customHeight="1" spans="1:74">
      <c r="A594" s="55">
        <v>0</v>
      </c>
      <c r="B594" s="56">
        <v>0</v>
      </c>
      <c r="C594" s="57">
        <v>0</v>
      </c>
      <c r="E594" s="88"/>
      <c r="F594" s="59" t="e">
        <f>VLOOKUP(E594,[1]库存!$B$1:$C$65536,2,FALSE)</f>
        <v>#N/A</v>
      </c>
      <c r="G594" s="59" t="e">
        <v>#N/A</v>
      </c>
      <c r="H594" s="89"/>
      <c r="I594" s="88"/>
      <c r="J594" s="90"/>
      <c r="K594" s="61"/>
      <c r="L594" s="62">
        <v>0</v>
      </c>
      <c r="M594" s="63">
        <v>0</v>
      </c>
      <c r="N594" s="64">
        <v>0</v>
      </c>
      <c r="O594" s="62">
        <v>0</v>
      </c>
      <c r="P594" s="65">
        <f t="shared" si="27"/>
        <v>0</v>
      </c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  <c r="BD594" s="66"/>
      <c r="BE594" s="67"/>
      <c r="BF594" s="67"/>
      <c r="BG594" s="68"/>
      <c r="BI594" s="69">
        <v>0</v>
      </c>
      <c r="BJ594" s="70">
        <v>0</v>
      </c>
      <c r="BK594" s="71">
        <v>0</v>
      </c>
      <c r="BL594" s="71">
        <v>0</v>
      </c>
      <c r="BM594" s="71">
        <v>0</v>
      </c>
      <c r="BN594" s="72">
        <v>0</v>
      </c>
      <c r="BO594" s="73"/>
      <c r="BP594" s="73"/>
      <c r="BQ594" s="71">
        <v>0</v>
      </c>
      <c r="BR594" s="71">
        <v>0</v>
      </c>
      <c r="BS594" s="71">
        <v>0</v>
      </c>
      <c r="BT594" s="72">
        <v>0</v>
      </c>
      <c r="BU594" s="73"/>
      <c r="BV594" s="73"/>
    </row>
    <row r="595" ht="30" customHeight="1" spans="1:74">
      <c r="A595" s="55" t="s">
        <v>165</v>
      </c>
      <c r="B595" s="56" t="s">
        <v>42</v>
      </c>
      <c r="C595" s="57" t="s">
        <v>43</v>
      </c>
      <c r="D595" s="57" t="s">
        <v>1025</v>
      </c>
      <c r="E595" s="91" t="s">
        <v>1026</v>
      </c>
      <c r="F595" s="91" t="str">
        <f>VLOOKUP(E595,[1]库存!$B$1:$C$65536,2,FALSE)</f>
        <v>L W04B RSAB LH A状态</v>
      </c>
      <c r="G595" s="91" t="s">
        <v>1027</v>
      </c>
      <c r="H595" s="91" t="s">
        <v>1028</v>
      </c>
      <c r="I595" s="91" t="s">
        <v>1029</v>
      </c>
      <c r="J595" s="63"/>
      <c r="K595" s="61"/>
      <c r="L595" s="62">
        <v>0</v>
      </c>
      <c r="M595" s="63">
        <v>1250</v>
      </c>
      <c r="N595" s="64">
        <v>13</v>
      </c>
      <c r="O595" s="62">
        <v>0</v>
      </c>
      <c r="P595" s="65">
        <f t="shared" si="27"/>
        <v>0</v>
      </c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96"/>
      <c r="AJ595" s="66"/>
      <c r="AK595" s="9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  <c r="BB595" s="66"/>
      <c r="BC595" s="66"/>
      <c r="BD595" s="66"/>
      <c r="BE595" s="67"/>
      <c r="BF595" s="67"/>
      <c r="BG595" s="68"/>
      <c r="BI595" s="69">
        <v>0</v>
      </c>
      <c r="BJ595" s="70">
        <v>0</v>
      </c>
      <c r="BK595" s="71">
        <v>0</v>
      </c>
      <c r="BL595" s="71">
        <v>0</v>
      </c>
      <c r="BM595" s="71">
        <v>0</v>
      </c>
      <c r="BN595" s="72">
        <v>0</v>
      </c>
      <c r="BO595" s="151" t="e">
        <f t="shared" ref="BO595:BO602" si="32">(BK595+BL595)/BJ595</f>
        <v>#DIV/0!</v>
      </c>
      <c r="BP595" s="151" t="e">
        <f t="shared" ref="BP595:BP602" si="33">BM595/BJ595</f>
        <v>#DIV/0!</v>
      </c>
      <c r="BQ595" s="71">
        <v>0</v>
      </c>
      <c r="BR595" s="71">
        <v>0</v>
      </c>
      <c r="BS595" s="71">
        <v>0</v>
      </c>
      <c r="BT595" s="72">
        <v>0</v>
      </c>
      <c r="BU595" s="151" t="e">
        <f t="shared" ref="BU595:BU602" si="34">(BQ595+BR595)/BJ595</f>
        <v>#DIV/0!</v>
      </c>
      <c r="BV595" s="151" t="e">
        <f t="shared" ref="BV595:BV602" si="35">BS595/BJ595</f>
        <v>#DIV/0!</v>
      </c>
    </row>
    <row r="596" ht="30" customHeight="1" spans="1:74">
      <c r="A596" s="55">
        <v>0</v>
      </c>
      <c r="B596" s="56">
        <v>0</v>
      </c>
      <c r="C596" s="57">
        <v>0</v>
      </c>
      <c r="D596" s="174"/>
      <c r="E596" s="92"/>
      <c r="F596" s="91" t="e">
        <f>VLOOKUP(E596,[1]库存!$B$1:$C$65536,2,FALSE)</f>
        <v>#N/A</v>
      </c>
      <c r="G596" s="91" t="e">
        <v>#N/A</v>
      </c>
      <c r="H596" s="92"/>
      <c r="I596" s="92"/>
      <c r="J596" s="87"/>
      <c r="K596" s="61"/>
      <c r="L596" s="62">
        <v>0</v>
      </c>
      <c r="M596" s="63">
        <v>0</v>
      </c>
      <c r="N596" s="64">
        <v>0</v>
      </c>
      <c r="O596" s="62">
        <v>0</v>
      </c>
      <c r="P596" s="65">
        <f t="shared" si="27"/>
        <v>0</v>
      </c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96"/>
      <c r="AJ596" s="66"/>
      <c r="AK596" s="9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  <c r="BB596" s="66"/>
      <c r="BC596" s="66"/>
      <c r="BD596" s="66"/>
      <c r="BE596" s="67"/>
      <c r="BF596" s="67"/>
      <c r="BG596" s="68"/>
      <c r="BI596" s="69">
        <v>0</v>
      </c>
      <c r="BJ596" s="70">
        <v>0</v>
      </c>
      <c r="BK596" s="71">
        <v>0</v>
      </c>
      <c r="BL596" s="71">
        <v>0</v>
      </c>
      <c r="BM596" s="71">
        <v>0</v>
      </c>
      <c r="BN596" s="72">
        <v>0</v>
      </c>
      <c r="BO596" s="151" t="e">
        <f t="shared" si="32"/>
        <v>#DIV/0!</v>
      </c>
      <c r="BP596" s="151" t="e">
        <f t="shared" si="33"/>
        <v>#DIV/0!</v>
      </c>
      <c r="BQ596" s="71">
        <v>0</v>
      </c>
      <c r="BR596" s="71">
        <v>0</v>
      </c>
      <c r="BS596" s="71">
        <v>0</v>
      </c>
      <c r="BT596" s="72">
        <v>0</v>
      </c>
      <c r="BU596" s="151" t="e">
        <f t="shared" si="34"/>
        <v>#DIV/0!</v>
      </c>
      <c r="BV596" s="151" t="e">
        <f t="shared" si="35"/>
        <v>#DIV/0!</v>
      </c>
    </row>
    <row r="597" ht="30" customHeight="1" spans="1:74">
      <c r="A597" s="55" t="s">
        <v>165</v>
      </c>
      <c r="B597" s="56" t="s">
        <v>42</v>
      </c>
      <c r="C597" s="57" t="s">
        <v>43</v>
      </c>
      <c r="D597" s="57" t="s">
        <v>1025</v>
      </c>
      <c r="E597" s="91" t="s">
        <v>1030</v>
      </c>
      <c r="F597" s="91" t="str">
        <f>VLOOKUP(E597,[1]库存!$B$1:$C$65536,2,FALSE)</f>
        <v>L W04B RSAB RH A状态</v>
      </c>
      <c r="G597" s="91" t="s">
        <v>1031</v>
      </c>
      <c r="H597" s="91" t="s">
        <v>1032</v>
      </c>
      <c r="I597" s="91" t="s">
        <v>1029</v>
      </c>
      <c r="J597" s="63"/>
      <c r="K597" s="61"/>
      <c r="L597" s="62">
        <v>0</v>
      </c>
      <c r="M597" s="63">
        <v>1250</v>
      </c>
      <c r="N597" s="64">
        <v>13</v>
      </c>
      <c r="O597" s="62">
        <v>0</v>
      </c>
      <c r="P597" s="65">
        <f t="shared" si="27"/>
        <v>0</v>
      </c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  <c r="BB597" s="66"/>
      <c r="BC597" s="66"/>
      <c r="BD597" s="66"/>
      <c r="BE597" s="67"/>
      <c r="BF597" s="67"/>
      <c r="BG597" s="68"/>
      <c r="BI597" s="69">
        <v>0</v>
      </c>
      <c r="BJ597" s="70">
        <v>0</v>
      </c>
      <c r="BK597" s="71">
        <v>0</v>
      </c>
      <c r="BL597" s="71">
        <v>0</v>
      </c>
      <c r="BM597" s="71">
        <v>0</v>
      </c>
      <c r="BN597" s="72">
        <v>0</v>
      </c>
      <c r="BO597" s="151" t="e">
        <f t="shared" si="32"/>
        <v>#DIV/0!</v>
      </c>
      <c r="BP597" s="151" t="e">
        <f t="shared" si="33"/>
        <v>#DIV/0!</v>
      </c>
      <c r="BQ597" s="71">
        <v>0</v>
      </c>
      <c r="BR597" s="71">
        <v>0</v>
      </c>
      <c r="BS597" s="71">
        <v>0</v>
      </c>
      <c r="BT597" s="72">
        <v>0</v>
      </c>
      <c r="BU597" s="151" t="e">
        <f t="shared" si="34"/>
        <v>#DIV/0!</v>
      </c>
      <c r="BV597" s="151" t="e">
        <f t="shared" si="35"/>
        <v>#DIV/0!</v>
      </c>
    </row>
    <row r="598" ht="30" customHeight="1" spans="1:74">
      <c r="A598" s="55">
        <v>0</v>
      </c>
      <c r="B598" s="56">
        <v>0</v>
      </c>
      <c r="C598" s="57">
        <v>0</v>
      </c>
      <c r="D598" s="174"/>
      <c r="E598" s="92"/>
      <c r="F598" s="91" t="e">
        <f>VLOOKUP(E598,[1]库存!$B$1:$C$65536,2,FALSE)</f>
        <v>#N/A</v>
      </c>
      <c r="G598" s="91" t="e">
        <v>#N/A</v>
      </c>
      <c r="H598" s="92"/>
      <c r="I598" s="92"/>
      <c r="J598" s="87"/>
      <c r="K598" s="61"/>
      <c r="L598" s="62">
        <v>0</v>
      </c>
      <c r="M598" s="63">
        <v>0</v>
      </c>
      <c r="N598" s="64">
        <v>0</v>
      </c>
      <c r="O598" s="62">
        <v>0</v>
      </c>
      <c r="P598" s="65">
        <f t="shared" si="27"/>
        <v>0</v>
      </c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  <c r="BB598" s="66"/>
      <c r="BC598" s="66"/>
      <c r="BD598" s="66"/>
      <c r="BE598" s="67"/>
      <c r="BF598" s="67"/>
      <c r="BG598" s="68"/>
      <c r="BI598" s="69">
        <v>0</v>
      </c>
      <c r="BJ598" s="70">
        <v>0</v>
      </c>
      <c r="BK598" s="71">
        <v>0</v>
      </c>
      <c r="BL598" s="71">
        <v>0</v>
      </c>
      <c r="BM598" s="71">
        <v>0</v>
      </c>
      <c r="BN598" s="72">
        <v>0</v>
      </c>
      <c r="BO598" s="151" t="e">
        <f t="shared" si="32"/>
        <v>#DIV/0!</v>
      </c>
      <c r="BP598" s="151" t="e">
        <f t="shared" si="33"/>
        <v>#DIV/0!</v>
      </c>
      <c r="BQ598" s="71">
        <v>0</v>
      </c>
      <c r="BR598" s="71">
        <v>0</v>
      </c>
      <c r="BS598" s="71">
        <v>0</v>
      </c>
      <c r="BT598" s="72">
        <v>0</v>
      </c>
      <c r="BU598" s="151" t="e">
        <f t="shared" si="34"/>
        <v>#DIV/0!</v>
      </c>
      <c r="BV598" s="151" t="e">
        <f t="shared" si="35"/>
        <v>#DIV/0!</v>
      </c>
    </row>
    <row r="599" ht="30" customHeight="1" spans="1:74">
      <c r="A599" s="55" t="s">
        <v>165</v>
      </c>
      <c r="B599" s="56" t="s">
        <v>42</v>
      </c>
      <c r="C599" s="57" t="s">
        <v>43</v>
      </c>
      <c r="D599" s="76" t="s">
        <v>1025</v>
      </c>
      <c r="E599" s="59" t="s">
        <v>1033</v>
      </c>
      <c r="F599" s="59" t="str">
        <f>VLOOKUP(E599,[1]库存!$B$1:$C$65536,2,FALSE)</f>
        <v>LIXIANG W04 RSAB LH</v>
      </c>
      <c r="G599" s="59" t="s">
        <v>1034</v>
      </c>
      <c r="H599" s="59" t="s">
        <v>1035</v>
      </c>
      <c r="I599" s="59" t="s">
        <v>1029</v>
      </c>
      <c r="J599" s="63"/>
      <c r="K599" s="61"/>
      <c r="L599" s="62">
        <v>0</v>
      </c>
      <c r="M599" s="63">
        <v>1250</v>
      </c>
      <c r="N599" s="64">
        <v>10</v>
      </c>
      <c r="O599" s="62">
        <v>0</v>
      </c>
      <c r="P599" s="65">
        <f t="shared" si="27"/>
        <v>0</v>
      </c>
      <c r="Q599" s="66"/>
      <c r="R599" s="66"/>
      <c r="S599" s="66"/>
      <c r="T599" s="66"/>
      <c r="U599" s="66"/>
      <c r="V599" s="66"/>
      <c r="W599" s="66">
        <v>0</v>
      </c>
      <c r="X599" s="66"/>
      <c r="Y599" s="66">
        <v>0</v>
      </c>
      <c r="Z599" s="66"/>
      <c r="AA599" s="66"/>
      <c r="AB599" s="66"/>
      <c r="AC599" s="66">
        <v>1800</v>
      </c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  <c r="BB599" s="66"/>
      <c r="BC599" s="66"/>
      <c r="BD599" s="66"/>
      <c r="BE599" s="67"/>
      <c r="BF599" s="67"/>
      <c r="BG599" s="68"/>
      <c r="BI599" s="69">
        <v>0</v>
      </c>
      <c r="BJ599" s="70">
        <v>0</v>
      </c>
      <c r="BK599" s="71">
        <v>0</v>
      </c>
      <c r="BL599" s="71">
        <v>0</v>
      </c>
      <c r="BM599" s="71">
        <v>0</v>
      </c>
      <c r="BN599" s="72">
        <v>0</v>
      </c>
      <c r="BO599" s="151" t="e">
        <f t="shared" si="32"/>
        <v>#DIV/0!</v>
      </c>
      <c r="BP599" s="151" t="e">
        <f t="shared" si="33"/>
        <v>#DIV/0!</v>
      </c>
      <c r="BQ599" s="71">
        <v>0</v>
      </c>
      <c r="BR599" s="71">
        <v>0</v>
      </c>
      <c r="BS599" s="71">
        <v>0</v>
      </c>
      <c r="BT599" s="72">
        <v>0</v>
      </c>
      <c r="BU599" s="151" t="e">
        <f t="shared" si="34"/>
        <v>#DIV/0!</v>
      </c>
      <c r="BV599" s="151" t="e">
        <f t="shared" si="35"/>
        <v>#DIV/0!</v>
      </c>
    </row>
    <row r="600" ht="30" customHeight="1" spans="1:74">
      <c r="A600" s="55">
        <v>0</v>
      </c>
      <c r="B600" s="56">
        <v>0</v>
      </c>
      <c r="C600" s="57">
        <v>0</v>
      </c>
      <c r="D600" s="78"/>
      <c r="E600" s="74"/>
      <c r="F600" s="59" t="e">
        <f>VLOOKUP(E600,[1]库存!$B$1:$C$65536,2,FALSE)</f>
        <v>#N/A</v>
      </c>
      <c r="G600" s="59" t="e">
        <v>#N/A</v>
      </c>
      <c r="H600" s="74"/>
      <c r="I600" s="74"/>
      <c r="J600" s="87"/>
      <c r="K600" s="61"/>
      <c r="L600" s="62">
        <v>0</v>
      </c>
      <c r="M600" s="63">
        <v>0</v>
      </c>
      <c r="N600" s="64">
        <v>0</v>
      </c>
      <c r="O600" s="62">
        <v>0</v>
      </c>
      <c r="P600" s="65">
        <f t="shared" si="27"/>
        <v>0</v>
      </c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>
        <v>1820</v>
      </c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  <c r="BB600" s="66"/>
      <c r="BC600" s="66"/>
      <c r="BD600" s="66"/>
      <c r="BE600" s="67"/>
      <c r="BF600" s="67"/>
      <c r="BG600" s="68"/>
      <c r="BI600" s="69">
        <v>0</v>
      </c>
      <c r="BJ600" s="70">
        <v>0</v>
      </c>
      <c r="BK600" s="71">
        <v>0</v>
      </c>
      <c r="BL600" s="71">
        <v>0</v>
      </c>
      <c r="BM600" s="71">
        <v>0</v>
      </c>
      <c r="BN600" s="72">
        <v>0</v>
      </c>
      <c r="BO600" s="151" t="e">
        <f t="shared" si="32"/>
        <v>#DIV/0!</v>
      </c>
      <c r="BP600" s="151" t="e">
        <f t="shared" si="33"/>
        <v>#DIV/0!</v>
      </c>
      <c r="BQ600" s="71">
        <v>0</v>
      </c>
      <c r="BR600" s="71">
        <v>0</v>
      </c>
      <c r="BS600" s="71">
        <v>0</v>
      </c>
      <c r="BT600" s="72">
        <v>0</v>
      </c>
      <c r="BU600" s="151" t="e">
        <f t="shared" si="34"/>
        <v>#DIV/0!</v>
      </c>
      <c r="BV600" s="151" t="e">
        <f t="shared" si="35"/>
        <v>#DIV/0!</v>
      </c>
    </row>
    <row r="601" ht="30" customHeight="1" spans="1:74">
      <c r="A601" s="55" t="s">
        <v>165</v>
      </c>
      <c r="B601" s="56" t="s">
        <v>42</v>
      </c>
      <c r="C601" s="57" t="s">
        <v>43</v>
      </c>
      <c r="D601" s="76" t="s">
        <v>1025</v>
      </c>
      <c r="E601" s="59" t="s">
        <v>1036</v>
      </c>
      <c r="F601" s="59" t="str">
        <f>VLOOKUP(E601,[1]库存!$B$1:$C$65536,2,FALSE)</f>
        <v>LIXIANG W04 RSAB RH</v>
      </c>
      <c r="G601" s="59" t="s">
        <v>1037</v>
      </c>
      <c r="H601" s="59" t="s">
        <v>1038</v>
      </c>
      <c r="I601" s="59" t="s">
        <v>1029</v>
      </c>
      <c r="J601" s="63"/>
      <c r="K601" s="61"/>
      <c r="L601" s="62">
        <v>0</v>
      </c>
      <c r="M601" s="63">
        <v>1250</v>
      </c>
      <c r="N601" s="64">
        <v>10</v>
      </c>
      <c r="O601" s="62">
        <v>0</v>
      </c>
      <c r="P601" s="65">
        <f t="shared" si="27"/>
        <v>0</v>
      </c>
      <c r="Q601" s="66">
        <v>1800</v>
      </c>
      <c r="R601" s="66"/>
      <c r="S601" s="66">
        <v>1800</v>
      </c>
      <c r="T601" s="66"/>
      <c r="U601" s="66">
        <v>0</v>
      </c>
      <c r="V601" s="66"/>
      <c r="W601" s="66"/>
      <c r="X601" s="66"/>
      <c r="Y601" s="66"/>
      <c r="Z601" s="66"/>
      <c r="AA601" s="66">
        <v>1800</v>
      </c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  <c r="BB601" s="66"/>
      <c r="BC601" s="66"/>
      <c r="BD601" s="66"/>
      <c r="BE601" s="67"/>
      <c r="BF601" s="67"/>
      <c r="BG601" s="68"/>
      <c r="BI601" s="69">
        <v>0</v>
      </c>
      <c r="BJ601" s="70">
        <v>0</v>
      </c>
      <c r="BK601" s="71">
        <v>0</v>
      </c>
      <c r="BL601" s="71">
        <v>0</v>
      </c>
      <c r="BM601" s="71">
        <v>0</v>
      </c>
      <c r="BN601" s="72">
        <v>0</v>
      </c>
      <c r="BO601" s="151" t="e">
        <f t="shared" si="32"/>
        <v>#DIV/0!</v>
      </c>
      <c r="BP601" s="151" t="e">
        <f t="shared" si="33"/>
        <v>#DIV/0!</v>
      </c>
      <c r="BQ601" s="71">
        <v>0</v>
      </c>
      <c r="BR601" s="71">
        <v>0</v>
      </c>
      <c r="BS601" s="71">
        <v>0</v>
      </c>
      <c r="BT601" s="72">
        <v>0</v>
      </c>
      <c r="BU601" s="151" t="e">
        <f t="shared" si="34"/>
        <v>#DIV/0!</v>
      </c>
      <c r="BV601" s="151" t="e">
        <f t="shared" si="35"/>
        <v>#DIV/0!</v>
      </c>
    </row>
    <row r="602" ht="30" customHeight="1" spans="1:74">
      <c r="A602" s="55">
        <v>0</v>
      </c>
      <c r="B602" s="56">
        <v>0</v>
      </c>
      <c r="C602" s="57">
        <v>0</v>
      </c>
      <c r="D602" s="78"/>
      <c r="E602" s="74"/>
      <c r="F602" s="59" t="e">
        <f>VLOOKUP(E602,[1]库存!$B$1:$C$65536,2,FALSE)</f>
        <v>#N/A</v>
      </c>
      <c r="G602" s="59" t="e">
        <v>#N/A</v>
      </c>
      <c r="H602" s="74"/>
      <c r="I602" s="74"/>
      <c r="J602" s="87"/>
      <c r="K602" s="61"/>
      <c r="L602" s="62">
        <v>0</v>
      </c>
      <c r="M602" s="63">
        <v>0</v>
      </c>
      <c r="N602" s="64">
        <v>0</v>
      </c>
      <c r="O602" s="62">
        <v>0</v>
      </c>
      <c r="P602" s="65">
        <f t="shared" si="27"/>
        <v>0</v>
      </c>
      <c r="Q602" s="66">
        <v>1812</v>
      </c>
      <c r="R602" s="66"/>
      <c r="S602" s="66">
        <v>1814</v>
      </c>
      <c r="T602" s="66"/>
      <c r="U602" s="66"/>
      <c r="V602" s="66"/>
      <c r="W602" s="66"/>
      <c r="X602" s="66"/>
      <c r="Y602" s="66"/>
      <c r="Z602" s="66"/>
      <c r="AA602" s="66">
        <v>1847</v>
      </c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  <c r="BD602" s="66"/>
      <c r="BE602" s="67"/>
      <c r="BF602" s="67"/>
      <c r="BG602" s="68"/>
      <c r="BI602" s="69">
        <v>0</v>
      </c>
      <c r="BJ602" s="70">
        <v>0</v>
      </c>
      <c r="BK602" s="71">
        <v>0</v>
      </c>
      <c r="BL602" s="71">
        <v>0</v>
      </c>
      <c r="BM602" s="71">
        <v>0</v>
      </c>
      <c r="BN602" s="72">
        <v>0</v>
      </c>
      <c r="BO602" s="151" t="e">
        <f t="shared" si="32"/>
        <v>#DIV/0!</v>
      </c>
      <c r="BP602" s="151" t="e">
        <f t="shared" si="33"/>
        <v>#DIV/0!</v>
      </c>
      <c r="BQ602" s="71">
        <v>0</v>
      </c>
      <c r="BR602" s="71">
        <v>0</v>
      </c>
      <c r="BS602" s="71">
        <v>0</v>
      </c>
      <c r="BT602" s="72">
        <v>0</v>
      </c>
      <c r="BU602" s="151" t="e">
        <f t="shared" si="34"/>
        <v>#DIV/0!</v>
      </c>
      <c r="BV602" s="151" t="e">
        <f t="shared" si="35"/>
        <v>#DIV/0!</v>
      </c>
    </row>
    <row r="603" ht="30" customHeight="1" spans="1:74">
      <c r="A603" s="55">
        <v>0</v>
      </c>
      <c r="B603" s="56">
        <v>0</v>
      </c>
      <c r="C603" s="57">
        <v>0</v>
      </c>
      <c r="E603" s="88"/>
      <c r="F603" s="59" t="e">
        <f>VLOOKUP(E603,[1]库存!$B$1:$C$65536,2,FALSE)</f>
        <v>#N/A</v>
      </c>
      <c r="G603" s="59" t="e">
        <v>#N/A</v>
      </c>
      <c r="H603" s="89"/>
      <c r="I603" s="88"/>
      <c r="J603" s="90"/>
      <c r="K603" s="61"/>
      <c r="L603" s="62">
        <v>0</v>
      </c>
      <c r="M603" s="63">
        <v>0</v>
      </c>
      <c r="N603" s="64">
        <v>0</v>
      </c>
      <c r="O603" s="62">
        <v>0</v>
      </c>
      <c r="P603" s="65">
        <f t="shared" si="27"/>
        <v>0</v>
      </c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  <c r="BB603" s="66"/>
      <c r="BC603" s="66"/>
      <c r="BD603" s="66"/>
      <c r="BE603" s="67"/>
      <c r="BF603" s="67"/>
      <c r="BG603" s="68"/>
      <c r="BI603" s="69">
        <v>0</v>
      </c>
      <c r="BJ603" s="70">
        <v>0</v>
      </c>
      <c r="BK603" s="71">
        <v>0</v>
      </c>
      <c r="BL603" s="71">
        <v>0</v>
      </c>
      <c r="BM603" s="71">
        <v>0</v>
      </c>
      <c r="BN603" s="72">
        <v>0</v>
      </c>
      <c r="BO603" s="73"/>
      <c r="BP603" s="73"/>
      <c r="BQ603" s="71">
        <v>0</v>
      </c>
      <c r="BR603" s="71">
        <v>0</v>
      </c>
      <c r="BS603" s="71">
        <v>0</v>
      </c>
      <c r="BT603" s="72">
        <v>0</v>
      </c>
      <c r="BU603" s="73"/>
      <c r="BV603" s="73"/>
    </row>
    <row r="604" ht="30" customHeight="1" spans="1:74">
      <c r="A604" s="55" t="s">
        <v>165</v>
      </c>
      <c r="B604" s="56" t="s">
        <v>42</v>
      </c>
      <c r="C604" s="57" t="s">
        <v>43</v>
      </c>
      <c r="D604" s="57" t="s">
        <v>1039</v>
      </c>
      <c r="E604" s="91" t="s">
        <v>1040</v>
      </c>
      <c r="F604" s="91" t="str">
        <f>VLOOKUP(E604,[1]库存!$B$1:$C$65536,2,FALSE)</f>
        <v>AS33 X6 FCA LHD B状态</v>
      </c>
      <c r="G604" s="91" t="s">
        <v>1041</v>
      </c>
      <c r="H604" s="91" t="s">
        <v>1042</v>
      </c>
      <c r="I604" s="91" t="s">
        <v>1043</v>
      </c>
      <c r="J604" s="63"/>
      <c r="K604" s="61"/>
      <c r="L604" s="62">
        <v>0</v>
      </c>
      <c r="M604" s="63">
        <v>900</v>
      </c>
      <c r="N604" s="64">
        <v>17</v>
      </c>
      <c r="O604" s="62">
        <v>3</v>
      </c>
      <c r="P604" s="65">
        <f t="shared" si="27"/>
        <v>0</v>
      </c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  <c r="BB604" s="66"/>
      <c r="BC604" s="66"/>
      <c r="BD604" s="66"/>
      <c r="BE604" s="67"/>
      <c r="BF604" s="67"/>
      <c r="BG604" s="68"/>
      <c r="BI604" s="69">
        <v>0</v>
      </c>
      <c r="BJ604" s="70">
        <v>0</v>
      </c>
      <c r="BK604" s="71">
        <v>0</v>
      </c>
      <c r="BL604" s="71">
        <v>0</v>
      </c>
      <c r="BM604" s="71">
        <v>0</v>
      </c>
      <c r="BN604" s="72">
        <v>0</v>
      </c>
      <c r="BO604" s="151" t="e">
        <f t="shared" ref="BO604:BO611" si="36">(BK604+BL604)/BJ604</f>
        <v>#DIV/0!</v>
      </c>
      <c r="BP604" s="151" t="e">
        <f t="shared" ref="BP604:BP611" si="37">BM604/BJ604</f>
        <v>#DIV/0!</v>
      </c>
      <c r="BQ604" s="71">
        <v>0</v>
      </c>
      <c r="BR604" s="71">
        <v>0</v>
      </c>
      <c r="BS604" s="71">
        <v>0</v>
      </c>
      <c r="BT604" s="72">
        <v>0</v>
      </c>
      <c r="BU604" s="151" t="e">
        <f t="shared" ref="BU604:BU611" si="38">(BQ604+BR604)/BJ604</f>
        <v>#DIV/0!</v>
      </c>
      <c r="BV604" s="151" t="e">
        <f t="shared" ref="BV604:BV611" si="39">BS604/BJ604</f>
        <v>#DIV/0!</v>
      </c>
    </row>
    <row r="605" ht="30" customHeight="1" spans="1:74">
      <c r="A605" s="55">
        <v>0</v>
      </c>
      <c r="B605" s="56">
        <v>0</v>
      </c>
      <c r="C605" s="57">
        <v>0</v>
      </c>
      <c r="D605" s="174"/>
      <c r="E605" s="92"/>
      <c r="F605" s="91" t="e">
        <f>VLOOKUP(E605,[1]库存!$B$1:$C$65536,2,FALSE)</f>
        <v>#N/A</v>
      </c>
      <c r="G605" s="91" t="e">
        <v>#N/A</v>
      </c>
      <c r="H605" s="92"/>
      <c r="I605" s="92"/>
      <c r="J605" s="87"/>
      <c r="K605" s="61"/>
      <c r="L605" s="62">
        <v>0</v>
      </c>
      <c r="M605" s="63">
        <v>0</v>
      </c>
      <c r="N605" s="64">
        <v>0</v>
      </c>
      <c r="O605" s="62">
        <v>0</v>
      </c>
      <c r="P605" s="65">
        <f t="shared" si="27"/>
        <v>0</v>
      </c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  <c r="BB605" s="66"/>
      <c r="BC605" s="66"/>
      <c r="BD605" s="66"/>
      <c r="BE605" s="67"/>
      <c r="BF605" s="67"/>
      <c r="BG605" s="68"/>
      <c r="BI605" s="69">
        <v>0</v>
      </c>
      <c r="BJ605" s="70">
        <v>0</v>
      </c>
      <c r="BK605" s="71">
        <v>0</v>
      </c>
      <c r="BL605" s="71">
        <v>0</v>
      </c>
      <c r="BM605" s="71">
        <v>0</v>
      </c>
      <c r="BN605" s="72">
        <v>0</v>
      </c>
      <c r="BO605" s="151" t="e">
        <f t="shared" si="36"/>
        <v>#DIV/0!</v>
      </c>
      <c r="BP605" s="151" t="e">
        <f t="shared" si="37"/>
        <v>#DIV/0!</v>
      </c>
      <c r="BQ605" s="71">
        <v>0</v>
      </c>
      <c r="BR605" s="71">
        <v>0</v>
      </c>
      <c r="BS605" s="71">
        <v>0</v>
      </c>
      <c r="BT605" s="72">
        <v>0</v>
      </c>
      <c r="BU605" s="151" t="e">
        <f t="shared" si="38"/>
        <v>#DIV/0!</v>
      </c>
      <c r="BV605" s="151" t="e">
        <f t="shared" si="39"/>
        <v>#DIV/0!</v>
      </c>
    </row>
    <row r="606" ht="30" customHeight="1" spans="1:74">
      <c r="A606" s="55" t="s">
        <v>165</v>
      </c>
      <c r="B606" s="56" t="s">
        <v>42</v>
      </c>
      <c r="C606" s="57" t="s">
        <v>43</v>
      </c>
      <c r="D606" s="57" t="s">
        <v>1039</v>
      </c>
      <c r="E606" s="91" t="s">
        <v>1044</v>
      </c>
      <c r="F606" s="91" t="str">
        <f>VLOOKUP(E606,[1]库存!$B$1:$C$65536,2,FALSE)</f>
        <v>AS33 X6 FCA RHD B状态</v>
      </c>
      <c r="G606" s="91" t="s">
        <v>1045</v>
      </c>
      <c r="H606" s="91" t="s">
        <v>1046</v>
      </c>
      <c r="I606" s="91" t="s">
        <v>1043</v>
      </c>
      <c r="J606" s="63"/>
      <c r="K606" s="61"/>
      <c r="L606" s="62">
        <v>0</v>
      </c>
      <c r="M606" s="63">
        <v>900</v>
      </c>
      <c r="N606" s="64">
        <v>17</v>
      </c>
      <c r="O606" s="62">
        <v>3</v>
      </c>
      <c r="P606" s="65">
        <f t="shared" si="27"/>
        <v>0</v>
      </c>
      <c r="Q606" s="66"/>
      <c r="R606" s="66"/>
      <c r="S606" s="66"/>
      <c r="T606" s="66"/>
      <c r="U606" s="66">
        <v>900</v>
      </c>
      <c r="V606" s="66"/>
      <c r="W606" s="66"/>
      <c r="X606" s="66"/>
      <c r="Y606" s="66"/>
      <c r="Z606" s="66"/>
      <c r="AA606" s="66">
        <v>600</v>
      </c>
      <c r="AB606" s="66"/>
      <c r="AC606" s="66">
        <v>1050</v>
      </c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  <c r="BB606" s="66"/>
      <c r="BC606" s="66"/>
      <c r="BD606" s="66"/>
      <c r="BE606" s="67"/>
      <c r="BF606" s="67"/>
      <c r="BG606" s="68"/>
      <c r="BI606" s="69">
        <v>0</v>
      </c>
      <c r="BJ606" s="70">
        <v>0</v>
      </c>
      <c r="BK606" s="71">
        <v>0</v>
      </c>
      <c r="BL606" s="71">
        <v>0</v>
      </c>
      <c r="BM606" s="71">
        <v>0</v>
      </c>
      <c r="BN606" s="72">
        <v>0</v>
      </c>
      <c r="BO606" s="151" t="e">
        <f t="shared" si="36"/>
        <v>#DIV/0!</v>
      </c>
      <c r="BP606" s="151" t="e">
        <f t="shared" si="37"/>
        <v>#DIV/0!</v>
      </c>
      <c r="BQ606" s="71">
        <v>0</v>
      </c>
      <c r="BR606" s="71">
        <v>0</v>
      </c>
      <c r="BS606" s="71">
        <v>0</v>
      </c>
      <c r="BT606" s="72">
        <v>0</v>
      </c>
      <c r="BU606" s="151" t="e">
        <f t="shared" si="38"/>
        <v>#DIV/0!</v>
      </c>
      <c r="BV606" s="151" t="e">
        <f t="shared" si="39"/>
        <v>#DIV/0!</v>
      </c>
    </row>
    <row r="607" ht="30" customHeight="1" spans="1:74">
      <c r="A607" s="55">
        <v>0</v>
      </c>
      <c r="B607" s="56">
        <v>0</v>
      </c>
      <c r="C607" s="57">
        <v>0</v>
      </c>
      <c r="D607" s="174"/>
      <c r="E607" s="92"/>
      <c r="F607" s="91" t="e">
        <f>VLOOKUP(E607,[1]库存!$B$1:$C$65536,2,FALSE)</f>
        <v>#N/A</v>
      </c>
      <c r="G607" s="91" t="e">
        <v>#N/A</v>
      </c>
      <c r="H607" s="92"/>
      <c r="I607" s="92"/>
      <c r="J607" s="87"/>
      <c r="K607" s="61"/>
      <c r="L607" s="62">
        <v>0</v>
      </c>
      <c r="M607" s="63">
        <v>0</v>
      </c>
      <c r="N607" s="64">
        <v>0</v>
      </c>
      <c r="O607" s="62">
        <v>0</v>
      </c>
      <c r="P607" s="65">
        <f t="shared" si="27"/>
        <v>0</v>
      </c>
      <c r="Q607" s="66"/>
      <c r="R607" s="66"/>
      <c r="S607" s="66"/>
      <c r="T607" s="66"/>
      <c r="U607" s="66">
        <v>828</v>
      </c>
      <c r="V607" s="66"/>
      <c r="W607" s="66"/>
      <c r="X607" s="66"/>
      <c r="Y607" s="66"/>
      <c r="Z607" s="66"/>
      <c r="AA607" s="66" t="s">
        <v>1047</v>
      </c>
      <c r="AB607" s="66"/>
      <c r="AC607" s="66">
        <v>1148</v>
      </c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66"/>
      <c r="AX607" s="66"/>
      <c r="AY607" s="66"/>
      <c r="AZ607" s="66"/>
      <c r="BA607" s="66"/>
      <c r="BB607" s="66"/>
      <c r="BC607" s="66"/>
      <c r="BD607" s="66"/>
      <c r="BE607" s="67"/>
      <c r="BF607" s="67"/>
      <c r="BG607" s="68"/>
      <c r="BI607" s="69">
        <v>0</v>
      </c>
      <c r="BJ607" s="70">
        <v>0</v>
      </c>
      <c r="BK607" s="71">
        <v>0</v>
      </c>
      <c r="BL607" s="71">
        <v>0</v>
      </c>
      <c r="BM607" s="71">
        <v>0</v>
      </c>
      <c r="BN607" s="72">
        <v>0</v>
      </c>
      <c r="BO607" s="151" t="e">
        <f t="shared" si="36"/>
        <v>#DIV/0!</v>
      </c>
      <c r="BP607" s="151" t="e">
        <f t="shared" si="37"/>
        <v>#DIV/0!</v>
      </c>
      <c r="BQ607" s="71">
        <v>0</v>
      </c>
      <c r="BR607" s="71">
        <v>0</v>
      </c>
      <c r="BS607" s="71">
        <v>0</v>
      </c>
      <c r="BT607" s="72">
        <v>0</v>
      </c>
      <c r="BU607" s="151" t="e">
        <f t="shared" si="38"/>
        <v>#DIV/0!</v>
      </c>
      <c r="BV607" s="151" t="e">
        <f t="shared" si="39"/>
        <v>#DIV/0!</v>
      </c>
    </row>
    <row r="608" ht="30" customHeight="1" spans="1:74">
      <c r="A608" s="55">
        <v>0</v>
      </c>
      <c r="B608" s="56" t="s">
        <v>42</v>
      </c>
      <c r="C608" s="57" t="s">
        <v>43</v>
      </c>
      <c r="D608" s="57" t="s">
        <v>1039</v>
      </c>
      <c r="E608" s="91" t="s">
        <v>1048</v>
      </c>
      <c r="F608" s="91" t="str">
        <f>VLOOKUP(E608,[1]库存!$B$1:$C$65536,2,FALSE)</f>
        <v>N80KS FCAB B状态</v>
      </c>
      <c r="G608" s="91" t="s">
        <v>1049</v>
      </c>
      <c r="H608" s="91" t="s">
        <v>1050</v>
      </c>
      <c r="I608" s="91" t="s">
        <v>1051</v>
      </c>
      <c r="J608" s="63"/>
      <c r="K608" s="61"/>
      <c r="L608" s="62">
        <v>0</v>
      </c>
      <c r="M608" s="63">
        <v>950</v>
      </c>
      <c r="N608" s="64">
        <v>16</v>
      </c>
      <c r="O608" s="62">
        <v>2.5</v>
      </c>
      <c r="P608" s="65">
        <f t="shared" si="27"/>
        <v>0</v>
      </c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66"/>
      <c r="AX608" s="66"/>
      <c r="AY608" s="66"/>
      <c r="AZ608" s="66"/>
      <c r="BA608" s="66"/>
      <c r="BB608" s="66"/>
      <c r="BC608" s="66"/>
      <c r="BD608" s="66"/>
      <c r="BE608" s="67"/>
      <c r="BF608" s="67"/>
      <c r="BG608" s="68"/>
      <c r="BI608" s="69">
        <v>0</v>
      </c>
      <c r="BJ608" s="70">
        <v>0</v>
      </c>
      <c r="BK608" s="71">
        <v>0</v>
      </c>
      <c r="BL608" s="71">
        <v>0</v>
      </c>
      <c r="BM608" s="71">
        <v>0</v>
      </c>
      <c r="BN608" s="72">
        <v>0</v>
      </c>
      <c r="BO608" s="151" t="e">
        <f t="shared" si="36"/>
        <v>#DIV/0!</v>
      </c>
      <c r="BP608" s="151" t="e">
        <f t="shared" si="37"/>
        <v>#DIV/0!</v>
      </c>
      <c r="BQ608" s="71">
        <v>0</v>
      </c>
      <c r="BR608" s="71">
        <v>0</v>
      </c>
      <c r="BS608" s="71">
        <v>0</v>
      </c>
      <c r="BT608" s="72">
        <v>0</v>
      </c>
      <c r="BU608" s="151" t="e">
        <f t="shared" si="38"/>
        <v>#DIV/0!</v>
      </c>
      <c r="BV608" s="151" t="e">
        <f t="shared" si="39"/>
        <v>#DIV/0!</v>
      </c>
    </row>
    <row r="609" ht="30" customHeight="1" spans="1:74">
      <c r="A609" s="55">
        <v>0</v>
      </c>
      <c r="B609" s="56">
        <v>0</v>
      </c>
      <c r="C609" s="57">
        <v>0</v>
      </c>
      <c r="D609" s="174"/>
      <c r="E609" s="92"/>
      <c r="F609" s="91" t="e">
        <f>VLOOKUP(E609,[1]库存!$B$1:$C$65536,2,FALSE)</f>
        <v>#N/A</v>
      </c>
      <c r="G609" s="91" t="e">
        <v>#N/A</v>
      </c>
      <c r="H609" s="92"/>
      <c r="I609" s="92"/>
      <c r="J609" s="87"/>
      <c r="K609" s="61"/>
      <c r="L609" s="62">
        <v>0</v>
      </c>
      <c r="M609" s="63">
        <v>0</v>
      </c>
      <c r="N609" s="64">
        <v>0</v>
      </c>
      <c r="O609" s="62">
        <v>0</v>
      </c>
      <c r="P609" s="65">
        <f t="shared" si="27"/>
        <v>0</v>
      </c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66"/>
      <c r="AX609" s="66"/>
      <c r="AY609" s="66"/>
      <c r="AZ609" s="66"/>
      <c r="BA609" s="66"/>
      <c r="BB609" s="66"/>
      <c r="BC609" s="66"/>
      <c r="BD609" s="66"/>
      <c r="BE609" s="67"/>
      <c r="BF609" s="67"/>
      <c r="BG609" s="68"/>
      <c r="BI609" s="69">
        <v>0</v>
      </c>
      <c r="BJ609" s="70">
        <v>0</v>
      </c>
      <c r="BK609" s="71">
        <v>0</v>
      </c>
      <c r="BL609" s="71">
        <v>0</v>
      </c>
      <c r="BM609" s="71">
        <v>0</v>
      </c>
      <c r="BN609" s="72">
        <v>0</v>
      </c>
      <c r="BO609" s="151" t="e">
        <f t="shared" si="36"/>
        <v>#DIV/0!</v>
      </c>
      <c r="BP609" s="151" t="e">
        <f t="shared" si="37"/>
        <v>#DIV/0!</v>
      </c>
      <c r="BQ609" s="71">
        <v>0</v>
      </c>
      <c r="BR609" s="71">
        <v>0</v>
      </c>
      <c r="BS609" s="71">
        <v>0</v>
      </c>
      <c r="BT609" s="72">
        <v>0</v>
      </c>
      <c r="BU609" s="151" t="e">
        <f t="shared" si="38"/>
        <v>#DIV/0!</v>
      </c>
      <c r="BV609" s="151" t="e">
        <f t="shared" si="39"/>
        <v>#DIV/0!</v>
      </c>
    </row>
    <row r="610" ht="30" customHeight="1" spans="1:74">
      <c r="A610" s="55">
        <v>0</v>
      </c>
      <c r="B610" s="56" t="s">
        <v>42</v>
      </c>
      <c r="C610" s="57" t="s">
        <v>43</v>
      </c>
      <c r="D610" s="57" t="s">
        <v>1039</v>
      </c>
      <c r="E610" s="91" t="s">
        <v>1052</v>
      </c>
      <c r="F610" s="91" t="str">
        <f>VLOOKUP(E610,[1]库存!$B$1:$C$65536,2,FALSE)</f>
        <v>VW316-6 CNX FCA B状态</v>
      </c>
      <c r="G610" s="91" t="s">
        <v>1053</v>
      </c>
      <c r="H610" s="91" t="s">
        <v>1054</v>
      </c>
      <c r="I610" s="91" t="s">
        <v>1055</v>
      </c>
      <c r="J610" s="63"/>
      <c r="K610" s="61"/>
      <c r="L610" s="62">
        <v>0</v>
      </c>
      <c r="M610" s="63">
        <v>950</v>
      </c>
      <c r="N610" s="64">
        <v>16</v>
      </c>
      <c r="O610" s="62">
        <v>2.5</v>
      </c>
      <c r="P610" s="65">
        <f t="shared" si="27"/>
        <v>0</v>
      </c>
      <c r="Q610" s="66">
        <v>800</v>
      </c>
      <c r="R610" s="66"/>
      <c r="S610" s="66" t="s">
        <v>1056</v>
      </c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96"/>
      <c r="AJ610" s="66"/>
      <c r="AK610" s="96"/>
      <c r="AL610" s="66"/>
      <c r="AM610" s="9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  <c r="BD610" s="66"/>
      <c r="BE610" s="67"/>
      <c r="BF610" s="67"/>
      <c r="BG610" s="68"/>
      <c r="BI610" s="69">
        <v>0</v>
      </c>
      <c r="BJ610" s="70">
        <v>0</v>
      </c>
      <c r="BK610" s="71">
        <v>0</v>
      </c>
      <c r="BL610" s="71">
        <v>0</v>
      </c>
      <c r="BM610" s="71">
        <v>0</v>
      </c>
      <c r="BN610" s="72">
        <v>0</v>
      </c>
      <c r="BO610" s="151" t="e">
        <f t="shared" si="36"/>
        <v>#DIV/0!</v>
      </c>
      <c r="BP610" s="151" t="e">
        <f t="shared" si="37"/>
        <v>#DIV/0!</v>
      </c>
      <c r="BQ610" s="71">
        <v>0</v>
      </c>
      <c r="BR610" s="71">
        <v>0</v>
      </c>
      <c r="BS610" s="71">
        <v>0</v>
      </c>
      <c r="BT610" s="72">
        <v>0</v>
      </c>
      <c r="BU610" s="151" t="e">
        <f t="shared" si="38"/>
        <v>#DIV/0!</v>
      </c>
      <c r="BV610" s="151" t="e">
        <f t="shared" si="39"/>
        <v>#DIV/0!</v>
      </c>
    </row>
    <row r="611" ht="30" customHeight="1" spans="1:74">
      <c r="A611" s="55">
        <v>0</v>
      </c>
      <c r="B611" s="56">
        <v>0</v>
      </c>
      <c r="C611" s="57">
        <v>0</v>
      </c>
      <c r="D611" s="174"/>
      <c r="E611" s="92"/>
      <c r="F611" s="91" t="e">
        <f>VLOOKUP(E611,[1]库存!$B$1:$C$65536,2,FALSE)</f>
        <v>#N/A</v>
      </c>
      <c r="G611" s="91" t="e">
        <v>#N/A</v>
      </c>
      <c r="H611" s="92"/>
      <c r="I611" s="92"/>
      <c r="J611" s="87"/>
      <c r="K611" s="61"/>
      <c r="L611" s="62">
        <v>0</v>
      </c>
      <c r="M611" s="63">
        <v>0</v>
      </c>
      <c r="N611" s="64">
        <v>0</v>
      </c>
      <c r="O611" s="62">
        <v>0</v>
      </c>
      <c r="P611" s="65">
        <f t="shared" si="27"/>
        <v>0</v>
      </c>
      <c r="Q611" s="66">
        <v>785</v>
      </c>
      <c r="R611" s="66"/>
      <c r="S611" s="66">
        <v>811</v>
      </c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  <c r="BD611" s="66"/>
      <c r="BE611" s="67"/>
      <c r="BF611" s="67"/>
      <c r="BG611" s="68"/>
      <c r="BI611" s="69">
        <v>0</v>
      </c>
      <c r="BJ611" s="70">
        <v>0</v>
      </c>
      <c r="BK611" s="71">
        <v>0</v>
      </c>
      <c r="BL611" s="71">
        <v>0</v>
      </c>
      <c r="BM611" s="71">
        <v>0</v>
      </c>
      <c r="BN611" s="72">
        <v>0</v>
      </c>
      <c r="BO611" s="151" t="e">
        <f t="shared" si="36"/>
        <v>#DIV/0!</v>
      </c>
      <c r="BP611" s="151" t="e">
        <f t="shared" si="37"/>
        <v>#DIV/0!</v>
      </c>
      <c r="BQ611" s="71">
        <v>0</v>
      </c>
      <c r="BR611" s="71">
        <v>0</v>
      </c>
      <c r="BS611" s="71">
        <v>0</v>
      </c>
      <c r="BT611" s="72">
        <v>0</v>
      </c>
      <c r="BU611" s="151" t="e">
        <f t="shared" si="38"/>
        <v>#DIV/0!</v>
      </c>
      <c r="BV611" s="151" t="e">
        <f t="shared" si="39"/>
        <v>#DIV/0!</v>
      </c>
    </row>
    <row r="612" ht="30" customHeight="1" spans="1:74">
      <c r="A612" s="55">
        <v>0</v>
      </c>
      <c r="B612" s="56">
        <v>0</v>
      </c>
      <c r="C612" s="57">
        <v>0</v>
      </c>
      <c r="E612" s="88"/>
      <c r="F612" s="59" t="e">
        <f>VLOOKUP(E612,[1]库存!$B$1:$C$65536,2,FALSE)</f>
        <v>#N/A</v>
      </c>
      <c r="G612" s="59" t="e">
        <v>#N/A</v>
      </c>
      <c r="H612" s="89"/>
      <c r="I612" s="88"/>
      <c r="J612" s="90"/>
      <c r="K612" s="61"/>
      <c r="L612" s="62">
        <v>0</v>
      </c>
      <c r="M612" s="63">
        <v>0</v>
      </c>
      <c r="N612" s="64">
        <v>0</v>
      </c>
      <c r="O612" s="62">
        <v>0</v>
      </c>
      <c r="P612" s="65">
        <f t="shared" si="27"/>
        <v>0</v>
      </c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  <c r="BD612" s="66"/>
      <c r="BE612" s="67"/>
      <c r="BF612" s="67"/>
      <c r="BG612" s="68"/>
      <c r="BI612" s="69">
        <v>0</v>
      </c>
      <c r="BJ612" s="70">
        <v>0</v>
      </c>
      <c r="BK612" s="71">
        <v>0</v>
      </c>
      <c r="BL612" s="71">
        <v>0</v>
      </c>
      <c r="BM612" s="71">
        <v>0</v>
      </c>
      <c r="BN612" s="72">
        <v>0</v>
      </c>
      <c r="BO612" s="73"/>
      <c r="BP612" s="73"/>
      <c r="BQ612" s="71">
        <v>0</v>
      </c>
      <c r="BR612" s="71">
        <v>0</v>
      </c>
      <c r="BS612" s="71">
        <v>0</v>
      </c>
      <c r="BT612" s="72">
        <v>0</v>
      </c>
      <c r="BU612" s="73"/>
      <c r="BV612" s="73"/>
    </row>
    <row r="613" ht="30" customHeight="1" spans="1:74">
      <c r="A613" s="55">
        <v>0</v>
      </c>
      <c r="B613" s="56">
        <v>0</v>
      </c>
      <c r="C613" s="57">
        <v>0</v>
      </c>
      <c r="D613" s="185"/>
      <c r="E613" s="186"/>
      <c r="F613" s="187" t="e">
        <f>VLOOKUP(E613,[1]库存!$B$1:$C$65536,2,FALSE)</f>
        <v>#N/A</v>
      </c>
      <c r="G613" s="187" t="e">
        <v>#N/A</v>
      </c>
      <c r="H613" s="188"/>
      <c r="I613" s="189"/>
      <c r="J613" s="190"/>
      <c r="K613" s="181"/>
      <c r="L613" s="65">
        <f>SUM(M613:M613)</f>
        <v>0</v>
      </c>
      <c r="M613" s="63">
        <v>0</v>
      </c>
      <c r="N613" s="65">
        <f>SUM(O613:P613)</f>
        <v>0</v>
      </c>
      <c r="O613" s="65">
        <f>SUM(P613:P613)</f>
        <v>0</v>
      </c>
      <c r="P613" s="65">
        <f t="shared" si="27"/>
        <v>0</v>
      </c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66"/>
      <c r="AX613" s="66"/>
      <c r="AY613" s="66"/>
      <c r="AZ613" s="66"/>
      <c r="BA613" s="66"/>
      <c r="BB613" s="66"/>
      <c r="BC613" s="66"/>
      <c r="BD613" s="66"/>
      <c r="BE613" s="67"/>
      <c r="BF613" s="67"/>
      <c r="BG613" s="68"/>
      <c r="BI613" s="69">
        <v>0</v>
      </c>
      <c r="BJ613" s="70">
        <v>0</v>
      </c>
      <c r="BK613" s="71">
        <v>0</v>
      </c>
      <c r="BL613" s="71">
        <v>0</v>
      </c>
      <c r="BM613" s="71">
        <v>0</v>
      </c>
      <c r="BN613" s="72">
        <v>0</v>
      </c>
      <c r="BO613" s="151" t="e">
        <f t="shared" ref="BO613:BO676" si="40">(BK613+BL613)/BJ613</f>
        <v>#DIV/0!</v>
      </c>
      <c r="BP613" s="151" t="e">
        <f t="shared" ref="BP613:BP676" si="41">BM613/BJ613</f>
        <v>#DIV/0!</v>
      </c>
      <c r="BQ613" s="71">
        <v>0</v>
      </c>
      <c r="BR613" s="71">
        <v>0</v>
      </c>
      <c r="BS613" s="71">
        <v>0</v>
      </c>
      <c r="BT613" s="72">
        <v>0</v>
      </c>
      <c r="BU613" s="191"/>
      <c r="BV613" s="191"/>
    </row>
    <row r="614" ht="30" customHeight="1" spans="1:74">
      <c r="A614" s="55" t="s">
        <v>540</v>
      </c>
      <c r="B614" s="56" t="s">
        <v>1057</v>
      </c>
      <c r="C614" s="57" t="s">
        <v>1058</v>
      </c>
      <c r="D614" s="91" t="s">
        <v>1059</v>
      </c>
      <c r="E614" s="91" t="s">
        <v>1060</v>
      </c>
      <c r="F614" s="91" t="str">
        <f>VLOOKUP(E614,[1]库存!$B$1:$C$65536,2,FALSE)</f>
        <v>BMW G20 SAB LH B状态 (埃)</v>
      </c>
      <c r="G614" s="91" t="s">
        <v>1061</v>
      </c>
      <c r="H614" s="91" t="s">
        <v>1062</v>
      </c>
      <c r="I614" s="91" t="s">
        <v>1063</v>
      </c>
      <c r="J614" s="64"/>
      <c r="K614" s="61"/>
      <c r="L614" s="62">
        <v>2</v>
      </c>
      <c r="M614" s="63">
        <v>1400</v>
      </c>
      <c r="N614" s="64">
        <v>11</v>
      </c>
      <c r="O614" s="62">
        <v>2</v>
      </c>
      <c r="P614" s="65">
        <f t="shared" si="27"/>
        <v>0</v>
      </c>
      <c r="Q614" s="103"/>
      <c r="R614" s="66"/>
      <c r="S614" s="103"/>
      <c r="T614" s="66"/>
      <c r="U614" s="103"/>
      <c r="V614" s="66"/>
      <c r="W614" s="103"/>
      <c r="X614" s="66"/>
      <c r="Y614" s="103"/>
      <c r="Z614" s="66"/>
      <c r="AA614" s="103"/>
      <c r="AB614" s="66"/>
      <c r="AC614" s="103"/>
      <c r="AD614" s="66"/>
      <c r="AE614" s="103"/>
      <c r="AF614" s="66"/>
      <c r="AG614" s="103"/>
      <c r="AH614" s="66"/>
      <c r="AI614" s="103"/>
      <c r="AJ614" s="66"/>
      <c r="AK614" s="103"/>
      <c r="AL614" s="66"/>
      <c r="AM614" s="103"/>
      <c r="AN614" s="66"/>
      <c r="AO614" s="103"/>
      <c r="AP614" s="66"/>
      <c r="AQ614" s="103"/>
      <c r="AR614" s="66"/>
      <c r="AS614" s="103"/>
      <c r="AT614" s="66"/>
      <c r="AU614" s="103"/>
      <c r="AV614" s="66"/>
      <c r="AW614" s="103"/>
      <c r="AX614" s="66"/>
      <c r="AY614" s="103"/>
      <c r="AZ614" s="66"/>
      <c r="BA614" s="103"/>
      <c r="BB614" s="66"/>
      <c r="BC614" s="103"/>
      <c r="BD614" s="66"/>
      <c r="BE614" s="105"/>
      <c r="BF614" s="67"/>
      <c r="BG614" s="68"/>
      <c r="BI614" s="69">
        <v>0</v>
      </c>
      <c r="BJ614" s="70">
        <v>0</v>
      </c>
      <c r="BK614" s="71">
        <v>0</v>
      </c>
      <c r="BL614" s="71">
        <v>0</v>
      </c>
      <c r="BM614" s="71">
        <v>0</v>
      </c>
      <c r="BN614" s="72">
        <v>0</v>
      </c>
      <c r="BO614" s="151" t="e">
        <f t="shared" si="40"/>
        <v>#DIV/0!</v>
      </c>
      <c r="BP614" s="151" t="e">
        <f t="shared" si="41"/>
        <v>#DIV/0!</v>
      </c>
      <c r="BQ614" s="71">
        <v>0</v>
      </c>
      <c r="BR614" s="71">
        <v>0</v>
      </c>
      <c r="BS614" s="71">
        <v>0</v>
      </c>
      <c r="BT614" s="72">
        <v>0</v>
      </c>
      <c r="BU614" s="73"/>
      <c r="BV614" s="73"/>
    </row>
    <row r="615" ht="30" customHeight="1" spans="1:74">
      <c r="A615" s="55">
        <v>0</v>
      </c>
      <c r="B615" s="56">
        <v>0</v>
      </c>
      <c r="C615" s="57">
        <v>0</v>
      </c>
      <c r="D615" s="92"/>
      <c r="E615" s="92"/>
      <c r="F615" s="91" t="e">
        <f>VLOOKUP(E615,[1]库存!$B$1:$C$65536,2,FALSE)</f>
        <v>#N/A</v>
      </c>
      <c r="G615" s="91" t="e">
        <v>#N/A</v>
      </c>
      <c r="H615" s="92"/>
      <c r="I615" s="92"/>
      <c r="J615" s="93"/>
      <c r="K615" s="61"/>
      <c r="L615" s="62">
        <v>0</v>
      </c>
      <c r="M615" s="63">
        <v>0</v>
      </c>
      <c r="N615" s="64">
        <v>0</v>
      </c>
      <c r="O615" s="62">
        <v>0</v>
      </c>
      <c r="P615" s="65">
        <f t="shared" si="27"/>
        <v>0</v>
      </c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6"/>
      <c r="BB615" s="66"/>
      <c r="BC615" s="66"/>
      <c r="BD615" s="66"/>
      <c r="BE615" s="67"/>
      <c r="BF615" s="67"/>
      <c r="BG615" s="68"/>
      <c r="BI615" s="69">
        <v>0</v>
      </c>
      <c r="BJ615" s="70">
        <v>0</v>
      </c>
      <c r="BK615" s="71">
        <v>0</v>
      </c>
      <c r="BL615" s="71">
        <v>0</v>
      </c>
      <c r="BM615" s="71">
        <v>0</v>
      </c>
      <c r="BN615" s="72">
        <v>0</v>
      </c>
      <c r="BO615" s="151" t="e">
        <f t="shared" si="40"/>
        <v>#DIV/0!</v>
      </c>
      <c r="BP615" s="151" t="e">
        <f t="shared" si="41"/>
        <v>#DIV/0!</v>
      </c>
      <c r="BQ615" s="71">
        <v>0</v>
      </c>
      <c r="BR615" s="71">
        <v>0</v>
      </c>
      <c r="BS615" s="71">
        <v>0</v>
      </c>
      <c r="BT615" s="72">
        <v>0</v>
      </c>
      <c r="BU615" s="73"/>
      <c r="BV615" s="73"/>
    </row>
    <row r="616" ht="30" customHeight="1" spans="1:74">
      <c r="A616" s="55" t="s">
        <v>540</v>
      </c>
      <c r="B616" s="56" t="s">
        <v>1057</v>
      </c>
      <c r="C616" s="57" t="s">
        <v>1058</v>
      </c>
      <c r="D616" s="91" t="s">
        <v>1059</v>
      </c>
      <c r="E616" s="91" t="s">
        <v>1064</v>
      </c>
      <c r="F616" s="91" t="str">
        <f>VLOOKUP(E616,[1]库存!$B$1:$C$65536,2,FALSE)</f>
        <v>BMW G20 SAB RH B状态 (埃)</v>
      </c>
      <c r="G616" s="91" t="s">
        <v>1065</v>
      </c>
      <c r="H616" s="91" t="s">
        <v>1066</v>
      </c>
      <c r="I616" s="91" t="s">
        <v>1063</v>
      </c>
      <c r="J616" s="64"/>
      <c r="K616" s="61"/>
      <c r="L616" s="62">
        <v>2</v>
      </c>
      <c r="M616" s="63">
        <v>1400</v>
      </c>
      <c r="N616" s="64">
        <v>11</v>
      </c>
      <c r="O616" s="62">
        <v>2</v>
      </c>
      <c r="P616" s="65">
        <f t="shared" si="27"/>
        <v>0</v>
      </c>
      <c r="Q616" s="103"/>
      <c r="R616" s="66"/>
      <c r="S616" s="103"/>
      <c r="T616" s="66"/>
      <c r="U616" s="103"/>
      <c r="V616" s="66"/>
      <c r="W616" s="103"/>
      <c r="X616" s="66"/>
      <c r="Y616" s="103"/>
      <c r="Z616" s="66"/>
      <c r="AA616" s="103"/>
      <c r="AB616" s="66"/>
      <c r="AC616" s="103"/>
      <c r="AD616" s="66"/>
      <c r="AE616" s="103"/>
      <c r="AF616" s="66"/>
      <c r="AG616" s="103"/>
      <c r="AH616" s="66"/>
      <c r="AI616" s="103"/>
      <c r="AJ616" s="66"/>
      <c r="AK616" s="103"/>
      <c r="AL616" s="66"/>
      <c r="AM616" s="103"/>
      <c r="AN616" s="66"/>
      <c r="AO616" s="103"/>
      <c r="AP616" s="66"/>
      <c r="AQ616" s="103"/>
      <c r="AR616" s="66"/>
      <c r="AS616" s="103"/>
      <c r="AT616" s="66"/>
      <c r="AU616" s="103"/>
      <c r="AV616" s="66"/>
      <c r="AW616" s="103"/>
      <c r="AX616" s="66"/>
      <c r="AY616" s="103"/>
      <c r="AZ616" s="66"/>
      <c r="BA616" s="103"/>
      <c r="BB616" s="66"/>
      <c r="BC616" s="103"/>
      <c r="BD616" s="66"/>
      <c r="BE616" s="105"/>
      <c r="BF616" s="67"/>
      <c r="BG616" s="68"/>
      <c r="BI616" s="69">
        <v>0</v>
      </c>
      <c r="BJ616" s="70">
        <v>0</v>
      </c>
      <c r="BK616" s="71">
        <v>0</v>
      </c>
      <c r="BL616" s="71">
        <v>0</v>
      </c>
      <c r="BM616" s="71">
        <v>0</v>
      </c>
      <c r="BN616" s="72">
        <v>0</v>
      </c>
      <c r="BO616" s="151" t="e">
        <f t="shared" si="40"/>
        <v>#DIV/0!</v>
      </c>
      <c r="BP616" s="151" t="e">
        <f t="shared" si="41"/>
        <v>#DIV/0!</v>
      </c>
      <c r="BQ616" s="71">
        <v>0</v>
      </c>
      <c r="BR616" s="71">
        <v>0</v>
      </c>
      <c r="BS616" s="71">
        <v>0</v>
      </c>
      <c r="BT616" s="72">
        <v>0</v>
      </c>
      <c r="BU616" s="73"/>
      <c r="BV616" s="73"/>
    </row>
    <row r="617" ht="30" customHeight="1" spans="1:74">
      <c r="A617" s="55">
        <v>0</v>
      </c>
      <c r="B617" s="56">
        <v>0</v>
      </c>
      <c r="C617" s="57">
        <v>0</v>
      </c>
      <c r="D617" s="92"/>
      <c r="E617" s="92"/>
      <c r="F617" s="91" t="e">
        <f>VLOOKUP(E617,[1]库存!$B$1:$C$65536,2,FALSE)</f>
        <v>#N/A</v>
      </c>
      <c r="G617" s="91" t="e">
        <v>#N/A</v>
      </c>
      <c r="H617" s="92"/>
      <c r="I617" s="92"/>
      <c r="J617" s="93"/>
      <c r="K617" s="61"/>
      <c r="L617" s="62">
        <v>0</v>
      </c>
      <c r="M617" s="63">
        <v>0</v>
      </c>
      <c r="N617" s="64">
        <v>0</v>
      </c>
      <c r="O617" s="62">
        <v>0</v>
      </c>
      <c r="P617" s="65">
        <f t="shared" si="27"/>
        <v>0</v>
      </c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66"/>
      <c r="AX617" s="66"/>
      <c r="AY617" s="66"/>
      <c r="AZ617" s="66"/>
      <c r="BA617" s="66"/>
      <c r="BB617" s="66"/>
      <c r="BC617" s="66"/>
      <c r="BD617" s="66"/>
      <c r="BE617" s="67"/>
      <c r="BF617" s="67"/>
      <c r="BG617" s="68"/>
      <c r="BI617" s="69">
        <v>0</v>
      </c>
      <c r="BJ617" s="70">
        <v>0</v>
      </c>
      <c r="BK617" s="71">
        <v>0</v>
      </c>
      <c r="BL617" s="71">
        <v>0</v>
      </c>
      <c r="BM617" s="71">
        <v>0</v>
      </c>
      <c r="BN617" s="72">
        <v>0</v>
      </c>
      <c r="BO617" s="151" t="e">
        <f t="shared" si="40"/>
        <v>#DIV/0!</v>
      </c>
      <c r="BP617" s="151" t="e">
        <f t="shared" si="41"/>
        <v>#DIV/0!</v>
      </c>
      <c r="BQ617" s="71">
        <v>0</v>
      </c>
      <c r="BR617" s="71">
        <v>0</v>
      </c>
      <c r="BS617" s="71">
        <v>0</v>
      </c>
      <c r="BT617" s="72">
        <v>0</v>
      </c>
      <c r="BU617" s="73"/>
      <c r="BV617" s="73"/>
    </row>
    <row r="618" ht="30" customHeight="1" spans="1:74">
      <c r="A618" s="55">
        <v>0</v>
      </c>
      <c r="B618" s="56" t="s">
        <v>1057</v>
      </c>
      <c r="C618" s="57" t="s">
        <v>1058</v>
      </c>
      <c r="D618" s="59" t="s">
        <v>1059</v>
      </c>
      <c r="E618" s="59" t="s">
        <v>1067</v>
      </c>
      <c r="F618" s="59" t="e">
        <f>VLOOKUP(E618,[1]库存!$B$1:$C$65536,2,FALSE)</f>
        <v>#N/A</v>
      </c>
      <c r="G618" s="59" t="e">
        <v>#N/A</v>
      </c>
      <c r="H618" s="59" t="s">
        <v>1068</v>
      </c>
      <c r="I618" s="59" t="s">
        <v>1069</v>
      </c>
      <c r="J618" s="63"/>
      <c r="K618" s="61"/>
      <c r="L618" s="62">
        <v>2</v>
      </c>
      <c r="M618" s="63">
        <v>1000</v>
      </c>
      <c r="N618" s="64">
        <v>9</v>
      </c>
      <c r="O618" s="62">
        <v>2</v>
      </c>
      <c r="P618" s="65">
        <f t="shared" si="27"/>
        <v>0</v>
      </c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66"/>
      <c r="AX618" s="66"/>
      <c r="AY618" s="66"/>
      <c r="AZ618" s="66"/>
      <c r="BA618" s="66"/>
      <c r="BB618" s="66"/>
      <c r="BC618" s="66"/>
      <c r="BD618" s="66"/>
      <c r="BE618" s="67"/>
      <c r="BF618" s="67"/>
      <c r="BG618" s="68"/>
      <c r="BI618" s="69">
        <v>0</v>
      </c>
      <c r="BJ618" s="70">
        <v>0</v>
      </c>
      <c r="BK618" s="71">
        <v>0</v>
      </c>
      <c r="BL618" s="71">
        <v>0</v>
      </c>
      <c r="BM618" s="71">
        <v>0</v>
      </c>
      <c r="BN618" s="72">
        <v>0</v>
      </c>
      <c r="BO618" s="151" t="e">
        <f t="shared" si="40"/>
        <v>#DIV/0!</v>
      </c>
      <c r="BP618" s="151" t="e">
        <f t="shared" si="41"/>
        <v>#DIV/0!</v>
      </c>
      <c r="BQ618" s="71">
        <v>0</v>
      </c>
      <c r="BR618" s="71">
        <v>0</v>
      </c>
      <c r="BS618" s="71">
        <v>0</v>
      </c>
      <c r="BT618" s="72">
        <v>0</v>
      </c>
      <c r="BU618" s="73"/>
      <c r="BV618" s="73"/>
    </row>
    <row r="619" ht="30" customHeight="1" spans="1:74">
      <c r="A619" s="55">
        <v>0</v>
      </c>
      <c r="B619" s="56">
        <v>0</v>
      </c>
      <c r="C619" s="57">
        <v>0</v>
      </c>
      <c r="D619" s="74"/>
      <c r="E619" s="74"/>
      <c r="F619" s="59" t="e">
        <f>VLOOKUP(E619,[1]库存!$B$1:$C$65536,2,FALSE)</f>
        <v>#N/A</v>
      </c>
      <c r="G619" s="59" t="e">
        <v>#N/A</v>
      </c>
      <c r="H619" s="74"/>
      <c r="I619" s="74"/>
      <c r="J619" s="87"/>
      <c r="K619" s="61"/>
      <c r="L619" s="62">
        <v>0</v>
      </c>
      <c r="M619" s="63">
        <v>0</v>
      </c>
      <c r="N619" s="64">
        <v>0</v>
      </c>
      <c r="O619" s="62">
        <v>0</v>
      </c>
      <c r="P619" s="65">
        <f t="shared" si="27"/>
        <v>0</v>
      </c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66"/>
      <c r="AX619" s="66"/>
      <c r="AY619" s="66"/>
      <c r="AZ619" s="66"/>
      <c r="BA619" s="66"/>
      <c r="BB619" s="66"/>
      <c r="BC619" s="66"/>
      <c r="BD619" s="66"/>
      <c r="BE619" s="67"/>
      <c r="BF619" s="67"/>
      <c r="BG619" s="68"/>
      <c r="BI619" s="69">
        <v>0</v>
      </c>
      <c r="BJ619" s="70">
        <v>0</v>
      </c>
      <c r="BK619" s="71">
        <v>0</v>
      </c>
      <c r="BL619" s="71">
        <v>0</v>
      </c>
      <c r="BM619" s="71">
        <v>0</v>
      </c>
      <c r="BN619" s="72">
        <v>0</v>
      </c>
      <c r="BO619" s="151" t="e">
        <f t="shared" si="40"/>
        <v>#DIV/0!</v>
      </c>
      <c r="BP619" s="151" t="e">
        <f t="shared" si="41"/>
        <v>#DIV/0!</v>
      </c>
      <c r="BQ619" s="71">
        <v>0</v>
      </c>
      <c r="BR619" s="71">
        <v>0</v>
      </c>
      <c r="BS619" s="71">
        <v>0</v>
      </c>
      <c r="BT619" s="72">
        <v>0</v>
      </c>
      <c r="BU619" s="73"/>
      <c r="BV619" s="73"/>
    </row>
    <row r="620" ht="30" customHeight="1" spans="1:74">
      <c r="A620" s="55">
        <v>0</v>
      </c>
      <c r="B620" s="56" t="s">
        <v>1057</v>
      </c>
      <c r="C620" s="57" t="s">
        <v>1058</v>
      </c>
      <c r="D620" s="59" t="s">
        <v>1059</v>
      </c>
      <c r="E620" s="59" t="s">
        <v>1070</v>
      </c>
      <c r="F620" s="59" t="e">
        <f>VLOOKUP(E620,[1]库存!$B$1:$C$65536,2,FALSE)</f>
        <v>#N/A</v>
      </c>
      <c r="G620" s="59" t="e">
        <v>#N/A</v>
      </c>
      <c r="H620" s="59" t="s">
        <v>1071</v>
      </c>
      <c r="I620" s="59" t="s">
        <v>1069</v>
      </c>
      <c r="J620" s="63"/>
      <c r="K620" s="61"/>
      <c r="L620" s="62">
        <v>2</v>
      </c>
      <c r="M620" s="63">
        <v>1000</v>
      </c>
      <c r="N620" s="64">
        <v>9</v>
      </c>
      <c r="O620" s="62">
        <v>2</v>
      </c>
      <c r="P620" s="65">
        <f t="shared" si="27"/>
        <v>0</v>
      </c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66"/>
      <c r="AX620" s="66"/>
      <c r="AY620" s="66"/>
      <c r="AZ620" s="66"/>
      <c r="BA620" s="66"/>
      <c r="BB620" s="66"/>
      <c r="BC620" s="66"/>
      <c r="BD620" s="66"/>
      <c r="BE620" s="67"/>
      <c r="BF620" s="67"/>
      <c r="BG620" s="68"/>
      <c r="BI620" s="69">
        <v>0</v>
      </c>
      <c r="BJ620" s="70">
        <v>0</v>
      </c>
      <c r="BK620" s="71">
        <v>0</v>
      </c>
      <c r="BL620" s="71">
        <v>0</v>
      </c>
      <c r="BM620" s="71">
        <v>0</v>
      </c>
      <c r="BN620" s="72">
        <v>0</v>
      </c>
      <c r="BO620" s="151" t="e">
        <f t="shared" si="40"/>
        <v>#DIV/0!</v>
      </c>
      <c r="BP620" s="151" t="e">
        <f t="shared" si="41"/>
        <v>#DIV/0!</v>
      </c>
      <c r="BQ620" s="71">
        <v>0</v>
      </c>
      <c r="BR620" s="71">
        <v>0</v>
      </c>
      <c r="BS620" s="71">
        <v>0</v>
      </c>
      <c r="BT620" s="72">
        <v>0</v>
      </c>
      <c r="BU620" s="73"/>
      <c r="BV620" s="73"/>
    </row>
    <row r="621" ht="30" customHeight="1" spans="1:74">
      <c r="A621" s="55">
        <v>0</v>
      </c>
      <c r="B621" s="56">
        <v>0</v>
      </c>
      <c r="C621" s="57">
        <v>0</v>
      </c>
      <c r="D621" s="74"/>
      <c r="E621" s="74"/>
      <c r="F621" s="59" t="e">
        <f>VLOOKUP(E621,[1]库存!$B$1:$C$65536,2,FALSE)</f>
        <v>#N/A</v>
      </c>
      <c r="G621" s="59" t="e">
        <v>#N/A</v>
      </c>
      <c r="H621" s="74"/>
      <c r="I621" s="74"/>
      <c r="J621" s="87"/>
      <c r="K621" s="61"/>
      <c r="L621" s="62">
        <v>0</v>
      </c>
      <c r="M621" s="63">
        <v>0</v>
      </c>
      <c r="N621" s="64">
        <v>0</v>
      </c>
      <c r="O621" s="62">
        <v>0</v>
      </c>
      <c r="P621" s="65">
        <f t="shared" si="27"/>
        <v>0</v>
      </c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66"/>
      <c r="AX621" s="66"/>
      <c r="AY621" s="66"/>
      <c r="AZ621" s="66"/>
      <c r="BA621" s="66"/>
      <c r="BB621" s="66"/>
      <c r="BC621" s="66"/>
      <c r="BD621" s="66"/>
      <c r="BE621" s="67"/>
      <c r="BF621" s="67"/>
      <c r="BG621" s="68"/>
      <c r="BI621" s="69">
        <v>0</v>
      </c>
      <c r="BJ621" s="70">
        <v>0</v>
      </c>
      <c r="BK621" s="71">
        <v>0</v>
      </c>
      <c r="BL621" s="71">
        <v>0</v>
      </c>
      <c r="BM621" s="71">
        <v>0</v>
      </c>
      <c r="BN621" s="72">
        <v>0</v>
      </c>
      <c r="BO621" s="151" t="e">
        <f t="shared" si="40"/>
        <v>#DIV/0!</v>
      </c>
      <c r="BP621" s="151" t="e">
        <f t="shared" si="41"/>
        <v>#DIV/0!</v>
      </c>
      <c r="BQ621" s="71">
        <v>0</v>
      </c>
      <c r="BR621" s="71">
        <v>0</v>
      </c>
      <c r="BS621" s="71">
        <v>0</v>
      </c>
      <c r="BT621" s="72">
        <v>0</v>
      </c>
      <c r="BU621" s="73"/>
      <c r="BV621" s="73"/>
    </row>
    <row r="622" ht="30" customHeight="1" spans="1:74">
      <c r="A622" s="55">
        <v>0</v>
      </c>
      <c r="B622" s="56">
        <v>0</v>
      </c>
      <c r="C622" s="57">
        <v>0</v>
      </c>
      <c r="D622" s="88"/>
      <c r="E622" s="88"/>
      <c r="F622" s="59" t="e">
        <f>VLOOKUP(E622,[1]库存!$B$1:$C$65536,2,FALSE)</f>
        <v>#N/A</v>
      </c>
      <c r="G622" s="59" t="e">
        <v>#N/A</v>
      </c>
      <c r="H622" s="89"/>
      <c r="I622" s="88"/>
      <c r="J622" s="90"/>
      <c r="K622" s="61"/>
      <c r="L622" s="62">
        <v>0</v>
      </c>
      <c r="M622" s="63">
        <v>0</v>
      </c>
      <c r="N622" s="64">
        <v>0</v>
      </c>
      <c r="O622" s="62">
        <v>0</v>
      </c>
      <c r="P622" s="65">
        <f t="shared" si="27"/>
        <v>0</v>
      </c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66"/>
      <c r="AX622" s="66"/>
      <c r="AY622" s="66"/>
      <c r="AZ622" s="66"/>
      <c r="BA622" s="66"/>
      <c r="BB622" s="66"/>
      <c r="BC622" s="66"/>
      <c r="BD622" s="66"/>
      <c r="BE622" s="67"/>
      <c r="BF622" s="67"/>
      <c r="BG622" s="68"/>
      <c r="BI622" s="69">
        <v>0</v>
      </c>
      <c r="BJ622" s="70">
        <v>0</v>
      </c>
      <c r="BK622" s="71">
        <v>0</v>
      </c>
      <c r="BL622" s="71">
        <v>0</v>
      </c>
      <c r="BM622" s="71">
        <v>0</v>
      </c>
      <c r="BN622" s="72">
        <v>0</v>
      </c>
      <c r="BO622" s="151" t="e">
        <f t="shared" si="40"/>
        <v>#DIV/0!</v>
      </c>
      <c r="BP622" s="151" t="e">
        <f t="shared" si="41"/>
        <v>#DIV/0!</v>
      </c>
      <c r="BQ622" s="71">
        <v>0</v>
      </c>
      <c r="BR622" s="71">
        <v>0</v>
      </c>
      <c r="BS622" s="71">
        <v>0</v>
      </c>
      <c r="BT622" s="72">
        <v>0</v>
      </c>
      <c r="BU622" s="73"/>
      <c r="BV622" s="73"/>
    </row>
    <row r="623" ht="30" customHeight="1" spans="1:74">
      <c r="A623" s="55" t="s">
        <v>165</v>
      </c>
      <c r="B623" s="56" t="s">
        <v>1057</v>
      </c>
      <c r="C623" s="57" t="s">
        <v>1072</v>
      </c>
      <c r="D623" s="91" t="s">
        <v>1073</v>
      </c>
      <c r="E623" s="91" t="s">
        <v>1074</v>
      </c>
      <c r="F623" s="91" t="str">
        <f>VLOOKUP(E623,[1]库存!$B$1:$C$65536,2,FALSE)</f>
        <v>VOLVO SPA EU DAB A状态 (国埃)</v>
      </c>
      <c r="G623" s="91" t="s">
        <v>1075</v>
      </c>
      <c r="H623" s="91" t="s">
        <v>1076</v>
      </c>
      <c r="I623" s="91" t="s">
        <v>1077</v>
      </c>
      <c r="J623" s="64"/>
      <c r="K623" s="61"/>
      <c r="L623" s="62">
        <v>2</v>
      </c>
      <c r="M623" s="63">
        <v>1200</v>
      </c>
      <c r="N623" s="64">
        <v>10</v>
      </c>
      <c r="O623" s="62">
        <v>2</v>
      </c>
      <c r="P623" s="65">
        <f t="shared" si="27"/>
        <v>0</v>
      </c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  <c r="BD623" s="66"/>
      <c r="BE623" s="67"/>
      <c r="BF623" s="67"/>
      <c r="BG623" s="68"/>
      <c r="BI623" s="69">
        <v>0</v>
      </c>
      <c r="BJ623" s="70">
        <v>0</v>
      </c>
      <c r="BK623" s="71">
        <v>0</v>
      </c>
      <c r="BL623" s="71">
        <v>0</v>
      </c>
      <c r="BM623" s="71">
        <v>0</v>
      </c>
      <c r="BN623" s="72">
        <v>0</v>
      </c>
      <c r="BO623" s="151" t="e">
        <f t="shared" si="40"/>
        <v>#DIV/0!</v>
      </c>
      <c r="BP623" s="151" t="e">
        <f t="shared" si="41"/>
        <v>#DIV/0!</v>
      </c>
      <c r="BQ623" s="71">
        <v>0</v>
      </c>
      <c r="BR623" s="71">
        <v>0</v>
      </c>
      <c r="BS623" s="71">
        <v>0</v>
      </c>
      <c r="BT623" s="72">
        <v>0</v>
      </c>
      <c r="BU623" s="73"/>
      <c r="BV623" s="73"/>
    </row>
    <row r="624" ht="30" customHeight="1" spans="1:74">
      <c r="A624" s="55">
        <v>0</v>
      </c>
      <c r="B624" s="56">
        <v>0</v>
      </c>
      <c r="C624" s="57">
        <v>0</v>
      </c>
      <c r="D624" s="92"/>
      <c r="E624" s="92"/>
      <c r="F624" s="91" t="e">
        <f>VLOOKUP(E624,[1]库存!$B$1:$C$65536,2,FALSE)</f>
        <v>#N/A</v>
      </c>
      <c r="G624" s="91" t="e">
        <v>#N/A</v>
      </c>
      <c r="H624" s="92"/>
      <c r="I624" s="92"/>
      <c r="J624" s="93"/>
      <c r="K624" s="61"/>
      <c r="L624" s="62">
        <v>0</v>
      </c>
      <c r="M624" s="63">
        <v>0</v>
      </c>
      <c r="N624" s="64">
        <v>0</v>
      </c>
      <c r="O624" s="62">
        <v>0</v>
      </c>
      <c r="P624" s="65">
        <f t="shared" si="27"/>
        <v>0</v>
      </c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6"/>
      <c r="BB624" s="66"/>
      <c r="BC624" s="66"/>
      <c r="BD624" s="66"/>
      <c r="BE624" s="67"/>
      <c r="BF624" s="67"/>
      <c r="BG624" s="68"/>
      <c r="BI624" s="69">
        <v>0</v>
      </c>
      <c r="BJ624" s="70">
        <v>0</v>
      </c>
      <c r="BK624" s="71">
        <v>0</v>
      </c>
      <c r="BL624" s="71">
        <v>0</v>
      </c>
      <c r="BM624" s="71">
        <v>0</v>
      </c>
      <c r="BN624" s="72">
        <v>0</v>
      </c>
      <c r="BO624" s="151" t="e">
        <f t="shared" si="40"/>
        <v>#DIV/0!</v>
      </c>
      <c r="BP624" s="151" t="e">
        <f t="shared" si="41"/>
        <v>#DIV/0!</v>
      </c>
      <c r="BQ624" s="71">
        <v>0</v>
      </c>
      <c r="BR624" s="71">
        <v>0</v>
      </c>
      <c r="BS624" s="71">
        <v>0</v>
      </c>
      <c r="BT624" s="72">
        <v>0</v>
      </c>
      <c r="BU624" s="73"/>
      <c r="BV624" s="73"/>
    </row>
    <row r="625" ht="30" customHeight="1" spans="1:74">
      <c r="A625" s="55" t="s">
        <v>165</v>
      </c>
      <c r="B625" s="56" t="s">
        <v>1057</v>
      </c>
      <c r="C625" s="57" t="s">
        <v>1072</v>
      </c>
      <c r="D625" s="59" t="s">
        <v>1073</v>
      </c>
      <c r="E625" s="59" t="s">
        <v>1078</v>
      </c>
      <c r="F625" s="59" t="str">
        <f>VLOOKUP(E625,[1]库存!$B$1:$C$65536,2,FALSE)</f>
        <v>DPCA E43C DAB A状态</v>
      </c>
      <c r="G625" s="59" t="s">
        <v>1079</v>
      </c>
      <c r="H625" s="59" t="s">
        <v>1080</v>
      </c>
      <c r="I625" s="59" t="s">
        <v>1081</v>
      </c>
      <c r="J625" s="80" t="s">
        <v>65</v>
      </c>
      <c r="K625" s="61"/>
      <c r="L625" s="62">
        <v>2</v>
      </c>
      <c r="M625" s="63">
        <v>1100</v>
      </c>
      <c r="N625" s="64">
        <v>8</v>
      </c>
      <c r="O625" s="62">
        <v>2</v>
      </c>
      <c r="P625" s="65">
        <f t="shared" si="27"/>
        <v>0</v>
      </c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66"/>
      <c r="AX625" s="66"/>
      <c r="AY625" s="66"/>
      <c r="AZ625" s="66"/>
      <c r="BA625" s="66"/>
      <c r="BB625" s="66"/>
      <c r="BC625" s="66"/>
      <c r="BD625" s="66"/>
      <c r="BE625" s="67"/>
      <c r="BF625" s="67"/>
      <c r="BG625" s="68"/>
      <c r="BI625" s="69">
        <v>0</v>
      </c>
      <c r="BJ625" s="70">
        <v>0</v>
      </c>
      <c r="BK625" s="71">
        <v>0</v>
      </c>
      <c r="BL625" s="71">
        <v>0</v>
      </c>
      <c r="BM625" s="71">
        <v>0</v>
      </c>
      <c r="BN625" s="72">
        <v>0</v>
      </c>
      <c r="BO625" s="151" t="e">
        <f t="shared" si="40"/>
        <v>#DIV/0!</v>
      </c>
      <c r="BP625" s="151" t="e">
        <f t="shared" si="41"/>
        <v>#DIV/0!</v>
      </c>
      <c r="BQ625" s="71">
        <v>0</v>
      </c>
      <c r="BR625" s="71">
        <v>0</v>
      </c>
      <c r="BS625" s="71">
        <v>0</v>
      </c>
      <c r="BT625" s="72">
        <v>0</v>
      </c>
      <c r="BU625" s="73"/>
      <c r="BV625" s="73"/>
    </row>
    <row r="626" ht="30" customHeight="1" spans="1:74">
      <c r="A626" s="55">
        <v>0</v>
      </c>
      <c r="B626" s="56">
        <v>0</v>
      </c>
      <c r="C626" s="57">
        <v>0</v>
      </c>
      <c r="D626" s="74"/>
      <c r="E626" s="74"/>
      <c r="F626" s="59" t="e">
        <f>VLOOKUP(E626,[1]库存!$B$1:$C$65536,2,FALSE)</f>
        <v>#N/A</v>
      </c>
      <c r="G626" s="59" t="e">
        <v>#N/A</v>
      </c>
      <c r="H626" s="74"/>
      <c r="I626" s="74"/>
      <c r="J626" s="81"/>
      <c r="K626" s="61"/>
      <c r="L626" s="62">
        <v>0</v>
      </c>
      <c r="M626" s="63">
        <v>0</v>
      </c>
      <c r="N626" s="64">
        <v>0</v>
      </c>
      <c r="O626" s="62">
        <v>0</v>
      </c>
      <c r="P626" s="65">
        <f t="shared" si="27"/>
        <v>0</v>
      </c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66"/>
      <c r="AX626" s="66"/>
      <c r="AY626" s="66"/>
      <c r="AZ626" s="66"/>
      <c r="BA626" s="66"/>
      <c r="BB626" s="66"/>
      <c r="BC626" s="66"/>
      <c r="BD626" s="66"/>
      <c r="BE626" s="67"/>
      <c r="BF626" s="67"/>
      <c r="BG626" s="68"/>
      <c r="BI626" s="69">
        <v>0</v>
      </c>
      <c r="BJ626" s="70">
        <v>0</v>
      </c>
      <c r="BK626" s="71">
        <v>0</v>
      </c>
      <c r="BL626" s="71">
        <v>0</v>
      </c>
      <c r="BM626" s="71">
        <v>0</v>
      </c>
      <c r="BN626" s="72">
        <v>0</v>
      </c>
      <c r="BO626" s="151" t="e">
        <f t="shared" si="40"/>
        <v>#DIV/0!</v>
      </c>
      <c r="BP626" s="151" t="e">
        <f t="shared" si="41"/>
        <v>#DIV/0!</v>
      </c>
      <c r="BQ626" s="71">
        <v>0</v>
      </c>
      <c r="BR626" s="71">
        <v>0</v>
      </c>
      <c r="BS626" s="71">
        <v>0</v>
      </c>
      <c r="BT626" s="72">
        <v>0</v>
      </c>
      <c r="BU626" s="73"/>
      <c r="BV626" s="73"/>
    </row>
    <row r="627" ht="30" customHeight="1" spans="1:74">
      <c r="A627" s="55" t="s">
        <v>165</v>
      </c>
      <c r="B627" s="56" t="s">
        <v>1057</v>
      </c>
      <c r="C627" s="57" t="s">
        <v>1072</v>
      </c>
      <c r="D627" s="59" t="s">
        <v>1073</v>
      </c>
      <c r="E627" s="59" t="s">
        <v>1082</v>
      </c>
      <c r="F627" s="59" t="str">
        <f>VLOOKUP(E627,[1]库存!$B$1:$C$65536,2,FALSE)</f>
        <v>GEELY CX11 EU DAB B状态(埃)</v>
      </c>
      <c r="G627" s="141" t="s">
        <v>1083</v>
      </c>
      <c r="H627" s="59" t="s">
        <v>1084</v>
      </c>
      <c r="I627" s="59" t="s">
        <v>1085</v>
      </c>
      <c r="J627" s="60" t="s">
        <v>281</v>
      </c>
      <c r="K627" s="61"/>
      <c r="L627" s="62">
        <v>2</v>
      </c>
      <c r="M627" s="63">
        <v>1100</v>
      </c>
      <c r="N627" s="64">
        <v>8</v>
      </c>
      <c r="O627" s="62">
        <v>2</v>
      </c>
      <c r="P627" s="65">
        <f t="shared" si="27"/>
        <v>0</v>
      </c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6"/>
      <c r="AX627" s="66"/>
      <c r="AY627" s="66"/>
      <c r="AZ627" s="66"/>
      <c r="BA627" s="66"/>
      <c r="BB627" s="66"/>
      <c r="BC627" s="66"/>
      <c r="BD627" s="66"/>
      <c r="BE627" s="67"/>
      <c r="BF627" s="67"/>
      <c r="BG627" s="68"/>
      <c r="BI627" s="69">
        <v>0</v>
      </c>
      <c r="BJ627" s="70">
        <v>0</v>
      </c>
      <c r="BK627" s="71">
        <v>0</v>
      </c>
      <c r="BL627" s="71">
        <v>0</v>
      </c>
      <c r="BM627" s="71">
        <v>0</v>
      </c>
      <c r="BN627" s="72">
        <v>0</v>
      </c>
      <c r="BO627" s="151" t="e">
        <f t="shared" si="40"/>
        <v>#DIV/0!</v>
      </c>
      <c r="BP627" s="151" t="e">
        <f t="shared" si="41"/>
        <v>#DIV/0!</v>
      </c>
      <c r="BQ627" s="71">
        <v>0</v>
      </c>
      <c r="BR627" s="71">
        <v>0</v>
      </c>
      <c r="BS627" s="71">
        <v>0</v>
      </c>
      <c r="BT627" s="72">
        <v>0</v>
      </c>
      <c r="BU627" s="73"/>
      <c r="BV627" s="73"/>
    </row>
    <row r="628" ht="30" customHeight="1" spans="1:74">
      <c r="A628" s="55">
        <v>0</v>
      </c>
      <c r="B628" s="56">
        <v>0</v>
      </c>
      <c r="C628" s="57">
        <v>0</v>
      </c>
      <c r="D628" s="74"/>
      <c r="E628" s="74"/>
      <c r="F628" s="59" t="e">
        <f>VLOOKUP(E628,[1]库存!$B$1:$C$65536,2,FALSE)</f>
        <v>#N/A</v>
      </c>
      <c r="G628" s="59" t="e">
        <v>#N/A</v>
      </c>
      <c r="H628" s="74"/>
      <c r="I628" s="74"/>
      <c r="J628" s="75"/>
      <c r="K628" s="61"/>
      <c r="L628" s="62">
        <v>0</v>
      </c>
      <c r="M628" s="63">
        <v>0</v>
      </c>
      <c r="N628" s="64">
        <v>0</v>
      </c>
      <c r="O628" s="62">
        <v>0</v>
      </c>
      <c r="P628" s="65">
        <f t="shared" si="27"/>
        <v>0</v>
      </c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66"/>
      <c r="AX628" s="66"/>
      <c r="AY628" s="66"/>
      <c r="AZ628" s="66"/>
      <c r="BA628" s="66"/>
      <c r="BB628" s="66"/>
      <c r="BC628" s="66"/>
      <c r="BD628" s="66"/>
      <c r="BE628" s="67"/>
      <c r="BF628" s="67"/>
      <c r="BG628" s="68"/>
      <c r="BI628" s="69">
        <v>0</v>
      </c>
      <c r="BJ628" s="70">
        <v>0</v>
      </c>
      <c r="BK628" s="71">
        <v>0</v>
      </c>
      <c r="BL628" s="71">
        <v>0</v>
      </c>
      <c r="BM628" s="71">
        <v>0</v>
      </c>
      <c r="BN628" s="72">
        <v>0</v>
      </c>
      <c r="BO628" s="151" t="e">
        <f t="shared" si="40"/>
        <v>#DIV/0!</v>
      </c>
      <c r="BP628" s="151" t="e">
        <f t="shared" si="41"/>
        <v>#DIV/0!</v>
      </c>
      <c r="BQ628" s="71">
        <v>0</v>
      </c>
      <c r="BR628" s="71">
        <v>0</v>
      </c>
      <c r="BS628" s="71">
        <v>0</v>
      </c>
      <c r="BT628" s="72">
        <v>0</v>
      </c>
      <c r="BU628" s="73"/>
      <c r="BV628" s="73"/>
    </row>
    <row r="629" ht="30" customHeight="1" spans="1:74">
      <c r="A629" s="55" t="s">
        <v>165</v>
      </c>
      <c r="B629" s="56" t="s">
        <v>1057</v>
      </c>
      <c r="C629" s="57" t="s">
        <v>1072</v>
      </c>
      <c r="D629" s="59" t="s">
        <v>1073</v>
      </c>
      <c r="E629" s="59" t="s">
        <v>1086</v>
      </c>
      <c r="F629" s="59" t="str">
        <f>VLOOKUP(E629,[1]库存!$B$1:$C$65536,2,FALSE)</f>
        <v>DCY11 DAB A状态 (国埃)</v>
      </c>
      <c r="G629" s="59" t="s">
        <v>1087</v>
      </c>
      <c r="H629" s="59" t="s">
        <v>1088</v>
      </c>
      <c r="I629" s="59" t="s">
        <v>1077</v>
      </c>
      <c r="J629" s="60" t="s">
        <v>281</v>
      </c>
      <c r="K629" s="61"/>
      <c r="L629" s="62">
        <v>2</v>
      </c>
      <c r="M629" s="63">
        <v>1150</v>
      </c>
      <c r="N629" s="64">
        <v>10</v>
      </c>
      <c r="O629" s="62">
        <v>2</v>
      </c>
      <c r="P629" s="65">
        <f t="shared" si="27"/>
        <v>0</v>
      </c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66"/>
      <c r="AX629" s="66"/>
      <c r="AY629" s="66"/>
      <c r="AZ629" s="66"/>
      <c r="BA629" s="66"/>
      <c r="BB629" s="66"/>
      <c r="BC629" s="66"/>
      <c r="BD629" s="66"/>
      <c r="BE629" s="67"/>
      <c r="BF629" s="67"/>
      <c r="BG629" s="68"/>
      <c r="BI629" s="69">
        <v>0</v>
      </c>
      <c r="BJ629" s="70">
        <v>0</v>
      </c>
      <c r="BK629" s="71">
        <v>0</v>
      </c>
      <c r="BL629" s="71">
        <v>0</v>
      </c>
      <c r="BM629" s="71">
        <v>0</v>
      </c>
      <c r="BN629" s="72">
        <v>0</v>
      </c>
      <c r="BO629" s="151" t="e">
        <f t="shared" si="40"/>
        <v>#DIV/0!</v>
      </c>
      <c r="BP629" s="151" t="e">
        <f t="shared" si="41"/>
        <v>#DIV/0!</v>
      </c>
      <c r="BQ629" s="71">
        <v>0</v>
      </c>
      <c r="BR629" s="71">
        <v>0</v>
      </c>
      <c r="BS629" s="71">
        <v>0</v>
      </c>
      <c r="BT629" s="72">
        <v>0</v>
      </c>
      <c r="BU629" s="73"/>
      <c r="BV629" s="73"/>
    </row>
    <row r="630" ht="30" customHeight="1" spans="1:74">
      <c r="A630" s="55">
        <v>0</v>
      </c>
      <c r="B630" s="56">
        <v>0</v>
      </c>
      <c r="C630" s="57">
        <v>0</v>
      </c>
      <c r="D630" s="74"/>
      <c r="E630" s="74"/>
      <c r="F630" s="59" t="e">
        <f>VLOOKUP(E630,[1]库存!$B$1:$C$65536,2,FALSE)</f>
        <v>#N/A</v>
      </c>
      <c r="G630" s="59" t="e">
        <v>#N/A</v>
      </c>
      <c r="H630" s="74"/>
      <c r="I630" s="74"/>
      <c r="J630" s="75"/>
      <c r="K630" s="61"/>
      <c r="L630" s="62">
        <v>0</v>
      </c>
      <c r="M630" s="63">
        <v>0</v>
      </c>
      <c r="N630" s="64">
        <v>0</v>
      </c>
      <c r="O630" s="62">
        <v>0</v>
      </c>
      <c r="P630" s="65">
        <f t="shared" si="27"/>
        <v>0</v>
      </c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66"/>
      <c r="AX630" s="66"/>
      <c r="AY630" s="66"/>
      <c r="AZ630" s="66"/>
      <c r="BA630" s="66"/>
      <c r="BB630" s="66"/>
      <c r="BC630" s="66"/>
      <c r="BD630" s="66"/>
      <c r="BE630" s="67"/>
      <c r="BF630" s="67"/>
      <c r="BG630" s="68"/>
      <c r="BI630" s="69">
        <v>0</v>
      </c>
      <c r="BJ630" s="70">
        <v>0</v>
      </c>
      <c r="BK630" s="71">
        <v>0</v>
      </c>
      <c r="BL630" s="71">
        <v>0</v>
      </c>
      <c r="BM630" s="71">
        <v>0</v>
      </c>
      <c r="BN630" s="72">
        <v>0</v>
      </c>
      <c r="BO630" s="151" t="e">
        <f t="shared" si="40"/>
        <v>#DIV/0!</v>
      </c>
      <c r="BP630" s="151" t="e">
        <f t="shared" si="41"/>
        <v>#DIV/0!</v>
      </c>
      <c r="BQ630" s="71">
        <v>0</v>
      </c>
      <c r="BR630" s="71">
        <v>0</v>
      </c>
      <c r="BS630" s="71">
        <v>0</v>
      </c>
      <c r="BT630" s="72">
        <v>0</v>
      </c>
      <c r="BU630" s="73"/>
      <c r="BV630" s="73"/>
    </row>
    <row r="631" ht="30" customHeight="1" spans="1:74">
      <c r="A631" s="55">
        <v>0</v>
      </c>
      <c r="B631" s="56">
        <v>0</v>
      </c>
      <c r="C631" s="57">
        <v>0</v>
      </c>
      <c r="E631" s="88"/>
      <c r="F631" s="59" t="e">
        <f>VLOOKUP(E631,[1]库存!$B$1:$C$65536,2,FALSE)</f>
        <v>#N/A</v>
      </c>
      <c r="G631" s="59" t="e">
        <v>#N/A</v>
      </c>
      <c r="H631" s="89"/>
      <c r="I631" s="88"/>
      <c r="J631" s="90"/>
      <c r="K631" s="61"/>
      <c r="L631" s="62">
        <v>0</v>
      </c>
      <c r="M631" s="63">
        <v>0</v>
      </c>
      <c r="N631" s="64">
        <v>0</v>
      </c>
      <c r="O631" s="62">
        <v>0</v>
      </c>
      <c r="P631" s="65">
        <f t="shared" si="27"/>
        <v>0</v>
      </c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66"/>
      <c r="AX631" s="66"/>
      <c r="AY631" s="66"/>
      <c r="AZ631" s="66"/>
      <c r="BA631" s="66"/>
      <c r="BB631" s="66"/>
      <c r="BC631" s="66"/>
      <c r="BD631" s="66"/>
      <c r="BE631" s="67"/>
      <c r="BF631" s="67"/>
      <c r="BG631" s="68"/>
      <c r="BI631" s="69">
        <v>0</v>
      </c>
      <c r="BJ631" s="70">
        <v>0</v>
      </c>
      <c r="BK631" s="71">
        <v>0</v>
      </c>
      <c r="BL631" s="71">
        <v>0</v>
      </c>
      <c r="BM631" s="71">
        <v>0</v>
      </c>
      <c r="BN631" s="72">
        <v>0</v>
      </c>
      <c r="BO631" s="151" t="e">
        <f t="shared" si="40"/>
        <v>#DIV/0!</v>
      </c>
      <c r="BP631" s="151" t="e">
        <f t="shared" si="41"/>
        <v>#DIV/0!</v>
      </c>
      <c r="BQ631" s="71">
        <v>0</v>
      </c>
      <c r="BR631" s="71">
        <v>0</v>
      </c>
      <c r="BS631" s="71">
        <v>0</v>
      </c>
      <c r="BT631" s="72">
        <v>0</v>
      </c>
      <c r="BU631" s="73"/>
      <c r="BV631" s="73"/>
    </row>
    <row r="632" ht="30" customHeight="1" spans="1:74">
      <c r="A632" s="55" t="s">
        <v>165</v>
      </c>
      <c r="B632" s="56" t="s">
        <v>1057</v>
      </c>
      <c r="C632" s="57" t="s">
        <v>1058</v>
      </c>
      <c r="D632" s="59" t="s">
        <v>1089</v>
      </c>
      <c r="E632" s="59" t="s">
        <v>1090</v>
      </c>
      <c r="F632" s="59" t="str">
        <f>VLOOKUP(E632,[1]库存!$B$1:$C$65536,2,FALSE)</f>
        <v>E2UL SAB LH A状态 (埃)</v>
      </c>
      <c r="G632" s="59" t="s">
        <v>1091</v>
      </c>
      <c r="H632" s="59" t="s">
        <v>1092</v>
      </c>
      <c r="I632" s="59" t="s">
        <v>1093</v>
      </c>
      <c r="J632" s="192" t="s">
        <v>1094</v>
      </c>
      <c r="K632" s="61"/>
      <c r="L632" s="62">
        <v>2</v>
      </c>
      <c r="M632" s="63">
        <v>1300</v>
      </c>
      <c r="N632" s="64">
        <v>10</v>
      </c>
      <c r="O632" s="62">
        <v>2</v>
      </c>
      <c r="P632" s="65">
        <f t="shared" si="27"/>
        <v>0</v>
      </c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66"/>
      <c r="AX632" s="66"/>
      <c r="AY632" s="66"/>
      <c r="AZ632" s="66"/>
      <c r="BA632" s="66"/>
      <c r="BB632" s="66"/>
      <c r="BC632" s="66"/>
      <c r="BD632" s="66"/>
      <c r="BE632" s="67"/>
      <c r="BF632" s="67"/>
      <c r="BG632" s="68"/>
      <c r="BI632" s="69">
        <v>0</v>
      </c>
      <c r="BJ632" s="70">
        <v>0</v>
      </c>
      <c r="BK632" s="71">
        <v>0</v>
      </c>
      <c r="BL632" s="71">
        <v>0</v>
      </c>
      <c r="BM632" s="71">
        <v>0</v>
      </c>
      <c r="BN632" s="72">
        <v>0</v>
      </c>
      <c r="BO632" s="151" t="e">
        <f t="shared" si="40"/>
        <v>#DIV/0!</v>
      </c>
      <c r="BP632" s="151" t="e">
        <f t="shared" si="41"/>
        <v>#DIV/0!</v>
      </c>
      <c r="BQ632" s="71">
        <v>0</v>
      </c>
      <c r="BR632" s="71">
        <v>0</v>
      </c>
      <c r="BS632" s="71">
        <v>0</v>
      </c>
      <c r="BT632" s="72">
        <v>0</v>
      </c>
      <c r="BU632" s="73"/>
      <c r="BV632" s="73"/>
    </row>
    <row r="633" ht="30" customHeight="1" spans="1:74">
      <c r="A633" s="55">
        <v>0</v>
      </c>
      <c r="B633" s="56">
        <v>0</v>
      </c>
      <c r="C633" s="57">
        <v>0</v>
      </c>
      <c r="D633" s="74"/>
      <c r="E633" s="74"/>
      <c r="F633" s="59" t="e">
        <f>VLOOKUP(E633,[1]库存!$B$1:$C$65536,2,FALSE)</f>
        <v>#N/A</v>
      </c>
      <c r="G633" s="59" t="e">
        <v>#N/A</v>
      </c>
      <c r="H633" s="74"/>
      <c r="I633" s="74"/>
      <c r="J633" s="193"/>
      <c r="K633" s="61"/>
      <c r="L633" s="62">
        <v>0</v>
      </c>
      <c r="M633" s="63">
        <v>0</v>
      </c>
      <c r="N633" s="64">
        <v>0</v>
      </c>
      <c r="O633" s="62">
        <v>0</v>
      </c>
      <c r="P633" s="65">
        <f t="shared" si="27"/>
        <v>0</v>
      </c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6"/>
      <c r="BB633" s="66"/>
      <c r="BC633" s="66"/>
      <c r="BD633" s="66"/>
      <c r="BE633" s="67"/>
      <c r="BF633" s="67"/>
      <c r="BG633" s="68"/>
      <c r="BI633" s="69">
        <v>0</v>
      </c>
      <c r="BJ633" s="70">
        <v>0</v>
      </c>
      <c r="BK633" s="71">
        <v>0</v>
      </c>
      <c r="BL633" s="71">
        <v>0</v>
      </c>
      <c r="BM633" s="71">
        <v>0</v>
      </c>
      <c r="BN633" s="72">
        <v>0</v>
      </c>
      <c r="BO633" s="151" t="e">
        <f t="shared" si="40"/>
        <v>#DIV/0!</v>
      </c>
      <c r="BP633" s="151" t="e">
        <f t="shared" si="41"/>
        <v>#DIV/0!</v>
      </c>
      <c r="BQ633" s="71">
        <v>0</v>
      </c>
      <c r="BR633" s="71">
        <v>0</v>
      </c>
      <c r="BS633" s="71">
        <v>0</v>
      </c>
      <c r="BT633" s="72">
        <v>0</v>
      </c>
      <c r="BU633" s="73"/>
      <c r="BV633" s="73"/>
    </row>
    <row r="634" ht="30" customHeight="1" spans="1:74">
      <c r="A634" s="55" t="s">
        <v>165</v>
      </c>
      <c r="B634" s="56" t="s">
        <v>1057</v>
      </c>
      <c r="C634" s="57" t="s">
        <v>1058</v>
      </c>
      <c r="D634" s="59" t="s">
        <v>1089</v>
      </c>
      <c r="E634" s="59" t="s">
        <v>1095</v>
      </c>
      <c r="F634" s="59" t="str">
        <f>VLOOKUP(E634,[1]库存!$B$1:$C$65536,2,FALSE)</f>
        <v>E2UL SAB RH A状态 (埃)</v>
      </c>
      <c r="G634" s="59" t="s">
        <v>1096</v>
      </c>
      <c r="H634" s="59" t="s">
        <v>1097</v>
      </c>
      <c r="I634" s="59" t="s">
        <v>1098</v>
      </c>
      <c r="J634" s="192" t="s">
        <v>1094</v>
      </c>
      <c r="K634" s="61"/>
      <c r="L634" s="62">
        <v>2</v>
      </c>
      <c r="M634" s="63">
        <v>1300</v>
      </c>
      <c r="N634" s="64">
        <v>10</v>
      </c>
      <c r="O634" s="62">
        <v>2</v>
      </c>
      <c r="P634" s="65">
        <f t="shared" si="27"/>
        <v>0</v>
      </c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66"/>
      <c r="AX634" s="66"/>
      <c r="AY634" s="66"/>
      <c r="AZ634" s="66"/>
      <c r="BA634" s="66"/>
      <c r="BB634" s="66"/>
      <c r="BC634" s="66"/>
      <c r="BD634" s="66"/>
      <c r="BE634" s="67"/>
      <c r="BF634" s="67"/>
      <c r="BG634" s="68"/>
      <c r="BI634" s="69">
        <v>0</v>
      </c>
      <c r="BJ634" s="70">
        <v>0</v>
      </c>
      <c r="BK634" s="71">
        <v>0</v>
      </c>
      <c r="BL634" s="71">
        <v>0</v>
      </c>
      <c r="BM634" s="71">
        <v>0</v>
      </c>
      <c r="BN634" s="72">
        <v>0</v>
      </c>
      <c r="BO634" s="151" t="e">
        <f t="shared" si="40"/>
        <v>#DIV/0!</v>
      </c>
      <c r="BP634" s="151" t="e">
        <f t="shared" si="41"/>
        <v>#DIV/0!</v>
      </c>
      <c r="BQ634" s="71">
        <v>0</v>
      </c>
      <c r="BR634" s="71">
        <v>0</v>
      </c>
      <c r="BS634" s="71">
        <v>0</v>
      </c>
      <c r="BT634" s="72">
        <v>0</v>
      </c>
      <c r="BU634" s="73"/>
      <c r="BV634" s="73"/>
    </row>
    <row r="635" ht="30" customHeight="1" spans="1:74">
      <c r="A635" s="55">
        <v>0</v>
      </c>
      <c r="B635" s="56">
        <v>0</v>
      </c>
      <c r="C635" s="57">
        <v>0</v>
      </c>
      <c r="D635" s="74"/>
      <c r="E635" s="74"/>
      <c r="F635" s="59" t="e">
        <f>VLOOKUP(E635,[1]库存!$B$1:$C$65536,2,FALSE)</f>
        <v>#N/A</v>
      </c>
      <c r="G635" s="59" t="e">
        <v>#N/A</v>
      </c>
      <c r="H635" s="74"/>
      <c r="I635" s="74"/>
      <c r="J635" s="193"/>
      <c r="K635" s="61"/>
      <c r="L635" s="62">
        <v>0</v>
      </c>
      <c r="M635" s="63">
        <v>0</v>
      </c>
      <c r="N635" s="64">
        <v>0</v>
      </c>
      <c r="O635" s="62">
        <v>0</v>
      </c>
      <c r="P635" s="65">
        <f t="shared" si="27"/>
        <v>0</v>
      </c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66"/>
      <c r="AX635" s="66"/>
      <c r="AY635" s="66"/>
      <c r="AZ635" s="66"/>
      <c r="BA635" s="66"/>
      <c r="BB635" s="66"/>
      <c r="BC635" s="66"/>
      <c r="BD635" s="66"/>
      <c r="BE635" s="67"/>
      <c r="BF635" s="67"/>
      <c r="BG635" s="68"/>
      <c r="BI635" s="69">
        <v>0</v>
      </c>
      <c r="BJ635" s="70">
        <v>0</v>
      </c>
      <c r="BK635" s="71">
        <v>0</v>
      </c>
      <c r="BL635" s="71">
        <v>0</v>
      </c>
      <c r="BM635" s="71">
        <v>0</v>
      </c>
      <c r="BN635" s="72">
        <v>0</v>
      </c>
      <c r="BO635" s="151" t="e">
        <f t="shared" si="40"/>
        <v>#DIV/0!</v>
      </c>
      <c r="BP635" s="151" t="e">
        <f t="shared" si="41"/>
        <v>#DIV/0!</v>
      </c>
      <c r="BQ635" s="71">
        <v>0</v>
      </c>
      <c r="BR635" s="71">
        <v>0</v>
      </c>
      <c r="BS635" s="71">
        <v>0</v>
      </c>
      <c r="BT635" s="72">
        <v>0</v>
      </c>
      <c r="BU635" s="73"/>
      <c r="BV635" s="73"/>
    </row>
    <row r="636" ht="30" customHeight="1" spans="1:74">
      <c r="A636" s="55">
        <v>0</v>
      </c>
      <c r="B636" s="56">
        <v>0</v>
      </c>
      <c r="C636" s="57">
        <v>0</v>
      </c>
      <c r="D636" s="88"/>
      <c r="E636" s="88"/>
      <c r="F636" s="59" t="e">
        <f>VLOOKUP(E636,[1]库存!$B$1:$C$65536,2,FALSE)</f>
        <v>#N/A</v>
      </c>
      <c r="G636" s="59" t="e">
        <v>#N/A</v>
      </c>
      <c r="H636" s="89"/>
      <c r="I636" s="88"/>
      <c r="J636" s="90"/>
      <c r="K636" s="61"/>
      <c r="L636" s="62">
        <v>0</v>
      </c>
      <c r="M636" s="63">
        <v>0</v>
      </c>
      <c r="N636" s="64">
        <v>0</v>
      </c>
      <c r="O636" s="62">
        <v>0</v>
      </c>
      <c r="P636" s="65">
        <f t="shared" si="27"/>
        <v>0</v>
      </c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66"/>
      <c r="AX636" s="66"/>
      <c r="AY636" s="66"/>
      <c r="AZ636" s="66"/>
      <c r="BA636" s="66"/>
      <c r="BB636" s="66"/>
      <c r="BC636" s="66"/>
      <c r="BD636" s="66"/>
      <c r="BE636" s="67"/>
      <c r="BF636" s="67"/>
      <c r="BG636" s="68"/>
      <c r="BI636" s="69">
        <v>0</v>
      </c>
      <c r="BJ636" s="70">
        <v>0</v>
      </c>
      <c r="BK636" s="71">
        <v>0</v>
      </c>
      <c r="BL636" s="71">
        <v>0</v>
      </c>
      <c r="BM636" s="71">
        <v>0</v>
      </c>
      <c r="BN636" s="72">
        <v>0</v>
      </c>
      <c r="BO636" s="151" t="e">
        <f t="shared" si="40"/>
        <v>#DIV/0!</v>
      </c>
      <c r="BP636" s="151" t="e">
        <f t="shared" si="41"/>
        <v>#DIV/0!</v>
      </c>
      <c r="BQ636" s="71">
        <v>0</v>
      </c>
      <c r="BR636" s="71">
        <v>0</v>
      </c>
      <c r="BS636" s="71">
        <v>0</v>
      </c>
      <c r="BT636" s="72">
        <v>0</v>
      </c>
      <c r="BU636" s="73"/>
      <c r="BV636" s="73"/>
    </row>
    <row r="637" ht="30" customHeight="1" spans="1:74">
      <c r="A637" s="55" t="s">
        <v>165</v>
      </c>
      <c r="B637" s="56" t="s">
        <v>1057</v>
      </c>
      <c r="C637" s="57" t="s">
        <v>1072</v>
      </c>
      <c r="D637" s="91" t="s">
        <v>1099</v>
      </c>
      <c r="E637" s="91" t="s">
        <v>1100</v>
      </c>
      <c r="F637" s="91" t="str">
        <f>VLOOKUP(E637,[1]库存!$B$1:$C$65536,2,FALSE)</f>
        <v>GEELY SX11 LA DAB (埃)</v>
      </c>
      <c r="G637" s="91" t="s">
        <v>1101</v>
      </c>
      <c r="H637" s="91" t="s">
        <v>1102</v>
      </c>
      <c r="I637" s="91" t="s">
        <v>1103</v>
      </c>
      <c r="J637" s="64"/>
      <c r="K637" s="61"/>
      <c r="L637" s="62">
        <v>2</v>
      </c>
      <c r="M637" s="63">
        <v>1200</v>
      </c>
      <c r="N637" s="64">
        <v>12</v>
      </c>
      <c r="O637" s="62">
        <v>2</v>
      </c>
      <c r="P637" s="65">
        <f t="shared" si="27"/>
        <v>0</v>
      </c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>
        <v>0</v>
      </c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66"/>
      <c r="AX637" s="66"/>
      <c r="AY637" s="66"/>
      <c r="AZ637" s="66"/>
      <c r="BA637" s="66"/>
      <c r="BB637" s="66"/>
      <c r="BC637" s="66"/>
      <c r="BD637" s="66"/>
      <c r="BE637" s="67"/>
      <c r="BF637" s="67"/>
      <c r="BG637" s="68"/>
      <c r="BI637" s="69">
        <v>0</v>
      </c>
      <c r="BJ637" s="70">
        <v>0</v>
      </c>
      <c r="BK637" s="71">
        <v>0</v>
      </c>
      <c r="BL637" s="71">
        <v>0</v>
      </c>
      <c r="BM637" s="71">
        <v>0</v>
      </c>
      <c r="BN637" s="72">
        <v>0</v>
      </c>
      <c r="BO637" s="151" t="e">
        <f t="shared" si="40"/>
        <v>#DIV/0!</v>
      </c>
      <c r="BP637" s="151" t="e">
        <f t="shared" si="41"/>
        <v>#DIV/0!</v>
      </c>
      <c r="BQ637" s="71">
        <v>0</v>
      </c>
      <c r="BR637" s="71">
        <v>0</v>
      </c>
      <c r="BS637" s="71">
        <v>0</v>
      </c>
      <c r="BT637" s="72">
        <v>0</v>
      </c>
      <c r="BU637" s="73"/>
      <c r="BV637" s="73"/>
    </row>
    <row r="638" ht="30" customHeight="1" spans="1:74">
      <c r="A638" s="55">
        <v>0</v>
      </c>
      <c r="B638" s="56">
        <v>0</v>
      </c>
      <c r="C638" s="57">
        <v>0</v>
      </c>
      <c r="D638" s="92"/>
      <c r="E638" s="92"/>
      <c r="F638" s="91" t="e">
        <f>VLOOKUP(E638,[1]库存!$B$1:$C$65536,2,FALSE)</f>
        <v>#N/A</v>
      </c>
      <c r="G638" s="91" t="e">
        <v>#N/A</v>
      </c>
      <c r="H638" s="92"/>
      <c r="I638" s="92"/>
      <c r="J638" s="93"/>
      <c r="K638" s="61"/>
      <c r="L638" s="62">
        <v>0</v>
      </c>
      <c r="M638" s="63">
        <v>0</v>
      </c>
      <c r="N638" s="64">
        <v>0</v>
      </c>
      <c r="O638" s="62">
        <v>0</v>
      </c>
      <c r="P638" s="65">
        <f t="shared" si="27"/>
        <v>0</v>
      </c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66"/>
      <c r="AX638" s="66"/>
      <c r="AY638" s="66"/>
      <c r="AZ638" s="66"/>
      <c r="BA638" s="66"/>
      <c r="BB638" s="66"/>
      <c r="BC638" s="66"/>
      <c r="BD638" s="66"/>
      <c r="BE638" s="67"/>
      <c r="BF638" s="67"/>
      <c r="BG638" s="68"/>
      <c r="BI638" s="69">
        <v>0</v>
      </c>
      <c r="BJ638" s="70">
        <v>0</v>
      </c>
      <c r="BK638" s="71">
        <v>0</v>
      </c>
      <c r="BL638" s="71">
        <v>0</v>
      </c>
      <c r="BM638" s="71">
        <v>0</v>
      </c>
      <c r="BN638" s="72">
        <v>0</v>
      </c>
      <c r="BO638" s="151" t="e">
        <f t="shared" si="40"/>
        <v>#DIV/0!</v>
      </c>
      <c r="BP638" s="151" t="e">
        <f t="shared" si="41"/>
        <v>#DIV/0!</v>
      </c>
      <c r="BQ638" s="71">
        <v>0</v>
      </c>
      <c r="BR638" s="71">
        <v>0</v>
      </c>
      <c r="BS638" s="71">
        <v>0</v>
      </c>
      <c r="BT638" s="72">
        <v>0</v>
      </c>
      <c r="BU638" s="73"/>
      <c r="BV638" s="73"/>
    </row>
    <row r="639" ht="30" customHeight="1" spans="1:74">
      <c r="A639" s="55" t="s">
        <v>1104</v>
      </c>
      <c r="B639" s="56" t="s">
        <v>1057</v>
      </c>
      <c r="C639" s="57" t="s">
        <v>1072</v>
      </c>
      <c r="D639" s="91" t="s">
        <v>1099</v>
      </c>
      <c r="E639" s="91" t="s">
        <v>1105</v>
      </c>
      <c r="F639" s="91" t="str">
        <f>VLOOKUP(E639,[1]库存!$B$1:$C$65536,2,FALSE)</f>
        <v>GEELY SX11 RA DAB</v>
      </c>
      <c r="G639" s="91" t="s">
        <v>1106</v>
      </c>
      <c r="H639" s="177" t="s">
        <v>1107</v>
      </c>
      <c r="I639" s="91" t="s">
        <v>1103</v>
      </c>
      <c r="J639" s="194" t="s">
        <v>1108</v>
      </c>
      <c r="K639" s="61"/>
      <c r="L639" s="62">
        <v>2</v>
      </c>
      <c r="M639" s="63">
        <v>1200</v>
      </c>
      <c r="N639" s="64">
        <v>12</v>
      </c>
      <c r="O639" s="62">
        <v>2</v>
      </c>
      <c r="P639" s="65">
        <f t="shared" si="27"/>
        <v>0</v>
      </c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6"/>
      <c r="AX639" s="66"/>
      <c r="AY639" s="66"/>
      <c r="AZ639" s="66"/>
      <c r="BA639" s="66"/>
      <c r="BB639" s="66"/>
      <c r="BC639" s="66"/>
      <c r="BD639" s="66"/>
      <c r="BE639" s="67"/>
      <c r="BF639" s="67"/>
      <c r="BG639" s="68"/>
      <c r="BI639" s="69">
        <v>0</v>
      </c>
      <c r="BJ639" s="70">
        <v>0</v>
      </c>
      <c r="BK639" s="71">
        <v>0</v>
      </c>
      <c r="BL639" s="71">
        <v>0</v>
      </c>
      <c r="BM639" s="71">
        <v>0</v>
      </c>
      <c r="BN639" s="72">
        <v>0</v>
      </c>
      <c r="BO639" s="151" t="e">
        <f t="shared" si="40"/>
        <v>#DIV/0!</v>
      </c>
      <c r="BP639" s="151" t="e">
        <f t="shared" si="41"/>
        <v>#DIV/0!</v>
      </c>
      <c r="BQ639" s="71">
        <v>0</v>
      </c>
      <c r="BR639" s="71">
        <v>0</v>
      </c>
      <c r="BS639" s="71">
        <v>0</v>
      </c>
      <c r="BT639" s="72">
        <v>0</v>
      </c>
      <c r="BU639" s="73"/>
      <c r="BV639" s="73"/>
    </row>
    <row r="640" ht="30" customHeight="1" spans="1:74">
      <c r="A640" s="55">
        <v>0</v>
      </c>
      <c r="B640" s="56">
        <v>0</v>
      </c>
      <c r="C640" s="57">
        <v>0</v>
      </c>
      <c r="D640" s="92"/>
      <c r="E640" s="92"/>
      <c r="F640" s="91" t="e">
        <f>VLOOKUP(E640,[1]库存!$B$1:$C$65536,2,FALSE)</f>
        <v>#N/A</v>
      </c>
      <c r="G640" s="91" t="e">
        <v>#N/A</v>
      </c>
      <c r="H640" s="179"/>
      <c r="I640" s="92"/>
      <c r="J640" s="195"/>
      <c r="K640" s="61"/>
      <c r="L640" s="62">
        <v>0</v>
      </c>
      <c r="M640" s="63">
        <v>0</v>
      </c>
      <c r="N640" s="64">
        <v>0</v>
      </c>
      <c r="O640" s="62">
        <v>0</v>
      </c>
      <c r="P640" s="65">
        <f t="shared" si="27"/>
        <v>0</v>
      </c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66"/>
      <c r="AX640" s="66"/>
      <c r="AY640" s="66"/>
      <c r="AZ640" s="66"/>
      <c r="BA640" s="66"/>
      <c r="BB640" s="66"/>
      <c r="BC640" s="66"/>
      <c r="BD640" s="66"/>
      <c r="BE640" s="67"/>
      <c r="BF640" s="67"/>
      <c r="BG640" s="68"/>
      <c r="BI640" s="69">
        <v>0</v>
      </c>
      <c r="BJ640" s="70">
        <v>0</v>
      </c>
      <c r="BK640" s="71">
        <v>0</v>
      </c>
      <c r="BL640" s="71">
        <v>0</v>
      </c>
      <c r="BM640" s="71">
        <v>0</v>
      </c>
      <c r="BN640" s="72">
        <v>0</v>
      </c>
      <c r="BO640" s="151" t="e">
        <f t="shared" si="40"/>
        <v>#DIV/0!</v>
      </c>
      <c r="BP640" s="151" t="e">
        <f t="shared" si="41"/>
        <v>#DIV/0!</v>
      </c>
      <c r="BQ640" s="71">
        <v>0</v>
      </c>
      <c r="BR640" s="71">
        <v>0</v>
      </c>
      <c r="BS640" s="71">
        <v>0</v>
      </c>
      <c r="BT640" s="72">
        <v>0</v>
      </c>
      <c r="BU640" s="73"/>
      <c r="BV640" s="73"/>
    </row>
    <row r="641" ht="30" customHeight="1" spans="1:74">
      <c r="A641" s="55" t="s">
        <v>165</v>
      </c>
      <c r="B641" s="56" t="s">
        <v>1057</v>
      </c>
      <c r="C641" s="57" t="s">
        <v>1072</v>
      </c>
      <c r="D641" s="59" t="s">
        <v>1099</v>
      </c>
      <c r="E641" s="59" t="s">
        <v>1109</v>
      </c>
      <c r="F641" s="59" t="str">
        <f>VLOOKUP(E641,[1]库存!$B$1:$C$65536,2,FALSE)</f>
        <v>SX11 DAB A状态 (埃)</v>
      </c>
      <c r="G641" s="59" t="s">
        <v>1110</v>
      </c>
      <c r="H641" s="59" t="s">
        <v>1111</v>
      </c>
      <c r="I641" s="59" t="s">
        <v>1112</v>
      </c>
      <c r="J641" s="94" t="s">
        <v>65</v>
      </c>
      <c r="K641" s="61"/>
      <c r="L641" s="62">
        <v>2</v>
      </c>
      <c r="M641" s="63">
        <v>1300</v>
      </c>
      <c r="N641" s="64">
        <v>12</v>
      </c>
      <c r="O641" s="62">
        <v>2</v>
      </c>
      <c r="P641" s="65">
        <f t="shared" si="27"/>
        <v>0</v>
      </c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66"/>
      <c r="AX641" s="66"/>
      <c r="AY641" s="66"/>
      <c r="AZ641" s="66"/>
      <c r="BA641" s="66"/>
      <c r="BB641" s="66"/>
      <c r="BC641" s="66"/>
      <c r="BD641" s="66"/>
      <c r="BE641" s="67"/>
      <c r="BF641" s="67"/>
      <c r="BG641" s="68"/>
      <c r="BI641" s="69">
        <v>0</v>
      </c>
      <c r="BJ641" s="70">
        <v>0</v>
      </c>
      <c r="BK641" s="71">
        <v>0</v>
      </c>
      <c r="BL641" s="71">
        <v>0</v>
      </c>
      <c r="BM641" s="71">
        <v>0</v>
      </c>
      <c r="BN641" s="72">
        <v>0</v>
      </c>
      <c r="BO641" s="151" t="e">
        <f t="shared" si="40"/>
        <v>#DIV/0!</v>
      </c>
      <c r="BP641" s="151" t="e">
        <f t="shared" si="41"/>
        <v>#DIV/0!</v>
      </c>
      <c r="BQ641" s="71">
        <v>0</v>
      </c>
      <c r="BR641" s="71">
        <v>0</v>
      </c>
      <c r="BS641" s="71">
        <v>0</v>
      </c>
      <c r="BT641" s="72">
        <v>0</v>
      </c>
      <c r="BU641" s="73"/>
      <c r="BV641" s="73"/>
    </row>
    <row r="642" ht="30" customHeight="1" spans="1:74">
      <c r="A642" s="55">
        <v>0</v>
      </c>
      <c r="B642" s="56">
        <v>0</v>
      </c>
      <c r="C642" s="57">
        <v>0</v>
      </c>
      <c r="D642" s="74"/>
      <c r="E642" s="74"/>
      <c r="F642" s="59" t="e">
        <f>VLOOKUP(E642,[1]库存!$B$1:$C$65536,2,FALSE)</f>
        <v>#N/A</v>
      </c>
      <c r="G642" s="59" t="e">
        <v>#N/A</v>
      </c>
      <c r="H642" s="74"/>
      <c r="I642" s="74"/>
      <c r="J642" s="95"/>
      <c r="K642" s="61"/>
      <c r="L642" s="62">
        <v>0</v>
      </c>
      <c r="M642" s="63">
        <v>0</v>
      </c>
      <c r="N642" s="64">
        <v>0</v>
      </c>
      <c r="O642" s="62">
        <v>0</v>
      </c>
      <c r="P642" s="65">
        <f t="shared" si="27"/>
        <v>0</v>
      </c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6"/>
      <c r="BB642" s="66"/>
      <c r="BC642" s="66"/>
      <c r="BD642" s="66"/>
      <c r="BE642" s="67"/>
      <c r="BF642" s="67"/>
      <c r="BG642" s="68"/>
      <c r="BI642" s="69">
        <v>0</v>
      </c>
      <c r="BJ642" s="70">
        <v>0</v>
      </c>
      <c r="BK642" s="71">
        <v>0</v>
      </c>
      <c r="BL642" s="71">
        <v>0</v>
      </c>
      <c r="BM642" s="71">
        <v>0</v>
      </c>
      <c r="BN642" s="72">
        <v>0</v>
      </c>
      <c r="BO642" s="151" t="e">
        <f t="shared" si="40"/>
        <v>#DIV/0!</v>
      </c>
      <c r="BP642" s="151" t="e">
        <f t="shared" si="41"/>
        <v>#DIV/0!</v>
      </c>
      <c r="BQ642" s="71">
        <v>0</v>
      </c>
      <c r="BR642" s="71">
        <v>0</v>
      </c>
      <c r="BS642" s="71">
        <v>0</v>
      </c>
      <c r="BT642" s="72">
        <v>0</v>
      </c>
      <c r="BU642" s="73"/>
      <c r="BV642" s="73"/>
    </row>
    <row r="643" ht="30" customHeight="1" spans="1:74">
      <c r="A643" s="55">
        <v>0</v>
      </c>
      <c r="B643" s="56" t="s">
        <v>1057</v>
      </c>
      <c r="C643" s="57" t="s">
        <v>1072</v>
      </c>
      <c r="D643" s="59" t="s">
        <v>1099</v>
      </c>
      <c r="E643" s="59" t="s">
        <v>1113</v>
      </c>
      <c r="F643" s="59" t="str">
        <f>VLOOKUP(E643,[1]库存!$B$1:$C$65536,2,FALSE)</f>
        <v>A16 DAB A状态 (埃)</v>
      </c>
      <c r="G643" s="59" t="s">
        <v>1114</v>
      </c>
      <c r="H643" s="59" t="s">
        <v>1115</v>
      </c>
      <c r="I643" s="59" t="s">
        <v>1116</v>
      </c>
      <c r="J643" s="80" t="s">
        <v>65</v>
      </c>
      <c r="K643" s="61"/>
      <c r="L643" s="62">
        <v>2</v>
      </c>
      <c r="M643" s="63">
        <v>1000</v>
      </c>
      <c r="N643" s="64">
        <v>11</v>
      </c>
      <c r="O643" s="62">
        <v>2</v>
      </c>
      <c r="P643" s="65">
        <f t="shared" si="27"/>
        <v>0</v>
      </c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66"/>
      <c r="AX643" s="66"/>
      <c r="AY643" s="66"/>
      <c r="AZ643" s="66"/>
      <c r="BA643" s="66"/>
      <c r="BB643" s="66"/>
      <c r="BC643" s="66"/>
      <c r="BD643" s="66"/>
      <c r="BE643" s="67"/>
      <c r="BF643" s="67"/>
      <c r="BG643" s="68"/>
      <c r="BI643" s="69">
        <v>0</v>
      </c>
      <c r="BJ643" s="70">
        <v>0</v>
      </c>
      <c r="BK643" s="71">
        <v>0</v>
      </c>
      <c r="BL643" s="71">
        <v>0</v>
      </c>
      <c r="BM643" s="71">
        <v>0</v>
      </c>
      <c r="BN643" s="72">
        <v>0</v>
      </c>
      <c r="BO643" s="151" t="e">
        <f t="shared" si="40"/>
        <v>#DIV/0!</v>
      </c>
      <c r="BP643" s="151" t="e">
        <f t="shared" si="41"/>
        <v>#DIV/0!</v>
      </c>
      <c r="BQ643" s="71">
        <v>0</v>
      </c>
      <c r="BR643" s="71">
        <v>0</v>
      </c>
      <c r="BS643" s="71">
        <v>0</v>
      </c>
      <c r="BT643" s="72">
        <v>0</v>
      </c>
      <c r="BU643" s="73"/>
      <c r="BV643" s="73"/>
    </row>
    <row r="644" ht="30" customHeight="1" spans="1:74">
      <c r="A644" s="55">
        <v>0</v>
      </c>
      <c r="B644" s="56">
        <v>0</v>
      </c>
      <c r="C644" s="57">
        <v>0</v>
      </c>
      <c r="D644" s="74"/>
      <c r="E644" s="74"/>
      <c r="F644" s="59" t="e">
        <f>VLOOKUP(E644,[1]库存!$B$1:$C$65536,2,FALSE)</f>
        <v>#N/A</v>
      </c>
      <c r="G644" s="59" t="e">
        <v>#N/A</v>
      </c>
      <c r="H644" s="74"/>
      <c r="I644" s="74"/>
      <c r="J644" s="81"/>
      <c r="K644" s="61"/>
      <c r="L644" s="62">
        <v>0</v>
      </c>
      <c r="M644" s="63">
        <v>0</v>
      </c>
      <c r="N644" s="64">
        <v>0</v>
      </c>
      <c r="O644" s="62">
        <v>0</v>
      </c>
      <c r="P644" s="65">
        <f t="shared" si="27"/>
        <v>0</v>
      </c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66"/>
      <c r="AX644" s="66"/>
      <c r="AY644" s="66"/>
      <c r="AZ644" s="66"/>
      <c r="BA644" s="66"/>
      <c r="BB644" s="66"/>
      <c r="BC644" s="66"/>
      <c r="BD644" s="66"/>
      <c r="BE644" s="67"/>
      <c r="BF644" s="67"/>
      <c r="BG644" s="68"/>
      <c r="BI644" s="69">
        <v>0</v>
      </c>
      <c r="BJ644" s="70">
        <v>0</v>
      </c>
      <c r="BK644" s="71">
        <v>0</v>
      </c>
      <c r="BL644" s="71">
        <v>0</v>
      </c>
      <c r="BM644" s="71">
        <v>0</v>
      </c>
      <c r="BN644" s="72">
        <v>0</v>
      </c>
      <c r="BO644" s="151" t="e">
        <f t="shared" si="40"/>
        <v>#DIV/0!</v>
      </c>
      <c r="BP644" s="151" t="e">
        <f t="shared" si="41"/>
        <v>#DIV/0!</v>
      </c>
      <c r="BQ644" s="71">
        <v>0</v>
      </c>
      <c r="BR644" s="71">
        <v>0</v>
      </c>
      <c r="BS644" s="71">
        <v>0</v>
      </c>
      <c r="BT644" s="72">
        <v>0</v>
      </c>
      <c r="BU644" s="73"/>
      <c r="BV644" s="73"/>
    </row>
    <row r="645" ht="30" customHeight="1" spans="1:74">
      <c r="A645" s="55" t="s">
        <v>165</v>
      </c>
      <c r="B645" s="56" t="s">
        <v>1057</v>
      </c>
      <c r="C645" s="57" t="s">
        <v>1072</v>
      </c>
      <c r="D645" s="59" t="s">
        <v>1099</v>
      </c>
      <c r="E645" s="59" t="s">
        <v>1117</v>
      </c>
      <c r="F645" s="59" t="str">
        <f>VLOOKUP(E645,[1]库存!$B$1:$C$65536,2,FALSE)</f>
        <v>DNL-5 DAB A状态 (埃)</v>
      </c>
      <c r="G645" s="59" t="s">
        <v>1118</v>
      </c>
      <c r="H645" s="59" t="s">
        <v>1119</v>
      </c>
      <c r="I645" s="59" t="s">
        <v>1120</v>
      </c>
      <c r="J645" s="80" t="s">
        <v>65</v>
      </c>
      <c r="K645" s="61"/>
      <c r="L645" s="62">
        <v>2</v>
      </c>
      <c r="M645" s="63">
        <v>1300</v>
      </c>
      <c r="N645" s="64">
        <v>11</v>
      </c>
      <c r="O645" s="62">
        <v>2</v>
      </c>
      <c r="P645" s="65">
        <f t="shared" si="27"/>
        <v>0</v>
      </c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66"/>
      <c r="AX645" s="66"/>
      <c r="AY645" s="66"/>
      <c r="AZ645" s="66"/>
      <c r="BA645" s="66"/>
      <c r="BB645" s="66"/>
      <c r="BC645" s="66"/>
      <c r="BD645" s="66"/>
      <c r="BE645" s="67"/>
      <c r="BF645" s="67"/>
      <c r="BG645" s="68"/>
      <c r="BI645" s="69">
        <v>0</v>
      </c>
      <c r="BJ645" s="70">
        <v>0</v>
      </c>
      <c r="BK645" s="71">
        <v>0</v>
      </c>
      <c r="BL645" s="71">
        <v>0</v>
      </c>
      <c r="BM645" s="71">
        <v>0</v>
      </c>
      <c r="BN645" s="72">
        <v>0</v>
      </c>
      <c r="BO645" s="151" t="e">
        <f t="shared" si="40"/>
        <v>#DIV/0!</v>
      </c>
      <c r="BP645" s="151" t="e">
        <f t="shared" si="41"/>
        <v>#DIV/0!</v>
      </c>
      <c r="BQ645" s="71">
        <v>0</v>
      </c>
      <c r="BR645" s="71">
        <v>0</v>
      </c>
      <c r="BS645" s="71">
        <v>0</v>
      </c>
      <c r="BT645" s="72">
        <v>0</v>
      </c>
      <c r="BU645" s="73"/>
      <c r="BV645" s="73"/>
    </row>
    <row r="646" ht="30" customHeight="1" spans="1:74">
      <c r="A646" s="55">
        <v>0</v>
      </c>
      <c r="B646" s="56">
        <v>0</v>
      </c>
      <c r="C646" s="57">
        <v>0</v>
      </c>
      <c r="D646" s="74"/>
      <c r="E646" s="74"/>
      <c r="F646" s="59" t="e">
        <f>VLOOKUP(E646,[1]库存!$B$1:$C$65536,2,FALSE)</f>
        <v>#N/A</v>
      </c>
      <c r="G646" s="59" t="e">
        <v>#N/A</v>
      </c>
      <c r="H646" s="74"/>
      <c r="I646" s="74"/>
      <c r="J646" s="81"/>
      <c r="K646" s="61"/>
      <c r="L646" s="62">
        <v>0</v>
      </c>
      <c r="M646" s="63">
        <v>0</v>
      </c>
      <c r="N646" s="64">
        <v>0</v>
      </c>
      <c r="O646" s="62">
        <v>0</v>
      </c>
      <c r="P646" s="65">
        <f t="shared" ref="P646:P709" si="42">SUM(AG646:AJ646)</f>
        <v>0</v>
      </c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66"/>
      <c r="AX646" s="66"/>
      <c r="AY646" s="66"/>
      <c r="AZ646" s="66"/>
      <c r="BA646" s="66"/>
      <c r="BB646" s="66"/>
      <c r="BC646" s="66"/>
      <c r="BD646" s="66"/>
      <c r="BE646" s="67"/>
      <c r="BF646" s="67"/>
      <c r="BG646" s="68"/>
      <c r="BI646" s="69">
        <v>0</v>
      </c>
      <c r="BJ646" s="70">
        <v>0</v>
      </c>
      <c r="BK646" s="71">
        <v>0</v>
      </c>
      <c r="BL646" s="71">
        <v>0</v>
      </c>
      <c r="BM646" s="71">
        <v>0</v>
      </c>
      <c r="BN646" s="72">
        <v>0</v>
      </c>
      <c r="BO646" s="151" t="e">
        <f t="shared" si="40"/>
        <v>#DIV/0!</v>
      </c>
      <c r="BP646" s="151" t="e">
        <f t="shared" si="41"/>
        <v>#DIV/0!</v>
      </c>
      <c r="BQ646" s="71">
        <v>0</v>
      </c>
      <c r="BR646" s="71">
        <v>0</v>
      </c>
      <c r="BS646" s="71">
        <v>0</v>
      </c>
      <c r="BT646" s="72">
        <v>0</v>
      </c>
      <c r="BU646" s="73"/>
      <c r="BV646" s="73"/>
    </row>
    <row r="647" ht="30" customHeight="1" spans="1:74">
      <c r="A647" s="55" t="s">
        <v>165</v>
      </c>
      <c r="B647" s="56" t="s">
        <v>1057</v>
      </c>
      <c r="C647" s="57" t="s">
        <v>1072</v>
      </c>
      <c r="D647" s="59" t="s">
        <v>1099</v>
      </c>
      <c r="E647" s="59" t="s">
        <v>1121</v>
      </c>
      <c r="F647" s="59" t="str">
        <f>VLOOKUP(E647,[1]库存!$B$1:$C$65536,2,FALSE)</f>
        <v>KC-2 DAB A状态 （国产缝纫线）</v>
      </c>
      <c r="G647" s="59" t="s">
        <v>1122</v>
      </c>
      <c r="H647" s="59" t="s">
        <v>1123</v>
      </c>
      <c r="I647" s="59" t="s">
        <v>1103</v>
      </c>
      <c r="J647" s="80" t="s">
        <v>65</v>
      </c>
      <c r="K647" s="61"/>
      <c r="L647" s="62">
        <v>2</v>
      </c>
      <c r="M647" s="63">
        <v>1200</v>
      </c>
      <c r="N647" s="64">
        <v>11</v>
      </c>
      <c r="O647" s="62">
        <v>2</v>
      </c>
      <c r="P647" s="65">
        <f t="shared" si="42"/>
        <v>0</v>
      </c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66"/>
      <c r="AX647" s="66"/>
      <c r="AY647" s="66"/>
      <c r="AZ647" s="66"/>
      <c r="BA647" s="66"/>
      <c r="BB647" s="66"/>
      <c r="BC647" s="66"/>
      <c r="BD647" s="66"/>
      <c r="BE647" s="67"/>
      <c r="BF647" s="67"/>
      <c r="BG647" s="68"/>
      <c r="BI647" s="69">
        <v>0</v>
      </c>
      <c r="BJ647" s="70">
        <v>0</v>
      </c>
      <c r="BK647" s="71">
        <v>0</v>
      </c>
      <c r="BL647" s="71">
        <v>0</v>
      </c>
      <c r="BM647" s="71">
        <v>0</v>
      </c>
      <c r="BN647" s="72">
        <v>0</v>
      </c>
      <c r="BO647" s="151" t="e">
        <f t="shared" si="40"/>
        <v>#DIV/0!</v>
      </c>
      <c r="BP647" s="151" t="e">
        <f t="shared" si="41"/>
        <v>#DIV/0!</v>
      </c>
      <c r="BQ647" s="71">
        <v>0</v>
      </c>
      <c r="BR647" s="71">
        <v>0</v>
      </c>
      <c r="BS647" s="71">
        <v>0</v>
      </c>
      <c r="BT647" s="72">
        <v>0</v>
      </c>
      <c r="BU647" s="73"/>
      <c r="BV647" s="73"/>
    </row>
    <row r="648" ht="30" customHeight="1" spans="1:74">
      <c r="A648" s="55">
        <v>0</v>
      </c>
      <c r="B648" s="56">
        <v>0</v>
      </c>
      <c r="C648" s="57">
        <v>0</v>
      </c>
      <c r="D648" s="74"/>
      <c r="E648" s="74"/>
      <c r="F648" s="59" t="e">
        <f>VLOOKUP(E648,[1]库存!$B$1:$C$65536,2,FALSE)</f>
        <v>#N/A</v>
      </c>
      <c r="G648" s="59" t="e">
        <v>#N/A</v>
      </c>
      <c r="H648" s="74"/>
      <c r="I648" s="74"/>
      <c r="J648" s="81"/>
      <c r="K648" s="61"/>
      <c r="L648" s="62">
        <v>0</v>
      </c>
      <c r="M648" s="63">
        <v>0</v>
      </c>
      <c r="N648" s="64">
        <v>0</v>
      </c>
      <c r="O648" s="62">
        <v>0</v>
      </c>
      <c r="P648" s="65">
        <f t="shared" si="42"/>
        <v>0</v>
      </c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66"/>
      <c r="AX648" s="66"/>
      <c r="AY648" s="66"/>
      <c r="AZ648" s="66"/>
      <c r="BA648" s="66"/>
      <c r="BB648" s="66"/>
      <c r="BC648" s="66"/>
      <c r="BD648" s="66"/>
      <c r="BE648" s="67"/>
      <c r="BF648" s="67"/>
      <c r="BG648" s="68"/>
      <c r="BI648" s="69">
        <v>0</v>
      </c>
      <c r="BJ648" s="70">
        <v>0</v>
      </c>
      <c r="BK648" s="71">
        <v>0</v>
      </c>
      <c r="BL648" s="71">
        <v>0</v>
      </c>
      <c r="BM648" s="71">
        <v>0</v>
      </c>
      <c r="BN648" s="72">
        <v>0</v>
      </c>
      <c r="BO648" s="151" t="e">
        <f t="shared" si="40"/>
        <v>#DIV/0!</v>
      </c>
      <c r="BP648" s="151" t="e">
        <f t="shared" si="41"/>
        <v>#DIV/0!</v>
      </c>
      <c r="BQ648" s="71">
        <v>0</v>
      </c>
      <c r="BR648" s="71">
        <v>0</v>
      </c>
      <c r="BS648" s="71">
        <v>0</v>
      </c>
      <c r="BT648" s="72">
        <v>0</v>
      </c>
      <c r="BU648" s="73"/>
      <c r="BV648" s="73"/>
    </row>
    <row r="649" ht="30" customHeight="1" spans="1:74">
      <c r="A649" s="55">
        <v>0</v>
      </c>
      <c r="B649" s="56">
        <v>0</v>
      </c>
      <c r="C649" s="57">
        <v>0</v>
      </c>
      <c r="E649" s="88"/>
      <c r="F649" s="59" t="e">
        <f>VLOOKUP(E649,[1]库存!$B$1:$C$65536,2,FALSE)</f>
        <v>#N/A</v>
      </c>
      <c r="G649" s="59" t="e">
        <v>#N/A</v>
      </c>
      <c r="H649" s="89"/>
      <c r="I649" s="88"/>
      <c r="J649" s="90"/>
      <c r="K649" s="61"/>
      <c r="L649" s="62">
        <v>0</v>
      </c>
      <c r="M649" s="63">
        <v>0</v>
      </c>
      <c r="N649" s="64">
        <v>0</v>
      </c>
      <c r="O649" s="62">
        <v>0</v>
      </c>
      <c r="P649" s="65">
        <f t="shared" si="42"/>
        <v>0</v>
      </c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66"/>
      <c r="AX649" s="66"/>
      <c r="AY649" s="66"/>
      <c r="AZ649" s="66"/>
      <c r="BA649" s="66"/>
      <c r="BB649" s="66"/>
      <c r="BC649" s="66"/>
      <c r="BD649" s="66"/>
      <c r="BE649" s="67"/>
      <c r="BF649" s="67"/>
      <c r="BG649" s="68"/>
      <c r="BI649" s="69">
        <v>0</v>
      </c>
      <c r="BJ649" s="70">
        <v>0</v>
      </c>
      <c r="BK649" s="71">
        <v>0</v>
      </c>
      <c r="BL649" s="71">
        <v>0</v>
      </c>
      <c r="BM649" s="71">
        <v>0</v>
      </c>
      <c r="BN649" s="72">
        <v>0</v>
      </c>
      <c r="BO649" s="151" t="e">
        <f t="shared" si="40"/>
        <v>#DIV/0!</v>
      </c>
      <c r="BP649" s="151" t="e">
        <f t="shared" si="41"/>
        <v>#DIV/0!</v>
      </c>
      <c r="BQ649" s="71">
        <v>0</v>
      </c>
      <c r="BR649" s="71">
        <v>0</v>
      </c>
      <c r="BS649" s="71">
        <v>0</v>
      </c>
      <c r="BT649" s="72">
        <v>0</v>
      </c>
      <c r="BU649" s="73"/>
      <c r="BV649" s="73"/>
    </row>
    <row r="650" ht="30" customHeight="1" spans="1:74">
      <c r="A650" s="55" t="s">
        <v>165</v>
      </c>
      <c r="B650" s="56" t="s">
        <v>1057</v>
      </c>
      <c r="C650" s="57" t="s">
        <v>1124</v>
      </c>
      <c r="D650" s="91" t="s">
        <v>1125</v>
      </c>
      <c r="E650" s="91" t="s">
        <v>1126</v>
      </c>
      <c r="F650" s="91" t="str">
        <f>VLOOKUP(E650,[1]库存!$B$1:$C$65536,2,FALSE)</f>
        <v>GWM P06 PAB A状态</v>
      </c>
      <c r="G650" s="91" t="s">
        <v>1127</v>
      </c>
      <c r="H650" s="91" t="s">
        <v>1128</v>
      </c>
      <c r="I650" s="91" t="s">
        <v>1129</v>
      </c>
      <c r="J650" s="64" t="s">
        <v>1130</v>
      </c>
      <c r="K650" s="61"/>
      <c r="L650" s="62">
        <v>2</v>
      </c>
      <c r="M650" s="63">
        <v>900</v>
      </c>
      <c r="N650" s="64">
        <v>14</v>
      </c>
      <c r="O650" s="62">
        <v>2</v>
      </c>
      <c r="P650" s="65">
        <f t="shared" si="42"/>
        <v>0</v>
      </c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66"/>
      <c r="AX650" s="66"/>
      <c r="AY650" s="66"/>
      <c r="AZ650" s="66"/>
      <c r="BA650" s="66"/>
      <c r="BB650" s="66"/>
      <c r="BC650" s="66"/>
      <c r="BD650" s="66"/>
      <c r="BE650" s="67"/>
      <c r="BF650" s="67"/>
      <c r="BG650" s="68"/>
      <c r="BI650" s="69">
        <v>0</v>
      </c>
      <c r="BJ650" s="70">
        <v>0</v>
      </c>
      <c r="BK650" s="71">
        <v>0</v>
      </c>
      <c r="BL650" s="71">
        <v>0</v>
      </c>
      <c r="BM650" s="71">
        <v>0</v>
      </c>
      <c r="BN650" s="72">
        <v>0</v>
      </c>
      <c r="BO650" s="151" t="e">
        <f t="shared" si="40"/>
        <v>#DIV/0!</v>
      </c>
      <c r="BP650" s="151" t="e">
        <f t="shared" si="41"/>
        <v>#DIV/0!</v>
      </c>
      <c r="BQ650" s="71">
        <v>0</v>
      </c>
      <c r="BR650" s="71">
        <v>0</v>
      </c>
      <c r="BS650" s="71">
        <v>0</v>
      </c>
      <c r="BT650" s="72">
        <v>0</v>
      </c>
      <c r="BU650" s="73"/>
      <c r="BV650" s="73"/>
    </row>
    <row r="651" ht="30" customHeight="1" spans="1:74">
      <c r="A651" s="55">
        <v>0</v>
      </c>
      <c r="B651" s="56">
        <v>0</v>
      </c>
      <c r="C651" s="57">
        <v>0</v>
      </c>
      <c r="D651" s="92"/>
      <c r="E651" s="92"/>
      <c r="F651" s="91" t="e">
        <f>VLOOKUP(E651,[1]库存!$B$1:$C$65536,2,FALSE)</f>
        <v>#N/A</v>
      </c>
      <c r="G651" s="91" t="e">
        <v>#N/A</v>
      </c>
      <c r="H651" s="92"/>
      <c r="I651" s="92"/>
      <c r="J651" s="93"/>
      <c r="K651" s="61"/>
      <c r="L651" s="62">
        <v>0</v>
      </c>
      <c r="M651" s="63">
        <v>0</v>
      </c>
      <c r="N651" s="64">
        <v>0</v>
      </c>
      <c r="O651" s="62">
        <v>0</v>
      </c>
      <c r="P651" s="65">
        <f t="shared" si="42"/>
        <v>0</v>
      </c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6"/>
      <c r="BB651" s="66"/>
      <c r="BC651" s="66"/>
      <c r="BD651" s="66"/>
      <c r="BE651" s="67"/>
      <c r="BF651" s="67"/>
      <c r="BG651" s="68"/>
      <c r="BI651" s="69">
        <v>0</v>
      </c>
      <c r="BJ651" s="70">
        <v>0</v>
      </c>
      <c r="BK651" s="71">
        <v>0</v>
      </c>
      <c r="BL651" s="71">
        <v>0</v>
      </c>
      <c r="BM651" s="71">
        <v>0</v>
      </c>
      <c r="BN651" s="72">
        <v>0</v>
      </c>
      <c r="BO651" s="151" t="e">
        <f t="shared" si="40"/>
        <v>#DIV/0!</v>
      </c>
      <c r="BP651" s="151" t="e">
        <f t="shared" si="41"/>
        <v>#DIV/0!</v>
      </c>
      <c r="BQ651" s="71">
        <v>0</v>
      </c>
      <c r="BR651" s="71">
        <v>0</v>
      </c>
      <c r="BS651" s="71">
        <v>0</v>
      </c>
      <c r="BT651" s="72">
        <v>0</v>
      </c>
      <c r="BU651" s="73"/>
      <c r="BV651" s="73"/>
    </row>
    <row r="652" ht="30" customHeight="1" spans="1:74">
      <c r="A652" s="55" t="s">
        <v>165</v>
      </c>
      <c r="B652" s="56" t="s">
        <v>1057</v>
      </c>
      <c r="C652" s="57" t="s">
        <v>1124</v>
      </c>
      <c r="D652" s="59" t="s">
        <v>1125</v>
      </c>
      <c r="E652" s="59" t="s">
        <v>1131</v>
      </c>
      <c r="F652" s="59" t="str">
        <f>VLOOKUP(E652,[1]库存!$B$1:$C$65536,2,FALSE)</f>
        <v>SGMW F710C PAB B状态</v>
      </c>
      <c r="G652" s="59" t="s">
        <v>1132</v>
      </c>
      <c r="H652" s="59" t="s">
        <v>1133</v>
      </c>
      <c r="I652" s="59" t="s">
        <v>1129</v>
      </c>
      <c r="J652" s="97" t="s">
        <v>65</v>
      </c>
      <c r="K652" s="61"/>
      <c r="L652" s="62">
        <v>2</v>
      </c>
      <c r="M652" s="63">
        <v>900</v>
      </c>
      <c r="N652" s="64">
        <v>15</v>
      </c>
      <c r="O652" s="62">
        <v>2</v>
      </c>
      <c r="P652" s="65">
        <f t="shared" si="42"/>
        <v>0</v>
      </c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66"/>
      <c r="AX652" s="66"/>
      <c r="AY652" s="66"/>
      <c r="AZ652" s="66"/>
      <c r="BA652" s="66"/>
      <c r="BB652" s="66"/>
      <c r="BC652" s="66"/>
      <c r="BD652" s="66"/>
      <c r="BE652" s="67"/>
      <c r="BF652" s="67"/>
      <c r="BG652" s="68"/>
      <c r="BI652" s="69">
        <v>0</v>
      </c>
      <c r="BJ652" s="70">
        <v>0</v>
      </c>
      <c r="BK652" s="71">
        <v>0</v>
      </c>
      <c r="BL652" s="71">
        <v>0</v>
      </c>
      <c r="BM652" s="71">
        <v>0</v>
      </c>
      <c r="BN652" s="72">
        <v>0</v>
      </c>
      <c r="BO652" s="151" t="e">
        <f t="shared" si="40"/>
        <v>#DIV/0!</v>
      </c>
      <c r="BP652" s="151" t="e">
        <f t="shared" si="41"/>
        <v>#DIV/0!</v>
      </c>
      <c r="BQ652" s="71">
        <v>0</v>
      </c>
      <c r="BR652" s="71">
        <v>0</v>
      </c>
      <c r="BS652" s="71">
        <v>0</v>
      </c>
      <c r="BT652" s="72">
        <v>0</v>
      </c>
      <c r="BU652" s="73"/>
      <c r="BV652" s="73"/>
    </row>
    <row r="653" ht="30" customHeight="1" spans="1:74">
      <c r="A653" s="55">
        <v>0</v>
      </c>
      <c r="B653" s="56">
        <v>0</v>
      </c>
      <c r="C653" s="57">
        <v>0</v>
      </c>
      <c r="D653" s="74"/>
      <c r="E653" s="74"/>
      <c r="F653" s="59" t="e">
        <f>VLOOKUP(E653,[1]库存!$B$1:$C$65536,2,FALSE)</f>
        <v>#N/A</v>
      </c>
      <c r="G653" s="59" t="e">
        <v>#N/A</v>
      </c>
      <c r="H653" s="74"/>
      <c r="I653" s="74"/>
      <c r="J653" s="98"/>
      <c r="K653" s="61"/>
      <c r="L653" s="62">
        <v>0</v>
      </c>
      <c r="M653" s="63">
        <v>0</v>
      </c>
      <c r="N653" s="64">
        <v>0</v>
      </c>
      <c r="O653" s="62">
        <v>0</v>
      </c>
      <c r="P653" s="65">
        <f t="shared" si="42"/>
        <v>0</v>
      </c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66"/>
      <c r="AX653" s="66"/>
      <c r="AY653" s="66"/>
      <c r="AZ653" s="66"/>
      <c r="BA653" s="66"/>
      <c r="BB653" s="66"/>
      <c r="BC653" s="66"/>
      <c r="BD653" s="66"/>
      <c r="BE653" s="67"/>
      <c r="BF653" s="67"/>
      <c r="BG653" s="68"/>
      <c r="BI653" s="69">
        <v>0</v>
      </c>
      <c r="BJ653" s="70">
        <v>0</v>
      </c>
      <c r="BK653" s="71">
        <v>0</v>
      </c>
      <c r="BL653" s="71">
        <v>0</v>
      </c>
      <c r="BM653" s="71">
        <v>0</v>
      </c>
      <c r="BN653" s="72">
        <v>0</v>
      </c>
      <c r="BO653" s="151" t="e">
        <f t="shared" si="40"/>
        <v>#DIV/0!</v>
      </c>
      <c r="BP653" s="151" t="e">
        <f t="shared" si="41"/>
        <v>#DIV/0!</v>
      </c>
      <c r="BQ653" s="71">
        <v>0</v>
      </c>
      <c r="BR653" s="71">
        <v>0</v>
      </c>
      <c r="BS653" s="71">
        <v>0</v>
      </c>
      <c r="BT653" s="72">
        <v>0</v>
      </c>
      <c r="BU653" s="73"/>
      <c r="BV653" s="73"/>
    </row>
    <row r="654" ht="30" customHeight="1" spans="1:74">
      <c r="A654" s="55" t="s">
        <v>165</v>
      </c>
      <c r="B654" s="56" t="s">
        <v>1057</v>
      </c>
      <c r="C654" s="57" t="s">
        <v>1124</v>
      </c>
      <c r="D654" s="59" t="s">
        <v>1125</v>
      </c>
      <c r="E654" s="59" t="s">
        <v>1134</v>
      </c>
      <c r="F654" s="59" t="str">
        <f>VLOOKUP(E654,[1]库存!$B$1:$C$65536,2,FALSE)</f>
        <v>GAC A16 PAB</v>
      </c>
      <c r="G654" s="59" t="s">
        <v>1135</v>
      </c>
      <c r="H654" s="59" t="s">
        <v>1136</v>
      </c>
      <c r="I654" s="59" t="s">
        <v>1137</v>
      </c>
      <c r="J654" s="82" t="s">
        <v>80</v>
      </c>
      <c r="K654" s="61"/>
      <c r="L654" s="62">
        <v>2</v>
      </c>
      <c r="M654" s="63">
        <v>900</v>
      </c>
      <c r="N654" s="64">
        <v>15</v>
      </c>
      <c r="O654" s="62">
        <v>2</v>
      </c>
      <c r="P654" s="65">
        <f t="shared" si="42"/>
        <v>0</v>
      </c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66"/>
      <c r="AX654" s="66"/>
      <c r="AY654" s="66"/>
      <c r="AZ654" s="66"/>
      <c r="BA654" s="66"/>
      <c r="BB654" s="66"/>
      <c r="BC654" s="66"/>
      <c r="BD654" s="66"/>
      <c r="BE654" s="67"/>
      <c r="BF654" s="67"/>
      <c r="BG654" s="68"/>
      <c r="BI654" s="69">
        <v>0</v>
      </c>
      <c r="BJ654" s="70">
        <v>0</v>
      </c>
      <c r="BK654" s="71">
        <v>0</v>
      </c>
      <c r="BL654" s="71">
        <v>0</v>
      </c>
      <c r="BM654" s="71">
        <v>0</v>
      </c>
      <c r="BN654" s="72">
        <v>0</v>
      </c>
      <c r="BO654" s="151" t="e">
        <f t="shared" si="40"/>
        <v>#DIV/0!</v>
      </c>
      <c r="BP654" s="151" t="e">
        <f t="shared" si="41"/>
        <v>#DIV/0!</v>
      </c>
      <c r="BQ654" s="71">
        <v>0</v>
      </c>
      <c r="BR654" s="71">
        <v>0</v>
      </c>
      <c r="BS654" s="71">
        <v>0</v>
      </c>
      <c r="BT654" s="72">
        <v>0</v>
      </c>
      <c r="BU654" s="73"/>
      <c r="BV654" s="73"/>
    </row>
    <row r="655" ht="30" customHeight="1" spans="1:74">
      <c r="A655" s="55">
        <v>0</v>
      </c>
      <c r="B655" s="56">
        <v>0</v>
      </c>
      <c r="C655" s="57">
        <v>0</v>
      </c>
      <c r="D655" s="74"/>
      <c r="E655" s="74"/>
      <c r="F655" s="59" t="e">
        <f>VLOOKUP(E655,[1]库存!$B$1:$C$65536,2,FALSE)</f>
        <v>#N/A</v>
      </c>
      <c r="G655" s="59" t="e">
        <v>#N/A</v>
      </c>
      <c r="H655" s="74"/>
      <c r="I655" s="74"/>
      <c r="J655" s="83"/>
      <c r="K655" s="61"/>
      <c r="L655" s="62">
        <v>0</v>
      </c>
      <c r="M655" s="63">
        <v>0</v>
      </c>
      <c r="N655" s="64">
        <v>0</v>
      </c>
      <c r="O655" s="62">
        <v>0</v>
      </c>
      <c r="P655" s="65">
        <f t="shared" si="42"/>
        <v>0</v>
      </c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66"/>
      <c r="AX655" s="66"/>
      <c r="AY655" s="66"/>
      <c r="AZ655" s="66"/>
      <c r="BA655" s="66"/>
      <c r="BB655" s="66"/>
      <c r="BC655" s="66"/>
      <c r="BD655" s="66"/>
      <c r="BE655" s="67"/>
      <c r="BF655" s="67"/>
      <c r="BG655" s="68"/>
      <c r="BI655" s="69">
        <v>0</v>
      </c>
      <c r="BJ655" s="70">
        <v>0</v>
      </c>
      <c r="BK655" s="71">
        <v>0</v>
      </c>
      <c r="BL655" s="71">
        <v>0</v>
      </c>
      <c r="BM655" s="71">
        <v>0</v>
      </c>
      <c r="BN655" s="72">
        <v>0</v>
      </c>
      <c r="BO655" s="151" t="e">
        <f t="shared" si="40"/>
        <v>#DIV/0!</v>
      </c>
      <c r="BP655" s="151" t="e">
        <f t="shared" si="41"/>
        <v>#DIV/0!</v>
      </c>
      <c r="BQ655" s="71">
        <v>0</v>
      </c>
      <c r="BR655" s="71">
        <v>0</v>
      </c>
      <c r="BS655" s="71">
        <v>0</v>
      </c>
      <c r="BT655" s="72">
        <v>0</v>
      </c>
      <c r="BU655" s="73"/>
      <c r="BV655" s="73"/>
    </row>
    <row r="656" ht="30" customHeight="1" spans="1:74">
      <c r="A656" s="55" t="s">
        <v>165</v>
      </c>
      <c r="B656" s="56" t="s">
        <v>1057</v>
      </c>
      <c r="C656" s="57" t="s">
        <v>1124</v>
      </c>
      <c r="D656" s="59" t="s">
        <v>1125</v>
      </c>
      <c r="E656" s="59" t="s">
        <v>1138</v>
      </c>
      <c r="F656" s="59" t="str">
        <f>VLOOKUP(E656,[1]库存!$B$1:$C$65536,2,FALSE)</f>
        <v>GEELY FE-3AC PAB A状态</v>
      </c>
      <c r="G656" s="59" t="s">
        <v>1139</v>
      </c>
      <c r="H656" s="196" t="s">
        <v>1140</v>
      </c>
      <c r="I656" s="59" t="s">
        <v>1129</v>
      </c>
      <c r="J656" s="82" t="s">
        <v>80</v>
      </c>
      <c r="K656" s="61"/>
      <c r="L656" s="62">
        <v>2</v>
      </c>
      <c r="M656" s="63">
        <v>1300</v>
      </c>
      <c r="N656" s="64">
        <v>15</v>
      </c>
      <c r="O656" s="62">
        <v>2</v>
      </c>
      <c r="P656" s="65">
        <f t="shared" si="42"/>
        <v>0</v>
      </c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  <c r="BD656" s="66"/>
      <c r="BE656" s="67"/>
      <c r="BF656" s="67"/>
      <c r="BG656" s="68"/>
      <c r="BI656" s="69">
        <v>0</v>
      </c>
      <c r="BJ656" s="70">
        <v>0</v>
      </c>
      <c r="BK656" s="71">
        <v>0</v>
      </c>
      <c r="BL656" s="71">
        <v>0</v>
      </c>
      <c r="BM656" s="71">
        <v>0</v>
      </c>
      <c r="BN656" s="72">
        <v>0</v>
      </c>
      <c r="BO656" s="151" t="e">
        <f t="shared" si="40"/>
        <v>#DIV/0!</v>
      </c>
      <c r="BP656" s="151" t="e">
        <f t="shared" si="41"/>
        <v>#DIV/0!</v>
      </c>
      <c r="BQ656" s="71">
        <v>0</v>
      </c>
      <c r="BR656" s="71">
        <v>0</v>
      </c>
      <c r="BS656" s="71">
        <v>0</v>
      </c>
      <c r="BT656" s="72">
        <v>0</v>
      </c>
      <c r="BU656" s="73"/>
      <c r="BV656" s="73"/>
    </row>
    <row r="657" ht="30" customHeight="1" spans="1:74">
      <c r="A657" s="55">
        <v>0</v>
      </c>
      <c r="B657" s="56">
        <v>0</v>
      </c>
      <c r="C657" s="57">
        <v>0</v>
      </c>
      <c r="D657" s="74"/>
      <c r="E657" s="74"/>
      <c r="F657" s="59" t="e">
        <f>VLOOKUP(E657,[1]库存!$B$1:$C$65536,2,FALSE)</f>
        <v>#N/A</v>
      </c>
      <c r="G657" s="59" t="e">
        <v>#N/A</v>
      </c>
      <c r="H657" s="99"/>
      <c r="I657" s="74"/>
      <c r="J657" s="83"/>
      <c r="K657" s="61"/>
      <c r="L657" s="62">
        <v>0</v>
      </c>
      <c r="M657" s="63">
        <v>0</v>
      </c>
      <c r="N657" s="64">
        <v>0</v>
      </c>
      <c r="O657" s="62">
        <v>0</v>
      </c>
      <c r="P657" s="65">
        <f t="shared" si="42"/>
        <v>0</v>
      </c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  <c r="BD657" s="66"/>
      <c r="BE657" s="67"/>
      <c r="BF657" s="67"/>
      <c r="BG657" s="68"/>
      <c r="BI657" s="69">
        <v>0</v>
      </c>
      <c r="BJ657" s="70">
        <v>0</v>
      </c>
      <c r="BK657" s="71">
        <v>0</v>
      </c>
      <c r="BL657" s="71">
        <v>0</v>
      </c>
      <c r="BM657" s="71">
        <v>0</v>
      </c>
      <c r="BN657" s="72">
        <v>0</v>
      </c>
      <c r="BO657" s="151" t="e">
        <f t="shared" si="40"/>
        <v>#DIV/0!</v>
      </c>
      <c r="BP657" s="151" t="e">
        <f t="shared" si="41"/>
        <v>#DIV/0!</v>
      </c>
      <c r="BQ657" s="71">
        <v>0</v>
      </c>
      <c r="BR657" s="71">
        <v>0</v>
      </c>
      <c r="BS657" s="71">
        <v>0</v>
      </c>
      <c r="BT657" s="72">
        <v>0</v>
      </c>
      <c r="BU657" s="73"/>
      <c r="BV657" s="73"/>
    </row>
    <row r="658" ht="30" customHeight="1" spans="1:74">
      <c r="A658" s="55">
        <v>0</v>
      </c>
      <c r="B658" s="56">
        <v>0</v>
      </c>
      <c r="C658" s="57">
        <v>0</v>
      </c>
      <c r="E658" s="88"/>
      <c r="F658" s="59" t="e">
        <f>VLOOKUP(E658,[1]库存!$B$1:$C$65536,2,FALSE)</f>
        <v>#N/A</v>
      </c>
      <c r="G658" s="59" t="e">
        <v>#N/A</v>
      </c>
      <c r="H658" s="89"/>
      <c r="I658" s="88"/>
      <c r="J658" s="90"/>
      <c r="K658" s="61"/>
      <c r="L658" s="62">
        <v>0</v>
      </c>
      <c r="M658" s="63">
        <v>0</v>
      </c>
      <c r="N658" s="64">
        <v>0</v>
      </c>
      <c r="O658" s="62">
        <v>0</v>
      </c>
      <c r="P658" s="65">
        <f t="shared" si="42"/>
        <v>0</v>
      </c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66"/>
      <c r="AX658" s="66"/>
      <c r="AY658" s="66"/>
      <c r="AZ658" s="66"/>
      <c r="BA658" s="66"/>
      <c r="BB658" s="66"/>
      <c r="BC658" s="66"/>
      <c r="BD658" s="66"/>
      <c r="BE658" s="67"/>
      <c r="BF658" s="67"/>
      <c r="BG658" s="68"/>
      <c r="BI658" s="69">
        <v>0</v>
      </c>
      <c r="BJ658" s="70">
        <v>0</v>
      </c>
      <c r="BK658" s="71">
        <v>0</v>
      </c>
      <c r="BL658" s="71">
        <v>0</v>
      </c>
      <c r="BM658" s="71">
        <v>0</v>
      </c>
      <c r="BN658" s="72">
        <v>0</v>
      </c>
      <c r="BO658" s="151" t="e">
        <f t="shared" si="40"/>
        <v>#DIV/0!</v>
      </c>
      <c r="BP658" s="151" t="e">
        <f t="shared" si="41"/>
        <v>#DIV/0!</v>
      </c>
      <c r="BQ658" s="71">
        <v>0</v>
      </c>
      <c r="BR658" s="71">
        <v>0</v>
      </c>
      <c r="BS658" s="71">
        <v>0</v>
      </c>
      <c r="BT658" s="72">
        <v>0</v>
      </c>
      <c r="BU658" s="73"/>
      <c r="BV658" s="73"/>
    </row>
    <row r="659" ht="30" customHeight="1" spans="1:74">
      <c r="A659" s="55" t="s">
        <v>165</v>
      </c>
      <c r="B659" s="56" t="s">
        <v>1057</v>
      </c>
      <c r="C659" s="57" t="s">
        <v>1124</v>
      </c>
      <c r="D659" s="91" t="s">
        <v>1141</v>
      </c>
      <c r="E659" s="91" t="s">
        <v>1142</v>
      </c>
      <c r="F659" s="91" t="str">
        <f>VLOOKUP(E659,[1]库存!$B$1:$C$65536,2,FALSE)</f>
        <v>GEELY SX11 PAB A状态</v>
      </c>
      <c r="G659" s="91" t="s">
        <v>1143</v>
      </c>
      <c r="H659" s="91" t="s">
        <v>1144</v>
      </c>
      <c r="I659" s="91" t="s">
        <v>1145</v>
      </c>
      <c r="J659" s="64"/>
      <c r="K659" s="61"/>
      <c r="L659" s="62">
        <v>2</v>
      </c>
      <c r="M659" s="63">
        <v>1100</v>
      </c>
      <c r="N659" s="64">
        <v>13</v>
      </c>
      <c r="O659" s="62">
        <v>2</v>
      </c>
      <c r="P659" s="65">
        <f t="shared" si="42"/>
        <v>0</v>
      </c>
      <c r="Q659" s="66">
        <v>1000</v>
      </c>
      <c r="R659" s="66"/>
      <c r="S659" s="66"/>
      <c r="T659" s="66"/>
      <c r="U659" s="66"/>
      <c r="V659" s="66"/>
      <c r="W659" s="66">
        <v>1450</v>
      </c>
      <c r="X659" s="66"/>
      <c r="Y659" s="66">
        <v>1450</v>
      </c>
      <c r="Z659" s="66"/>
      <c r="AA659" s="66">
        <v>0</v>
      </c>
      <c r="AB659" s="66"/>
      <c r="AC659" s="66">
        <v>0</v>
      </c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66"/>
      <c r="AX659" s="66"/>
      <c r="AY659" s="66"/>
      <c r="AZ659" s="66"/>
      <c r="BA659" s="66"/>
      <c r="BB659" s="66"/>
      <c r="BC659" s="66"/>
      <c r="BD659" s="66"/>
      <c r="BE659" s="105"/>
      <c r="BF659" s="67"/>
      <c r="BG659" s="68"/>
      <c r="BI659" s="69">
        <v>0</v>
      </c>
      <c r="BJ659" s="70">
        <v>0</v>
      </c>
      <c r="BK659" s="71">
        <v>0</v>
      </c>
      <c r="BL659" s="71">
        <v>0</v>
      </c>
      <c r="BM659" s="71">
        <v>0</v>
      </c>
      <c r="BN659" s="72">
        <v>0</v>
      </c>
      <c r="BO659" s="151" t="e">
        <f t="shared" si="40"/>
        <v>#DIV/0!</v>
      </c>
      <c r="BP659" s="151" t="e">
        <f t="shared" si="41"/>
        <v>#DIV/0!</v>
      </c>
      <c r="BQ659" s="71">
        <v>0</v>
      </c>
      <c r="BR659" s="71">
        <v>0</v>
      </c>
      <c r="BS659" s="71">
        <v>0</v>
      </c>
      <c r="BT659" s="72">
        <v>0</v>
      </c>
      <c r="BU659" s="73"/>
      <c r="BV659" s="73"/>
    </row>
    <row r="660" ht="30" customHeight="1" spans="1:74">
      <c r="A660" s="55">
        <v>0</v>
      </c>
      <c r="B660" s="56">
        <v>0</v>
      </c>
      <c r="C660" s="57">
        <v>0</v>
      </c>
      <c r="D660" s="92"/>
      <c r="E660" s="92"/>
      <c r="F660" s="91" t="e">
        <f>VLOOKUP(E660,[1]库存!$B$1:$C$65536,2,FALSE)</f>
        <v>#N/A</v>
      </c>
      <c r="G660" s="91" t="e">
        <v>#N/A</v>
      </c>
      <c r="H660" s="92"/>
      <c r="I660" s="92"/>
      <c r="J660" s="93"/>
      <c r="K660" s="61"/>
      <c r="L660" s="62">
        <v>0</v>
      </c>
      <c r="M660" s="63">
        <v>0</v>
      </c>
      <c r="N660" s="64">
        <v>0</v>
      </c>
      <c r="O660" s="62">
        <v>0</v>
      </c>
      <c r="P660" s="65">
        <f t="shared" si="42"/>
        <v>0</v>
      </c>
      <c r="Q660" s="66">
        <v>1165</v>
      </c>
      <c r="R660" s="66"/>
      <c r="S660" s="66"/>
      <c r="T660" s="66"/>
      <c r="U660" s="66"/>
      <c r="V660" s="66"/>
      <c r="W660" s="66">
        <v>1366</v>
      </c>
      <c r="X660" s="66"/>
      <c r="Y660" s="66">
        <v>1581</v>
      </c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6"/>
      <c r="BB660" s="66"/>
      <c r="BC660" s="66"/>
      <c r="BD660" s="66"/>
      <c r="BE660" s="67"/>
      <c r="BF660" s="67"/>
      <c r="BG660" s="68"/>
      <c r="BI660" s="69">
        <v>0</v>
      </c>
      <c r="BJ660" s="70">
        <v>0</v>
      </c>
      <c r="BK660" s="71">
        <v>0</v>
      </c>
      <c r="BL660" s="71">
        <v>0</v>
      </c>
      <c r="BM660" s="71">
        <v>0</v>
      </c>
      <c r="BN660" s="72">
        <v>0</v>
      </c>
      <c r="BO660" s="151" t="e">
        <f t="shared" si="40"/>
        <v>#DIV/0!</v>
      </c>
      <c r="BP660" s="151" t="e">
        <f t="shared" si="41"/>
        <v>#DIV/0!</v>
      </c>
      <c r="BQ660" s="71">
        <v>0</v>
      </c>
      <c r="BR660" s="71">
        <v>0</v>
      </c>
      <c r="BS660" s="71">
        <v>0</v>
      </c>
      <c r="BT660" s="72">
        <v>0</v>
      </c>
      <c r="BU660" s="73"/>
      <c r="BV660" s="73"/>
    </row>
    <row r="661" ht="30" customHeight="1" spans="1:74">
      <c r="A661" s="55" t="s">
        <v>165</v>
      </c>
      <c r="B661" s="56" t="s">
        <v>1057</v>
      </c>
      <c r="C661" s="57" t="s">
        <v>1124</v>
      </c>
      <c r="D661" s="59" t="s">
        <v>1141</v>
      </c>
      <c r="E661" s="59" t="s">
        <v>1146</v>
      </c>
      <c r="F661" s="59" t="str">
        <f>VLOOKUP(E661,[1]库存!$B$1:$C$65536,2,FALSE)</f>
        <v>GEELY DNL-5 PAB C状态</v>
      </c>
      <c r="G661" s="59" t="s">
        <v>1147</v>
      </c>
      <c r="H661" s="59" t="s">
        <v>1148</v>
      </c>
      <c r="I661" s="59" t="s">
        <v>1145</v>
      </c>
      <c r="J661" s="64"/>
      <c r="K661" s="61"/>
      <c r="L661" s="62">
        <v>2</v>
      </c>
      <c r="M661" s="63">
        <v>1000</v>
      </c>
      <c r="N661" s="64">
        <v>15</v>
      </c>
      <c r="O661" s="62">
        <v>2</v>
      </c>
      <c r="P661" s="65">
        <f t="shared" si="42"/>
        <v>0</v>
      </c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66"/>
      <c r="AX661" s="66"/>
      <c r="AY661" s="66"/>
      <c r="AZ661" s="66"/>
      <c r="BA661" s="66"/>
      <c r="BB661" s="66"/>
      <c r="BC661" s="66"/>
      <c r="BD661" s="66"/>
      <c r="BE661" s="67"/>
      <c r="BF661" s="67"/>
      <c r="BG661" s="68"/>
      <c r="BI661" s="69">
        <v>0</v>
      </c>
      <c r="BJ661" s="70">
        <v>0</v>
      </c>
      <c r="BK661" s="71">
        <v>0</v>
      </c>
      <c r="BL661" s="71">
        <v>0</v>
      </c>
      <c r="BM661" s="71">
        <v>0</v>
      </c>
      <c r="BN661" s="72">
        <v>0</v>
      </c>
      <c r="BO661" s="151" t="e">
        <f t="shared" si="40"/>
        <v>#DIV/0!</v>
      </c>
      <c r="BP661" s="151" t="e">
        <f t="shared" si="41"/>
        <v>#DIV/0!</v>
      </c>
      <c r="BQ661" s="71">
        <v>0</v>
      </c>
      <c r="BR661" s="71">
        <v>0</v>
      </c>
      <c r="BS661" s="71">
        <v>0</v>
      </c>
      <c r="BT661" s="72">
        <v>0</v>
      </c>
      <c r="BU661" s="73"/>
      <c r="BV661" s="73"/>
    </row>
    <row r="662" ht="30" customHeight="1" spans="1:74">
      <c r="A662" s="55">
        <v>0</v>
      </c>
      <c r="B662" s="56">
        <v>0</v>
      </c>
      <c r="C662" s="57">
        <v>0</v>
      </c>
      <c r="D662" s="74"/>
      <c r="E662" s="74"/>
      <c r="F662" s="59" t="e">
        <f>VLOOKUP(E662,[1]库存!$B$1:$C$65536,2,FALSE)</f>
        <v>#N/A</v>
      </c>
      <c r="G662" s="59" t="e">
        <v>#N/A</v>
      </c>
      <c r="H662" s="74"/>
      <c r="I662" s="74"/>
      <c r="J662" s="93"/>
      <c r="K662" s="61"/>
      <c r="L662" s="62">
        <v>0</v>
      </c>
      <c r="M662" s="63">
        <v>0</v>
      </c>
      <c r="N662" s="64">
        <v>0</v>
      </c>
      <c r="O662" s="62">
        <v>0</v>
      </c>
      <c r="P662" s="65">
        <f t="shared" si="42"/>
        <v>0</v>
      </c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66"/>
      <c r="AX662" s="66"/>
      <c r="AY662" s="66"/>
      <c r="AZ662" s="66"/>
      <c r="BA662" s="66"/>
      <c r="BB662" s="66"/>
      <c r="BC662" s="66"/>
      <c r="BD662" s="66"/>
      <c r="BE662" s="67"/>
      <c r="BF662" s="67"/>
      <c r="BG662" s="68"/>
      <c r="BI662" s="69">
        <v>0</v>
      </c>
      <c r="BJ662" s="70">
        <v>0</v>
      </c>
      <c r="BK662" s="71">
        <v>0</v>
      </c>
      <c r="BL662" s="71">
        <v>0</v>
      </c>
      <c r="BM662" s="71">
        <v>0</v>
      </c>
      <c r="BN662" s="72">
        <v>0</v>
      </c>
      <c r="BO662" s="151" t="e">
        <f t="shared" si="40"/>
        <v>#DIV/0!</v>
      </c>
      <c r="BP662" s="151" t="e">
        <f t="shared" si="41"/>
        <v>#DIV/0!</v>
      </c>
      <c r="BQ662" s="71">
        <v>0</v>
      </c>
      <c r="BR662" s="71">
        <v>0</v>
      </c>
      <c r="BS662" s="71">
        <v>0</v>
      </c>
      <c r="BT662" s="72">
        <v>0</v>
      </c>
      <c r="BU662" s="73"/>
      <c r="BV662" s="73"/>
    </row>
    <row r="663" ht="30" customHeight="1" spans="1:74">
      <c r="A663" s="55" t="s">
        <v>1104</v>
      </c>
      <c r="B663" s="56" t="s">
        <v>1057</v>
      </c>
      <c r="C663" s="57" t="s">
        <v>1124</v>
      </c>
      <c r="D663" s="59" t="s">
        <v>1141</v>
      </c>
      <c r="E663" s="197" t="s">
        <v>1149</v>
      </c>
      <c r="F663" s="59" t="str">
        <f>VLOOKUP(E663,[1]库存!$B$1:$C$65536,2,FALSE)</f>
        <v>GEELY SX11 RA PAB</v>
      </c>
      <c r="G663" s="59" t="s">
        <v>1150</v>
      </c>
      <c r="H663" s="196" t="s">
        <v>1151</v>
      </c>
      <c r="I663" s="59" t="s">
        <v>1145</v>
      </c>
      <c r="J663" s="64"/>
      <c r="K663" s="61"/>
      <c r="L663" s="62">
        <v>2</v>
      </c>
      <c r="M663" s="63">
        <v>1000</v>
      </c>
      <c r="N663" s="64">
        <v>13</v>
      </c>
      <c r="O663" s="62">
        <v>2</v>
      </c>
      <c r="P663" s="65">
        <f t="shared" si="42"/>
        <v>0</v>
      </c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  <c r="BD663" s="66"/>
      <c r="BE663" s="67"/>
      <c r="BF663" s="67"/>
      <c r="BG663" s="68"/>
      <c r="BI663" s="69">
        <v>0</v>
      </c>
      <c r="BJ663" s="70">
        <v>0</v>
      </c>
      <c r="BK663" s="71">
        <v>0</v>
      </c>
      <c r="BL663" s="71">
        <v>0</v>
      </c>
      <c r="BM663" s="71">
        <v>0</v>
      </c>
      <c r="BN663" s="72">
        <v>0</v>
      </c>
      <c r="BO663" s="151" t="e">
        <f t="shared" si="40"/>
        <v>#DIV/0!</v>
      </c>
      <c r="BP663" s="151" t="e">
        <f t="shared" si="41"/>
        <v>#DIV/0!</v>
      </c>
      <c r="BQ663" s="71">
        <v>0</v>
      </c>
      <c r="BR663" s="71">
        <v>0</v>
      </c>
      <c r="BS663" s="71">
        <v>0</v>
      </c>
      <c r="BT663" s="72">
        <v>0</v>
      </c>
      <c r="BU663" s="73"/>
      <c r="BV663" s="73"/>
    </row>
    <row r="664" ht="30" customHeight="1" spans="1:74">
      <c r="A664" s="55">
        <v>0</v>
      </c>
      <c r="B664" s="56">
        <v>0</v>
      </c>
      <c r="C664" s="57">
        <v>0</v>
      </c>
      <c r="D664" s="74"/>
      <c r="E664" s="198"/>
      <c r="F664" s="59" t="e">
        <f>VLOOKUP(E664,[1]库存!$B$1:$C$65536,2,FALSE)</f>
        <v>#N/A</v>
      </c>
      <c r="G664" s="59" t="e">
        <v>#N/A</v>
      </c>
      <c r="H664" s="99"/>
      <c r="I664" s="74"/>
      <c r="J664" s="93"/>
      <c r="K664" s="61"/>
      <c r="L664" s="62">
        <v>0</v>
      </c>
      <c r="M664" s="63">
        <v>0</v>
      </c>
      <c r="N664" s="64">
        <v>0</v>
      </c>
      <c r="O664" s="62">
        <v>0</v>
      </c>
      <c r="P664" s="65">
        <f t="shared" si="42"/>
        <v>0</v>
      </c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  <c r="BD664" s="66"/>
      <c r="BE664" s="67"/>
      <c r="BF664" s="67"/>
      <c r="BG664" s="68"/>
      <c r="BI664" s="69">
        <v>0</v>
      </c>
      <c r="BJ664" s="70">
        <v>0</v>
      </c>
      <c r="BK664" s="71">
        <v>0</v>
      </c>
      <c r="BL664" s="71">
        <v>0</v>
      </c>
      <c r="BM664" s="71">
        <v>0</v>
      </c>
      <c r="BN664" s="72">
        <v>0</v>
      </c>
      <c r="BO664" s="151" t="e">
        <f t="shared" si="40"/>
        <v>#DIV/0!</v>
      </c>
      <c r="BP664" s="151" t="e">
        <f t="shared" si="41"/>
        <v>#DIV/0!</v>
      </c>
      <c r="BQ664" s="71">
        <v>0</v>
      </c>
      <c r="BR664" s="71">
        <v>0</v>
      </c>
      <c r="BS664" s="71">
        <v>0</v>
      </c>
      <c r="BT664" s="72">
        <v>0</v>
      </c>
      <c r="BU664" s="73"/>
      <c r="BV664" s="73"/>
    </row>
    <row r="665" ht="30" customHeight="1" spans="1:74">
      <c r="A665" s="55" t="s">
        <v>246</v>
      </c>
      <c r="B665" s="56" t="s">
        <v>1057</v>
      </c>
      <c r="C665" s="57" t="s">
        <v>1124</v>
      </c>
      <c r="D665" s="59" t="s">
        <v>1141</v>
      </c>
      <c r="E665" s="59" t="s">
        <v>1152</v>
      </c>
      <c r="F665" s="59" t="str">
        <f>VLOOKUP(E665,[1]库存!$B$1:$C$65536,2,FALSE)</f>
        <v>GWM CHB121V PAB A状态</v>
      </c>
      <c r="G665" s="59" t="s">
        <v>1153</v>
      </c>
      <c r="H665" s="59" t="s">
        <v>1154</v>
      </c>
      <c r="I665" s="59" t="s">
        <v>1155</v>
      </c>
      <c r="J665" s="82" t="s">
        <v>80</v>
      </c>
      <c r="K665" s="61"/>
      <c r="L665" s="62">
        <v>2</v>
      </c>
      <c r="M665" s="63">
        <v>900</v>
      </c>
      <c r="N665" s="64">
        <v>14</v>
      </c>
      <c r="O665" s="62">
        <v>2</v>
      </c>
      <c r="P665" s="65">
        <f t="shared" si="42"/>
        <v>0</v>
      </c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66"/>
      <c r="AX665" s="66"/>
      <c r="AY665" s="66"/>
      <c r="AZ665" s="66"/>
      <c r="BA665" s="66"/>
      <c r="BB665" s="66"/>
      <c r="BC665" s="66"/>
      <c r="BD665" s="66"/>
      <c r="BE665" s="67"/>
      <c r="BF665" s="67"/>
      <c r="BG665" s="68"/>
      <c r="BI665" s="69">
        <v>0</v>
      </c>
      <c r="BJ665" s="70">
        <v>0</v>
      </c>
      <c r="BK665" s="71">
        <v>0</v>
      </c>
      <c r="BL665" s="71">
        <v>0</v>
      </c>
      <c r="BM665" s="71">
        <v>0</v>
      </c>
      <c r="BN665" s="72">
        <v>0</v>
      </c>
      <c r="BO665" s="151" t="e">
        <f t="shared" si="40"/>
        <v>#DIV/0!</v>
      </c>
      <c r="BP665" s="151" t="e">
        <f t="shared" si="41"/>
        <v>#DIV/0!</v>
      </c>
      <c r="BQ665" s="71">
        <v>0</v>
      </c>
      <c r="BR665" s="71">
        <v>0</v>
      </c>
      <c r="BS665" s="71">
        <v>0</v>
      </c>
      <c r="BT665" s="72">
        <v>0</v>
      </c>
      <c r="BU665" s="73"/>
      <c r="BV665" s="73"/>
    </row>
    <row r="666" ht="30" customHeight="1" spans="1:74">
      <c r="A666" s="55">
        <v>0</v>
      </c>
      <c r="B666" s="56">
        <v>0</v>
      </c>
      <c r="C666" s="57">
        <v>0</v>
      </c>
      <c r="D666" s="74"/>
      <c r="E666" s="74"/>
      <c r="F666" s="59" t="e">
        <f>VLOOKUP(E666,[1]库存!$B$1:$C$65536,2,FALSE)</f>
        <v>#N/A</v>
      </c>
      <c r="G666" s="59" t="e">
        <v>#N/A</v>
      </c>
      <c r="H666" s="74"/>
      <c r="I666" s="74"/>
      <c r="J666" s="83"/>
      <c r="K666" s="61"/>
      <c r="L666" s="62">
        <v>0</v>
      </c>
      <c r="M666" s="63">
        <v>0</v>
      </c>
      <c r="N666" s="64">
        <v>0</v>
      </c>
      <c r="O666" s="62">
        <v>0</v>
      </c>
      <c r="P666" s="65">
        <f t="shared" si="42"/>
        <v>0</v>
      </c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66"/>
      <c r="AX666" s="66"/>
      <c r="AY666" s="66"/>
      <c r="AZ666" s="66"/>
      <c r="BA666" s="66"/>
      <c r="BB666" s="66"/>
      <c r="BC666" s="66"/>
      <c r="BD666" s="66"/>
      <c r="BE666" s="67"/>
      <c r="BF666" s="67"/>
      <c r="BG666" s="68"/>
      <c r="BI666" s="69">
        <v>0</v>
      </c>
      <c r="BJ666" s="70">
        <v>0</v>
      </c>
      <c r="BK666" s="71">
        <v>0</v>
      </c>
      <c r="BL666" s="71">
        <v>0</v>
      </c>
      <c r="BM666" s="71">
        <v>0</v>
      </c>
      <c r="BN666" s="72">
        <v>0</v>
      </c>
      <c r="BO666" s="151" t="e">
        <f t="shared" si="40"/>
        <v>#DIV/0!</v>
      </c>
      <c r="BP666" s="151" t="e">
        <f t="shared" si="41"/>
        <v>#DIV/0!</v>
      </c>
      <c r="BQ666" s="71">
        <v>0</v>
      </c>
      <c r="BR666" s="71">
        <v>0</v>
      </c>
      <c r="BS666" s="71">
        <v>0</v>
      </c>
      <c r="BT666" s="72">
        <v>0</v>
      </c>
      <c r="BU666" s="73"/>
      <c r="BV666" s="73"/>
    </row>
    <row r="667" ht="30" customHeight="1" spans="1:74">
      <c r="A667" s="55">
        <v>0</v>
      </c>
      <c r="B667" s="56">
        <v>0</v>
      </c>
      <c r="C667" s="57">
        <v>0</v>
      </c>
      <c r="E667" s="88"/>
      <c r="F667" s="59" t="e">
        <f>VLOOKUP(E667,[1]库存!$B$1:$C$65536,2,FALSE)</f>
        <v>#N/A</v>
      </c>
      <c r="G667" s="59" t="e">
        <v>#N/A</v>
      </c>
      <c r="H667" s="89"/>
      <c r="I667" s="88"/>
      <c r="J667" s="90"/>
      <c r="K667" s="61"/>
      <c r="L667" s="62">
        <v>0</v>
      </c>
      <c r="M667" s="63">
        <v>0</v>
      </c>
      <c r="N667" s="64">
        <v>0</v>
      </c>
      <c r="O667" s="62">
        <v>0</v>
      </c>
      <c r="P667" s="65">
        <f t="shared" si="42"/>
        <v>0</v>
      </c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66"/>
      <c r="AX667" s="66"/>
      <c r="AY667" s="66"/>
      <c r="AZ667" s="66"/>
      <c r="BA667" s="66"/>
      <c r="BB667" s="66"/>
      <c r="BC667" s="66"/>
      <c r="BD667" s="66"/>
      <c r="BE667" s="67"/>
      <c r="BF667" s="67"/>
      <c r="BG667" s="68"/>
      <c r="BI667" s="69">
        <v>0</v>
      </c>
      <c r="BJ667" s="70">
        <v>0</v>
      </c>
      <c r="BK667" s="71">
        <v>0</v>
      </c>
      <c r="BL667" s="71">
        <v>0</v>
      </c>
      <c r="BM667" s="71">
        <v>0</v>
      </c>
      <c r="BN667" s="72">
        <v>0</v>
      </c>
      <c r="BO667" s="151" t="e">
        <f t="shared" si="40"/>
        <v>#DIV/0!</v>
      </c>
      <c r="BP667" s="151" t="e">
        <f t="shared" si="41"/>
        <v>#DIV/0!</v>
      </c>
      <c r="BQ667" s="71">
        <v>0</v>
      </c>
      <c r="BR667" s="71">
        <v>0</v>
      </c>
      <c r="BS667" s="71">
        <v>0</v>
      </c>
      <c r="BT667" s="72">
        <v>0</v>
      </c>
      <c r="BU667" s="73"/>
      <c r="BV667" s="73"/>
    </row>
    <row r="668" ht="30" customHeight="1" spans="1:74">
      <c r="A668" s="55" t="s">
        <v>246</v>
      </c>
      <c r="B668" s="56" t="s">
        <v>1057</v>
      </c>
      <c r="C668" s="57" t="s">
        <v>1124</v>
      </c>
      <c r="D668" s="91" t="s">
        <v>1156</v>
      </c>
      <c r="E668" s="91" t="s">
        <v>1157</v>
      </c>
      <c r="F668" s="91" t="str">
        <f>VLOOKUP(E668,[1]库存!$B$1:$C$65536,2,FALSE)</f>
        <v>GWM P11 PAB</v>
      </c>
      <c r="G668" s="91" t="s">
        <v>1158</v>
      </c>
      <c r="H668" s="91" t="s">
        <v>1159</v>
      </c>
      <c r="I668" s="91" t="s">
        <v>1160</v>
      </c>
      <c r="J668" s="63"/>
      <c r="K668" s="61"/>
      <c r="L668" s="62">
        <v>0</v>
      </c>
      <c r="M668" s="63">
        <v>800</v>
      </c>
      <c r="N668" s="64">
        <v>17</v>
      </c>
      <c r="O668" s="62">
        <v>2</v>
      </c>
      <c r="P668" s="65">
        <f t="shared" si="42"/>
        <v>0</v>
      </c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66"/>
      <c r="AX668" s="66"/>
      <c r="AY668" s="66"/>
      <c r="AZ668" s="66"/>
      <c r="BA668" s="66"/>
      <c r="BB668" s="66"/>
      <c r="BC668" s="66"/>
      <c r="BD668" s="66"/>
      <c r="BE668" s="67"/>
      <c r="BF668" s="67"/>
      <c r="BG668" s="68"/>
      <c r="BI668" s="69">
        <v>0</v>
      </c>
      <c r="BJ668" s="70">
        <v>0</v>
      </c>
      <c r="BK668" s="71">
        <v>0</v>
      </c>
      <c r="BL668" s="71">
        <v>0</v>
      </c>
      <c r="BM668" s="71">
        <v>0</v>
      </c>
      <c r="BN668" s="72">
        <v>0</v>
      </c>
      <c r="BO668" s="151" t="e">
        <f t="shared" si="40"/>
        <v>#DIV/0!</v>
      </c>
      <c r="BP668" s="151" t="e">
        <f t="shared" si="41"/>
        <v>#DIV/0!</v>
      </c>
      <c r="BQ668" s="71">
        <v>0</v>
      </c>
      <c r="BR668" s="71">
        <v>0</v>
      </c>
      <c r="BS668" s="71">
        <v>0</v>
      </c>
      <c r="BT668" s="72">
        <v>0</v>
      </c>
      <c r="BU668" s="73"/>
      <c r="BV668" s="73"/>
    </row>
    <row r="669" ht="30" customHeight="1" spans="1:74">
      <c r="A669" s="55">
        <v>0</v>
      </c>
      <c r="B669" s="56">
        <v>0</v>
      </c>
      <c r="C669" s="57">
        <v>0</v>
      </c>
      <c r="D669" s="92"/>
      <c r="E669" s="92"/>
      <c r="F669" s="91" t="e">
        <f>VLOOKUP(E669,[1]库存!$B$1:$C$65536,2,FALSE)</f>
        <v>#N/A</v>
      </c>
      <c r="G669" s="91" t="e">
        <v>#N/A</v>
      </c>
      <c r="H669" s="92"/>
      <c r="I669" s="92"/>
      <c r="J669" s="87"/>
      <c r="K669" s="61"/>
      <c r="L669" s="62">
        <v>0</v>
      </c>
      <c r="M669" s="63">
        <v>0</v>
      </c>
      <c r="N669" s="64">
        <v>0</v>
      </c>
      <c r="O669" s="62">
        <v>0</v>
      </c>
      <c r="P669" s="65">
        <f t="shared" si="42"/>
        <v>0</v>
      </c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6"/>
      <c r="BB669" s="66"/>
      <c r="BC669" s="66"/>
      <c r="BD669" s="66"/>
      <c r="BE669" s="67"/>
      <c r="BF669" s="67"/>
      <c r="BG669" s="68"/>
      <c r="BI669" s="69">
        <v>0</v>
      </c>
      <c r="BJ669" s="70">
        <v>0</v>
      </c>
      <c r="BK669" s="71">
        <v>0</v>
      </c>
      <c r="BL669" s="71">
        <v>0</v>
      </c>
      <c r="BM669" s="71">
        <v>0</v>
      </c>
      <c r="BN669" s="72">
        <v>0</v>
      </c>
      <c r="BO669" s="151" t="e">
        <f t="shared" si="40"/>
        <v>#DIV/0!</v>
      </c>
      <c r="BP669" s="151" t="e">
        <f t="shared" si="41"/>
        <v>#DIV/0!</v>
      </c>
      <c r="BQ669" s="71">
        <v>0</v>
      </c>
      <c r="BR669" s="71">
        <v>0</v>
      </c>
      <c r="BS669" s="71">
        <v>0</v>
      </c>
      <c r="BT669" s="72">
        <v>0</v>
      </c>
      <c r="BU669" s="73"/>
      <c r="BV669" s="73"/>
    </row>
    <row r="670" ht="30" customHeight="1" spans="1:74">
      <c r="A670" s="55" t="s">
        <v>165</v>
      </c>
      <c r="B670" s="56" t="s">
        <v>1057</v>
      </c>
      <c r="C670" s="57" t="s">
        <v>1124</v>
      </c>
      <c r="D670" s="59" t="s">
        <v>1156</v>
      </c>
      <c r="E670" s="59" t="s">
        <v>1161</v>
      </c>
      <c r="F670" s="59" t="str">
        <f>VLOOKUP(E670,[1]库存!$B$1:$C$65536,2,FALSE)</f>
        <v>SGMW CE110M PAB</v>
      </c>
      <c r="G670" s="59" t="s">
        <v>1162</v>
      </c>
      <c r="H670" s="59" t="s">
        <v>1163</v>
      </c>
      <c r="I670" s="59" t="s">
        <v>1160</v>
      </c>
      <c r="J670" s="63"/>
      <c r="K670" s="61"/>
      <c r="L670" s="62">
        <v>1</v>
      </c>
      <c r="M670" s="63">
        <v>1400</v>
      </c>
      <c r="N670" s="64">
        <v>17</v>
      </c>
      <c r="O670" s="62">
        <v>2</v>
      </c>
      <c r="P670" s="65">
        <f t="shared" si="42"/>
        <v>0</v>
      </c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66"/>
      <c r="AX670" s="66"/>
      <c r="AY670" s="66"/>
      <c r="AZ670" s="66"/>
      <c r="BA670" s="66"/>
      <c r="BB670" s="66"/>
      <c r="BC670" s="66"/>
      <c r="BD670" s="66"/>
      <c r="BE670" s="67"/>
      <c r="BF670" s="67"/>
      <c r="BG670" s="68"/>
      <c r="BI670" s="69">
        <v>0</v>
      </c>
      <c r="BJ670" s="70">
        <v>0</v>
      </c>
      <c r="BK670" s="71">
        <v>0</v>
      </c>
      <c r="BL670" s="71">
        <v>0</v>
      </c>
      <c r="BM670" s="71">
        <v>0</v>
      </c>
      <c r="BN670" s="72">
        <v>0</v>
      </c>
      <c r="BO670" s="151" t="e">
        <f t="shared" si="40"/>
        <v>#DIV/0!</v>
      </c>
      <c r="BP670" s="151" t="e">
        <f t="shared" si="41"/>
        <v>#DIV/0!</v>
      </c>
      <c r="BQ670" s="71">
        <v>0</v>
      </c>
      <c r="BR670" s="71">
        <v>0</v>
      </c>
      <c r="BS670" s="71">
        <v>0</v>
      </c>
      <c r="BT670" s="72">
        <v>0</v>
      </c>
      <c r="BU670" s="73"/>
      <c r="BV670" s="73"/>
    </row>
    <row r="671" ht="30" customHeight="1" spans="1:74">
      <c r="A671" s="55">
        <v>0</v>
      </c>
      <c r="B671" s="56">
        <v>0</v>
      </c>
      <c r="C671" s="57">
        <v>0</v>
      </c>
      <c r="D671" s="74"/>
      <c r="E671" s="74"/>
      <c r="F671" s="59" t="e">
        <f>VLOOKUP(E671,[1]库存!$B$1:$C$65536,2,FALSE)</f>
        <v>#N/A</v>
      </c>
      <c r="G671" s="59" t="e">
        <v>#N/A</v>
      </c>
      <c r="H671" s="74"/>
      <c r="I671" s="74"/>
      <c r="J671" s="87"/>
      <c r="K671" s="61"/>
      <c r="L671" s="62">
        <v>0</v>
      </c>
      <c r="M671" s="63">
        <v>0</v>
      </c>
      <c r="N671" s="64">
        <v>0</v>
      </c>
      <c r="O671" s="62">
        <v>0</v>
      </c>
      <c r="P671" s="65">
        <f t="shared" si="42"/>
        <v>0</v>
      </c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66"/>
      <c r="AX671" s="66"/>
      <c r="AY671" s="66"/>
      <c r="AZ671" s="66"/>
      <c r="BA671" s="66"/>
      <c r="BB671" s="66"/>
      <c r="BC671" s="66"/>
      <c r="BD671" s="66"/>
      <c r="BE671" s="67"/>
      <c r="BF671" s="67"/>
      <c r="BG671" s="68"/>
      <c r="BI671" s="69">
        <v>0</v>
      </c>
      <c r="BJ671" s="70">
        <v>0</v>
      </c>
      <c r="BK671" s="71">
        <v>0</v>
      </c>
      <c r="BL671" s="71">
        <v>0</v>
      </c>
      <c r="BM671" s="71">
        <v>0</v>
      </c>
      <c r="BN671" s="72">
        <v>0</v>
      </c>
      <c r="BO671" s="151" t="e">
        <f t="shared" si="40"/>
        <v>#DIV/0!</v>
      </c>
      <c r="BP671" s="151" t="e">
        <f t="shared" si="41"/>
        <v>#DIV/0!</v>
      </c>
      <c r="BQ671" s="71">
        <v>0</v>
      </c>
      <c r="BR671" s="71">
        <v>0</v>
      </c>
      <c r="BS671" s="71">
        <v>0</v>
      </c>
      <c r="BT671" s="72">
        <v>0</v>
      </c>
      <c r="BU671" s="73"/>
      <c r="BV671" s="73"/>
    </row>
    <row r="672" ht="30" customHeight="1" spans="1:74">
      <c r="A672" s="55">
        <v>0</v>
      </c>
      <c r="B672" s="56">
        <v>0</v>
      </c>
      <c r="C672" s="57">
        <v>0</v>
      </c>
      <c r="D672" s="88"/>
      <c r="E672" s="88"/>
      <c r="F672" s="59" t="e">
        <f>VLOOKUP(E672,[1]库存!$B$1:$C$65536,2,FALSE)</f>
        <v>#N/A</v>
      </c>
      <c r="G672" s="59" t="e">
        <v>#N/A</v>
      </c>
      <c r="H672" s="89"/>
      <c r="I672" s="88"/>
      <c r="J672" s="90"/>
      <c r="K672" s="61"/>
      <c r="L672" s="62">
        <v>0</v>
      </c>
      <c r="M672" s="63">
        <v>0</v>
      </c>
      <c r="N672" s="64">
        <v>0</v>
      </c>
      <c r="O672" s="62">
        <v>0</v>
      </c>
      <c r="P672" s="65">
        <f t="shared" si="42"/>
        <v>0</v>
      </c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66"/>
      <c r="AX672" s="66"/>
      <c r="AY672" s="66"/>
      <c r="AZ672" s="66"/>
      <c r="BA672" s="66"/>
      <c r="BB672" s="66"/>
      <c r="BC672" s="66"/>
      <c r="BD672" s="66"/>
      <c r="BE672" s="67"/>
      <c r="BF672" s="67"/>
      <c r="BG672" s="68"/>
      <c r="BI672" s="69">
        <v>0</v>
      </c>
      <c r="BJ672" s="70">
        <v>0</v>
      </c>
      <c r="BK672" s="71">
        <v>0</v>
      </c>
      <c r="BL672" s="71">
        <v>0</v>
      </c>
      <c r="BM672" s="71">
        <v>0</v>
      </c>
      <c r="BN672" s="72">
        <v>0</v>
      </c>
      <c r="BO672" s="151" t="e">
        <f t="shared" si="40"/>
        <v>#DIV/0!</v>
      </c>
      <c r="BP672" s="151" t="e">
        <f t="shared" si="41"/>
        <v>#DIV/0!</v>
      </c>
      <c r="BQ672" s="71">
        <v>0</v>
      </c>
      <c r="BR672" s="71">
        <v>0</v>
      </c>
      <c r="BS672" s="71">
        <v>0</v>
      </c>
      <c r="BT672" s="72">
        <v>0</v>
      </c>
      <c r="BU672" s="73"/>
      <c r="BV672" s="73"/>
    </row>
    <row r="673" ht="30" customHeight="1" spans="1:74">
      <c r="A673" s="55" t="s">
        <v>246</v>
      </c>
      <c r="B673" s="56" t="s">
        <v>1057</v>
      </c>
      <c r="C673" s="57" t="s">
        <v>1124</v>
      </c>
      <c r="D673" s="59" t="s">
        <v>1164</v>
      </c>
      <c r="E673" s="59" t="s">
        <v>1165</v>
      </c>
      <c r="F673" s="59" t="str">
        <f>VLOOKUP(E673,[1]库存!$B$1:$C$65536,2,FALSE)</f>
        <v>GWM CH051X PAB B状态</v>
      </c>
      <c r="G673" s="59" t="s">
        <v>1166</v>
      </c>
      <c r="H673" s="59" t="s">
        <v>1167</v>
      </c>
      <c r="I673" s="59" t="s">
        <v>1168</v>
      </c>
      <c r="J673" s="165" t="s">
        <v>1169</v>
      </c>
      <c r="K673" s="61"/>
      <c r="L673" s="62">
        <v>2</v>
      </c>
      <c r="M673" s="63">
        <v>900</v>
      </c>
      <c r="N673" s="64">
        <v>16</v>
      </c>
      <c r="O673" s="62">
        <v>2</v>
      </c>
      <c r="P673" s="65">
        <f t="shared" si="42"/>
        <v>0</v>
      </c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66"/>
      <c r="AX673" s="66"/>
      <c r="AY673" s="66"/>
      <c r="AZ673" s="66"/>
      <c r="BA673" s="66"/>
      <c r="BB673" s="66"/>
      <c r="BC673" s="66"/>
      <c r="BD673" s="66"/>
      <c r="BE673" s="67"/>
      <c r="BF673" s="67"/>
      <c r="BG673" s="68"/>
      <c r="BI673" s="69">
        <v>0</v>
      </c>
      <c r="BJ673" s="70">
        <v>0</v>
      </c>
      <c r="BK673" s="71">
        <v>0</v>
      </c>
      <c r="BL673" s="71">
        <v>0</v>
      </c>
      <c r="BM673" s="71">
        <v>0</v>
      </c>
      <c r="BN673" s="72">
        <v>0</v>
      </c>
      <c r="BO673" s="151" t="e">
        <f t="shared" si="40"/>
        <v>#DIV/0!</v>
      </c>
      <c r="BP673" s="151" t="e">
        <f t="shared" si="41"/>
        <v>#DIV/0!</v>
      </c>
      <c r="BQ673" s="71">
        <v>0</v>
      </c>
      <c r="BR673" s="71">
        <v>0</v>
      </c>
      <c r="BS673" s="71">
        <v>0</v>
      </c>
      <c r="BT673" s="72">
        <v>0</v>
      </c>
      <c r="BU673" s="73"/>
      <c r="BV673" s="73"/>
    </row>
    <row r="674" ht="30" customHeight="1" spans="1:74">
      <c r="A674" s="55">
        <v>0</v>
      </c>
      <c r="B674" s="56">
        <v>0</v>
      </c>
      <c r="C674" s="57">
        <v>0</v>
      </c>
      <c r="D674" s="74"/>
      <c r="E674" s="74"/>
      <c r="F674" s="59" t="e">
        <f>VLOOKUP(E674,[1]库存!$B$1:$C$65536,2,FALSE)</f>
        <v>#N/A</v>
      </c>
      <c r="G674" s="59" t="e">
        <v>#N/A</v>
      </c>
      <c r="H674" s="74"/>
      <c r="I674" s="74"/>
      <c r="J674" s="166"/>
      <c r="K674" s="61"/>
      <c r="L674" s="62">
        <v>0</v>
      </c>
      <c r="M674" s="63">
        <v>0</v>
      </c>
      <c r="N674" s="64">
        <v>0</v>
      </c>
      <c r="O674" s="62">
        <v>0</v>
      </c>
      <c r="P674" s="65">
        <f t="shared" si="42"/>
        <v>0</v>
      </c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66"/>
      <c r="AX674" s="66"/>
      <c r="AY674" s="66"/>
      <c r="AZ674" s="66"/>
      <c r="BA674" s="66"/>
      <c r="BB674" s="66"/>
      <c r="BC674" s="66"/>
      <c r="BD674" s="66"/>
      <c r="BE674" s="67"/>
      <c r="BF674" s="67"/>
      <c r="BG674" s="68"/>
      <c r="BI674" s="69">
        <v>0</v>
      </c>
      <c r="BJ674" s="70">
        <v>0</v>
      </c>
      <c r="BK674" s="71">
        <v>0</v>
      </c>
      <c r="BL674" s="71">
        <v>0</v>
      </c>
      <c r="BM674" s="71">
        <v>0</v>
      </c>
      <c r="BN674" s="72">
        <v>0</v>
      </c>
      <c r="BO674" s="151" t="e">
        <f t="shared" si="40"/>
        <v>#DIV/0!</v>
      </c>
      <c r="BP674" s="151" t="e">
        <f t="shared" si="41"/>
        <v>#DIV/0!</v>
      </c>
      <c r="BQ674" s="71">
        <v>0</v>
      </c>
      <c r="BR674" s="71">
        <v>0</v>
      </c>
      <c r="BS674" s="71">
        <v>0</v>
      </c>
      <c r="BT674" s="72">
        <v>0</v>
      </c>
      <c r="BU674" s="73"/>
      <c r="BV674" s="73"/>
    </row>
    <row r="675" ht="30" customHeight="1" spans="1:74">
      <c r="A675" s="55">
        <v>0</v>
      </c>
      <c r="B675" s="56">
        <v>0</v>
      </c>
      <c r="C675" s="57">
        <v>0</v>
      </c>
      <c r="D675" s="88"/>
      <c r="E675" s="88"/>
      <c r="F675" s="59" t="e">
        <f>VLOOKUP(E675,[1]库存!$B$1:$C$65536,2,FALSE)</f>
        <v>#N/A</v>
      </c>
      <c r="G675" s="59" t="e">
        <v>#N/A</v>
      </c>
      <c r="H675" s="89"/>
      <c r="I675" s="88"/>
      <c r="J675" s="90"/>
      <c r="K675" s="61"/>
      <c r="L675" s="62">
        <v>0</v>
      </c>
      <c r="M675" s="63">
        <v>0</v>
      </c>
      <c r="N675" s="64">
        <v>0</v>
      </c>
      <c r="O675" s="62">
        <v>0</v>
      </c>
      <c r="P675" s="65">
        <f t="shared" si="42"/>
        <v>0</v>
      </c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49"/>
      <c r="AF675" s="149"/>
      <c r="AG675" s="149"/>
      <c r="AH675" s="149"/>
      <c r="AI675" s="149"/>
      <c r="AJ675" s="149"/>
      <c r="AK675" s="149"/>
      <c r="AL675" s="149"/>
      <c r="AM675" s="149"/>
      <c r="AN675" s="149"/>
      <c r="AO675" s="149"/>
      <c r="AP675" s="149"/>
      <c r="AQ675" s="149"/>
      <c r="AR675" s="149"/>
      <c r="AS675" s="149"/>
      <c r="AT675" s="149"/>
      <c r="AU675" s="149"/>
      <c r="AV675" s="149"/>
      <c r="AW675" s="149"/>
      <c r="AX675" s="149"/>
      <c r="AY675" s="149"/>
      <c r="AZ675" s="149"/>
      <c r="BA675" s="149"/>
      <c r="BB675" s="149"/>
      <c r="BC675" s="149"/>
      <c r="BD675" s="149"/>
      <c r="BE675" s="150"/>
      <c r="BF675" s="150"/>
      <c r="BG675" s="68"/>
      <c r="BI675" s="69">
        <v>0</v>
      </c>
      <c r="BJ675" s="70">
        <v>0</v>
      </c>
      <c r="BK675" s="71">
        <v>0</v>
      </c>
      <c r="BL675" s="71">
        <v>0</v>
      </c>
      <c r="BM675" s="71">
        <v>0</v>
      </c>
      <c r="BN675" s="72">
        <v>0</v>
      </c>
      <c r="BO675" s="151" t="e">
        <f t="shared" si="40"/>
        <v>#DIV/0!</v>
      </c>
      <c r="BP675" s="151" t="e">
        <f t="shared" si="41"/>
        <v>#DIV/0!</v>
      </c>
      <c r="BQ675" s="71">
        <v>0</v>
      </c>
      <c r="BR675" s="71">
        <v>0</v>
      </c>
      <c r="BS675" s="71">
        <v>0</v>
      </c>
      <c r="BT675" s="72">
        <v>0</v>
      </c>
      <c r="BU675" s="73"/>
      <c r="BV675" s="73"/>
    </row>
    <row r="676" ht="30" customHeight="1" spans="1:74">
      <c r="A676" s="55" t="s">
        <v>211</v>
      </c>
      <c r="B676" s="56" t="s">
        <v>1057</v>
      </c>
      <c r="C676" s="57" t="s">
        <v>1058</v>
      </c>
      <c r="D676" s="91" t="s">
        <v>1170</v>
      </c>
      <c r="E676" s="91" t="s">
        <v>1171</v>
      </c>
      <c r="F676" s="91" t="str">
        <f>VLOOKUP(E676,[1]库存!$B$1:$C$65536,2,FALSE)</f>
        <v>SQHB-D FAB LH C状态</v>
      </c>
      <c r="G676" s="91" t="s">
        <v>1172</v>
      </c>
      <c r="H676" s="91" t="s">
        <v>1173</v>
      </c>
      <c r="I676" s="91" t="s">
        <v>1174</v>
      </c>
      <c r="J676" s="63"/>
      <c r="K676" s="61"/>
      <c r="L676" s="62">
        <v>2</v>
      </c>
      <c r="M676" s="63">
        <v>1200</v>
      </c>
      <c r="N676" s="64">
        <v>13</v>
      </c>
      <c r="O676" s="62">
        <v>2</v>
      </c>
      <c r="P676" s="65">
        <f t="shared" si="42"/>
        <v>0</v>
      </c>
      <c r="Q676" s="66">
        <v>0</v>
      </c>
      <c r="R676" s="67"/>
      <c r="S676" s="66">
        <v>1400</v>
      </c>
      <c r="T676" s="67"/>
      <c r="U676" s="66">
        <v>1400</v>
      </c>
      <c r="V676" s="67"/>
      <c r="W676" s="66">
        <v>1400</v>
      </c>
      <c r="X676" s="67"/>
      <c r="Y676" s="66">
        <v>0</v>
      </c>
      <c r="Z676" s="67"/>
      <c r="AA676" s="66">
        <v>0</v>
      </c>
      <c r="AB676" s="67"/>
      <c r="AC676" s="66">
        <v>1200</v>
      </c>
      <c r="AD676" s="67"/>
      <c r="AE676" s="66"/>
      <c r="AF676" s="67"/>
      <c r="AG676" s="66"/>
      <c r="AH676" s="67"/>
      <c r="AI676" s="66"/>
      <c r="AJ676" s="67"/>
      <c r="AK676" s="66"/>
      <c r="AL676" s="67"/>
      <c r="AM676" s="66"/>
      <c r="AN676" s="67"/>
      <c r="AO676" s="66"/>
      <c r="AP676" s="67"/>
      <c r="AQ676" s="66"/>
      <c r="AR676" s="67"/>
      <c r="AS676" s="66"/>
      <c r="AT676" s="67"/>
      <c r="AU676" s="66"/>
      <c r="AV676" s="67"/>
      <c r="AW676" s="66"/>
      <c r="AX676" s="67"/>
      <c r="AY676" s="66"/>
      <c r="AZ676" s="67"/>
      <c r="BA676" s="66"/>
      <c r="BB676" s="67"/>
      <c r="BC676" s="66"/>
      <c r="BD676" s="67"/>
      <c r="BE676" s="67"/>
      <c r="BF676" s="67"/>
      <c r="BG676" s="68"/>
      <c r="BI676" s="69">
        <v>0</v>
      </c>
      <c r="BJ676" s="70">
        <v>0</v>
      </c>
      <c r="BK676" s="71">
        <v>0</v>
      </c>
      <c r="BL676" s="71">
        <v>0</v>
      </c>
      <c r="BM676" s="71">
        <v>0</v>
      </c>
      <c r="BN676" s="72">
        <v>0</v>
      </c>
      <c r="BO676" s="151" t="e">
        <f t="shared" si="40"/>
        <v>#DIV/0!</v>
      </c>
      <c r="BP676" s="151" t="e">
        <f t="shared" si="41"/>
        <v>#DIV/0!</v>
      </c>
      <c r="BQ676" s="71">
        <v>0</v>
      </c>
      <c r="BR676" s="71">
        <v>0</v>
      </c>
      <c r="BS676" s="71">
        <v>0</v>
      </c>
      <c r="BT676" s="72">
        <v>0</v>
      </c>
      <c r="BU676" s="151" t="e">
        <f t="shared" ref="BU676:BU707" si="43">(BQ676+BR676)/BJ676</f>
        <v>#DIV/0!</v>
      </c>
      <c r="BV676" s="151" t="e">
        <f t="shared" ref="BV676:BV707" si="44">BS676/BJ676</f>
        <v>#DIV/0!</v>
      </c>
    </row>
    <row r="677" ht="30" customHeight="1" spans="1:74">
      <c r="A677" s="55">
        <v>0</v>
      </c>
      <c r="B677" s="56">
        <v>0</v>
      </c>
      <c r="C677" s="57">
        <v>0</v>
      </c>
      <c r="D677" s="92"/>
      <c r="E677" s="92"/>
      <c r="F677" s="91" t="e">
        <f>VLOOKUP(E677,[1]库存!$B$1:$C$65536,2,FALSE)</f>
        <v>#N/A</v>
      </c>
      <c r="G677" s="91" t="e">
        <v>#N/A</v>
      </c>
      <c r="H677" s="92"/>
      <c r="I677" s="92"/>
      <c r="J677" s="87"/>
      <c r="K677" s="61"/>
      <c r="L677" s="62">
        <v>0</v>
      </c>
      <c r="M677" s="63">
        <v>0</v>
      </c>
      <c r="N677" s="64">
        <v>0</v>
      </c>
      <c r="O677" s="62">
        <v>0</v>
      </c>
      <c r="P677" s="65">
        <f t="shared" si="42"/>
        <v>0</v>
      </c>
      <c r="Q677" s="66"/>
      <c r="R677" s="66"/>
      <c r="S677" s="66">
        <v>1402</v>
      </c>
      <c r="T677" s="66"/>
      <c r="U677" s="66">
        <v>1428</v>
      </c>
      <c r="V677" s="66"/>
      <c r="W677" s="66">
        <v>1403</v>
      </c>
      <c r="X677" s="66"/>
      <c r="Y677" s="66"/>
      <c r="Z677" s="66"/>
      <c r="AA677" s="66"/>
      <c r="AB677" s="66"/>
      <c r="AC677" s="66">
        <v>1062</v>
      </c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66"/>
      <c r="AX677" s="66"/>
      <c r="AY677" s="66"/>
      <c r="AZ677" s="66"/>
      <c r="BA677" s="66"/>
      <c r="BB677" s="66"/>
      <c r="BC677" s="66"/>
      <c r="BD677" s="66"/>
      <c r="BE677" s="67"/>
      <c r="BF677" s="67"/>
      <c r="BG677" s="68"/>
      <c r="BI677" s="69">
        <v>0</v>
      </c>
      <c r="BJ677" s="70">
        <v>0</v>
      </c>
      <c r="BK677" s="71">
        <v>0</v>
      </c>
      <c r="BL677" s="71">
        <v>0</v>
      </c>
      <c r="BM677" s="71">
        <v>0</v>
      </c>
      <c r="BN677" s="72">
        <v>0</v>
      </c>
      <c r="BO677" s="151" t="e">
        <f t="shared" ref="BO677:BO740" si="45">(BK677+BL677)/BJ677</f>
        <v>#DIV/0!</v>
      </c>
      <c r="BP677" s="151" t="e">
        <f t="shared" ref="BP677:BP740" si="46">BM677/BJ677</f>
        <v>#DIV/0!</v>
      </c>
      <c r="BQ677" s="71">
        <v>0</v>
      </c>
      <c r="BR677" s="71">
        <v>0</v>
      </c>
      <c r="BS677" s="71">
        <v>0</v>
      </c>
      <c r="BT677" s="72">
        <v>0</v>
      </c>
      <c r="BU677" s="151" t="e">
        <f t="shared" si="43"/>
        <v>#DIV/0!</v>
      </c>
      <c r="BV677" s="151" t="e">
        <f t="shared" si="44"/>
        <v>#DIV/0!</v>
      </c>
    </row>
    <row r="678" ht="30" customHeight="1" spans="1:74">
      <c r="A678" s="55" t="s">
        <v>211</v>
      </c>
      <c r="B678" s="56" t="s">
        <v>1057</v>
      </c>
      <c r="C678" s="57" t="s">
        <v>1058</v>
      </c>
      <c r="D678" s="59" t="s">
        <v>1170</v>
      </c>
      <c r="E678" s="59" t="s">
        <v>1175</v>
      </c>
      <c r="F678" s="59" t="str">
        <f>VLOOKUP(E678,[1]库存!$B$1:$C$65536,2,FALSE)</f>
        <v>SQHB-D FAB RH C状态</v>
      </c>
      <c r="G678" s="59" t="s">
        <v>1176</v>
      </c>
      <c r="H678" s="59" t="s">
        <v>1177</v>
      </c>
      <c r="I678" s="59" t="s">
        <v>1174</v>
      </c>
      <c r="J678" s="199" t="s">
        <v>65</v>
      </c>
      <c r="K678" s="61"/>
      <c r="L678" s="62">
        <v>2</v>
      </c>
      <c r="M678" s="63">
        <v>1200</v>
      </c>
      <c r="N678" s="64">
        <v>13</v>
      </c>
      <c r="O678" s="62">
        <v>2</v>
      </c>
      <c r="P678" s="65">
        <f t="shared" si="42"/>
        <v>0</v>
      </c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6"/>
      <c r="BB678" s="66"/>
      <c r="BC678" s="66"/>
      <c r="BD678" s="66"/>
      <c r="BE678" s="67"/>
      <c r="BF678" s="67"/>
      <c r="BG678" s="68"/>
      <c r="BI678" s="69">
        <v>0</v>
      </c>
      <c r="BJ678" s="70">
        <v>0</v>
      </c>
      <c r="BK678" s="71">
        <v>0</v>
      </c>
      <c r="BL678" s="71">
        <v>0</v>
      </c>
      <c r="BM678" s="71">
        <v>0</v>
      </c>
      <c r="BN678" s="72">
        <v>0</v>
      </c>
      <c r="BO678" s="151" t="e">
        <f t="shared" si="45"/>
        <v>#DIV/0!</v>
      </c>
      <c r="BP678" s="151" t="e">
        <f t="shared" si="46"/>
        <v>#DIV/0!</v>
      </c>
      <c r="BQ678" s="71">
        <v>0</v>
      </c>
      <c r="BR678" s="71">
        <v>0</v>
      </c>
      <c r="BS678" s="71">
        <v>0</v>
      </c>
      <c r="BT678" s="72">
        <v>0</v>
      </c>
      <c r="BU678" s="151" t="e">
        <f t="shared" si="43"/>
        <v>#DIV/0!</v>
      </c>
      <c r="BV678" s="151" t="e">
        <f t="shared" si="44"/>
        <v>#DIV/0!</v>
      </c>
    </row>
    <row r="679" ht="30" customHeight="1" spans="1:74">
      <c r="A679" s="55">
        <v>0</v>
      </c>
      <c r="B679" s="56">
        <v>0</v>
      </c>
      <c r="C679" s="57">
        <v>0</v>
      </c>
      <c r="D679" s="74"/>
      <c r="E679" s="74"/>
      <c r="F679" s="59" t="e">
        <f>VLOOKUP(E679,[1]库存!$B$1:$C$65536,2,FALSE)</f>
        <v>#N/A</v>
      </c>
      <c r="G679" s="59" t="e">
        <v>#N/A</v>
      </c>
      <c r="H679" s="74"/>
      <c r="I679" s="74"/>
      <c r="J679" s="200"/>
      <c r="K679" s="61"/>
      <c r="L679" s="62">
        <v>0</v>
      </c>
      <c r="M679" s="63">
        <v>0</v>
      </c>
      <c r="N679" s="64">
        <v>0</v>
      </c>
      <c r="O679" s="62">
        <v>0</v>
      </c>
      <c r="P679" s="65">
        <f t="shared" si="42"/>
        <v>0</v>
      </c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66"/>
      <c r="AX679" s="66"/>
      <c r="AY679" s="66"/>
      <c r="AZ679" s="66"/>
      <c r="BA679" s="66"/>
      <c r="BB679" s="66"/>
      <c r="BC679" s="66"/>
      <c r="BD679" s="66"/>
      <c r="BE679" s="67"/>
      <c r="BF679" s="67"/>
      <c r="BG679" s="68"/>
      <c r="BI679" s="69">
        <v>0</v>
      </c>
      <c r="BJ679" s="70">
        <v>0</v>
      </c>
      <c r="BK679" s="71">
        <v>0</v>
      </c>
      <c r="BL679" s="71">
        <v>0</v>
      </c>
      <c r="BM679" s="71">
        <v>0</v>
      </c>
      <c r="BN679" s="72">
        <v>0</v>
      </c>
      <c r="BO679" s="151" t="e">
        <f t="shared" si="45"/>
        <v>#DIV/0!</v>
      </c>
      <c r="BP679" s="151" t="e">
        <f t="shared" si="46"/>
        <v>#DIV/0!</v>
      </c>
      <c r="BQ679" s="71">
        <v>0</v>
      </c>
      <c r="BR679" s="71">
        <v>0</v>
      </c>
      <c r="BS679" s="71">
        <v>0</v>
      </c>
      <c r="BT679" s="72">
        <v>0</v>
      </c>
      <c r="BU679" s="151" t="e">
        <f t="shared" si="43"/>
        <v>#DIV/0!</v>
      </c>
      <c r="BV679" s="151" t="e">
        <f t="shared" si="44"/>
        <v>#DIV/0!</v>
      </c>
    </row>
    <row r="680" ht="30" customHeight="1" spans="1:74">
      <c r="A680" s="55">
        <v>0</v>
      </c>
      <c r="B680" s="56" t="s">
        <v>1057</v>
      </c>
      <c r="C680" s="57" t="s">
        <v>1058</v>
      </c>
      <c r="D680" s="59" t="s">
        <v>1170</v>
      </c>
      <c r="E680" s="59" t="s">
        <v>1178</v>
      </c>
      <c r="F680" s="59" t="str">
        <f>VLOOKUP(E680,[1]库存!$B$1:$C$65536,2,FALSE)</f>
        <v>EM2EU FAB LH B状态</v>
      </c>
      <c r="G680" s="59" t="s">
        <v>1179</v>
      </c>
      <c r="H680" s="59" t="s">
        <v>1180</v>
      </c>
      <c r="I680" s="59" t="s">
        <v>1181</v>
      </c>
      <c r="J680" s="63"/>
      <c r="K680" s="61"/>
      <c r="L680" s="62">
        <v>2</v>
      </c>
      <c r="M680" s="63">
        <v>1200</v>
      </c>
      <c r="N680" s="64">
        <v>15</v>
      </c>
      <c r="O680" s="62">
        <v>2</v>
      </c>
      <c r="P680" s="65">
        <f t="shared" si="42"/>
        <v>0</v>
      </c>
      <c r="Q680" s="66"/>
      <c r="R680" s="66"/>
      <c r="S680" s="66"/>
      <c r="T680" s="66"/>
      <c r="U680" s="66"/>
      <c r="V680" s="66"/>
      <c r="W680" s="67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66"/>
      <c r="AX680" s="66"/>
      <c r="AY680" s="66"/>
      <c r="AZ680" s="66"/>
      <c r="BA680" s="66"/>
      <c r="BB680" s="66"/>
      <c r="BC680" s="66"/>
      <c r="BD680" s="66"/>
      <c r="BE680" s="67"/>
      <c r="BF680" s="67"/>
      <c r="BG680" s="68"/>
      <c r="BI680" s="69">
        <v>0</v>
      </c>
      <c r="BJ680" s="70">
        <v>0</v>
      </c>
      <c r="BK680" s="71">
        <v>0</v>
      </c>
      <c r="BL680" s="71">
        <v>0</v>
      </c>
      <c r="BM680" s="71">
        <v>0</v>
      </c>
      <c r="BN680" s="72">
        <v>0</v>
      </c>
      <c r="BO680" s="151" t="e">
        <f t="shared" si="45"/>
        <v>#DIV/0!</v>
      </c>
      <c r="BP680" s="151" t="e">
        <f t="shared" si="46"/>
        <v>#DIV/0!</v>
      </c>
      <c r="BQ680" s="71">
        <v>0</v>
      </c>
      <c r="BR680" s="71">
        <v>0</v>
      </c>
      <c r="BS680" s="71">
        <v>0</v>
      </c>
      <c r="BT680" s="72">
        <v>0</v>
      </c>
      <c r="BU680" s="151" t="e">
        <f t="shared" si="43"/>
        <v>#DIV/0!</v>
      </c>
      <c r="BV680" s="151" t="e">
        <f t="shared" si="44"/>
        <v>#DIV/0!</v>
      </c>
    </row>
    <row r="681" ht="30" customHeight="1" spans="1:74">
      <c r="A681" s="55">
        <v>0</v>
      </c>
      <c r="B681" s="56">
        <v>0</v>
      </c>
      <c r="C681" s="57">
        <v>0</v>
      </c>
      <c r="D681" s="74"/>
      <c r="E681" s="74"/>
      <c r="F681" s="59" t="e">
        <f>VLOOKUP(E681,[1]库存!$B$1:$C$65536,2,FALSE)</f>
        <v>#N/A</v>
      </c>
      <c r="G681" s="59" t="e">
        <v>#N/A</v>
      </c>
      <c r="H681" s="74"/>
      <c r="I681" s="74"/>
      <c r="J681" s="87"/>
      <c r="K681" s="61"/>
      <c r="L681" s="62">
        <v>0</v>
      </c>
      <c r="M681" s="63">
        <v>0</v>
      </c>
      <c r="N681" s="64">
        <v>0</v>
      </c>
      <c r="O681" s="62">
        <v>0</v>
      </c>
      <c r="P681" s="65">
        <f t="shared" si="42"/>
        <v>0</v>
      </c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66"/>
      <c r="AX681" s="66"/>
      <c r="AY681" s="66"/>
      <c r="AZ681" s="66"/>
      <c r="BA681" s="66"/>
      <c r="BB681" s="66"/>
      <c r="BC681" s="66"/>
      <c r="BD681" s="66"/>
      <c r="BE681" s="67"/>
      <c r="BF681" s="67"/>
      <c r="BG681" s="68"/>
      <c r="BI681" s="69">
        <v>0</v>
      </c>
      <c r="BJ681" s="70">
        <v>0</v>
      </c>
      <c r="BK681" s="71">
        <v>0</v>
      </c>
      <c r="BL681" s="71">
        <v>0</v>
      </c>
      <c r="BM681" s="71">
        <v>0</v>
      </c>
      <c r="BN681" s="72">
        <v>0</v>
      </c>
      <c r="BO681" s="151" t="e">
        <f t="shared" si="45"/>
        <v>#DIV/0!</v>
      </c>
      <c r="BP681" s="151" t="e">
        <f t="shared" si="46"/>
        <v>#DIV/0!</v>
      </c>
      <c r="BQ681" s="71">
        <v>0</v>
      </c>
      <c r="BR681" s="71">
        <v>0</v>
      </c>
      <c r="BS681" s="71">
        <v>0</v>
      </c>
      <c r="BT681" s="72">
        <v>0</v>
      </c>
      <c r="BU681" s="151" t="e">
        <f t="shared" si="43"/>
        <v>#DIV/0!</v>
      </c>
      <c r="BV681" s="151" t="e">
        <f t="shared" si="44"/>
        <v>#DIV/0!</v>
      </c>
    </row>
    <row r="682" ht="30" customHeight="1" spans="1:74">
      <c r="A682" s="55">
        <v>0</v>
      </c>
      <c r="B682" s="56" t="s">
        <v>1057</v>
      </c>
      <c r="C682" s="57" t="s">
        <v>1058</v>
      </c>
      <c r="D682" s="59" t="s">
        <v>1170</v>
      </c>
      <c r="E682" s="59" t="s">
        <v>1182</v>
      </c>
      <c r="F682" s="59" t="str">
        <f>VLOOKUP(E682,[1]库存!$B$1:$C$65536,2,FALSE)</f>
        <v>EM2EU FAB RH B状态</v>
      </c>
      <c r="G682" s="59" t="s">
        <v>1183</v>
      </c>
      <c r="H682" s="59" t="s">
        <v>1184</v>
      </c>
      <c r="I682" s="59" t="s">
        <v>1181</v>
      </c>
      <c r="J682" s="201" t="s">
        <v>65</v>
      </c>
      <c r="K682" s="61"/>
      <c r="L682" s="62">
        <v>2</v>
      </c>
      <c r="M682" s="63">
        <v>1200</v>
      </c>
      <c r="N682" s="64">
        <v>15</v>
      </c>
      <c r="O682" s="62">
        <v>2</v>
      </c>
      <c r="P682" s="65">
        <f t="shared" si="42"/>
        <v>0</v>
      </c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66"/>
      <c r="AX682" s="66"/>
      <c r="AY682" s="66"/>
      <c r="AZ682" s="66"/>
      <c r="BA682" s="66"/>
      <c r="BB682" s="66"/>
      <c r="BC682" s="66"/>
      <c r="BD682" s="66"/>
      <c r="BE682" s="67"/>
      <c r="BF682" s="67"/>
      <c r="BG682" s="68"/>
      <c r="BI682" s="69">
        <v>0</v>
      </c>
      <c r="BJ682" s="70">
        <v>0</v>
      </c>
      <c r="BK682" s="71">
        <v>0</v>
      </c>
      <c r="BL682" s="71">
        <v>0</v>
      </c>
      <c r="BM682" s="71">
        <v>0</v>
      </c>
      <c r="BN682" s="72">
        <v>0</v>
      </c>
      <c r="BO682" s="151" t="e">
        <f t="shared" si="45"/>
        <v>#DIV/0!</v>
      </c>
      <c r="BP682" s="151" t="e">
        <f t="shared" si="46"/>
        <v>#DIV/0!</v>
      </c>
      <c r="BQ682" s="71">
        <v>0</v>
      </c>
      <c r="BR682" s="71">
        <v>0</v>
      </c>
      <c r="BS682" s="71">
        <v>0</v>
      </c>
      <c r="BT682" s="72">
        <v>0</v>
      </c>
      <c r="BU682" s="151" t="e">
        <f t="shared" si="43"/>
        <v>#DIV/0!</v>
      </c>
      <c r="BV682" s="151" t="e">
        <f t="shared" si="44"/>
        <v>#DIV/0!</v>
      </c>
    </row>
    <row r="683" ht="30" customHeight="1" spans="1:74">
      <c r="A683" s="55">
        <v>0</v>
      </c>
      <c r="B683" s="56">
        <v>0</v>
      </c>
      <c r="C683" s="57">
        <v>0</v>
      </c>
      <c r="D683" s="74"/>
      <c r="E683" s="74"/>
      <c r="F683" s="59" t="e">
        <f>VLOOKUP(E683,[1]库存!$B$1:$C$65536,2,FALSE)</f>
        <v>#N/A</v>
      </c>
      <c r="G683" s="59" t="e">
        <v>#N/A</v>
      </c>
      <c r="H683" s="74"/>
      <c r="I683" s="74"/>
      <c r="J683" s="202"/>
      <c r="K683" s="61"/>
      <c r="L683" s="62">
        <v>0</v>
      </c>
      <c r="M683" s="63">
        <v>0</v>
      </c>
      <c r="N683" s="64">
        <v>0</v>
      </c>
      <c r="O683" s="62">
        <v>0</v>
      </c>
      <c r="P683" s="65">
        <f t="shared" si="42"/>
        <v>0</v>
      </c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66"/>
      <c r="AX683" s="66"/>
      <c r="AY683" s="66"/>
      <c r="AZ683" s="66"/>
      <c r="BA683" s="66"/>
      <c r="BB683" s="66"/>
      <c r="BC683" s="66"/>
      <c r="BD683" s="66"/>
      <c r="BE683" s="67"/>
      <c r="BF683" s="67"/>
      <c r="BG683" s="68"/>
      <c r="BI683" s="69">
        <v>0</v>
      </c>
      <c r="BJ683" s="70">
        <v>0</v>
      </c>
      <c r="BK683" s="71">
        <v>0</v>
      </c>
      <c r="BL683" s="71">
        <v>0</v>
      </c>
      <c r="BM683" s="71">
        <v>0</v>
      </c>
      <c r="BN683" s="72">
        <v>0</v>
      </c>
      <c r="BO683" s="151" t="e">
        <f t="shared" si="45"/>
        <v>#DIV/0!</v>
      </c>
      <c r="BP683" s="151" t="e">
        <f t="shared" si="46"/>
        <v>#DIV/0!</v>
      </c>
      <c r="BQ683" s="71">
        <v>0</v>
      </c>
      <c r="BR683" s="71">
        <v>0</v>
      </c>
      <c r="BS683" s="71">
        <v>0</v>
      </c>
      <c r="BT683" s="72">
        <v>0</v>
      </c>
      <c r="BU683" s="151" t="e">
        <f t="shared" si="43"/>
        <v>#DIV/0!</v>
      </c>
      <c r="BV683" s="151" t="e">
        <f t="shared" si="44"/>
        <v>#DIV/0!</v>
      </c>
    </row>
    <row r="684" ht="30" customHeight="1" spans="1:74">
      <c r="A684" s="55">
        <v>0</v>
      </c>
      <c r="B684" s="56" t="s">
        <v>1057</v>
      </c>
      <c r="C684" s="57" t="s">
        <v>1058</v>
      </c>
      <c r="D684" s="59" t="s">
        <v>1170</v>
      </c>
      <c r="E684" s="59" t="s">
        <v>1185</v>
      </c>
      <c r="F684" s="59" t="str">
        <f>VLOOKUP(E684,[1]库存!$B$1:$C$65536,2,FALSE)</f>
        <v>SZHA FAB LH B状态</v>
      </c>
      <c r="G684" s="59" t="s">
        <v>1186</v>
      </c>
      <c r="H684" s="59" t="s">
        <v>1187</v>
      </c>
      <c r="I684" s="59" t="s">
        <v>1188</v>
      </c>
      <c r="J684" s="63"/>
      <c r="K684" s="61"/>
      <c r="L684" s="62">
        <v>2</v>
      </c>
      <c r="M684" s="63">
        <v>800</v>
      </c>
      <c r="N684" s="64">
        <v>15</v>
      </c>
      <c r="O684" s="62">
        <v>2</v>
      </c>
      <c r="P684" s="65">
        <f t="shared" si="42"/>
        <v>0</v>
      </c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>
        <v>1400</v>
      </c>
      <c r="AB684" s="66"/>
      <c r="AC684" s="66">
        <v>160</v>
      </c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66"/>
      <c r="AX684" s="66"/>
      <c r="AY684" s="66"/>
      <c r="AZ684" s="66"/>
      <c r="BA684" s="66"/>
      <c r="BB684" s="66"/>
      <c r="BC684" s="66"/>
      <c r="BD684" s="66"/>
      <c r="BE684" s="67"/>
      <c r="BF684" s="67"/>
      <c r="BG684" s="68"/>
      <c r="BI684" s="69">
        <v>0</v>
      </c>
      <c r="BJ684" s="70">
        <v>0</v>
      </c>
      <c r="BK684" s="71">
        <v>0</v>
      </c>
      <c r="BL684" s="71">
        <v>0</v>
      </c>
      <c r="BM684" s="71">
        <v>0</v>
      </c>
      <c r="BN684" s="72">
        <v>0</v>
      </c>
      <c r="BO684" s="151" t="e">
        <f t="shared" si="45"/>
        <v>#DIV/0!</v>
      </c>
      <c r="BP684" s="151" t="e">
        <f t="shared" si="46"/>
        <v>#DIV/0!</v>
      </c>
      <c r="BQ684" s="71">
        <v>0</v>
      </c>
      <c r="BR684" s="71">
        <v>0</v>
      </c>
      <c r="BS684" s="71">
        <v>0</v>
      </c>
      <c r="BT684" s="72">
        <v>0</v>
      </c>
      <c r="BU684" s="151" t="e">
        <f t="shared" si="43"/>
        <v>#DIV/0!</v>
      </c>
      <c r="BV684" s="151" t="e">
        <f t="shared" si="44"/>
        <v>#DIV/0!</v>
      </c>
    </row>
    <row r="685" ht="30" customHeight="1" spans="1:74">
      <c r="A685" s="55">
        <v>0</v>
      </c>
      <c r="B685" s="56">
        <v>0</v>
      </c>
      <c r="C685" s="57">
        <v>0</v>
      </c>
      <c r="D685" s="74"/>
      <c r="E685" s="74"/>
      <c r="F685" s="59" t="e">
        <f>VLOOKUP(E685,[1]库存!$B$1:$C$65536,2,FALSE)</f>
        <v>#N/A</v>
      </c>
      <c r="G685" s="59" t="e">
        <v>#N/A</v>
      </c>
      <c r="H685" s="74"/>
      <c r="I685" s="74"/>
      <c r="J685" s="87"/>
      <c r="K685" s="61"/>
      <c r="L685" s="62">
        <v>0</v>
      </c>
      <c r="M685" s="63">
        <v>0</v>
      </c>
      <c r="N685" s="64">
        <v>0</v>
      </c>
      <c r="O685" s="62">
        <v>0</v>
      </c>
      <c r="P685" s="65">
        <f t="shared" si="42"/>
        <v>0</v>
      </c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>
        <v>1300</v>
      </c>
      <c r="AB685" s="66"/>
      <c r="AC685" s="66">
        <v>277</v>
      </c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66"/>
      <c r="AX685" s="66"/>
      <c r="AY685" s="66"/>
      <c r="AZ685" s="66"/>
      <c r="BA685" s="66"/>
      <c r="BB685" s="66"/>
      <c r="BC685" s="66"/>
      <c r="BD685" s="66"/>
      <c r="BE685" s="67"/>
      <c r="BF685" s="67"/>
      <c r="BG685" s="68"/>
      <c r="BI685" s="69">
        <v>0</v>
      </c>
      <c r="BJ685" s="70">
        <v>0</v>
      </c>
      <c r="BK685" s="71">
        <v>0</v>
      </c>
      <c r="BL685" s="71">
        <v>0</v>
      </c>
      <c r="BM685" s="71">
        <v>0</v>
      </c>
      <c r="BN685" s="72">
        <v>0</v>
      </c>
      <c r="BO685" s="151" t="e">
        <f t="shared" si="45"/>
        <v>#DIV/0!</v>
      </c>
      <c r="BP685" s="151" t="e">
        <f t="shared" si="46"/>
        <v>#DIV/0!</v>
      </c>
      <c r="BQ685" s="71">
        <v>0</v>
      </c>
      <c r="BR685" s="71">
        <v>0</v>
      </c>
      <c r="BS685" s="71">
        <v>0</v>
      </c>
      <c r="BT685" s="72">
        <v>0</v>
      </c>
      <c r="BU685" s="151" t="e">
        <f t="shared" si="43"/>
        <v>#DIV/0!</v>
      </c>
      <c r="BV685" s="151" t="e">
        <f t="shared" si="44"/>
        <v>#DIV/0!</v>
      </c>
    </row>
    <row r="686" ht="30" customHeight="1" spans="1:74">
      <c r="A686" s="55">
        <v>0</v>
      </c>
      <c r="B686" s="56" t="s">
        <v>1057</v>
      </c>
      <c r="C686" s="57" t="s">
        <v>1058</v>
      </c>
      <c r="D686" s="59" t="s">
        <v>1170</v>
      </c>
      <c r="E686" s="59" t="s">
        <v>1189</v>
      </c>
      <c r="F686" s="59" t="str">
        <f>VLOOKUP(E686,[1]库存!$B$1:$C$65536,2,FALSE)</f>
        <v>SZHA FAB RH B状态</v>
      </c>
      <c r="G686" s="59" t="s">
        <v>1190</v>
      </c>
      <c r="H686" s="59" t="s">
        <v>1191</v>
      </c>
      <c r="I686" s="59" t="s">
        <v>1188</v>
      </c>
      <c r="J686" s="97" t="s">
        <v>65</v>
      </c>
      <c r="K686" s="61"/>
      <c r="L686" s="62">
        <v>2</v>
      </c>
      <c r="M686" s="63">
        <v>800</v>
      </c>
      <c r="N686" s="64">
        <v>15</v>
      </c>
      <c r="O686" s="62">
        <v>2</v>
      </c>
      <c r="P686" s="65">
        <f t="shared" si="42"/>
        <v>0</v>
      </c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  <c r="BD686" s="66"/>
      <c r="BE686" s="67"/>
      <c r="BF686" s="67"/>
      <c r="BG686" s="68"/>
      <c r="BI686" s="69">
        <v>0</v>
      </c>
      <c r="BJ686" s="70">
        <v>0</v>
      </c>
      <c r="BK686" s="71">
        <v>0</v>
      </c>
      <c r="BL686" s="71">
        <v>0</v>
      </c>
      <c r="BM686" s="71">
        <v>0</v>
      </c>
      <c r="BN686" s="72">
        <v>0</v>
      </c>
      <c r="BO686" s="151" t="e">
        <f t="shared" si="45"/>
        <v>#DIV/0!</v>
      </c>
      <c r="BP686" s="151" t="e">
        <f t="shared" si="46"/>
        <v>#DIV/0!</v>
      </c>
      <c r="BQ686" s="71">
        <v>0</v>
      </c>
      <c r="BR686" s="71">
        <v>0</v>
      </c>
      <c r="BS686" s="71">
        <v>0</v>
      </c>
      <c r="BT686" s="72">
        <v>0</v>
      </c>
      <c r="BU686" s="151" t="e">
        <f t="shared" si="43"/>
        <v>#DIV/0!</v>
      </c>
      <c r="BV686" s="151" t="e">
        <f t="shared" si="44"/>
        <v>#DIV/0!</v>
      </c>
    </row>
    <row r="687" ht="30" customHeight="1" spans="1:74">
      <c r="A687" s="55">
        <v>0</v>
      </c>
      <c r="B687" s="56">
        <v>0</v>
      </c>
      <c r="C687" s="57">
        <v>0</v>
      </c>
      <c r="D687" s="74"/>
      <c r="E687" s="74"/>
      <c r="F687" s="59" t="e">
        <f>VLOOKUP(E687,[1]库存!$B$1:$C$65536,2,FALSE)</f>
        <v>#N/A</v>
      </c>
      <c r="G687" s="59" t="e">
        <v>#N/A</v>
      </c>
      <c r="H687" s="74"/>
      <c r="I687" s="74"/>
      <c r="J687" s="98"/>
      <c r="K687" s="61"/>
      <c r="L687" s="62">
        <v>0</v>
      </c>
      <c r="M687" s="63">
        <v>0</v>
      </c>
      <c r="N687" s="64">
        <v>0</v>
      </c>
      <c r="O687" s="62">
        <v>0</v>
      </c>
      <c r="P687" s="65">
        <f t="shared" si="42"/>
        <v>0</v>
      </c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6"/>
      <c r="BB687" s="66"/>
      <c r="BC687" s="66"/>
      <c r="BD687" s="66"/>
      <c r="BE687" s="67"/>
      <c r="BF687" s="67"/>
      <c r="BG687" s="68"/>
      <c r="BI687" s="69">
        <v>0</v>
      </c>
      <c r="BJ687" s="70">
        <v>0</v>
      </c>
      <c r="BK687" s="71">
        <v>0</v>
      </c>
      <c r="BL687" s="71">
        <v>0</v>
      </c>
      <c r="BM687" s="71">
        <v>0</v>
      </c>
      <c r="BN687" s="72">
        <v>0</v>
      </c>
      <c r="BO687" s="151" t="e">
        <f t="shared" si="45"/>
        <v>#DIV/0!</v>
      </c>
      <c r="BP687" s="151" t="e">
        <f t="shared" si="46"/>
        <v>#DIV/0!</v>
      </c>
      <c r="BQ687" s="71">
        <v>0</v>
      </c>
      <c r="BR687" s="71">
        <v>0</v>
      </c>
      <c r="BS687" s="71">
        <v>0</v>
      </c>
      <c r="BT687" s="72">
        <v>0</v>
      </c>
      <c r="BU687" s="151" t="e">
        <f t="shared" si="43"/>
        <v>#DIV/0!</v>
      </c>
      <c r="BV687" s="151" t="e">
        <f t="shared" si="44"/>
        <v>#DIV/0!</v>
      </c>
    </row>
    <row r="688" ht="30" customHeight="1" spans="1:74">
      <c r="A688" s="55" t="s">
        <v>211</v>
      </c>
      <c r="B688" s="56" t="s">
        <v>1057</v>
      </c>
      <c r="C688" s="57" t="s">
        <v>1058</v>
      </c>
      <c r="D688" s="59" t="s">
        <v>1170</v>
      </c>
      <c r="E688" s="59" t="s">
        <v>1192</v>
      </c>
      <c r="F688" s="59" t="str">
        <f>VLOOKUP(E688,[1]库存!$B$1:$C$65536,2,FALSE)</f>
        <v>UNEA FAB LH</v>
      </c>
      <c r="G688" s="59" t="s">
        <v>1193</v>
      </c>
      <c r="H688" s="59" t="s">
        <v>1194</v>
      </c>
      <c r="I688" s="59" t="s">
        <v>1195</v>
      </c>
      <c r="J688" s="63"/>
      <c r="K688" s="61"/>
      <c r="L688" s="62">
        <v>2</v>
      </c>
      <c r="M688" s="63">
        <v>1100</v>
      </c>
      <c r="N688" s="64">
        <v>14</v>
      </c>
      <c r="O688" s="62">
        <v>2</v>
      </c>
      <c r="P688" s="65">
        <f t="shared" si="42"/>
        <v>0</v>
      </c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66"/>
      <c r="AU688" s="66"/>
      <c r="AV688" s="66"/>
      <c r="AW688" s="66"/>
      <c r="AX688" s="66"/>
      <c r="AY688" s="66"/>
      <c r="AZ688" s="66"/>
      <c r="BA688" s="66"/>
      <c r="BB688" s="66"/>
      <c r="BC688" s="66"/>
      <c r="BD688" s="66"/>
      <c r="BE688" s="67"/>
      <c r="BF688" s="67"/>
      <c r="BG688" s="68"/>
      <c r="BI688" s="69">
        <v>0</v>
      </c>
      <c r="BJ688" s="70">
        <v>0</v>
      </c>
      <c r="BK688" s="71">
        <v>0</v>
      </c>
      <c r="BL688" s="71">
        <v>0</v>
      </c>
      <c r="BM688" s="71">
        <v>0</v>
      </c>
      <c r="BN688" s="72">
        <v>0</v>
      </c>
      <c r="BO688" s="151" t="e">
        <f t="shared" si="45"/>
        <v>#DIV/0!</v>
      </c>
      <c r="BP688" s="151" t="e">
        <f t="shared" si="46"/>
        <v>#DIV/0!</v>
      </c>
      <c r="BQ688" s="71">
        <v>0</v>
      </c>
      <c r="BR688" s="71">
        <v>0</v>
      </c>
      <c r="BS688" s="71">
        <v>0</v>
      </c>
      <c r="BT688" s="72">
        <v>0</v>
      </c>
      <c r="BU688" s="151" t="e">
        <f t="shared" si="43"/>
        <v>#DIV/0!</v>
      </c>
      <c r="BV688" s="151" t="e">
        <f t="shared" si="44"/>
        <v>#DIV/0!</v>
      </c>
    </row>
    <row r="689" ht="30" customHeight="1" spans="1:74">
      <c r="A689" s="55">
        <v>0</v>
      </c>
      <c r="B689" s="56">
        <v>0</v>
      </c>
      <c r="C689" s="57">
        <v>0</v>
      </c>
      <c r="D689" s="74"/>
      <c r="E689" s="74"/>
      <c r="F689" s="59" t="e">
        <f>VLOOKUP(E689,[1]库存!$B$1:$C$65536,2,FALSE)</f>
        <v>#N/A</v>
      </c>
      <c r="G689" s="59" t="e">
        <v>#N/A</v>
      </c>
      <c r="H689" s="74"/>
      <c r="I689" s="74"/>
      <c r="J689" s="87"/>
      <c r="K689" s="61"/>
      <c r="L689" s="62">
        <v>0</v>
      </c>
      <c r="M689" s="63">
        <v>0</v>
      </c>
      <c r="N689" s="64">
        <v>0</v>
      </c>
      <c r="O689" s="62">
        <v>0</v>
      </c>
      <c r="P689" s="65">
        <f t="shared" si="42"/>
        <v>0</v>
      </c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66"/>
      <c r="AU689" s="66"/>
      <c r="AV689" s="66"/>
      <c r="AW689" s="66"/>
      <c r="AX689" s="66"/>
      <c r="AY689" s="66"/>
      <c r="AZ689" s="66"/>
      <c r="BA689" s="66"/>
      <c r="BB689" s="66"/>
      <c r="BC689" s="66"/>
      <c r="BD689" s="66"/>
      <c r="BE689" s="67"/>
      <c r="BF689" s="67"/>
      <c r="BG689" s="68"/>
      <c r="BI689" s="69">
        <v>0</v>
      </c>
      <c r="BJ689" s="70">
        <v>0</v>
      </c>
      <c r="BK689" s="71">
        <v>0</v>
      </c>
      <c r="BL689" s="71">
        <v>0</v>
      </c>
      <c r="BM689" s="71">
        <v>0</v>
      </c>
      <c r="BN689" s="72">
        <v>0</v>
      </c>
      <c r="BO689" s="151" t="e">
        <f t="shared" si="45"/>
        <v>#DIV/0!</v>
      </c>
      <c r="BP689" s="151" t="e">
        <f t="shared" si="46"/>
        <v>#DIV/0!</v>
      </c>
      <c r="BQ689" s="71">
        <v>0</v>
      </c>
      <c r="BR689" s="71">
        <v>0</v>
      </c>
      <c r="BS689" s="71">
        <v>0</v>
      </c>
      <c r="BT689" s="72">
        <v>0</v>
      </c>
      <c r="BU689" s="151" t="e">
        <f t="shared" si="43"/>
        <v>#DIV/0!</v>
      </c>
      <c r="BV689" s="151" t="e">
        <f t="shared" si="44"/>
        <v>#DIV/0!</v>
      </c>
    </row>
    <row r="690" ht="30" customHeight="1" spans="1:74">
      <c r="A690" s="55" t="s">
        <v>211</v>
      </c>
      <c r="B690" s="56" t="s">
        <v>1057</v>
      </c>
      <c r="C690" s="57" t="s">
        <v>1058</v>
      </c>
      <c r="D690" s="59" t="s">
        <v>1170</v>
      </c>
      <c r="E690" s="59" t="s">
        <v>1196</v>
      </c>
      <c r="F690" s="59" t="str">
        <f>VLOOKUP(E690,[1]库存!$B$1:$C$65536,2,FALSE)</f>
        <v>UNEA FAB RH</v>
      </c>
      <c r="G690" s="59" t="s">
        <v>1197</v>
      </c>
      <c r="H690" s="59" t="s">
        <v>1198</v>
      </c>
      <c r="I690" s="59" t="s">
        <v>1195</v>
      </c>
      <c r="J690" s="63"/>
      <c r="K690" s="61"/>
      <c r="L690" s="62">
        <v>2</v>
      </c>
      <c r="M690" s="63">
        <v>1100</v>
      </c>
      <c r="N690" s="64">
        <v>14</v>
      </c>
      <c r="O690" s="62">
        <v>2</v>
      </c>
      <c r="P690" s="65">
        <f t="shared" si="42"/>
        <v>0</v>
      </c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66"/>
      <c r="AU690" s="66"/>
      <c r="AV690" s="66"/>
      <c r="AW690" s="66"/>
      <c r="AX690" s="66"/>
      <c r="AY690" s="66"/>
      <c r="AZ690" s="66"/>
      <c r="BA690" s="66"/>
      <c r="BB690" s="66"/>
      <c r="BC690" s="66"/>
      <c r="BD690" s="66"/>
      <c r="BE690" s="67"/>
      <c r="BF690" s="67"/>
      <c r="BG690" s="68"/>
      <c r="BI690" s="69">
        <v>0</v>
      </c>
      <c r="BJ690" s="70">
        <v>0</v>
      </c>
      <c r="BK690" s="71">
        <v>0</v>
      </c>
      <c r="BL690" s="71">
        <v>0</v>
      </c>
      <c r="BM690" s="71">
        <v>0</v>
      </c>
      <c r="BN690" s="72">
        <v>0</v>
      </c>
      <c r="BO690" s="151" t="e">
        <f t="shared" si="45"/>
        <v>#DIV/0!</v>
      </c>
      <c r="BP690" s="151" t="e">
        <f t="shared" si="46"/>
        <v>#DIV/0!</v>
      </c>
      <c r="BQ690" s="71">
        <v>0</v>
      </c>
      <c r="BR690" s="71">
        <v>0</v>
      </c>
      <c r="BS690" s="71">
        <v>0</v>
      </c>
      <c r="BT690" s="72">
        <v>0</v>
      </c>
      <c r="BU690" s="151" t="e">
        <f t="shared" si="43"/>
        <v>#DIV/0!</v>
      </c>
      <c r="BV690" s="151" t="e">
        <f t="shared" si="44"/>
        <v>#DIV/0!</v>
      </c>
    </row>
    <row r="691" ht="30" customHeight="1" spans="1:74">
      <c r="A691" s="55">
        <v>0</v>
      </c>
      <c r="B691" s="56">
        <v>0</v>
      </c>
      <c r="C691" s="57">
        <v>0</v>
      </c>
      <c r="D691" s="74"/>
      <c r="E691" s="74"/>
      <c r="F691" s="59" t="e">
        <f>VLOOKUP(E691,[1]库存!$B$1:$C$65536,2,FALSE)</f>
        <v>#N/A</v>
      </c>
      <c r="G691" s="59" t="e">
        <v>#N/A</v>
      </c>
      <c r="H691" s="74"/>
      <c r="I691" s="74"/>
      <c r="J691" s="87"/>
      <c r="K691" s="61"/>
      <c r="L691" s="62">
        <v>0</v>
      </c>
      <c r="M691" s="63">
        <v>0</v>
      </c>
      <c r="N691" s="64">
        <v>0</v>
      </c>
      <c r="O691" s="62">
        <v>0</v>
      </c>
      <c r="P691" s="65">
        <f t="shared" si="42"/>
        <v>0</v>
      </c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66"/>
      <c r="AU691" s="66"/>
      <c r="AV691" s="66"/>
      <c r="AW691" s="66"/>
      <c r="AX691" s="66"/>
      <c r="AY691" s="66"/>
      <c r="AZ691" s="66"/>
      <c r="BA691" s="66"/>
      <c r="BB691" s="66"/>
      <c r="BC691" s="66"/>
      <c r="BD691" s="66"/>
      <c r="BE691" s="67"/>
      <c r="BF691" s="67"/>
      <c r="BG691" s="68"/>
      <c r="BI691" s="69">
        <v>0</v>
      </c>
      <c r="BJ691" s="70">
        <v>0</v>
      </c>
      <c r="BK691" s="71">
        <v>0</v>
      </c>
      <c r="BL691" s="71">
        <v>0</v>
      </c>
      <c r="BM691" s="71">
        <v>0</v>
      </c>
      <c r="BN691" s="72">
        <v>0</v>
      </c>
      <c r="BO691" s="151" t="e">
        <f t="shared" si="45"/>
        <v>#DIV/0!</v>
      </c>
      <c r="BP691" s="151" t="e">
        <f t="shared" si="46"/>
        <v>#DIV/0!</v>
      </c>
      <c r="BQ691" s="71">
        <v>0</v>
      </c>
      <c r="BR691" s="71">
        <v>0</v>
      </c>
      <c r="BS691" s="71">
        <v>0</v>
      </c>
      <c r="BT691" s="72">
        <v>0</v>
      </c>
      <c r="BU691" s="151" t="e">
        <f t="shared" si="43"/>
        <v>#DIV/0!</v>
      </c>
      <c r="BV691" s="151" t="e">
        <f t="shared" si="44"/>
        <v>#DIV/0!</v>
      </c>
    </row>
    <row r="692" ht="30" customHeight="1" spans="1:74">
      <c r="A692" s="55" t="s">
        <v>211</v>
      </c>
      <c r="B692" s="56" t="s">
        <v>1057</v>
      </c>
      <c r="C692" s="57" t="s">
        <v>1058</v>
      </c>
      <c r="D692" s="59" t="s">
        <v>1170</v>
      </c>
      <c r="E692" s="59" t="s">
        <v>1199</v>
      </c>
      <c r="F692" s="59" t="str">
        <f>VLOOKUP(E692,[1]库存!$B$1:$C$65536,2,FALSE)</f>
        <v>HBE FAB LH</v>
      </c>
      <c r="G692" s="59" t="s">
        <v>1200</v>
      </c>
      <c r="H692" s="59" t="s">
        <v>1201</v>
      </c>
      <c r="I692" s="59" t="s">
        <v>1195</v>
      </c>
      <c r="J692" s="63"/>
      <c r="K692" s="61"/>
      <c r="L692" s="62">
        <v>2</v>
      </c>
      <c r="M692" s="63">
        <v>1200</v>
      </c>
      <c r="N692" s="64">
        <v>16</v>
      </c>
      <c r="O692" s="62">
        <v>2</v>
      </c>
      <c r="P692" s="65">
        <f t="shared" si="42"/>
        <v>0</v>
      </c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66"/>
      <c r="AU692" s="66"/>
      <c r="AV692" s="66"/>
      <c r="AW692" s="66"/>
      <c r="AX692" s="66"/>
      <c r="AY692" s="66"/>
      <c r="AZ692" s="66"/>
      <c r="BA692" s="66"/>
      <c r="BB692" s="66"/>
      <c r="BC692" s="66"/>
      <c r="BD692" s="66"/>
      <c r="BE692" s="67"/>
      <c r="BF692" s="67"/>
      <c r="BG692" s="68"/>
      <c r="BI692" s="69">
        <v>0</v>
      </c>
      <c r="BJ692" s="70">
        <v>0</v>
      </c>
      <c r="BK692" s="71">
        <v>0</v>
      </c>
      <c r="BL692" s="71">
        <v>0</v>
      </c>
      <c r="BM692" s="71">
        <v>0</v>
      </c>
      <c r="BN692" s="72">
        <v>0</v>
      </c>
      <c r="BO692" s="151" t="e">
        <f t="shared" si="45"/>
        <v>#DIV/0!</v>
      </c>
      <c r="BP692" s="151" t="e">
        <f t="shared" si="46"/>
        <v>#DIV/0!</v>
      </c>
      <c r="BQ692" s="71">
        <v>0</v>
      </c>
      <c r="BR692" s="71">
        <v>0</v>
      </c>
      <c r="BS692" s="71">
        <v>0</v>
      </c>
      <c r="BT692" s="72">
        <v>0</v>
      </c>
      <c r="BU692" s="151" t="e">
        <f t="shared" si="43"/>
        <v>#DIV/0!</v>
      </c>
      <c r="BV692" s="151" t="e">
        <f t="shared" si="44"/>
        <v>#DIV/0!</v>
      </c>
    </row>
    <row r="693" ht="30" customHeight="1" spans="1:74">
      <c r="A693" s="55">
        <v>0</v>
      </c>
      <c r="B693" s="56">
        <v>0</v>
      </c>
      <c r="C693" s="57">
        <v>0</v>
      </c>
      <c r="D693" s="74"/>
      <c r="E693" s="74"/>
      <c r="F693" s="59" t="e">
        <f>VLOOKUP(E693,[1]库存!$B$1:$C$65536,2,FALSE)</f>
        <v>#N/A</v>
      </c>
      <c r="G693" s="59" t="e">
        <v>#N/A</v>
      </c>
      <c r="H693" s="74"/>
      <c r="I693" s="74"/>
      <c r="J693" s="87"/>
      <c r="K693" s="61"/>
      <c r="L693" s="62">
        <v>0</v>
      </c>
      <c r="M693" s="63">
        <v>0</v>
      </c>
      <c r="N693" s="64">
        <v>0</v>
      </c>
      <c r="O693" s="62">
        <v>0</v>
      </c>
      <c r="P693" s="65">
        <f t="shared" si="42"/>
        <v>0</v>
      </c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66"/>
      <c r="AU693" s="66"/>
      <c r="AV693" s="66"/>
      <c r="AW693" s="66"/>
      <c r="AX693" s="66"/>
      <c r="AY693" s="66"/>
      <c r="AZ693" s="66"/>
      <c r="BA693" s="66"/>
      <c r="BB693" s="66"/>
      <c r="BC693" s="66"/>
      <c r="BD693" s="66"/>
      <c r="BE693" s="67"/>
      <c r="BF693" s="67"/>
      <c r="BG693" s="68"/>
      <c r="BI693" s="69">
        <v>0</v>
      </c>
      <c r="BJ693" s="70">
        <v>0</v>
      </c>
      <c r="BK693" s="71">
        <v>0</v>
      </c>
      <c r="BL693" s="71">
        <v>0</v>
      </c>
      <c r="BM693" s="71">
        <v>0</v>
      </c>
      <c r="BN693" s="72">
        <v>0</v>
      </c>
      <c r="BO693" s="151" t="e">
        <f t="shared" si="45"/>
        <v>#DIV/0!</v>
      </c>
      <c r="BP693" s="151" t="e">
        <f t="shared" si="46"/>
        <v>#DIV/0!</v>
      </c>
      <c r="BQ693" s="71">
        <v>0</v>
      </c>
      <c r="BR693" s="71">
        <v>0</v>
      </c>
      <c r="BS693" s="71">
        <v>0</v>
      </c>
      <c r="BT693" s="72">
        <v>0</v>
      </c>
      <c r="BU693" s="151" t="e">
        <f t="shared" si="43"/>
        <v>#DIV/0!</v>
      </c>
      <c r="BV693" s="151" t="e">
        <f t="shared" si="44"/>
        <v>#DIV/0!</v>
      </c>
    </row>
    <row r="694" ht="30" customHeight="1" spans="1:74">
      <c r="A694" s="55" t="s">
        <v>211</v>
      </c>
      <c r="B694" s="56" t="s">
        <v>1057</v>
      </c>
      <c r="C694" s="57" t="s">
        <v>1058</v>
      </c>
      <c r="D694" s="59" t="s">
        <v>1170</v>
      </c>
      <c r="E694" s="59" t="s">
        <v>1202</v>
      </c>
      <c r="F694" s="59" t="str">
        <f>VLOOKUP(E694,[1]库存!$B$1:$C$65536,2,FALSE)</f>
        <v>HBE FAB RH</v>
      </c>
      <c r="G694" s="59" t="s">
        <v>1203</v>
      </c>
      <c r="H694" s="59" t="s">
        <v>1204</v>
      </c>
      <c r="I694" s="59" t="s">
        <v>1195</v>
      </c>
      <c r="J694" s="201" t="s">
        <v>65</v>
      </c>
      <c r="K694" s="61"/>
      <c r="L694" s="62">
        <v>2</v>
      </c>
      <c r="M694" s="63">
        <v>1200</v>
      </c>
      <c r="N694" s="64">
        <v>16</v>
      </c>
      <c r="O694" s="62">
        <v>2</v>
      </c>
      <c r="P694" s="65">
        <f t="shared" si="42"/>
        <v>0</v>
      </c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66"/>
      <c r="AU694" s="66"/>
      <c r="AV694" s="66"/>
      <c r="AW694" s="66"/>
      <c r="AX694" s="66"/>
      <c r="AY694" s="66"/>
      <c r="AZ694" s="66"/>
      <c r="BA694" s="66"/>
      <c r="BB694" s="66"/>
      <c r="BC694" s="66"/>
      <c r="BD694" s="66"/>
      <c r="BE694" s="67"/>
      <c r="BF694" s="67"/>
      <c r="BG694" s="68"/>
      <c r="BI694" s="69">
        <v>0</v>
      </c>
      <c r="BJ694" s="70">
        <v>0</v>
      </c>
      <c r="BK694" s="71">
        <v>0</v>
      </c>
      <c r="BL694" s="71">
        <v>0</v>
      </c>
      <c r="BM694" s="71">
        <v>0</v>
      </c>
      <c r="BN694" s="72">
        <v>0</v>
      </c>
      <c r="BO694" s="151" t="e">
        <f t="shared" si="45"/>
        <v>#DIV/0!</v>
      </c>
      <c r="BP694" s="151" t="e">
        <f t="shared" si="46"/>
        <v>#DIV/0!</v>
      </c>
      <c r="BQ694" s="71">
        <v>0</v>
      </c>
      <c r="BR694" s="71">
        <v>0</v>
      </c>
      <c r="BS694" s="71">
        <v>0</v>
      </c>
      <c r="BT694" s="72">
        <v>0</v>
      </c>
      <c r="BU694" s="151" t="e">
        <f t="shared" si="43"/>
        <v>#DIV/0!</v>
      </c>
      <c r="BV694" s="151" t="e">
        <f t="shared" si="44"/>
        <v>#DIV/0!</v>
      </c>
    </row>
    <row r="695" ht="30" customHeight="1" spans="1:74">
      <c r="A695" s="55">
        <v>0</v>
      </c>
      <c r="B695" s="56">
        <v>0</v>
      </c>
      <c r="C695" s="57">
        <v>0</v>
      </c>
      <c r="D695" s="74"/>
      <c r="E695" s="74"/>
      <c r="F695" s="59" t="e">
        <f>VLOOKUP(E695,[1]库存!$B$1:$C$65536,2,FALSE)</f>
        <v>#N/A</v>
      </c>
      <c r="G695" s="59" t="e">
        <v>#N/A</v>
      </c>
      <c r="H695" s="74"/>
      <c r="I695" s="74"/>
      <c r="J695" s="202"/>
      <c r="K695" s="61"/>
      <c r="L695" s="62">
        <v>0</v>
      </c>
      <c r="M695" s="63">
        <v>0</v>
      </c>
      <c r="N695" s="64">
        <v>0</v>
      </c>
      <c r="O695" s="62">
        <v>0</v>
      </c>
      <c r="P695" s="65">
        <f t="shared" si="42"/>
        <v>0</v>
      </c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66"/>
      <c r="AU695" s="66"/>
      <c r="AV695" s="66"/>
      <c r="AW695" s="66"/>
      <c r="AX695" s="66"/>
      <c r="AY695" s="66"/>
      <c r="AZ695" s="66"/>
      <c r="BA695" s="66"/>
      <c r="BB695" s="66"/>
      <c r="BC695" s="66"/>
      <c r="BD695" s="66"/>
      <c r="BE695" s="67"/>
      <c r="BF695" s="67"/>
      <c r="BG695" s="68"/>
      <c r="BI695" s="69">
        <v>0</v>
      </c>
      <c r="BJ695" s="70">
        <v>0</v>
      </c>
      <c r="BK695" s="71">
        <v>0</v>
      </c>
      <c r="BL695" s="71">
        <v>0</v>
      </c>
      <c r="BM695" s="71">
        <v>0</v>
      </c>
      <c r="BN695" s="72">
        <v>0</v>
      </c>
      <c r="BO695" s="151" t="e">
        <f t="shared" si="45"/>
        <v>#DIV/0!</v>
      </c>
      <c r="BP695" s="151" t="e">
        <f t="shared" si="46"/>
        <v>#DIV/0!</v>
      </c>
      <c r="BQ695" s="71">
        <v>0</v>
      </c>
      <c r="BR695" s="71">
        <v>0</v>
      </c>
      <c r="BS695" s="71">
        <v>0</v>
      </c>
      <c r="BT695" s="72">
        <v>0</v>
      </c>
      <c r="BU695" s="151" t="e">
        <f t="shared" si="43"/>
        <v>#DIV/0!</v>
      </c>
      <c r="BV695" s="151" t="e">
        <f t="shared" si="44"/>
        <v>#DIV/0!</v>
      </c>
    </row>
    <row r="696" ht="30" customHeight="1" spans="1:74">
      <c r="A696" s="55" t="s">
        <v>211</v>
      </c>
      <c r="B696" s="56" t="s">
        <v>1057</v>
      </c>
      <c r="C696" s="57" t="s">
        <v>1058</v>
      </c>
      <c r="D696" s="59" t="s">
        <v>1170</v>
      </c>
      <c r="E696" s="59"/>
      <c r="F696" s="59" t="e">
        <f>VLOOKUP(E696,[1]库存!$B$1:$C$65536,2,FALSE)</f>
        <v>#N/A</v>
      </c>
      <c r="G696" s="59" t="e">
        <v>#N/A</v>
      </c>
      <c r="H696" s="59" t="s">
        <v>1205</v>
      </c>
      <c r="I696" s="59" t="s">
        <v>1206</v>
      </c>
      <c r="J696" s="63"/>
      <c r="K696" s="61"/>
      <c r="L696" s="62">
        <v>2</v>
      </c>
      <c r="M696" s="63">
        <v>1200</v>
      </c>
      <c r="N696" s="64">
        <v>16</v>
      </c>
      <c r="O696" s="62">
        <v>2</v>
      </c>
      <c r="P696" s="65">
        <f t="shared" si="42"/>
        <v>0</v>
      </c>
      <c r="Q696" s="66" t="s">
        <v>1207</v>
      </c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6"/>
      <c r="BB696" s="66"/>
      <c r="BC696" s="66"/>
      <c r="BD696" s="66"/>
      <c r="BE696" s="67"/>
      <c r="BF696" s="67"/>
      <c r="BG696" s="68"/>
      <c r="BI696" s="69">
        <v>0</v>
      </c>
      <c r="BJ696" s="70">
        <v>0</v>
      </c>
      <c r="BK696" s="71">
        <v>0</v>
      </c>
      <c r="BL696" s="71">
        <v>0</v>
      </c>
      <c r="BM696" s="71">
        <v>0</v>
      </c>
      <c r="BN696" s="72">
        <v>0</v>
      </c>
      <c r="BO696" s="151" t="e">
        <f t="shared" si="45"/>
        <v>#DIV/0!</v>
      </c>
      <c r="BP696" s="151" t="e">
        <f t="shared" si="46"/>
        <v>#DIV/0!</v>
      </c>
      <c r="BQ696" s="71">
        <v>0</v>
      </c>
      <c r="BR696" s="71">
        <v>0</v>
      </c>
      <c r="BS696" s="71">
        <v>0</v>
      </c>
      <c r="BT696" s="72">
        <v>0</v>
      </c>
      <c r="BU696" s="151" t="e">
        <f t="shared" si="43"/>
        <v>#DIV/0!</v>
      </c>
      <c r="BV696" s="151" t="e">
        <f t="shared" si="44"/>
        <v>#DIV/0!</v>
      </c>
    </row>
    <row r="697" ht="30" customHeight="1" spans="1:74">
      <c r="A697" s="55">
        <v>0</v>
      </c>
      <c r="B697" s="56">
        <v>0</v>
      </c>
      <c r="C697" s="57">
        <v>0</v>
      </c>
      <c r="D697" s="74"/>
      <c r="E697" s="74"/>
      <c r="F697" s="59" t="e">
        <f>VLOOKUP(E697,[1]库存!$B$1:$C$65536,2,FALSE)</f>
        <v>#N/A</v>
      </c>
      <c r="G697" s="59" t="e">
        <v>#N/A</v>
      </c>
      <c r="H697" s="74"/>
      <c r="I697" s="74"/>
      <c r="J697" s="87"/>
      <c r="K697" s="61"/>
      <c r="L697" s="62">
        <v>0</v>
      </c>
      <c r="M697" s="63">
        <v>0</v>
      </c>
      <c r="N697" s="64">
        <v>0</v>
      </c>
      <c r="O697" s="62">
        <v>0</v>
      </c>
      <c r="P697" s="65">
        <f t="shared" si="42"/>
        <v>0</v>
      </c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66"/>
      <c r="AU697" s="66"/>
      <c r="AV697" s="66"/>
      <c r="AW697" s="66"/>
      <c r="AX697" s="66"/>
      <c r="AY697" s="66"/>
      <c r="AZ697" s="66"/>
      <c r="BA697" s="66"/>
      <c r="BB697" s="66"/>
      <c r="BC697" s="66"/>
      <c r="BD697" s="66"/>
      <c r="BE697" s="67"/>
      <c r="BF697" s="67"/>
      <c r="BG697" s="68"/>
      <c r="BI697" s="69">
        <v>0</v>
      </c>
      <c r="BJ697" s="70">
        <v>0</v>
      </c>
      <c r="BK697" s="71">
        <v>0</v>
      </c>
      <c r="BL697" s="71">
        <v>0</v>
      </c>
      <c r="BM697" s="71">
        <v>0</v>
      </c>
      <c r="BN697" s="72">
        <v>0</v>
      </c>
      <c r="BO697" s="151" t="e">
        <f t="shared" si="45"/>
        <v>#DIV/0!</v>
      </c>
      <c r="BP697" s="151" t="e">
        <f t="shared" si="46"/>
        <v>#DIV/0!</v>
      </c>
      <c r="BQ697" s="71">
        <v>0</v>
      </c>
      <c r="BR697" s="71">
        <v>0</v>
      </c>
      <c r="BS697" s="71">
        <v>0</v>
      </c>
      <c r="BT697" s="72">
        <v>0</v>
      </c>
      <c r="BU697" s="151" t="e">
        <f t="shared" si="43"/>
        <v>#DIV/0!</v>
      </c>
      <c r="BV697" s="151" t="e">
        <f t="shared" si="44"/>
        <v>#DIV/0!</v>
      </c>
    </row>
    <row r="698" ht="30" customHeight="1" spans="1:74">
      <c r="A698" s="55" t="s">
        <v>211</v>
      </c>
      <c r="B698" s="56" t="s">
        <v>1057</v>
      </c>
      <c r="C698" s="57" t="s">
        <v>1058</v>
      </c>
      <c r="D698" s="59" t="s">
        <v>1170</v>
      </c>
      <c r="E698" s="59"/>
      <c r="F698" s="59" t="e">
        <f>VLOOKUP(E698,[1]库存!$B$1:$C$65536,2,FALSE)</f>
        <v>#N/A</v>
      </c>
      <c r="G698" s="59" t="e">
        <v>#N/A</v>
      </c>
      <c r="H698" s="59" t="s">
        <v>1208</v>
      </c>
      <c r="I698" s="59" t="s">
        <v>1209</v>
      </c>
      <c r="J698" s="201" t="s">
        <v>65</v>
      </c>
      <c r="K698" s="61"/>
      <c r="L698" s="62">
        <v>2</v>
      </c>
      <c r="M698" s="63">
        <v>1200</v>
      </c>
      <c r="N698" s="64">
        <v>16</v>
      </c>
      <c r="O698" s="62">
        <v>2</v>
      </c>
      <c r="P698" s="65">
        <f t="shared" si="42"/>
        <v>0</v>
      </c>
      <c r="Q698" s="66" t="s">
        <v>1210</v>
      </c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66"/>
      <c r="AU698" s="66"/>
      <c r="AV698" s="66"/>
      <c r="AW698" s="66"/>
      <c r="AX698" s="66"/>
      <c r="AY698" s="66"/>
      <c r="AZ698" s="66"/>
      <c r="BA698" s="66"/>
      <c r="BB698" s="66"/>
      <c r="BC698" s="66"/>
      <c r="BD698" s="66"/>
      <c r="BE698" s="67"/>
      <c r="BF698" s="67"/>
      <c r="BG698" s="68"/>
      <c r="BI698" s="69">
        <v>0</v>
      </c>
      <c r="BJ698" s="70">
        <v>0</v>
      </c>
      <c r="BK698" s="71">
        <v>0</v>
      </c>
      <c r="BL698" s="71">
        <v>0</v>
      </c>
      <c r="BM698" s="71">
        <v>0</v>
      </c>
      <c r="BN698" s="72">
        <v>0</v>
      </c>
      <c r="BO698" s="151" t="e">
        <f t="shared" si="45"/>
        <v>#DIV/0!</v>
      </c>
      <c r="BP698" s="151" t="e">
        <f t="shared" si="46"/>
        <v>#DIV/0!</v>
      </c>
      <c r="BQ698" s="71">
        <v>0</v>
      </c>
      <c r="BR698" s="71">
        <v>0</v>
      </c>
      <c r="BS698" s="71">
        <v>0</v>
      </c>
      <c r="BT698" s="72">
        <v>0</v>
      </c>
      <c r="BU698" s="151" t="e">
        <f t="shared" si="43"/>
        <v>#DIV/0!</v>
      </c>
      <c r="BV698" s="151" t="e">
        <f t="shared" si="44"/>
        <v>#DIV/0!</v>
      </c>
    </row>
    <row r="699" ht="30" customHeight="1" spans="1:74">
      <c r="A699" s="55">
        <v>0</v>
      </c>
      <c r="B699" s="56">
        <v>0</v>
      </c>
      <c r="C699" s="57">
        <v>0</v>
      </c>
      <c r="D699" s="74"/>
      <c r="E699" s="74"/>
      <c r="F699" s="59" t="e">
        <f>VLOOKUP(E699,[1]库存!$B$1:$C$65536,2,FALSE)</f>
        <v>#N/A</v>
      </c>
      <c r="G699" s="59" t="e">
        <v>#N/A</v>
      </c>
      <c r="H699" s="74"/>
      <c r="I699" s="74"/>
      <c r="J699" s="202"/>
      <c r="K699" s="61"/>
      <c r="L699" s="62">
        <v>0</v>
      </c>
      <c r="M699" s="63">
        <v>0</v>
      </c>
      <c r="N699" s="64">
        <v>0</v>
      </c>
      <c r="O699" s="62">
        <v>0</v>
      </c>
      <c r="P699" s="65">
        <f t="shared" si="42"/>
        <v>0</v>
      </c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66"/>
      <c r="AU699" s="66"/>
      <c r="AV699" s="66"/>
      <c r="AW699" s="66"/>
      <c r="AX699" s="66"/>
      <c r="AY699" s="66"/>
      <c r="AZ699" s="66"/>
      <c r="BA699" s="66"/>
      <c r="BB699" s="66"/>
      <c r="BC699" s="66"/>
      <c r="BD699" s="66"/>
      <c r="BE699" s="67"/>
      <c r="BF699" s="67"/>
      <c r="BG699" s="68"/>
      <c r="BI699" s="69">
        <v>0</v>
      </c>
      <c r="BJ699" s="70">
        <v>0</v>
      </c>
      <c r="BK699" s="71">
        <v>0</v>
      </c>
      <c r="BL699" s="71">
        <v>0</v>
      </c>
      <c r="BM699" s="71">
        <v>0</v>
      </c>
      <c r="BN699" s="72">
        <v>0</v>
      </c>
      <c r="BO699" s="151" t="e">
        <f t="shared" si="45"/>
        <v>#DIV/0!</v>
      </c>
      <c r="BP699" s="151" t="e">
        <f t="shared" si="46"/>
        <v>#DIV/0!</v>
      </c>
      <c r="BQ699" s="71">
        <v>0</v>
      </c>
      <c r="BR699" s="71">
        <v>0</v>
      </c>
      <c r="BS699" s="71">
        <v>0</v>
      </c>
      <c r="BT699" s="72">
        <v>0</v>
      </c>
      <c r="BU699" s="151" t="e">
        <f t="shared" si="43"/>
        <v>#DIV/0!</v>
      </c>
      <c r="BV699" s="151" t="e">
        <f t="shared" si="44"/>
        <v>#DIV/0!</v>
      </c>
    </row>
    <row r="700" ht="30" customHeight="1" spans="1:74">
      <c r="A700" s="55">
        <v>0</v>
      </c>
      <c r="B700" s="56" t="s">
        <v>1057</v>
      </c>
      <c r="C700" s="57" t="s">
        <v>1058</v>
      </c>
      <c r="D700" s="59" t="s">
        <v>1170</v>
      </c>
      <c r="E700" s="59"/>
      <c r="F700" s="59" t="e">
        <f>VLOOKUP(E700,[1]库存!$B$1:$C$65536,2,FALSE)</f>
        <v>#N/A</v>
      </c>
      <c r="G700" s="59" t="e">
        <v>#N/A</v>
      </c>
      <c r="H700" s="59" t="s">
        <v>1211</v>
      </c>
      <c r="I700" s="59" t="s">
        <v>1212</v>
      </c>
      <c r="J700" s="63"/>
      <c r="K700" s="61"/>
      <c r="L700" s="62">
        <v>2</v>
      </c>
      <c r="M700" s="63">
        <v>500</v>
      </c>
      <c r="N700" s="64">
        <v>14</v>
      </c>
      <c r="O700" s="62">
        <v>2</v>
      </c>
      <c r="P700" s="65">
        <f t="shared" si="42"/>
        <v>0</v>
      </c>
      <c r="Q700" s="66" t="s">
        <v>1207</v>
      </c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66"/>
      <c r="AU700" s="66"/>
      <c r="AV700" s="66"/>
      <c r="AW700" s="66"/>
      <c r="AX700" s="66"/>
      <c r="AY700" s="66"/>
      <c r="AZ700" s="66"/>
      <c r="BA700" s="66"/>
      <c r="BB700" s="66"/>
      <c r="BC700" s="66"/>
      <c r="BD700" s="66"/>
      <c r="BE700" s="67"/>
      <c r="BF700" s="67"/>
      <c r="BG700" s="68"/>
      <c r="BI700" s="69">
        <v>0</v>
      </c>
      <c r="BJ700" s="70">
        <v>0</v>
      </c>
      <c r="BK700" s="71">
        <v>0</v>
      </c>
      <c r="BL700" s="71">
        <v>0</v>
      </c>
      <c r="BM700" s="71">
        <v>0</v>
      </c>
      <c r="BN700" s="72">
        <v>0</v>
      </c>
      <c r="BO700" s="151" t="e">
        <f t="shared" si="45"/>
        <v>#DIV/0!</v>
      </c>
      <c r="BP700" s="151" t="e">
        <f t="shared" si="46"/>
        <v>#DIV/0!</v>
      </c>
      <c r="BQ700" s="71">
        <v>0</v>
      </c>
      <c r="BR700" s="71">
        <v>0</v>
      </c>
      <c r="BS700" s="71">
        <v>0</v>
      </c>
      <c r="BT700" s="72">
        <v>0</v>
      </c>
      <c r="BU700" s="151" t="e">
        <f t="shared" si="43"/>
        <v>#DIV/0!</v>
      </c>
      <c r="BV700" s="151" t="e">
        <f t="shared" si="44"/>
        <v>#DIV/0!</v>
      </c>
    </row>
    <row r="701" ht="30" customHeight="1" spans="1:74">
      <c r="A701" s="55">
        <v>0</v>
      </c>
      <c r="B701" s="56">
        <v>0</v>
      </c>
      <c r="C701" s="57">
        <v>0</v>
      </c>
      <c r="D701" s="74"/>
      <c r="E701" s="74"/>
      <c r="F701" s="59" t="e">
        <f>VLOOKUP(E701,[1]库存!$B$1:$C$65536,2,FALSE)</f>
        <v>#N/A</v>
      </c>
      <c r="G701" s="59" t="e">
        <v>#N/A</v>
      </c>
      <c r="H701" s="74"/>
      <c r="I701" s="74"/>
      <c r="J701" s="87"/>
      <c r="K701" s="61"/>
      <c r="L701" s="62">
        <v>0</v>
      </c>
      <c r="M701" s="63">
        <v>0</v>
      </c>
      <c r="N701" s="64">
        <v>0</v>
      </c>
      <c r="O701" s="62">
        <v>0</v>
      </c>
      <c r="P701" s="65">
        <f t="shared" si="42"/>
        <v>0</v>
      </c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66"/>
      <c r="AU701" s="66"/>
      <c r="AV701" s="66"/>
      <c r="AW701" s="66"/>
      <c r="AX701" s="66"/>
      <c r="AY701" s="66"/>
      <c r="AZ701" s="66"/>
      <c r="BA701" s="66"/>
      <c r="BB701" s="66"/>
      <c r="BC701" s="66"/>
      <c r="BD701" s="66"/>
      <c r="BE701" s="67"/>
      <c r="BF701" s="67"/>
      <c r="BG701" s="68"/>
      <c r="BI701" s="69">
        <v>0</v>
      </c>
      <c r="BJ701" s="70">
        <v>0</v>
      </c>
      <c r="BK701" s="71">
        <v>0</v>
      </c>
      <c r="BL701" s="71">
        <v>0</v>
      </c>
      <c r="BM701" s="71">
        <v>0</v>
      </c>
      <c r="BN701" s="72">
        <v>0</v>
      </c>
      <c r="BO701" s="151" t="e">
        <f t="shared" si="45"/>
        <v>#DIV/0!</v>
      </c>
      <c r="BP701" s="151" t="e">
        <f t="shared" si="46"/>
        <v>#DIV/0!</v>
      </c>
      <c r="BQ701" s="71">
        <v>0</v>
      </c>
      <c r="BR701" s="71">
        <v>0</v>
      </c>
      <c r="BS701" s="71">
        <v>0</v>
      </c>
      <c r="BT701" s="72">
        <v>0</v>
      </c>
      <c r="BU701" s="151" t="e">
        <f t="shared" si="43"/>
        <v>#DIV/0!</v>
      </c>
      <c r="BV701" s="151" t="e">
        <f t="shared" si="44"/>
        <v>#DIV/0!</v>
      </c>
    </row>
    <row r="702" ht="30" customHeight="1" spans="1:74">
      <c r="A702" s="55">
        <v>0</v>
      </c>
      <c r="B702" s="56" t="s">
        <v>1057</v>
      </c>
      <c r="C702" s="57" t="s">
        <v>1058</v>
      </c>
      <c r="D702" s="59" t="s">
        <v>1170</v>
      </c>
      <c r="E702" s="59"/>
      <c r="F702" s="59" t="e">
        <f>VLOOKUP(E702,[1]库存!$B$1:$C$65536,2,FALSE)</f>
        <v>#N/A</v>
      </c>
      <c r="G702" s="59" t="e">
        <v>#N/A</v>
      </c>
      <c r="H702" s="59" t="s">
        <v>1213</v>
      </c>
      <c r="I702" s="59" t="s">
        <v>1214</v>
      </c>
      <c r="J702" s="63"/>
      <c r="K702" s="61"/>
      <c r="L702" s="62">
        <v>2</v>
      </c>
      <c r="M702" s="63">
        <v>500</v>
      </c>
      <c r="N702" s="64">
        <v>14</v>
      </c>
      <c r="O702" s="62">
        <v>2</v>
      </c>
      <c r="P702" s="65">
        <f t="shared" si="42"/>
        <v>0</v>
      </c>
      <c r="Q702" s="66" t="s">
        <v>1215</v>
      </c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66"/>
      <c r="AU702" s="66"/>
      <c r="AV702" s="66"/>
      <c r="AW702" s="66"/>
      <c r="AX702" s="66"/>
      <c r="AY702" s="66"/>
      <c r="AZ702" s="66"/>
      <c r="BA702" s="66"/>
      <c r="BB702" s="66"/>
      <c r="BC702" s="66"/>
      <c r="BD702" s="66"/>
      <c r="BE702" s="67"/>
      <c r="BF702" s="67"/>
      <c r="BG702" s="68"/>
      <c r="BI702" s="69">
        <v>0</v>
      </c>
      <c r="BJ702" s="70">
        <v>0</v>
      </c>
      <c r="BK702" s="71">
        <v>0</v>
      </c>
      <c r="BL702" s="71">
        <v>0</v>
      </c>
      <c r="BM702" s="71">
        <v>0</v>
      </c>
      <c r="BN702" s="72">
        <v>0</v>
      </c>
      <c r="BO702" s="151" t="e">
        <f t="shared" si="45"/>
        <v>#DIV/0!</v>
      </c>
      <c r="BP702" s="151" t="e">
        <f t="shared" si="46"/>
        <v>#DIV/0!</v>
      </c>
      <c r="BQ702" s="71">
        <v>0</v>
      </c>
      <c r="BR702" s="71">
        <v>0</v>
      </c>
      <c r="BS702" s="71">
        <v>0</v>
      </c>
      <c r="BT702" s="72">
        <v>0</v>
      </c>
      <c r="BU702" s="151" t="e">
        <f t="shared" si="43"/>
        <v>#DIV/0!</v>
      </c>
      <c r="BV702" s="151" t="e">
        <f t="shared" si="44"/>
        <v>#DIV/0!</v>
      </c>
    </row>
    <row r="703" ht="30" customHeight="1" spans="1:74">
      <c r="A703" s="55">
        <v>0</v>
      </c>
      <c r="B703" s="56">
        <v>0</v>
      </c>
      <c r="C703" s="57">
        <v>0</v>
      </c>
      <c r="D703" s="74"/>
      <c r="E703" s="74"/>
      <c r="F703" s="59" t="e">
        <f>VLOOKUP(E703,[1]库存!$B$1:$C$65536,2,FALSE)</f>
        <v>#N/A</v>
      </c>
      <c r="G703" s="59" t="e">
        <v>#N/A</v>
      </c>
      <c r="H703" s="74"/>
      <c r="I703" s="74"/>
      <c r="J703" s="87"/>
      <c r="K703" s="61"/>
      <c r="L703" s="62">
        <v>0</v>
      </c>
      <c r="M703" s="63">
        <v>0</v>
      </c>
      <c r="N703" s="64">
        <v>0</v>
      </c>
      <c r="O703" s="62">
        <v>0</v>
      </c>
      <c r="P703" s="65">
        <f t="shared" si="42"/>
        <v>0</v>
      </c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66"/>
      <c r="AU703" s="66"/>
      <c r="AV703" s="66"/>
      <c r="AW703" s="66"/>
      <c r="AX703" s="66"/>
      <c r="AY703" s="66"/>
      <c r="AZ703" s="66"/>
      <c r="BA703" s="66"/>
      <c r="BB703" s="66"/>
      <c r="BC703" s="66"/>
      <c r="BD703" s="66"/>
      <c r="BE703" s="67"/>
      <c r="BF703" s="67"/>
      <c r="BG703" s="68"/>
      <c r="BI703" s="69">
        <v>0</v>
      </c>
      <c r="BJ703" s="70">
        <v>0</v>
      </c>
      <c r="BK703" s="71">
        <v>0</v>
      </c>
      <c r="BL703" s="71">
        <v>0</v>
      </c>
      <c r="BM703" s="71">
        <v>0</v>
      </c>
      <c r="BN703" s="72">
        <v>0</v>
      </c>
      <c r="BO703" s="151" t="e">
        <f t="shared" si="45"/>
        <v>#DIV/0!</v>
      </c>
      <c r="BP703" s="151" t="e">
        <f t="shared" si="46"/>
        <v>#DIV/0!</v>
      </c>
      <c r="BQ703" s="71">
        <v>0</v>
      </c>
      <c r="BR703" s="71">
        <v>0</v>
      </c>
      <c r="BS703" s="71">
        <v>0</v>
      </c>
      <c r="BT703" s="72">
        <v>0</v>
      </c>
      <c r="BU703" s="151" t="e">
        <f t="shared" si="43"/>
        <v>#DIV/0!</v>
      </c>
      <c r="BV703" s="151" t="e">
        <f t="shared" si="44"/>
        <v>#DIV/0!</v>
      </c>
    </row>
    <row r="704" ht="30" customHeight="1" spans="1:74">
      <c r="A704" s="55">
        <v>0</v>
      </c>
      <c r="B704" s="56" t="s">
        <v>1057</v>
      </c>
      <c r="C704" s="57" t="s">
        <v>1058</v>
      </c>
      <c r="D704" s="59" t="s">
        <v>1170</v>
      </c>
      <c r="E704" s="59"/>
      <c r="F704" s="59" t="e">
        <f>VLOOKUP(E704,[1]库存!$B$1:$C$65536,2,FALSE)</f>
        <v>#N/A</v>
      </c>
      <c r="G704" s="59" t="e">
        <v>#N/A</v>
      </c>
      <c r="H704" s="59" t="s">
        <v>1216</v>
      </c>
      <c r="I704" s="59" t="s">
        <v>1217</v>
      </c>
      <c r="J704" s="63"/>
      <c r="K704" s="61"/>
      <c r="L704" s="62">
        <v>2</v>
      </c>
      <c r="M704" s="63">
        <v>500</v>
      </c>
      <c r="N704" s="64">
        <v>14</v>
      </c>
      <c r="O704" s="62">
        <v>2</v>
      </c>
      <c r="P704" s="65">
        <f t="shared" si="42"/>
        <v>0</v>
      </c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7"/>
      <c r="BF704" s="67"/>
      <c r="BG704" s="68"/>
      <c r="BI704" s="69">
        <v>0</v>
      </c>
      <c r="BJ704" s="70">
        <v>0</v>
      </c>
      <c r="BK704" s="71">
        <v>0</v>
      </c>
      <c r="BL704" s="71">
        <v>0</v>
      </c>
      <c r="BM704" s="71">
        <v>0</v>
      </c>
      <c r="BN704" s="72">
        <v>0</v>
      </c>
      <c r="BO704" s="151" t="e">
        <f t="shared" si="45"/>
        <v>#DIV/0!</v>
      </c>
      <c r="BP704" s="151" t="e">
        <f t="shared" si="46"/>
        <v>#DIV/0!</v>
      </c>
      <c r="BQ704" s="71">
        <v>0</v>
      </c>
      <c r="BR704" s="71">
        <v>0</v>
      </c>
      <c r="BS704" s="71">
        <v>0</v>
      </c>
      <c r="BT704" s="72">
        <v>0</v>
      </c>
      <c r="BU704" s="151" t="e">
        <f t="shared" si="43"/>
        <v>#DIV/0!</v>
      </c>
      <c r="BV704" s="151" t="e">
        <f t="shared" si="44"/>
        <v>#DIV/0!</v>
      </c>
    </row>
    <row r="705" ht="30" customHeight="1" spans="1:75 16331:16349">
      <c r="A705" s="55">
        <v>0</v>
      </c>
      <c r="B705" s="56">
        <v>0</v>
      </c>
      <c r="C705" s="57">
        <v>0</v>
      </c>
      <c r="D705" s="74"/>
      <c r="E705" s="74"/>
      <c r="F705" s="59" t="e">
        <f>VLOOKUP(E705,[1]库存!$B$1:$C$65536,2,FALSE)</f>
        <v>#N/A</v>
      </c>
      <c r="G705" s="59" t="e">
        <v>#N/A</v>
      </c>
      <c r="H705" s="74"/>
      <c r="I705" s="74"/>
      <c r="J705" s="87"/>
      <c r="K705" s="61"/>
      <c r="L705" s="62">
        <v>0</v>
      </c>
      <c r="M705" s="63">
        <v>0</v>
      </c>
      <c r="N705" s="64">
        <v>0</v>
      </c>
      <c r="O705" s="62">
        <v>0</v>
      </c>
      <c r="P705" s="65">
        <f t="shared" si="42"/>
        <v>0</v>
      </c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  <c r="BD705" s="66"/>
      <c r="BE705" s="67"/>
      <c r="BF705" s="67"/>
      <c r="BG705" s="68"/>
      <c r="BI705" s="69">
        <v>0</v>
      </c>
      <c r="BJ705" s="70">
        <v>0</v>
      </c>
      <c r="BK705" s="71">
        <v>0</v>
      </c>
      <c r="BL705" s="71">
        <v>0</v>
      </c>
      <c r="BM705" s="71">
        <v>0</v>
      </c>
      <c r="BN705" s="72">
        <v>0</v>
      </c>
      <c r="BO705" s="151" t="e">
        <f t="shared" si="45"/>
        <v>#DIV/0!</v>
      </c>
      <c r="BP705" s="151" t="e">
        <f t="shared" si="46"/>
        <v>#DIV/0!</v>
      </c>
      <c r="BQ705" s="71">
        <v>0</v>
      </c>
      <c r="BR705" s="71">
        <v>0</v>
      </c>
      <c r="BS705" s="71">
        <v>0</v>
      </c>
      <c r="BT705" s="72">
        <v>0</v>
      </c>
      <c r="BU705" s="151" t="e">
        <f t="shared" si="43"/>
        <v>#DIV/0!</v>
      </c>
      <c r="BV705" s="151" t="e">
        <f t="shared" si="44"/>
        <v>#DIV/0!</v>
      </c>
    </row>
    <row r="706" ht="30" customHeight="1" spans="1:75 16331:16349">
      <c r="A706" s="55">
        <v>0</v>
      </c>
      <c r="B706" s="56" t="s">
        <v>1057</v>
      </c>
      <c r="C706" s="57" t="s">
        <v>1058</v>
      </c>
      <c r="D706" s="59" t="s">
        <v>1170</v>
      </c>
      <c r="E706" s="59"/>
      <c r="F706" s="59" t="e">
        <f>VLOOKUP(E706,[1]库存!$B$1:$C$65536,2,FALSE)</f>
        <v>#N/A</v>
      </c>
      <c r="G706" s="59" t="e">
        <v>#N/A</v>
      </c>
      <c r="H706" s="59" t="s">
        <v>1218</v>
      </c>
      <c r="I706" s="59" t="s">
        <v>1219</v>
      </c>
      <c r="J706" s="63"/>
      <c r="K706" s="61"/>
      <c r="L706" s="62">
        <v>2</v>
      </c>
      <c r="M706" s="63">
        <v>500</v>
      </c>
      <c r="N706" s="64">
        <v>14</v>
      </c>
      <c r="O706" s="62">
        <v>2</v>
      </c>
      <c r="P706" s="65">
        <f t="shared" si="42"/>
        <v>0</v>
      </c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  <c r="BD706" s="66"/>
      <c r="BE706" s="67"/>
      <c r="BF706" s="67"/>
      <c r="BG706" s="68"/>
      <c r="BI706" s="69">
        <v>0</v>
      </c>
      <c r="BJ706" s="70">
        <v>0</v>
      </c>
      <c r="BK706" s="71">
        <v>0</v>
      </c>
      <c r="BL706" s="71">
        <v>0</v>
      </c>
      <c r="BM706" s="71">
        <v>0</v>
      </c>
      <c r="BN706" s="72">
        <v>0</v>
      </c>
      <c r="BO706" s="151" t="e">
        <f t="shared" si="45"/>
        <v>#DIV/0!</v>
      </c>
      <c r="BP706" s="151" t="e">
        <f t="shared" si="46"/>
        <v>#DIV/0!</v>
      </c>
      <c r="BQ706" s="71">
        <v>0</v>
      </c>
      <c r="BR706" s="71">
        <v>0</v>
      </c>
      <c r="BS706" s="71">
        <v>0</v>
      </c>
      <c r="BT706" s="72">
        <v>0</v>
      </c>
      <c r="BU706" s="151" t="e">
        <f t="shared" si="43"/>
        <v>#DIV/0!</v>
      </c>
      <c r="BV706" s="151" t="e">
        <f t="shared" si="44"/>
        <v>#DIV/0!</v>
      </c>
    </row>
    <row r="707" ht="30" customHeight="1" spans="1:75 16331:16349">
      <c r="A707" s="55">
        <v>0</v>
      </c>
      <c r="B707" s="56">
        <v>0</v>
      </c>
      <c r="C707" s="57">
        <v>0</v>
      </c>
      <c r="D707" s="74"/>
      <c r="E707" s="74"/>
      <c r="F707" s="59" t="e">
        <f>VLOOKUP(E707,[1]库存!$B$1:$C$65536,2,FALSE)</f>
        <v>#N/A</v>
      </c>
      <c r="G707" s="59" t="e">
        <v>#N/A</v>
      </c>
      <c r="H707" s="74"/>
      <c r="I707" s="74"/>
      <c r="J707" s="87"/>
      <c r="K707" s="61"/>
      <c r="L707" s="62">
        <v>0</v>
      </c>
      <c r="M707" s="63">
        <v>0</v>
      </c>
      <c r="N707" s="64">
        <v>0</v>
      </c>
      <c r="O707" s="62">
        <v>0</v>
      </c>
      <c r="P707" s="65">
        <f t="shared" si="42"/>
        <v>0</v>
      </c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  <c r="BD707" s="66"/>
      <c r="BE707" s="67"/>
      <c r="BF707" s="67"/>
      <c r="BG707" s="68"/>
      <c r="BI707" s="69">
        <v>0</v>
      </c>
      <c r="BJ707" s="70">
        <v>0</v>
      </c>
      <c r="BK707" s="71">
        <v>0</v>
      </c>
      <c r="BL707" s="71">
        <v>0</v>
      </c>
      <c r="BM707" s="71">
        <v>0</v>
      </c>
      <c r="BN707" s="72">
        <v>0</v>
      </c>
      <c r="BO707" s="151" t="e">
        <f t="shared" si="45"/>
        <v>#DIV/0!</v>
      </c>
      <c r="BP707" s="151" t="e">
        <f t="shared" si="46"/>
        <v>#DIV/0!</v>
      </c>
      <c r="BQ707" s="71">
        <v>0</v>
      </c>
      <c r="BR707" s="71">
        <v>0</v>
      </c>
      <c r="BS707" s="71">
        <v>0</v>
      </c>
      <c r="BT707" s="72">
        <v>0</v>
      </c>
      <c r="BU707" s="151" t="e">
        <f t="shared" si="43"/>
        <v>#DIV/0!</v>
      </c>
      <c r="BV707" s="151" t="e">
        <f t="shared" si="44"/>
        <v>#DIV/0!</v>
      </c>
    </row>
    <row r="708" ht="30" customHeight="1" spans="1:75 16331:16349">
      <c r="A708" s="55">
        <v>0</v>
      </c>
      <c r="B708" s="56" t="s">
        <v>1057</v>
      </c>
      <c r="C708" s="57" t="s">
        <v>1058</v>
      </c>
      <c r="D708" s="59" t="s">
        <v>1170</v>
      </c>
      <c r="E708" s="59" t="s">
        <v>1220</v>
      </c>
      <c r="F708" s="59" t="e">
        <f>VLOOKUP(E708,[1]库存!$B$1:$C$65536,2,FALSE)</f>
        <v>#N/A</v>
      </c>
      <c r="G708" s="59" t="e">
        <v>#N/A</v>
      </c>
      <c r="H708" s="59" t="s">
        <v>1221</v>
      </c>
      <c r="I708" s="59" t="s">
        <v>1222</v>
      </c>
      <c r="J708" s="97" t="s">
        <v>1223</v>
      </c>
      <c r="K708" s="61"/>
      <c r="L708" s="62">
        <v>2</v>
      </c>
      <c r="M708" s="63">
        <v>700</v>
      </c>
      <c r="N708" s="64">
        <v>19</v>
      </c>
      <c r="O708" s="62">
        <v>2</v>
      </c>
      <c r="P708" s="65">
        <f t="shared" si="42"/>
        <v>0</v>
      </c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  <c r="BD708" s="66"/>
      <c r="BE708" s="67"/>
      <c r="BF708" s="67"/>
      <c r="BG708" s="68"/>
      <c r="BI708" s="69">
        <v>0</v>
      </c>
      <c r="BJ708" s="70">
        <v>0</v>
      </c>
      <c r="BK708" s="71">
        <v>0</v>
      </c>
      <c r="BL708" s="71">
        <v>0</v>
      </c>
      <c r="BM708" s="71">
        <v>0</v>
      </c>
      <c r="BN708" s="72">
        <v>0</v>
      </c>
      <c r="BO708" s="151" t="e">
        <f t="shared" si="45"/>
        <v>#DIV/0!</v>
      </c>
      <c r="BP708" s="151" t="e">
        <f t="shared" si="46"/>
        <v>#DIV/0!</v>
      </c>
      <c r="BQ708" s="71">
        <v>0</v>
      </c>
      <c r="BR708" s="71">
        <v>0</v>
      </c>
      <c r="BS708" s="71">
        <v>0</v>
      </c>
      <c r="BT708" s="72">
        <v>0</v>
      </c>
      <c r="BU708" s="73"/>
      <c r="BV708" s="73"/>
    </row>
    <row r="709" ht="30" customHeight="1" spans="1:75 16331:16349">
      <c r="A709" s="55">
        <v>0</v>
      </c>
      <c r="B709" s="56">
        <v>0</v>
      </c>
      <c r="C709" s="57">
        <v>0</v>
      </c>
      <c r="D709" s="74"/>
      <c r="E709" s="74"/>
      <c r="F709" s="59" t="e">
        <f>VLOOKUP(E709,[1]库存!$B$1:$C$65536,2,FALSE)</f>
        <v>#N/A</v>
      </c>
      <c r="G709" s="59" t="e">
        <v>#N/A</v>
      </c>
      <c r="H709" s="74"/>
      <c r="I709" s="74"/>
      <c r="J709" s="98"/>
      <c r="K709" s="61"/>
      <c r="L709" s="62">
        <v>0</v>
      </c>
      <c r="M709" s="63">
        <v>0</v>
      </c>
      <c r="N709" s="64">
        <v>0</v>
      </c>
      <c r="O709" s="62">
        <v>0</v>
      </c>
      <c r="P709" s="65">
        <f t="shared" si="42"/>
        <v>0</v>
      </c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  <c r="BD709" s="66"/>
      <c r="BE709" s="67"/>
      <c r="BF709" s="67"/>
      <c r="BG709" s="68"/>
      <c r="BI709" s="69">
        <v>0</v>
      </c>
      <c r="BJ709" s="70">
        <v>0</v>
      </c>
      <c r="BK709" s="71">
        <v>0</v>
      </c>
      <c r="BL709" s="71">
        <v>0</v>
      </c>
      <c r="BM709" s="71">
        <v>0</v>
      </c>
      <c r="BN709" s="72">
        <v>0</v>
      </c>
      <c r="BO709" s="151" t="e">
        <f t="shared" si="45"/>
        <v>#DIV/0!</v>
      </c>
      <c r="BP709" s="151" t="e">
        <f t="shared" si="46"/>
        <v>#DIV/0!</v>
      </c>
      <c r="BQ709" s="71">
        <v>0</v>
      </c>
      <c r="BR709" s="71">
        <v>0</v>
      </c>
      <c r="BS709" s="71">
        <v>0</v>
      </c>
      <c r="BT709" s="72">
        <v>0</v>
      </c>
      <c r="BU709" s="73"/>
      <c r="BV709" s="73"/>
    </row>
    <row r="710" ht="30" customHeight="1" spans="1:75 16331:16349">
      <c r="A710" s="55">
        <v>0</v>
      </c>
      <c r="B710" s="56">
        <v>0</v>
      </c>
      <c r="C710" s="57">
        <v>0</v>
      </c>
      <c r="D710" s="88"/>
      <c r="E710" s="88"/>
      <c r="F710" s="59" t="e">
        <f>VLOOKUP(E710,[1]库存!$B$1:$C$65536,2,FALSE)</f>
        <v>#N/A</v>
      </c>
      <c r="G710" s="59" t="e">
        <v>#N/A</v>
      </c>
      <c r="H710" s="89"/>
      <c r="I710" s="88"/>
      <c r="J710" s="90"/>
      <c r="K710" s="61"/>
      <c r="L710" s="62">
        <v>0</v>
      </c>
      <c r="M710" s="63">
        <v>0</v>
      </c>
      <c r="N710" s="64">
        <v>0</v>
      </c>
      <c r="O710" s="62">
        <v>0</v>
      </c>
      <c r="P710" s="65">
        <f t="shared" ref="P710:P773" si="47">SUM(AG710:AJ710)</f>
        <v>0</v>
      </c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  <c r="BD710" s="66"/>
      <c r="BE710" s="67"/>
      <c r="BF710" s="67"/>
      <c r="BG710" s="68"/>
      <c r="BI710" s="69">
        <v>0</v>
      </c>
      <c r="BJ710" s="70">
        <v>0</v>
      </c>
      <c r="BK710" s="71">
        <v>0</v>
      </c>
      <c r="BL710" s="71">
        <v>0</v>
      </c>
      <c r="BM710" s="71">
        <v>0</v>
      </c>
      <c r="BN710" s="72">
        <v>0</v>
      </c>
      <c r="BO710" s="151" t="e">
        <f t="shared" si="45"/>
        <v>#DIV/0!</v>
      </c>
      <c r="BP710" s="151" t="e">
        <f t="shared" si="46"/>
        <v>#DIV/0!</v>
      </c>
      <c r="BQ710" s="71">
        <v>0</v>
      </c>
      <c r="BR710" s="71">
        <v>0</v>
      </c>
      <c r="BS710" s="71">
        <v>0</v>
      </c>
      <c r="BT710" s="72">
        <v>0</v>
      </c>
      <c r="BU710" s="73"/>
      <c r="BV710" s="73"/>
    </row>
    <row r="711" ht="30" customHeight="1" spans="1:75 16331:16349">
      <c r="A711" s="55">
        <v>0</v>
      </c>
      <c r="B711" s="56" t="s">
        <v>1057</v>
      </c>
      <c r="C711" s="57" t="s">
        <v>1124</v>
      </c>
      <c r="D711" s="91" t="s">
        <v>1224</v>
      </c>
      <c r="E711" s="91" t="s">
        <v>1225</v>
      </c>
      <c r="F711" s="91" t="str">
        <f>VLOOKUP(E711,[1]库存!$B$1:$C$65536,2,FALSE)</f>
        <v>GAC F03 BAB</v>
      </c>
      <c r="G711" s="91" t="s">
        <v>1226</v>
      </c>
      <c r="H711" s="91" t="s">
        <v>1227</v>
      </c>
      <c r="I711" s="91" t="s">
        <v>1225</v>
      </c>
      <c r="J711" s="63"/>
      <c r="K711" s="61"/>
      <c r="L711" s="62">
        <v>2</v>
      </c>
      <c r="M711" s="63">
        <v>1450</v>
      </c>
      <c r="N711" s="64">
        <v>15</v>
      </c>
      <c r="O711" s="62">
        <v>2</v>
      </c>
      <c r="P711" s="65">
        <f t="shared" si="47"/>
        <v>0</v>
      </c>
      <c r="Q711" s="103"/>
      <c r="R711" s="66"/>
      <c r="S711" s="103"/>
      <c r="T711" s="66"/>
      <c r="U711" s="103"/>
      <c r="V711" s="66"/>
      <c r="W711" s="103"/>
      <c r="X711" s="66"/>
      <c r="Y711" s="103"/>
      <c r="Z711" s="66"/>
      <c r="AA711" s="103"/>
      <c r="AB711" s="66"/>
      <c r="AC711" s="103"/>
      <c r="AD711" s="66"/>
      <c r="AE711" s="103"/>
      <c r="AF711" s="66"/>
      <c r="AG711" s="103"/>
      <c r="AH711" s="66"/>
      <c r="AI711" s="103"/>
      <c r="AJ711" s="66"/>
      <c r="AK711" s="103"/>
      <c r="AL711" s="66"/>
      <c r="AM711" s="103"/>
      <c r="AN711" s="66"/>
      <c r="AO711" s="103"/>
      <c r="AP711" s="66"/>
      <c r="AQ711" s="103"/>
      <c r="AR711" s="66"/>
      <c r="AS711" s="103"/>
      <c r="AT711" s="66"/>
      <c r="AU711" s="103"/>
      <c r="AV711" s="66"/>
      <c r="AW711" s="103"/>
      <c r="AX711" s="66"/>
      <c r="AY711" s="103"/>
      <c r="AZ711" s="66"/>
      <c r="BA711" s="103"/>
      <c r="BB711" s="66"/>
      <c r="BC711" s="103"/>
      <c r="BD711" s="66"/>
      <c r="BE711" s="67"/>
      <c r="BF711" s="67"/>
      <c r="BG711" s="68"/>
      <c r="BI711" s="69">
        <v>0</v>
      </c>
      <c r="BJ711" s="70">
        <v>0</v>
      </c>
      <c r="BK711" s="71">
        <v>0</v>
      </c>
      <c r="BL711" s="71">
        <v>0</v>
      </c>
      <c r="BM711" s="71">
        <v>0</v>
      </c>
      <c r="BN711" s="72">
        <v>0</v>
      </c>
      <c r="BO711" s="151" t="e">
        <f t="shared" si="45"/>
        <v>#DIV/0!</v>
      </c>
      <c r="BP711" s="151" t="e">
        <f t="shared" si="46"/>
        <v>#DIV/0!</v>
      </c>
      <c r="BQ711" s="71">
        <v>0</v>
      </c>
      <c r="BR711" s="71">
        <v>0</v>
      </c>
      <c r="BS711" s="71">
        <v>0</v>
      </c>
      <c r="BT711" s="72">
        <v>0</v>
      </c>
      <c r="BU711" s="73"/>
      <c r="BV711" s="73"/>
    </row>
    <row r="712" ht="30" customHeight="1" spans="1:75 16331:16349">
      <c r="A712" s="55">
        <v>0</v>
      </c>
      <c r="B712" s="56">
        <v>0</v>
      </c>
      <c r="C712" s="57">
        <v>0</v>
      </c>
      <c r="D712" s="92"/>
      <c r="E712" s="92"/>
      <c r="F712" s="91" t="e">
        <f>VLOOKUP(E712,[1]库存!$B$1:$C$65536,2,FALSE)</f>
        <v>#N/A</v>
      </c>
      <c r="G712" s="91" t="e">
        <v>#N/A</v>
      </c>
      <c r="H712" s="92"/>
      <c r="I712" s="92"/>
      <c r="J712" s="87"/>
      <c r="K712" s="61"/>
      <c r="L712" s="62">
        <v>0</v>
      </c>
      <c r="M712" s="63">
        <v>0</v>
      </c>
      <c r="N712" s="64">
        <v>0</v>
      </c>
      <c r="O712" s="62">
        <v>0</v>
      </c>
      <c r="P712" s="65">
        <f t="shared" si="47"/>
        <v>0</v>
      </c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  <c r="BD712" s="66"/>
      <c r="BE712" s="67"/>
      <c r="BF712" s="67"/>
      <c r="BG712" s="68"/>
      <c r="BI712" s="69">
        <v>0</v>
      </c>
      <c r="BJ712" s="70">
        <v>0</v>
      </c>
      <c r="BK712" s="71">
        <v>0</v>
      </c>
      <c r="BL712" s="71">
        <v>0</v>
      </c>
      <c r="BM712" s="71">
        <v>0</v>
      </c>
      <c r="BN712" s="72">
        <v>0</v>
      </c>
      <c r="BO712" s="151" t="e">
        <f t="shared" si="45"/>
        <v>#DIV/0!</v>
      </c>
      <c r="BP712" s="151" t="e">
        <f t="shared" si="46"/>
        <v>#DIV/0!</v>
      </c>
      <c r="BQ712" s="71">
        <v>0</v>
      </c>
      <c r="BR712" s="71">
        <v>0</v>
      </c>
      <c r="BS712" s="71">
        <v>0</v>
      </c>
      <c r="BT712" s="72">
        <v>0</v>
      </c>
      <c r="BU712" s="73"/>
      <c r="BV712" s="73"/>
    </row>
    <row r="713" s="1" customFormat="1" ht="30" customHeight="1" spans="1:75 16331:16349">
      <c r="A713" s="110" t="s">
        <v>211</v>
      </c>
      <c r="B713" s="111" t="s">
        <v>1057</v>
      </c>
      <c r="C713" s="112" t="s">
        <v>1124</v>
      </c>
      <c r="D713" s="113" t="s">
        <v>1224</v>
      </c>
      <c r="E713" s="113" t="s">
        <v>1228</v>
      </c>
      <c r="F713" s="113" t="str">
        <f>VLOOKUP(E713,[1]库存!$B$1:$C$65536,2,FALSE)</f>
        <v>HKHA PAB</v>
      </c>
      <c r="G713" s="113" t="s">
        <v>1229</v>
      </c>
      <c r="H713" s="113" t="s">
        <v>1230</v>
      </c>
      <c r="I713" s="113" t="s">
        <v>1231</v>
      </c>
      <c r="J713" s="203" t="s">
        <v>1232</v>
      </c>
      <c r="K713" s="115"/>
      <c r="L713" s="116">
        <v>2</v>
      </c>
      <c r="M713" s="117">
        <v>900</v>
      </c>
      <c r="N713" s="114">
        <v>22</v>
      </c>
      <c r="O713" s="116">
        <v>2</v>
      </c>
      <c r="P713" s="65">
        <f t="shared" si="47"/>
        <v>0</v>
      </c>
      <c r="Q713" s="105"/>
      <c r="R713" s="67"/>
      <c r="S713" s="105"/>
      <c r="T713" s="67"/>
      <c r="U713" s="105"/>
      <c r="V713" s="67"/>
      <c r="W713" s="105"/>
      <c r="X713" s="67"/>
      <c r="Y713" s="105"/>
      <c r="Z713" s="67"/>
      <c r="AA713" s="105"/>
      <c r="AB713" s="67"/>
      <c r="AC713" s="105"/>
      <c r="AD713" s="67"/>
      <c r="AE713" s="105"/>
      <c r="AF713" s="67"/>
      <c r="AG713" s="105"/>
      <c r="AH713" s="67"/>
      <c r="AI713" s="105"/>
      <c r="AJ713" s="67"/>
      <c r="AK713" s="105"/>
      <c r="AL713" s="67"/>
      <c r="AM713" s="105"/>
      <c r="AN713" s="67"/>
      <c r="AO713" s="105"/>
      <c r="AP713" s="67"/>
      <c r="AQ713" s="105"/>
      <c r="AR713" s="67"/>
      <c r="AS713" s="105"/>
      <c r="AT713" s="67"/>
      <c r="AU713" s="105"/>
      <c r="AV713" s="67"/>
      <c r="AW713" s="105"/>
      <c r="AX713" s="67"/>
      <c r="AY713" s="105"/>
      <c r="AZ713" s="67"/>
      <c r="BA713" s="105"/>
      <c r="BB713" s="67"/>
      <c r="BC713" s="105"/>
      <c r="BD713" s="67"/>
      <c r="BE713" s="67"/>
      <c r="BF713" s="67"/>
      <c r="BG713" s="118"/>
      <c r="BH713" s="119"/>
      <c r="BI713" s="120">
        <v>0</v>
      </c>
      <c r="BJ713" s="121">
        <v>0</v>
      </c>
      <c r="BK713" s="122">
        <v>0</v>
      </c>
      <c r="BL713" s="122">
        <v>0</v>
      </c>
      <c r="BM713" s="122">
        <v>0</v>
      </c>
      <c r="BN713" s="123">
        <v>0</v>
      </c>
      <c r="BO713" s="204" t="e">
        <f t="shared" si="45"/>
        <v>#DIV/0!</v>
      </c>
      <c r="BP713" s="204" t="e">
        <f t="shared" si="46"/>
        <v>#DIV/0!</v>
      </c>
      <c r="BQ713" s="122">
        <v>0</v>
      </c>
      <c r="BR713" s="122">
        <v>0</v>
      </c>
      <c r="BS713" s="122">
        <v>0</v>
      </c>
      <c r="BT713" s="123">
        <v>0</v>
      </c>
      <c r="BU713" s="124"/>
      <c r="BV713" s="124"/>
      <c r="BW713" s="125"/>
      <c r="XDC713" s="126"/>
      <c r="XDD713" s="126"/>
      <c r="XDE713" s="126"/>
      <c r="XDF713" s="126"/>
      <c r="XDG713" s="126"/>
      <c r="XDH713" s="126"/>
      <c r="XDI713" s="126"/>
      <c r="XDJ713" s="126"/>
      <c r="XDK713" s="126"/>
      <c r="XDL713" s="126"/>
      <c r="XDM713" s="126"/>
      <c r="XDN713" s="126"/>
      <c r="XDO713" s="126"/>
      <c r="XDP713" s="126"/>
      <c r="XDQ713" s="126"/>
      <c r="XDR713" s="126"/>
      <c r="XDS713" s="126"/>
      <c r="XDT713" s="126"/>
      <c r="XDU713" s="126"/>
    </row>
    <row r="714" s="1" customFormat="1" ht="30" customHeight="1" spans="1:75 16331:16349">
      <c r="A714" s="110">
        <v>0</v>
      </c>
      <c r="B714" s="111">
        <v>0</v>
      </c>
      <c r="C714" s="112">
        <v>0</v>
      </c>
      <c r="D714" s="127"/>
      <c r="E714" s="127"/>
      <c r="F714" s="113" t="e">
        <f>VLOOKUP(E714,[1]库存!$B$1:$C$65536,2,FALSE)</f>
        <v>#N/A</v>
      </c>
      <c r="G714" s="113" t="e">
        <v>#N/A</v>
      </c>
      <c r="H714" s="127"/>
      <c r="I714" s="127"/>
      <c r="J714" s="205"/>
      <c r="K714" s="115"/>
      <c r="L714" s="116">
        <v>0</v>
      </c>
      <c r="M714" s="117">
        <v>0</v>
      </c>
      <c r="N714" s="114">
        <v>0</v>
      </c>
      <c r="O714" s="116">
        <v>0</v>
      </c>
      <c r="P714" s="65">
        <f t="shared" si="47"/>
        <v>0</v>
      </c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  <c r="BC714" s="67"/>
      <c r="BD714" s="67"/>
      <c r="BE714" s="67"/>
      <c r="BF714" s="67"/>
      <c r="BG714" s="118"/>
      <c r="BH714" s="119"/>
      <c r="BI714" s="120">
        <v>0</v>
      </c>
      <c r="BJ714" s="121">
        <v>0</v>
      </c>
      <c r="BK714" s="122">
        <v>0</v>
      </c>
      <c r="BL714" s="122">
        <v>0</v>
      </c>
      <c r="BM714" s="122">
        <v>0</v>
      </c>
      <c r="BN714" s="123">
        <v>0</v>
      </c>
      <c r="BO714" s="204" t="e">
        <f t="shared" si="45"/>
        <v>#DIV/0!</v>
      </c>
      <c r="BP714" s="204" t="e">
        <f t="shared" si="46"/>
        <v>#DIV/0!</v>
      </c>
      <c r="BQ714" s="122">
        <v>0</v>
      </c>
      <c r="BR714" s="122">
        <v>0</v>
      </c>
      <c r="BS714" s="122">
        <v>0</v>
      </c>
      <c r="BT714" s="123">
        <v>0</v>
      </c>
      <c r="BU714" s="124"/>
      <c r="BV714" s="124"/>
      <c r="BW714" s="125"/>
      <c r="XDC714" s="126"/>
      <c r="XDD714" s="126"/>
      <c r="XDE714" s="126"/>
      <c r="XDF714" s="126"/>
      <c r="XDG714" s="126"/>
      <c r="XDH714" s="126"/>
      <c r="XDI714" s="126"/>
      <c r="XDJ714" s="126"/>
      <c r="XDK714" s="126"/>
      <c r="XDL714" s="126"/>
      <c r="XDM714" s="126"/>
      <c r="XDN714" s="126"/>
      <c r="XDO714" s="126"/>
      <c r="XDP714" s="126"/>
      <c r="XDQ714" s="126"/>
      <c r="XDR714" s="126"/>
      <c r="XDS714" s="126"/>
      <c r="XDT714" s="126"/>
      <c r="XDU714" s="126"/>
    </row>
    <row r="715" ht="30" customHeight="1" spans="1:75 16331:16349">
      <c r="A715" s="55">
        <v>0</v>
      </c>
      <c r="B715" s="56" t="s">
        <v>1057</v>
      </c>
      <c r="C715" s="57" t="s">
        <v>1124</v>
      </c>
      <c r="D715" s="59" t="s">
        <v>1224</v>
      </c>
      <c r="E715" s="59"/>
      <c r="F715" s="59" t="e">
        <f>VLOOKUP(E715,[1]库存!$B$1:$C$65536,2,FALSE)</f>
        <v>#N/A</v>
      </c>
      <c r="G715" s="59" t="e">
        <v>#N/A</v>
      </c>
      <c r="H715" s="59" t="s">
        <v>1233</v>
      </c>
      <c r="I715" s="59" t="s">
        <v>1234</v>
      </c>
      <c r="J715" s="63"/>
      <c r="K715" s="61"/>
      <c r="L715" s="62">
        <v>2</v>
      </c>
      <c r="M715" s="63">
        <v>900</v>
      </c>
      <c r="N715" s="64">
        <v>22</v>
      </c>
      <c r="O715" s="62">
        <v>2</v>
      </c>
      <c r="P715" s="65">
        <f t="shared" si="47"/>
        <v>0</v>
      </c>
      <c r="Q715" s="103"/>
      <c r="R715" s="66"/>
      <c r="S715" s="103"/>
      <c r="T715" s="66"/>
      <c r="U715" s="103"/>
      <c r="V715" s="66"/>
      <c r="W715" s="103"/>
      <c r="X715" s="66"/>
      <c r="Y715" s="103"/>
      <c r="Z715" s="66"/>
      <c r="AA715" s="103"/>
      <c r="AB715" s="66"/>
      <c r="AC715" s="103"/>
      <c r="AD715" s="66"/>
      <c r="AE715" s="103"/>
      <c r="AF715" s="66"/>
      <c r="AG715" s="103"/>
      <c r="AH715" s="66"/>
      <c r="AI715" s="103"/>
      <c r="AJ715" s="66"/>
      <c r="AK715" s="103"/>
      <c r="AL715" s="66"/>
      <c r="AM715" s="103"/>
      <c r="AN715" s="66"/>
      <c r="AO715" s="103"/>
      <c r="AP715" s="66"/>
      <c r="AQ715" s="103"/>
      <c r="AR715" s="66"/>
      <c r="AS715" s="103"/>
      <c r="AT715" s="66"/>
      <c r="AU715" s="103"/>
      <c r="AV715" s="66"/>
      <c r="AW715" s="103"/>
      <c r="AX715" s="66"/>
      <c r="AY715" s="103"/>
      <c r="AZ715" s="66"/>
      <c r="BA715" s="103"/>
      <c r="BB715" s="66"/>
      <c r="BC715" s="103"/>
      <c r="BD715" s="66"/>
      <c r="BE715" s="67"/>
      <c r="BF715" s="67"/>
      <c r="BG715" s="68"/>
      <c r="BI715" s="69">
        <v>0</v>
      </c>
      <c r="BJ715" s="70">
        <v>0</v>
      </c>
      <c r="BK715" s="71">
        <v>0</v>
      </c>
      <c r="BL715" s="71">
        <v>0</v>
      </c>
      <c r="BM715" s="71">
        <v>0</v>
      </c>
      <c r="BN715" s="72">
        <v>0</v>
      </c>
      <c r="BO715" s="151" t="e">
        <f t="shared" si="45"/>
        <v>#DIV/0!</v>
      </c>
      <c r="BP715" s="151" t="e">
        <f t="shared" si="46"/>
        <v>#DIV/0!</v>
      </c>
      <c r="BQ715" s="71">
        <v>0</v>
      </c>
      <c r="BR715" s="71">
        <v>0</v>
      </c>
      <c r="BS715" s="71">
        <v>0</v>
      </c>
      <c r="BT715" s="72">
        <v>0</v>
      </c>
      <c r="BU715" s="73"/>
      <c r="BV715" s="73"/>
    </row>
    <row r="716" ht="30" customHeight="1" spans="1:75 16331:16349">
      <c r="A716" s="55">
        <v>0</v>
      </c>
      <c r="B716" s="56">
        <v>0</v>
      </c>
      <c r="C716" s="57">
        <v>0</v>
      </c>
      <c r="D716" s="74"/>
      <c r="E716" s="74"/>
      <c r="F716" s="59" t="e">
        <f>VLOOKUP(E716,[1]库存!$B$1:$C$65536,2,FALSE)</f>
        <v>#N/A</v>
      </c>
      <c r="G716" s="59" t="e">
        <v>#N/A</v>
      </c>
      <c r="H716" s="74"/>
      <c r="I716" s="74"/>
      <c r="J716" s="87"/>
      <c r="K716" s="61"/>
      <c r="L716" s="62">
        <v>0</v>
      </c>
      <c r="M716" s="63">
        <v>0</v>
      </c>
      <c r="N716" s="64">
        <v>0</v>
      </c>
      <c r="O716" s="62">
        <v>0</v>
      </c>
      <c r="P716" s="65">
        <f t="shared" si="47"/>
        <v>0</v>
      </c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  <c r="BD716" s="66"/>
      <c r="BE716" s="67"/>
      <c r="BF716" s="67"/>
      <c r="BG716" s="68"/>
      <c r="BI716" s="69">
        <v>0</v>
      </c>
      <c r="BJ716" s="70">
        <v>0</v>
      </c>
      <c r="BK716" s="71">
        <v>0</v>
      </c>
      <c r="BL716" s="71">
        <v>0</v>
      </c>
      <c r="BM716" s="71">
        <v>0</v>
      </c>
      <c r="BN716" s="72">
        <v>0</v>
      </c>
      <c r="BO716" s="151" t="e">
        <f t="shared" si="45"/>
        <v>#DIV/0!</v>
      </c>
      <c r="BP716" s="151" t="e">
        <f t="shared" si="46"/>
        <v>#DIV/0!</v>
      </c>
      <c r="BQ716" s="71">
        <v>0</v>
      </c>
      <c r="BR716" s="71">
        <v>0</v>
      </c>
      <c r="BS716" s="71">
        <v>0</v>
      </c>
      <c r="BT716" s="72">
        <v>0</v>
      </c>
      <c r="BU716" s="73"/>
      <c r="BV716" s="73"/>
    </row>
    <row r="717" ht="30" customHeight="1" spans="1:75 16331:16349">
      <c r="A717" s="55">
        <v>0</v>
      </c>
      <c r="B717" s="56" t="s">
        <v>1057</v>
      </c>
      <c r="C717" s="57" t="s">
        <v>1124</v>
      </c>
      <c r="D717" s="59" t="s">
        <v>1224</v>
      </c>
      <c r="E717" s="59"/>
      <c r="F717" s="59" t="e">
        <f>VLOOKUP(E717,[1]库存!$B$1:$C$65536,2,FALSE)</f>
        <v>#N/A</v>
      </c>
      <c r="G717" s="59" t="e">
        <v>#N/A</v>
      </c>
      <c r="H717" s="59" t="s">
        <v>1235</v>
      </c>
      <c r="I717" s="59" t="s">
        <v>1236</v>
      </c>
      <c r="J717" s="63"/>
      <c r="K717" s="61"/>
      <c r="L717" s="62">
        <v>2</v>
      </c>
      <c r="M717" s="63">
        <v>900</v>
      </c>
      <c r="N717" s="64">
        <v>22</v>
      </c>
      <c r="O717" s="62">
        <v>2</v>
      </c>
      <c r="P717" s="65">
        <f t="shared" si="47"/>
        <v>0</v>
      </c>
      <c r="Q717" s="103"/>
      <c r="R717" s="66"/>
      <c r="S717" s="103"/>
      <c r="T717" s="66"/>
      <c r="U717" s="103"/>
      <c r="V717" s="66"/>
      <c r="W717" s="103"/>
      <c r="X717" s="66"/>
      <c r="Y717" s="103"/>
      <c r="Z717" s="66"/>
      <c r="AA717" s="103"/>
      <c r="AB717" s="66"/>
      <c r="AC717" s="103"/>
      <c r="AD717" s="66"/>
      <c r="AE717" s="103"/>
      <c r="AF717" s="66"/>
      <c r="AG717" s="103"/>
      <c r="AH717" s="66"/>
      <c r="AI717" s="103"/>
      <c r="AJ717" s="66"/>
      <c r="AK717" s="103"/>
      <c r="AL717" s="66"/>
      <c r="AM717" s="103"/>
      <c r="AN717" s="66"/>
      <c r="AO717" s="103"/>
      <c r="AP717" s="66"/>
      <c r="AQ717" s="103"/>
      <c r="AR717" s="66"/>
      <c r="AS717" s="103"/>
      <c r="AT717" s="66"/>
      <c r="AU717" s="103"/>
      <c r="AV717" s="66"/>
      <c r="AW717" s="103"/>
      <c r="AX717" s="66"/>
      <c r="AY717" s="103"/>
      <c r="AZ717" s="66"/>
      <c r="BA717" s="103"/>
      <c r="BB717" s="66"/>
      <c r="BC717" s="103"/>
      <c r="BD717" s="66"/>
      <c r="BE717" s="67"/>
      <c r="BF717" s="67"/>
      <c r="BG717" s="68"/>
      <c r="BI717" s="69">
        <v>0</v>
      </c>
      <c r="BJ717" s="70">
        <v>0</v>
      </c>
      <c r="BK717" s="71">
        <v>0</v>
      </c>
      <c r="BL717" s="71">
        <v>0</v>
      </c>
      <c r="BM717" s="71">
        <v>0</v>
      </c>
      <c r="BN717" s="72">
        <v>0</v>
      </c>
      <c r="BO717" s="151" t="e">
        <f t="shared" si="45"/>
        <v>#DIV/0!</v>
      </c>
      <c r="BP717" s="151" t="e">
        <f t="shared" si="46"/>
        <v>#DIV/0!</v>
      </c>
      <c r="BQ717" s="71">
        <v>0</v>
      </c>
      <c r="BR717" s="71">
        <v>0</v>
      </c>
      <c r="BS717" s="71">
        <v>0</v>
      </c>
      <c r="BT717" s="72">
        <v>0</v>
      </c>
      <c r="BU717" s="73"/>
      <c r="BV717" s="73"/>
    </row>
    <row r="718" ht="30" customHeight="1" spans="1:75 16331:16349">
      <c r="A718" s="55">
        <v>0</v>
      </c>
      <c r="B718" s="56">
        <v>0</v>
      </c>
      <c r="C718" s="57">
        <v>0</v>
      </c>
      <c r="D718" s="74"/>
      <c r="E718" s="74"/>
      <c r="F718" s="59" t="e">
        <f>VLOOKUP(E718,[1]库存!$B$1:$C$65536,2,FALSE)</f>
        <v>#N/A</v>
      </c>
      <c r="G718" s="59" t="e">
        <v>#N/A</v>
      </c>
      <c r="H718" s="74"/>
      <c r="I718" s="74"/>
      <c r="J718" s="87"/>
      <c r="K718" s="61"/>
      <c r="L718" s="62">
        <v>0</v>
      </c>
      <c r="M718" s="63">
        <v>0</v>
      </c>
      <c r="N718" s="64">
        <v>0</v>
      </c>
      <c r="O718" s="62">
        <v>0</v>
      </c>
      <c r="P718" s="65">
        <f t="shared" si="47"/>
        <v>0</v>
      </c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  <c r="BD718" s="66"/>
      <c r="BE718" s="67"/>
      <c r="BF718" s="67"/>
      <c r="BG718" s="68"/>
      <c r="BI718" s="69">
        <v>0</v>
      </c>
      <c r="BJ718" s="70">
        <v>0</v>
      </c>
      <c r="BK718" s="71">
        <v>0</v>
      </c>
      <c r="BL718" s="71">
        <v>0</v>
      </c>
      <c r="BM718" s="71">
        <v>0</v>
      </c>
      <c r="BN718" s="72">
        <v>0</v>
      </c>
      <c r="BO718" s="151" t="e">
        <f t="shared" si="45"/>
        <v>#DIV/0!</v>
      </c>
      <c r="BP718" s="151" t="e">
        <f t="shared" si="46"/>
        <v>#DIV/0!</v>
      </c>
      <c r="BQ718" s="71">
        <v>0</v>
      </c>
      <c r="BR718" s="71">
        <v>0</v>
      </c>
      <c r="BS718" s="71">
        <v>0</v>
      </c>
      <c r="BT718" s="72">
        <v>0</v>
      </c>
      <c r="BU718" s="73"/>
      <c r="BV718" s="73"/>
    </row>
    <row r="719" ht="30" customHeight="1" spans="1:75 16331:16349">
      <c r="A719" s="55">
        <v>0</v>
      </c>
      <c r="B719" s="56">
        <v>0</v>
      </c>
      <c r="C719" s="57">
        <v>0</v>
      </c>
      <c r="D719" s="88"/>
      <c r="E719" s="88"/>
      <c r="F719" s="59" t="e">
        <f>VLOOKUP(E719,[1]库存!$B$1:$C$65536,2,FALSE)</f>
        <v>#N/A</v>
      </c>
      <c r="G719" s="59" t="e">
        <v>#N/A</v>
      </c>
      <c r="H719" s="89"/>
      <c r="I719" s="88"/>
      <c r="J719" s="90"/>
      <c r="K719" s="61"/>
      <c r="L719" s="62">
        <v>0</v>
      </c>
      <c r="M719" s="63">
        <v>0</v>
      </c>
      <c r="N719" s="64">
        <v>0</v>
      </c>
      <c r="O719" s="62">
        <v>0</v>
      </c>
      <c r="P719" s="65">
        <f t="shared" si="47"/>
        <v>0</v>
      </c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  <c r="BD719" s="66"/>
      <c r="BE719" s="67"/>
      <c r="BF719" s="67"/>
      <c r="BG719" s="68"/>
      <c r="BI719" s="69">
        <v>0</v>
      </c>
      <c r="BJ719" s="70">
        <v>0</v>
      </c>
      <c r="BK719" s="71">
        <v>0</v>
      </c>
      <c r="BL719" s="71">
        <v>0</v>
      </c>
      <c r="BM719" s="71">
        <v>0</v>
      </c>
      <c r="BN719" s="72">
        <v>0</v>
      </c>
      <c r="BO719" s="151" t="e">
        <f t="shared" si="45"/>
        <v>#DIV/0!</v>
      </c>
      <c r="BP719" s="151" t="e">
        <f t="shared" si="46"/>
        <v>#DIV/0!</v>
      </c>
      <c r="BQ719" s="71">
        <v>0</v>
      </c>
      <c r="BR719" s="71">
        <v>0</v>
      </c>
      <c r="BS719" s="71">
        <v>0</v>
      </c>
      <c r="BT719" s="72">
        <v>0</v>
      </c>
      <c r="BU719" s="73"/>
      <c r="BV719" s="73"/>
    </row>
    <row r="720" ht="30" customHeight="1" spans="1:75 16331:16349">
      <c r="A720" s="55">
        <v>0</v>
      </c>
      <c r="B720" s="56" t="s">
        <v>1237</v>
      </c>
      <c r="C720" s="57" t="s">
        <v>1238</v>
      </c>
      <c r="D720" s="91" t="s">
        <v>1239</v>
      </c>
      <c r="E720" s="91" t="s">
        <v>1240</v>
      </c>
      <c r="F720" s="91" t="str">
        <f>VLOOKUP(E720,[1]库存!$B$1:$C$65536,2,FALSE)</f>
        <v>SV65 IC 拉带</v>
      </c>
      <c r="G720" s="91" t="s">
        <v>1241</v>
      </c>
      <c r="H720" s="91" t="s">
        <v>1242</v>
      </c>
      <c r="I720" s="91" t="s">
        <v>1240</v>
      </c>
      <c r="J720" s="63"/>
      <c r="K720" s="61"/>
      <c r="L720" s="62">
        <v>1</v>
      </c>
      <c r="M720" s="63">
        <v>600</v>
      </c>
      <c r="N720" s="64">
        <v>1</v>
      </c>
      <c r="O720" s="62">
        <v>1</v>
      </c>
      <c r="P720" s="65">
        <f t="shared" si="47"/>
        <v>0</v>
      </c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  <c r="BD720" s="66"/>
      <c r="BE720" s="67"/>
      <c r="BF720" s="67"/>
      <c r="BG720" s="68"/>
      <c r="BI720" s="69">
        <v>0</v>
      </c>
      <c r="BJ720" s="70">
        <v>0</v>
      </c>
      <c r="BK720" s="71">
        <v>0</v>
      </c>
      <c r="BL720" s="71">
        <v>0</v>
      </c>
      <c r="BM720" s="71">
        <v>0</v>
      </c>
      <c r="BN720" s="72">
        <v>0</v>
      </c>
      <c r="BO720" s="151" t="e">
        <f t="shared" si="45"/>
        <v>#DIV/0!</v>
      </c>
      <c r="BP720" s="151" t="e">
        <f t="shared" si="46"/>
        <v>#DIV/0!</v>
      </c>
      <c r="BQ720" s="71">
        <v>0</v>
      </c>
      <c r="BR720" s="71">
        <v>0</v>
      </c>
      <c r="BS720" s="71">
        <v>0</v>
      </c>
      <c r="BT720" s="72">
        <v>0</v>
      </c>
      <c r="BU720" s="73"/>
      <c r="BV720" s="73"/>
    </row>
    <row r="721" ht="30" customHeight="1" spans="1:74">
      <c r="A721" s="55">
        <v>0</v>
      </c>
      <c r="B721" s="56">
        <v>0</v>
      </c>
      <c r="C721" s="57">
        <v>0</v>
      </c>
      <c r="D721" s="92"/>
      <c r="E721" s="92"/>
      <c r="F721" s="91" t="e">
        <f>VLOOKUP(E721,[1]库存!$B$1:$C$65536,2,FALSE)</f>
        <v>#N/A</v>
      </c>
      <c r="G721" s="91" t="e">
        <v>#N/A</v>
      </c>
      <c r="H721" s="92"/>
      <c r="I721" s="92"/>
      <c r="J721" s="87"/>
      <c r="K721" s="61"/>
      <c r="L721" s="62">
        <v>0</v>
      </c>
      <c r="M721" s="63">
        <v>0</v>
      </c>
      <c r="N721" s="64">
        <v>0</v>
      </c>
      <c r="O721" s="62">
        <v>0</v>
      </c>
      <c r="P721" s="65">
        <f t="shared" si="47"/>
        <v>0</v>
      </c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  <c r="BD721" s="66"/>
      <c r="BE721" s="67"/>
      <c r="BF721" s="67"/>
      <c r="BG721" s="68"/>
      <c r="BI721" s="69">
        <v>0</v>
      </c>
      <c r="BJ721" s="70">
        <v>0</v>
      </c>
      <c r="BK721" s="71">
        <v>0</v>
      </c>
      <c r="BL721" s="71">
        <v>0</v>
      </c>
      <c r="BM721" s="71">
        <v>0</v>
      </c>
      <c r="BN721" s="72">
        <v>0</v>
      </c>
      <c r="BO721" s="151" t="e">
        <f t="shared" si="45"/>
        <v>#DIV/0!</v>
      </c>
      <c r="BP721" s="151" t="e">
        <f t="shared" si="46"/>
        <v>#DIV/0!</v>
      </c>
      <c r="BQ721" s="71">
        <v>0</v>
      </c>
      <c r="BR721" s="71">
        <v>0</v>
      </c>
      <c r="BS721" s="71">
        <v>0</v>
      </c>
      <c r="BT721" s="72">
        <v>0</v>
      </c>
      <c r="BU721" s="73"/>
      <c r="BV721" s="73"/>
    </row>
    <row r="722" ht="30" customHeight="1" spans="1:74">
      <c r="A722" s="55">
        <v>0</v>
      </c>
      <c r="B722" s="56" t="s">
        <v>1237</v>
      </c>
      <c r="C722" s="57" t="s">
        <v>1238</v>
      </c>
      <c r="D722" s="91" t="s">
        <v>1243</v>
      </c>
      <c r="E722" s="91" t="s">
        <v>1244</v>
      </c>
      <c r="F722" s="91" t="str">
        <f>VLOOKUP(E722,[1]库存!$B$1:$C$65536,2,FALSE)</f>
        <v>SV65 IC 导气袋</v>
      </c>
      <c r="G722" s="91" t="s">
        <v>1245</v>
      </c>
      <c r="H722" s="91" t="s">
        <v>1246</v>
      </c>
      <c r="I722" s="91" t="s">
        <v>1244</v>
      </c>
      <c r="J722" s="63"/>
      <c r="K722" s="61"/>
      <c r="L722" s="62">
        <v>1</v>
      </c>
      <c r="M722" s="63">
        <v>600</v>
      </c>
      <c r="N722" s="64">
        <v>2</v>
      </c>
      <c r="O722" s="62">
        <v>1</v>
      </c>
      <c r="P722" s="65">
        <f t="shared" si="47"/>
        <v>0</v>
      </c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  <c r="BD722" s="66"/>
      <c r="BE722" s="67"/>
      <c r="BF722" s="67"/>
      <c r="BG722" s="68"/>
      <c r="BI722" s="69">
        <v>0</v>
      </c>
      <c r="BJ722" s="70">
        <v>0</v>
      </c>
      <c r="BK722" s="71">
        <v>0</v>
      </c>
      <c r="BL722" s="71">
        <v>0</v>
      </c>
      <c r="BM722" s="71">
        <v>0</v>
      </c>
      <c r="BN722" s="72">
        <v>0</v>
      </c>
      <c r="BO722" s="151" t="e">
        <f t="shared" si="45"/>
        <v>#DIV/0!</v>
      </c>
      <c r="BP722" s="151" t="e">
        <f t="shared" si="46"/>
        <v>#DIV/0!</v>
      </c>
      <c r="BQ722" s="71">
        <v>0</v>
      </c>
      <c r="BR722" s="71">
        <v>0</v>
      </c>
      <c r="BS722" s="71">
        <v>0</v>
      </c>
      <c r="BT722" s="72">
        <v>0</v>
      </c>
      <c r="BU722" s="73"/>
      <c r="BV722" s="73"/>
    </row>
    <row r="723" ht="30" customHeight="1" spans="1:74">
      <c r="A723" s="55">
        <v>0</v>
      </c>
      <c r="B723" s="56">
        <v>0</v>
      </c>
      <c r="C723" s="57">
        <v>0</v>
      </c>
      <c r="D723" s="92"/>
      <c r="E723" s="92"/>
      <c r="F723" s="91" t="e">
        <f>VLOOKUP(E723,[1]库存!$B$1:$C$65536,2,FALSE)</f>
        <v>#N/A</v>
      </c>
      <c r="G723" s="91" t="e">
        <v>#N/A</v>
      </c>
      <c r="H723" s="92"/>
      <c r="I723" s="92"/>
      <c r="J723" s="87"/>
      <c r="K723" s="61"/>
      <c r="L723" s="62">
        <v>0</v>
      </c>
      <c r="M723" s="63">
        <v>0</v>
      </c>
      <c r="N723" s="64">
        <v>0</v>
      </c>
      <c r="O723" s="62">
        <v>0</v>
      </c>
      <c r="P723" s="65">
        <f t="shared" si="47"/>
        <v>0</v>
      </c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  <c r="BD723" s="66"/>
      <c r="BE723" s="67"/>
      <c r="BF723" s="67"/>
      <c r="BG723" s="68"/>
      <c r="BI723" s="69">
        <v>0</v>
      </c>
      <c r="BJ723" s="70">
        <v>0</v>
      </c>
      <c r="BK723" s="71">
        <v>0</v>
      </c>
      <c r="BL723" s="71">
        <v>0</v>
      </c>
      <c r="BM723" s="71">
        <v>0</v>
      </c>
      <c r="BN723" s="72">
        <v>0</v>
      </c>
      <c r="BO723" s="151" t="e">
        <f t="shared" si="45"/>
        <v>#DIV/0!</v>
      </c>
      <c r="BP723" s="151" t="e">
        <f t="shared" si="46"/>
        <v>#DIV/0!</v>
      </c>
      <c r="BQ723" s="71">
        <v>0</v>
      </c>
      <c r="BR723" s="71">
        <v>0</v>
      </c>
      <c r="BS723" s="71">
        <v>0</v>
      </c>
      <c r="BT723" s="72">
        <v>0</v>
      </c>
      <c r="BU723" s="73"/>
      <c r="BV723" s="73"/>
    </row>
    <row r="724" ht="30" customHeight="1" spans="1:74">
      <c r="A724" s="55">
        <v>0</v>
      </c>
      <c r="B724" s="56" t="s">
        <v>1057</v>
      </c>
      <c r="C724" s="57" t="s">
        <v>1058</v>
      </c>
      <c r="D724" s="91" t="s">
        <v>1247</v>
      </c>
      <c r="E724" s="91" t="s">
        <v>1248</v>
      </c>
      <c r="F724" s="91" t="str">
        <f>VLOOKUP(E724,[1]库存!$B$1:$C$65536,2,FALSE)</f>
        <v>SAIC SV65 IC LH B状态</v>
      </c>
      <c r="G724" s="91" t="s">
        <v>1249</v>
      </c>
      <c r="H724" s="91" t="s">
        <v>1250</v>
      </c>
      <c r="I724" s="91" t="s">
        <v>1248</v>
      </c>
      <c r="J724" s="63"/>
      <c r="K724" s="61"/>
      <c r="L724" s="62">
        <v>2</v>
      </c>
      <c r="M724" s="63">
        <v>600</v>
      </c>
      <c r="N724" s="64">
        <v>17</v>
      </c>
      <c r="O724" s="62">
        <v>2</v>
      </c>
      <c r="P724" s="65">
        <f t="shared" si="47"/>
        <v>0</v>
      </c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  <c r="BD724" s="66"/>
      <c r="BE724" s="67"/>
      <c r="BF724" s="67"/>
      <c r="BG724" s="68"/>
      <c r="BI724" s="69">
        <v>0</v>
      </c>
      <c r="BJ724" s="70">
        <v>0</v>
      </c>
      <c r="BK724" s="71">
        <v>0</v>
      </c>
      <c r="BL724" s="71">
        <v>0</v>
      </c>
      <c r="BM724" s="71">
        <v>0</v>
      </c>
      <c r="BN724" s="72">
        <v>0</v>
      </c>
      <c r="BO724" s="151" t="e">
        <f t="shared" si="45"/>
        <v>#DIV/0!</v>
      </c>
      <c r="BP724" s="151" t="e">
        <f t="shared" si="46"/>
        <v>#DIV/0!</v>
      </c>
      <c r="BQ724" s="71">
        <v>0</v>
      </c>
      <c r="BR724" s="71">
        <v>0</v>
      </c>
      <c r="BS724" s="71">
        <v>0</v>
      </c>
      <c r="BT724" s="72">
        <v>0</v>
      </c>
      <c r="BU724" s="73"/>
      <c r="BV724" s="73"/>
    </row>
    <row r="725" ht="30" customHeight="1" spans="1:74">
      <c r="A725" s="55">
        <v>0</v>
      </c>
      <c r="B725" s="56">
        <v>0</v>
      </c>
      <c r="C725" s="57">
        <v>0</v>
      </c>
      <c r="D725" s="92"/>
      <c r="E725" s="92"/>
      <c r="F725" s="91" t="e">
        <f>VLOOKUP(E725,[1]库存!$B$1:$C$65536,2,FALSE)</f>
        <v>#N/A</v>
      </c>
      <c r="G725" s="91" t="e">
        <v>#N/A</v>
      </c>
      <c r="H725" s="92"/>
      <c r="I725" s="92"/>
      <c r="J725" s="87"/>
      <c r="K725" s="61"/>
      <c r="L725" s="62">
        <v>0</v>
      </c>
      <c r="M725" s="63">
        <v>0</v>
      </c>
      <c r="N725" s="64">
        <v>0</v>
      </c>
      <c r="O725" s="62">
        <v>0</v>
      </c>
      <c r="P725" s="65">
        <f t="shared" si="47"/>
        <v>0</v>
      </c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  <c r="BD725" s="66"/>
      <c r="BE725" s="67"/>
      <c r="BF725" s="67"/>
      <c r="BG725" s="68"/>
      <c r="BI725" s="69">
        <v>0</v>
      </c>
      <c r="BJ725" s="70">
        <v>0</v>
      </c>
      <c r="BK725" s="71">
        <v>0</v>
      </c>
      <c r="BL725" s="71">
        <v>0</v>
      </c>
      <c r="BM725" s="71">
        <v>0</v>
      </c>
      <c r="BN725" s="72">
        <v>0</v>
      </c>
      <c r="BO725" s="151" t="e">
        <f t="shared" si="45"/>
        <v>#DIV/0!</v>
      </c>
      <c r="BP725" s="151" t="e">
        <f t="shared" si="46"/>
        <v>#DIV/0!</v>
      </c>
      <c r="BQ725" s="71">
        <v>0</v>
      </c>
      <c r="BR725" s="71">
        <v>0</v>
      </c>
      <c r="BS725" s="71">
        <v>0</v>
      </c>
      <c r="BT725" s="72">
        <v>0</v>
      </c>
      <c r="BU725" s="73"/>
      <c r="BV725" s="73"/>
    </row>
    <row r="726" ht="30" customHeight="1" spans="1:74">
      <c r="A726" s="55">
        <v>0</v>
      </c>
      <c r="B726" s="56" t="s">
        <v>1057</v>
      </c>
      <c r="C726" s="57" t="s">
        <v>1058</v>
      </c>
      <c r="D726" s="91" t="s">
        <v>1247</v>
      </c>
      <c r="E726" s="91" t="s">
        <v>1251</v>
      </c>
      <c r="F726" s="91" t="str">
        <f>VLOOKUP(E726,[1]库存!$B$1:$C$65536,2,FALSE)</f>
        <v>SAIC SV65 IC RH B状态</v>
      </c>
      <c r="G726" s="91" t="s">
        <v>1252</v>
      </c>
      <c r="H726" s="91" t="s">
        <v>1253</v>
      </c>
      <c r="I726" s="91" t="s">
        <v>1251</v>
      </c>
      <c r="J726" s="63"/>
      <c r="K726" s="61"/>
      <c r="L726" s="62">
        <v>2</v>
      </c>
      <c r="M726" s="63">
        <v>600</v>
      </c>
      <c r="N726" s="64">
        <v>17</v>
      </c>
      <c r="O726" s="62">
        <v>2</v>
      </c>
      <c r="P726" s="65">
        <f t="shared" si="47"/>
        <v>0</v>
      </c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7"/>
      <c r="BF726" s="67"/>
      <c r="BG726" s="68"/>
      <c r="BI726" s="69">
        <v>0</v>
      </c>
      <c r="BJ726" s="70">
        <v>0</v>
      </c>
      <c r="BK726" s="71">
        <v>0</v>
      </c>
      <c r="BL726" s="71">
        <v>0</v>
      </c>
      <c r="BM726" s="71">
        <v>0</v>
      </c>
      <c r="BN726" s="72">
        <v>0</v>
      </c>
      <c r="BO726" s="151" t="e">
        <f t="shared" si="45"/>
        <v>#DIV/0!</v>
      </c>
      <c r="BP726" s="151" t="e">
        <f t="shared" si="46"/>
        <v>#DIV/0!</v>
      </c>
      <c r="BQ726" s="71">
        <v>0</v>
      </c>
      <c r="BR726" s="71">
        <v>0</v>
      </c>
      <c r="BS726" s="71">
        <v>0</v>
      </c>
      <c r="BT726" s="72">
        <v>0</v>
      </c>
      <c r="BU726" s="73"/>
      <c r="BV726" s="73"/>
    </row>
    <row r="727" ht="30" customHeight="1" spans="1:74">
      <c r="A727" s="55">
        <v>0</v>
      </c>
      <c r="B727" s="56">
        <v>0</v>
      </c>
      <c r="C727" s="57">
        <v>0</v>
      </c>
      <c r="D727" s="92"/>
      <c r="E727" s="92"/>
      <c r="F727" s="91" t="e">
        <f>VLOOKUP(E727,[1]库存!$B$1:$C$65536,2,FALSE)</f>
        <v>#N/A</v>
      </c>
      <c r="G727" s="91" t="e">
        <v>#N/A</v>
      </c>
      <c r="H727" s="92"/>
      <c r="I727" s="92"/>
      <c r="J727" s="87"/>
      <c r="K727" s="61"/>
      <c r="L727" s="62">
        <v>0</v>
      </c>
      <c r="M727" s="63">
        <v>0</v>
      </c>
      <c r="N727" s="64">
        <v>0</v>
      </c>
      <c r="O727" s="62">
        <v>0</v>
      </c>
      <c r="P727" s="65">
        <f t="shared" si="47"/>
        <v>0</v>
      </c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  <c r="BD727" s="66"/>
      <c r="BE727" s="67"/>
      <c r="BF727" s="67"/>
      <c r="BG727" s="68"/>
      <c r="BI727" s="69">
        <v>0</v>
      </c>
      <c r="BJ727" s="70">
        <v>0</v>
      </c>
      <c r="BK727" s="71">
        <v>0</v>
      </c>
      <c r="BL727" s="71">
        <v>0</v>
      </c>
      <c r="BM727" s="71">
        <v>0</v>
      </c>
      <c r="BN727" s="72">
        <v>0</v>
      </c>
      <c r="BO727" s="151" t="e">
        <f t="shared" si="45"/>
        <v>#DIV/0!</v>
      </c>
      <c r="BP727" s="151" t="e">
        <f t="shared" si="46"/>
        <v>#DIV/0!</v>
      </c>
      <c r="BQ727" s="71">
        <v>0</v>
      </c>
      <c r="BR727" s="71">
        <v>0</v>
      </c>
      <c r="BS727" s="71">
        <v>0</v>
      </c>
      <c r="BT727" s="72">
        <v>0</v>
      </c>
      <c r="BU727" s="73"/>
      <c r="BV727" s="73"/>
    </row>
    <row r="728" ht="30" customHeight="1" spans="1:74">
      <c r="A728" s="55" t="s">
        <v>165</v>
      </c>
      <c r="B728" s="56" t="s">
        <v>1057</v>
      </c>
      <c r="C728" s="57" t="s">
        <v>1058</v>
      </c>
      <c r="D728" s="59" t="s">
        <v>1247</v>
      </c>
      <c r="E728" s="59" t="s">
        <v>1254</v>
      </c>
      <c r="F728" s="59" t="str">
        <f>VLOOKUP(E728,[1]库存!$B$1:$C$65536,2,FALSE)</f>
        <v>GM 9BYC-S IC LH A状态</v>
      </c>
      <c r="G728" s="59" t="s">
        <v>1255</v>
      </c>
      <c r="H728" s="59" t="s">
        <v>1256</v>
      </c>
      <c r="I728" s="59"/>
      <c r="J728" s="80" t="s">
        <v>1257</v>
      </c>
      <c r="K728" s="61"/>
      <c r="L728" s="62">
        <v>3</v>
      </c>
      <c r="M728" s="63">
        <v>550</v>
      </c>
      <c r="N728" s="64">
        <v>16</v>
      </c>
      <c r="O728" s="62">
        <v>3</v>
      </c>
      <c r="P728" s="65">
        <f t="shared" si="47"/>
        <v>0</v>
      </c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  <c r="BD728" s="66"/>
      <c r="BE728" s="67"/>
      <c r="BF728" s="67"/>
      <c r="BG728" s="68"/>
      <c r="BI728" s="69">
        <v>0</v>
      </c>
      <c r="BJ728" s="70">
        <v>0</v>
      </c>
      <c r="BK728" s="71">
        <v>0</v>
      </c>
      <c r="BL728" s="71">
        <v>0</v>
      </c>
      <c r="BM728" s="71">
        <v>0</v>
      </c>
      <c r="BN728" s="72">
        <v>0</v>
      </c>
      <c r="BO728" s="151" t="e">
        <f t="shared" si="45"/>
        <v>#DIV/0!</v>
      </c>
      <c r="BP728" s="151" t="e">
        <f t="shared" si="46"/>
        <v>#DIV/0!</v>
      </c>
      <c r="BQ728" s="71">
        <v>0</v>
      </c>
      <c r="BR728" s="71">
        <v>0</v>
      </c>
      <c r="BS728" s="71">
        <v>0</v>
      </c>
      <c r="BT728" s="72">
        <v>0</v>
      </c>
      <c r="BU728" s="73"/>
      <c r="BV728" s="73"/>
    </row>
    <row r="729" ht="30" customHeight="1" spans="1:74">
      <c r="A729" s="55">
        <v>0</v>
      </c>
      <c r="B729" s="56">
        <v>0</v>
      </c>
      <c r="C729" s="57">
        <v>0</v>
      </c>
      <c r="D729" s="74"/>
      <c r="E729" s="74"/>
      <c r="F729" s="59" t="e">
        <f>VLOOKUP(E729,[1]库存!$B$1:$C$65536,2,FALSE)</f>
        <v>#N/A</v>
      </c>
      <c r="G729" s="59" t="e">
        <v>#N/A</v>
      </c>
      <c r="H729" s="74"/>
      <c r="I729" s="74"/>
      <c r="J729" s="81"/>
      <c r="K729" s="61"/>
      <c r="L729" s="62">
        <v>0</v>
      </c>
      <c r="M729" s="63">
        <v>0</v>
      </c>
      <c r="N729" s="64">
        <v>0</v>
      </c>
      <c r="O729" s="62">
        <v>0</v>
      </c>
      <c r="P729" s="65">
        <f t="shared" si="47"/>
        <v>0</v>
      </c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  <c r="BD729" s="66"/>
      <c r="BE729" s="67"/>
      <c r="BF729" s="67"/>
      <c r="BG729" s="68"/>
      <c r="BI729" s="69">
        <v>0</v>
      </c>
      <c r="BJ729" s="70">
        <v>0</v>
      </c>
      <c r="BK729" s="71">
        <v>0</v>
      </c>
      <c r="BL729" s="71">
        <v>0</v>
      </c>
      <c r="BM729" s="71">
        <v>0</v>
      </c>
      <c r="BN729" s="72">
        <v>0</v>
      </c>
      <c r="BO729" s="151" t="e">
        <f t="shared" si="45"/>
        <v>#DIV/0!</v>
      </c>
      <c r="BP729" s="151" t="e">
        <f t="shared" si="46"/>
        <v>#DIV/0!</v>
      </c>
      <c r="BQ729" s="71">
        <v>0</v>
      </c>
      <c r="BR729" s="71">
        <v>0</v>
      </c>
      <c r="BS729" s="71">
        <v>0</v>
      </c>
      <c r="BT729" s="72">
        <v>0</v>
      </c>
      <c r="BU729" s="73"/>
      <c r="BV729" s="73"/>
    </row>
    <row r="730" ht="30" customHeight="1" spans="1:74">
      <c r="A730" s="55">
        <v>0</v>
      </c>
      <c r="B730" s="56" t="s">
        <v>1057</v>
      </c>
      <c r="C730" s="57" t="s">
        <v>1058</v>
      </c>
      <c r="D730" s="59" t="s">
        <v>1247</v>
      </c>
      <c r="E730" s="59" t="s">
        <v>1258</v>
      </c>
      <c r="F730" s="59" t="str">
        <f>VLOOKUP(E730,[1]库存!$B$1:$C$65536,2,FALSE)</f>
        <v>GM 9BYC-S IC RH A状态</v>
      </c>
      <c r="G730" s="59" t="s">
        <v>1259</v>
      </c>
      <c r="H730" s="59" t="s">
        <v>1260</v>
      </c>
      <c r="I730" s="59"/>
      <c r="J730" s="81"/>
      <c r="K730" s="61"/>
      <c r="L730" s="62">
        <v>3</v>
      </c>
      <c r="M730" s="63">
        <v>550</v>
      </c>
      <c r="N730" s="64">
        <v>16</v>
      </c>
      <c r="O730" s="62">
        <v>3</v>
      </c>
      <c r="P730" s="65">
        <f t="shared" si="47"/>
        <v>0</v>
      </c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  <c r="BD730" s="66"/>
      <c r="BE730" s="67"/>
      <c r="BF730" s="67"/>
      <c r="BG730" s="68"/>
      <c r="BI730" s="69">
        <v>0</v>
      </c>
      <c r="BJ730" s="70">
        <v>0</v>
      </c>
      <c r="BK730" s="71">
        <v>0</v>
      </c>
      <c r="BL730" s="71">
        <v>0</v>
      </c>
      <c r="BM730" s="71">
        <v>0</v>
      </c>
      <c r="BN730" s="72">
        <v>0</v>
      </c>
      <c r="BO730" s="151" t="e">
        <f t="shared" si="45"/>
        <v>#DIV/0!</v>
      </c>
      <c r="BP730" s="151" t="e">
        <f t="shared" si="46"/>
        <v>#DIV/0!</v>
      </c>
      <c r="BQ730" s="71">
        <v>0</v>
      </c>
      <c r="BR730" s="71">
        <v>0</v>
      </c>
      <c r="BS730" s="71">
        <v>0</v>
      </c>
      <c r="BT730" s="72">
        <v>0</v>
      </c>
      <c r="BU730" s="73"/>
      <c r="BV730" s="73"/>
    </row>
    <row r="731" ht="30" customHeight="1" spans="1:74">
      <c r="A731" s="55">
        <v>0</v>
      </c>
      <c r="B731" s="56">
        <v>0</v>
      </c>
      <c r="C731" s="57">
        <v>0</v>
      </c>
      <c r="D731" s="74"/>
      <c r="E731" s="74"/>
      <c r="F731" s="59" t="e">
        <f>VLOOKUP(E731,[1]库存!$B$1:$C$65536,2,FALSE)</f>
        <v>#N/A</v>
      </c>
      <c r="G731" s="59" t="e">
        <v>#N/A</v>
      </c>
      <c r="H731" s="74"/>
      <c r="I731" s="74"/>
      <c r="J731" s="81"/>
      <c r="K731" s="61"/>
      <c r="L731" s="62">
        <v>0</v>
      </c>
      <c r="M731" s="63">
        <v>0</v>
      </c>
      <c r="N731" s="64">
        <v>0</v>
      </c>
      <c r="O731" s="62">
        <v>0</v>
      </c>
      <c r="P731" s="65">
        <f t="shared" si="47"/>
        <v>0</v>
      </c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  <c r="BD731" s="66"/>
      <c r="BE731" s="67"/>
      <c r="BF731" s="67"/>
      <c r="BG731" s="68"/>
      <c r="BI731" s="69">
        <v>0</v>
      </c>
      <c r="BJ731" s="70">
        <v>0</v>
      </c>
      <c r="BK731" s="71">
        <v>0</v>
      </c>
      <c r="BL731" s="71">
        <v>0</v>
      </c>
      <c r="BM731" s="71">
        <v>0</v>
      </c>
      <c r="BN731" s="72">
        <v>0</v>
      </c>
      <c r="BO731" s="151" t="e">
        <f t="shared" si="45"/>
        <v>#DIV/0!</v>
      </c>
      <c r="BP731" s="151" t="e">
        <f t="shared" si="46"/>
        <v>#DIV/0!</v>
      </c>
      <c r="BQ731" s="71">
        <v>0</v>
      </c>
      <c r="BR731" s="71">
        <v>0</v>
      </c>
      <c r="BS731" s="71">
        <v>0</v>
      </c>
      <c r="BT731" s="72">
        <v>0</v>
      </c>
      <c r="BU731" s="73"/>
      <c r="BV731" s="73"/>
    </row>
    <row r="732" ht="30" customHeight="1" spans="1:74">
      <c r="A732" s="55" t="s">
        <v>165</v>
      </c>
      <c r="B732" s="56" t="s">
        <v>1057</v>
      </c>
      <c r="C732" s="57" t="s">
        <v>1058</v>
      </c>
      <c r="D732" s="59" t="s">
        <v>1247</v>
      </c>
      <c r="E732" s="59" t="s">
        <v>1261</v>
      </c>
      <c r="F732" s="59" t="str">
        <f>VLOOKUP(E732,[1]库存!$B$1:$C$65536,2,FALSE)</f>
        <v>GM 9BYB IC LH G状态 (埃)</v>
      </c>
      <c r="G732" s="59" t="s">
        <v>1262</v>
      </c>
      <c r="H732" s="59" t="s">
        <v>1263</v>
      </c>
      <c r="I732" s="59" t="s">
        <v>1264</v>
      </c>
      <c r="J732" s="81"/>
      <c r="K732" s="61"/>
      <c r="L732" s="62">
        <v>3</v>
      </c>
      <c r="M732" s="63">
        <v>600</v>
      </c>
      <c r="N732" s="64">
        <v>16</v>
      </c>
      <c r="O732" s="62">
        <v>3</v>
      </c>
      <c r="P732" s="65">
        <f t="shared" si="47"/>
        <v>0</v>
      </c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  <c r="BD732" s="66"/>
      <c r="BE732" s="67"/>
      <c r="BF732" s="67"/>
      <c r="BG732" s="68"/>
      <c r="BI732" s="69">
        <v>0</v>
      </c>
      <c r="BJ732" s="70">
        <v>0</v>
      </c>
      <c r="BK732" s="71">
        <v>0</v>
      </c>
      <c r="BL732" s="71">
        <v>0</v>
      </c>
      <c r="BM732" s="71">
        <v>0</v>
      </c>
      <c r="BN732" s="72">
        <v>0</v>
      </c>
      <c r="BO732" s="151" t="e">
        <f t="shared" si="45"/>
        <v>#DIV/0!</v>
      </c>
      <c r="BP732" s="151" t="e">
        <f t="shared" si="46"/>
        <v>#DIV/0!</v>
      </c>
      <c r="BQ732" s="71">
        <v>0</v>
      </c>
      <c r="BR732" s="71">
        <v>0</v>
      </c>
      <c r="BS732" s="71">
        <v>0</v>
      </c>
      <c r="BT732" s="72">
        <v>0</v>
      </c>
      <c r="BU732" s="73"/>
      <c r="BV732" s="73"/>
    </row>
    <row r="733" ht="30" customHeight="1" spans="1:74">
      <c r="A733" s="55">
        <v>0</v>
      </c>
      <c r="B733" s="56">
        <v>0</v>
      </c>
      <c r="C733" s="57">
        <v>0</v>
      </c>
      <c r="D733" s="74"/>
      <c r="E733" s="74"/>
      <c r="F733" s="59" t="e">
        <f>VLOOKUP(E733,[1]库存!$B$1:$C$65536,2,FALSE)</f>
        <v>#N/A</v>
      </c>
      <c r="G733" s="59" t="e">
        <v>#N/A</v>
      </c>
      <c r="H733" s="74"/>
      <c r="I733" s="74"/>
      <c r="J733" s="81"/>
      <c r="K733" s="61"/>
      <c r="L733" s="62">
        <v>0</v>
      </c>
      <c r="M733" s="63">
        <v>0</v>
      </c>
      <c r="N733" s="64">
        <v>0</v>
      </c>
      <c r="O733" s="62">
        <v>0</v>
      </c>
      <c r="P733" s="65">
        <f t="shared" si="47"/>
        <v>0</v>
      </c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7"/>
      <c r="BF733" s="67"/>
      <c r="BG733" s="68"/>
      <c r="BI733" s="69">
        <v>0</v>
      </c>
      <c r="BJ733" s="70">
        <v>0</v>
      </c>
      <c r="BK733" s="71">
        <v>0</v>
      </c>
      <c r="BL733" s="71">
        <v>0</v>
      </c>
      <c r="BM733" s="71">
        <v>0</v>
      </c>
      <c r="BN733" s="72">
        <v>0</v>
      </c>
      <c r="BO733" s="151" t="e">
        <f t="shared" si="45"/>
        <v>#DIV/0!</v>
      </c>
      <c r="BP733" s="151" t="e">
        <f t="shared" si="46"/>
        <v>#DIV/0!</v>
      </c>
      <c r="BQ733" s="71">
        <v>0</v>
      </c>
      <c r="BR733" s="71">
        <v>0</v>
      </c>
      <c r="BS733" s="71">
        <v>0</v>
      </c>
      <c r="BT733" s="72">
        <v>0</v>
      </c>
      <c r="BU733" s="73"/>
      <c r="BV733" s="73"/>
    </row>
    <row r="734" ht="30" customHeight="1" spans="1:74">
      <c r="A734" s="55" t="s">
        <v>165</v>
      </c>
      <c r="B734" s="56" t="s">
        <v>1057</v>
      </c>
      <c r="C734" s="57" t="s">
        <v>1058</v>
      </c>
      <c r="D734" s="59" t="s">
        <v>1247</v>
      </c>
      <c r="E734" s="59" t="s">
        <v>1265</v>
      </c>
      <c r="F734" s="59" t="str">
        <f>VLOOKUP(E734,[1]库存!$B$1:$C$65536,2,FALSE)</f>
        <v>GM 9BYB IC RH G状态 (埃)</v>
      </c>
      <c r="G734" s="59" t="s">
        <v>1266</v>
      </c>
      <c r="H734" s="59" t="s">
        <v>1267</v>
      </c>
      <c r="I734" s="59" t="s">
        <v>1264</v>
      </c>
      <c r="J734" s="81"/>
      <c r="K734" s="61"/>
      <c r="L734" s="62">
        <v>3</v>
      </c>
      <c r="M734" s="63">
        <v>600</v>
      </c>
      <c r="N734" s="64">
        <v>16</v>
      </c>
      <c r="O734" s="62">
        <v>3</v>
      </c>
      <c r="P734" s="65">
        <f t="shared" si="47"/>
        <v>0</v>
      </c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  <c r="BD734" s="66"/>
      <c r="BE734" s="67"/>
      <c r="BF734" s="67"/>
      <c r="BG734" s="68"/>
      <c r="BI734" s="69">
        <v>0</v>
      </c>
      <c r="BJ734" s="70">
        <v>0</v>
      </c>
      <c r="BK734" s="71">
        <v>0</v>
      </c>
      <c r="BL734" s="71">
        <v>0</v>
      </c>
      <c r="BM734" s="71">
        <v>0</v>
      </c>
      <c r="BN734" s="72">
        <v>0</v>
      </c>
      <c r="BO734" s="151" t="e">
        <f t="shared" si="45"/>
        <v>#DIV/0!</v>
      </c>
      <c r="BP734" s="151" t="e">
        <f t="shared" si="46"/>
        <v>#DIV/0!</v>
      </c>
      <c r="BQ734" s="71">
        <v>0</v>
      </c>
      <c r="BR734" s="71">
        <v>0</v>
      </c>
      <c r="BS734" s="71">
        <v>0</v>
      </c>
      <c r="BT734" s="72">
        <v>0</v>
      </c>
      <c r="BU734" s="73"/>
      <c r="BV734" s="73"/>
    </row>
    <row r="735" ht="30" customHeight="1" spans="1:74">
      <c r="A735" s="55">
        <v>0</v>
      </c>
      <c r="B735" s="56">
        <v>0</v>
      </c>
      <c r="C735" s="57">
        <v>0</v>
      </c>
      <c r="D735" s="74"/>
      <c r="E735" s="74"/>
      <c r="F735" s="59" t="e">
        <f>VLOOKUP(E735,[1]库存!$B$1:$C$65536,2,FALSE)</f>
        <v>#N/A</v>
      </c>
      <c r="G735" s="59" t="e">
        <v>#N/A</v>
      </c>
      <c r="H735" s="74"/>
      <c r="I735" s="74"/>
      <c r="J735" s="81"/>
      <c r="K735" s="61"/>
      <c r="L735" s="62">
        <v>0</v>
      </c>
      <c r="M735" s="63">
        <v>0</v>
      </c>
      <c r="N735" s="64">
        <v>0</v>
      </c>
      <c r="O735" s="62">
        <v>0</v>
      </c>
      <c r="P735" s="65">
        <f t="shared" si="47"/>
        <v>0</v>
      </c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  <c r="BD735" s="66"/>
      <c r="BE735" s="67"/>
      <c r="BF735" s="67"/>
      <c r="BG735" s="68"/>
      <c r="BI735" s="69">
        <v>0</v>
      </c>
      <c r="BJ735" s="70">
        <v>0</v>
      </c>
      <c r="BK735" s="71">
        <v>0</v>
      </c>
      <c r="BL735" s="71">
        <v>0</v>
      </c>
      <c r="BM735" s="71">
        <v>0</v>
      </c>
      <c r="BN735" s="72">
        <v>0</v>
      </c>
      <c r="BO735" s="151" t="e">
        <f t="shared" si="45"/>
        <v>#DIV/0!</v>
      </c>
      <c r="BP735" s="151" t="e">
        <f t="shared" si="46"/>
        <v>#DIV/0!</v>
      </c>
      <c r="BQ735" s="71">
        <v>0</v>
      </c>
      <c r="BR735" s="71">
        <v>0</v>
      </c>
      <c r="BS735" s="71">
        <v>0</v>
      </c>
      <c r="BT735" s="72">
        <v>0</v>
      </c>
      <c r="BU735" s="73"/>
      <c r="BV735" s="73"/>
    </row>
    <row r="736" ht="30" customHeight="1" spans="1:74">
      <c r="A736" s="55" t="s">
        <v>165</v>
      </c>
      <c r="B736" s="56" t="s">
        <v>1057</v>
      </c>
      <c r="C736" s="57" t="s">
        <v>1058</v>
      </c>
      <c r="D736" s="59" t="s">
        <v>1247</v>
      </c>
      <c r="E736" s="59" t="s">
        <v>1268</v>
      </c>
      <c r="F736" s="59" t="str">
        <f>VLOOKUP(E736,[1]库存!$B$1:$C$65536,2,FALSE)</f>
        <v>GM 9BYC-D IC LH B状态 (埃)</v>
      </c>
      <c r="G736" s="59" t="s">
        <v>1269</v>
      </c>
      <c r="H736" s="59" t="s">
        <v>1270</v>
      </c>
      <c r="I736" s="59" t="s">
        <v>1264</v>
      </c>
      <c r="J736" s="81"/>
      <c r="K736" s="61"/>
      <c r="L736" s="62">
        <v>3</v>
      </c>
      <c r="M736" s="63">
        <v>600</v>
      </c>
      <c r="N736" s="64">
        <v>16</v>
      </c>
      <c r="O736" s="62">
        <v>3</v>
      </c>
      <c r="P736" s="65">
        <f t="shared" si="47"/>
        <v>0</v>
      </c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  <c r="BD736" s="66"/>
      <c r="BE736" s="67"/>
      <c r="BF736" s="67"/>
      <c r="BG736" s="68"/>
      <c r="BI736" s="69">
        <v>0</v>
      </c>
      <c r="BJ736" s="70">
        <v>0</v>
      </c>
      <c r="BK736" s="71">
        <v>0</v>
      </c>
      <c r="BL736" s="71">
        <v>0</v>
      </c>
      <c r="BM736" s="71">
        <v>0</v>
      </c>
      <c r="BN736" s="72">
        <v>0</v>
      </c>
      <c r="BO736" s="151" t="e">
        <f t="shared" si="45"/>
        <v>#DIV/0!</v>
      </c>
      <c r="BP736" s="151" t="e">
        <f t="shared" si="46"/>
        <v>#DIV/0!</v>
      </c>
      <c r="BQ736" s="71">
        <v>0</v>
      </c>
      <c r="BR736" s="71">
        <v>0</v>
      </c>
      <c r="BS736" s="71">
        <v>0</v>
      </c>
      <c r="BT736" s="72">
        <v>0</v>
      </c>
      <c r="BU736" s="73"/>
      <c r="BV736" s="73"/>
    </row>
    <row r="737" ht="30" customHeight="1" spans="1:74">
      <c r="A737" s="55">
        <v>0</v>
      </c>
      <c r="B737" s="56">
        <v>0</v>
      </c>
      <c r="C737" s="57">
        <v>0</v>
      </c>
      <c r="D737" s="74"/>
      <c r="E737" s="74"/>
      <c r="F737" s="59" t="e">
        <f>VLOOKUP(E737,[1]库存!$B$1:$C$65536,2,FALSE)</f>
        <v>#N/A</v>
      </c>
      <c r="G737" s="59" t="e">
        <v>#N/A</v>
      </c>
      <c r="H737" s="74"/>
      <c r="I737" s="74"/>
      <c r="J737" s="81"/>
      <c r="K737" s="61"/>
      <c r="L737" s="62">
        <v>0</v>
      </c>
      <c r="M737" s="63">
        <v>0</v>
      </c>
      <c r="N737" s="64">
        <v>0</v>
      </c>
      <c r="O737" s="62">
        <v>0</v>
      </c>
      <c r="P737" s="65">
        <f t="shared" si="47"/>
        <v>0</v>
      </c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  <c r="BD737" s="66"/>
      <c r="BE737" s="67"/>
      <c r="BF737" s="67"/>
      <c r="BG737" s="68"/>
      <c r="BI737" s="69">
        <v>0</v>
      </c>
      <c r="BJ737" s="70">
        <v>0</v>
      </c>
      <c r="BK737" s="71">
        <v>0</v>
      </c>
      <c r="BL737" s="71">
        <v>0</v>
      </c>
      <c r="BM737" s="71">
        <v>0</v>
      </c>
      <c r="BN737" s="72">
        <v>0</v>
      </c>
      <c r="BO737" s="151" t="e">
        <f t="shared" si="45"/>
        <v>#DIV/0!</v>
      </c>
      <c r="BP737" s="151" t="e">
        <f t="shared" si="46"/>
        <v>#DIV/0!</v>
      </c>
      <c r="BQ737" s="71">
        <v>0</v>
      </c>
      <c r="BR737" s="71">
        <v>0</v>
      </c>
      <c r="BS737" s="71">
        <v>0</v>
      </c>
      <c r="BT737" s="72">
        <v>0</v>
      </c>
      <c r="BU737" s="73"/>
      <c r="BV737" s="73"/>
    </row>
    <row r="738" ht="30" customHeight="1" spans="1:74">
      <c r="A738" s="55" t="s">
        <v>165</v>
      </c>
      <c r="B738" s="56" t="s">
        <v>1057</v>
      </c>
      <c r="C738" s="57" t="s">
        <v>1058</v>
      </c>
      <c r="D738" s="59" t="s">
        <v>1247</v>
      </c>
      <c r="E738" s="59" t="s">
        <v>1271</v>
      </c>
      <c r="F738" s="59" t="str">
        <f>VLOOKUP(E738,[1]库存!$B$1:$C$65536,2,FALSE)</f>
        <v>GM 9BYC-D IC RH B状态 (埃)</v>
      </c>
      <c r="G738" s="59" t="s">
        <v>1272</v>
      </c>
      <c r="H738" s="59" t="s">
        <v>1273</v>
      </c>
      <c r="I738" s="59" t="s">
        <v>1264</v>
      </c>
      <c r="J738" s="81"/>
      <c r="K738" s="61"/>
      <c r="L738" s="62">
        <v>3</v>
      </c>
      <c r="M738" s="63">
        <v>600</v>
      </c>
      <c r="N738" s="64">
        <v>16</v>
      </c>
      <c r="O738" s="62">
        <v>3</v>
      </c>
      <c r="P738" s="65">
        <f t="shared" si="47"/>
        <v>0</v>
      </c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  <c r="BD738" s="66"/>
      <c r="BE738" s="67"/>
      <c r="BF738" s="67"/>
      <c r="BG738" s="68"/>
      <c r="BI738" s="69">
        <v>0</v>
      </c>
      <c r="BJ738" s="70">
        <v>0</v>
      </c>
      <c r="BK738" s="71">
        <v>0</v>
      </c>
      <c r="BL738" s="71">
        <v>0</v>
      </c>
      <c r="BM738" s="71">
        <v>0</v>
      </c>
      <c r="BN738" s="72">
        <v>0</v>
      </c>
      <c r="BO738" s="151" t="e">
        <f t="shared" si="45"/>
        <v>#DIV/0!</v>
      </c>
      <c r="BP738" s="151" t="e">
        <f t="shared" si="46"/>
        <v>#DIV/0!</v>
      </c>
      <c r="BQ738" s="71">
        <v>0</v>
      </c>
      <c r="BR738" s="71">
        <v>0</v>
      </c>
      <c r="BS738" s="71">
        <v>0</v>
      </c>
      <c r="BT738" s="72">
        <v>0</v>
      </c>
      <c r="BU738" s="73"/>
      <c r="BV738" s="73"/>
    </row>
    <row r="739" ht="30" customHeight="1" spans="1:74">
      <c r="A739" s="55">
        <v>0</v>
      </c>
      <c r="B739" s="56">
        <v>0</v>
      </c>
      <c r="C739" s="57">
        <v>0</v>
      </c>
      <c r="D739" s="74"/>
      <c r="E739" s="74"/>
      <c r="F739" s="59" t="e">
        <f>VLOOKUP(E739,[1]库存!$B$1:$C$65536,2,FALSE)</f>
        <v>#N/A</v>
      </c>
      <c r="G739" s="59" t="e">
        <v>#N/A</v>
      </c>
      <c r="H739" s="74"/>
      <c r="I739" s="74"/>
      <c r="J739" s="81"/>
      <c r="K739" s="61"/>
      <c r="L739" s="62">
        <v>0</v>
      </c>
      <c r="M739" s="63">
        <v>0</v>
      </c>
      <c r="N739" s="64">
        <v>0</v>
      </c>
      <c r="O739" s="62">
        <v>0</v>
      </c>
      <c r="P739" s="65">
        <f t="shared" si="47"/>
        <v>0</v>
      </c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  <c r="BD739" s="66"/>
      <c r="BE739" s="67"/>
      <c r="BF739" s="67"/>
      <c r="BG739" s="68"/>
      <c r="BI739" s="69">
        <v>0</v>
      </c>
      <c r="BJ739" s="70">
        <v>0</v>
      </c>
      <c r="BK739" s="71">
        <v>0</v>
      </c>
      <c r="BL739" s="71">
        <v>0</v>
      </c>
      <c r="BM739" s="71">
        <v>0</v>
      </c>
      <c r="BN739" s="72">
        <v>0</v>
      </c>
      <c r="BO739" s="151" t="e">
        <f t="shared" si="45"/>
        <v>#DIV/0!</v>
      </c>
      <c r="BP739" s="151" t="e">
        <f t="shared" si="46"/>
        <v>#DIV/0!</v>
      </c>
      <c r="BQ739" s="71">
        <v>0</v>
      </c>
      <c r="BR739" s="71">
        <v>0</v>
      </c>
      <c r="BS739" s="71">
        <v>0</v>
      </c>
      <c r="BT739" s="72">
        <v>0</v>
      </c>
      <c r="BU739" s="73"/>
      <c r="BV739" s="73"/>
    </row>
    <row r="740" ht="30" customHeight="1" spans="1:74">
      <c r="A740" s="55">
        <v>0</v>
      </c>
      <c r="B740" s="56" t="s">
        <v>1237</v>
      </c>
      <c r="C740" s="57" t="s">
        <v>1238</v>
      </c>
      <c r="D740" s="59" t="s">
        <v>1274</v>
      </c>
      <c r="E740" s="59"/>
      <c r="F740" s="59" t="e">
        <f>VLOOKUP(E740,[1]库存!$B$1:$C$65536,2,FALSE)</f>
        <v>#N/A</v>
      </c>
      <c r="G740" s="59" t="e">
        <v>#N/A</v>
      </c>
      <c r="H740" s="59" t="s">
        <v>1275</v>
      </c>
      <c r="I740" s="59" t="s">
        <v>1276</v>
      </c>
      <c r="J740" s="63"/>
      <c r="K740" s="61"/>
      <c r="L740" s="62">
        <v>1</v>
      </c>
      <c r="M740" s="63">
        <v>600</v>
      </c>
      <c r="N740" s="64">
        <v>2</v>
      </c>
      <c r="O740" s="62">
        <v>1</v>
      </c>
      <c r="P740" s="65">
        <f t="shared" si="47"/>
        <v>0</v>
      </c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  <c r="BD740" s="66"/>
      <c r="BE740" s="67"/>
      <c r="BF740" s="67"/>
      <c r="BG740" s="68"/>
      <c r="BI740" s="69">
        <v>0</v>
      </c>
      <c r="BJ740" s="70">
        <v>0</v>
      </c>
      <c r="BK740" s="71">
        <v>0</v>
      </c>
      <c r="BL740" s="71">
        <v>0</v>
      </c>
      <c r="BM740" s="71">
        <v>0</v>
      </c>
      <c r="BN740" s="72">
        <v>0</v>
      </c>
      <c r="BO740" s="151" t="e">
        <f t="shared" si="45"/>
        <v>#DIV/0!</v>
      </c>
      <c r="BP740" s="151" t="e">
        <f t="shared" si="46"/>
        <v>#DIV/0!</v>
      </c>
      <c r="BQ740" s="71">
        <v>0</v>
      </c>
      <c r="BR740" s="71">
        <v>0</v>
      </c>
      <c r="BS740" s="71">
        <v>0</v>
      </c>
      <c r="BT740" s="72">
        <v>0</v>
      </c>
      <c r="BU740" s="73"/>
      <c r="BV740" s="73"/>
    </row>
    <row r="741" ht="30" customHeight="1" spans="1:74">
      <c r="A741" s="55">
        <v>0</v>
      </c>
      <c r="B741" s="56">
        <v>0</v>
      </c>
      <c r="C741" s="57">
        <v>0</v>
      </c>
      <c r="D741" s="74"/>
      <c r="E741" s="74"/>
      <c r="F741" s="59" t="e">
        <f>VLOOKUP(E741,[1]库存!$B$1:$C$65536,2,FALSE)</f>
        <v>#N/A</v>
      </c>
      <c r="G741" s="59" t="e">
        <v>#N/A</v>
      </c>
      <c r="H741" s="74"/>
      <c r="I741" s="74"/>
      <c r="J741" s="87"/>
      <c r="K741" s="61"/>
      <c r="L741" s="62">
        <v>0</v>
      </c>
      <c r="M741" s="63">
        <v>0</v>
      </c>
      <c r="N741" s="64">
        <v>0</v>
      </c>
      <c r="O741" s="62">
        <v>0</v>
      </c>
      <c r="P741" s="65">
        <f t="shared" si="47"/>
        <v>0</v>
      </c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  <c r="BD741" s="66"/>
      <c r="BE741" s="67"/>
      <c r="BF741" s="67"/>
      <c r="BG741" s="68"/>
      <c r="BI741" s="69">
        <v>0</v>
      </c>
      <c r="BJ741" s="70">
        <v>0</v>
      </c>
      <c r="BK741" s="71">
        <v>0</v>
      </c>
      <c r="BL741" s="71">
        <v>0</v>
      </c>
      <c r="BM741" s="71">
        <v>0</v>
      </c>
      <c r="BN741" s="72">
        <v>0</v>
      </c>
      <c r="BO741" s="151" t="e">
        <f t="shared" ref="BO741:BO804" si="48">(BK741+BL741)/BJ741</f>
        <v>#DIV/0!</v>
      </c>
      <c r="BP741" s="151" t="e">
        <f t="shared" ref="BP741:BP804" si="49">BM741/BJ741</f>
        <v>#DIV/0!</v>
      </c>
      <c r="BQ741" s="71">
        <v>0</v>
      </c>
      <c r="BR741" s="71">
        <v>0</v>
      </c>
      <c r="BS741" s="71">
        <v>0</v>
      </c>
      <c r="BT741" s="72">
        <v>0</v>
      </c>
      <c r="BU741" s="73"/>
      <c r="BV741" s="73"/>
    </row>
    <row r="742" ht="30" customHeight="1" spans="1:74">
      <c r="A742" s="55">
        <v>0</v>
      </c>
      <c r="B742" s="56" t="s">
        <v>1057</v>
      </c>
      <c r="C742" s="57" t="s">
        <v>1058</v>
      </c>
      <c r="D742" s="59" t="s">
        <v>1247</v>
      </c>
      <c r="E742" s="59"/>
      <c r="F742" s="59" t="e">
        <f>VLOOKUP(E742,[1]库存!$B$1:$C$65536,2,FALSE)</f>
        <v>#N/A</v>
      </c>
      <c r="G742" s="59" t="e">
        <v>#N/A</v>
      </c>
      <c r="H742" s="59" t="s">
        <v>1277</v>
      </c>
      <c r="I742" s="59" t="s">
        <v>1276</v>
      </c>
      <c r="J742" s="63"/>
      <c r="K742" s="61"/>
      <c r="L742" s="62">
        <v>2</v>
      </c>
      <c r="M742" s="63">
        <v>600</v>
      </c>
      <c r="N742" s="64">
        <v>17</v>
      </c>
      <c r="O742" s="62">
        <v>2</v>
      </c>
      <c r="P742" s="65">
        <f t="shared" si="47"/>
        <v>0</v>
      </c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  <c r="BD742" s="66"/>
      <c r="BE742" s="67"/>
      <c r="BF742" s="67"/>
      <c r="BG742" s="68"/>
      <c r="BI742" s="69">
        <v>0</v>
      </c>
      <c r="BJ742" s="70">
        <v>0</v>
      </c>
      <c r="BK742" s="71">
        <v>0</v>
      </c>
      <c r="BL742" s="71">
        <v>0</v>
      </c>
      <c r="BM742" s="71">
        <v>0</v>
      </c>
      <c r="BN742" s="72">
        <v>0</v>
      </c>
      <c r="BO742" s="151" t="e">
        <f t="shared" si="48"/>
        <v>#DIV/0!</v>
      </c>
      <c r="BP742" s="151" t="e">
        <f t="shared" si="49"/>
        <v>#DIV/0!</v>
      </c>
      <c r="BQ742" s="71">
        <v>0</v>
      </c>
      <c r="BR742" s="71">
        <v>0</v>
      </c>
      <c r="BS742" s="71">
        <v>0</v>
      </c>
      <c r="BT742" s="72">
        <v>0</v>
      </c>
      <c r="BU742" s="73"/>
      <c r="BV742" s="73"/>
    </row>
    <row r="743" ht="30" customHeight="1" spans="1:74">
      <c r="A743" s="55">
        <v>0</v>
      </c>
      <c r="B743" s="56">
        <v>0</v>
      </c>
      <c r="C743" s="57">
        <v>0</v>
      </c>
      <c r="D743" s="74"/>
      <c r="E743" s="74"/>
      <c r="F743" s="59" t="e">
        <f>VLOOKUP(E743,[1]库存!$B$1:$C$65536,2,FALSE)</f>
        <v>#N/A</v>
      </c>
      <c r="G743" s="59" t="e">
        <v>#N/A</v>
      </c>
      <c r="H743" s="74"/>
      <c r="I743" s="74"/>
      <c r="J743" s="87"/>
      <c r="K743" s="61"/>
      <c r="L743" s="62">
        <v>0</v>
      </c>
      <c r="M743" s="63">
        <v>0</v>
      </c>
      <c r="N743" s="64">
        <v>0</v>
      </c>
      <c r="O743" s="62">
        <v>0</v>
      </c>
      <c r="P743" s="65">
        <f t="shared" si="47"/>
        <v>0</v>
      </c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  <c r="BD743" s="66"/>
      <c r="BE743" s="67"/>
      <c r="BF743" s="67"/>
      <c r="BG743" s="68"/>
      <c r="BI743" s="69">
        <v>0</v>
      </c>
      <c r="BJ743" s="70">
        <v>0</v>
      </c>
      <c r="BK743" s="71">
        <v>0</v>
      </c>
      <c r="BL743" s="71">
        <v>0</v>
      </c>
      <c r="BM743" s="71">
        <v>0</v>
      </c>
      <c r="BN743" s="72">
        <v>0</v>
      </c>
      <c r="BO743" s="151" t="e">
        <f t="shared" si="48"/>
        <v>#DIV/0!</v>
      </c>
      <c r="BP743" s="151" t="e">
        <f t="shared" si="49"/>
        <v>#DIV/0!</v>
      </c>
      <c r="BQ743" s="71">
        <v>0</v>
      </c>
      <c r="BR743" s="71">
        <v>0</v>
      </c>
      <c r="BS743" s="71">
        <v>0</v>
      </c>
      <c r="BT743" s="72">
        <v>0</v>
      </c>
      <c r="BU743" s="73"/>
      <c r="BV743" s="73"/>
    </row>
    <row r="744" ht="30" customHeight="1" spans="1:74">
      <c r="A744" s="55">
        <v>0</v>
      </c>
      <c r="B744" s="56">
        <v>0</v>
      </c>
      <c r="C744" s="57">
        <v>0</v>
      </c>
      <c r="E744" s="88"/>
      <c r="F744" s="59" t="e">
        <f>VLOOKUP(E744,[1]库存!$B$1:$C$65536,2,FALSE)</f>
        <v>#N/A</v>
      </c>
      <c r="G744" s="59" t="e">
        <v>#N/A</v>
      </c>
      <c r="H744" s="89"/>
      <c r="I744" s="88"/>
      <c r="J744" s="90"/>
      <c r="K744" s="61"/>
      <c r="L744" s="62">
        <v>0</v>
      </c>
      <c r="M744" s="63">
        <v>0</v>
      </c>
      <c r="N744" s="64">
        <v>0</v>
      </c>
      <c r="O744" s="62">
        <v>0</v>
      </c>
      <c r="P744" s="65">
        <f t="shared" si="47"/>
        <v>0</v>
      </c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  <c r="AC744" s="149"/>
      <c r="AD744" s="149"/>
      <c r="AE744" s="149"/>
      <c r="AF744" s="149"/>
      <c r="AG744" s="149"/>
      <c r="AH744" s="149"/>
      <c r="AI744" s="149"/>
      <c r="AJ744" s="149"/>
      <c r="AK744" s="149"/>
      <c r="AL744" s="149"/>
      <c r="AM744" s="149"/>
      <c r="AN744" s="149"/>
      <c r="AO744" s="149"/>
      <c r="AP744" s="149"/>
      <c r="AQ744" s="149"/>
      <c r="AR744" s="149"/>
      <c r="AS744" s="149"/>
      <c r="AT744" s="149"/>
      <c r="AU744" s="149"/>
      <c r="AV744" s="149"/>
      <c r="AW744" s="149"/>
      <c r="AX744" s="149"/>
      <c r="AY744" s="149"/>
      <c r="AZ744" s="149"/>
      <c r="BA744" s="149"/>
      <c r="BB744" s="149"/>
      <c r="BC744" s="149"/>
      <c r="BD744" s="149"/>
      <c r="BE744" s="150"/>
      <c r="BF744" s="150"/>
      <c r="BG744" s="68"/>
      <c r="BI744" s="69">
        <v>0</v>
      </c>
      <c r="BJ744" s="70">
        <v>0</v>
      </c>
      <c r="BK744" s="71">
        <v>0</v>
      </c>
      <c r="BL744" s="71">
        <v>0</v>
      </c>
      <c r="BM744" s="71">
        <v>0</v>
      </c>
      <c r="BN744" s="72">
        <v>0</v>
      </c>
      <c r="BO744" s="151" t="e">
        <f t="shared" si="48"/>
        <v>#DIV/0!</v>
      </c>
      <c r="BP744" s="151" t="e">
        <f t="shared" si="49"/>
        <v>#DIV/0!</v>
      </c>
      <c r="BQ744" s="71">
        <v>0</v>
      </c>
      <c r="BR744" s="71">
        <v>0</v>
      </c>
      <c r="BS744" s="71">
        <v>0</v>
      </c>
      <c r="BT744" s="72">
        <v>0</v>
      </c>
      <c r="BU744" s="73"/>
      <c r="BV744" s="73"/>
    </row>
    <row r="745" ht="30" customHeight="1" spans="1:74">
      <c r="A745" s="55" t="s">
        <v>211</v>
      </c>
      <c r="B745" s="56" t="s">
        <v>1057</v>
      </c>
      <c r="C745" s="57" t="s">
        <v>1124</v>
      </c>
      <c r="D745" s="91" t="s">
        <v>1278</v>
      </c>
      <c r="E745" s="91" t="s">
        <v>1279</v>
      </c>
      <c r="F745" s="91" t="str">
        <f>VLOOKUP(E745,[1]库存!$B$1:$C$65536,2,FALSE)</f>
        <v>EWEA PAB</v>
      </c>
      <c r="G745" s="91" t="s">
        <v>1280</v>
      </c>
      <c r="H745" s="91" t="s">
        <v>1281</v>
      </c>
      <c r="I745" s="91" t="s">
        <v>1231</v>
      </c>
      <c r="J745" s="63"/>
      <c r="K745" s="61"/>
      <c r="L745" s="62">
        <v>2</v>
      </c>
      <c r="M745" s="63">
        <v>700</v>
      </c>
      <c r="N745" s="64">
        <v>23</v>
      </c>
      <c r="O745" s="62">
        <v>2</v>
      </c>
      <c r="P745" s="65">
        <f t="shared" si="47"/>
        <v>0</v>
      </c>
      <c r="Q745" s="66">
        <v>1150</v>
      </c>
      <c r="R745" s="66"/>
      <c r="S745" s="66">
        <v>400</v>
      </c>
      <c r="T745" s="66"/>
      <c r="U745" s="66">
        <v>1150</v>
      </c>
      <c r="V745" s="66"/>
      <c r="W745" s="66">
        <v>0</v>
      </c>
      <c r="X745" s="66"/>
      <c r="Y745" s="66">
        <v>0</v>
      </c>
      <c r="Z745" s="66"/>
      <c r="AA745" s="66">
        <v>1150</v>
      </c>
      <c r="AB745" s="66"/>
      <c r="AC745" s="66">
        <v>1150</v>
      </c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  <c r="BD745" s="66"/>
      <c r="BE745" s="67"/>
      <c r="BF745" s="67"/>
      <c r="BG745" s="68"/>
      <c r="BI745" s="69">
        <v>0</v>
      </c>
      <c r="BJ745" s="70">
        <v>0</v>
      </c>
      <c r="BK745" s="71">
        <v>0</v>
      </c>
      <c r="BL745" s="71">
        <v>0</v>
      </c>
      <c r="BM745" s="71">
        <v>0</v>
      </c>
      <c r="BN745" s="72">
        <v>0</v>
      </c>
      <c r="BO745" s="151" t="e">
        <f t="shared" si="48"/>
        <v>#DIV/0!</v>
      </c>
      <c r="BP745" s="151" t="e">
        <f t="shared" si="49"/>
        <v>#DIV/0!</v>
      </c>
      <c r="BQ745" s="71">
        <v>0</v>
      </c>
      <c r="BR745" s="71">
        <v>0</v>
      </c>
      <c r="BS745" s="71">
        <v>0</v>
      </c>
      <c r="BT745" s="72">
        <v>0</v>
      </c>
      <c r="BU745" s="73"/>
      <c r="BV745" s="73"/>
    </row>
    <row r="746" ht="30" customHeight="1" spans="1:74">
      <c r="A746" s="55">
        <v>0</v>
      </c>
      <c r="B746" s="56">
        <v>0</v>
      </c>
      <c r="C746" s="57">
        <v>0</v>
      </c>
      <c r="D746" s="92"/>
      <c r="E746" s="92"/>
      <c r="F746" s="91" t="e">
        <f>VLOOKUP(E746,[1]库存!$B$1:$C$65536,2,FALSE)</f>
        <v>#N/A</v>
      </c>
      <c r="G746" s="91" t="e">
        <v>#N/A</v>
      </c>
      <c r="H746" s="92"/>
      <c r="I746" s="92"/>
      <c r="J746" s="87"/>
      <c r="K746" s="61"/>
      <c r="L746" s="62">
        <v>0</v>
      </c>
      <c r="M746" s="63">
        <v>0</v>
      </c>
      <c r="N746" s="64">
        <v>0</v>
      </c>
      <c r="O746" s="62">
        <v>0</v>
      </c>
      <c r="P746" s="65">
        <f t="shared" si="47"/>
        <v>0</v>
      </c>
      <c r="Q746" s="66">
        <v>1031</v>
      </c>
      <c r="R746" s="66"/>
      <c r="S746" s="66">
        <v>656</v>
      </c>
      <c r="T746" s="66"/>
      <c r="U746" s="66">
        <v>1013</v>
      </c>
      <c r="V746" s="66"/>
      <c r="W746" s="66"/>
      <c r="X746" s="66"/>
      <c r="Y746" s="66"/>
      <c r="Z746" s="66"/>
      <c r="AA746" s="66">
        <v>1095</v>
      </c>
      <c r="AB746" s="66"/>
      <c r="AC746" s="66">
        <v>1105</v>
      </c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66"/>
      <c r="AU746" s="66"/>
      <c r="AV746" s="66"/>
      <c r="AW746" s="66"/>
      <c r="AX746" s="66"/>
      <c r="AY746" s="66"/>
      <c r="AZ746" s="66"/>
      <c r="BA746" s="66"/>
      <c r="BB746" s="66"/>
      <c r="BC746" s="66"/>
      <c r="BD746" s="66"/>
      <c r="BE746" s="67"/>
      <c r="BF746" s="67"/>
      <c r="BG746" s="68"/>
      <c r="BI746" s="69">
        <v>0</v>
      </c>
      <c r="BJ746" s="70">
        <v>0</v>
      </c>
      <c r="BK746" s="71">
        <v>0</v>
      </c>
      <c r="BL746" s="71">
        <v>0</v>
      </c>
      <c r="BM746" s="71">
        <v>0</v>
      </c>
      <c r="BN746" s="72">
        <v>0</v>
      </c>
      <c r="BO746" s="151" t="e">
        <f t="shared" si="48"/>
        <v>#DIV/0!</v>
      </c>
      <c r="BP746" s="151" t="e">
        <f t="shared" si="49"/>
        <v>#DIV/0!</v>
      </c>
      <c r="BQ746" s="71">
        <v>0</v>
      </c>
      <c r="BR746" s="71">
        <v>0</v>
      </c>
      <c r="BS746" s="71">
        <v>0</v>
      </c>
      <c r="BT746" s="72">
        <v>0</v>
      </c>
      <c r="BU746" s="73"/>
      <c r="BV746" s="73"/>
    </row>
    <row r="747" ht="30" customHeight="1" spans="1:74">
      <c r="A747" s="55" t="s">
        <v>211</v>
      </c>
      <c r="B747" s="56" t="s">
        <v>1057</v>
      </c>
      <c r="C747" s="57" t="s">
        <v>1124</v>
      </c>
      <c r="D747" s="59" t="s">
        <v>1278</v>
      </c>
      <c r="E747" s="59" t="s">
        <v>1282</v>
      </c>
      <c r="F747" s="59" t="str">
        <f>VLOOKUP(E747,[1]库存!$B$1:$C$65536,2,FALSE)</f>
        <v>B41V PAB</v>
      </c>
      <c r="G747" s="59" t="s">
        <v>1283</v>
      </c>
      <c r="H747" s="59" t="s">
        <v>1284</v>
      </c>
      <c r="I747" s="59" t="s">
        <v>397</v>
      </c>
      <c r="J747" s="206" t="s">
        <v>1285</v>
      </c>
      <c r="K747" s="61"/>
      <c r="L747" s="62">
        <v>2</v>
      </c>
      <c r="M747" s="63">
        <v>700</v>
      </c>
      <c r="N747" s="64">
        <v>14</v>
      </c>
      <c r="O747" s="62">
        <v>2</v>
      </c>
      <c r="P747" s="65">
        <f t="shared" si="47"/>
        <v>0</v>
      </c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  <c r="AS747" s="66"/>
      <c r="AT747" s="66"/>
      <c r="AU747" s="66"/>
      <c r="AV747" s="66"/>
      <c r="AW747" s="66"/>
      <c r="AX747" s="66"/>
      <c r="AY747" s="66"/>
      <c r="AZ747" s="66"/>
      <c r="BA747" s="66"/>
      <c r="BB747" s="66"/>
      <c r="BC747" s="66"/>
      <c r="BD747" s="66"/>
      <c r="BE747" s="67"/>
      <c r="BF747" s="67"/>
      <c r="BG747" s="68"/>
      <c r="BI747" s="69">
        <v>0</v>
      </c>
      <c r="BJ747" s="70">
        <v>0</v>
      </c>
      <c r="BK747" s="71">
        <v>0</v>
      </c>
      <c r="BL747" s="71">
        <v>0</v>
      </c>
      <c r="BM747" s="71">
        <v>0</v>
      </c>
      <c r="BN747" s="72">
        <v>0</v>
      </c>
      <c r="BO747" s="151" t="e">
        <f t="shared" si="48"/>
        <v>#DIV/0!</v>
      </c>
      <c r="BP747" s="151" t="e">
        <f t="shared" si="49"/>
        <v>#DIV/0!</v>
      </c>
      <c r="BQ747" s="71">
        <v>0</v>
      </c>
      <c r="BR747" s="71">
        <v>0</v>
      </c>
      <c r="BS747" s="71">
        <v>0</v>
      </c>
      <c r="BT747" s="72">
        <v>0</v>
      </c>
      <c r="BU747" s="73"/>
      <c r="BV747" s="73"/>
    </row>
    <row r="748" ht="30" customHeight="1" spans="1:74">
      <c r="A748" s="55">
        <v>0</v>
      </c>
      <c r="B748" s="56">
        <v>0</v>
      </c>
      <c r="C748" s="57">
        <v>0</v>
      </c>
      <c r="D748" s="74"/>
      <c r="E748" s="74"/>
      <c r="F748" s="59" t="e">
        <f>VLOOKUP(E748,[1]库存!$B$1:$C$65536,2,FALSE)</f>
        <v>#N/A</v>
      </c>
      <c r="G748" s="59" t="e">
        <v>#N/A</v>
      </c>
      <c r="H748" s="74"/>
      <c r="I748" s="74"/>
      <c r="J748" s="207"/>
      <c r="K748" s="61"/>
      <c r="L748" s="62">
        <v>0</v>
      </c>
      <c r="M748" s="63">
        <v>0</v>
      </c>
      <c r="N748" s="64">
        <v>0</v>
      </c>
      <c r="O748" s="62">
        <v>0</v>
      </c>
      <c r="P748" s="65">
        <f t="shared" si="47"/>
        <v>0</v>
      </c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66"/>
      <c r="AU748" s="66"/>
      <c r="AV748" s="66"/>
      <c r="AW748" s="66"/>
      <c r="AX748" s="66"/>
      <c r="AY748" s="66"/>
      <c r="AZ748" s="66"/>
      <c r="BA748" s="66"/>
      <c r="BB748" s="66"/>
      <c r="BC748" s="66"/>
      <c r="BD748" s="66"/>
      <c r="BE748" s="67"/>
      <c r="BF748" s="67"/>
      <c r="BG748" s="68"/>
      <c r="BI748" s="69">
        <v>0</v>
      </c>
      <c r="BJ748" s="70">
        <v>0</v>
      </c>
      <c r="BK748" s="71">
        <v>0</v>
      </c>
      <c r="BL748" s="71">
        <v>0</v>
      </c>
      <c r="BM748" s="71">
        <v>0</v>
      </c>
      <c r="BN748" s="72">
        <v>0</v>
      </c>
      <c r="BO748" s="151" t="e">
        <f t="shared" si="48"/>
        <v>#DIV/0!</v>
      </c>
      <c r="BP748" s="151" t="e">
        <f t="shared" si="49"/>
        <v>#DIV/0!</v>
      </c>
      <c r="BQ748" s="71">
        <v>0</v>
      </c>
      <c r="BR748" s="71">
        <v>0</v>
      </c>
      <c r="BS748" s="71">
        <v>0</v>
      </c>
      <c r="BT748" s="72">
        <v>0</v>
      </c>
      <c r="BU748" s="73"/>
      <c r="BV748" s="73"/>
    </row>
    <row r="749" ht="30" customHeight="1" spans="1:74">
      <c r="A749" s="55" t="s">
        <v>211</v>
      </c>
      <c r="B749" s="56" t="s">
        <v>1057</v>
      </c>
      <c r="C749" s="57" t="s">
        <v>1124</v>
      </c>
      <c r="D749" s="59" t="s">
        <v>1278</v>
      </c>
      <c r="E749" s="59" t="s">
        <v>1286</v>
      </c>
      <c r="F749" s="59" t="str">
        <f>VLOOKUP(E749,[1]库存!$B$1:$C$65536,2,FALSE)</f>
        <v>LK-D4 PAB</v>
      </c>
      <c r="G749" s="59" t="s">
        <v>1287</v>
      </c>
      <c r="H749" s="59" t="s">
        <v>1288</v>
      </c>
      <c r="I749" s="59" t="s">
        <v>1289</v>
      </c>
      <c r="J749" s="117" t="s">
        <v>1290</v>
      </c>
      <c r="K749" s="61"/>
      <c r="L749" s="62">
        <v>2</v>
      </c>
      <c r="M749" s="63">
        <v>1600</v>
      </c>
      <c r="N749" s="64">
        <v>13</v>
      </c>
      <c r="O749" s="62">
        <v>2</v>
      </c>
      <c r="P749" s="65">
        <f t="shared" si="47"/>
        <v>0</v>
      </c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66"/>
      <c r="AU749" s="66"/>
      <c r="AV749" s="66"/>
      <c r="AW749" s="66"/>
      <c r="AX749" s="66"/>
      <c r="AY749" s="66"/>
      <c r="AZ749" s="66"/>
      <c r="BA749" s="66"/>
      <c r="BB749" s="66"/>
      <c r="BC749" s="66"/>
      <c r="BD749" s="66"/>
      <c r="BE749" s="67"/>
      <c r="BF749" s="67"/>
      <c r="BG749" s="68"/>
      <c r="BI749" s="69">
        <v>0</v>
      </c>
      <c r="BJ749" s="70">
        <v>0</v>
      </c>
      <c r="BK749" s="71">
        <v>0</v>
      </c>
      <c r="BL749" s="71">
        <v>0</v>
      </c>
      <c r="BM749" s="71">
        <v>0</v>
      </c>
      <c r="BN749" s="72">
        <v>0</v>
      </c>
      <c r="BO749" s="151" t="e">
        <f t="shared" si="48"/>
        <v>#DIV/0!</v>
      </c>
      <c r="BP749" s="151" t="e">
        <f t="shared" si="49"/>
        <v>#DIV/0!</v>
      </c>
      <c r="BQ749" s="71">
        <v>0</v>
      </c>
      <c r="BR749" s="71">
        <v>0</v>
      </c>
      <c r="BS749" s="71">
        <v>0</v>
      </c>
      <c r="BT749" s="72">
        <v>0</v>
      </c>
      <c r="BU749" s="73"/>
      <c r="BV749" s="73"/>
    </row>
    <row r="750" ht="30" customHeight="1" spans="1:74">
      <c r="A750" s="55">
        <v>0</v>
      </c>
      <c r="B750" s="56">
        <v>0</v>
      </c>
      <c r="C750" s="57">
        <v>0</v>
      </c>
      <c r="D750" s="74"/>
      <c r="E750" s="74"/>
      <c r="F750" s="59" t="e">
        <f>VLOOKUP(E750,[1]库存!$B$1:$C$65536,2,FALSE)</f>
        <v>#N/A</v>
      </c>
      <c r="G750" s="59" t="e">
        <v>#N/A</v>
      </c>
      <c r="H750" s="74"/>
      <c r="I750" s="74"/>
      <c r="J750" s="162"/>
      <c r="K750" s="61"/>
      <c r="L750" s="62">
        <v>0</v>
      </c>
      <c r="M750" s="63">
        <v>0</v>
      </c>
      <c r="N750" s="64">
        <v>0</v>
      </c>
      <c r="O750" s="62">
        <v>0</v>
      </c>
      <c r="P750" s="65">
        <f t="shared" si="47"/>
        <v>0</v>
      </c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6"/>
      <c r="BB750" s="66"/>
      <c r="BC750" s="66"/>
      <c r="BD750" s="66"/>
      <c r="BE750" s="67"/>
      <c r="BF750" s="67"/>
      <c r="BG750" s="68"/>
      <c r="BI750" s="69">
        <v>0</v>
      </c>
      <c r="BJ750" s="70">
        <v>0</v>
      </c>
      <c r="BK750" s="71">
        <v>0</v>
      </c>
      <c r="BL750" s="71">
        <v>0</v>
      </c>
      <c r="BM750" s="71">
        <v>0</v>
      </c>
      <c r="BN750" s="72">
        <v>0</v>
      </c>
      <c r="BO750" s="151" t="e">
        <f t="shared" si="48"/>
        <v>#DIV/0!</v>
      </c>
      <c r="BP750" s="151" t="e">
        <f t="shared" si="49"/>
        <v>#DIV/0!</v>
      </c>
      <c r="BQ750" s="71">
        <v>0</v>
      </c>
      <c r="BR750" s="71">
        <v>0</v>
      </c>
      <c r="BS750" s="71">
        <v>0</v>
      </c>
      <c r="BT750" s="72">
        <v>0</v>
      </c>
      <c r="BU750" s="73"/>
      <c r="BV750" s="73"/>
    </row>
    <row r="751" ht="30" customHeight="1" spans="1:74">
      <c r="A751" s="55" t="s">
        <v>211</v>
      </c>
      <c r="B751" s="56" t="s">
        <v>1057</v>
      </c>
      <c r="C751" s="57" t="s">
        <v>1124</v>
      </c>
      <c r="D751" s="59" t="s">
        <v>1278</v>
      </c>
      <c r="E751" s="59" t="s">
        <v>1291</v>
      </c>
      <c r="F751" s="59" t="str">
        <f>VLOOKUP(E751,[1]库存!$B$1:$C$65536,2,FALSE)</f>
        <v>EWEA D2 PAB</v>
      </c>
      <c r="G751" s="59" t="s">
        <v>1292</v>
      </c>
      <c r="H751" s="208" t="s">
        <v>1293</v>
      </c>
      <c r="I751" s="208" t="s">
        <v>1294</v>
      </c>
      <c r="J751" s="97" t="s">
        <v>65</v>
      </c>
      <c r="K751" s="61"/>
      <c r="L751" s="62">
        <v>2</v>
      </c>
      <c r="M751" s="63">
        <v>900</v>
      </c>
      <c r="N751" s="64">
        <v>21</v>
      </c>
      <c r="O751" s="62">
        <v>2</v>
      </c>
      <c r="P751" s="65">
        <f t="shared" si="47"/>
        <v>0</v>
      </c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66"/>
      <c r="AU751" s="66"/>
      <c r="AV751" s="66"/>
      <c r="AW751" s="66"/>
      <c r="AX751" s="66"/>
      <c r="AY751" s="66"/>
      <c r="AZ751" s="66"/>
      <c r="BA751" s="66"/>
      <c r="BB751" s="66"/>
      <c r="BC751" s="66"/>
      <c r="BD751" s="66"/>
      <c r="BE751" s="67"/>
      <c r="BF751" s="67"/>
      <c r="BG751" s="68"/>
      <c r="BI751" s="69">
        <v>0</v>
      </c>
      <c r="BJ751" s="70">
        <v>0</v>
      </c>
      <c r="BK751" s="71">
        <v>0</v>
      </c>
      <c r="BL751" s="71">
        <v>0</v>
      </c>
      <c r="BM751" s="71">
        <v>0</v>
      </c>
      <c r="BN751" s="72">
        <v>0</v>
      </c>
      <c r="BO751" s="151" t="e">
        <f t="shared" si="48"/>
        <v>#DIV/0!</v>
      </c>
      <c r="BP751" s="151" t="e">
        <f t="shared" si="49"/>
        <v>#DIV/0!</v>
      </c>
      <c r="BQ751" s="71">
        <v>0</v>
      </c>
      <c r="BR751" s="71">
        <v>0</v>
      </c>
      <c r="BS751" s="71">
        <v>0</v>
      </c>
      <c r="BT751" s="72">
        <v>0</v>
      </c>
      <c r="BU751" s="73"/>
      <c r="BV751" s="73"/>
    </row>
    <row r="752" ht="30" customHeight="1" spans="1:74">
      <c r="A752" s="55">
        <v>0</v>
      </c>
      <c r="B752" s="56">
        <v>0</v>
      </c>
      <c r="C752" s="57">
        <v>0</v>
      </c>
      <c r="D752" s="74"/>
      <c r="E752" s="74"/>
      <c r="F752" s="59" t="e">
        <f>VLOOKUP(E752,[1]库存!$B$1:$C$65536,2,FALSE)</f>
        <v>#N/A</v>
      </c>
      <c r="G752" s="59" t="e">
        <v>#N/A</v>
      </c>
      <c r="H752" s="209"/>
      <c r="I752" s="209"/>
      <c r="J752" s="98"/>
      <c r="K752" s="61"/>
      <c r="L752" s="62">
        <v>0</v>
      </c>
      <c r="M752" s="63">
        <v>0</v>
      </c>
      <c r="N752" s="64">
        <v>0</v>
      </c>
      <c r="O752" s="62">
        <v>0</v>
      </c>
      <c r="P752" s="65">
        <f t="shared" si="47"/>
        <v>0</v>
      </c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  <c r="AS752" s="66"/>
      <c r="AT752" s="66"/>
      <c r="AU752" s="66"/>
      <c r="AV752" s="66"/>
      <c r="AW752" s="66"/>
      <c r="AX752" s="66"/>
      <c r="AY752" s="66"/>
      <c r="AZ752" s="66"/>
      <c r="BA752" s="66"/>
      <c r="BB752" s="66"/>
      <c r="BC752" s="66"/>
      <c r="BD752" s="66"/>
      <c r="BE752" s="67"/>
      <c r="BF752" s="67"/>
      <c r="BG752" s="68"/>
      <c r="BI752" s="69">
        <v>0</v>
      </c>
      <c r="BJ752" s="70">
        <v>0</v>
      </c>
      <c r="BK752" s="71">
        <v>0</v>
      </c>
      <c r="BL752" s="71">
        <v>0</v>
      </c>
      <c r="BM752" s="71">
        <v>0</v>
      </c>
      <c r="BN752" s="72">
        <v>0</v>
      </c>
      <c r="BO752" s="151" t="e">
        <f t="shared" si="48"/>
        <v>#DIV/0!</v>
      </c>
      <c r="BP752" s="151" t="e">
        <f t="shared" si="49"/>
        <v>#DIV/0!</v>
      </c>
      <c r="BQ752" s="71">
        <v>0</v>
      </c>
      <c r="BR752" s="71">
        <v>0</v>
      </c>
      <c r="BS752" s="71">
        <v>0</v>
      </c>
      <c r="BT752" s="72">
        <v>0</v>
      </c>
      <c r="BU752" s="73"/>
      <c r="BV752" s="73"/>
    </row>
    <row r="753" ht="30" customHeight="1" spans="1:74">
      <c r="A753" s="55" t="s">
        <v>211</v>
      </c>
      <c r="B753" s="56" t="s">
        <v>1057</v>
      </c>
      <c r="C753" s="57" t="s">
        <v>1124</v>
      </c>
      <c r="D753" s="59" t="s">
        <v>1278</v>
      </c>
      <c r="E753" s="59" t="s">
        <v>1295</v>
      </c>
      <c r="F753" s="59" t="str">
        <f>VLOOKUP(E753,[1]库存!$B$1:$C$65536,2,FALSE)</f>
        <v>EWEA D1 PAB</v>
      </c>
      <c r="G753" s="59" t="s">
        <v>1296</v>
      </c>
      <c r="H753" s="59" t="s">
        <v>1297</v>
      </c>
      <c r="I753" s="59" t="s">
        <v>1294</v>
      </c>
      <c r="J753" s="97" t="s">
        <v>65</v>
      </c>
      <c r="K753" s="61"/>
      <c r="L753" s="62">
        <v>2</v>
      </c>
      <c r="M753" s="63">
        <v>900</v>
      </c>
      <c r="N753" s="64">
        <v>23</v>
      </c>
      <c r="O753" s="62">
        <v>2</v>
      </c>
      <c r="P753" s="65">
        <f t="shared" si="47"/>
        <v>0</v>
      </c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66"/>
      <c r="AU753" s="66"/>
      <c r="AV753" s="66"/>
      <c r="AW753" s="66"/>
      <c r="AX753" s="66"/>
      <c r="AY753" s="66"/>
      <c r="AZ753" s="66"/>
      <c r="BA753" s="66"/>
      <c r="BB753" s="66"/>
      <c r="BC753" s="66"/>
      <c r="BD753" s="66"/>
      <c r="BE753" s="67"/>
      <c r="BF753" s="67"/>
      <c r="BG753" s="68"/>
      <c r="BI753" s="69">
        <v>0</v>
      </c>
      <c r="BJ753" s="70">
        <v>0</v>
      </c>
      <c r="BK753" s="71">
        <v>0</v>
      </c>
      <c r="BL753" s="71">
        <v>0</v>
      </c>
      <c r="BM753" s="71">
        <v>0</v>
      </c>
      <c r="BN753" s="72">
        <v>0</v>
      </c>
      <c r="BO753" s="151" t="e">
        <f t="shared" si="48"/>
        <v>#DIV/0!</v>
      </c>
      <c r="BP753" s="151" t="e">
        <f t="shared" si="49"/>
        <v>#DIV/0!</v>
      </c>
      <c r="BQ753" s="71">
        <v>0</v>
      </c>
      <c r="BR753" s="71">
        <v>0</v>
      </c>
      <c r="BS753" s="71">
        <v>0</v>
      </c>
      <c r="BT753" s="72">
        <v>0</v>
      </c>
      <c r="BU753" s="73"/>
      <c r="BV753" s="73"/>
    </row>
    <row r="754" ht="30" customHeight="1" spans="1:74">
      <c r="A754" s="55">
        <v>0</v>
      </c>
      <c r="B754" s="56">
        <v>0</v>
      </c>
      <c r="C754" s="57">
        <v>0</v>
      </c>
      <c r="D754" s="74"/>
      <c r="E754" s="74"/>
      <c r="F754" s="59" t="e">
        <f>VLOOKUP(E754,[1]库存!$B$1:$C$65536,2,FALSE)</f>
        <v>#N/A</v>
      </c>
      <c r="G754" s="59" t="e">
        <v>#N/A</v>
      </c>
      <c r="H754" s="74"/>
      <c r="I754" s="74"/>
      <c r="J754" s="98"/>
      <c r="K754" s="61"/>
      <c r="L754" s="62">
        <v>0</v>
      </c>
      <c r="M754" s="63">
        <v>0</v>
      </c>
      <c r="N754" s="64">
        <v>0</v>
      </c>
      <c r="O754" s="62">
        <v>0</v>
      </c>
      <c r="P754" s="65">
        <f t="shared" si="47"/>
        <v>0</v>
      </c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  <c r="AS754" s="66"/>
      <c r="AT754" s="66"/>
      <c r="AU754" s="66"/>
      <c r="AV754" s="66"/>
      <c r="AW754" s="66"/>
      <c r="AX754" s="66"/>
      <c r="AY754" s="66"/>
      <c r="AZ754" s="66"/>
      <c r="BA754" s="66"/>
      <c r="BB754" s="66"/>
      <c r="BC754" s="66"/>
      <c r="BD754" s="66"/>
      <c r="BE754" s="67"/>
      <c r="BF754" s="67"/>
      <c r="BG754" s="68"/>
      <c r="BI754" s="69">
        <v>0</v>
      </c>
      <c r="BJ754" s="70">
        <v>0</v>
      </c>
      <c r="BK754" s="71">
        <v>0</v>
      </c>
      <c r="BL754" s="71">
        <v>0</v>
      </c>
      <c r="BM754" s="71">
        <v>0</v>
      </c>
      <c r="BN754" s="72">
        <v>0</v>
      </c>
      <c r="BO754" s="151" t="e">
        <f t="shared" si="48"/>
        <v>#DIV/0!</v>
      </c>
      <c r="BP754" s="151" t="e">
        <f t="shared" si="49"/>
        <v>#DIV/0!</v>
      </c>
      <c r="BQ754" s="71">
        <v>0</v>
      </c>
      <c r="BR754" s="71">
        <v>0</v>
      </c>
      <c r="BS754" s="71">
        <v>0</v>
      </c>
      <c r="BT754" s="72">
        <v>0</v>
      </c>
      <c r="BU754" s="73"/>
      <c r="BV754" s="73"/>
    </row>
    <row r="755" ht="30" customHeight="1" spans="1:74">
      <c r="A755" s="55" t="s">
        <v>211</v>
      </c>
      <c r="B755" s="56" t="s">
        <v>1057</v>
      </c>
      <c r="C755" s="57" t="s">
        <v>1124</v>
      </c>
      <c r="D755" s="59" t="s">
        <v>1278</v>
      </c>
      <c r="E755" s="59" t="s">
        <v>498</v>
      </c>
      <c r="F755" s="59" t="str">
        <f>VLOOKUP(E755,[1]库存!$B$1:$C$65536,2,FALSE)</f>
        <v>LKPAB-40 E状态</v>
      </c>
      <c r="G755" s="59" t="s">
        <v>499</v>
      </c>
      <c r="H755" s="59" t="s">
        <v>500</v>
      </c>
      <c r="I755" s="59"/>
      <c r="J755" s="100" t="s">
        <v>1298</v>
      </c>
      <c r="K755" s="61"/>
      <c r="L755" s="62">
        <v>2</v>
      </c>
      <c r="M755" s="63">
        <v>1500</v>
      </c>
      <c r="N755" s="64">
        <v>14</v>
      </c>
      <c r="O755" s="62">
        <v>2</v>
      </c>
      <c r="P755" s="65">
        <f t="shared" si="47"/>
        <v>0</v>
      </c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  <c r="BD755" s="66"/>
      <c r="BE755" s="67"/>
      <c r="BF755" s="67"/>
      <c r="BG755" s="68"/>
      <c r="BI755" s="69">
        <v>0</v>
      </c>
      <c r="BJ755" s="70">
        <v>0</v>
      </c>
      <c r="BK755" s="71">
        <v>0</v>
      </c>
      <c r="BL755" s="71">
        <v>0</v>
      </c>
      <c r="BM755" s="71">
        <v>0</v>
      </c>
      <c r="BN755" s="72">
        <v>0</v>
      </c>
      <c r="BO755" s="151" t="e">
        <f t="shared" si="48"/>
        <v>#DIV/0!</v>
      </c>
      <c r="BP755" s="151" t="e">
        <f t="shared" si="49"/>
        <v>#DIV/0!</v>
      </c>
      <c r="BQ755" s="71">
        <v>0</v>
      </c>
      <c r="BR755" s="71">
        <v>0</v>
      </c>
      <c r="BS755" s="71">
        <v>0</v>
      </c>
      <c r="BT755" s="72">
        <v>0</v>
      </c>
      <c r="BU755" s="73"/>
      <c r="BV755" s="73"/>
    </row>
    <row r="756" ht="30" customHeight="1" spans="1:74">
      <c r="A756" s="55">
        <v>0</v>
      </c>
      <c r="B756" s="56">
        <v>0</v>
      </c>
      <c r="C756" s="57">
        <v>0</v>
      </c>
      <c r="D756" s="74"/>
      <c r="E756" s="74"/>
      <c r="F756" s="59" t="e">
        <f>VLOOKUP(E756,[1]库存!$B$1:$C$65536,2,FALSE)</f>
        <v>#N/A</v>
      </c>
      <c r="G756" s="59" t="e">
        <v>#N/A</v>
      </c>
      <c r="H756" s="74"/>
      <c r="I756" s="74"/>
      <c r="J756" s="101"/>
      <c r="K756" s="61"/>
      <c r="L756" s="62">
        <v>0</v>
      </c>
      <c r="M756" s="63">
        <v>0</v>
      </c>
      <c r="N756" s="64">
        <v>0</v>
      </c>
      <c r="O756" s="62">
        <v>0</v>
      </c>
      <c r="P756" s="65">
        <f t="shared" si="47"/>
        <v>0</v>
      </c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66"/>
      <c r="AU756" s="66"/>
      <c r="AV756" s="66"/>
      <c r="AW756" s="66"/>
      <c r="AX756" s="66"/>
      <c r="AY756" s="66"/>
      <c r="AZ756" s="66"/>
      <c r="BA756" s="66"/>
      <c r="BB756" s="66"/>
      <c r="BC756" s="66"/>
      <c r="BD756" s="66"/>
      <c r="BE756" s="67"/>
      <c r="BF756" s="67"/>
      <c r="BG756" s="68"/>
      <c r="BI756" s="69">
        <v>0</v>
      </c>
      <c r="BJ756" s="70">
        <v>0</v>
      </c>
      <c r="BK756" s="71">
        <v>0</v>
      </c>
      <c r="BL756" s="71">
        <v>0</v>
      </c>
      <c r="BM756" s="71">
        <v>0</v>
      </c>
      <c r="BN756" s="72">
        <v>0</v>
      </c>
      <c r="BO756" s="151" t="e">
        <f t="shared" si="48"/>
        <v>#DIV/0!</v>
      </c>
      <c r="BP756" s="151" t="e">
        <f t="shared" si="49"/>
        <v>#DIV/0!</v>
      </c>
      <c r="BQ756" s="71">
        <v>0</v>
      </c>
      <c r="BR756" s="71">
        <v>0</v>
      </c>
      <c r="BS756" s="71">
        <v>0</v>
      </c>
      <c r="BT756" s="72">
        <v>0</v>
      </c>
      <c r="BU756" s="73"/>
      <c r="BV756" s="73"/>
    </row>
    <row r="757" ht="30" customHeight="1" spans="1:74">
      <c r="A757" s="55">
        <v>0</v>
      </c>
      <c r="B757" s="56" t="s">
        <v>1057</v>
      </c>
      <c r="C757" s="57" t="s">
        <v>1124</v>
      </c>
      <c r="D757" s="59" t="s">
        <v>1278</v>
      </c>
      <c r="E757" s="59"/>
      <c r="F757" s="59" t="e">
        <f>VLOOKUP(E757,[1]库存!$B$1:$C$65536,2,FALSE)</f>
        <v>#N/A</v>
      </c>
      <c r="G757" s="59" t="e">
        <v>#N/A</v>
      </c>
      <c r="H757" s="59" t="s">
        <v>1299</v>
      </c>
      <c r="I757" s="59" t="s">
        <v>1300</v>
      </c>
      <c r="J757" s="63"/>
      <c r="K757" s="61"/>
      <c r="L757" s="62">
        <v>2</v>
      </c>
      <c r="M757" s="63">
        <v>700</v>
      </c>
      <c r="N757" s="64">
        <v>14</v>
      </c>
      <c r="O757" s="62">
        <v>2</v>
      </c>
      <c r="P757" s="65">
        <f t="shared" si="47"/>
        <v>0</v>
      </c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  <c r="AS757" s="66"/>
      <c r="AT757" s="66"/>
      <c r="AU757" s="66"/>
      <c r="AV757" s="66"/>
      <c r="AW757" s="66"/>
      <c r="AX757" s="66"/>
      <c r="AY757" s="66"/>
      <c r="AZ757" s="66"/>
      <c r="BA757" s="66"/>
      <c r="BB757" s="66"/>
      <c r="BC757" s="66"/>
      <c r="BD757" s="66"/>
      <c r="BE757" s="67"/>
      <c r="BF757" s="67"/>
      <c r="BG757" s="68"/>
      <c r="BI757" s="69">
        <v>0</v>
      </c>
      <c r="BJ757" s="70">
        <v>0</v>
      </c>
      <c r="BK757" s="71">
        <v>0</v>
      </c>
      <c r="BL757" s="71">
        <v>0</v>
      </c>
      <c r="BM757" s="71">
        <v>0</v>
      </c>
      <c r="BN757" s="72">
        <v>0</v>
      </c>
      <c r="BO757" s="151" t="e">
        <f t="shared" si="48"/>
        <v>#DIV/0!</v>
      </c>
      <c r="BP757" s="151" t="e">
        <f t="shared" si="49"/>
        <v>#DIV/0!</v>
      </c>
      <c r="BQ757" s="71">
        <v>0</v>
      </c>
      <c r="BR757" s="71">
        <v>0</v>
      </c>
      <c r="BS757" s="71">
        <v>0</v>
      </c>
      <c r="BT757" s="72">
        <v>0</v>
      </c>
      <c r="BU757" s="73"/>
      <c r="BV757" s="73"/>
    </row>
    <row r="758" ht="30" customHeight="1" spans="1:74">
      <c r="A758" s="55">
        <v>0</v>
      </c>
      <c r="B758" s="56">
        <v>0</v>
      </c>
      <c r="C758" s="57">
        <v>0</v>
      </c>
      <c r="D758" s="74"/>
      <c r="E758" s="74"/>
      <c r="F758" s="59" t="e">
        <f>VLOOKUP(E758,[1]库存!$B$1:$C$65536,2,FALSE)</f>
        <v>#N/A</v>
      </c>
      <c r="G758" s="59" t="e">
        <v>#N/A</v>
      </c>
      <c r="H758" s="74"/>
      <c r="I758" s="74"/>
      <c r="J758" s="87"/>
      <c r="K758" s="61"/>
      <c r="L758" s="62">
        <v>0</v>
      </c>
      <c r="M758" s="63">
        <v>0</v>
      </c>
      <c r="N758" s="64">
        <v>0</v>
      </c>
      <c r="O758" s="62">
        <v>0</v>
      </c>
      <c r="P758" s="65">
        <f t="shared" si="47"/>
        <v>0</v>
      </c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66"/>
      <c r="AU758" s="66"/>
      <c r="AV758" s="66"/>
      <c r="AW758" s="66"/>
      <c r="AX758" s="66"/>
      <c r="AY758" s="66"/>
      <c r="AZ758" s="66"/>
      <c r="BA758" s="66"/>
      <c r="BB758" s="66"/>
      <c r="BC758" s="66"/>
      <c r="BD758" s="66"/>
      <c r="BE758" s="67"/>
      <c r="BF758" s="67"/>
      <c r="BG758" s="68"/>
      <c r="BI758" s="69">
        <v>0</v>
      </c>
      <c r="BJ758" s="70">
        <v>0</v>
      </c>
      <c r="BK758" s="71">
        <v>0</v>
      </c>
      <c r="BL758" s="71">
        <v>0</v>
      </c>
      <c r="BM758" s="71">
        <v>0</v>
      </c>
      <c r="BN758" s="72">
        <v>0</v>
      </c>
      <c r="BO758" s="151" t="e">
        <f t="shared" si="48"/>
        <v>#DIV/0!</v>
      </c>
      <c r="BP758" s="151" t="e">
        <f t="shared" si="49"/>
        <v>#DIV/0!</v>
      </c>
      <c r="BQ758" s="71">
        <v>0</v>
      </c>
      <c r="BR758" s="71">
        <v>0</v>
      </c>
      <c r="BS758" s="71">
        <v>0</v>
      </c>
      <c r="BT758" s="72">
        <v>0</v>
      </c>
      <c r="BU758" s="73"/>
      <c r="BV758" s="73"/>
    </row>
    <row r="759" ht="30" customHeight="1" spans="1:74">
      <c r="A759" s="55">
        <v>0</v>
      </c>
      <c r="B759" s="56" t="s">
        <v>1057</v>
      </c>
      <c r="C759" s="57" t="s">
        <v>1124</v>
      </c>
      <c r="D759" s="59" t="s">
        <v>1278</v>
      </c>
      <c r="E759" s="59"/>
      <c r="F759" s="59" t="e">
        <f>VLOOKUP(E759,[1]库存!$B$1:$C$65536,2,FALSE)</f>
        <v>#N/A</v>
      </c>
      <c r="G759" s="59" t="e">
        <v>#N/A</v>
      </c>
      <c r="H759" s="59" t="s">
        <v>1301</v>
      </c>
      <c r="I759" s="59" t="s">
        <v>1302</v>
      </c>
      <c r="J759" s="63"/>
      <c r="K759" s="61"/>
      <c r="L759" s="62">
        <v>2</v>
      </c>
      <c r="M759" s="63">
        <v>700</v>
      </c>
      <c r="N759" s="64">
        <v>14</v>
      </c>
      <c r="O759" s="62">
        <v>2</v>
      </c>
      <c r="P759" s="65">
        <f t="shared" si="47"/>
        <v>0</v>
      </c>
      <c r="Q759" s="66"/>
      <c r="R759" s="66"/>
      <c r="S759" s="66" t="s">
        <v>1303</v>
      </c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6"/>
      <c r="BB759" s="66"/>
      <c r="BC759" s="66"/>
      <c r="BD759" s="66"/>
      <c r="BE759" s="67"/>
      <c r="BF759" s="67"/>
      <c r="BG759" s="68"/>
      <c r="BI759" s="69">
        <v>0</v>
      </c>
      <c r="BJ759" s="70">
        <v>0</v>
      </c>
      <c r="BK759" s="71">
        <v>0</v>
      </c>
      <c r="BL759" s="71">
        <v>0</v>
      </c>
      <c r="BM759" s="71">
        <v>0</v>
      </c>
      <c r="BN759" s="72">
        <v>0</v>
      </c>
      <c r="BO759" s="151" t="e">
        <f t="shared" si="48"/>
        <v>#DIV/0!</v>
      </c>
      <c r="BP759" s="151" t="e">
        <f t="shared" si="49"/>
        <v>#DIV/0!</v>
      </c>
      <c r="BQ759" s="71">
        <v>0</v>
      </c>
      <c r="BR759" s="71">
        <v>0</v>
      </c>
      <c r="BS759" s="71">
        <v>0</v>
      </c>
      <c r="BT759" s="72">
        <v>0</v>
      </c>
      <c r="BU759" s="73"/>
      <c r="BV759" s="73"/>
    </row>
    <row r="760" ht="30" customHeight="1" spans="1:74">
      <c r="A760" s="55">
        <v>0</v>
      </c>
      <c r="B760" s="56">
        <v>0</v>
      </c>
      <c r="C760" s="57">
        <v>0</v>
      </c>
      <c r="D760" s="74"/>
      <c r="E760" s="74"/>
      <c r="F760" s="59" t="e">
        <f>VLOOKUP(E760,[1]库存!$B$1:$C$65536,2,FALSE)</f>
        <v>#N/A</v>
      </c>
      <c r="G760" s="59" t="e">
        <v>#N/A</v>
      </c>
      <c r="H760" s="74"/>
      <c r="I760" s="74"/>
      <c r="J760" s="87"/>
      <c r="K760" s="61"/>
      <c r="L760" s="62">
        <v>0</v>
      </c>
      <c r="M760" s="63">
        <v>0</v>
      </c>
      <c r="N760" s="64">
        <v>0</v>
      </c>
      <c r="O760" s="62">
        <v>0</v>
      </c>
      <c r="P760" s="65">
        <f t="shared" si="47"/>
        <v>0</v>
      </c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66"/>
      <c r="AU760" s="66"/>
      <c r="AV760" s="66"/>
      <c r="AW760" s="66"/>
      <c r="AX760" s="66"/>
      <c r="AY760" s="66"/>
      <c r="AZ760" s="66"/>
      <c r="BA760" s="66"/>
      <c r="BB760" s="66"/>
      <c r="BC760" s="66"/>
      <c r="BD760" s="66"/>
      <c r="BE760" s="67"/>
      <c r="BF760" s="67"/>
      <c r="BG760" s="68"/>
      <c r="BI760" s="69">
        <v>0</v>
      </c>
      <c r="BJ760" s="70">
        <v>0</v>
      </c>
      <c r="BK760" s="71">
        <v>0</v>
      </c>
      <c r="BL760" s="71">
        <v>0</v>
      </c>
      <c r="BM760" s="71">
        <v>0</v>
      </c>
      <c r="BN760" s="72">
        <v>0</v>
      </c>
      <c r="BO760" s="151" t="e">
        <f t="shared" si="48"/>
        <v>#DIV/0!</v>
      </c>
      <c r="BP760" s="151" t="e">
        <f t="shared" si="49"/>
        <v>#DIV/0!</v>
      </c>
      <c r="BQ760" s="71">
        <v>0</v>
      </c>
      <c r="BR760" s="71">
        <v>0</v>
      </c>
      <c r="BS760" s="71">
        <v>0</v>
      </c>
      <c r="BT760" s="72">
        <v>0</v>
      </c>
      <c r="BU760" s="73"/>
      <c r="BV760" s="73"/>
    </row>
    <row r="761" ht="30" customHeight="1" spans="1:74">
      <c r="A761" s="55">
        <v>0</v>
      </c>
      <c r="B761" s="56">
        <v>0</v>
      </c>
      <c r="C761" s="57">
        <v>0</v>
      </c>
      <c r="E761" s="88"/>
      <c r="F761" s="59" t="e">
        <f>VLOOKUP(E761,[1]库存!$B$1:$C$65536,2,FALSE)</f>
        <v>#N/A</v>
      </c>
      <c r="G761" s="59" t="e">
        <v>#N/A</v>
      </c>
      <c r="H761" s="89"/>
      <c r="I761" s="88"/>
      <c r="J761" s="90"/>
      <c r="K761" s="61"/>
      <c r="L761" s="62">
        <v>0</v>
      </c>
      <c r="M761" s="63">
        <v>0</v>
      </c>
      <c r="N761" s="64">
        <v>0</v>
      </c>
      <c r="O761" s="62">
        <v>0</v>
      </c>
      <c r="P761" s="65">
        <f t="shared" si="47"/>
        <v>0</v>
      </c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66"/>
      <c r="AU761" s="66"/>
      <c r="AV761" s="66"/>
      <c r="AW761" s="66"/>
      <c r="AX761" s="66"/>
      <c r="AY761" s="66"/>
      <c r="AZ761" s="66"/>
      <c r="BA761" s="66"/>
      <c r="BB761" s="66"/>
      <c r="BC761" s="66"/>
      <c r="BD761" s="66"/>
      <c r="BE761" s="67"/>
      <c r="BF761" s="67"/>
      <c r="BG761" s="68"/>
      <c r="BI761" s="69">
        <v>0</v>
      </c>
      <c r="BJ761" s="70">
        <v>0</v>
      </c>
      <c r="BK761" s="71">
        <v>0</v>
      </c>
      <c r="BL761" s="71">
        <v>0</v>
      </c>
      <c r="BM761" s="71">
        <v>0</v>
      </c>
      <c r="BN761" s="72">
        <v>0</v>
      </c>
      <c r="BO761" s="151" t="e">
        <f t="shared" si="48"/>
        <v>#DIV/0!</v>
      </c>
      <c r="BP761" s="151" t="e">
        <f t="shared" si="49"/>
        <v>#DIV/0!</v>
      </c>
      <c r="BQ761" s="71">
        <v>0</v>
      </c>
      <c r="BR761" s="71">
        <v>0</v>
      </c>
      <c r="BS761" s="71">
        <v>0</v>
      </c>
      <c r="BT761" s="72">
        <v>0</v>
      </c>
      <c r="BU761" s="73"/>
      <c r="BV761" s="73"/>
    </row>
    <row r="762" ht="39" spans="1:74">
      <c r="A762" s="55" t="s">
        <v>165</v>
      </c>
      <c r="B762" s="56" t="s">
        <v>1057</v>
      </c>
      <c r="C762" s="57" t="s">
        <v>1058</v>
      </c>
      <c r="D762" s="91" t="s">
        <v>1304</v>
      </c>
      <c r="E762" s="91" t="s">
        <v>1305</v>
      </c>
      <c r="F762" s="91" t="str">
        <f>VLOOKUP(E762,[1]库存!$B$1:$C$65536,2,FALSE)</f>
        <v>CHERY T1D RSAB LH （国产缝纫线）</v>
      </c>
      <c r="G762" s="91" t="s">
        <v>1306</v>
      </c>
      <c r="H762" s="91" t="s">
        <v>1307</v>
      </c>
      <c r="I762" s="91" t="s">
        <v>1308</v>
      </c>
      <c r="J762" s="165" t="s">
        <v>1309</v>
      </c>
      <c r="K762" s="61"/>
      <c r="L762" s="62">
        <v>2</v>
      </c>
      <c r="M762" s="63">
        <v>1200</v>
      </c>
      <c r="N762" s="64">
        <v>12</v>
      </c>
      <c r="O762" s="62">
        <v>2</v>
      </c>
      <c r="P762" s="65">
        <f t="shared" si="47"/>
        <v>0</v>
      </c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  <c r="AS762" s="66"/>
      <c r="AT762" s="66"/>
      <c r="AU762" s="66"/>
      <c r="AV762" s="66"/>
      <c r="AW762" s="66"/>
      <c r="AX762" s="66"/>
      <c r="AY762" s="66"/>
      <c r="AZ762" s="66"/>
      <c r="BA762" s="66"/>
      <c r="BB762" s="66"/>
      <c r="BC762" s="66"/>
      <c r="BD762" s="66"/>
      <c r="BE762" s="67"/>
      <c r="BF762" s="67"/>
      <c r="BG762" s="68"/>
      <c r="BI762" s="69">
        <v>0</v>
      </c>
      <c r="BJ762" s="70">
        <v>0</v>
      </c>
      <c r="BK762" s="71">
        <v>0</v>
      </c>
      <c r="BL762" s="71">
        <v>0</v>
      </c>
      <c r="BM762" s="71">
        <v>0</v>
      </c>
      <c r="BN762" s="72">
        <v>0</v>
      </c>
      <c r="BO762" s="151" t="e">
        <f t="shared" si="48"/>
        <v>#DIV/0!</v>
      </c>
      <c r="BP762" s="151" t="e">
        <f t="shared" si="49"/>
        <v>#DIV/0!</v>
      </c>
      <c r="BQ762" s="71">
        <v>0</v>
      </c>
      <c r="BR762" s="71">
        <v>0</v>
      </c>
      <c r="BS762" s="71">
        <v>0</v>
      </c>
      <c r="BT762" s="72">
        <v>0</v>
      </c>
      <c r="BU762" s="73"/>
      <c r="BV762" s="73"/>
    </row>
    <row r="763" ht="30" customHeight="1" spans="1:74">
      <c r="A763" s="55">
        <v>0</v>
      </c>
      <c r="B763" s="56">
        <v>0</v>
      </c>
      <c r="C763" s="57">
        <v>0</v>
      </c>
      <c r="D763" s="92"/>
      <c r="E763" s="92"/>
      <c r="F763" s="91" t="e">
        <f>VLOOKUP(E763,[1]库存!$B$1:$C$65536,2,FALSE)</f>
        <v>#N/A</v>
      </c>
      <c r="G763" s="91" t="e">
        <v>#N/A</v>
      </c>
      <c r="H763" s="92"/>
      <c r="I763" s="92"/>
      <c r="J763" s="166"/>
      <c r="K763" s="61"/>
      <c r="L763" s="62">
        <v>0</v>
      </c>
      <c r="M763" s="63">
        <v>0</v>
      </c>
      <c r="N763" s="64">
        <v>0</v>
      </c>
      <c r="O763" s="62">
        <v>0</v>
      </c>
      <c r="P763" s="65">
        <f t="shared" si="47"/>
        <v>0</v>
      </c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  <c r="AS763" s="66"/>
      <c r="AT763" s="66"/>
      <c r="AU763" s="66"/>
      <c r="AV763" s="66"/>
      <c r="AW763" s="66"/>
      <c r="AX763" s="66"/>
      <c r="AY763" s="66"/>
      <c r="AZ763" s="66"/>
      <c r="BA763" s="66"/>
      <c r="BB763" s="66"/>
      <c r="BC763" s="66"/>
      <c r="BD763" s="66"/>
      <c r="BE763" s="67"/>
      <c r="BF763" s="67"/>
      <c r="BG763" s="68"/>
      <c r="BI763" s="69">
        <v>0</v>
      </c>
      <c r="BJ763" s="70">
        <v>0</v>
      </c>
      <c r="BK763" s="71">
        <v>0</v>
      </c>
      <c r="BL763" s="71">
        <v>0</v>
      </c>
      <c r="BM763" s="71">
        <v>0</v>
      </c>
      <c r="BN763" s="72">
        <v>0</v>
      </c>
      <c r="BO763" s="151" t="e">
        <f t="shared" si="48"/>
        <v>#DIV/0!</v>
      </c>
      <c r="BP763" s="151" t="e">
        <f t="shared" si="49"/>
        <v>#DIV/0!</v>
      </c>
      <c r="BQ763" s="71">
        <v>0</v>
      </c>
      <c r="BR763" s="71">
        <v>0</v>
      </c>
      <c r="BS763" s="71">
        <v>0</v>
      </c>
      <c r="BT763" s="72">
        <v>0</v>
      </c>
      <c r="BU763" s="73"/>
      <c r="BV763" s="73"/>
    </row>
    <row r="764" ht="39" spans="1:74">
      <c r="A764" s="55" t="s">
        <v>165</v>
      </c>
      <c r="B764" s="56" t="s">
        <v>1057</v>
      </c>
      <c r="C764" s="57" t="s">
        <v>1058</v>
      </c>
      <c r="D764" s="91" t="s">
        <v>1304</v>
      </c>
      <c r="E764" s="91" t="s">
        <v>1310</v>
      </c>
      <c r="F764" s="91" t="str">
        <f>VLOOKUP(E764,[1]库存!$B$1:$C$65536,2,FALSE)</f>
        <v>CHERY T1D RSAB RH （国产缝纫线）</v>
      </c>
      <c r="G764" s="91" t="s">
        <v>1311</v>
      </c>
      <c r="H764" s="91" t="s">
        <v>1312</v>
      </c>
      <c r="I764" s="91" t="s">
        <v>1308</v>
      </c>
      <c r="J764" s="165" t="s">
        <v>1309</v>
      </c>
      <c r="K764" s="61"/>
      <c r="L764" s="62">
        <v>2</v>
      </c>
      <c r="M764" s="63">
        <v>1200</v>
      </c>
      <c r="N764" s="64">
        <v>12</v>
      </c>
      <c r="O764" s="62">
        <v>2</v>
      </c>
      <c r="P764" s="65">
        <f t="shared" si="47"/>
        <v>0</v>
      </c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66"/>
      <c r="AU764" s="66"/>
      <c r="AV764" s="66"/>
      <c r="AW764" s="66"/>
      <c r="AX764" s="66"/>
      <c r="AY764" s="66"/>
      <c r="AZ764" s="66"/>
      <c r="BA764" s="66"/>
      <c r="BB764" s="66"/>
      <c r="BC764" s="66"/>
      <c r="BD764" s="66"/>
      <c r="BE764" s="67"/>
      <c r="BF764" s="67"/>
      <c r="BG764" s="68"/>
      <c r="BI764" s="69">
        <v>0</v>
      </c>
      <c r="BJ764" s="70">
        <v>0</v>
      </c>
      <c r="BK764" s="71">
        <v>0</v>
      </c>
      <c r="BL764" s="71">
        <v>0</v>
      </c>
      <c r="BM764" s="71">
        <v>0</v>
      </c>
      <c r="BN764" s="72">
        <v>0</v>
      </c>
      <c r="BO764" s="151" t="e">
        <f t="shared" si="48"/>
        <v>#DIV/0!</v>
      </c>
      <c r="BP764" s="151" t="e">
        <f t="shared" si="49"/>
        <v>#DIV/0!</v>
      </c>
      <c r="BQ764" s="71">
        <v>0</v>
      </c>
      <c r="BR764" s="71">
        <v>0</v>
      </c>
      <c r="BS764" s="71">
        <v>0</v>
      </c>
      <c r="BT764" s="72">
        <v>0</v>
      </c>
      <c r="BU764" s="73"/>
      <c r="BV764" s="73"/>
    </row>
    <row r="765" ht="30" customHeight="1" spans="1:74">
      <c r="A765" s="55">
        <v>0</v>
      </c>
      <c r="B765" s="56">
        <v>0</v>
      </c>
      <c r="C765" s="57">
        <v>0</v>
      </c>
      <c r="D765" s="92"/>
      <c r="E765" s="92"/>
      <c r="F765" s="91" t="e">
        <f>VLOOKUP(E765,[1]库存!$B$1:$C$65536,2,FALSE)</f>
        <v>#N/A</v>
      </c>
      <c r="G765" s="91" t="e">
        <v>#N/A</v>
      </c>
      <c r="H765" s="92"/>
      <c r="I765" s="92"/>
      <c r="J765" s="166"/>
      <c r="K765" s="61"/>
      <c r="L765" s="62">
        <v>0</v>
      </c>
      <c r="M765" s="63">
        <v>0</v>
      </c>
      <c r="N765" s="64">
        <v>0</v>
      </c>
      <c r="O765" s="62">
        <v>0</v>
      </c>
      <c r="P765" s="65">
        <f t="shared" si="47"/>
        <v>0</v>
      </c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66"/>
      <c r="AU765" s="66"/>
      <c r="AV765" s="66"/>
      <c r="AW765" s="66"/>
      <c r="AX765" s="66"/>
      <c r="AY765" s="66"/>
      <c r="AZ765" s="66"/>
      <c r="BA765" s="66"/>
      <c r="BB765" s="66"/>
      <c r="BC765" s="66"/>
      <c r="BD765" s="66"/>
      <c r="BE765" s="67"/>
      <c r="BF765" s="67"/>
      <c r="BG765" s="68"/>
      <c r="BI765" s="69">
        <v>0</v>
      </c>
      <c r="BJ765" s="70">
        <v>0</v>
      </c>
      <c r="BK765" s="71">
        <v>0</v>
      </c>
      <c r="BL765" s="71">
        <v>0</v>
      </c>
      <c r="BM765" s="71">
        <v>0</v>
      </c>
      <c r="BN765" s="72">
        <v>0</v>
      </c>
      <c r="BO765" s="151" t="e">
        <f t="shared" si="48"/>
        <v>#DIV/0!</v>
      </c>
      <c r="BP765" s="151" t="e">
        <f t="shared" si="49"/>
        <v>#DIV/0!</v>
      </c>
      <c r="BQ765" s="71">
        <v>0</v>
      </c>
      <c r="BR765" s="71">
        <v>0</v>
      </c>
      <c r="BS765" s="71">
        <v>0</v>
      </c>
      <c r="BT765" s="72">
        <v>0</v>
      </c>
      <c r="BU765" s="73"/>
      <c r="BV765" s="73"/>
    </row>
    <row r="766" ht="30" customHeight="1" spans="1:74">
      <c r="A766" s="55" t="s">
        <v>165</v>
      </c>
      <c r="B766" s="56" t="s">
        <v>1057</v>
      </c>
      <c r="C766" s="57" t="s">
        <v>1058</v>
      </c>
      <c r="D766" s="91" t="s">
        <v>1304</v>
      </c>
      <c r="E766" s="91" t="s">
        <v>1313</v>
      </c>
      <c r="F766" s="91" t="str">
        <f>VLOOKUP(E766,[1]库存!$B$1:$C$65536,2,FALSE)</f>
        <v>VW336_0 FSAB LH A状态</v>
      </c>
      <c r="G766" s="91" t="s">
        <v>1314</v>
      </c>
      <c r="H766" s="91" t="s">
        <v>1315</v>
      </c>
      <c r="I766" s="91" t="s">
        <v>529</v>
      </c>
      <c r="J766" s="63"/>
      <c r="K766" s="61"/>
      <c r="L766" s="62">
        <v>2</v>
      </c>
      <c r="M766" s="63">
        <v>1050</v>
      </c>
      <c r="N766" s="64">
        <v>12</v>
      </c>
      <c r="O766" s="62">
        <v>2</v>
      </c>
      <c r="P766" s="65">
        <f t="shared" si="47"/>
        <v>0</v>
      </c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66"/>
      <c r="AU766" s="66"/>
      <c r="AV766" s="66"/>
      <c r="AW766" s="66"/>
      <c r="AX766" s="66"/>
      <c r="AY766" s="66"/>
      <c r="AZ766" s="66"/>
      <c r="BA766" s="66"/>
      <c r="BB766" s="66"/>
      <c r="BC766" s="66"/>
      <c r="BD766" s="66"/>
      <c r="BE766" s="67"/>
      <c r="BF766" s="67"/>
      <c r="BG766" s="68"/>
      <c r="BI766" s="69">
        <v>0</v>
      </c>
      <c r="BJ766" s="70">
        <v>0</v>
      </c>
      <c r="BK766" s="71">
        <v>0</v>
      </c>
      <c r="BL766" s="71">
        <v>0</v>
      </c>
      <c r="BM766" s="71">
        <v>0</v>
      </c>
      <c r="BN766" s="72">
        <v>0</v>
      </c>
      <c r="BO766" s="151" t="e">
        <f t="shared" si="48"/>
        <v>#DIV/0!</v>
      </c>
      <c r="BP766" s="151" t="e">
        <f t="shared" si="49"/>
        <v>#DIV/0!</v>
      </c>
      <c r="BQ766" s="71">
        <v>0</v>
      </c>
      <c r="BR766" s="71">
        <v>0</v>
      </c>
      <c r="BS766" s="71">
        <v>0</v>
      </c>
      <c r="BT766" s="72">
        <v>0</v>
      </c>
      <c r="BU766" s="73"/>
      <c r="BV766" s="73"/>
    </row>
    <row r="767" ht="30" customHeight="1" spans="1:74">
      <c r="A767" s="55">
        <v>0</v>
      </c>
      <c r="B767" s="56">
        <v>0</v>
      </c>
      <c r="C767" s="57">
        <v>0</v>
      </c>
      <c r="D767" s="92"/>
      <c r="E767" s="92"/>
      <c r="F767" s="91" t="e">
        <f>VLOOKUP(E767,[1]库存!$B$1:$C$65536,2,FALSE)</f>
        <v>#N/A</v>
      </c>
      <c r="G767" s="91" t="e">
        <v>#N/A</v>
      </c>
      <c r="H767" s="92"/>
      <c r="I767" s="92"/>
      <c r="J767" s="87"/>
      <c r="K767" s="61"/>
      <c r="L767" s="62">
        <v>0</v>
      </c>
      <c r="M767" s="63">
        <v>0</v>
      </c>
      <c r="N767" s="64">
        <v>0</v>
      </c>
      <c r="O767" s="62">
        <v>0</v>
      </c>
      <c r="P767" s="65">
        <f t="shared" si="47"/>
        <v>0</v>
      </c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  <c r="AS767" s="66"/>
      <c r="AT767" s="66"/>
      <c r="AU767" s="66"/>
      <c r="AV767" s="66"/>
      <c r="AW767" s="66"/>
      <c r="AX767" s="66"/>
      <c r="AY767" s="66"/>
      <c r="AZ767" s="66"/>
      <c r="BA767" s="66"/>
      <c r="BB767" s="66"/>
      <c r="BC767" s="66"/>
      <c r="BD767" s="66"/>
      <c r="BE767" s="67"/>
      <c r="BF767" s="67"/>
      <c r="BG767" s="68"/>
      <c r="BI767" s="69">
        <v>0</v>
      </c>
      <c r="BJ767" s="70">
        <v>0</v>
      </c>
      <c r="BK767" s="71">
        <v>0</v>
      </c>
      <c r="BL767" s="71">
        <v>0</v>
      </c>
      <c r="BM767" s="71">
        <v>0</v>
      </c>
      <c r="BN767" s="72">
        <v>0</v>
      </c>
      <c r="BO767" s="151" t="e">
        <f t="shared" si="48"/>
        <v>#DIV/0!</v>
      </c>
      <c r="BP767" s="151" t="e">
        <f t="shared" si="49"/>
        <v>#DIV/0!</v>
      </c>
      <c r="BQ767" s="71">
        <v>0</v>
      </c>
      <c r="BR767" s="71">
        <v>0</v>
      </c>
      <c r="BS767" s="71">
        <v>0</v>
      </c>
      <c r="BT767" s="72">
        <v>0</v>
      </c>
      <c r="BU767" s="73"/>
      <c r="BV767" s="73"/>
    </row>
    <row r="768" ht="30" customHeight="1" spans="1:74">
      <c r="A768" s="55" t="s">
        <v>165</v>
      </c>
      <c r="B768" s="56" t="s">
        <v>1057</v>
      </c>
      <c r="C768" s="57" t="s">
        <v>1058</v>
      </c>
      <c r="D768" s="91" t="s">
        <v>1304</v>
      </c>
      <c r="E768" s="91" t="s">
        <v>1316</v>
      </c>
      <c r="F768" s="91" t="str">
        <f>VLOOKUP(E768,[1]库存!$B$1:$C$65536,2,FALSE)</f>
        <v>VW336_0 FSAB RH A状态</v>
      </c>
      <c r="G768" s="91" t="s">
        <v>1317</v>
      </c>
      <c r="H768" s="91" t="s">
        <v>1318</v>
      </c>
      <c r="I768" s="91" t="s">
        <v>529</v>
      </c>
      <c r="J768" s="63"/>
      <c r="K768" s="61"/>
      <c r="L768" s="62">
        <v>2</v>
      </c>
      <c r="M768" s="63">
        <v>1050</v>
      </c>
      <c r="N768" s="64">
        <v>12</v>
      </c>
      <c r="O768" s="62">
        <v>2</v>
      </c>
      <c r="P768" s="65">
        <f t="shared" si="47"/>
        <v>0</v>
      </c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6"/>
      <c r="BB768" s="66"/>
      <c r="BC768" s="66"/>
      <c r="BD768" s="66"/>
      <c r="BE768" s="67"/>
      <c r="BF768" s="67"/>
      <c r="BG768" s="68"/>
      <c r="BI768" s="69">
        <v>0</v>
      </c>
      <c r="BJ768" s="70">
        <v>0</v>
      </c>
      <c r="BK768" s="71">
        <v>0</v>
      </c>
      <c r="BL768" s="71">
        <v>0</v>
      </c>
      <c r="BM768" s="71">
        <v>0</v>
      </c>
      <c r="BN768" s="72">
        <v>0</v>
      </c>
      <c r="BO768" s="151" t="e">
        <f t="shared" si="48"/>
        <v>#DIV/0!</v>
      </c>
      <c r="BP768" s="151" t="e">
        <f t="shared" si="49"/>
        <v>#DIV/0!</v>
      </c>
      <c r="BQ768" s="71">
        <v>0</v>
      </c>
      <c r="BR768" s="71">
        <v>0</v>
      </c>
      <c r="BS768" s="71">
        <v>0</v>
      </c>
      <c r="BT768" s="72">
        <v>0</v>
      </c>
      <c r="BU768" s="73"/>
      <c r="BV768" s="73"/>
    </row>
    <row r="769" ht="30" customHeight="1" spans="1:74">
      <c r="A769" s="55">
        <v>0</v>
      </c>
      <c r="B769" s="56">
        <v>0</v>
      </c>
      <c r="C769" s="57">
        <v>0</v>
      </c>
      <c r="D769" s="92"/>
      <c r="E769" s="92"/>
      <c r="F769" s="91" t="e">
        <f>VLOOKUP(E769,[1]库存!$B$1:$C$65536,2,FALSE)</f>
        <v>#N/A</v>
      </c>
      <c r="G769" s="91" t="e">
        <v>#N/A</v>
      </c>
      <c r="H769" s="92"/>
      <c r="I769" s="92"/>
      <c r="J769" s="87"/>
      <c r="K769" s="61"/>
      <c r="L769" s="62">
        <v>0</v>
      </c>
      <c r="M769" s="63">
        <v>0</v>
      </c>
      <c r="N769" s="64">
        <v>0</v>
      </c>
      <c r="O769" s="62">
        <v>0</v>
      </c>
      <c r="P769" s="65">
        <f t="shared" si="47"/>
        <v>0</v>
      </c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66"/>
      <c r="AU769" s="66"/>
      <c r="AV769" s="66"/>
      <c r="AW769" s="66"/>
      <c r="AX769" s="66"/>
      <c r="AY769" s="66"/>
      <c r="AZ769" s="66"/>
      <c r="BA769" s="66"/>
      <c r="BB769" s="66"/>
      <c r="BC769" s="66"/>
      <c r="BD769" s="66"/>
      <c r="BE769" s="67"/>
      <c r="BF769" s="67"/>
      <c r="BG769" s="68"/>
      <c r="BI769" s="69">
        <v>0</v>
      </c>
      <c r="BJ769" s="70">
        <v>0</v>
      </c>
      <c r="BK769" s="71">
        <v>0</v>
      </c>
      <c r="BL769" s="71">
        <v>0</v>
      </c>
      <c r="BM769" s="71">
        <v>0</v>
      </c>
      <c r="BN769" s="72">
        <v>0</v>
      </c>
      <c r="BO769" s="151" t="e">
        <f t="shared" si="48"/>
        <v>#DIV/0!</v>
      </c>
      <c r="BP769" s="151" t="e">
        <f t="shared" si="49"/>
        <v>#DIV/0!</v>
      </c>
      <c r="BQ769" s="71">
        <v>0</v>
      </c>
      <c r="BR769" s="71">
        <v>0</v>
      </c>
      <c r="BS769" s="71">
        <v>0</v>
      </c>
      <c r="BT769" s="72">
        <v>0</v>
      </c>
      <c r="BU769" s="73"/>
      <c r="BV769" s="73"/>
    </row>
    <row r="770" ht="30" customHeight="1" spans="1:74">
      <c r="A770" s="55">
        <v>0</v>
      </c>
      <c r="B770" s="56" t="s">
        <v>1057</v>
      </c>
      <c r="C770" s="57" t="s">
        <v>1058</v>
      </c>
      <c r="D770" s="59" t="s">
        <v>1304</v>
      </c>
      <c r="E770" s="59" t="s">
        <v>1319</v>
      </c>
      <c r="F770" s="59" t="e">
        <f>VLOOKUP(E770,[1]库存!$B$1:$C$65536,2,FALSE)</f>
        <v>#N/A</v>
      </c>
      <c r="G770" s="59" t="e">
        <v>#N/A</v>
      </c>
      <c r="H770" s="59" t="s">
        <v>1320</v>
      </c>
      <c r="I770" s="59" t="s">
        <v>536</v>
      </c>
      <c r="J770" s="100" t="s">
        <v>1321</v>
      </c>
      <c r="K770" s="61"/>
      <c r="L770" s="62">
        <v>2</v>
      </c>
      <c r="M770" s="63">
        <v>1000</v>
      </c>
      <c r="N770" s="64">
        <v>14</v>
      </c>
      <c r="O770" s="62">
        <v>2</v>
      </c>
      <c r="P770" s="65">
        <f t="shared" si="47"/>
        <v>0</v>
      </c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66"/>
      <c r="AU770" s="66"/>
      <c r="AV770" s="66"/>
      <c r="AW770" s="66"/>
      <c r="AX770" s="66"/>
      <c r="AY770" s="66"/>
      <c r="AZ770" s="66"/>
      <c r="BA770" s="66"/>
      <c r="BB770" s="66"/>
      <c r="BC770" s="66"/>
      <c r="BD770" s="66"/>
      <c r="BE770" s="67"/>
      <c r="BF770" s="67"/>
      <c r="BG770" s="68"/>
      <c r="BI770" s="69">
        <v>0</v>
      </c>
      <c r="BJ770" s="70">
        <v>0</v>
      </c>
      <c r="BK770" s="71">
        <v>0</v>
      </c>
      <c r="BL770" s="71">
        <v>0</v>
      </c>
      <c r="BM770" s="71">
        <v>0</v>
      </c>
      <c r="BN770" s="72">
        <v>0</v>
      </c>
      <c r="BO770" s="151" t="e">
        <f t="shared" si="48"/>
        <v>#DIV/0!</v>
      </c>
      <c r="BP770" s="151" t="e">
        <f t="shared" si="49"/>
        <v>#DIV/0!</v>
      </c>
      <c r="BQ770" s="71">
        <v>0</v>
      </c>
      <c r="BR770" s="71">
        <v>0</v>
      </c>
      <c r="BS770" s="71">
        <v>0</v>
      </c>
      <c r="BT770" s="72">
        <v>0</v>
      </c>
      <c r="BU770" s="151" t="e">
        <f t="shared" ref="BU770:BU773" si="50">(BQ770+BR770)/BJ770</f>
        <v>#DIV/0!</v>
      </c>
      <c r="BV770" s="151" t="e">
        <f t="shared" ref="BV770:BV773" si="51">BS770/BJ770</f>
        <v>#DIV/0!</v>
      </c>
    </row>
    <row r="771" ht="30" customHeight="1" spans="1:74">
      <c r="A771" s="55">
        <v>0</v>
      </c>
      <c r="B771" s="56">
        <v>0</v>
      </c>
      <c r="C771" s="57">
        <v>0</v>
      </c>
      <c r="D771" s="74"/>
      <c r="E771" s="74"/>
      <c r="F771" s="59" t="e">
        <f>VLOOKUP(E771,[1]库存!$B$1:$C$65536,2,FALSE)</f>
        <v>#N/A</v>
      </c>
      <c r="G771" s="59" t="e">
        <v>#N/A</v>
      </c>
      <c r="H771" s="74"/>
      <c r="I771" s="74"/>
      <c r="J771" s="101"/>
      <c r="K771" s="61"/>
      <c r="L771" s="62">
        <v>0</v>
      </c>
      <c r="M771" s="63">
        <v>0</v>
      </c>
      <c r="N771" s="64">
        <v>0</v>
      </c>
      <c r="O771" s="62">
        <v>0</v>
      </c>
      <c r="P771" s="65">
        <f t="shared" si="47"/>
        <v>0</v>
      </c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  <c r="AS771" s="66"/>
      <c r="AT771" s="66"/>
      <c r="AU771" s="66"/>
      <c r="AV771" s="66"/>
      <c r="AW771" s="66"/>
      <c r="AX771" s="66"/>
      <c r="AY771" s="66"/>
      <c r="AZ771" s="66"/>
      <c r="BA771" s="66"/>
      <c r="BB771" s="66"/>
      <c r="BC771" s="66"/>
      <c r="BD771" s="66"/>
      <c r="BE771" s="67"/>
      <c r="BF771" s="67"/>
      <c r="BG771" s="68"/>
      <c r="BI771" s="69">
        <v>0</v>
      </c>
      <c r="BJ771" s="70">
        <v>0</v>
      </c>
      <c r="BK771" s="71">
        <v>0</v>
      </c>
      <c r="BL771" s="71">
        <v>0</v>
      </c>
      <c r="BM771" s="71">
        <v>0</v>
      </c>
      <c r="BN771" s="72">
        <v>0</v>
      </c>
      <c r="BO771" s="151" t="e">
        <f t="shared" si="48"/>
        <v>#DIV/0!</v>
      </c>
      <c r="BP771" s="151" t="e">
        <f t="shared" si="49"/>
        <v>#DIV/0!</v>
      </c>
      <c r="BQ771" s="71">
        <v>0</v>
      </c>
      <c r="BR771" s="71">
        <v>0</v>
      </c>
      <c r="BS771" s="71">
        <v>0</v>
      </c>
      <c r="BT771" s="72">
        <v>0</v>
      </c>
      <c r="BU771" s="151" t="e">
        <f t="shared" si="50"/>
        <v>#DIV/0!</v>
      </c>
      <c r="BV771" s="151" t="e">
        <f t="shared" si="51"/>
        <v>#DIV/0!</v>
      </c>
    </row>
    <row r="772" ht="30" customHeight="1" spans="1:74">
      <c r="A772" s="55">
        <v>0</v>
      </c>
      <c r="B772" s="56" t="s">
        <v>1057</v>
      </c>
      <c r="C772" s="57" t="s">
        <v>1058</v>
      </c>
      <c r="D772" s="59" t="s">
        <v>1304</v>
      </c>
      <c r="E772" s="59" t="s">
        <v>1322</v>
      </c>
      <c r="F772" s="59" t="e">
        <f>VLOOKUP(E772,[1]库存!$B$1:$C$65536,2,FALSE)</f>
        <v>#N/A</v>
      </c>
      <c r="G772" s="59" t="e">
        <v>#N/A</v>
      </c>
      <c r="H772" s="59" t="s">
        <v>1323</v>
      </c>
      <c r="I772" s="59" t="s">
        <v>536</v>
      </c>
      <c r="J772" s="101"/>
      <c r="K772" s="61"/>
      <c r="L772" s="62">
        <v>2</v>
      </c>
      <c r="M772" s="63">
        <v>1000</v>
      </c>
      <c r="N772" s="64">
        <v>14</v>
      </c>
      <c r="O772" s="62">
        <v>2</v>
      </c>
      <c r="P772" s="65">
        <f t="shared" si="47"/>
        <v>0</v>
      </c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  <c r="AS772" s="66"/>
      <c r="AT772" s="66"/>
      <c r="AU772" s="66"/>
      <c r="AV772" s="66"/>
      <c r="AW772" s="66"/>
      <c r="AX772" s="66"/>
      <c r="AY772" s="66"/>
      <c r="AZ772" s="66"/>
      <c r="BA772" s="66"/>
      <c r="BB772" s="66"/>
      <c r="BC772" s="66"/>
      <c r="BD772" s="66"/>
      <c r="BE772" s="67"/>
      <c r="BF772" s="67"/>
      <c r="BG772" s="68"/>
      <c r="BI772" s="69">
        <v>0</v>
      </c>
      <c r="BJ772" s="70">
        <v>0</v>
      </c>
      <c r="BK772" s="71">
        <v>0</v>
      </c>
      <c r="BL772" s="71">
        <v>0</v>
      </c>
      <c r="BM772" s="71">
        <v>0</v>
      </c>
      <c r="BN772" s="72">
        <v>0</v>
      </c>
      <c r="BO772" s="151" t="e">
        <f t="shared" si="48"/>
        <v>#DIV/0!</v>
      </c>
      <c r="BP772" s="151" t="e">
        <f t="shared" si="49"/>
        <v>#DIV/0!</v>
      </c>
      <c r="BQ772" s="71">
        <v>0</v>
      </c>
      <c r="BR772" s="71">
        <v>0</v>
      </c>
      <c r="BS772" s="71">
        <v>0</v>
      </c>
      <c r="BT772" s="72">
        <v>0</v>
      </c>
      <c r="BU772" s="151" t="e">
        <f t="shared" si="50"/>
        <v>#DIV/0!</v>
      </c>
      <c r="BV772" s="151" t="e">
        <f t="shared" si="51"/>
        <v>#DIV/0!</v>
      </c>
    </row>
    <row r="773" ht="30" customHeight="1" spans="1:74">
      <c r="A773" s="55">
        <v>0</v>
      </c>
      <c r="B773" s="56">
        <v>0</v>
      </c>
      <c r="C773" s="57">
        <v>0</v>
      </c>
      <c r="D773" s="74"/>
      <c r="E773" s="74"/>
      <c r="F773" s="59" t="e">
        <f>VLOOKUP(E773,[1]库存!$B$1:$C$65536,2,FALSE)</f>
        <v>#N/A</v>
      </c>
      <c r="G773" s="59" t="e">
        <v>#N/A</v>
      </c>
      <c r="H773" s="74"/>
      <c r="I773" s="74"/>
      <c r="J773" s="101"/>
      <c r="K773" s="61"/>
      <c r="L773" s="62">
        <v>0</v>
      </c>
      <c r="M773" s="63">
        <v>0</v>
      </c>
      <c r="N773" s="64">
        <v>0</v>
      </c>
      <c r="O773" s="62">
        <v>0</v>
      </c>
      <c r="P773" s="65">
        <f t="shared" si="47"/>
        <v>0</v>
      </c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66"/>
      <c r="AZ773" s="66"/>
      <c r="BA773" s="66"/>
      <c r="BB773" s="66"/>
      <c r="BC773" s="66"/>
      <c r="BD773" s="66"/>
      <c r="BE773" s="67"/>
      <c r="BF773" s="67"/>
      <c r="BG773" s="68"/>
      <c r="BI773" s="69">
        <v>0</v>
      </c>
      <c r="BJ773" s="70">
        <v>0</v>
      </c>
      <c r="BK773" s="71">
        <v>0</v>
      </c>
      <c r="BL773" s="71">
        <v>0</v>
      </c>
      <c r="BM773" s="71">
        <v>0</v>
      </c>
      <c r="BN773" s="72">
        <v>0</v>
      </c>
      <c r="BO773" s="151" t="e">
        <f t="shared" si="48"/>
        <v>#DIV/0!</v>
      </c>
      <c r="BP773" s="151" t="e">
        <f t="shared" si="49"/>
        <v>#DIV/0!</v>
      </c>
      <c r="BQ773" s="71">
        <v>0</v>
      </c>
      <c r="BR773" s="71">
        <v>0</v>
      </c>
      <c r="BS773" s="71">
        <v>0</v>
      </c>
      <c r="BT773" s="72">
        <v>0</v>
      </c>
      <c r="BU773" s="151" t="e">
        <f t="shared" si="50"/>
        <v>#DIV/0!</v>
      </c>
      <c r="BV773" s="151" t="e">
        <f t="shared" si="51"/>
        <v>#DIV/0!</v>
      </c>
    </row>
    <row r="774" ht="30" customHeight="1" spans="1:74">
      <c r="A774" s="55">
        <v>0</v>
      </c>
      <c r="B774" s="56">
        <v>0</v>
      </c>
      <c r="C774" s="57">
        <v>0</v>
      </c>
      <c r="D774" s="210"/>
      <c r="E774" s="88"/>
      <c r="F774" s="59" t="e">
        <f>VLOOKUP(E774,[1]库存!$B$1:$C$65536,2,FALSE)</f>
        <v>#N/A</v>
      </c>
      <c r="G774" s="59" t="e">
        <v>#N/A</v>
      </c>
      <c r="H774" s="89"/>
      <c r="I774" s="88"/>
      <c r="J774" s="90"/>
      <c r="K774" s="61"/>
      <c r="L774" s="62">
        <v>0</v>
      </c>
      <c r="M774" s="63">
        <v>0</v>
      </c>
      <c r="N774" s="64">
        <v>0</v>
      </c>
      <c r="O774" s="62">
        <v>0</v>
      </c>
      <c r="P774" s="65">
        <f t="shared" ref="P774:P837" si="52">SUM(AG774:AJ774)</f>
        <v>0</v>
      </c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66"/>
      <c r="AU774" s="66"/>
      <c r="AV774" s="66"/>
      <c r="AW774" s="66"/>
      <c r="AX774" s="66"/>
      <c r="AY774" s="66"/>
      <c r="AZ774" s="66"/>
      <c r="BA774" s="66"/>
      <c r="BB774" s="66"/>
      <c r="BC774" s="66"/>
      <c r="BD774" s="66"/>
      <c r="BE774" s="67"/>
      <c r="BF774" s="67"/>
      <c r="BG774" s="68"/>
      <c r="BI774" s="69">
        <v>0</v>
      </c>
      <c r="BJ774" s="70">
        <v>0</v>
      </c>
      <c r="BK774" s="71">
        <v>0</v>
      </c>
      <c r="BL774" s="71">
        <v>0</v>
      </c>
      <c r="BM774" s="71">
        <v>0</v>
      </c>
      <c r="BN774" s="72">
        <v>0</v>
      </c>
      <c r="BO774" s="151" t="e">
        <f t="shared" si="48"/>
        <v>#DIV/0!</v>
      </c>
      <c r="BP774" s="151" t="e">
        <f t="shared" si="49"/>
        <v>#DIV/0!</v>
      </c>
      <c r="BQ774" s="71">
        <v>0</v>
      </c>
      <c r="BR774" s="71">
        <v>0</v>
      </c>
      <c r="BS774" s="71">
        <v>0</v>
      </c>
      <c r="BT774" s="72">
        <v>0</v>
      </c>
      <c r="BU774" s="73"/>
      <c r="BV774" s="73"/>
    </row>
    <row r="775" ht="30" customHeight="1" spans="1:74">
      <c r="A775" s="55" t="s">
        <v>165</v>
      </c>
      <c r="B775" s="56" t="s">
        <v>1057</v>
      </c>
      <c r="C775" s="57" t="s">
        <v>1324</v>
      </c>
      <c r="D775" s="91" t="s">
        <v>1325</v>
      </c>
      <c r="E775" s="91" t="s">
        <v>1326</v>
      </c>
      <c r="F775" s="91" t="str">
        <f>VLOOKUP(E775,[1]库存!$B$1:$C$65536,2,FALSE)</f>
        <v>ZEEKR CX1E FSAB LH</v>
      </c>
      <c r="G775" s="91" t="s">
        <v>1327</v>
      </c>
      <c r="H775" s="91" t="s">
        <v>1328</v>
      </c>
      <c r="I775" s="91" t="s">
        <v>170</v>
      </c>
      <c r="J775" s="63"/>
      <c r="K775" s="61"/>
      <c r="L775" s="62">
        <v>1</v>
      </c>
      <c r="M775" s="63">
        <v>1100</v>
      </c>
      <c r="N775" s="64">
        <v>11</v>
      </c>
      <c r="O775" s="62">
        <v>2</v>
      </c>
      <c r="P775" s="65">
        <f t="shared" si="52"/>
        <v>0</v>
      </c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66"/>
      <c r="AU775" s="66"/>
      <c r="AV775" s="66"/>
      <c r="AW775" s="66"/>
      <c r="AX775" s="66"/>
      <c r="AY775" s="66"/>
      <c r="AZ775" s="66"/>
      <c r="BA775" s="66"/>
      <c r="BB775" s="66"/>
      <c r="BC775" s="66"/>
      <c r="BD775" s="66"/>
      <c r="BE775" s="67"/>
      <c r="BF775" s="67"/>
      <c r="BG775" s="68"/>
      <c r="BI775" s="69">
        <v>0</v>
      </c>
      <c r="BJ775" s="70">
        <v>0</v>
      </c>
      <c r="BK775" s="71">
        <v>0</v>
      </c>
      <c r="BL775" s="71">
        <v>0</v>
      </c>
      <c r="BM775" s="71">
        <v>0</v>
      </c>
      <c r="BN775" s="72">
        <v>0</v>
      </c>
      <c r="BO775" s="151" t="e">
        <f t="shared" si="48"/>
        <v>#DIV/0!</v>
      </c>
      <c r="BP775" s="151" t="e">
        <f t="shared" si="49"/>
        <v>#DIV/0!</v>
      </c>
      <c r="BQ775" s="71">
        <v>0</v>
      </c>
      <c r="BR775" s="71">
        <v>0</v>
      </c>
      <c r="BS775" s="71">
        <v>0</v>
      </c>
      <c r="BT775" s="72">
        <v>0</v>
      </c>
      <c r="BU775" s="73"/>
      <c r="BV775" s="73"/>
    </row>
    <row r="776" ht="30" customHeight="1" spans="1:74">
      <c r="A776" s="55">
        <v>0</v>
      </c>
      <c r="B776" s="56">
        <v>0</v>
      </c>
      <c r="C776" s="57">
        <v>0</v>
      </c>
      <c r="D776" s="92"/>
      <c r="E776" s="92"/>
      <c r="F776" s="91" t="e">
        <f>VLOOKUP(E776,[1]库存!$B$1:$C$65536,2,FALSE)</f>
        <v>#N/A</v>
      </c>
      <c r="G776" s="91" t="e">
        <v>#N/A</v>
      </c>
      <c r="H776" s="92"/>
      <c r="I776" s="92"/>
      <c r="J776" s="87"/>
      <c r="K776" s="61"/>
      <c r="L776" s="62">
        <v>0</v>
      </c>
      <c r="M776" s="63">
        <v>0</v>
      </c>
      <c r="N776" s="64">
        <v>0</v>
      </c>
      <c r="O776" s="62">
        <v>0</v>
      </c>
      <c r="P776" s="65">
        <f t="shared" si="52"/>
        <v>0</v>
      </c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6"/>
      <c r="AS776" s="66"/>
      <c r="AT776" s="66"/>
      <c r="AU776" s="66"/>
      <c r="AV776" s="66"/>
      <c r="AW776" s="66"/>
      <c r="AX776" s="66"/>
      <c r="AY776" s="66"/>
      <c r="AZ776" s="66"/>
      <c r="BA776" s="66"/>
      <c r="BB776" s="66"/>
      <c r="BC776" s="66"/>
      <c r="BD776" s="66"/>
      <c r="BE776" s="67"/>
      <c r="BF776" s="67"/>
      <c r="BG776" s="68"/>
      <c r="BI776" s="69">
        <v>0</v>
      </c>
      <c r="BJ776" s="70">
        <v>0</v>
      </c>
      <c r="BK776" s="71">
        <v>0</v>
      </c>
      <c r="BL776" s="71">
        <v>0</v>
      </c>
      <c r="BM776" s="71">
        <v>0</v>
      </c>
      <c r="BN776" s="72">
        <v>0</v>
      </c>
      <c r="BO776" s="151" t="e">
        <f t="shared" si="48"/>
        <v>#DIV/0!</v>
      </c>
      <c r="BP776" s="151" t="e">
        <f t="shared" si="49"/>
        <v>#DIV/0!</v>
      </c>
      <c r="BQ776" s="71">
        <v>0</v>
      </c>
      <c r="BR776" s="71">
        <v>0</v>
      </c>
      <c r="BS776" s="71">
        <v>0</v>
      </c>
      <c r="BT776" s="72">
        <v>0</v>
      </c>
      <c r="BU776" s="73"/>
      <c r="BV776" s="73"/>
    </row>
    <row r="777" ht="30" customHeight="1" spans="1:74">
      <c r="A777" s="55" t="s">
        <v>165</v>
      </c>
      <c r="B777" s="56" t="s">
        <v>1057</v>
      </c>
      <c r="C777" s="57" t="s">
        <v>1324</v>
      </c>
      <c r="D777" s="91" t="s">
        <v>1325</v>
      </c>
      <c r="E777" s="91" t="s">
        <v>1329</v>
      </c>
      <c r="F777" s="91" t="str">
        <f>VLOOKUP(E777,[1]库存!$B$1:$C$65536,2,FALSE)</f>
        <v>ZEEKR CX1E FSAB RH</v>
      </c>
      <c r="G777" s="91" t="s">
        <v>1330</v>
      </c>
      <c r="H777" s="91" t="s">
        <v>1331</v>
      </c>
      <c r="I777" s="91" t="s">
        <v>170</v>
      </c>
      <c r="J777" s="63"/>
      <c r="K777" s="61"/>
      <c r="L777" s="62">
        <v>1</v>
      </c>
      <c r="M777" s="63">
        <v>1100</v>
      </c>
      <c r="N777" s="64">
        <v>11</v>
      </c>
      <c r="O777" s="62">
        <v>2</v>
      </c>
      <c r="P777" s="65">
        <f t="shared" si="52"/>
        <v>0</v>
      </c>
      <c r="Q777" s="66">
        <v>1800</v>
      </c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6"/>
      <c r="BB777" s="66"/>
      <c r="BC777" s="66"/>
      <c r="BD777" s="66"/>
      <c r="BE777" s="67"/>
      <c r="BF777" s="67"/>
      <c r="BG777" s="68"/>
      <c r="BI777" s="69">
        <v>0</v>
      </c>
      <c r="BJ777" s="70">
        <v>0</v>
      </c>
      <c r="BK777" s="71">
        <v>0</v>
      </c>
      <c r="BL777" s="71">
        <v>0</v>
      </c>
      <c r="BM777" s="71">
        <v>0</v>
      </c>
      <c r="BN777" s="72">
        <v>0</v>
      </c>
      <c r="BO777" s="151" t="e">
        <f t="shared" si="48"/>
        <v>#DIV/0!</v>
      </c>
      <c r="BP777" s="151" t="e">
        <f t="shared" si="49"/>
        <v>#DIV/0!</v>
      </c>
      <c r="BQ777" s="71">
        <v>0</v>
      </c>
      <c r="BR777" s="71">
        <v>0</v>
      </c>
      <c r="BS777" s="71">
        <v>0</v>
      </c>
      <c r="BT777" s="72">
        <v>0</v>
      </c>
      <c r="BU777" s="73"/>
      <c r="BV777" s="73"/>
    </row>
    <row r="778" ht="30" customHeight="1" spans="1:74">
      <c r="A778" s="55">
        <v>0</v>
      </c>
      <c r="B778" s="56">
        <v>0</v>
      </c>
      <c r="C778" s="57">
        <v>0</v>
      </c>
      <c r="D778" s="92"/>
      <c r="E778" s="92"/>
      <c r="F778" s="91" t="e">
        <f>VLOOKUP(E778,[1]库存!$B$1:$C$65536,2,FALSE)</f>
        <v>#N/A</v>
      </c>
      <c r="G778" s="91" t="e">
        <v>#N/A</v>
      </c>
      <c r="H778" s="92"/>
      <c r="I778" s="92"/>
      <c r="J778" s="87"/>
      <c r="K778" s="61"/>
      <c r="L778" s="62">
        <v>0</v>
      </c>
      <c r="M778" s="63">
        <v>0</v>
      </c>
      <c r="N778" s="64">
        <v>0</v>
      </c>
      <c r="O778" s="62">
        <v>0</v>
      </c>
      <c r="P778" s="65">
        <f t="shared" si="52"/>
        <v>0</v>
      </c>
      <c r="Q778" s="66">
        <v>1841</v>
      </c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  <c r="AS778" s="66"/>
      <c r="AT778" s="66"/>
      <c r="AU778" s="66"/>
      <c r="AV778" s="66"/>
      <c r="AW778" s="66"/>
      <c r="AX778" s="66"/>
      <c r="AY778" s="66"/>
      <c r="AZ778" s="66"/>
      <c r="BA778" s="66"/>
      <c r="BB778" s="66"/>
      <c r="BC778" s="66"/>
      <c r="BD778" s="66"/>
      <c r="BE778" s="67"/>
      <c r="BF778" s="67"/>
      <c r="BG778" s="68"/>
      <c r="BI778" s="69">
        <v>0</v>
      </c>
      <c r="BJ778" s="70">
        <v>0</v>
      </c>
      <c r="BK778" s="71">
        <v>0</v>
      </c>
      <c r="BL778" s="71">
        <v>0</v>
      </c>
      <c r="BM778" s="71">
        <v>0</v>
      </c>
      <c r="BN778" s="72">
        <v>0</v>
      </c>
      <c r="BO778" s="151" t="e">
        <f t="shared" si="48"/>
        <v>#DIV/0!</v>
      </c>
      <c r="BP778" s="151" t="e">
        <f t="shared" si="49"/>
        <v>#DIV/0!</v>
      </c>
      <c r="BQ778" s="71">
        <v>0</v>
      </c>
      <c r="BR778" s="71">
        <v>0</v>
      </c>
      <c r="BS778" s="71">
        <v>0</v>
      </c>
      <c r="BT778" s="72">
        <v>0</v>
      </c>
      <c r="BU778" s="73"/>
      <c r="BV778" s="73"/>
    </row>
    <row r="779" ht="30" customHeight="1" spans="1:74">
      <c r="A779" s="55" t="s">
        <v>246</v>
      </c>
      <c r="B779" s="56" t="s">
        <v>1057</v>
      </c>
      <c r="C779" s="57" t="s">
        <v>1324</v>
      </c>
      <c r="D779" s="59" t="s">
        <v>1325</v>
      </c>
      <c r="E779" s="59" t="s">
        <v>1332</v>
      </c>
      <c r="F779" s="59" t="str">
        <f>VLOOKUP(E779,[1]库存!$B$1:$C$65536,2,FALSE)</f>
        <v>GWM P01-2 SAB LH A状态</v>
      </c>
      <c r="G779" s="59" t="s">
        <v>1333</v>
      </c>
      <c r="H779" s="59" t="s">
        <v>1334</v>
      </c>
      <c r="I779" s="59" t="s">
        <v>1335</v>
      </c>
      <c r="J779" s="102" t="s">
        <v>65</v>
      </c>
      <c r="K779" s="61"/>
      <c r="L779" s="62">
        <v>1</v>
      </c>
      <c r="M779" s="63">
        <v>1100</v>
      </c>
      <c r="N779" s="64">
        <v>13</v>
      </c>
      <c r="O779" s="62">
        <v>2</v>
      </c>
      <c r="P779" s="65">
        <f t="shared" si="52"/>
        <v>0</v>
      </c>
      <c r="Q779" s="66"/>
      <c r="R779" s="66"/>
      <c r="S779" s="66">
        <v>1600</v>
      </c>
      <c r="T779" s="66"/>
      <c r="U779" s="66">
        <v>0</v>
      </c>
      <c r="V779" s="66"/>
      <c r="W779" s="66"/>
      <c r="X779" s="66"/>
      <c r="Y779" s="66"/>
      <c r="Z779" s="66"/>
      <c r="AA779" s="66">
        <v>1400</v>
      </c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66"/>
      <c r="AU779" s="66"/>
      <c r="AV779" s="66"/>
      <c r="AW779" s="66"/>
      <c r="AX779" s="66"/>
      <c r="AY779" s="66"/>
      <c r="AZ779" s="66"/>
      <c r="BA779" s="66"/>
      <c r="BB779" s="66"/>
      <c r="BC779" s="66"/>
      <c r="BD779" s="66"/>
      <c r="BE779" s="67"/>
      <c r="BF779" s="67"/>
      <c r="BG779" s="68"/>
      <c r="BI779" s="69">
        <v>0</v>
      </c>
      <c r="BJ779" s="70">
        <v>0</v>
      </c>
      <c r="BK779" s="71">
        <v>0</v>
      </c>
      <c r="BL779" s="71">
        <v>0</v>
      </c>
      <c r="BM779" s="71">
        <v>0</v>
      </c>
      <c r="BN779" s="72">
        <v>0</v>
      </c>
      <c r="BO779" s="151" t="e">
        <f t="shared" si="48"/>
        <v>#DIV/0!</v>
      </c>
      <c r="BP779" s="151" t="e">
        <f t="shared" si="49"/>
        <v>#DIV/0!</v>
      </c>
      <c r="BQ779" s="71">
        <v>0</v>
      </c>
      <c r="BR779" s="71">
        <v>0</v>
      </c>
      <c r="BS779" s="71">
        <v>0</v>
      </c>
      <c r="BT779" s="72">
        <v>0</v>
      </c>
      <c r="BU779" s="73"/>
      <c r="BV779" s="73"/>
    </row>
    <row r="780" ht="30" customHeight="1" spans="1:74">
      <c r="A780" s="55">
        <v>0</v>
      </c>
      <c r="B780" s="56">
        <v>0</v>
      </c>
      <c r="C780" s="57">
        <v>0</v>
      </c>
      <c r="D780" s="74"/>
      <c r="E780" s="74"/>
      <c r="F780" s="59" t="e">
        <f>VLOOKUP(E780,[1]库存!$B$1:$C$65536,2,FALSE)</f>
        <v>#N/A</v>
      </c>
      <c r="G780" s="59" t="e">
        <v>#N/A</v>
      </c>
      <c r="H780" s="74"/>
      <c r="I780" s="74"/>
      <c r="J780" s="102"/>
      <c r="K780" s="61"/>
      <c r="L780" s="62">
        <v>0</v>
      </c>
      <c r="M780" s="63">
        <v>0</v>
      </c>
      <c r="N780" s="64">
        <v>0</v>
      </c>
      <c r="O780" s="62">
        <v>0</v>
      </c>
      <c r="P780" s="65">
        <f t="shared" si="52"/>
        <v>0</v>
      </c>
      <c r="Q780" s="66"/>
      <c r="R780" s="66"/>
      <c r="S780" s="66">
        <v>1509</v>
      </c>
      <c r="T780" s="66"/>
      <c r="U780" s="66"/>
      <c r="V780" s="66"/>
      <c r="W780" s="66"/>
      <c r="X780" s="66"/>
      <c r="Y780" s="66"/>
      <c r="Z780" s="66"/>
      <c r="AA780" s="66">
        <v>1417</v>
      </c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66"/>
      <c r="AU780" s="66"/>
      <c r="AV780" s="66"/>
      <c r="AW780" s="66"/>
      <c r="AX780" s="66"/>
      <c r="AY780" s="66"/>
      <c r="AZ780" s="66"/>
      <c r="BA780" s="66"/>
      <c r="BB780" s="66"/>
      <c r="BC780" s="66"/>
      <c r="BD780" s="66"/>
      <c r="BE780" s="67"/>
      <c r="BF780" s="67"/>
      <c r="BG780" s="68"/>
      <c r="BI780" s="69">
        <v>0</v>
      </c>
      <c r="BJ780" s="70">
        <v>0</v>
      </c>
      <c r="BK780" s="71">
        <v>0</v>
      </c>
      <c r="BL780" s="71">
        <v>0</v>
      </c>
      <c r="BM780" s="71">
        <v>0</v>
      </c>
      <c r="BN780" s="72">
        <v>0</v>
      </c>
      <c r="BO780" s="151" t="e">
        <f t="shared" si="48"/>
        <v>#DIV/0!</v>
      </c>
      <c r="BP780" s="151" t="e">
        <f t="shared" si="49"/>
        <v>#DIV/0!</v>
      </c>
      <c r="BQ780" s="71">
        <v>0</v>
      </c>
      <c r="BR780" s="71">
        <v>0</v>
      </c>
      <c r="BS780" s="71">
        <v>0</v>
      </c>
      <c r="BT780" s="72">
        <v>0</v>
      </c>
      <c r="BU780" s="73"/>
      <c r="BV780" s="73"/>
    </row>
    <row r="781" ht="30" customHeight="1" spans="1:74">
      <c r="A781" s="55" t="s">
        <v>246</v>
      </c>
      <c r="B781" s="56" t="s">
        <v>1057</v>
      </c>
      <c r="C781" s="57" t="s">
        <v>1324</v>
      </c>
      <c r="D781" s="59" t="s">
        <v>1325</v>
      </c>
      <c r="E781" s="59" t="s">
        <v>1336</v>
      </c>
      <c r="F781" s="59" t="str">
        <f>VLOOKUP(E781,[1]库存!$B$1:$C$65536,2,FALSE)</f>
        <v>GWM P01-2 SAB RH A状态</v>
      </c>
      <c r="G781" s="59" t="s">
        <v>1337</v>
      </c>
      <c r="H781" s="59" t="s">
        <v>1338</v>
      </c>
      <c r="I781" s="59" t="s">
        <v>1335</v>
      </c>
      <c r="J781" s="102" t="s">
        <v>65</v>
      </c>
      <c r="K781" s="61"/>
      <c r="L781" s="62">
        <v>1</v>
      </c>
      <c r="M781" s="63">
        <v>1100</v>
      </c>
      <c r="N781" s="64">
        <v>13</v>
      </c>
      <c r="O781" s="62">
        <v>2</v>
      </c>
      <c r="P781" s="65">
        <f t="shared" si="52"/>
        <v>0</v>
      </c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 t="s">
        <v>1339</v>
      </c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66"/>
      <c r="AU781" s="66"/>
      <c r="AV781" s="66"/>
      <c r="AW781" s="66"/>
      <c r="AX781" s="66"/>
      <c r="AY781" s="66"/>
      <c r="AZ781" s="66"/>
      <c r="BA781" s="66"/>
      <c r="BB781" s="66"/>
      <c r="BC781" s="66"/>
      <c r="BD781" s="66"/>
      <c r="BE781" s="67"/>
      <c r="BF781" s="67"/>
      <c r="BG781" s="68"/>
      <c r="BI781" s="69">
        <v>0</v>
      </c>
      <c r="BJ781" s="70">
        <v>0</v>
      </c>
      <c r="BK781" s="71">
        <v>0</v>
      </c>
      <c r="BL781" s="71">
        <v>0</v>
      </c>
      <c r="BM781" s="71">
        <v>0</v>
      </c>
      <c r="BN781" s="72">
        <v>0</v>
      </c>
      <c r="BO781" s="151" t="e">
        <f t="shared" si="48"/>
        <v>#DIV/0!</v>
      </c>
      <c r="BP781" s="151" t="e">
        <f t="shared" si="49"/>
        <v>#DIV/0!</v>
      </c>
      <c r="BQ781" s="71">
        <v>0</v>
      </c>
      <c r="BR781" s="71">
        <v>0</v>
      </c>
      <c r="BS781" s="71">
        <v>0</v>
      </c>
      <c r="BT781" s="72">
        <v>0</v>
      </c>
      <c r="BU781" s="73"/>
      <c r="BV781" s="73"/>
    </row>
    <row r="782" ht="30" customHeight="1" spans="1:74">
      <c r="A782" s="55">
        <v>0</v>
      </c>
      <c r="B782" s="56">
        <v>0</v>
      </c>
      <c r="C782" s="57">
        <v>0</v>
      </c>
      <c r="D782" s="74"/>
      <c r="E782" s="74"/>
      <c r="F782" s="59" t="e">
        <f>VLOOKUP(E782,[1]库存!$B$1:$C$65536,2,FALSE)</f>
        <v>#N/A</v>
      </c>
      <c r="G782" s="59" t="e">
        <v>#N/A</v>
      </c>
      <c r="H782" s="74"/>
      <c r="I782" s="74"/>
      <c r="J782" s="102"/>
      <c r="K782" s="61"/>
      <c r="L782" s="62">
        <v>0</v>
      </c>
      <c r="M782" s="63">
        <v>0</v>
      </c>
      <c r="N782" s="64">
        <v>0</v>
      </c>
      <c r="O782" s="62">
        <v>0</v>
      </c>
      <c r="P782" s="65">
        <f t="shared" si="52"/>
        <v>0</v>
      </c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66"/>
      <c r="AU782" s="66"/>
      <c r="AV782" s="66"/>
      <c r="AW782" s="66"/>
      <c r="AX782" s="66"/>
      <c r="AY782" s="66"/>
      <c r="AZ782" s="66"/>
      <c r="BA782" s="66"/>
      <c r="BB782" s="66"/>
      <c r="BC782" s="66"/>
      <c r="BD782" s="66"/>
      <c r="BE782" s="67"/>
      <c r="BF782" s="67"/>
      <c r="BG782" s="68"/>
      <c r="BI782" s="69">
        <v>0</v>
      </c>
      <c r="BJ782" s="70">
        <v>0</v>
      </c>
      <c r="BK782" s="71">
        <v>0</v>
      </c>
      <c r="BL782" s="71">
        <v>0</v>
      </c>
      <c r="BM782" s="71">
        <v>0</v>
      </c>
      <c r="BN782" s="72">
        <v>0</v>
      </c>
      <c r="BO782" s="151" t="e">
        <f t="shared" si="48"/>
        <v>#DIV/0!</v>
      </c>
      <c r="BP782" s="151" t="e">
        <f t="shared" si="49"/>
        <v>#DIV/0!</v>
      </c>
      <c r="BQ782" s="71">
        <v>0</v>
      </c>
      <c r="BR782" s="71">
        <v>0</v>
      </c>
      <c r="BS782" s="71">
        <v>0</v>
      </c>
      <c r="BT782" s="72">
        <v>0</v>
      </c>
      <c r="BU782" s="73"/>
      <c r="BV782" s="73"/>
    </row>
    <row r="783" ht="30" customHeight="1" spans="1:74">
      <c r="A783" s="55" t="s">
        <v>410</v>
      </c>
      <c r="B783" s="56" t="s">
        <v>1057</v>
      </c>
      <c r="C783" s="57" t="s">
        <v>1324</v>
      </c>
      <c r="D783" s="59" t="s">
        <v>1325</v>
      </c>
      <c r="E783" s="59" t="s">
        <v>1340</v>
      </c>
      <c r="F783" s="59" t="str">
        <f>VLOOKUP(E783,[1]库存!$B$1:$C$65536,2,FALSE)</f>
        <v>XPENG F01 FSAB LH</v>
      </c>
      <c r="G783" s="59" t="s">
        <v>1341</v>
      </c>
      <c r="H783" s="59" t="s">
        <v>1342</v>
      </c>
      <c r="I783" s="59" t="s">
        <v>250</v>
      </c>
      <c r="J783" s="102" t="s">
        <v>65</v>
      </c>
      <c r="K783" s="61"/>
      <c r="L783" s="62">
        <v>1</v>
      </c>
      <c r="M783" s="63">
        <v>1400</v>
      </c>
      <c r="N783" s="64">
        <v>10</v>
      </c>
      <c r="O783" s="62">
        <v>2</v>
      </c>
      <c r="P783" s="65">
        <f t="shared" si="52"/>
        <v>0</v>
      </c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  <c r="AS783" s="66"/>
      <c r="AT783" s="66"/>
      <c r="AU783" s="66"/>
      <c r="AV783" s="66"/>
      <c r="AW783" s="66"/>
      <c r="AX783" s="66"/>
      <c r="AY783" s="66"/>
      <c r="AZ783" s="66"/>
      <c r="BA783" s="66"/>
      <c r="BB783" s="66"/>
      <c r="BC783" s="66"/>
      <c r="BD783" s="66"/>
      <c r="BE783" s="67"/>
      <c r="BF783" s="67"/>
      <c r="BG783" s="68"/>
      <c r="BI783" s="69">
        <v>0</v>
      </c>
      <c r="BJ783" s="70">
        <v>0</v>
      </c>
      <c r="BK783" s="71">
        <v>0</v>
      </c>
      <c r="BL783" s="71">
        <v>0</v>
      </c>
      <c r="BM783" s="71">
        <v>0</v>
      </c>
      <c r="BN783" s="72">
        <v>0</v>
      </c>
      <c r="BO783" s="151" t="e">
        <f t="shared" si="48"/>
        <v>#DIV/0!</v>
      </c>
      <c r="BP783" s="151" t="e">
        <f t="shared" si="49"/>
        <v>#DIV/0!</v>
      </c>
      <c r="BQ783" s="71">
        <v>0</v>
      </c>
      <c r="BR783" s="71">
        <v>0</v>
      </c>
      <c r="BS783" s="71">
        <v>0</v>
      </c>
      <c r="BT783" s="72">
        <v>0</v>
      </c>
      <c r="BU783" s="73"/>
      <c r="BV783" s="73"/>
    </row>
    <row r="784" ht="30" customHeight="1" spans="1:74">
      <c r="A784" s="55">
        <v>0</v>
      </c>
      <c r="B784" s="56">
        <v>0</v>
      </c>
      <c r="C784" s="57">
        <v>0</v>
      </c>
      <c r="D784" s="74"/>
      <c r="E784" s="74"/>
      <c r="F784" s="59" t="e">
        <f>VLOOKUP(E784,[1]库存!$B$1:$C$65536,2,FALSE)</f>
        <v>#N/A</v>
      </c>
      <c r="G784" s="59" t="e">
        <v>#N/A</v>
      </c>
      <c r="H784" s="74"/>
      <c r="I784" s="74"/>
      <c r="J784" s="102"/>
      <c r="K784" s="61"/>
      <c r="L784" s="62">
        <v>0</v>
      </c>
      <c r="M784" s="63">
        <v>0</v>
      </c>
      <c r="N784" s="64">
        <v>0</v>
      </c>
      <c r="O784" s="62">
        <v>0</v>
      </c>
      <c r="P784" s="65">
        <f t="shared" si="52"/>
        <v>0</v>
      </c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66"/>
      <c r="AU784" s="66"/>
      <c r="AV784" s="66"/>
      <c r="AW784" s="66"/>
      <c r="AX784" s="66"/>
      <c r="AY784" s="66"/>
      <c r="AZ784" s="66"/>
      <c r="BA784" s="66"/>
      <c r="BB784" s="66"/>
      <c r="BC784" s="66"/>
      <c r="BD784" s="66"/>
      <c r="BE784" s="67"/>
      <c r="BF784" s="67"/>
      <c r="BG784" s="68"/>
      <c r="BI784" s="69">
        <v>0</v>
      </c>
      <c r="BJ784" s="70">
        <v>0</v>
      </c>
      <c r="BK784" s="71">
        <v>0</v>
      </c>
      <c r="BL784" s="71">
        <v>0</v>
      </c>
      <c r="BM784" s="71">
        <v>0</v>
      </c>
      <c r="BN784" s="72">
        <v>0</v>
      </c>
      <c r="BO784" s="151" t="e">
        <f t="shared" si="48"/>
        <v>#DIV/0!</v>
      </c>
      <c r="BP784" s="151" t="e">
        <f t="shared" si="49"/>
        <v>#DIV/0!</v>
      </c>
      <c r="BQ784" s="71">
        <v>0</v>
      </c>
      <c r="BR784" s="71">
        <v>0</v>
      </c>
      <c r="BS784" s="71">
        <v>0</v>
      </c>
      <c r="BT784" s="72">
        <v>0</v>
      </c>
      <c r="BU784" s="73"/>
      <c r="BV784" s="73"/>
    </row>
    <row r="785" ht="30" customHeight="1" spans="1:74">
      <c r="A785" s="55" t="s">
        <v>410</v>
      </c>
      <c r="B785" s="56" t="s">
        <v>1057</v>
      </c>
      <c r="C785" s="57" t="s">
        <v>1324</v>
      </c>
      <c r="D785" s="59" t="s">
        <v>1325</v>
      </c>
      <c r="E785" s="59" t="s">
        <v>1343</v>
      </c>
      <c r="F785" s="59" t="str">
        <f>VLOOKUP(E785,[1]库存!$B$1:$C$65536,2,FALSE)</f>
        <v>XPENG F01 FSAB RH</v>
      </c>
      <c r="G785" s="59" t="s">
        <v>1344</v>
      </c>
      <c r="H785" s="59" t="s">
        <v>1345</v>
      </c>
      <c r="I785" s="59" t="s">
        <v>250</v>
      </c>
      <c r="J785" s="102" t="s">
        <v>65</v>
      </c>
      <c r="K785" s="61"/>
      <c r="L785" s="62">
        <v>1</v>
      </c>
      <c r="M785" s="63">
        <v>1400</v>
      </c>
      <c r="N785" s="64">
        <v>10</v>
      </c>
      <c r="O785" s="62">
        <v>2</v>
      </c>
      <c r="P785" s="65">
        <f t="shared" si="52"/>
        <v>0</v>
      </c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66"/>
      <c r="AU785" s="66"/>
      <c r="AV785" s="66"/>
      <c r="AW785" s="66"/>
      <c r="AX785" s="66"/>
      <c r="AY785" s="66"/>
      <c r="AZ785" s="66"/>
      <c r="BA785" s="66"/>
      <c r="BB785" s="66"/>
      <c r="BC785" s="66"/>
      <c r="BD785" s="66"/>
      <c r="BE785" s="67"/>
      <c r="BF785" s="67"/>
      <c r="BG785" s="68"/>
      <c r="BI785" s="69">
        <v>0</v>
      </c>
      <c r="BJ785" s="70">
        <v>0</v>
      </c>
      <c r="BK785" s="71">
        <v>0</v>
      </c>
      <c r="BL785" s="71">
        <v>0</v>
      </c>
      <c r="BM785" s="71">
        <v>0</v>
      </c>
      <c r="BN785" s="72">
        <v>0</v>
      </c>
      <c r="BO785" s="151" t="e">
        <f t="shared" si="48"/>
        <v>#DIV/0!</v>
      </c>
      <c r="BP785" s="151" t="e">
        <f t="shared" si="49"/>
        <v>#DIV/0!</v>
      </c>
      <c r="BQ785" s="71">
        <v>0</v>
      </c>
      <c r="BR785" s="71">
        <v>0</v>
      </c>
      <c r="BS785" s="71">
        <v>0</v>
      </c>
      <c r="BT785" s="72">
        <v>0</v>
      </c>
      <c r="BU785" s="73"/>
      <c r="BV785" s="73"/>
    </row>
    <row r="786" ht="30" customHeight="1" spans="1:74">
      <c r="A786" s="55">
        <v>0</v>
      </c>
      <c r="B786" s="56">
        <v>0</v>
      </c>
      <c r="C786" s="57">
        <v>0</v>
      </c>
      <c r="D786" s="74"/>
      <c r="E786" s="74"/>
      <c r="F786" s="59" t="e">
        <f>VLOOKUP(E786,[1]库存!$B$1:$C$65536,2,FALSE)</f>
        <v>#N/A</v>
      </c>
      <c r="G786" s="59" t="e">
        <v>#N/A</v>
      </c>
      <c r="H786" s="74"/>
      <c r="I786" s="74"/>
      <c r="J786" s="102"/>
      <c r="K786" s="61"/>
      <c r="L786" s="62">
        <v>0</v>
      </c>
      <c r="M786" s="63">
        <v>0</v>
      </c>
      <c r="N786" s="64">
        <v>0</v>
      </c>
      <c r="O786" s="62">
        <v>0</v>
      </c>
      <c r="P786" s="65">
        <f t="shared" si="52"/>
        <v>0</v>
      </c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6"/>
      <c r="BB786" s="66"/>
      <c r="BC786" s="66"/>
      <c r="BD786" s="66"/>
      <c r="BE786" s="67"/>
      <c r="BF786" s="67"/>
      <c r="BG786" s="68"/>
      <c r="BI786" s="69">
        <v>0</v>
      </c>
      <c r="BJ786" s="70">
        <v>0</v>
      </c>
      <c r="BK786" s="71">
        <v>0</v>
      </c>
      <c r="BL786" s="71">
        <v>0</v>
      </c>
      <c r="BM786" s="71">
        <v>0</v>
      </c>
      <c r="BN786" s="72">
        <v>0</v>
      </c>
      <c r="BO786" s="151" t="e">
        <f t="shared" si="48"/>
        <v>#DIV/0!</v>
      </c>
      <c r="BP786" s="151" t="e">
        <f t="shared" si="49"/>
        <v>#DIV/0!</v>
      </c>
      <c r="BQ786" s="71">
        <v>0</v>
      </c>
      <c r="BR786" s="71">
        <v>0</v>
      </c>
      <c r="BS786" s="71">
        <v>0</v>
      </c>
      <c r="BT786" s="72">
        <v>0</v>
      </c>
      <c r="BU786" s="73"/>
      <c r="BV786" s="73"/>
    </row>
    <row r="787" ht="30" customHeight="1" spans="1:74">
      <c r="A787" s="55" t="s">
        <v>410</v>
      </c>
      <c r="B787" s="56" t="s">
        <v>1057</v>
      </c>
      <c r="C787" s="57" t="s">
        <v>1324</v>
      </c>
      <c r="D787" s="59" t="s">
        <v>1325</v>
      </c>
      <c r="E787" s="59" t="s">
        <v>1346</v>
      </c>
      <c r="F787" s="59" t="str">
        <f>VLOOKUP(E787,[1]库存!$B$1:$C$65536,2,FALSE)</f>
        <v>XPENG F01S FSAB LH</v>
      </c>
      <c r="G787" s="59" t="s">
        <v>1347</v>
      </c>
      <c r="H787" s="59" t="s">
        <v>1348</v>
      </c>
      <c r="I787" s="59" t="s">
        <v>250</v>
      </c>
      <c r="J787" s="102" t="s">
        <v>65</v>
      </c>
      <c r="K787" s="61"/>
      <c r="L787" s="62">
        <v>1</v>
      </c>
      <c r="M787" s="63">
        <v>1200</v>
      </c>
      <c r="N787" s="64">
        <v>10</v>
      </c>
      <c r="O787" s="62">
        <v>2</v>
      </c>
      <c r="P787" s="65">
        <f t="shared" si="52"/>
        <v>0</v>
      </c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66"/>
      <c r="AZ787" s="66"/>
      <c r="BA787" s="66"/>
      <c r="BB787" s="66"/>
      <c r="BC787" s="66"/>
      <c r="BD787" s="66"/>
      <c r="BE787" s="67"/>
      <c r="BF787" s="67"/>
      <c r="BG787" s="68"/>
      <c r="BI787" s="69">
        <v>0</v>
      </c>
      <c r="BJ787" s="70">
        <v>0</v>
      </c>
      <c r="BK787" s="71">
        <v>0</v>
      </c>
      <c r="BL787" s="71">
        <v>0</v>
      </c>
      <c r="BM787" s="71">
        <v>0</v>
      </c>
      <c r="BN787" s="72">
        <v>0</v>
      </c>
      <c r="BO787" s="151" t="e">
        <f t="shared" si="48"/>
        <v>#DIV/0!</v>
      </c>
      <c r="BP787" s="151" t="e">
        <f t="shared" si="49"/>
        <v>#DIV/0!</v>
      </c>
      <c r="BQ787" s="71">
        <v>0</v>
      </c>
      <c r="BR787" s="71">
        <v>0</v>
      </c>
      <c r="BS787" s="71">
        <v>0</v>
      </c>
      <c r="BT787" s="72">
        <v>0</v>
      </c>
      <c r="BU787" s="73"/>
      <c r="BV787" s="73"/>
    </row>
    <row r="788" ht="30" customHeight="1" spans="1:74">
      <c r="A788" s="55">
        <v>0</v>
      </c>
      <c r="B788" s="56">
        <v>0</v>
      </c>
      <c r="C788" s="57">
        <v>0</v>
      </c>
      <c r="D788" s="74"/>
      <c r="E788" s="74"/>
      <c r="F788" s="59" t="e">
        <f>VLOOKUP(E788,[1]库存!$B$1:$C$65536,2,FALSE)</f>
        <v>#N/A</v>
      </c>
      <c r="G788" s="59" t="e">
        <v>#N/A</v>
      </c>
      <c r="H788" s="74"/>
      <c r="I788" s="74"/>
      <c r="J788" s="102"/>
      <c r="K788" s="61"/>
      <c r="L788" s="62">
        <v>0</v>
      </c>
      <c r="M788" s="63">
        <v>0</v>
      </c>
      <c r="N788" s="64">
        <v>0</v>
      </c>
      <c r="O788" s="62">
        <v>0</v>
      </c>
      <c r="P788" s="65">
        <f t="shared" si="52"/>
        <v>0</v>
      </c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  <c r="AS788" s="66"/>
      <c r="AT788" s="66"/>
      <c r="AU788" s="66"/>
      <c r="AV788" s="66"/>
      <c r="AW788" s="66"/>
      <c r="AX788" s="66"/>
      <c r="AY788" s="66"/>
      <c r="AZ788" s="66"/>
      <c r="BA788" s="66"/>
      <c r="BB788" s="66"/>
      <c r="BC788" s="66"/>
      <c r="BD788" s="66"/>
      <c r="BE788" s="67"/>
      <c r="BF788" s="67"/>
      <c r="BG788" s="68"/>
      <c r="BI788" s="69">
        <v>0</v>
      </c>
      <c r="BJ788" s="70">
        <v>0</v>
      </c>
      <c r="BK788" s="71">
        <v>0</v>
      </c>
      <c r="BL788" s="71">
        <v>0</v>
      </c>
      <c r="BM788" s="71">
        <v>0</v>
      </c>
      <c r="BN788" s="72">
        <v>0</v>
      </c>
      <c r="BO788" s="151" t="e">
        <f t="shared" si="48"/>
        <v>#DIV/0!</v>
      </c>
      <c r="BP788" s="151" t="e">
        <f t="shared" si="49"/>
        <v>#DIV/0!</v>
      </c>
      <c r="BQ788" s="71">
        <v>0</v>
      </c>
      <c r="BR788" s="71">
        <v>0</v>
      </c>
      <c r="BS788" s="71">
        <v>0</v>
      </c>
      <c r="BT788" s="72">
        <v>0</v>
      </c>
      <c r="BU788" s="73"/>
      <c r="BV788" s="73"/>
    </row>
    <row r="789" ht="30" customHeight="1" spans="1:74">
      <c r="A789" s="55" t="s">
        <v>410</v>
      </c>
      <c r="B789" s="56" t="s">
        <v>1057</v>
      </c>
      <c r="C789" s="57" t="s">
        <v>1324</v>
      </c>
      <c r="D789" s="59" t="s">
        <v>1325</v>
      </c>
      <c r="E789" s="59" t="s">
        <v>1349</v>
      </c>
      <c r="F789" s="59" t="str">
        <f>VLOOKUP(E789,[1]库存!$B$1:$C$65536,2,FALSE)</f>
        <v>XPENG F01S FSAB RH</v>
      </c>
      <c r="G789" s="59" t="s">
        <v>1350</v>
      </c>
      <c r="H789" s="59" t="s">
        <v>1351</v>
      </c>
      <c r="I789" s="59" t="s">
        <v>250</v>
      </c>
      <c r="J789" s="102" t="s">
        <v>65</v>
      </c>
      <c r="K789" s="61"/>
      <c r="L789" s="62">
        <v>1</v>
      </c>
      <c r="M789" s="63">
        <v>1200</v>
      </c>
      <c r="N789" s="64">
        <v>10</v>
      </c>
      <c r="O789" s="62">
        <v>2</v>
      </c>
      <c r="P789" s="65">
        <f t="shared" si="52"/>
        <v>0</v>
      </c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66"/>
      <c r="AU789" s="66"/>
      <c r="AV789" s="66"/>
      <c r="AW789" s="66"/>
      <c r="AX789" s="66"/>
      <c r="AY789" s="66"/>
      <c r="AZ789" s="66"/>
      <c r="BA789" s="66"/>
      <c r="BB789" s="66"/>
      <c r="BC789" s="66"/>
      <c r="BD789" s="66"/>
      <c r="BE789" s="67"/>
      <c r="BF789" s="67"/>
      <c r="BG789" s="68"/>
      <c r="BI789" s="69">
        <v>0</v>
      </c>
      <c r="BJ789" s="70">
        <v>0</v>
      </c>
      <c r="BK789" s="71">
        <v>0</v>
      </c>
      <c r="BL789" s="71">
        <v>0</v>
      </c>
      <c r="BM789" s="71">
        <v>0</v>
      </c>
      <c r="BN789" s="72">
        <v>0</v>
      </c>
      <c r="BO789" s="151" t="e">
        <f t="shared" si="48"/>
        <v>#DIV/0!</v>
      </c>
      <c r="BP789" s="151" t="e">
        <f t="shared" si="49"/>
        <v>#DIV/0!</v>
      </c>
      <c r="BQ789" s="71">
        <v>0</v>
      </c>
      <c r="BR789" s="71">
        <v>0</v>
      </c>
      <c r="BS789" s="71">
        <v>0</v>
      </c>
      <c r="BT789" s="72">
        <v>0</v>
      </c>
      <c r="BU789" s="73"/>
      <c r="BV789" s="73"/>
    </row>
    <row r="790" ht="30" customHeight="1" spans="1:74">
      <c r="A790" s="55">
        <v>0</v>
      </c>
      <c r="B790" s="56">
        <v>0</v>
      </c>
      <c r="C790" s="57">
        <v>0</v>
      </c>
      <c r="D790" s="74"/>
      <c r="E790" s="74"/>
      <c r="F790" s="59" t="e">
        <f>VLOOKUP(E790,[1]库存!$B$1:$C$65536,2,FALSE)</f>
        <v>#N/A</v>
      </c>
      <c r="G790" s="59" t="e">
        <v>#N/A</v>
      </c>
      <c r="H790" s="74"/>
      <c r="I790" s="74"/>
      <c r="J790" s="102"/>
      <c r="K790" s="61"/>
      <c r="L790" s="62">
        <v>0</v>
      </c>
      <c r="M790" s="63">
        <v>0</v>
      </c>
      <c r="N790" s="64">
        <v>0</v>
      </c>
      <c r="O790" s="62">
        <v>0</v>
      </c>
      <c r="P790" s="65">
        <f t="shared" si="52"/>
        <v>0</v>
      </c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66"/>
      <c r="AU790" s="66"/>
      <c r="AV790" s="66"/>
      <c r="AW790" s="66"/>
      <c r="AX790" s="66"/>
      <c r="AY790" s="66"/>
      <c r="AZ790" s="66"/>
      <c r="BA790" s="66"/>
      <c r="BB790" s="66"/>
      <c r="BC790" s="66"/>
      <c r="BD790" s="66"/>
      <c r="BE790" s="67"/>
      <c r="BF790" s="67"/>
      <c r="BG790" s="68"/>
      <c r="BI790" s="69">
        <v>0</v>
      </c>
      <c r="BJ790" s="70">
        <v>0</v>
      </c>
      <c r="BK790" s="71">
        <v>0</v>
      </c>
      <c r="BL790" s="71">
        <v>0</v>
      </c>
      <c r="BM790" s="71">
        <v>0</v>
      </c>
      <c r="BN790" s="72">
        <v>0</v>
      </c>
      <c r="BO790" s="151" t="e">
        <f t="shared" si="48"/>
        <v>#DIV/0!</v>
      </c>
      <c r="BP790" s="151" t="e">
        <f t="shared" si="49"/>
        <v>#DIV/0!</v>
      </c>
      <c r="BQ790" s="71">
        <v>0</v>
      </c>
      <c r="BR790" s="71">
        <v>0</v>
      </c>
      <c r="BS790" s="71">
        <v>0</v>
      </c>
      <c r="BT790" s="72">
        <v>0</v>
      </c>
      <c r="BU790" s="73"/>
      <c r="BV790" s="73"/>
    </row>
    <row r="791" ht="30" customHeight="1" spans="1:74">
      <c r="A791" s="55">
        <v>0</v>
      </c>
      <c r="B791" s="56">
        <v>0</v>
      </c>
      <c r="C791" s="57">
        <v>0</v>
      </c>
      <c r="E791" s="88"/>
      <c r="F791" s="59" t="e">
        <f>VLOOKUP(E791,[1]库存!$B$1:$C$65536,2,FALSE)</f>
        <v>#N/A</v>
      </c>
      <c r="G791" s="59" t="e">
        <v>#N/A</v>
      </c>
      <c r="H791" s="89"/>
      <c r="I791" s="88"/>
      <c r="J791" s="90"/>
      <c r="K791" s="61"/>
      <c r="L791" s="62">
        <v>0</v>
      </c>
      <c r="M791" s="63">
        <v>0</v>
      </c>
      <c r="N791" s="64">
        <v>0</v>
      </c>
      <c r="O791" s="62">
        <v>0</v>
      </c>
      <c r="P791" s="65">
        <f t="shared" si="52"/>
        <v>0</v>
      </c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66"/>
      <c r="AU791" s="66"/>
      <c r="AV791" s="66"/>
      <c r="AW791" s="66"/>
      <c r="AX791" s="66"/>
      <c r="AY791" s="66"/>
      <c r="AZ791" s="66"/>
      <c r="BA791" s="66"/>
      <c r="BB791" s="66"/>
      <c r="BC791" s="66"/>
      <c r="BD791" s="66"/>
      <c r="BE791" s="67"/>
      <c r="BF791" s="67"/>
      <c r="BG791" s="68"/>
      <c r="BI791" s="69">
        <v>0</v>
      </c>
      <c r="BJ791" s="70">
        <v>0</v>
      </c>
      <c r="BK791" s="71">
        <v>0</v>
      </c>
      <c r="BL791" s="71">
        <v>0</v>
      </c>
      <c r="BM791" s="71">
        <v>0</v>
      </c>
      <c r="BN791" s="72">
        <v>0</v>
      </c>
      <c r="BO791" s="151" t="e">
        <f t="shared" si="48"/>
        <v>#DIV/0!</v>
      </c>
      <c r="BP791" s="151" t="e">
        <f t="shared" si="49"/>
        <v>#DIV/0!</v>
      </c>
      <c r="BQ791" s="71">
        <v>0</v>
      </c>
      <c r="BR791" s="71">
        <v>0</v>
      </c>
      <c r="BS791" s="71">
        <v>0</v>
      </c>
      <c r="BT791" s="72">
        <v>0</v>
      </c>
      <c r="BU791" s="73"/>
      <c r="BV791" s="73"/>
    </row>
    <row r="792" ht="30" customHeight="1" spans="1:74">
      <c r="A792" s="55">
        <v>0</v>
      </c>
      <c r="B792" s="56" t="s">
        <v>1057</v>
      </c>
      <c r="C792" s="57" t="s">
        <v>1324</v>
      </c>
      <c r="D792" s="59" t="s">
        <v>1352</v>
      </c>
      <c r="E792" s="59" t="s">
        <v>1353</v>
      </c>
      <c r="F792" s="59" t="e">
        <f>VLOOKUP(E792,[1]库存!$B$1:$C$65536,2,FALSE)</f>
        <v>#N/A</v>
      </c>
      <c r="G792" s="59" t="e">
        <v>#N/A</v>
      </c>
      <c r="H792" s="59" t="s">
        <v>1354</v>
      </c>
      <c r="I792" s="59" t="s">
        <v>1355</v>
      </c>
      <c r="J792" s="77" t="s">
        <v>1356</v>
      </c>
      <c r="K792" s="61"/>
      <c r="L792" s="62">
        <v>1</v>
      </c>
      <c r="M792" s="63">
        <v>1300</v>
      </c>
      <c r="N792" s="64">
        <v>10</v>
      </c>
      <c r="O792" s="62">
        <v>1</v>
      </c>
      <c r="P792" s="65">
        <f t="shared" si="52"/>
        <v>0</v>
      </c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66"/>
      <c r="AZ792" s="66"/>
      <c r="BA792" s="66"/>
      <c r="BB792" s="66"/>
      <c r="BC792" s="66"/>
      <c r="BD792" s="66"/>
      <c r="BE792" s="67"/>
      <c r="BF792" s="67"/>
      <c r="BG792" s="68"/>
      <c r="BI792" s="69">
        <v>0</v>
      </c>
      <c r="BJ792" s="70">
        <v>0</v>
      </c>
      <c r="BK792" s="71">
        <v>0</v>
      </c>
      <c r="BL792" s="71">
        <v>0</v>
      </c>
      <c r="BM792" s="71">
        <v>0</v>
      </c>
      <c r="BN792" s="72">
        <v>0</v>
      </c>
      <c r="BO792" s="151" t="e">
        <f t="shared" si="48"/>
        <v>#DIV/0!</v>
      </c>
      <c r="BP792" s="151" t="e">
        <f t="shared" si="49"/>
        <v>#DIV/0!</v>
      </c>
      <c r="BQ792" s="71">
        <v>0</v>
      </c>
      <c r="BR792" s="71">
        <v>0</v>
      </c>
      <c r="BS792" s="71">
        <v>0</v>
      </c>
      <c r="BT792" s="72">
        <v>0</v>
      </c>
      <c r="BU792" s="73"/>
      <c r="BV792" s="73"/>
    </row>
    <row r="793" ht="30" customHeight="1" spans="1:74">
      <c r="A793" s="55">
        <v>0</v>
      </c>
      <c r="B793" s="56">
        <v>0</v>
      </c>
      <c r="C793" s="57">
        <v>0</v>
      </c>
      <c r="D793" s="74"/>
      <c r="E793" s="74"/>
      <c r="F793" s="59" t="e">
        <f>VLOOKUP(E793,[1]库存!$B$1:$C$65536,2,FALSE)</f>
        <v>#N/A</v>
      </c>
      <c r="G793" s="59" t="e">
        <v>#N/A</v>
      </c>
      <c r="H793" s="74"/>
      <c r="I793" s="74"/>
      <c r="J793" s="79"/>
      <c r="K793" s="61"/>
      <c r="L793" s="62">
        <v>0</v>
      </c>
      <c r="M793" s="63">
        <v>0</v>
      </c>
      <c r="N793" s="64">
        <v>0</v>
      </c>
      <c r="O793" s="62">
        <v>0</v>
      </c>
      <c r="P793" s="65">
        <f t="shared" si="52"/>
        <v>0</v>
      </c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66"/>
      <c r="AU793" s="66"/>
      <c r="AV793" s="66"/>
      <c r="AW793" s="66"/>
      <c r="AX793" s="66"/>
      <c r="AY793" s="66"/>
      <c r="AZ793" s="66"/>
      <c r="BA793" s="66"/>
      <c r="BB793" s="66"/>
      <c r="BC793" s="66"/>
      <c r="BD793" s="66"/>
      <c r="BE793" s="67"/>
      <c r="BF793" s="67"/>
      <c r="BG793" s="68"/>
      <c r="BI793" s="69">
        <v>0</v>
      </c>
      <c r="BJ793" s="70">
        <v>0</v>
      </c>
      <c r="BK793" s="71">
        <v>0</v>
      </c>
      <c r="BL793" s="71">
        <v>0</v>
      </c>
      <c r="BM793" s="71">
        <v>0</v>
      </c>
      <c r="BN793" s="72">
        <v>0</v>
      </c>
      <c r="BO793" s="151" t="e">
        <f t="shared" si="48"/>
        <v>#DIV/0!</v>
      </c>
      <c r="BP793" s="151" t="e">
        <f t="shared" si="49"/>
        <v>#DIV/0!</v>
      </c>
      <c r="BQ793" s="71">
        <v>0</v>
      </c>
      <c r="BR793" s="71">
        <v>0</v>
      </c>
      <c r="BS793" s="71">
        <v>0</v>
      </c>
      <c r="BT793" s="72">
        <v>0</v>
      </c>
      <c r="BU793" s="73"/>
      <c r="BV793" s="73"/>
    </row>
    <row r="794" ht="30" customHeight="1" spans="1:74">
      <c r="A794" s="55">
        <v>0</v>
      </c>
      <c r="B794" s="56">
        <v>0</v>
      </c>
      <c r="C794" s="57">
        <v>0</v>
      </c>
      <c r="D794" s="59" t="s">
        <v>1352</v>
      </c>
      <c r="E794" s="59"/>
      <c r="F794" s="59" t="e">
        <f>VLOOKUP(E794,[1]库存!$B$1:$C$65536,2,FALSE)</f>
        <v>#N/A</v>
      </c>
      <c r="G794" s="59" t="e">
        <v>#N/A</v>
      </c>
      <c r="H794" s="59" t="s">
        <v>1357</v>
      </c>
      <c r="I794" s="59"/>
      <c r="J794" s="63"/>
      <c r="K794" s="61"/>
      <c r="L794" s="62">
        <v>0</v>
      </c>
      <c r="M794" s="63">
        <v>0</v>
      </c>
      <c r="N794" s="64">
        <v>0</v>
      </c>
      <c r="O794" s="62">
        <v>0</v>
      </c>
      <c r="P794" s="65">
        <f t="shared" si="52"/>
        <v>0</v>
      </c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  <c r="BD794" s="66"/>
      <c r="BE794" s="67"/>
      <c r="BF794" s="67"/>
      <c r="BG794" s="68"/>
      <c r="BI794" s="69">
        <v>0</v>
      </c>
      <c r="BJ794" s="70">
        <v>0</v>
      </c>
      <c r="BK794" s="71">
        <v>0</v>
      </c>
      <c r="BL794" s="71">
        <v>0</v>
      </c>
      <c r="BM794" s="71">
        <v>0</v>
      </c>
      <c r="BN794" s="72">
        <v>0</v>
      </c>
      <c r="BO794" s="151" t="e">
        <f t="shared" si="48"/>
        <v>#DIV/0!</v>
      </c>
      <c r="BP794" s="151" t="e">
        <f t="shared" si="49"/>
        <v>#DIV/0!</v>
      </c>
      <c r="BQ794" s="71">
        <v>0</v>
      </c>
      <c r="BR794" s="71">
        <v>0</v>
      </c>
      <c r="BS794" s="71">
        <v>0</v>
      </c>
      <c r="BT794" s="72">
        <v>0</v>
      </c>
      <c r="BU794" s="73"/>
      <c r="BV794" s="73"/>
    </row>
    <row r="795" ht="30" customHeight="1" spans="1:74">
      <c r="A795" s="55">
        <v>0</v>
      </c>
      <c r="B795" s="56">
        <v>0</v>
      </c>
      <c r="C795" s="57">
        <v>0</v>
      </c>
      <c r="D795" s="74"/>
      <c r="E795" s="74"/>
      <c r="F795" s="59" t="e">
        <f>VLOOKUP(E795,[1]库存!$B$1:$C$65536,2,FALSE)</f>
        <v>#N/A</v>
      </c>
      <c r="G795" s="59" t="e">
        <v>#N/A</v>
      </c>
      <c r="H795" s="74"/>
      <c r="I795" s="74"/>
      <c r="J795" s="87"/>
      <c r="K795" s="61"/>
      <c r="L795" s="62">
        <v>0</v>
      </c>
      <c r="M795" s="63">
        <v>0</v>
      </c>
      <c r="N795" s="64">
        <v>0</v>
      </c>
      <c r="O795" s="62">
        <v>0</v>
      </c>
      <c r="P795" s="65">
        <f t="shared" si="52"/>
        <v>0</v>
      </c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6"/>
      <c r="BB795" s="66"/>
      <c r="BC795" s="66"/>
      <c r="BD795" s="66"/>
      <c r="BE795" s="67"/>
      <c r="BF795" s="67"/>
      <c r="BG795" s="68"/>
      <c r="BI795" s="69">
        <v>0</v>
      </c>
      <c r="BJ795" s="70">
        <v>0</v>
      </c>
      <c r="BK795" s="71">
        <v>0</v>
      </c>
      <c r="BL795" s="71">
        <v>0</v>
      </c>
      <c r="BM795" s="71">
        <v>0</v>
      </c>
      <c r="BN795" s="72">
        <v>0</v>
      </c>
      <c r="BO795" s="151" t="e">
        <f t="shared" si="48"/>
        <v>#DIV/0!</v>
      </c>
      <c r="BP795" s="151" t="e">
        <f t="shared" si="49"/>
        <v>#DIV/0!</v>
      </c>
      <c r="BQ795" s="71">
        <v>0</v>
      </c>
      <c r="BR795" s="71">
        <v>0</v>
      </c>
      <c r="BS795" s="71">
        <v>0</v>
      </c>
      <c r="BT795" s="72">
        <v>0</v>
      </c>
      <c r="BU795" s="73"/>
      <c r="BV795" s="73"/>
    </row>
    <row r="796" ht="30" customHeight="1" spans="1:74">
      <c r="A796" s="55">
        <v>0</v>
      </c>
      <c r="B796" s="56">
        <v>0</v>
      </c>
      <c r="C796" s="57">
        <v>0</v>
      </c>
      <c r="D796" s="59" t="s">
        <v>1352</v>
      </c>
      <c r="E796" s="59"/>
      <c r="F796" s="59" t="e">
        <f>VLOOKUP(E796,[1]库存!$B$1:$C$65536,2,FALSE)</f>
        <v>#N/A</v>
      </c>
      <c r="G796" s="59" t="e">
        <v>#N/A</v>
      </c>
      <c r="H796" s="59" t="s">
        <v>1358</v>
      </c>
      <c r="I796" s="59"/>
      <c r="J796" s="63"/>
      <c r="K796" s="61"/>
      <c r="L796" s="62">
        <v>0</v>
      </c>
      <c r="M796" s="63">
        <v>0</v>
      </c>
      <c r="N796" s="64">
        <v>0</v>
      </c>
      <c r="O796" s="62">
        <v>0</v>
      </c>
      <c r="P796" s="65">
        <f t="shared" si="52"/>
        <v>0</v>
      </c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  <c r="AS796" s="66"/>
      <c r="AT796" s="66"/>
      <c r="AU796" s="66"/>
      <c r="AV796" s="66"/>
      <c r="AW796" s="66"/>
      <c r="AX796" s="66"/>
      <c r="AY796" s="66"/>
      <c r="AZ796" s="66"/>
      <c r="BA796" s="66"/>
      <c r="BB796" s="66"/>
      <c r="BC796" s="66"/>
      <c r="BD796" s="66"/>
      <c r="BE796" s="67"/>
      <c r="BF796" s="67"/>
      <c r="BG796" s="68"/>
      <c r="BI796" s="69">
        <v>0</v>
      </c>
      <c r="BJ796" s="70">
        <v>0</v>
      </c>
      <c r="BK796" s="71">
        <v>0</v>
      </c>
      <c r="BL796" s="71">
        <v>0</v>
      </c>
      <c r="BM796" s="71">
        <v>0</v>
      </c>
      <c r="BN796" s="72">
        <v>0</v>
      </c>
      <c r="BO796" s="151" t="e">
        <f t="shared" si="48"/>
        <v>#DIV/0!</v>
      </c>
      <c r="BP796" s="151" t="e">
        <f t="shared" si="49"/>
        <v>#DIV/0!</v>
      </c>
      <c r="BQ796" s="71">
        <v>0</v>
      </c>
      <c r="BR796" s="71">
        <v>0</v>
      </c>
      <c r="BS796" s="71">
        <v>0</v>
      </c>
      <c r="BT796" s="72">
        <v>0</v>
      </c>
      <c r="BU796" s="73"/>
      <c r="BV796" s="73"/>
    </row>
    <row r="797" ht="30" customHeight="1" spans="1:74">
      <c r="A797" s="55">
        <v>0</v>
      </c>
      <c r="B797" s="56">
        <v>0</v>
      </c>
      <c r="C797" s="57">
        <v>0</v>
      </c>
      <c r="D797" s="74"/>
      <c r="E797" s="74"/>
      <c r="F797" s="59" t="e">
        <f>VLOOKUP(E797,[1]库存!$B$1:$C$65536,2,FALSE)</f>
        <v>#N/A</v>
      </c>
      <c r="G797" s="59" t="e">
        <v>#N/A</v>
      </c>
      <c r="H797" s="74"/>
      <c r="I797" s="74"/>
      <c r="J797" s="87"/>
      <c r="K797" s="61"/>
      <c r="L797" s="62">
        <v>0</v>
      </c>
      <c r="M797" s="63">
        <v>0</v>
      </c>
      <c r="N797" s="64">
        <v>0</v>
      </c>
      <c r="O797" s="62">
        <v>0</v>
      </c>
      <c r="P797" s="65">
        <f t="shared" si="52"/>
        <v>0</v>
      </c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66"/>
      <c r="AU797" s="66"/>
      <c r="AV797" s="66"/>
      <c r="AW797" s="66"/>
      <c r="AX797" s="66"/>
      <c r="AY797" s="66"/>
      <c r="AZ797" s="66"/>
      <c r="BA797" s="66"/>
      <c r="BB797" s="66"/>
      <c r="BC797" s="66"/>
      <c r="BD797" s="66"/>
      <c r="BE797" s="67"/>
      <c r="BF797" s="67"/>
      <c r="BG797" s="68"/>
      <c r="BI797" s="69">
        <v>0</v>
      </c>
      <c r="BJ797" s="70">
        <v>0</v>
      </c>
      <c r="BK797" s="71">
        <v>0</v>
      </c>
      <c r="BL797" s="71">
        <v>0</v>
      </c>
      <c r="BM797" s="71">
        <v>0</v>
      </c>
      <c r="BN797" s="72">
        <v>0</v>
      </c>
      <c r="BO797" s="151" t="e">
        <f t="shared" si="48"/>
        <v>#DIV/0!</v>
      </c>
      <c r="BP797" s="151" t="e">
        <f t="shared" si="49"/>
        <v>#DIV/0!</v>
      </c>
      <c r="BQ797" s="71">
        <v>0</v>
      </c>
      <c r="BR797" s="71">
        <v>0</v>
      </c>
      <c r="BS797" s="71">
        <v>0</v>
      </c>
      <c r="BT797" s="72">
        <v>0</v>
      </c>
      <c r="BU797" s="73"/>
      <c r="BV797" s="73"/>
    </row>
    <row r="798" ht="30" customHeight="1" spans="1:74">
      <c r="A798" s="55">
        <v>0</v>
      </c>
      <c r="B798" s="56">
        <v>0</v>
      </c>
      <c r="C798" s="57">
        <v>0</v>
      </c>
      <c r="E798" s="88"/>
      <c r="F798" s="59" t="e">
        <f>VLOOKUP(E798,[1]库存!$B$1:$C$65536,2,FALSE)</f>
        <v>#N/A</v>
      </c>
      <c r="G798" s="59" t="e">
        <v>#N/A</v>
      </c>
      <c r="H798" s="89"/>
      <c r="I798" s="88"/>
      <c r="J798" s="90"/>
      <c r="K798" s="61"/>
      <c r="L798" s="62">
        <v>0</v>
      </c>
      <c r="M798" s="63">
        <v>0</v>
      </c>
      <c r="N798" s="64">
        <v>0</v>
      </c>
      <c r="O798" s="62">
        <v>0</v>
      </c>
      <c r="P798" s="65">
        <f t="shared" si="52"/>
        <v>0</v>
      </c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66"/>
      <c r="AU798" s="66"/>
      <c r="AV798" s="66"/>
      <c r="AW798" s="66"/>
      <c r="AX798" s="66"/>
      <c r="AY798" s="66"/>
      <c r="AZ798" s="66"/>
      <c r="BA798" s="66"/>
      <c r="BB798" s="66"/>
      <c r="BC798" s="66"/>
      <c r="BD798" s="66"/>
      <c r="BE798" s="67"/>
      <c r="BF798" s="67"/>
      <c r="BG798" s="68"/>
      <c r="BI798" s="69">
        <v>0</v>
      </c>
      <c r="BJ798" s="70">
        <v>0</v>
      </c>
      <c r="BK798" s="71">
        <v>0</v>
      </c>
      <c r="BL798" s="71">
        <v>0</v>
      </c>
      <c r="BM798" s="71">
        <v>0</v>
      </c>
      <c r="BN798" s="72">
        <v>0</v>
      </c>
      <c r="BO798" s="151" t="e">
        <f t="shared" si="48"/>
        <v>#DIV/0!</v>
      </c>
      <c r="BP798" s="151" t="e">
        <f t="shared" si="49"/>
        <v>#DIV/0!</v>
      </c>
      <c r="BQ798" s="71">
        <v>0</v>
      </c>
      <c r="BR798" s="71">
        <v>0</v>
      </c>
      <c r="BS798" s="71">
        <v>0</v>
      </c>
      <c r="BT798" s="72">
        <v>0</v>
      </c>
      <c r="BU798" s="73"/>
      <c r="BV798" s="73"/>
    </row>
    <row r="799" ht="30" customHeight="1" spans="1:74">
      <c r="A799" s="55" t="s">
        <v>41</v>
      </c>
      <c r="B799" s="56" t="s">
        <v>1057</v>
      </c>
      <c r="C799" s="57" t="s">
        <v>1324</v>
      </c>
      <c r="D799" s="59" t="s">
        <v>1359</v>
      </c>
      <c r="E799" s="59" t="s">
        <v>1360</v>
      </c>
      <c r="F799" s="59" t="str">
        <f>VLOOKUP(E799,[1]库存!$B$1:$C$65536,2,FALSE)</f>
        <v>Chery T17 SAB LH（埃）</v>
      </c>
      <c r="G799" s="59" t="s">
        <v>1361</v>
      </c>
      <c r="H799" s="59" t="s">
        <v>1362</v>
      </c>
      <c r="I799" s="59" t="s">
        <v>1363</v>
      </c>
      <c r="J799" s="102" t="s">
        <v>65</v>
      </c>
      <c r="K799" s="61"/>
      <c r="L799" s="62">
        <v>2</v>
      </c>
      <c r="M799" s="63">
        <v>1400</v>
      </c>
      <c r="N799" s="64">
        <v>13</v>
      </c>
      <c r="O799" s="62">
        <v>2</v>
      </c>
      <c r="P799" s="65">
        <f t="shared" si="52"/>
        <v>0</v>
      </c>
      <c r="Q799" s="103"/>
      <c r="R799" s="66"/>
      <c r="S799" s="103"/>
      <c r="T799" s="66"/>
      <c r="U799" s="103"/>
      <c r="V799" s="66"/>
      <c r="W799" s="103"/>
      <c r="X799" s="66"/>
      <c r="Y799" s="103"/>
      <c r="Z799" s="66"/>
      <c r="AA799" s="103"/>
      <c r="AB799" s="66"/>
      <c r="AC799" s="103"/>
      <c r="AD799" s="66"/>
      <c r="AE799" s="103"/>
      <c r="AF799" s="66"/>
      <c r="AG799" s="103"/>
      <c r="AH799" s="66"/>
      <c r="AI799" s="103"/>
      <c r="AJ799" s="66"/>
      <c r="AK799" s="103"/>
      <c r="AL799" s="66"/>
      <c r="AM799" s="103"/>
      <c r="AN799" s="66"/>
      <c r="AO799" s="103"/>
      <c r="AP799" s="66"/>
      <c r="AQ799" s="103"/>
      <c r="AR799" s="66"/>
      <c r="AS799" s="103"/>
      <c r="AT799" s="66"/>
      <c r="AU799" s="103"/>
      <c r="AV799" s="66"/>
      <c r="AW799" s="103"/>
      <c r="AX799" s="66"/>
      <c r="AY799" s="103"/>
      <c r="AZ799" s="66"/>
      <c r="BA799" s="103"/>
      <c r="BB799" s="66"/>
      <c r="BC799" s="103"/>
      <c r="BD799" s="66"/>
      <c r="BE799" s="105"/>
      <c r="BF799" s="67"/>
      <c r="BG799" s="68"/>
      <c r="BI799" s="69">
        <v>0</v>
      </c>
      <c r="BJ799" s="70">
        <v>0</v>
      </c>
      <c r="BK799" s="71">
        <v>0</v>
      </c>
      <c r="BL799" s="71">
        <v>0</v>
      </c>
      <c r="BM799" s="71">
        <v>0</v>
      </c>
      <c r="BN799" s="72">
        <v>0</v>
      </c>
      <c r="BO799" s="151" t="e">
        <f t="shared" si="48"/>
        <v>#DIV/0!</v>
      </c>
      <c r="BP799" s="151" t="e">
        <f t="shared" si="49"/>
        <v>#DIV/0!</v>
      </c>
      <c r="BQ799" s="71">
        <v>0</v>
      </c>
      <c r="BR799" s="71">
        <v>0</v>
      </c>
      <c r="BS799" s="71">
        <v>0</v>
      </c>
      <c r="BT799" s="72">
        <v>0</v>
      </c>
      <c r="BU799" s="73"/>
      <c r="BV799" s="73"/>
    </row>
    <row r="800" ht="30" customHeight="1" spans="1:74">
      <c r="A800" s="55">
        <v>0</v>
      </c>
      <c r="B800" s="56">
        <v>0</v>
      </c>
      <c r="C800" s="57">
        <v>0</v>
      </c>
      <c r="D800" s="74"/>
      <c r="E800" s="74"/>
      <c r="F800" s="59" t="e">
        <f>VLOOKUP(E800,[1]库存!$B$1:$C$65536,2,FALSE)</f>
        <v>#N/A</v>
      </c>
      <c r="G800" s="59" t="e">
        <v>#N/A</v>
      </c>
      <c r="H800" s="74"/>
      <c r="I800" s="74"/>
      <c r="J800" s="102"/>
      <c r="K800" s="61"/>
      <c r="L800" s="62">
        <v>0</v>
      </c>
      <c r="M800" s="63">
        <v>0</v>
      </c>
      <c r="N800" s="64">
        <v>0</v>
      </c>
      <c r="O800" s="62">
        <v>0</v>
      </c>
      <c r="P800" s="65">
        <f t="shared" si="52"/>
        <v>0</v>
      </c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  <c r="AS800" s="66"/>
      <c r="AT800" s="66"/>
      <c r="AU800" s="66"/>
      <c r="AV800" s="66"/>
      <c r="AW800" s="66"/>
      <c r="AX800" s="66"/>
      <c r="AY800" s="66"/>
      <c r="AZ800" s="66"/>
      <c r="BA800" s="66"/>
      <c r="BB800" s="66"/>
      <c r="BC800" s="66"/>
      <c r="BD800" s="66"/>
      <c r="BE800" s="67"/>
      <c r="BF800" s="67"/>
      <c r="BG800" s="68"/>
      <c r="BI800" s="69">
        <v>0</v>
      </c>
      <c r="BJ800" s="70">
        <v>0</v>
      </c>
      <c r="BK800" s="71">
        <v>0</v>
      </c>
      <c r="BL800" s="71">
        <v>0</v>
      </c>
      <c r="BM800" s="71">
        <v>0</v>
      </c>
      <c r="BN800" s="72">
        <v>0</v>
      </c>
      <c r="BO800" s="151" t="e">
        <f t="shared" si="48"/>
        <v>#DIV/0!</v>
      </c>
      <c r="BP800" s="151" t="e">
        <f t="shared" si="49"/>
        <v>#DIV/0!</v>
      </c>
      <c r="BQ800" s="71">
        <v>0</v>
      </c>
      <c r="BR800" s="71">
        <v>0</v>
      </c>
      <c r="BS800" s="71">
        <v>0</v>
      </c>
      <c r="BT800" s="72">
        <v>0</v>
      </c>
      <c r="BU800" s="73"/>
      <c r="BV800" s="73"/>
    </row>
    <row r="801" ht="30" customHeight="1" spans="1:75 16331:16349">
      <c r="A801" s="55" t="s">
        <v>41</v>
      </c>
      <c r="B801" s="56" t="s">
        <v>1057</v>
      </c>
      <c r="C801" s="57" t="s">
        <v>1324</v>
      </c>
      <c r="D801" s="59" t="s">
        <v>1359</v>
      </c>
      <c r="E801" s="59" t="s">
        <v>1364</v>
      </c>
      <c r="F801" s="59" t="str">
        <f>VLOOKUP(E801,[1]库存!$B$1:$C$65536,2,FALSE)</f>
        <v>Chery T17 SAB RH（埃）</v>
      </c>
      <c r="G801" s="59" t="s">
        <v>1365</v>
      </c>
      <c r="H801" s="59" t="s">
        <v>1366</v>
      </c>
      <c r="I801" s="59" t="s">
        <v>1363</v>
      </c>
      <c r="J801" s="102" t="s">
        <v>65</v>
      </c>
      <c r="K801" s="61"/>
      <c r="L801" s="62">
        <v>2</v>
      </c>
      <c r="M801" s="63">
        <v>1400</v>
      </c>
      <c r="N801" s="64">
        <v>13</v>
      </c>
      <c r="O801" s="62">
        <v>2</v>
      </c>
      <c r="P801" s="65">
        <f t="shared" si="52"/>
        <v>0</v>
      </c>
      <c r="Q801" s="103"/>
      <c r="R801" s="66"/>
      <c r="S801" s="103"/>
      <c r="T801" s="66"/>
      <c r="U801" s="103"/>
      <c r="V801" s="66"/>
      <c r="W801" s="103"/>
      <c r="X801" s="66"/>
      <c r="Y801" s="103"/>
      <c r="Z801" s="66"/>
      <c r="AA801" s="103"/>
      <c r="AB801" s="66"/>
      <c r="AC801" s="103"/>
      <c r="AD801" s="66"/>
      <c r="AE801" s="103"/>
      <c r="AF801" s="66"/>
      <c r="AG801" s="103"/>
      <c r="AH801" s="66"/>
      <c r="AI801" s="103"/>
      <c r="AJ801" s="66"/>
      <c r="AK801" s="103"/>
      <c r="AL801" s="66"/>
      <c r="AM801" s="103"/>
      <c r="AN801" s="66"/>
      <c r="AO801" s="103"/>
      <c r="AP801" s="66"/>
      <c r="AQ801" s="103"/>
      <c r="AR801" s="66"/>
      <c r="AS801" s="103"/>
      <c r="AT801" s="66"/>
      <c r="AU801" s="103"/>
      <c r="AV801" s="66"/>
      <c r="AW801" s="103"/>
      <c r="AX801" s="66"/>
      <c r="AY801" s="103"/>
      <c r="AZ801" s="66"/>
      <c r="BA801" s="103"/>
      <c r="BB801" s="66"/>
      <c r="BC801" s="103"/>
      <c r="BD801" s="66"/>
      <c r="BE801" s="105"/>
      <c r="BF801" s="67"/>
      <c r="BG801" s="68"/>
      <c r="BI801" s="69">
        <v>0</v>
      </c>
      <c r="BJ801" s="70">
        <v>0</v>
      </c>
      <c r="BK801" s="71">
        <v>0</v>
      </c>
      <c r="BL801" s="71">
        <v>0</v>
      </c>
      <c r="BM801" s="71">
        <v>0</v>
      </c>
      <c r="BN801" s="72">
        <v>0</v>
      </c>
      <c r="BO801" s="151" t="e">
        <f t="shared" si="48"/>
        <v>#DIV/0!</v>
      </c>
      <c r="BP801" s="151" t="e">
        <f t="shared" si="49"/>
        <v>#DIV/0!</v>
      </c>
      <c r="BQ801" s="71">
        <v>0</v>
      </c>
      <c r="BR801" s="71">
        <v>0</v>
      </c>
      <c r="BS801" s="71">
        <v>0</v>
      </c>
      <c r="BT801" s="72">
        <v>0</v>
      </c>
      <c r="BU801" s="73"/>
      <c r="BV801" s="73"/>
    </row>
    <row r="802" ht="30" customHeight="1" spans="1:75 16331:16349">
      <c r="A802" s="55">
        <v>0</v>
      </c>
      <c r="B802" s="56">
        <v>0</v>
      </c>
      <c r="C802" s="57">
        <v>0</v>
      </c>
      <c r="D802" s="74"/>
      <c r="E802" s="74"/>
      <c r="F802" s="59" t="e">
        <f>VLOOKUP(E802,[1]库存!$B$1:$C$65536,2,FALSE)</f>
        <v>#N/A</v>
      </c>
      <c r="G802" s="59" t="e">
        <v>#N/A</v>
      </c>
      <c r="H802" s="74"/>
      <c r="I802" s="74"/>
      <c r="J802" s="102"/>
      <c r="K802" s="61"/>
      <c r="L802" s="62">
        <v>0</v>
      </c>
      <c r="M802" s="63">
        <v>0</v>
      </c>
      <c r="N802" s="64">
        <v>0</v>
      </c>
      <c r="O802" s="62">
        <v>0</v>
      </c>
      <c r="P802" s="65">
        <f t="shared" si="52"/>
        <v>0</v>
      </c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  <c r="AS802" s="66"/>
      <c r="AT802" s="66"/>
      <c r="AU802" s="66"/>
      <c r="AV802" s="66"/>
      <c r="AW802" s="66"/>
      <c r="AX802" s="66"/>
      <c r="AY802" s="66"/>
      <c r="AZ802" s="66"/>
      <c r="BA802" s="66"/>
      <c r="BB802" s="66"/>
      <c r="BC802" s="66"/>
      <c r="BD802" s="66"/>
      <c r="BE802" s="67"/>
      <c r="BF802" s="67"/>
      <c r="BG802" s="68"/>
      <c r="BI802" s="69">
        <v>0</v>
      </c>
      <c r="BJ802" s="70">
        <v>0</v>
      </c>
      <c r="BK802" s="71">
        <v>0</v>
      </c>
      <c r="BL802" s="71">
        <v>0</v>
      </c>
      <c r="BM802" s="71">
        <v>0</v>
      </c>
      <c r="BN802" s="72">
        <v>0</v>
      </c>
      <c r="BO802" s="151" t="e">
        <f t="shared" si="48"/>
        <v>#DIV/0!</v>
      </c>
      <c r="BP802" s="151" t="e">
        <f t="shared" si="49"/>
        <v>#DIV/0!</v>
      </c>
      <c r="BQ802" s="71">
        <v>0</v>
      </c>
      <c r="BR802" s="71">
        <v>0</v>
      </c>
      <c r="BS802" s="71">
        <v>0</v>
      </c>
      <c r="BT802" s="72">
        <v>0</v>
      </c>
      <c r="BU802" s="73"/>
      <c r="BV802" s="73"/>
    </row>
    <row r="803" ht="30" customHeight="1" spans="1:75 16331:16349">
      <c r="A803" s="55" t="s">
        <v>96</v>
      </c>
      <c r="B803" s="56" t="s">
        <v>1057</v>
      </c>
      <c r="C803" s="57" t="s">
        <v>1324</v>
      </c>
      <c r="D803" s="59" t="s">
        <v>1359</v>
      </c>
      <c r="E803" s="59" t="s">
        <v>1367</v>
      </c>
      <c r="F803" s="59" t="str">
        <f>VLOOKUP(E803,[1]库存!$B$1:$C$65536,2,FALSE)</f>
        <v>SMCV SV91 SAB LH</v>
      </c>
      <c r="G803" s="59" t="s">
        <v>1368</v>
      </c>
      <c r="H803" s="59" t="s">
        <v>1369</v>
      </c>
      <c r="I803" s="59" t="s">
        <v>1370</v>
      </c>
      <c r="J803" s="102" t="s">
        <v>65</v>
      </c>
      <c r="K803" s="61"/>
      <c r="L803" s="62">
        <v>2</v>
      </c>
      <c r="M803" s="63">
        <v>1100</v>
      </c>
      <c r="N803" s="64">
        <v>13</v>
      </c>
      <c r="O803" s="62">
        <v>2</v>
      </c>
      <c r="P803" s="65">
        <f t="shared" si="52"/>
        <v>0</v>
      </c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>
        <v>1030</v>
      </c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66"/>
      <c r="AU803" s="66"/>
      <c r="AV803" s="66"/>
      <c r="AW803" s="66"/>
      <c r="AX803" s="66"/>
      <c r="AY803" s="66"/>
      <c r="AZ803" s="66"/>
      <c r="BA803" s="66"/>
      <c r="BB803" s="66"/>
      <c r="BC803" s="66"/>
      <c r="BD803" s="66"/>
      <c r="BE803" s="67"/>
      <c r="BF803" s="67"/>
      <c r="BG803" s="68"/>
      <c r="BI803" s="69">
        <v>0</v>
      </c>
      <c r="BJ803" s="70">
        <v>0</v>
      </c>
      <c r="BK803" s="71">
        <v>0</v>
      </c>
      <c r="BL803" s="71">
        <v>0</v>
      </c>
      <c r="BM803" s="71">
        <v>0</v>
      </c>
      <c r="BN803" s="72">
        <v>0</v>
      </c>
      <c r="BO803" s="151" t="e">
        <f t="shared" si="48"/>
        <v>#DIV/0!</v>
      </c>
      <c r="BP803" s="151" t="e">
        <f t="shared" si="49"/>
        <v>#DIV/0!</v>
      </c>
      <c r="BQ803" s="71">
        <v>0</v>
      </c>
      <c r="BR803" s="71">
        <v>0</v>
      </c>
      <c r="BS803" s="71">
        <v>0</v>
      </c>
      <c r="BT803" s="72">
        <v>0</v>
      </c>
      <c r="BU803" s="73"/>
      <c r="BV803" s="73"/>
    </row>
    <row r="804" ht="30" customHeight="1" spans="1:75 16331:16349">
      <c r="A804" s="55">
        <v>0</v>
      </c>
      <c r="B804" s="56">
        <v>0</v>
      </c>
      <c r="C804" s="57">
        <v>0</v>
      </c>
      <c r="D804" s="74"/>
      <c r="E804" s="74"/>
      <c r="F804" s="59" t="e">
        <f>VLOOKUP(E804,[1]库存!$B$1:$C$65536,2,FALSE)</f>
        <v>#N/A</v>
      </c>
      <c r="G804" s="59" t="e">
        <v>#N/A</v>
      </c>
      <c r="H804" s="74"/>
      <c r="I804" s="74"/>
      <c r="J804" s="102"/>
      <c r="K804" s="61"/>
      <c r="L804" s="62">
        <v>0</v>
      </c>
      <c r="M804" s="63">
        <v>0</v>
      </c>
      <c r="N804" s="64">
        <v>0</v>
      </c>
      <c r="O804" s="62">
        <v>0</v>
      </c>
      <c r="P804" s="65">
        <f t="shared" si="52"/>
        <v>0</v>
      </c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>
        <v>1048</v>
      </c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6"/>
      <c r="BB804" s="66"/>
      <c r="BC804" s="66"/>
      <c r="BD804" s="66"/>
      <c r="BE804" s="67"/>
      <c r="BF804" s="67"/>
      <c r="BG804" s="68"/>
      <c r="BI804" s="69">
        <v>0</v>
      </c>
      <c r="BJ804" s="70">
        <v>0</v>
      </c>
      <c r="BK804" s="71">
        <v>0</v>
      </c>
      <c r="BL804" s="71">
        <v>0</v>
      </c>
      <c r="BM804" s="71">
        <v>0</v>
      </c>
      <c r="BN804" s="72">
        <v>0</v>
      </c>
      <c r="BO804" s="151" t="e">
        <f t="shared" si="48"/>
        <v>#DIV/0!</v>
      </c>
      <c r="BP804" s="151" t="e">
        <f t="shared" si="49"/>
        <v>#DIV/0!</v>
      </c>
      <c r="BQ804" s="71">
        <v>0</v>
      </c>
      <c r="BR804" s="71">
        <v>0</v>
      </c>
      <c r="BS804" s="71">
        <v>0</v>
      </c>
      <c r="BT804" s="72">
        <v>0</v>
      </c>
      <c r="BU804" s="73"/>
      <c r="BV804" s="73"/>
    </row>
    <row r="805" ht="30" customHeight="1" spans="1:75 16331:16349">
      <c r="A805" s="55" t="s">
        <v>96</v>
      </c>
      <c r="B805" s="56" t="s">
        <v>1057</v>
      </c>
      <c r="C805" s="57" t="s">
        <v>1324</v>
      </c>
      <c r="D805" s="59" t="s">
        <v>1359</v>
      </c>
      <c r="E805" s="59" t="s">
        <v>1371</v>
      </c>
      <c r="F805" s="59" t="str">
        <f>VLOOKUP(E805,[1]库存!$B$1:$C$65536,2,FALSE)</f>
        <v>SMCV SV91 SAB RH</v>
      </c>
      <c r="G805" s="59" t="s">
        <v>1372</v>
      </c>
      <c r="H805" s="59" t="s">
        <v>1373</v>
      </c>
      <c r="I805" s="59" t="s">
        <v>1370</v>
      </c>
      <c r="J805" s="102" t="s">
        <v>65</v>
      </c>
      <c r="K805" s="61"/>
      <c r="L805" s="62">
        <v>2</v>
      </c>
      <c r="M805" s="63">
        <v>1100</v>
      </c>
      <c r="N805" s="64">
        <v>13</v>
      </c>
      <c r="O805" s="62">
        <v>2</v>
      </c>
      <c r="P805" s="65">
        <f t="shared" si="52"/>
        <v>0</v>
      </c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>
        <v>550</v>
      </c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/>
      <c r="AS805" s="66"/>
      <c r="AT805" s="66"/>
      <c r="AU805" s="66"/>
      <c r="AV805" s="66"/>
      <c r="AW805" s="66"/>
      <c r="AX805" s="66"/>
      <c r="AY805" s="66"/>
      <c r="AZ805" s="66"/>
      <c r="BA805" s="66"/>
      <c r="BB805" s="66"/>
      <c r="BC805" s="66"/>
      <c r="BD805" s="66"/>
      <c r="BE805" s="67"/>
      <c r="BF805" s="67"/>
      <c r="BG805" s="68"/>
      <c r="BI805" s="69">
        <v>0</v>
      </c>
      <c r="BJ805" s="70">
        <v>0</v>
      </c>
      <c r="BK805" s="71">
        <v>0</v>
      </c>
      <c r="BL805" s="71">
        <v>0</v>
      </c>
      <c r="BM805" s="71">
        <v>0</v>
      </c>
      <c r="BN805" s="72">
        <v>0</v>
      </c>
      <c r="BO805" s="151" t="e">
        <f t="shared" ref="BO805:BO831" si="53">(BK805+BL805)/BJ805</f>
        <v>#DIV/0!</v>
      </c>
      <c r="BP805" s="151" t="e">
        <f t="shared" ref="BP805:BP831" si="54">BM805/BJ805</f>
        <v>#DIV/0!</v>
      </c>
      <c r="BQ805" s="71">
        <v>0</v>
      </c>
      <c r="BR805" s="71">
        <v>0</v>
      </c>
      <c r="BS805" s="71">
        <v>0</v>
      </c>
      <c r="BT805" s="72">
        <v>0</v>
      </c>
      <c r="BU805" s="73"/>
      <c r="BV805" s="73"/>
    </row>
    <row r="806" ht="30" customHeight="1" spans="1:75 16331:16349">
      <c r="A806" s="55">
        <v>0</v>
      </c>
      <c r="B806" s="56">
        <v>0</v>
      </c>
      <c r="C806" s="57">
        <v>0</v>
      </c>
      <c r="D806" s="74"/>
      <c r="E806" s="74"/>
      <c r="F806" s="59" t="e">
        <f>VLOOKUP(E806,[1]库存!$B$1:$C$65536,2,FALSE)</f>
        <v>#N/A</v>
      </c>
      <c r="G806" s="59" t="e">
        <v>#N/A</v>
      </c>
      <c r="H806" s="74"/>
      <c r="I806" s="74"/>
      <c r="J806" s="102"/>
      <c r="K806" s="61"/>
      <c r="L806" s="62">
        <v>0</v>
      </c>
      <c r="M806" s="63">
        <v>0</v>
      </c>
      <c r="N806" s="64">
        <v>0</v>
      </c>
      <c r="O806" s="62">
        <v>0</v>
      </c>
      <c r="P806" s="65">
        <f t="shared" si="52"/>
        <v>0</v>
      </c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>
        <v>575</v>
      </c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  <c r="AS806" s="66"/>
      <c r="AT806" s="66"/>
      <c r="AU806" s="66"/>
      <c r="AV806" s="66"/>
      <c r="AW806" s="66"/>
      <c r="AX806" s="66"/>
      <c r="AY806" s="66"/>
      <c r="AZ806" s="66"/>
      <c r="BA806" s="66"/>
      <c r="BB806" s="66"/>
      <c r="BC806" s="66"/>
      <c r="BD806" s="66"/>
      <c r="BE806" s="67"/>
      <c r="BF806" s="67"/>
      <c r="BG806" s="68"/>
      <c r="BI806" s="69">
        <v>0</v>
      </c>
      <c r="BJ806" s="70">
        <v>0</v>
      </c>
      <c r="BK806" s="71">
        <v>0</v>
      </c>
      <c r="BL806" s="71">
        <v>0</v>
      </c>
      <c r="BM806" s="71">
        <v>0</v>
      </c>
      <c r="BN806" s="72">
        <v>0</v>
      </c>
      <c r="BO806" s="151" t="e">
        <f t="shared" si="53"/>
        <v>#DIV/0!</v>
      </c>
      <c r="BP806" s="151" t="e">
        <f t="shared" si="54"/>
        <v>#DIV/0!</v>
      </c>
      <c r="BQ806" s="71">
        <v>0</v>
      </c>
      <c r="BR806" s="71">
        <v>0</v>
      </c>
      <c r="BS806" s="71">
        <v>0</v>
      </c>
      <c r="BT806" s="72">
        <v>0</v>
      </c>
      <c r="BU806" s="73"/>
      <c r="BV806" s="73"/>
    </row>
    <row r="807" ht="30" customHeight="1" spans="1:75 16331:16349">
      <c r="A807" s="55">
        <v>0</v>
      </c>
      <c r="B807" s="56" t="s">
        <v>1057</v>
      </c>
      <c r="C807" s="57" t="s">
        <v>1324</v>
      </c>
      <c r="D807" s="59" t="s">
        <v>1359</v>
      </c>
      <c r="E807" s="59" t="s">
        <v>1374</v>
      </c>
      <c r="F807" s="59" t="str">
        <f>VLOOKUP(E807,[1]库存!$B$1:$C$65536,2,FALSE)</f>
        <v>A30 SAB LH （埃）</v>
      </c>
      <c r="G807" s="59" t="s">
        <v>1375</v>
      </c>
      <c r="H807" s="59" t="s">
        <v>1376</v>
      </c>
      <c r="I807" s="59" t="s">
        <v>737</v>
      </c>
      <c r="J807" s="102" t="s">
        <v>65</v>
      </c>
      <c r="K807" s="61"/>
      <c r="L807" s="62">
        <v>2</v>
      </c>
      <c r="M807" s="63">
        <v>1500</v>
      </c>
      <c r="N807" s="64">
        <v>11</v>
      </c>
      <c r="O807" s="62">
        <v>2</v>
      </c>
      <c r="P807" s="65">
        <f t="shared" si="52"/>
        <v>0</v>
      </c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66"/>
      <c r="AU807" s="66"/>
      <c r="AV807" s="66"/>
      <c r="AW807" s="66"/>
      <c r="AX807" s="66"/>
      <c r="AY807" s="66"/>
      <c r="AZ807" s="66"/>
      <c r="BA807" s="66"/>
      <c r="BB807" s="66"/>
      <c r="BC807" s="66"/>
      <c r="BD807" s="66"/>
      <c r="BE807" s="67"/>
      <c r="BF807" s="67"/>
      <c r="BG807" s="68"/>
      <c r="BI807" s="69">
        <v>0</v>
      </c>
      <c r="BJ807" s="70">
        <v>0</v>
      </c>
      <c r="BK807" s="71">
        <v>0</v>
      </c>
      <c r="BL807" s="71">
        <v>0</v>
      </c>
      <c r="BM807" s="71">
        <v>0</v>
      </c>
      <c r="BN807" s="72">
        <v>0</v>
      </c>
      <c r="BO807" s="151" t="e">
        <f t="shared" si="53"/>
        <v>#DIV/0!</v>
      </c>
      <c r="BP807" s="151" t="e">
        <f t="shared" si="54"/>
        <v>#DIV/0!</v>
      </c>
      <c r="BQ807" s="71">
        <v>0</v>
      </c>
      <c r="BR807" s="71">
        <v>0</v>
      </c>
      <c r="BS807" s="71">
        <v>0</v>
      </c>
      <c r="BT807" s="72">
        <v>0</v>
      </c>
      <c r="BU807" s="73"/>
      <c r="BV807" s="73"/>
    </row>
    <row r="808" ht="30" customHeight="1" spans="1:75 16331:16349">
      <c r="A808" s="55">
        <v>0</v>
      </c>
      <c r="B808" s="56">
        <v>0</v>
      </c>
      <c r="C808" s="57">
        <v>0</v>
      </c>
      <c r="D808" s="74"/>
      <c r="E808" s="74"/>
      <c r="F808" s="59" t="e">
        <f>VLOOKUP(E808,[1]库存!$B$1:$C$65536,2,FALSE)</f>
        <v>#N/A</v>
      </c>
      <c r="G808" s="59" t="e">
        <v>#N/A</v>
      </c>
      <c r="H808" s="74"/>
      <c r="I808" s="74"/>
      <c r="J808" s="102"/>
      <c r="K808" s="61"/>
      <c r="L808" s="62">
        <v>0</v>
      </c>
      <c r="M808" s="63">
        <v>0</v>
      </c>
      <c r="N808" s="64">
        <v>0</v>
      </c>
      <c r="O808" s="62">
        <v>0</v>
      </c>
      <c r="P808" s="65">
        <f t="shared" si="52"/>
        <v>0</v>
      </c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  <c r="AS808" s="66"/>
      <c r="AT808" s="66"/>
      <c r="AU808" s="66"/>
      <c r="AV808" s="66"/>
      <c r="AW808" s="66"/>
      <c r="AX808" s="66"/>
      <c r="AY808" s="66"/>
      <c r="AZ808" s="66"/>
      <c r="BA808" s="66"/>
      <c r="BB808" s="66"/>
      <c r="BC808" s="66"/>
      <c r="BD808" s="66"/>
      <c r="BE808" s="67"/>
      <c r="BF808" s="67"/>
      <c r="BG808" s="68"/>
      <c r="BI808" s="69">
        <v>0</v>
      </c>
      <c r="BJ808" s="70">
        <v>0</v>
      </c>
      <c r="BK808" s="71">
        <v>0</v>
      </c>
      <c r="BL808" s="71">
        <v>0</v>
      </c>
      <c r="BM808" s="71">
        <v>0</v>
      </c>
      <c r="BN808" s="72">
        <v>0</v>
      </c>
      <c r="BO808" s="151" t="e">
        <f t="shared" si="53"/>
        <v>#DIV/0!</v>
      </c>
      <c r="BP808" s="151" t="e">
        <f t="shared" si="54"/>
        <v>#DIV/0!</v>
      </c>
      <c r="BQ808" s="71">
        <v>0</v>
      </c>
      <c r="BR808" s="71">
        <v>0</v>
      </c>
      <c r="BS808" s="71">
        <v>0</v>
      </c>
      <c r="BT808" s="72">
        <v>0</v>
      </c>
      <c r="BU808" s="73"/>
      <c r="BV808" s="73"/>
    </row>
    <row r="809" ht="30" customHeight="1" spans="1:75 16331:16349">
      <c r="A809" s="55">
        <v>0</v>
      </c>
      <c r="B809" s="56" t="s">
        <v>1057</v>
      </c>
      <c r="C809" s="57" t="s">
        <v>1324</v>
      </c>
      <c r="D809" s="59" t="s">
        <v>1359</v>
      </c>
      <c r="E809" s="59" t="s">
        <v>1377</v>
      </c>
      <c r="F809" s="59" t="str">
        <f>VLOOKUP(E809,[1]库存!$B$1:$C$65536,2,FALSE)</f>
        <v>A30 SAB RH （埃）</v>
      </c>
      <c r="G809" s="59" t="s">
        <v>1378</v>
      </c>
      <c r="H809" s="59" t="s">
        <v>1379</v>
      </c>
      <c r="I809" s="59" t="s">
        <v>737</v>
      </c>
      <c r="J809" s="102" t="s">
        <v>65</v>
      </c>
      <c r="K809" s="61"/>
      <c r="L809" s="62">
        <v>2</v>
      </c>
      <c r="M809" s="63">
        <v>1500</v>
      </c>
      <c r="N809" s="64">
        <v>11</v>
      </c>
      <c r="O809" s="62">
        <v>2</v>
      </c>
      <c r="P809" s="65">
        <f t="shared" si="52"/>
        <v>0</v>
      </c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66"/>
      <c r="AU809" s="66"/>
      <c r="AV809" s="66"/>
      <c r="AW809" s="66"/>
      <c r="AX809" s="66"/>
      <c r="AY809" s="66"/>
      <c r="AZ809" s="66"/>
      <c r="BA809" s="66"/>
      <c r="BB809" s="66"/>
      <c r="BC809" s="66"/>
      <c r="BD809" s="66"/>
      <c r="BE809" s="67"/>
      <c r="BF809" s="67"/>
      <c r="BG809" s="68"/>
      <c r="BI809" s="69">
        <v>0</v>
      </c>
      <c r="BJ809" s="70">
        <v>0</v>
      </c>
      <c r="BK809" s="71">
        <v>0</v>
      </c>
      <c r="BL809" s="71">
        <v>0</v>
      </c>
      <c r="BM809" s="71">
        <v>0</v>
      </c>
      <c r="BN809" s="72">
        <v>0</v>
      </c>
      <c r="BO809" s="151" t="e">
        <f t="shared" si="53"/>
        <v>#DIV/0!</v>
      </c>
      <c r="BP809" s="151" t="e">
        <f t="shared" si="54"/>
        <v>#DIV/0!</v>
      </c>
      <c r="BQ809" s="71">
        <v>0</v>
      </c>
      <c r="BR809" s="71">
        <v>0</v>
      </c>
      <c r="BS809" s="71">
        <v>0</v>
      </c>
      <c r="BT809" s="72">
        <v>0</v>
      </c>
      <c r="BU809" s="73"/>
      <c r="BV809" s="73"/>
    </row>
    <row r="810" ht="30" customHeight="1" spans="1:75 16331:16349">
      <c r="A810" s="55">
        <v>0</v>
      </c>
      <c r="B810" s="56">
        <v>0</v>
      </c>
      <c r="C810" s="57">
        <v>0</v>
      </c>
      <c r="D810" s="74"/>
      <c r="E810" s="74"/>
      <c r="F810" s="59" t="e">
        <f>VLOOKUP(E810,[1]库存!$B$1:$C$65536,2,FALSE)</f>
        <v>#N/A</v>
      </c>
      <c r="G810" s="59" t="e">
        <v>#N/A</v>
      </c>
      <c r="H810" s="74"/>
      <c r="I810" s="74"/>
      <c r="J810" s="102"/>
      <c r="K810" s="61"/>
      <c r="L810" s="62">
        <v>0</v>
      </c>
      <c r="M810" s="63">
        <v>0</v>
      </c>
      <c r="N810" s="64">
        <v>0</v>
      </c>
      <c r="O810" s="62">
        <v>0</v>
      </c>
      <c r="P810" s="65">
        <f t="shared" si="52"/>
        <v>0</v>
      </c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6"/>
      <c r="AS810" s="66"/>
      <c r="AT810" s="66"/>
      <c r="AU810" s="66"/>
      <c r="AV810" s="66"/>
      <c r="AW810" s="66"/>
      <c r="AX810" s="66"/>
      <c r="AY810" s="66"/>
      <c r="AZ810" s="66"/>
      <c r="BA810" s="66"/>
      <c r="BB810" s="66"/>
      <c r="BC810" s="66"/>
      <c r="BD810" s="66"/>
      <c r="BE810" s="67"/>
      <c r="BF810" s="67"/>
      <c r="BG810" s="68"/>
      <c r="BI810" s="69">
        <v>0</v>
      </c>
      <c r="BJ810" s="70">
        <v>0</v>
      </c>
      <c r="BK810" s="71">
        <v>0</v>
      </c>
      <c r="BL810" s="71">
        <v>0</v>
      </c>
      <c r="BM810" s="71">
        <v>0</v>
      </c>
      <c r="BN810" s="72">
        <v>0</v>
      </c>
      <c r="BO810" s="151" t="e">
        <f t="shared" si="53"/>
        <v>#DIV/0!</v>
      </c>
      <c r="BP810" s="151" t="e">
        <f t="shared" si="54"/>
        <v>#DIV/0!</v>
      </c>
      <c r="BQ810" s="71">
        <v>0</v>
      </c>
      <c r="BR810" s="71">
        <v>0</v>
      </c>
      <c r="BS810" s="71">
        <v>0</v>
      </c>
      <c r="BT810" s="72">
        <v>0</v>
      </c>
      <c r="BU810" s="73"/>
      <c r="BV810" s="73"/>
    </row>
    <row r="811" ht="30" customHeight="1" spans="1:75 16331:16349">
      <c r="A811" s="55" t="s">
        <v>96</v>
      </c>
      <c r="B811" s="56" t="s">
        <v>1057</v>
      </c>
      <c r="C811" s="57" t="s">
        <v>1324</v>
      </c>
      <c r="D811" s="59" t="s">
        <v>1359</v>
      </c>
      <c r="E811" s="59" t="s">
        <v>1380</v>
      </c>
      <c r="F811" s="59" t="str">
        <f>VLOOKUP(E811,[1]库存!$B$1:$C$65536,2,FALSE)</f>
        <v>SK81 SAB LH A状态</v>
      </c>
      <c r="G811" s="59" t="s">
        <v>1381</v>
      </c>
      <c r="H811" s="59" t="s">
        <v>1382</v>
      </c>
      <c r="I811" s="59" t="s">
        <v>1383</v>
      </c>
      <c r="J811" s="102" t="s">
        <v>65</v>
      </c>
      <c r="K811" s="61"/>
      <c r="L811" s="62">
        <v>2</v>
      </c>
      <c r="M811" s="63">
        <v>1400</v>
      </c>
      <c r="N811" s="64">
        <v>12</v>
      </c>
      <c r="O811" s="62">
        <v>2</v>
      </c>
      <c r="P811" s="65">
        <f t="shared" si="52"/>
        <v>0</v>
      </c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  <c r="AS811" s="66"/>
      <c r="AT811" s="66"/>
      <c r="AU811" s="66"/>
      <c r="AV811" s="66"/>
      <c r="AW811" s="66"/>
      <c r="AX811" s="66"/>
      <c r="AY811" s="66"/>
      <c r="AZ811" s="66"/>
      <c r="BA811" s="66"/>
      <c r="BB811" s="66"/>
      <c r="BC811" s="66"/>
      <c r="BD811" s="66"/>
      <c r="BE811" s="67"/>
      <c r="BF811" s="67"/>
      <c r="BG811" s="68"/>
      <c r="BI811" s="69">
        <v>0</v>
      </c>
      <c r="BJ811" s="70">
        <v>0</v>
      </c>
      <c r="BK811" s="71">
        <v>0</v>
      </c>
      <c r="BL811" s="71">
        <v>0</v>
      </c>
      <c r="BM811" s="71">
        <v>0</v>
      </c>
      <c r="BN811" s="72">
        <v>0</v>
      </c>
      <c r="BO811" s="151" t="e">
        <f t="shared" si="53"/>
        <v>#DIV/0!</v>
      </c>
      <c r="BP811" s="151" t="e">
        <f t="shared" si="54"/>
        <v>#DIV/0!</v>
      </c>
      <c r="BQ811" s="71">
        <v>0</v>
      </c>
      <c r="BR811" s="71">
        <v>0</v>
      </c>
      <c r="BS811" s="71">
        <v>0</v>
      </c>
      <c r="BT811" s="72">
        <v>0</v>
      </c>
      <c r="BU811" s="73"/>
      <c r="BV811" s="73"/>
    </row>
    <row r="812" ht="30" customHeight="1" spans="1:75 16331:16349">
      <c r="A812" s="55">
        <v>0</v>
      </c>
      <c r="B812" s="56">
        <v>0</v>
      </c>
      <c r="C812" s="57">
        <v>0</v>
      </c>
      <c r="D812" s="74"/>
      <c r="E812" s="74"/>
      <c r="F812" s="59" t="e">
        <f>VLOOKUP(E812,[1]库存!$B$1:$C$65536,2,FALSE)</f>
        <v>#N/A</v>
      </c>
      <c r="G812" s="59" t="e">
        <v>#N/A</v>
      </c>
      <c r="H812" s="74"/>
      <c r="I812" s="74"/>
      <c r="J812" s="102"/>
      <c r="K812" s="61"/>
      <c r="L812" s="62">
        <v>0</v>
      </c>
      <c r="M812" s="63">
        <v>0</v>
      </c>
      <c r="N812" s="64">
        <v>0</v>
      </c>
      <c r="O812" s="62">
        <v>0</v>
      </c>
      <c r="P812" s="65">
        <f t="shared" si="52"/>
        <v>0</v>
      </c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66"/>
      <c r="AU812" s="66"/>
      <c r="AV812" s="66"/>
      <c r="AW812" s="66"/>
      <c r="AX812" s="66"/>
      <c r="AY812" s="66"/>
      <c r="AZ812" s="66"/>
      <c r="BA812" s="66"/>
      <c r="BB812" s="66"/>
      <c r="BC812" s="66"/>
      <c r="BD812" s="66"/>
      <c r="BE812" s="67"/>
      <c r="BF812" s="67"/>
      <c r="BG812" s="68"/>
      <c r="BI812" s="69">
        <v>0</v>
      </c>
      <c r="BJ812" s="70">
        <v>0</v>
      </c>
      <c r="BK812" s="71">
        <v>0</v>
      </c>
      <c r="BL812" s="71">
        <v>0</v>
      </c>
      <c r="BM812" s="71">
        <v>0</v>
      </c>
      <c r="BN812" s="72">
        <v>0</v>
      </c>
      <c r="BO812" s="151" t="e">
        <f t="shared" si="53"/>
        <v>#DIV/0!</v>
      </c>
      <c r="BP812" s="151" t="e">
        <f t="shared" si="54"/>
        <v>#DIV/0!</v>
      </c>
      <c r="BQ812" s="71">
        <v>0</v>
      </c>
      <c r="BR812" s="71">
        <v>0</v>
      </c>
      <c r="BS812" s="71">
        <v>0</v>
      </c>
      <c r="BT812" s="72">
        <v>0</v>
      </c>
      <c r="BU812" s="73"/>
      <c r="BV812" s="73"/>
    </row>
    <row r="813" ht="30" customHeight="1" spans="1:75 16331:16349">
      <c r="A813" s="55" t="s">
        <v>96</v>
      </c>
      <c r="B813" s="56" t="s">
        <v>1057</v>
      </c>
      <c r="C813" s="57" t="s">
        <v>1324</v>
      </c>
      <c r="D813" s="59" t="s">
        <v>1359</v>
      </c>
      <c r="E813" s="59" t="s">
        <v>1384</v>
      </c>
      <c r="F813" s="59" t="str">
        <f>VLOOKUP(E813,[1]库存!$B$1:$C$65536,2,FALSE)</f>
        <v>SK81 SAB RH A状态</v>
      </c>
      <c r="G813" s="59" t="s">
        <v>1385</v>
      </c>
      <c r="H813" s="59" t="s">
        <v>1386</v>
      </c>
      <c r="I813" s="59" t="s">
        <v>1383</v>
      </c>
      <c r="J813" s="102" t="s">
        <v>65</v>
      </c>
      <c r="K813" s="61"/>
      <c r="L813" s="62">
        <v>2</v>
      </c>
      <c r="M813" s="63">
        <v>1400</v>
      </c>
      <c r="N813" s="64">
        <v>12</v>
      </c>
      <c r="O813" s="62">
        <v>2</v>
      </c>
      <c r="P813" s="65">
        <f t="shared" si="52"/>
        <v>0</v>
      </c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6"/>
      <c r="BB813" s="66"/>
      <c r="BC813" s="66"/>
      <c r="BD813" s="66"/>
      <c r="BE813" s="67"/>
      <c r="BF813" s="67"/>
      <c r="BG813" s="68"/>
      <c r="BI813" s="69">
        <v>0</v>
      </c>
      <c r="BJ813" s="70">
        <v>0</v>
      </c>
      <c r="BK813" s="71">
        <v>0</v>
      </c>
      <c r="BL813" s="71">
        <v>0</v>
      </c>
      <c r="BM813" s="71">
        <v>0</v>
      </c>
      <c r="BN813" s="72">
        <v>0</v>
      </c>
      <c r="BO813" s="151" t="e">
        <f t="shared" si="53"/>
        <v>#DIV/0!</v>
      </c>
      <c r="BP813" s="151" t="e">
        <f t="shared" si="54"/>
        <v>#DIV/0!</v>
      </c>
      <c r="BQ813" s="71">
        <v>0</v>
      </c>
      <c r="BR813" s="71">
        <v>0</v>
      </c>
      <c r="BS813" s="71">
        <v>0</v>
      </c>
      <c r="BT813" s="72">
        <v>0</v>
      </c>
      <c r="BU813" s="73"/>
      <c r="BV813" s="73"/>
    </row>
    <row r="814" ht="30" customHeight="1" spans="1:75 16331:16349">
      <c r="A814" s="55">
        <v>0</v>
      </c>
      <c r="B814" s="56">
        <v>0</v>
      </c>
      <c r="C814" s="57">
        <v>0</v>
      </c>
      <c r="D814" s="74"/>
      <c r="E814" s="74"/>
      <c r="F814" s="59" t="e">
        <f>VLOOKUP(E814,[1]库存!$B$1:$C$65536,2,FALSE)</f>
        <v>#N/A</v>
      </c>
      <c r="G814" s="59" t="e">
        <v>#N/A</v>
      </c>
      <c r="H814" s="74"/>
      <c r="I814" s="74"/>
      <c r="J814" s="102"/>
      <c r="K814" s="61"/>
      <c r="L814" s="62">
        <v>0</v>
      </c>
      <c r="M814" s="63">
        <v>0</v>
      </c>
      <c r="N814" s="64">
        <v>0</v>
      </c>
      <c r="O814" s="62">
        <v>0</v>
      </c>
      <c r="P814" s="65">
        <f t="shared" si="52"/>
        <v>0</v>
      </c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  <c r="AS814" s="66"/>
      <c r="AT814" s="66"/>
      <c r="AU814" s="66"/>
      <c r="AV814" s="66"/>
      <c r="AW814" s="66"/>
      <c r="AX814" s="66"/>
      <c r="AY814" s="66"/>
      <c r="AZ814" s="66"/>
      <c r="BA814" s="66"/>
      <c r="BB814" s="66"/>
      <c r="BC814" s="66"/>
      <c r="BD814" s="66"/>
      <c r="BE814" s="67"/>
      <c r="BF814" s="67"/>
      <c r="BG814" s="68"/>
      <c r="BI814" s="69">
        <v>0</v>
      </c>
      <c r="BJ814" s="70">
        <v>0</v>
      </c>
      <c r="BK814" s="71">
        <v>0</v>
      </c>
      <c r="BL814" s="71">
        <v>0</v>
      </c>
      <c r="BM814" s="71">
        <v>0</v>
      </c>
      <c r="BN814" s="72">
        <v>0</v>
      </c>
      <c r="BO814" s="151" t="e">
        <f t="shared" si="53"/>
        <v>#DIV/0!</v>
      </c>
      <c r="BP814" s="151" t="e">
        <f t="shared" si="54"/>
        <v>#DIV/0!</v>
      </c>
      <c r="BQ814" s="71">
        <v>0</v>
      </c>
      <c r="BR814" s="71">
        <v>0</v>
      </c>
      <c r="BS814" s="71">
        <v>0</v>
      </c>
      <c r="BT814" s="72">
        <v>0</v>
      </c>
      <c r="BU814" s="73"/>
      <c r="BV814" s="73"/>
    </row>
    <row r="815" s="2" customFormat="1" ht="30" customHeight="1" spans="1:75 16331:16349">
      <c r="A815" s="55" t="s">
        <v>96</v>
      </c>
      <c r="B815" s="56" t="s">
        <v>1057</v>
      </c>
      <c r="C815" s="57" t="s">
        <v>1324</v>
      </c>
      <c r="D815" s="59" t="s">
        <v>1359</v>
      </c>
      <c r="E815" s="59" t="s">
        <v>1387</v>
      </c>
      <c r="F815" s="59" t="str">
        <f>VLOOKUP(E815,[1]库存!$B$1:$C$65536,2,FALSE)</f>
        <v>SMCV SV63 SAB LH</v>
      </c>
      <c r="G815" s="59" t="s">
        <v>1388</v>
      </c>
      <c r="H815" s="59" t="s">
        <v>1389</v>
      </c>
      <c r="I815" s="59" t="s">
        <v>1390</v>
      </c>
      <c r="J815" s="102" t="s">
        <v>65</v>
      </c>
      <c r="K815" s="61"/>
      <c r="L815" s="62">
        <v>2</v>
      </c>
      <c r="M815" s="63">
        <v>1100</v>
      </c>
      <c r="N815" s="64">
        <v>13</v>
      </c>
      <c r="O815" s="62">
        <v>2</v>
      </c>
      <c r="P815" s="65">
        <f t="shared" si="52"/>
        <v>0</v>
      </c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66"/>
      <c r="AU815" s="66"/>
      <c r="AV815" s="66"/>
      <c r="AW815" s="66"/>
      <c r="AX815" s="66"/>
      <c r="AY815" s="66"/>
      <c r="AZ815" s="66"/>
      <c r="BA815" s="66"/>
      <c r="BB815" s="66"/>
      <c r="BC815" s="66"/>
      <c r="BD815" s="66"/>
      <c r="BE815" s="67"/>
      <c r="BF815" s="67"/>
      <c r="BG815" s="68"/>
      <c r="BH815" s="11"/>
      <c r="BI815" s="69">
        <v>0</v>
      </c>
      <c r="BJ815" s="70">
        <v>0</v>
      </c>
      <c r="BK815" s="71">
        <v>0</v>
      </c>
      <c r="BL815" s="71">
        <v>0</v>
      </c>
      <c r="BM815" s="71">
        <v>0</v>
      </c>
      <c r="BN815" s="72">
        <v>0</v>
      </c>
      <c r="BO815" s="151" t="e">
        <f t="shared" si="53"/>
        <v>#DIV/0!</v>
      </c>
      <c r="BP815" s="151" t="e">
        <f t="shared" si="54"/>
        <v>#DIV/0!</v>
      </c>
      <c r="BQ815" s="71">
        <v>0</v>
      </c>
      <c r="BR815" s="71">
        <v>0</v>
      </c>
      <c r="BS815" s="71">
        <v>0</v>
      </c>
      <c r="BT815" s="72">
        <v>0</v>
      </c>
      <c r="BU815" s="73"/>
      <c r="BV815" s="73"/>
      <c r="BW815" s="175"/>
      <c r="XDC815" s="176"/>
      <c r="XDD815" s="176"/>
      <c r="XDE815" s="176"/>
      <c r="XDF815" s="176"/>
      <c r="XDG815" s="176"/>
      <c r="XDH815" s="176"/>
      <c r="XDI815" s="176"/>
      <c r="XDJ815" s="176"/>
      <c r="XDK815" s="176"/>
      <c r="XDL815" s="176"/>
      <c r="XDM815" s="176"/>
      <c r="XDN815" s="176"/>
      <c r="XDO815" s="176"/>
      <c r="XDP815" s="176"/>
      <c r="XDQ815" s="176"/>
      <c r="XDR815" s="176"/>
      <c r="XDS815" s="176"/>
      <c r="XDT815" s="176"/>
      <c r="XDU815" s="176"/>
    </row>
    <row r="816" s="2" customFormat="1" ht="30" customHeight="1" spans="1:75 16331:16349">
      <c r="A816" s="55">
        <v>0</v>
      </c>
      <c r="B816" s="56">
        <v>0</v>
      </c>
      <c r="C816" s="57">
        <v>0</v>
      </c>
      <c r="D816" s="74"/>
      <c r="E816" s="74"/>
      <c r="F816" s="59" t="e">
        <f>VLOOKUP(E816,[1]库存!$B$1:$C$65536,2,FALSE)</f>
        <v>#N/A</v>
      </c>
      <c r="G816" s="59" t="e">
        <v>#N/A</v>
      </c>
      <c r="H816" s="74"/>
      <c r="I816" s="74"/>
      <c r="J816" s="102"/>
      <c r="K816" s="61"/>
      <c r="L816" s="62">
        <v>0</v>
      </c>
      <c r="M816" s="63">
        <v>0</v>
      </c>
      <c r="N816" s="64">
        <v>0</v>
      </c>
      <c r="O816" s="62">
        <v>0</v>
      </c>
      <c r="P816" s="65">
        <f t="shared" si="52"/>
        <v>0</v>
      </c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66"/>
      <c r="AZ816" s="66"/>
      <c r="BA816" s="66"/>
      <c r="BB816" s="66"/>
      <c r="BC816" s="66"/>
      <c r="BD816" s="66"/>
      <c r="BE816" s="67"/>
      <c r="BF816" s="67"/>
      <c r="BG816" s="68"/>
      <c r="BH816" s="11"/>
      <c r="BI816" s="69">
        <v>0</v>
      </c>
      <c r="BJ816" s="70">
        <v>0</v>
      </c>
      <c r="BK816" s="71">
        <v>0</v>
      </c>
      <c r="BL816" s="71">
        <v>0</v>
      </c>
      <c r="BM816" s="71">
        <v>0</v>
      </c>
      <c r="BN816" s="72">
        <v>0</v>
      </c>
      <c r="BO816" s="151" t="e">
        <f t="shared" si="53"/>
        <v>#DIV/0!</v>
      </c>
      <c r="BP816" s="151" t="e">
        <f t="shared" si="54"/>
        <v>#DIV/0!</v>
      </c>
      <c r="BQ816" s="71">
        <v>0</v>
      </c>
      <c r="BR816" s="71">
        <v>0</v>
      </c>
      <c r="BS816" s="71">
        <v>0</v>
      </c>
      <c r="BT816" s="72">
        <v>0</v>
      </c>
      <c r="BU816" s="73"/>
      <c r="BV816" s="73"/>
      <c r="BW816" s="175"/>
      <c r="XDC816" s="176"/>
      <c r="XDD816" s="176"/>
      <c r="XDE816" s="176"/>
      <c r="XDF816" s="176"/>
      <c r="XDG816" s="176"/>
      <c r="XDH816" s="176"/>
      <c r="XDI816" s="176"/>
      <c r="XDJ816" s="176"/>
      <c r="XDK816" s="176"/>
      <c r="XDL816" s="176"/>
      <c r="XDM816" s="176"/>
      <c r="XDN816" s="176"/>
      <c r="XDO816" s="176"/>
      <c r="XDP816" s="176"/>
      <c r="XDQ816" s="176"/>
      <c r="XDR816" s="176"/>
      <c r="XDS816" s="176"/>
      <c r="XDT816" s="176"/>
      <c r="XDU816" s="176"/>
    </row>
    <row r="817" s="2" customFormat="1" ht="30" customHeight="1" spans="1:75 16331:16349">
      <c r="A817" s="55" t="s">
        <v>96</v>
      </c>
      <c r="B817" s="56" t="s">
        <v>1057</v>
      </c>
      <c r="C817" s="57" t="s">
        <v>1324</v>
      </c>
      <c r="D817" s="59" t="s">
        <v>1359</v>
      </c>
      <c r="E817" s="59" t="s">
        <v>1391</v>
      </c>
      <c r="F817" s="59" t="str">
        <f>VLOOKUP(E817,[1]库存!$B$1:$C$65536,2,FALSE)</f>
        <v>SMCV SV63 SAB RH</v>
      </c>
      <c r="G817" s="59" t="s">
        <v>1392</v>
      </c>
      <c r="H817" s="59" t="s">
        <v>1393</v>
      </c>
      <c r="I817" s="59" t="s">
        <v>1390</v>
      </c>
      <c r="J817" s="102" t="s">
        <v>65</v>
      </c>
      <c r="K817" s="61"/>
      <c r="L817" s="62">
        <v>2</v>
      </c>
      <c r="M817" s="63">
        <v>1100</v>
      </c>
      <c r="N817" s="64">
        <v>13</v>
      </c>
      <c r="O817" s="62">
        <v>2</v>
      </c>
      <c r="P817" s="65">
        <f t="shared" si="52"/>
        <v>0</v>
      </c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66"/>
      <c r="AU817" s="66"/>
      <c r="AV817" s="66"/>
      <c r="AW817" s="66"/>
      <c r="AX817" s="66"/>
      <c r="AY817" s="66"/>
      <c r="AZ817" s="66"/>
      <c r="BA817" s="66"/>
      <c r="BB817" s="66"/>
      <c r="BC817" s="66"/>
      <c r="BD817" s="66"/>
      <c r="BE817" s="67"/>
      <c r="BF817" s="67"/>
      <c r="BG817" s="68"/>
      <c r="BH817" s="11"/>
      <c r="BI817" s="69">
        <v>0</v>
      </c>
      <c r="BJ817" s="70">
        <v>0</v>
      </c>
      <c r="BK817" s="71">
        <v>0</v>
      </c>
      <c r="BL817" s="71">
        <v>0</v>
      </c>
      <c r="BM817" s="71">
        <v>0</v>
      </c>
      <c r="BN817" s="72">
        <v>0</v>
      </c>
      <c r="BO817" s="151" t="e">
        <f t="shared" si="53"/>
        <v>#DIV/0!</v>
      </c>
      <c r="BP817" s="151" t="e">
        <f t="shared" si="54"/>
        <v>#DIV/0!</v>
      </c>
      <c r="BQ817" s="71">
        <v>0</v>
      </c>
      <c r="BR817" s="71">
        <v>0</v>
      </c>
      <c r="BS817" s="71">
        <v>0</v>
      </c>
      <c r="BT817" s="72">
        <v>0</v>
      </c>
      <c r="BU817" s="73"/>
      <c r="BV817" s="73"/>
      <c r="BW817" s="175"/>
      <c r="XDC817" s="176"/>
      <c r="XDD817" s="176"/>
      <c r="XDE817" s="176"/>
      <c r="XDF817" s="176"/>
      <c r="XDG817" s="176"/>
      <c r="XDH817" s="176"/>
      <c r="XDI817" s="176"/>
      <c r="XDJ817" s="176"/>
      <c r="XDK817" s="176"/>
      <c r="XDL817" s="176"/>
      <c r="XDM817" s="176"/>
      <c r="XDN817" s="176"/>
      <c r="XDO817" s="176"/>
      <c r="XDP817" s="176"/>
      <c r="XDQ817" s="176"/>
      <c r="XDR817" s="176"/>
      <c r="XDS817" s="176"/>
      <c r="XDT817" s="176"/>
      <c r="XDU817" s="176"/>
    </row>
    <row r="818" s="2" customFormat="1" ht="30" customHeight="1" spans="1:75 16331:16349">
      <c r="A818" s="55">
        <v>0</v>
      </c>
      <c r="B818" s="56">
        <v>0</v>
      </c>
      <c r="C818" s="57">
        <v>0</v>
      </c>
      <c r="D818" s="74"/>
      <c r="E818" s="74"/>
      <c r="F818" s="59" t="e">
        <f>VLOOKUP(E818,[1]库存!$B$1:$C$65536,2,FALSE)</f>
        <v>#N/A</v>
      </c>
      <c r="G818" s="59" t="e">
        <v>#N/A</v>
      </c>
      <c r="H818" s="74"/>
      <c r="I818" s="74"/>
      <c r="J818" s="102"/>
      <c r="K818" s="61"/>
      <c r="L818" s="62">
        <v>0</v>
      </c>
      <c r="M818" s="63">
        <v>0</v>
      </c>
      <c r="N818" s="64">
        <v>0</v>
      </c>
      <c r="O818" s="62">
        <v>0</v>
      </c>
      <c r="P818" s="65">
        <f t="shared" si="52"/>
        <v>0</v>
      </c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66"/>
      <c r="AU818" s="66"/>
      <c r="AV818" s="66"/>
      <c r="AW818" s="66"/>
      <c r="AX818" s="66"/>
      <c r="AY818" s="66"/>
      <c r="AZ818" s="66"/>
      <c r="BA818" s="66"/>
      <c r="BB818" s="66"/>
      <c r="BC818" s="66"/>
      <c r="BD818" s="66"/>
      <c r="BE818" s="67"/>
      <c r="BF818" s="67"/>
      <c r="BG818" s="68"/>
      <c r="BH818" s="11"/>
      <c r="BI818" s="69">
        <v>0</v>
      </c>
      <c r="BJ818" s="70">
        <v>0</v>
      </c>
      <c r="BK818" s="71">
        <v>0</v>
      </c>
      <c r="BL818" s="71">
        <v>0</v>
      </c>
      <c r="BM818" s="71">
        <v>0</v>
      </c>
      <c r="BN818" s="72">
        <v>0</v>
      </c>
      <c r="BO818" s="151" t="e">
        <f t="shared" si="53"/>
        <v>#DIV/0!</v>
      </c>
      <c r="BP818" s="151" t="e">
        <f t="shared" si="54"/>
        <v>#DIV/0!</v>
      </c>
      <c r="BQ818" s="71">
        <v>0</v>
      </c>
      <c r="BR818" s="71">
        <v>0</v>
      </c>
      <c r="BS818" s="71">
        <v>0</v>
      </c>
      <c r="BT818" s="72">
        <v>0</v>
      </c>
      <c r="BU818" s="73"/>
      <c r="BV818" s="73"/>
      <c r="BW818" s="175"/>
      <c r="XDC818" s="176"/>
      <c r="XDD818" s="176"/>
      <c r="XDE818" s="176"/>
      <c r="XDF818" s="176"/>
      <c r="XDG818" s="176"/>
      <c r="XDH818" s="176"/>
      <c r="XDI818" s="176"/>
      <c r="XDJ818" s="176"/>
      <c r="XDK818" s="176"/>
      <c r="XDL818" s="176"/>
      <c r="XDM818" s="176"/>
      <c r="XDN818" s="176"/>
      <c r="XDO818" s="176"/>
      <c r="XDP818" s="176"/>
      <c r="XDQ818" s="176"/>
      <c r="XDR818" s="176"/>
      <c r="XDS818" s="176"/>
      <c r="XDT818" s="176"/>
      <c r="XDU818" s="176"/>
    </row>
    <row r="819" ht="30" customHeight="1" spans="1:75 16331:16349">
      <c r="A819" s="55">
        <v>0</v>
      </c>
      <c r="B819" s="56" t="s">
        <v>1057</v>
      </c>
      <c r="C819" s="57" t="s">
        <v>1324</v>
      </c>
      <c r="D819" s="59" t="s">
        <v>1359</v>
      </c>
      <c r="E819" s="59" t="s">
        <v>1394</v>
      </c>
      <c r="F819" s="59" t="e">
        <f>VLOOKUP(E819,[1]库存!$B$1:$C$65536,2,FALSE)</f>
        <v>#N/A</v>
      </c>
      <c r="G819" s="59" t="e">
        <v>#N/A</v>
      </c>
      <c r="H819" s="59" t="s">
        <v>1395</v>
      </c>
      <c r="I819" s="59" t="s">
        <v>1396</v>
      </c>
      <c r="J819" s="102" t="s">
        <v>65</v>
      </c>
      <c r="K819" s="61"/>
      <c r="L819" s="62">
        <v>2</v>
      </c>
      <c r="M819" s="63">
        <v>1100</v>
      </c>
      <c r="N819" s="64">
        <v>13</v>
      </c>
      <c r="O819" s="62">
        <v>2</v>
      </c>
      <c r="P819" s="65">
        <f t="shared" si="52"/>
        <v>0</v>
      </c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  <c r="AS819" s="66"/>
      <c r="AT819" s="66"/>
      <c r="AU819" s="66"/>
      <c r="AV819" s="66"/>
      <c r="AW819" s="66"/>
      <c r="AX819" s="66"/>
      <c r="AY819" s="66"/>
      <c r="AZ819" s="66"/>
      <c r="BA819" s="66"/>
      <c r="BB819" s="66"/>
      <c r="BC819" s="66"/>
      <c r="BD819" s="66"/>
      <c r="BE819" s="67"/>
      <c r="BF819" s="67"/>
      <c r="BG819" s="68"/>
      <c r="BI819" s="69">
        <v>0</v>
      </c>
      <c r="BJ819" s="70">
        <v>0</v>
      </c>
      <c r="BK819" s="71">
        <v>0</v>
      </c>
      <c r="BL819" s="71">
        <v>0</v>
      </c>
      <c r="BM819" s="71">
        <v>0</v>
      </c>
      <c r="BN819" s="72">
        <v>0</v>
      </c>
      <c r="BO819" s="151" t="e">
        <f t="shared" si="53"/>
        <v>#DIV/0!</v>
      </c>
      <c r="BP819" s="151" t="e">
        <f t="shared" si="54"/>
        <v>#DIV/0!</v>
      </c>
      <c r="BQ819" s="71">
        <v>0</v>
      </c>
      <c r="BR819" s="71">
        <v>0</v>
      </c>
      <c r="BS819" s="71">
        <v>0</v>
      </c>
      <c r="BT819" s="72">
        <v>0</v>
      </c>
      <c r="BU819" s="73"/>
      <c r="BV819" s="73"/>
    </row>
    <row r="820" ht="30" customHeight="1" spans="1:75 16331:16349">
      <c r="A820" s="55">
        <v>0</v>
      </c>
      <c r="B820" s="56">
        <v>0</v>
      </c>
      <c r="C820" s="57">
        <v>0</v>
      </c>
      <c r="D820" s="74"/>
      <c r="E820" s="74"/>
      <c r="F820" s="74" t="e">
        <f>VLOOKUP(E820,[1]库存!$B$1:$C$65536,2,FALSE)</f>
        <v>#N/A</v>
      </c>
      <c r="G820" s="74"/>
      <c r="H820" s="74"/>
      <c r="I820" s="74"/>
      <c r="J820" s="102"/>
      <c r="K820" s="61"/>
      <c r="L820" s="62">
        <v>0</v>
      </c>
      <c r="M820" s="63">
        <v>0</v>
      </c>
      <c r="N820" s="64">
        <v>0</v>
      </c>
      <c r="O820" s="62">
        <v>0</v>
      </c>
      <c r="P820" s="65">
        <f t="shared" si="52"/>
        <v>0</v>
      </c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  <c r="AS820" s="66"/>
      <c r="AT820" s="66"/>
      <c r="AU820" s="66"/>
      <c r="AV820" s="66"/>
      <c r="AW820" s="66"/>
      <c r="AX820" s="66"/>
      <c r="AY820" s="66"/>
      <c r="AZ820" s="66"/>
      <c r="BA820" s="66"/>
      <c r="BB820" s="66"/>
      <c r="BC820" s="66"/>
      <c r="BD820" s="66"/>
      <c r="BE820" s="67"/>
      <c r="BF820" s="67"/>
      <c r="BG820" s="68"/>
      <c r="BI820" s="69">
        <v>0</v>
      </c>
      <c r="BJ820" s="70">
        <v>0</v>
      </c>
      <c r="BK820" s="71">
        <v>0</v>
      </c>
      <c r="BL820" s="71">
        <v>0</v>
      </c>
      <c r="BM820" s="71">
        <v>0</v>
      </c>
      <c r="BN820" s="72">
        <v>0</v>
      </c>
      <c r="BO820" s="151" t="e">
        <f t="shared" si="53"/>
        <v>#DIV/0!</v>
      </c>
      <c r="BP820" s="151" t="e">
        <f t="shared" si="54"/>
        <v>#DIV/0!</v>
      </c>
      <c r="BQ820" s="71">
        <v>0</v>
      </c>
      <c r="BR820" s="71">
        <v>0</v>
      </c>
      <c r="BS820" s="71">
        <v>0</v>
      </c>
      <c r="BT820" s="72">
        <v>0</v>
      </c>
      <c r="BU820" s="73"/>
      <c r="BV820" s="73"/>
    </row>
    <row r="821" ht="30" customHeight="1" spans="1:75 16331:16349">
      <c r="A821" s="55">
        <v>0</v>
      </c>
      <c r="B821" s="56" t="s">
        <v>1057</v>
      </c>
      <c r="C821" s="57" t="s">
        <v>1324</v>
      </c>
      <c r="D821" s="59" t="s">
        <v>1359</v>
      </c>
      <c r="E821" s="59" t="s">
        <v>1397</v>
      </c>
      <c r="F821" s="59" t="e">
        <f>VLOOKUP(E821,[1]库存!$B$1:$C$65536,2,FALSE)</f>
        <v>#N/A</v>
      </c>
      <c r="G821" s="59" t="e">
        <v>#N/A</v>
      </c>
      <c r="H821" s="59" t="s">
        <v>1398</v>
      </c>
      <c r="I821" s="59" t="s">
        <v>1396</v>
      </c>
      <c r="J821" s="102" t="s">
        <v>65</v>
      </c>
      <c r="K821" s="61"/>
      <c r="L821" s="62">
        <v>2</v>
      </c>
      <c r="M821" s="63">
        <v>1100</v>
      </c>
      <c r="N821" s="64">
        <v>13</v>
      </c>
      <c r="O821" s="62">
        <v>2</v>
      </c>
      <c r="P821" s="65">
        <f t="shared" si="52"/>
        <v>0</v>
      </c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66"/>
      <c r="AU821" s="66"/>
      <c r="AV821" s="66"/>
      <c r="AW821" s="66"/>
      <c r="AX821" s="66"/>
      <c r="AY821" s="66"/>
      <c r="AZ821" s="66"/>
      <c r="BA821" s="66"/>
      <c r="BB821" s="66"/>
      <c r="BC821" s="66"/>
      <c r="BD821" s="66"/>
      <c r="BE821" s="67"/>
      <c r="BF821" s="67"/>
      <c r="BG821" s="68"/>
      <c r="BI821" s="69">
        <v>0</v>
      </c>
      <c r="BJ821" s="70">
        <v>0</v>
      </c>
      <c r="BK821" s="71">
        <v>0</v>
      </c>
      <c r="BL821" s="71">
        <v>0</v>
      </c>
      <c r="BM821" s="71">
        <v>0</v>
      </c>
      <c r="BN821" s="72">
        <v>0</v>
      </c>
      <c r="BO821" s="151" t="e">
        <f t="shared" si="53"/>
        <v>#DIV/0!</v>
      </c>
      <c r="BP821" s="151" t="e">
        <f t="shared" si="54"/>
        <v>#DIV/0!</v>
      </c>
      <c r="BQ821" s="71">
        <v>0</v>
      </c>
      <c r="BR821" s="71">
        <v>0</v>
      </c>
      <c r="BS821" s="71">
        <v>0</v>
      </c>
      <c r="BT821" s="72">
        <v>0</v>
      </c>
      <c r="BU821" s="73"/>
      <c r="BV821" s="73"/>
    </row>
    <row r="822" ht="30" customHeight="1" spans="1:75 16331:16349">
      <c r="A822" s="55">
        <v>0</v>
      </c>
      <c r="B822" s="56">
        <v>0</v>
      </c>
      <c r="C822" s="57">
        <v>0</v>
      </c>
      <c r="D822" s="74"/>
      <c r="E822" s="74"/>
      <c r="F822" s="74" t="e">
        <f>VLOOKUP(E822,[1]库存!$B$1:$C$65536,2,FALSE)</f>
        <v>#N/A</v>
      </c>
      <c r="G822" s="74"/>
      <c r="H822" s="74"/>
      <c r="I822" s="74"/>
      <c r="J822" s="102"/>
      <c r="K822" s="61"/>
      <c r="L822" s="62">
        <v>0</v>
      </c>
      <c r="M822" s="63">
        <v>0</v>
      </c>
      <c r="N822" s="64">
        <v>0</v>
      </c>
      <c r="O822" s="62">
        <v>0</v>
      </c>
      <c r="P822" s="65">
        <f t="shared" si="52"/>
        <v>0</v>
      </c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6"/>
      <c r="BB822" s="66"/>
      <c r="BC822" s="66"/>
      <c r="BD822" s="66"/>
      <c r="BE822" s="67"/>
      <c r="BF822" s="67"/>
      <c r="BG822" s="68"/>
      <c r="BI822" s="69">
        <v>0</v>
      </c>
      <c r="BJ822" s="70">
        <v>0</v>
      </c>
      <c r="BK822" s="71">
        <v>0</v>
      </c>
      <c r="BL822" s="71">
        <v>0</v>
      </c>
      <c r="BM822" s="71">
        <v>0</v>
      </c>
      <c r="BN822" s="72">
        <v>0</v>
      </c>
      <c r="BO822" s="151" t="e">
        <f t="shared" si="53"/>
        <v>#DIV/0!</v>
      </c>
      <c r="BP822" s="151" t="e">
        <f t="shared" si="54"/>
        <v>#DIV/0!</v>
      </c>
      <c r="BQ822" s="71">
        <v>0</v>
      </c>
      <c r="BR822" s="71">
        <v>0</v>
      </c>
      <c r="BS822" s="71">
        <v>0</v>
      </c>
      <c r="BT822" s="72">
        <v>0</v>
      </c>
      <c r="BU822" s="73"/>
      <c r="BV822" s="73"/>
    </row>
    <row r="823" ht="30" customHeight="1" spans="1:75 16331:16349">
      <c r="A823" s="55">
        <v>0</v>
      </c>
      <c r="B823" s="56" t="s">
        <v>1057</v>
      </c>
      <c r="C823" s="57" t="s">
        <v>1324</v>
      </c>
      <c r="D823" s="59" t="s">
        <v>1359</v>
      </c>
      <c r="E823" s="59" t="s">
        <v>1399</v>
      </c>
      <c r="F823" s="59" t="str">
        <f>VLOOKUP(E823,[1]库存!$B$1:$C$65536,2,FALSE)</f>
        <v>JAC S7 SAB LH（埃）</v>
      </c>
      <c r="G823" s="59" t="s">
        <v>1400</v>
      </c>
      <c r="H823" s="59" t="s">
        <v>1401</v>
      </c>
      <c r="I823" s="59" t="s">
        <v>1402</v>
      </c>
      <c r="J823" s="102" t="s">
        <v>65</v>
      </c>
      <c r="K823" s="61"/>
      <c r="L823" s="62">
        <v>2</v>
      </c>
      <c r="M823" s="63">
        <v>1250</v>
      </c>
      <c r="N823" s="64">
        <v>13</v>
      </c>
      <c r="O823" s="62">
        <v>2</v>
      </c>
      <c r="P823" s="65">
        <f t="shared" si="52"/>
        <v>0</v>
      </c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66"/>
      <c r="AU823" s="66"/>
      <c r="AV823" s="66"/>
      <c r="AW823" s="66"/>
      <c r="AX823" s="66"/>
      <c r="AY823" s="66"/>
      <c r="AZ823" s="66"/>
      <c r="BA823" s="66"/>
      <c r="BB823" s="66"/>
      <c r="BC823" s="66"/>
      <c r="BD823" s="66"/>
      <c r="BE823" s="67"/>
      <c r="BF823" s="67"/>
      <c r="BG823" s="68"/>
      <c r="BI823" s="69">
        <v>0</v>
      </c>
      <c r="BJ823" s="70">
        <v>0</v>
      </c>
      <c r="BK823" s="71">
        <v>0</v>
      </c>
      <c r="BL823" s="71">
        <v>0</v>
      </c>
      <c r="BM823" s="71">
        <v>0</v>
      </c>
      <c r="BN823" s="72">
        <v>0</v>
      </c>
      <c r="BO823" s="151" t="e">
        <f t="shared" si="53"/>
        <v>#DIV/0!</v>
      </c>
      <c r="BP823" s="151" t="e">
        <f t="shared" si="54"/>
        <v>#DIV/0!</v>
      </c>
      <c r="BQ823" s="71">
        <v>0</v>
      </c>
      <c r="BR823" s="71">
        <v>0</v>
      </c>
      <c r="BS823" s="71">
        <v>0</v>
      </c>
      <c r="BT823" s="72">
        <v>0</v>
      </c>
      <c r="BU823" s="73"/>
      <c r="BV823" s="73"/>
    </row>
    <row r="824" ht="30" customHeight="1" spans="1:75 16331:16349">
      <c r="A824" s="55">
        <v>0</v>
      </c>
      <c r="B824" s="56">
        <v>0</v>
      </c>
      <c r="C824" s="57">
        <v>0</v>
      </c>
      <c r="D824" s="74"/>
      <c r="E824" s="74"/>
      <c r="F824" s="59" t="e">
        <f>VLOOKUP(E824,[1]库存!$B$1:$C$65536,2,FALSE)</f>
        <v>#N/A</v>
      </c>
      <c r="G824" s="59" t="e">
        <v>#N/A</v>
      </c>
      <c r="H824" s="74"/>
      <c r="I824" s="74"/>
      <c r="J824" s="102"/>
      <c r="K824" s="61"/>
      <c r="L824" s="62">
        <v>0</v>
      </c>
      <c r="M824" s="63">
        <v>0</v>
      </c>
      <c r="N824" s="64">
        <v>0</v>
      </c>
      <c r="O824" s="62">
        <v>0</v>
      </c>
      <c r="P824" s="65">
        <f t="shared" si="52"/>
        <v>0</v>
      </c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66"/>
      <c r="AU824" s="66"/>
      <c r="AV824" s="66"/>
      <c r="AW824" s="66"/>
      <c r="AX824" s="66"/>
      <c r="AY824" s="66"/>
      <c r="AZ824" s="66"/>
      <c r="BA824" s="66"/>
      <c r="BB824" s="66"/>
      <c r="BC824" s="66"/>
      <c r="BD824" s="66"/>
      <c r="BE824" s="67"/>
      <c r="BF824" s="67"/>
      <c r="BG824" s="68"/>
      <c r="BI824" s="69">
        <v>0</v>
      </c>
      <c r="BJ824" s="70">
        <v>0</v>
      </c>
      <c r="BK824" s="71">
        <v>0</v>
      </c>
      <c r="BL824" s="71">
        <v>0</v>
      </c>
      <c r="BM824" s="71">
        <v>0</v>
      </c>
      <c r="BN824" s="72">
        <v>0</v>
      </c>
      <c r="BO824" s="151" t="e">
        <f t="shared" si="53"/>
        <v>#DIV/0!</v>
      </c>
      <c r="BP824" s="151" t="e">
        <f t="shared" si="54"/>
        <v>#DIV/0!</v>
      </c>
      <c r="BQ824" s="71">
        <v>0</v>
      </c>
      <c r="BR824" s="71">
        <v>0</v>
      </c>
      <c r="BS824" s="71">
        <v>0</v>
      </c>
      <c r="BT824" s="72">
        <v>0</v>
      </c>
      <c r="BU824" s="73"/>
      <c r="BV824" s="73"/>
    </row>
    <row r="825" ht="30" customHeight="1" spans="1:75 16331:16349">
      <c r="A825" s="55" t="s">
        <v>41</v>
      </c>
      <c r="B825" s="56" t="s">
        <v>1057</v>
      </c>
      <c r="C825" s="57" t="s">
        <v>1324</v>
      </c>
      <c r="D825" s="59" t="s">
        <v>1359</v>
      </c>
      <c r="E825" s="59" t="s">
        <v>1403</v>
      </c>
      <c r="F825" s="59" t="str">
        <f>VLOOKUP(E825,[1]库存!$B$1:$C$65536,2,FALSE)</f>
        <v>JAC S7 SAB RH（埃）</v>
      </c>
      <c r="G825" s="59" t="s">
        <v>1404</v>
      </c>
      <c r="H825" s="59" t="s">
        <v>1405</v>
      </c>
      <c r="I825" s="59" t="s">
        <v>1402</v>
      </c>
      <c r="J825" s="102" t="s">
        <v>65</v>
      </c>
      <c r="K825" s="61"/>
      <c r="L825" s="62">
        <v>2</v>
      </c>
      <c r="M825" s="63">
        <v>1250</v>
      </c>
      <c r="N825" s="64">
        <v>13</v>
      </c>
      <c r="O825" s="62">
        <v>2</v>
      </c>
      <c r="P825" s="65">
        <f t="shared" si="52"/>
        <v>0</v>
      </c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6"/>
      <c r="AS825" s="66"/>
      <c r="AT825" s="66"/>
      <c r="AU825" s="66"/>
      <c r="AV825" s="66"/>
      <c r="AW825" s="66"/>
      <c r="AX825" s="66"/>
      <c r="AY825" s="66"/>
      <c r="AZ825" s="66"/>
      <c r="BA825" s="66"/>
      <c r="BB825" s="66"/>
      <c r="BC825" s="66"/>
      <c r="BD825" s="66"/>
      <c r="BE825" s="67"/>
      <c r="BF825" s="67"/>
      <c r="BG825" s="68"/>
      <c r="BI825" s="69">
        <v>0</v>
      </c>
      <c r="BJ825" s="70">
        <v>0</v>
      </c>
      <c r="BK825" s="71">
        <v>0</v>
      </c>
      <c r="BL825" s="71">
        <v>0</v>
      </c>
      <c r="BM825" s="71">
        <v>0</v>
      </c>
      <c r="BN825" s="72">
        <v>0</v>
      </c>
      <c r="BO825" s="151" t="e">
        <f t="shared" si="53"/>
        <v>#DIV/0!</v>
      </c>
      <c r="BP825" s="151" t="e">
        <f t="shared" si="54"/>
        <v>#DIV/0!</v>
      </c>
      <c r="BQ825" s="71">
        <v>0</v>
      </c>
      <c r="BR825" s="71">
        <v>0</v>
      </c>
      <c r="BS825" s="71">
        <v>0</v>
      </c>
      <c r="BT825" s="72">
        <v>0</v>
      </c>
      <c r="BU825" s="73"/>
      <c r="BV825" s="73"/>
    </row>
    <row r="826" ht="30" customHeight="1" spans="1:75 16331:16349">
      <c r="A826" s="55">
        <v>0</v>
      </c>
      <c r="B826" s="56">
        <v>0</v>
      </c>
      <c r="C826" s="57">
        <v>0</v>
      </c>
      <c r="D826" s="74"/>
      <c r="E826" s="74"/>
      <c r="F826" s="59" t="e">
        <f>VLOOKUP(E826,[1]库存!$B$1:$C$65536,2,FALSE)</f>
        <v>#N/A</v>
      </c>
      <c r="G826" s="59" t="e">
        <v>#N/A</v>
      </c>
      <c r="H826" s="74"/>
      <c r="I826" s="74"/>
      <c r="J826" s="102"/>
      <c r="K826" s="61"/>
      <c r="L826" s="62">
        <v>0</v>
      </c>
      <c r="M826" s="63">
        <v>0</v>
      </c>
      <c r="N826" s="64">
        <v>0</v>
      </c>
      <c r="O826" s="62">
        <v>0</v>
      </c>
      <c r="P826" s="65">
        <f t="shared" si="52"/>
        <v>0</v>
      </c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  <c r="AS826" s="66"/>
      <c r="AT826" s="66"/>
      <c r="AU826" s="66"/>
      <c r="AV826" s="66"/>
      <c r="AW826" s="66"/>
      <c r="AX826" s="66"/>
      <c r="AY826" s="66"/>
      <c r="AZ826" s="66"/>
      <c r="BA826" s="66"/>
      <c r="BB826" s="66"/>
      <c r="BC826" s="66"/>
      <c r="BD826" s="66"/>
      <c r="BE826" s="67"/>
      <c r="BF826" s="67"/>
      <c r="BG826" s="68"/>
      <c r="BI826" s="69">
        <v>0</v>
      </c>
      <c r="BJ826" s="70">
        <v>0</v>
      </c>
      <c r="BK826" s="71">
        <v>0</v>
      </c>
      <c r="BL826" s="71">
        <v>0</v>
      </c>
      <c r="BM826" s="71">
        <v>0</v>
      </c>
      <c r="BN826" s="72">
        <v>0</v>
      </c>
      <c r="BO826" s="151" t="e">
        <f t="shared" si="53"/>
        <v>#DIV/0!</v>
      </c>
      <c r="BP826" s="151" t="e">
        <f t="shared" si="54"/>
        <v>#DIV/0!</v>
      </c>
      <c r="BQ826" s="71">
        <v>0</v>
      </c>
      <c r="BR826" s="71">
        <v>0</v>
      </c>
      <c r="BS826" s="71">
        <v>0</v>
      </c>
      <c r="BT826" s="72">
        <v>0</v>
      </c>
      <c r="BU826" s="73"/>
      <c r="BV826" s="73"/>
    </row>
    <row r="827" ht="30" customHeight="1" spans="1:75 16331:16349">
      <c r="A827" s="55" t="s">
        <v>41</v>
      </c>
      <c r="B827" s="56" t="s">
        <v>1057</v>
      </c>
      <c r="C827" s="57" t="s">
        <v>1324</v>
      </c>
      <c r="D827" s="59" t="s">
        <v>1359</v>
      </c>
      <c r="E827" s="59" t="s">
        <v>1406</v>
      </c>
      <c r="F827" s="59" t="str">
        <f>VLOOKUP(E827,[1]库存!$B$1:$C$65536,2,FALSE)</f>
        <v>A5H SAB LH（埃）</v>
      </c>
      <c r="G827" s="59" t="s">
        <v>1407</v>
      </c>
      <c r="H827" s="59" t="s">
        <v>1408</v>
      </c>
      <c r="I827" s="59" t="s">
        <v>1409</v>
      </c>
      <c r="J827" s="102" t="s">
        <v>65</v>
      </c>
      <c r="K827" s="61"/>
      <c r="L827" s="62">
        <v>2</v>
      </c>
      <c r="M827" s="63">
        <v>1500</v>
      </c>
      <c r="N827" s="64">
        <v>11</v>
      </c>
      <c r="O827" s="62">
        <v>2</v>
      </c>
      <c r="P827" s="65">
        <f t="shared" si="52"/>
        <v>0</v>
      </c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66"/>
      <c r="AU827" s="66"/>
      <c r="AV827" s="66"/>
      <c r="AW827" s="66"/>
      <c r="AX827" s="66"/>
      <c r="AY827" s="66"/>
      <c r="AZ827" s="66"/>
      <c r="BA827" s="66"/>
      <c r="BB827" s="66"/>
      <c r="BC827" s="66"/>
      <c r="BD827" s="66"/>
      <c r="BE827" s="67"/>
      <c r="BF827" s="67"/>
      <c r="BG827" s="68"/>
      <c r="BI827" s="69">
        <v>0</v>
      </c>
      <c r="BJ827" s="70">
        <v>0</v>
      </c>
      <c r="BK827" s="71">
        <v>0</v>
      </c>
      <c r="BL827" s="71">
        <v>0</v>
      </c>
      <c r="BM827" s="71">
        <v>0</v>
      </c>
      <c r="BN827" s="72">
        <v>0</v>
      </c>
      <c r="BO827" s="151" t="e">
        <f t="shared" si="53"/>
        <v>#DIV/0!</v>
      </c>
      <c r="BP827" s="151" t="e">
        <f t="shared" si="54"/>
        <v>#DIV/0!</v>
      </c>
      <c r="BQ827" s="71">
        <v>0</v>
      </c>
      <c r="BR827" s="71">
        <v>0</v>
      </c>
      <c r="BS827" s="71">
        <v>0</v>
      </c>
      <c r="BT827" s="72">
        <v>0</v>
      </c>
      <c r="BU827" s="73"/>
      <c r="BV827" s="73"/>
    </row>
    <row r="828" ht="30" customHeight="1" spans="1:75 16331:16349">
      <c r="A828" s="55">
        <v>0</v>
      </c>
      <c r="B828" s="56">
        <v>0</v>
      </c>
      <c r="C828" s="57">
        <v>0</v>
      </c>
      <c r="D828" s="74"/>
      <c r="E828" s="74"/>
      <c r="F828" s="59" t="e">
        <f>VLOOKUP(E828,[1]库存!$B$1:$C$65536,2,FALSE)</f>
        <v>#N/A</v>
      </c>
      <c r="G828" s="59" t="e">
        <v>#N/A</v>
      </c>
      <c r="H828" s="74"/>
      <c r="I828" s="74"/>
      <c r="J828" s="102"/>
      <c r="K828" s="61"/>
      <c r="L828" s="62">
        <v>0</v>
      </c>
      <c r="M828" s="63">
        <v>0</v>
      </c>
      <c r="N828" s="64">
        <v>0</v>
      </c>
      <c r="O828" s="62">
        <v>0</v>
      </c>
      <c r="P828" s="65">
        <f t="shared" si="52"/>
        <v>0</v>
      </c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6"/>
      <c r="AS828" s="66"/>
      <c r="AT828" s="66"/>
      <c r="AU828" s="66"/>
      <c r="AV828" s="66"/>
      <c r="AW828" s="66"/>
      <c r="AX828" s="66"/>
      <c r="AY828" s="66"/>
      <c r="AZ828" s="66"/>
      <c r="BA828" s="66"/>
      <c r="BB828" s="66"/>
      <c r="BC828" s="66"/>
      <c r="BD828" s="66"/>
      <c r="BE828" s="67"/>
      <c r="BF828" s="67"/>
      <c r="BG828" s="68"/>
      <c r="BI828" s="69">
        <v>0</v>
      </c>
      <c r="BJ828" s="70">
        <v>0</v>
      </c>
      <c r="BK828" s="71">
        <v>0</v>
      </c>
      <c r="BL828" s="71">
        <v>0</v>
      </c>
      <c r="BM828" s="71">
        <v>0</v>
      </c>
      <c r="BN828" s="72">
        <v>0</v>
      </c>
      <c r="BO828" s="151" t="e">
        <f t="shared" si="53"/>
        <v>#DIV/0!</v>
      </c>
      <c r="BP828" s="151" t="e">
        <f t="shared" si="54"/>
        <v>#DIV/0!</v>
      </c>
      <c r="BQ828" s="71">
        <v>0</v>
      </c>
      <c r="BR828" s="71">
        <v>0</v>
      </c>
      <c r="BS828" s="71">
        <v>0</v>
      </c>
      <c r="BT828" s="72">
        <v>0</v>
      </c>
      <c r="BU828" s="73"/>
      <c r="BV828" s="73"/>
    </row>
    <row r="829" ht="30" customHeight="1" spans="1:75 16331:16349">
      <c r="A829" s="55" t="s">
        <v>41</v>
      </c>
      <c r="B829" s="56" t="s">
        <v>1057</v>
      </c>
      <c r="C829" s="57" t="s">
        <v>1324</v>
      </c>
      <c r="D829" s="59" t="s">
        <v>1359</v>
      </c>
      <c r="E829" s="59" t="s">
        <v>1410</v>
      </c>
      <c r="F829" s="59" t="str">
        <f>VLOOKUP(E829,[1]库存!$B$1:$C$65536,2,FALSE)</f>
        <v>A5H SAB RH（埃）</v>
      </c>
      <c r="G829" s="59" t="s">
        <v>1411</v>
      </c>
      <c r="H829" s="59" t="s">
        <v>1412</v>
      </c>
      <c r="I829" s="59" t="s">
        <v>1409</v>
      </c>
      <c r="J829" s="102" t="s">
        <v>65</v>
      </c>
      <c r="K829" s="61"/>
      <c r="L829" s="62">
        <v>2</v>
      </c>
      <c r="M829" s="63">
        <v>1500</v>
      </c>
      <c r="N829" s="64">
        <v>11</v>
      </c>
      <c r="O829" s="62">
        <v>2</v>
      </c>
      <c r="P829" s="65">
        <f t="shared" si="52"/>
        <v>0</v>
      </c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  <c r="AR829" s="66"/>
      <c r="AS829" s="66"/>
      <c r="AT829" s="66"/>
      <c r="AU829" s="66"/>
      <c r="AV829" s="66"/>
      <c r="AW829" s="66"/>
      <c r="AX829" s="66"/>
      <c r="AY829" s="66"/>
      <c r="AZ829" s="66"/>
      <c r="BA829" s="66"/>
      <c r="BB829" s="66"/>
      <c r="BC829" s="66"/>
      <c r="BD829" s="66"/>
      <c r="BE829" s="67"/>
      <c r="BF829" s="67"/>
      <c r="BG829" s="68"/>
      <c r="BI829" s="69">
        <v>0</v>
      </c>
      <c r="BJ829" s="70">
        <v>0</v>
      </c>
      <c r="BK829" s="71">
        <v>0</v>
      </c>
      <c r="BL829" s="71">
        <v>0</v>
      </c>
      <c r="BM829" s="71">
        <v>0</v>
      </c>
      <c r="BN829" s="72">
        <v>0</v>
      </c>
      <c r="BO829" s="151" t="e">
        <f t="shared" si="53"/>
        <v>#DIV/0!</v>
      </c>
      <c r="BP829" s="151" t="e">
        <f t="shared" si="54"/>
        <v>#DIV/0!</v>
      </c>
      <c r="BQ829" s="71">
        <v>0</v>
      </c>
      <c r="BR829" s="71">
        <v>0</v>
      </c>
      <c r="BS829" s="71">
        <v>0</v>
      </c>
      <c r="BT829" s="72">
        <v>0</v>
      </c>
      <c r="BU829" s="73"/>
      <c r="BV829" s="73"/>
    </row>
    <row r="830" ht="30" customHeight="1" spans="1:75 16331:16349">
      <c r="A830" s="55">
        <v>0</v>
      </c>
      <c r="B830" s="56">
        <v>0</v>
      </c>
      <c r="C830" s="57">
        <v>0</v>
      </c>
      <c r="D830" s="74"/>
      <c r="E830" s="74"/>
      <c r="F830" s="59" t="e">
        <f>VLOOKUP(E830,[1]库存!$B$1:$C$65536,2,FALSE)</f>
        <v>#N/A</v>
      </c>
      <c r="G830" s="59" t="e">
        <v>#N/A</v>
      </c>
      <c r="H830" s="74"/>
      <c r="I830" s="74"/>
      <c r="J830" s="102"/>
      <c r="K830" s="61"/>
      <c r="L830" s="62">
        <v>0</v>
      </c>
      <c r="M830" s="63">
        <v>0</v>
      </c>
      <c r="N830" s="64">
        <v>0</v>
      </c>
      <c r="O830" s="62">
        <v>0</v>
      </c>
      <c r="P830" s="65">
        <f t="shared" si="52"/>
        <v>0</v>
      </c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6"/>
      <c r="AS830" s="66"/>
      <c r="AT830" s="66"/>
      <c r="AU830" s="66"/>
      <c r="AV830" s="66"/>
      <c r="AW830" s="66"/>
      <c r="AX830" s="66"/>
      <c r="AY830" s="66"/>
      <c r="AZ830" s="66"/>
      <c r="BA830" s="66"/>
      <c r="BB830" s="66"/>
      <c r="BC830" s="66"/>
      <c r="BD830" s="66"/>
      <c r="BE830" s="67"/>
      <c r="BF830" s="67"/>
      <c r="BG830" s="68"/>
      <c r="BI830" s="69">
        <v>0</v>
      </c>
      <c r="BJ830" s="70">
        <v>0</v>
      </c>
      <c r="BK830" s="71">
        <v>0</v>
      </c>
      <c r="BL830" s="71">
        <v>0</v>
      </c>
      <c r="BM830" s="71">
        <v>0</v>
      </c>
      <c r="BN830" s="72">
        <v>0</v>
      </c>
      <c r="BO830" s="151" t="e">
        <f t="shared" si="53"/>
        <v>#DIV/0!</v>
      </c>
      <c r="BP830" s="151" t="e">
        <f t="shared" si="54"/>
        <v>#DIV/0!</v>
      </c>
      <c r="BQ830" s="71">
        <v>0</v>
      </c>
      <c r="BR830" s="71">
        <v>0</v>
      </c>
      <c r="BS830" s="71">
        <v>0</v>
      </c>
      <c r="BT830" s="72">
        <v>0</v>
      </c>
      <c r="BU830" s="73"/>
      <c r="BV830" s="73"/>
    </row>
    <row r="831" ht="30" customHeight="1" spans="1:75 16331:16349">
      <c r="A831" s="55">
        <v>0</v>
      </c>
      <c r="B831" s="56">
        <v>0</v>
      </c>
      <c r="C831" s="57">
        <v>0</v>
      </c>
      <c r="E831" s="88"/>
      <c r="F831" s="59" t="e">
        <f>VLOOKUP(E831,[1]库存!$B$1:$C$65536,2,FALSE)</f>
        <v>#N/A</v>
      </c>
      <c r="G831" s="59" t="e">
        <v>#N/A</v>
      </c>
      <c r="H831" s="89"/>
      <c r="I831" s="88"/>
      <c r="J831" s="90"/>
      <c r="K831" s="61"/>
      <c r="L831" s="62">
        <v>0</v>
      </c>
      <c r="M831" s="63">
        <v>0</v>
      </c>
      <c r="N831" s="64">
        <v>0</v>
      </c>
      <c r="O831" s="62">
        <v>0</v>
      </c>
      <c r="P831" s="65">
        <f t="shared" si="52"/>
        <v>0</v>
      </c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6"/>
      <c r="BB831" s="66"/>
      <c r="BC831" s="66"/>
      <c r="BD831" s="66"/>
      <c r="BE831" s="67"/>
      <c r="BF831" s="67"/>
      <c r="BG831" s="68"/>
      <c r="BI831" s="69">
        <v>0</v>
      </c>
      <c r="BJ831" s="70">
        <v>0</v>
      </c>
      <c r="BK831" s="71">
        <v>0</v>
      </c>
      <c r="BL831" s="71">
        <v>0</v>
      </c>
      <c r="BM831" s="71">
        <v>0</v>
      </c>
      <c r="BN831" s="72">
        <v>0</v>
      </c>
      <c r="BO831" s="151" t="e">
        <f t="shared" si="53"/>
        <v>#DIV/0!</v>
      </c>
      <c r="BP831" s="151" t="e">
        <f t="shared" si="54"/>
        <v>#DIV/0!</v>
      </c>
      <c r="BQ831" s="71">
        <v>0</v>
      </c>
      <c r="BR831" s="71">
        <v>0</v>
      </c>
      <c r="BS831" s="71">
        <v>0</v>
      </c>
      <c r="BT831" s="72">
        <v>0</v>
      </c>
      <c r="BU831" s="73"/>
      <c r="BV831" s="73"/>
    </row>
    <row r="832" ht="30" customHeight="1" spans="1:75 16331:16349">
      <c r="A832" s="55" t="s">
        <v>211</v>
      </c>
      <c r="B832" s="56" t="s">
        <v>1057</v>
      </c>
      <c r="C832" s="57" t="s">
        <v>1072</v>
      </c>
      <c r="D832" s="91" t="s">
        <v>1413</v>
      </c>
      <c r="E832" s="91" t="s">
        <v>1414</v>
      </c>
      <c r="F832" s="91" t="str">
        <f>VLOOKUP(E832,[1]库存!$B$1:$C$65536,2,FALSE)</f>
        <v>SQHB-1 SAB LH A状态</v>
      </c>
      <c r="G832" s="91" t="s">
        <v>1415</v>
      </c>
      <c r="H832" s="91" t="s">
        <v>1416</v>
      </c>
      <c r="I832" s="91" t="s">
        <v>836</v>
      </c>
      <c r="J832" s="63"/>
      <c r="K832" s="61"/>
      <c r="L832" s="62">
        <v>0</v>
      </c>
      <c r="M832" s="63">
        <v>1600</v>
      </c>
      <c r="N832" s="64">
        <v>11</v>
      </c>
      <c r="O832" s="62">
        <v>2</v>
      </c>
      <c r="P832" s="65">
        <f t="shared" si="52"/>
        <v>0</v>
      </c>
      <c r="Q832" s="66"/>
      <c r="R832" s="66">
        <v>2000</v>
      </c>
      <c r="S832" s="66"/>
      <c r="T832" s="66"/>
      <c r="U832" s="66"/>
      <c r="V832" s="66"/>
      <c r="W832" s="66"/>
      <c r="X832" s="66"/>
      <c r="Y832" s="66"/>
      <c r="Z832" s="66"/>
      <c r="AA832" s="66">
        <v>2100</v>
      </c>
      <c r="AB832" s="66">
        <v>2100</v>
      </c>
      <c r="AC832" s="66">
        <v>2100</v>
      </c>
      <c r="AD832" s="66">
        <v>2100</v>
      </c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  <c r="AS832" s="66"/>
      <c r="AT832" s="66"/>
      <c r="AU832" s="66"/>
      <c r="AV832" s="66"/>
      <c r="AW832" s="66"/>
      <c r="AX832" s="66"/>
      <c r="AY832" s="66"/>
      <c r="AZ832" s="66"/>
      <c r="BA832" s="66"/>
      <c r="BB832" s="66"/>
      <c r="BC832" s="66"/>
      <c r="BD832" s="66"/>
      <c r="BE832" s="67"/>
      <c r="BF832" s="67"/>
      <c r="BG832" s="68"/>
      <c r="BI832" s="69">
        <v>0</v>
      </c>
      <c r="BJ832" s="70">
        <v>0</v>
      </c>
      <c r="BK832" s="71">
        <v>0</v>
      </c>
      <c r="BL832" s="71">
        <v>0</v>
      </c>
      <c r="BM832" s="71">
        <v>0</v>
      </c>
      <c r="BN832" s="72">
        <v>0</v>
      </c>
      <c r="BO832" s="73"/>
      <c r="BP832" s="73"/>
      <c r="BQ832" s="71">
        <v>0</v>
      </c>
      <c r="BR832" s="71">
        <v>0</v>
      </c>
      <c r="BS832" s="71">
        <v>0</v>
      </c>
      <c r="BT832" s="72">
        <v>0</v>
      </c>
      <c r="BU832" s="73"/>
      <c r="BV832" s="73"/>
    </row>
    <row r="833" ht="30" customHeight="1" spans="1:74">
      <c r="A833" s="55">
        <v>0</v>
      </c>
      <c r="B833" s="56">
        <v>0</v>
      </c>
      <c r="C833" s="57">
        <v>0</v>
      </c>
      <c r="D833" s="92"/>
      <c r="E833" s="92"/>
      <c r="F833" s="91" t="e">
        <f>VLOOKUP(E833,[1]库存!$B$1:$C$65536,2,FALSE)</f>
        <v>#N/A</v>
      </c>
      <c r="G833" s="91" t="e">
        <v>#N/A</v>
      </c>
      <c r="H833" s="92"/>
      <c r="I833" s="92"/>
      <c r="J833" s="87"/>
      <c r="K833" s="61"/>
      <c r="L833" s="62">
        <v>0</v>
      </c>
      <c r="M833" s="63">
        <v>0</v>
      </c>
      <c r="N833" s="64">
        <v>0</v>
      </c>
      <c r="O833" s="62">
        <v>0</v>
      </c>
      <c r="P833" s="65">
        <f t="shared" si="52"/>
        <v>0</v>
      </c>
      <c r="Q833" s="66"/>
      <c r="R833" s="66">
        <v>2078</v>
      </c>
      <c r="S833" s="66"/>
      <c r="T833" s="66"/>
      <c r="U833" s="66"/>
      <c r="V833" s="66"/>
      <c r="W833" s="66"/>
      <c r="X833" s="66"/>
      <c r="Y833" s="66"/>
      <c r="Z833" s="66"/>
      <c r="AA833" s="66">
        <v>1767</v>
      </c>
      <c r="AB833" s="66">
        <v>2133</v>
      </c>
      <c r="AC833" s="66">
        <v>1904</v>
      </c>
      <c r="AD833" s="66">
        <v>2154</v>
      </c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  <c r="AS833" s="66"/>
      <c r="AT833" s="66"/>
      <c r="AU833" s="66"/>
      <c r="AV833" s="66"/>
      <c r="AW833" s="66"/>
      <c r="AX833" s="66"/>
      <c r="AY833" s="66"/>
      <c r="AZ833" s="66"/>
      <c r="BA833" s="66"/>
      <c r="BB833" s="66"/>
      <c r="BC833" s="66"/>
      <c r="BD833" s="66"/>
      <c r="BE833" s="67"/>
      <c r="BF833" s="67"/>
      <c r="BG833" s="68"/>
      <c r="BI833" s="69">
        <v>0</v>
      </c>
      <c r="BJ833" s="70">
        <v>0</v>
      </c>
      <c r="BK833" s="71">
        <v>0</v>
      </c>
      <c r="BL833" s="71">
        <v>0</v>
      </c>
      <c r="BM833" s="71">
        <v>0</v>
      </c>
      <c r="BN833" s="72">
        <v>0</v>
      </c>
      <c r="BO833" s="73"/>
      <c r="BP833" s="73"/>
      <c r="BQ833" s="71">
        <v>0</v>
      </c>
      <c r="BR833" s="71">
        <v>0</v>
      </c>
      <c r="BS833" s="71">
        <v>0</v>
      </c>
      <c r="BT833" s="72">
        <v>0</v>
      </c>
      <c r="BU833" s="73"/>
      <c r="BV833" s="73"/>
    </row>
    <row r="834" ht="30" customHeight="1" spans="1:74">
      <c r="A834" s="55" t="s">
        <v>211</v>
      </c>
      <c r="B834" s="56" t="s">
        <v>1057</v>
      </c>
      <c r="C834" s="57" t="s">
        <v>1072</v>
      </c>
      <c r="D834" s="91" t="s">
        <v>1413</v>
      </c>
      <c r="E834" s="91" t="s">
        <v>1417</v>
      </c>
      <c r="F834" s="91" t="str">
        <f>VLOOKUP(E834,[1]库存!$B$1:$C$65536,2,FALSE)</f>
        <v>SQHB-1 SAB RH A状态</v>
      </c>
      <c r="G834" s="91" t="s">
        <v>1418</v>
      </c>
      <c r="H834" s="91" t="s">
        <v>1419</v>
      </c>
      <c r="I834" s="91" t="s">
        <v>836</v>
      </c>
      <c r="J834" s="63"/>
      <c r="K834" s="61"/>
      <c r="L834" s="62">
        <v>0</v>
      </c>
      <c r="M834" s="63">
        <v>1600</v>
      </c>
      <c r="N834" s="64">
        <v>11</v>
      </c>
      <c r="O834" s="62">
        <v>2</v>
      </c>
      <c r="P834" s="65">
        <f t="shared" si="52"/>
        <v>0</v>
      </c>
      <c r="Q834" s="66"/>
      <c r="R834" s="66"/>
      <c r="S834" s="66"/>
      <c r="T834" s="66"/>
      <c r="U834" s="66"/>
      <c r="V834" s="66"/>
      <c r="W834" s="66"/>
      <c r="X834" s="66"/>
      <c r="Y834" s="66" t="s">
        <v>1420</v>
      </c>
      <c r="Z834" s="66">
        <v>2100</v>
      </c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66"/>
      <c r="AR834" s="66"/>
      <c r="AS834" s="66"/>
      <c r="AT834" s="66"/>
      <c r="AU834" s="66"/>
      <c r="AV834" s="66"/>
      <c r="AW834" s="66"/>
      <c r="AX834" s="66"/>
      <c r="AY834" s="66"/>
      <c r="AZ834" s="66"/>
      <c r="BA834" s="66"/>
      <c r="BB834" s="66"/>
      <c r="BC834" s="66"/>
      <c r="BD834" s="66"/>
      <c r="BE834" s="67"/>
      <c r="BF834" s="67"/>
      <c r="BG834" s="68"/>
      <c r="BI834" s="69">
        <v>0</v>
      </c>
      <c r="BJ834" s="70">
        <v>0</v>
      </c>
      <c r="BK834" s="71">
        <v>0</v>
      </c>
      <c r="BL834" s="71">
        <v>0</v>
      </c>
      <c r="BM834" s="71">
        <v>0</v>
      </c>
      <c r="BN834" s="72">
        <v>0</v>
      </c>
      <c r="BO834" s="73"/>
      <c r="BP834" s="73"/>
      <c r="BQ834" s="71">
        <v>0</v>
      </c>
      <c r="BR834" s="71">
        <v>0</v>
      </c>
      <c r="BS834" s="71">
        <v>0</v>
      </c>
      <c r="BT834" s="72">
        <v>0</v>
      </c>
      <c r="BU834" s="73"/>
      <c r="BV834" s="73"/>
    </row>
    <row r="835" ht="30" customHeight="1" spans="1:74">
      <c r="A835" s="55">
        <v>0</v>
      </c>
      <c r="B835" s="56">
        <v>0</v>
      </c>
      <c r="C835" s="57">
        <v>0</v>
      </c>
      <c r="D835" s="92"/>
      <c r="E835" s="92"/>
      <c r="F835" s="91" t="e">
        <f>VLOOKUP(E835,[1]库存!$B$1:$C$65536,2,FALSE)</f>
        <v>#N/A</v>
      </c>
      <c r="G835" s="91" t="e">
        <v>#N/A</v>
      </c>
      <c r="H835" s="92"/>
      <c r="I835" s="92"/>
      <c r="J835" s="87"/>
      <c r="K835" s="61"/>
      <c r="L835" s="62">
        <v>0</v>
      </c>
      <c r="M835" s="63">
        <v>0</v>
      </c>
      <c r="N835" s="64">
        <v>0</v>
      </c>
      <c r="O835" s="62">
        <v>0</v>
      </c>
      <c r="P835" s="65">
        <f t="shared" si="52"/>
        <v>0</v>
      </c>
      <c r="Q835" s="66"/>
      <c r="R835" s="66"/>
      <c r="S835" s="66"/>
      <c r="T835" s="66"/>
      <c r="U835" s="66"/>
      <c r="V835" s="66"/>
      <c r="W835" s="66"/>
      <c r="X835" s="66"/>
      <c r="Y835" s="66">
        <v>1583</v>
      </c>
      <c r="Z835" s="66">
        <v>2127</v>
      </c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6"/>
      <c r="AS835" s="66"/>
      <c r="AT835" s="66"/>
      <c r="AU835" s="66"/>
      <c r="AV835" s="66"/>
      <c r="AW835" s="66"/>
      <c r="AX835" s="66"/>
      <c r="AY835" s="66"/>
      <c r="AZ835" s="66"/>
      <c r="BA835" s="66"/>
      <c r="BB835" s="66"/>
      <c r="BC835" s="66"/>
      <c r="BD835" s="66"/>
      <c r="BE835" s="67"/>
      <c r="BF835" s="67"/>
      <c r="BG835" s="68"/>
      <c r="BI835" s="69">
        <v>0</v>
      </c>
      <c r="BJ835" s="70">
        <v>0</v>
      </c>
      <c r="BK835" s="71">
        <v>0</v>
      </c>
      <c r="BL835" s="71">
        <v>0</v>
      </c>
      <c r="BM835" s="71">
        <v>0</v>
      </c>
      <c r="BN835" s="72">
        <v>0</v>
      </c>
      <c r="BO835" s="73"/>
      <c r="BP835" s="73"/>
      <c r="BQ835" s="71">
        <v>0</v>
      </c>
      <c r="BR835" s="71">
        <v>0</v>
      </c>
      <c r="BS835" s="71">
        <v>0</v>
      </c>
      <c r="BT835" s="72">
        <v>0</v>
      </c>
      <c r="BU835" s="73"/>
      <c r="BV835" s="73"/>
    </row>
    <row r="836" ht="30" customHeight="1" spans="1:74">
      <c r="A836" s="55" t="s">
        <v>211</v>
      </c>
      <c r="B836" s="56" t="s">
        <v>1057</v>
      </c>
      <c r="C836" s="57" t="s">
        <v>1072</v>
      </c>
      <c r="D836" s="91" t="s">
        <v>1413</v>
      </c>
      <c r="E836" s="91" t="s">
        <v>1421</v>
      </c>
      <c r="F836" s="91" t="str">
        <f>VLOOKUP(E836,[1]库存!$B$1:$C$65536,2,FALSE)</f>
        <v>EKEA SAB LH D状态</v>
      </c>
      <c r="G836" s="91" t="s">
        <v>1422</v>
      </c>
      <c r="H836" s="91" t="s">
        <v>1423</v>
      </c>
      <c r="I836" s="91" t="s">
        <v>651</v>
      </c>
      <c r="J836" s="64"/>
      <c r="K836" s="61"/>
      <c r="L836" s="62">
        <v>2</v>
      </c>
      <c r="M836" s="63">
        <v>1700</v>
      </c>
      <c r="N836" s="64">
        <v>11</v>
      </c>
      <c r="O836" s="62">
        <v>2</v>
      </c>
      <c r="P836" s="65">
        <f t="shared" si="52"/>
        <v>0</v>
      </c>
      <c r="Q836" s="66"/>
      <c r="R836" s="66"/>
      <c r="S836" s="66"/>
      <c r="T836" s="66">
        <v>2100</v>
      </c>
      <c r="U836" s="66"/>
      <c r="V836" s="66"/>
      <c r="W836" s="66"/>
      <c r="X836" s="66">
        <v>2100</v>
      </c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  <c r="AS836" s="66"/>
      <c r="AT836" s="66"/>
      <c r="AU836" s="66"/>
      <c r="AV836" s="66"/>
      <c r="AW836" s="66"/>
      <c r="AX836" s="66"/>
      <c r="AY836" s="66"/>
      <c r="AZ836" s="66"/>
      <c r="BA836" s="66"/>
      <c r="BB836" s="66"/>
      <c r="BC836" s="66"/>
      <c r="BD836" s="66"/>
      <c r="BE836" s="67"/>
      <c r="BF836" s="67"/>
      <c r="BG836" s="68"/>
      <c r="BI836" s="69">
        <v>0</v>
      </c>
      <c r="BJ836" s="70">
        <v>0</v>
      </c>
      <c r="BK836" s="71">
        <v>0</v>
      </c>
      <c r="BL836" s="71">
        <v>0</v>
      </c>
      <c r="BM836" s="71">
        <v>0</v>
      </c>
      <c r="BN836" s="72">
        <v>0</v>
      </c>
      <c r="BO836" s="151" t="e">
        <f t="shared" ref="BO836:BO899" si="55">(BK836+BL836)/BJ836</f>
        <v>#DIV/0!</v>
      </c>
      <c r="BP836" s="151" t="e">
        <f t="shared" ref="BP836:BP899" si="56">BM836/BJ836</f>
        <v>#DIV/0!</v>
      </c>
      <c r="BQ836" s="71">
        <v>0</v>
      </c>
      <c r="BR836" s="71">
        <v>0</v>
      </c>
      <c r="BS836" s="71">
        <v>0</v>
      </c>
      <c r="BT836" s="72">
        <v>0</v>
      </c>
      <c r="BU836" s="73"/>
      <c r="BV836" s="73"/>
    </row>
    <row r="837" ht="30" customHeight="1" spans="1:74">
      <c r="A837" s="55">
        <v>0</v>
      </c>
      <c r="B837" s="56">
        <v>0</v>
      </c>
      <c r="C837" s="57">
        <v>0</v>
      </c>
      <c r="D837" s="92"/>
      <c r="E837" s="92"/>
      <c r="F837" s="91" t="e">
        <f>VLOOKUP(E837,[1]库存!$B$1:$C$65536,2,FALSE)</f>
        <v>#N/A</v>
      </c>
      <c r="G837" s="91" t="e">
        <v>#N/A</v>
      </c>
      <c r="H837" s="92"/>
      <c r="I837" s="92"/>
      <c r="J837" s="93"/>
      <c r="K837" s="61"/>
      <c r="L837" s="62">
        <v>0</v>
      </c>
      <c r="M837" s="63">
        <v>0</v>
      </c>
      <c r="N837" s="64">
        <v>0</v>
      </c>
      <c r="O837" s="62">
        <v>0</v>
      </c>
      <c r="P837" s="65">
        <f t="shared" si="52"/>
        <v>0</v>
      </c>
      <c r="Q837" s="66"/>
      <c r="R837" s="66"/>
      <c r="S837" s="66"/>
      <c r="T837" s="66">
        <v>2131</v>
      </c>
      <c r="U837" s="66"/>
      <c r="V837" s="66"/>
      <c r="W837" s="66"/>
      <c r="X837" s="66">
        <v>2149</v>
      </c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  <c r="AR837" s="66"/>
      <c r="AS837" s="66"/>
      <c r="AT837" s="66"/>
      <c r="AU837" s="66"/>
      <c r="AV837" s="66"/>
      <c r="AW837" s="66"/>
      <c r="AX837" s="66"/>
      <c r="AY837" s="66"/>
      <c r="AZ837" s="66"/>
      <c r="BA837" s="66"/>
      <c r="BB837" s="66"/>
      <c r="BC837" s="66"/>
      <c r="BD837" s="66"/>
      <c r="BE837" s="67"/>
      <c r="BF837" s="67"/>
      <c r="BG837" s="68"/>
      <c r="BI837" s="69">
        <v>0</v>
      </c>
      <c r="BJ837" s="70">
        <v>0</v>
      </c>
      <c r="BK837" s="71">
        <v>0</v>
      </c>
      <c r="BL837" s="71">
        <v>0</v>
      </c>
      <c r="BM837" s="71">
        <v>0</v>
      </c>
      <c r="BN837" s="72">
        <v>0</v>
      </c>
      <c r="BO837" s="151" t="e">
        <f t="shared" si="55"/>
        <v>#DIV/0!</v>
      </c>
      <c r="BP837" s="151" t="e">
        <f t="shared" si="56"/>
        <v>#DIV/0!</v>
      </c>
      <c r="BQ837" s="71">
        <v>0</v>
      </c>
      <c r="BR837" s="71">
        <v>0</v>
      </c>
      <c r="BS837" s="71">
        <v>0</v>
      </c>
      <c r="BT837" s="72">
        <v>0</v>
      </c>
      <c r="BU837" s="73"/>
      <c r="BV837" s="73"/>
    </row>
    <row r="838" ht="30" customHeight="1" spans="1:74">
      <c r="A838" s="55" t="s">
        <v>211</v>
      </c>
      <c r="B838" s="56" t="s">
        <v>1057</v>
      </c>
      <c r="C838" s="57" t="s">
        <v>1072</v>
      </c>
      <c r="D838" s="91" t="s">
        <v>1413</v>
      </c>
      <c r="E838" s="91" t="s">
        <v>1424</v>
      </c>
      <c r="F838" s="91" t="str">
        <f>VLOOKUP(E838,[1]库存!$B$1:$C$65536,2,FALSE)</f>
        <v>EKEA SAB RH D状态</v>
      </c>
      <c r="G838" s="91" t="s">
        <v>1425</v>
      </c>
      <c r="H838" s="91" t="s">
        <v>1426</v>
      </c>
      <c r="I838" s="91" t="s">
        <v>651</v>
      </c>
      <c r="J838" s="64"/>
      <c r="K838" s="61"/>
      <c r="L838" s="62">
        <v>2</v>
      </c>
      <c r="M838" s="63">
        <v>1700</v>
      </c>
      <c r="N838" s="64">
        <v>11</v>
      </c>
      <c r="O838" s="62">
        <v>2</v>
      </c>
      <c r="P838" s="65">
        <f t="shared" ref="P838:P901" si="57">SUM(AG838:AJ838)</f>
        <v>0</v>
      </c>
      <c r="Q838" s="66"/>
      <c r="R838" s="66"/>
      <c r="S838" s="66"/>
      <c r="T838" s="66"/>
      <c r="U838" s="66"/>
      <c r="V838" s="66">
        <v>2100</v>
      </c>
      <c r="W838" s="66">
        <v>2100</v>
      </c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66"/>
      <c r="AR838" s="66"/>
      <c r="AS838" s="66"/>
      <c r="AT838" s="66"/>
      <c r="AU838" s="66"/>
      <c r="AV838" s="66"/>
      <c r="AW838" s="66"/>
      <c r="AX838" s="66"/>
      <c r="AY838" s="66"/>
      <c r="AZ838" s="66"/>
      <c r="BA838" s="66"/>
      <c r="BB838" s="66"/>
      <c r="BC838" s="66"/>
      <c r="BD838" s="66"/>
      <c r="BE838" s="67"/>
      <c r="BF838" s="67"/>
      <c r="BG838" s="68"/>
      <c r="BI838" s="69">
        <v>0</v>
      </c>
      <c r="BJ838" s="70">
        <v>0</v>
      </c>
      <c r="BK838" s="71">
        <v>0</v>
      </c>
      <c r="BL838" s="71">
        <v>0</v>
      </c>
      <c r="BM838" s="71">
        <v>0</v>
      </c>
      <c r="BN838" s="72">
        <v>0</v>
      </c>
      <c r="BO838" s="151" t="e">
        <f t="shared" si="55"/>
        <v>#DIV/0!</v>
      </c>
      <c r="BP838" s="151" t="e">
        <f t="shared" si="56"/>
        <v>#DIV/0!</v>
      </c>
      <c r="BQ838" s="71">
        <v>0</v>
      </c>
      <c r="BR838" s="71">
        <v>0</v>
      </c>
      <c r="BS838" s="71">
        <v>0</v>
      </c>
      <c r="BT838" s="72">
        <v>0</v>
      </c>
      <c r="BU838" s="73"/>
      <c r="BV838" s="73"/>
    </row>
    <row r="839" ht="30" customHeight="1" spans="1:74">
      <c r="A839" s="55">
        <v>0</v>
      </c>
      <c r="B839" s="56">
        <v>0</v>
      </c>
      <c r="C839" s="57">
        <v>0</v>
      </c>
      <c r="D839" s="92"/>
      <c r="E839" s="92"/>
      <c r="F839" s="91" t="e">
        <f>VLOOKUP(E839,[1]库存!$B$1:$C$65536,2,FALSE)</f>
        <v>#N/A</v>
      </c>
      <c r="G839" s="91" t="e">
        <v>#N/A</v>
      </c>
      <c r="H839" s="92"/>
      <c r="I839" s="92"/>
      <c r="J839" s="93"/>
      <c r="K839" s="61"/>
      <c r="L839" s="62">
        <v>0</v>
      </c>
      <c r="M839" s="63">
        <v>0</v>
      </c>
      <c r="N839" s="64">
        <v>0</v>
      </c>
      <c r="O839" s="62">
        <v>0</v>
      </c>
      <c r="P839" s="65">
        <f t="shared" si="57"/>
        <v>0</v>
      </c>
      <c r="Q839" s="66"/>
      <c r="R839" s="66"/>
      <c r="S839" s="66"/>
      <c r="T839" s="66"/>
      <c r="U839" s="66"/>
      <c r="V839" s="66">
        <v>2137</v>
      </c>
      <c r="W839" s="66">
        <v>1881</v>
      </c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  <c r="AR839" s="66"/>
      <c r="AS839" s="66"/>
      <c r="AT839" s="66"/>
      <c r="AU839" s="66"/>
      <c r="AV839" s="66"/>
      <c r="AW839" s="66"/>
      <c r="AX839" s="66"/>
      <c r="AY839" s="66"/>
      <c r="AZ839" s="66"/>
      <c r="BA839" s="66"/>
      <c r="BB839" s="66"/>
      <c r="BC839" s="66"/>
      <c r="BD839" s="66"/>
      <c r="BE839" s="67"/>
      <c r="BF839" s="67"/>
      <c r="BG839" s="68"/>
      <c r="BI839" s="69">
        <v>0</v>
      </c>
      <c r="BJ839" s="70">
        <v>0</v>
      </c>
      <c r="BK839" s="71">
        <v>0</v>
      </c>
      <c r="BL839" s="71">
        <v>0</v>
      </c>
      <c r="BM839" s="71">
        <v>0</v>
      </c>
      <c r="BN839" s="72">
        <v>0</v>
      </c>
      <c r="BO839" s="151" t="e">
        <f t="shared" si="55"/>
        <v>#DIV/0!</v>
      </c>
      <c r="BP839" s="151" t="e">
        <f t="shared" si="56"/>
        <v>#DIV/0!</v>
      </c>
      <c r="BQ839" s="71">
        <v>0</v>
      </c>
      <c r="BR839" s="71">
        <v>0</v>
      </c>
      <c r="BS839" s="71">
        <v>0</v>
      </c>
      <c r="BT839" s="72">
        <v>0</v>
      </c>
      <c r="BU839" s="73"/>
      <c r="BV839" s="73"/>
    </row>
    <row r="840" ht="30" customHeight="1" spans="1:74">
      <c r="A840" s="55" t="s">
        <v>211</v>
      </c>
      <c r="B840" s="56" t="s">
        <v>1057</v>
      </c>
      <c r="C840" s="57" t="s">
        <v>1072</v>
      </c>
      <c r="D840" s="91" t="s">
        <v>1413</v>
      </c>
      <c r="E840" s="91" t="s">
        <v>1427</v>
      </c>
      <c r="F840" s="91" t="str">
        <f>VLOOKUP(E840,[1]库存!$B$1:$C$65536,2,FALSE)</f>
        <v>HA3H SAB LH A状态</v>
      </c>
      <c r="G840" s="91" t="s">
        <v>1428</v>
      </c>
      <c r="H840" s="91" t="s">
        <v>1429</v>
      </c>
      <c r="I840" s="91" t="s">
        <v>836</v>
      </c>
      <c r="J840" s="63"/>
      <c r="K840" s="61"/>
      <c r="L840" s="62">
        <v>2</v>
      </c>
      <c r="M840" s="63">
        <v>1600</v>
      </c>
      <c r="N840" s="64">
        <v>11</v>
      </c>
      <c r="O840" s="62">
        <v>2</v>
      </c>
      <c r="P840" s="65">
        <f t="shared" si="57"/>
        <v>0</v>
      </c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  <c r="AR840" s="66"/>
      <c r="AS840" s="66"/>
      <c r="AT840" s="66"/>
      <c r="AU840" s="66"/>
      <c r="AV840" s="66"/>
      <c r="AW840" s="66"/>
      <c r="AX840" s="66"/>
      <c r="AY840" s="66"/>
      <c r="AZ840" s="66"/>
      <c r="BA840" s="66"/>
      <c r="BB840" s="66"/>
      <c r="BC840" s="66"/>
      <c r="BD840" s="66"/>
      <c r="BE840" s="67"/>
      <c r="BF840" s="67"/>
      <c r="BG840" s="68"/>
      <c r="BI840" s="69">
        <v>0</v>
      </c>
      <c r="BJ840" s="70">
        <v>0</v>
      </c>
      <c r="BK840" s="71">
        <v>0</v>
      </c>
      <c r="BL840" s="71">
        <v>0</v>
      </c>
      <c r="BM840" s="71">
        <v>0</v>
      </c>
      <c r="BN840" s="72">
        <v>0</v>
      </c>
      <c r="BO840" s="151" t="e">
        <f t="shared" si="55"/>
        <v>#DIV/0!</v>
      </c>
      <c r="BP840" s="151" t="e">
        <f t="shared" si="56"/>
        <v>#DIV/0!</v>
      </c>
      <c r="BQ840" s="71">
        <v>0</v>
      </c>
      <c r="BR840" s="71">
        <v>0</v>
      </c>
      <c r="BS840" s="71">
        <v>0</v>
      </c>
      <c r="BT840" s="72">
        <v>0</v>
      </c>
      <c r="BU840" s="73"/>
      <c r="BV840" s="73"/>
    </row>
    <row r="841" ht="30" customHeight="1" spans="1:74">
      <c r="A841" s="55">
        <v>0</v>
      </c>
      <c r="B841" s="56">
        <v>0</v>
      </c>
      <c r="C841" s="57">
        <v>0</v>
      </c>
      <c r="D841" s="92"/>
      <c r="E841" s="92"/>
      <c r="F841" s="91" t="e">
        <f>VLOOKUP(E841,[1]库存!$B$1:$C$65536,2,FALSE)</f>
        <v>#N/A</v>
      </c>
      <c r="G841" s="91" t="e">
        <v>#N/A</v>
      </c>
      <c r="H841" s="92"/>
      <c r="I841" s="92"/>
      <c r="J841" s="87"/>
      <c r="K841" s="61"/>
      <c r="L841" s="62">
        <v>0</v>
      </c>
      <c r="M841" s="63">
        <v>0</v>
      </c>
      <c r="N841" s="64">
        <v>0</v>
      </c>
      <c r="O841" s="62">
        <v>0</v>
      </c>
      <c r="P841" s="65">
        <f t="shared" si="57"/>
        <v>0</v>
      </c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  <c r="AS841" s="66"/>
      <c r="AT841" s="66"/>
      <c r="AU841" s="66"/>
      <c r="AV841" s="66"/>
      <c r="AW841" s="66"/>
      <c r="AX841" s="66"/>
      <c r="AY841" s="66"/>
      <c r="AZ841" s="66"/>
      <c r="BA841" s="66"/>
      <c r="BB841" s="66"/>
      <c r="BC841" s="66"/>
      <c r="BD841" s="66"/>
      <c r="BE841" s="67"/>
      <c r="BF841" s="67"/>
      <c r="BG841" s="68"/>
      <c r="BI841" s="69">
        <v>0</v>
      </c>
      <c r="BJ841" s="70">
        <v>0</v>
      </c>
      <c r="BK841" s="71">
        <v>0</v>
      </c>
      <c r="BL841" s="71">
        <v>0</v>
      </c>
      <c r="BM841" s="71">
        <v>0</v>
      </c>
      <c r="BN841" s="72">
        <v>0</v>
      </c>
      <c r="BO841" s="151" t="e">
        <f t="shared" si="55"/>
        <v>#DIV/0!</v>
      </c>
      <c r="BP841" s="151" t="e">
        <f t="shared" si="56"/>
        <v>#DIV/0!</v>
      </c>
      <c r="BQ841" s="71">
        <v>0</v>
      </c>
      <c r="BR841" s="71">
        <v>0</v>
      </c>
      <c r="BS841" s="71">
        <v>0</v>
      </c>
      <c r="BT841" s="72">
        <v>0</v>
      </c>
      <c r="BU841" s="73"/>
      <c r="BV841" s="73"/>
    </row>
    <row r="842" ht="30" customHeight="1" spans="1:74">
      <c r="A842" s="55" t="s">
        <v>211</v>
      </c>
      <c r="B842" s="56" t="s">
        <v>1057</v>
      </c>
      <c r="C842" s="57" t="s">
        <v>1072</v>
      </c>
      <c r="D842" s="91" t="s">
        <v>1413</v>
      </c>
      <c r="E842" s="91" t="s">
        <v>1430</v>
      </c>
      <c r="F842" s="91" t="str">
        <f>VLOOKUP(E842,[1]库存!$B$1:$C$65536,2,FALSE)</f>
        <v>HA3H SAB RH A状态</v>
      </c>
      <c r="G842" s="91" t="s">
        <v>1431</v>
      </c>
      <c r="H842" s="91" t="s">
        <v>1432</v>
      </c>
      <c r="I842" s="91" t="s">
        <v>836</v>
      </c>
      <c r="J842" s="63"/>
      <c r="K842" s="61"/>
      <c r="L842" s="62">
        <v>2</v>
      </c>
      <c r="M842" s="63">
        <v>1600</v>
      </c>
      <c r="N842" s="64">
        <v>11</v>
      </c>
      <c r="O842" s="62">
        <v>2</v>
      </c>
      <c r="P842" s="65">
        <f t="shared" si="57"/>
        <v>0</v>
      </c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  <c r="AR842" s="66"/>
      <c r="AS842" s="66"/>
      <c r="AT842" s="66"/>
      <c r="AU842" s="66"/>
      <c r="AV842" s="66"/>
      <c r="AW842" s="66"/>
      <c r="AX842" s="66"/>
      <c r="AY842" s="66"/>
      <c r="AZ842" s="66"/>
      <c r="BA842" s="66"/>
      <c r="BB842" s="66"/>
      <c r="BC842" s="66"/>
      <c r="BD842" s="66"/>
      <c r="BE842" s="67"/>
      <c r="BF842" s="67"/>
      <c r="BG842" s="68"/>
      <c r="BI842" s="69">
        <v>0</v>
      </c>
      <c r="BJ842" s="70">
        <v>0</v>
      </c>
      <c r="BK842" s="71">
        <v>0</v>
      </c>
      <c r="BL842" s="71">
        <v>0</v>
      </c>
      <c r="BM842" s="71">
        <v>0</v>
      </c>
      <c r="BN842" s="72">
        <v>0</v>
      </c>
      <c r="BO842" s="151" t="e">
        <f t="shared" si="55"/>
        <v>#DIV/0!</v>
      </c>
      <c r="BP842" s="151" t="e">
        <f t="shared" si="56"/>
        <v>#DIV/0!</v>
      </c>
      <c r="BQ842" s="71">
        <v>0</v>
      </c>
      <c r="BR842" s="71">
        <v>0</v>
      </c>
      <c r="BS842" s="71">
        <v>0</v>
      </c>
      <c r="BT842" s="72">
        <v>0</v>
      </c>
      <c r="BU842" s="73"/>
      <c r="BV842" s="73"/>
    </row>
    <row r="843" ht="30" customHeight="1" spans="1:74">
      <c r="A843" s="55">
        <v>0</v>
      </c>
      <c r="B843" s="56">
        <v>0</v>
      </c>
      <c r="C843" s="57">
        <v>0</v>
      </c>
      <c r="D843" s="92"/>
      <c r="E843" s="92"/>
      <c r="F843" s="91" t="e">
        <f>VLOOKUP(E843,[1]库存!$B$1:$C$65536,2,FALSE)</f>
        <v>#N/A</v>
      </c>
      <c r="G843" s="91" t="e">
        <v>#N/A</v>
      </c>
      <c r="H843" s="92"/>
      <c r="I843" s="92"/>
      <c r="J843" s="87"/>
      <c r="K843" s="61"/>
      <c r="L843" s="62">
        <v>0</v>
      </c>
      <c r="M843" s="63">
        <v>0</v>
      </c>
      <c r="N843" s="64">
        <v>0</v>
      </c>
      <c r="O843" s="62">
        <v>0</v>
      </c>
      <c r="P843" s="65">
        <f t="shared" si="57"/>
        <v>0</v>
      </c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  <c r="AR843" s="66"/>
      <c r="AS843" s="66"/>
      <c r="AT843" s="66"/>
      <c r="AU843" s="66"/>
      <c r="AV843" s="66"/>
      <c r="AW843" s="66"/>
      <c r="AX843" s="66"/>
      <c r="AY843" s="66"/>
      <c r="AZ843" s="66"/>
      <c r="BA843" s="66"/>
      <c r="BB843" s="66"/>
      <c r="BC843" s="66"/>
      <c r="BD843" s="66"/>
      <c r="BE843" s="67"/>
      <c r="BF843" s="67"/>
      <c r="BG843" s="68"/>
      <c r="BI843" s="69">
        <v>0</v>
      </c>
      <c r="BJ843" s="70">
        <v>0</v>
      </c>
      <c r="BK843" s="71">
        <v>0</v>
      </c>
      <c r="BL843" s="71">
        <v>0</v>
      </c>
      <c r="BM843" s="71">
        <v>0</v>
      </c>
      <c r="BN843" s="72">
        <v>0</v>
      </c>
      <c r="BO843" s="151" t="e">
        <f t="shared" si="55"/>
        <v>#DIV/0!</v>
      </c>
      <c r="BP843" s="151" t="e">
        <f t="shared" si="56"/>
        <v>#DIV/0!</v>
      </c>
      <c r="BQ843" s="71">
        <v>0</v>
      </c>
      <c r="BR843" s="71">
        <v>0</v>
      </c>
      <c r="BS843" s="71">
        <v>0</v>
      </c>
      <c r="BT843" s="72">
        <v>0</v>
      </c>
      <c r="BU843" s="73"/>
      <c r="BV843" s="73"/>
    </row>
    <row r="844" ht="30" customHeight="1" spans="1:74">
      <c r="A844" s="55">
        <v>0</v>
      </c>
      <c r="B844" s="56" t="s">
        <v>1057</v>
      </c>
      <c r="C844" s="57" t="s">
        <v>1072</v>
      </c>
      <c r="D844" s="59" t="s">
        <v>1413</v>
      </c>
      <c r="E844" s="59" t="s">
        <v>1433</v>
      </c>
      <c r="F844" s="59" t="e">
        <f>VLOOKUP(E844,[1]库存!$B$1:$C$65536,2,FALSE)</f>
        <v>#N/A</v>
      </c>
      <c r="G844" s="59" t="e">
        <v>#N/A</v>
      </c>
      <c r="H844" s="59" t="s">
        <v>1434</v>
      </c>
      <c r="I844" s="59"/>
      <c r="J844" s="94" t="s">
        <v>1435</v>
      </c>
      <c r="K844" s="61"/>
      <c r="L844" s="62">
        <v>2</v>
      </c>
      <c r="M844" s="63">
        <v>1600</v>
      </c>
      <c r="N844" s="64">
        <v>11</v>
      </c>
      <c r="O844" s="62">
        <v>2</v>
      </c>
      <c r="P844" s="65">
        <f t="shared" si="57"/>
        <v>0</v>
      </c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66"/>
      <c r="AU844" s="66"/>
      <c r="AV844" s="66"/>
      <c r="AW844" s="66"/>
      <c r="AX844" s="66"/>
      <c r="AY844" s="66"/>
      <c r="AZ844" s="66"/>
      <c r="BA844" s="66"/>
      <c r="BB844" s="66"/>
      <c r="BC844" s="66"/>
      <c r="BD844" s="66"/>
      <c r="BE844" s="67"/>
      <c r="BF844" s="67"/>
      <c r="BG844" s="68"/>
      <c r="BI844" s="69">
        <v>0</v>
      </c>
      <c r="BJ844" s="70">
        <v>0</v>
      </c>
      <c r="BK844" s="71">
        <v>0</v>
      </c>
      <c r="BL844" s="71">
        <v>0</v>
      </c>
      <c r="BM844" s="71">
        <v>0</v>
      </c>
      <c r="BN844" s="72">
        <v>0</v>
      </c>
      <c r="BO844" s="151" t="e">
        <f t="shared" si="55"/>
        <v>#DIV/0!</v>
      </c>
      <c r="BP844" s="151" t="e">
        <f t="shared" si="56"/>
        <v>#DIV/0!</v>
      </c>
      <c r="BQ844" s="71">
        <v>0</v>
      </c>
      <c r="BR844" s="71">
        <v>0</v>
      </c>
      <c r="BS844" s="71">
        <v>0</v>
      </c>
      <c r="BT844" s="72">
        <v>0</v>
      </c>
      <c r="BU844" s="73"/>
      <c r="BV844" s="73"/>
    </row>
    <row r="845" ht="30" customHeight="1" spans="1:74">
      <c r="A845" s="55">
        <v>0</v>
      </c>
      <c r="B845" s="56">
        <v>0</v>
      </c>
      <c r="C845" s="57">
        <v>0</v>
      </c>
      <c r="D845" s="74"/>
      <c r="E845" s="74"/>
      <c r="F845" s="59" t="e">
        <f>VLOOKUP(E845,[1]库存!$B$1:$C$65536,2,FALSE)</f>
        <v>#N/A</v>
      </c>
      <c r="G845" s="59" t="e">
        <v>#N/A</v>
      </c>
      <c r="H845" s="74"/>
      <c r="I845" s="74"/>
      <c r="J845" s="95"/>
      <c r="K845" s="61"/>
      <c r="L845" s="62">
        <v>0</v>
      </c>
      <c r="M845" s="63">
        <v>0</v>
      </c>
      <c r="N845" s="64">
        <v>0</v>
      </c>
      <c r="O845" s="62">
        <v>0</v>
      </c>
      <c r="P845" s="65">
        <f t="shared" si="57"/>
        <v>0</v>
      </c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  <c r="AS845" s="66"/>
      <c r="AT845" s="66"/>
      <c r="AU845" s="66"/>
      <c r="AV845" s="66"/>
      <c r="AW845" s="66"/>
      <c r="AX845" s="66"/>
      <c r="AY845" s="66"/>
      <c r="AZ845" s="66"/>
      <c r="BA845" s="66"/>
      <c r="BB845" s="66"/>
      <c r="BC845" s="66"/>
      <c r="BD845" s="66"/>
      <c r="BE845" s="67"/>
      <c r="BF845" s="67"/>
      <c r="BG845" s="68"/>
      <c r="BI845" s="69">
        <v>0</v>
      </c>
      <c r="BJ845" s="70">
        <v>0</v>
      </c>
      <c r="BK845" s="71">
        <v>0</v>
      </c>
      <c r="BL845" s="71">
        <v>0</v>
      </c>
      <c r="BM845" s="71">
        <v>0</v>
      </c>
      <c r="BN845" s="72">
        <v>0</v>
      </c>
      <c r="BO845" s="151" t="e">
        <f t="shared" si="55"/>
        <v>#DIV/0!</v>
      </c>
      <c r="BP845" s="151" t="e">
        <f t="shared" si="56"/>
        <v>#DIV/0!</v>
      </c>
      <c r="BQ845" s="71">
        <v>0</v>
      </c>
      <c r="BR845" s="71">
        <v>0</v>
      </c>
      <c r="BS845" s="71">
        <v>0</v>
      </c>
      <c r="BT845" s="72">
        <v>0</v>
      </c>
      <c r="BU845" s="73"/>
      <c r="BV845" s="73"/>
    </row>
    <row r="846" ht="30" customHeight="1" spans="1:74">
      <c r="A846" s="55">
        <v>0</v>
      </c>
      <c r="B846" s="56">
        <v>0</v>
      </c>
      <c r="C846" s="57">
        <v>0</v>
      </c>
      <c r="E846" s="88"/>
      <c r="F846" s="59" t="e">
        <f>VLOOKUP(E846,[1]库存!$B$1:$C$65536,2,FALSE)</f>
        <v>#N/A</v>
      </c>
      <c r="G846" s="59" t="e">
        <v>#N/A</v>
      </c>
      <c r="H846" s="89"/>
      <c r="I846" s="88"/>
      <c r="J846" s="90"/>
      <c r="K846" s="61"/>
      <c r="L846" s="62">
        <v>0</v>
      </c>
      <c r="M846" s="63">
        <v>0</v>
      </c>
      <c r="N846" s="64">
        <v>0</v>
      </c>
      <c r="O846" s="62">
        <v>0</v>
      </c>
      <c r="P846" s="65">
        <f t="shared" si="57"/>
        <v>0</v>
      </c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  <c r="AR846" s="66"/>
      <c r="AS846" s="66"/>
      <c r="AT846" s="66"/>
      <c r="AU846" s="66"/>
      <c r="AV846" s="66"/>
      <c r="AW846" s="66"/>
      <c r="AX846" s="66"/>
      <c r="AY846" s="66"/>
      <c r="AZ846" s="66"/>
      <c r="BA846" s="66"/>
      <c r="BB846" s="66"/>
      <c r="BC846" s="66"/>
      <c r="BD846" s="66"/>
      <c r="BE846" s="67"/>
      <c r="BF846" s="67"/>
      <c r="BG846" s="68"/>
      <c r="BI846" s="69">
        <v>0</v>
      </c>
      <c r="BJ846" s="70">
        <v>0</v>
      </c>
      <c r="BK846" s="71">
        <v>0</v>
      </c>
      <c r="BL846" s="71">
        <v>0</v>
      </c>
      <c r="BM846" s="71">
        <v>0</v>
      </c>
      <c r="BN846" s="72">
        <v>0</v>
      </c>
      <c r="BO846" s="151" t="e">
        <f t="shared" si="55"/>
        <v>#DIV/0!</v>
      </c>
      <c r="BP846" s="151" t="e">
        <f t="shared" si="56"/>
        <v>#DIV/0!</v>
      </c>
      <c r="BQ846" s="71">
        <v>0</v>
      </c>
      <c r="BR846" s="71">
        <v>0</v>
      </c>
      <c r="BS846" s="71">
        <v>0</v>
      </c>
      <c r="BT846" s="72">
        <v>0</v>
      </c>
      <c r="BU846" s="73"/>
      <c r="BV846" s="73"/>
    </row>
    <row r="847" ht="30" customHeight="1" spans="1:74">
      <c r="A847" s="55" t="s">
        <v>211</v>
      </c>
      <c r="B847" s="56" t="s">
        <v>1057</v>
      </c>
      <c r="C847" s="57" t="s">
        <v>1072</v>
      </c>
      <c r="D847" s="91" t="s">
        <v>1436</v>
      </c>
      <c r="E847" s="91" t="s">
        <v>1437</v>
      </c>
      <c r="F847" s="91" t="str">
        <f>VLOOKUP(E847,[1]库存!$B$1:$C$65536,2,FALSE)</f>
        <v>EHEA-C SAB LH B状态</v>
      </c>
      <c r="G847" s="91" t="s">
        <v>1438</v>
      </c>
      <c r="H847" s="91" t="s">
        <v>1439</v>
      </c>
      <c r="I847" s="91" t="s">
        <v>729</v>
      </c>
      <c r="J847" s="63"/>
      <c r="K847" s="61"/>
      <c r="L847" s="62">
        <v>2</v>
      </c>
      <c r="M847" s="63">
        <v>1600</v>
      </c>
      <c r="N847" s="64">
        <v>12</v>
      </c>
      <c r="O847" s="62">
        <v>2</v>
      </c>
      <c r="P847" s="65">
        <f t="shared" si="57"/>
        <v>0</v>
      </c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66"/>
      <c r="AU847" s="66"/>
      <c r="AV847" s="66"/>
      <c r="AW847" s="66"/>
      <c r="AX847" s="66"/>
      <c r="AY847" s="66"/>
      <c r="AZ847" s="66"/>
      <c r="BA847" s="66"/>
      <c r="BB847" s="66"/>
      <c r="BC847" s="66"/>
      <c r="BD847" s="66"/>
      <c r="BE847" s="67"/>
      <c r="BF847" s="67"/>
      <c r="BG847" s="68"/>
      <c r="BI847" s="69">
        <v>0</v>
      </c>
      <c r="BJ847" s="70">
        <v>0</v>
      </c>
      <c r="BK847" s="71">
        <v>0</v>
      </c>
      <c r="BL847" s="71">
        <v>0</v>
      </c>
      <c r="BM847" s="71">
        <v>0</v>
      </c>
      <c r="BN847" s="72">
        <v>0</v>
      </c>
      <c r="BO847" s="151" t="e">
        <f t="shared" si="55"/>
        <v>#DIV/0!</v>
      </c>
      <c r="BP847" s="151" t="e">
        <f t="shared" si="56"/>
        <v>#DIV/0!</v>
      </c>
      <c r="BQ847" s="71">
        <v>0</v>
      </c>
      <c r="BR847" s="71">
        <v>0</v>
      </c>
      <c r="BS847" s="71">
        <v>0</v>
      </c>
      <c r="BT847" s="72">
        <v>0</v>
      </c>
      <c r="BU847" s="73"/>
      <c r="BV847" s="73"/>
    </row>
    <row r="848" ht="30" customHeight="1" spans="1:74">
      <c r="A848" s="55">
        <v>0</v>
      </c>
      <c r="B848" s="56">
        <v>0</v>
      </c>
      <c r="C848" s="57">
        <v>0</v>
      </c>
      <c r="D848" s="92"/>
      <c r="E848" s="92"/>
      <c r="F848" s="91" t="e">
        <f>VLOOKUP(E848,[1]库存!$B$1:$C$65536,2,FALSE)</f>
        <v>#N/A</v>
      </c>
      <c r="G848" s="91" t="e">
        <v>#N/A</v>
      </c>
      <c r="H848" s="92"/>
      <c r="I848" s="92"/>
      <c r="J848" s="87"/>
      <c r="K848" s="61"/>
      <c r="L848" s="62">
        <v>0</v>
      </c>
      <c r="M848" s="63">
        <v>0</v>
      </c>
      <c r="N848" s="64">
        <v>0</v>
      </c>
      <c r="O848" s="62">
        <v>0</v>
      </c>
      <c r="P848" s="65">
        <f t="shared" si="57"/>
        <v>0</v>
      </c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  <c r="AR848" s="66"/>
      <c r="AS848" s="66"/>
      <c r="AT848" s="66"/>
      <c r="AU848" s="66"/>
      <c r="AV848" s="66"/>
      <c r="AW848" s="66"/>
      <c r="AX848" s="66"/>
      <c r="AY848" s="66"/>
      <c r="AZ848" s="66"/>
      <c r="BA848" s="66"/>
      <c r="BB848" s="66"/>
      <c r="BC848" s="66"/>
      <c r="BD848" s="66"/>
      <c r="BE848" s="67"/>
      <c r="BF848" s="67"/>
      <c r="BG848" s="68"/>
      <c r="BI848" s="69">
        <v>0</v>
      </c>
      <c r="BJ848" s="70">
        <v>0</v>
      </c>
      <c r="BK848" s="71">
        <v>0</v>
      </c>
      <c r="BL848" s="71">
        <v>0</v>
      </c>
      <c r="BM848" s="71">
        <v>0</v>
      </c>
      <c r="BN848" s="72">
        <v>0</v>
      </c>
      <c r="BO848" s="151" t="e">
        <f t="shared" si="55"/>
        <v>#DIV/0!</v>
      </c>
      <c r="BP848" s="151" t="e">
        <f t="shared" si="56"/>
        <v>#DIV/0!</v>
      </c>
      <c r="BQ848" s="71">
        <v>0</v>
      </c>
      <c r="BR848" s="71">
        <v>0</v>
      </c>
      <c r="BS848" s="71">
        <v>0</v>
      </c>
      <c r="BT848" s="72">
        <v>0</v>
      </c>
      <c r="BU848" s="73"/>
      <c r="BV848" s="73"/>
    </row>
    <row r="849" ht="30" customHeight="1" spans="1:74">
      <c r="A849" s="55" t="s">
        <v>211</v>
      </c>
      <c r="B849" s="56" t="s">
        <v>1057</v>
      </c>
      <c r="C849" s="57" t="s">
        <v>1072</v>
      </c>
      <c r="D849" s="91" t="s">
        <v>1436</v>
      </c>
      <c r="E849" s="91" t="s">
        <v>1440</v>
      </c>
      <c r="F849" s="91" t="str">
        <f>VLOOKUP(E849,[1]库存!$B$1:$C$65536,2,FALSE)</f>
        <v>EHEA-C SAB RH B状态</v>
      </c>
      <c r="G849" s="91" t="s">
        <v>1441</v>
      </c>
      <c r="H849" s="91" t="s">
        <v>1442</v>
      </c>
      <c r="I849" s="91" t="s">
        <v>729</v>
      </c>
      <c r="J849" s="63"/>
      <c r="K849" s="61"/>
      <c r="L849" s="62">
        <v>2</v>
      </c>
      <c r="M849" s="63">
        <v>1600</v>
      </c>
      <c r="N849" s="64">
        <v>12</v>
      </c>
      <c r="O849" s="62">
        <v>2</v>
      </c>
      <c r="P849" s="65">
        <f t="shared" si="57"/>
        <v>0</v>
      </c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6"/>
      <c r="BB849" s="66"/>
      <c r="BC849" s="66"/>
      <c r="BD849" s="66"/>
      <c r="BE849" s="67"/>
      <c r="BF849" s="67"/>
      <c r="BG849" s="68"/>
      <c r="BI849" s="69">
        <v>0</v>
      </c>
      <c r="BJ849" s="70">
        <v>0</v>
      </c>
      <c r="BK849" s="71">
        <v>0</v>
      </c>
      <c r="BL849" s="71">
        <v>0</v>
      </c>
      <c r="BM849" s="71">
        <v>0</v>
      </c>
      <c r="BN849" s="72">
        <v>0</v>
      </c>
      <c r="BO849" s="151" t="e">
        <f t="shared" si="55"/>
        <v>#DIV/0!</v>
      </c>
      <c r="BP849" s="151" t="e">
        <f t="shared" si="56"/>
        <v>#DIV/0!</v>
      </c>
      <c r="BQ849" s="71">
        <v>0</v>
      </c>
      <c r="BR849" s="71">
        <v>0</v>
      </c>
      <c r="BS849" s="71">
        <v>0</v>
      </c>
      <c r="BT849" s="72">
        <v>0</v>
      </c>
      <c r="BU849" s="73"/>
      <c r="BV849" s="73"/>
    </row>
    <row r="850" ht="30" customHeight="1" spans="1:74">
      <c r="A850" s="55">
        <v>0</v>
      </c>
      <c r="B850" s="56">
        <v>0</v>
      </c>
      <c r="C850" s="57">
        <v>0</v>
      </c>
      <c r="D850" s="92"/>
      <c r="E850" s="92"/>
      <c r="F850" s="91" t="e">
        <f>VLOOKUP(E850,[1]库存!$B$1:$C$65536,2,FALSE)</f>
        <v>#N/A</v>
      </c>
      <c r="G850" s="91" t="e">
        <v>#N/A</v>
      </c>
      <c r="H850" s="92"/>
      <c r="I850" s="92"/>
      <c r="J850" s="87"/>
      <c r="K850" s="61"/>
      <c r="L850" s="62">
        <v>0</v>
      </c>
      <c r="M850" s="63">
        <v>0</v>
      </c>
      <c r="N850" s="64">
        <v>0</v>
      </c>
      <c r="O850" s="62">
        <v>0</v>
      </c>
      <c r="P850" s="65">
        <f t="shared" si="57"/>
        <v>0</v>
      </c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66"/>
      <c r="AU850" s="66"/>
      <c r="AV850" s="66"/>
      <c r="AW850" s="66"/>
      <c r="AX850" s="66"/>
      <c r="AY850" s="66"/>
      <c r="AZ850" s="66"/>
      <c r="BA850" s="66"/>
      <c r="BB850" s="66"/>
      <c r="BC850" s="66"/>
      <c r="BD850" s="66"/>
      <c r="BE850" s="67"/>
      <c r="BF850" s="67"/>
      <c r="BG850" s="68"/>
      <c r="BI850" s="69">
        <v>0</v>
      </c>
      <c r="BJ850" s="70">
        <v>0</v>
      </c>
      <c r="BK850" s="71">
        <v>0</v>
      </c>
      <c r="BL850" s="71">
        <v>0</v>
      </c>
      <c r="BM850" s="71">
        <v>0</v>
      </c>
      <c r="BN850" s="72">
        <v>0</v>
      </c>
      <c r="BO850" s="151" t="e">
        <f t="shared" si="55"/>
        <v>#DIV/0!</v>
      </c>
      <c r="BP850" s="151" t="e">
        <f t="shared" si="56"/>
        <v>#DIV/0!</v>
      </c>
      <c r="BQ850" s="71">
        <v>0</v>
      </c>
      <c r="BR850" s="71">
        <v>0</v>
      </c>
      <c r="BS850" s="71">
        <v>0</v>
      </c>
      <c r="BT850" s="72">
        <v>0</v>
      </c>
      <c r="BU850" s="73"/>
      <c r="BV850" s="73"/>
    </row>
    <row r="851" ht="30" customHeight="1" spans="1:74">
      <c r="A851" s="55">
        <v>0</v>
      </c>
      <c r="B851" s="56" t="s">
        <v>1057</v>
      </c>
      <c r="C851" s="57" t="s">
        <v>1072</v>
      </c>
      <c r="D851" s="59" t="s">
        <v>1436</v>
      </c>
      <c r="E851" s="59"/>
      <c r="F851" s="59" t="e">
        <f>VLOOKUP(E851,[1]库存!$B$1:$C$65536,2,FALSE)</f>
        <v>#N/A</v>
      </c>
      <c r="G851" s="59" t="e">
        <v>#N/A</v>
      </c>
      <c r="H851" s="59" t="s">
        <v>1443</v>
      </c>
      <c r="I851" s="59" t="s">
        <v>1444</v>
      </c>
      <c r="J851" s="63"/>
      <c r="K851" s="61"/>
      <c r="L851" s="62">
        <v>2</v>
      </c>
      <c r="M851" s="63">
        <v>1500</v>
      </c>
      <c r="N851" s="64">
        <v>11</v>
      </c>
      <c r="O851" s="62">
        <v>2</v>
      </c>
      <c r="P851" s="65">
        <f t="shared" si="57"/>
        <v>0</v>
      </c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  <c r="AR851" s="66"/>
      <c r="AS851" s="66"/>
      <c r="AT851" s="66"/>
      <c r="AU851" s="66"/>
      <c r="AV851" s="66"/>
      <c r="AW851" s="66"/>
      <c r="AX851" s="66"/>
      <c r="AY851" s="66"/>
      <c r="AZ851" s="66"/>
      <c r="BA851" s="66"/>
      <c r="BB851" s="66"/>
      <c r="BC851" s="66"/>
      <c r="BD851" s="66"/>
      <c r="BE851" s="67"/>
      <c r="BF851" s="67"/>
      <c r="BG851" s="68"/>
      <c r="BI851" s="69">
        <v>0</v>
      </c>
      <c r="BJ851" s="70">
        <v>0</v>
      </c>
      <c r="BK851" s="71">
        <v>0</v>
      </c>
      <c r="BL851" s="71">
        <v>0</v>
      </c>
      <c r="BM851" s="71">
        <v>0</v>
      </c>
      <c r="BN851" s="72">
        <v>0</v>
      </c>
      <c r="BO851" s="151" t="e">
        <f t="shared" si="55"/>
        <v>#DIV/0!</v>
      </c>
      <c r="BP851" s="151" t="e">
        <f t="shared" si="56"/>
        <v>#DIV/0!</v>
      </c>
      <c r="BQ851" s="71">
        <v>0</v>
      </c>
      <c r="BR851" s="71">
        <v>0</v>
      </c>
      <c r="BS851" s="71">
        <v>0</v>
      </c>
      <c r="BT851" s="72">
        <v>0</v>
      </c>
      <c r="BU851" s="73"/>
      <c r="BV851" s="73"/>
    </row>
    <row r="852" ht="30" customHeight="1" spans="1:74">
      <c r="A852" s="55">
        <v>0</v>
      </c>
      <c r="B852" s="56">
        <v>0</v>
      </c>
      <c r="C852" s="57">
        <v>0</v>
      </c>
      <c r="D852" s="74"/>
      <c r="E852" s="74"/>
      <c r="F852" s="59" t="e">
        <f>VLOOKUP(E852,[1]库存!$B$1:$C$65536,2,FALSE)</f>
        <v>#N/A</v>
      </c>
      <c r="G852" s="59" t="e">
        <v>#N/A</v>
      </c>
      <c r="H852" s="74"/>
      <c r="I852" s="74"/>
      <c r="J852" s="87"/>
      <c r="K852" s="61"/>
      <c r="L852" s="62">
        <v>0</v>
      </c>
      <c r="M852" s="63">
        <v>0</v>
      </c>
      <c r="N852" s="64">
        <v>0</v>
      </c>
      <c r="O852" s="62">
        <v>0</v>
      </c>
      <c r="P852" s="65">
        <f t="shared" si="57"/>
        <v>0</v>
      </c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66"/>
      <c r="AU852" s="66"/>
      <c r="AV852" s="66"/>
      <c r="AW852" s="66"/>
      <c r="AX852" s="66"/>
      <c r="AY852" s="66"/>
      <c r="AZ852" s="66"/>
      <c r="BA852" s="66"/>
      <c r="BB852" s="66"/>
      <c r="BC852" s="66"/>
      <c r="BD852" s="66"/>
      <c r="BE852" s="67"/>
      <c r="BF852" s="67"/>
      <c r="BG852" s="68"/>
      <c r="BI852" s="69">
        <v>0</v>
      </c>
      <c r="BJ852" s="70">
        <v>0</v>
      </c>
      <c r="BK852" s="71">
        <v>0</v>
      </c>
      <c r="BL852" s="71">
        <v>0</v>
      </c>
      <c r="BM852" s="71">
        <v>0</v>
      </c>
      <c r="BN852" s="72">
        <v>0</v>
      </c>
      <c r="BO852" s="151" t="e">
        <f t="shared" si="55"/>
        <v>#DIV/0!</v>
      </c>
      <c r="BP852" s="151" t="e">
        <f t="shared" si="56"/>
        <v>#DIV/0!</v>
      </c>
      <c r="BQ852" s="71">
        <v>0</v>
      </c>
      <c r="BR852" s="71">
        <v>0</v>
      </c>
      <c r="BS852" s="71">
        <v>0</v>
      </c>
      <c r="BT852" s="72">
        <v>0</v>
      </c>
      <c r="BU852" s="73"/>
      <c r="BV852" s="73"/>
    </row>
    <row r="853" ht="30" customHeight="1" spans="1:74">
      <c r="A853" s="55">
        <v>0</v>
      </c>
      <c r="B853" s="56" t="s">
        <v>1057</v>
      </c>
      <c r="C853" s="57" t="s">
        <v>1072</v>
      </c>
      <c r="D853" s="59" t="s">
        <v>1436</v>
      </c>
      <c r="E853" s="59"/>
      <c r="F853" s="59" t="e">
        <f>VLOOKUP(E853,[1]库存!$B$1:$C$65536,2,FALSE)</f>
        <v>#N/A</v>
      </c>
      <c r="G853" s="59" t="e">
        <v>#N/A</v>
      </c>
      <c r="H853" s="59" t="s">
        <v>1445</v>
      </c>
      <c r="I853" s="59" t="s">
        <v>1446</v>
      </c>
      <c r="J853" s="63"/>
      <c r="K853" s="61"/>
      <c r="L853" s="62">
        <v>2</v>
      </c>
      <c r="M853" s="63">
        <v>1500</v>
      </c>
      <c r="N853" s="64">
        <v>11</v>
      </c>
      <c r="O853" s="62">
        <v>2</v>
      </c>
      <c r="P853" s="65">
        <f t="shared" si="57"/>
        <v>0</v>
      </c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  <c r="AS853" s="66"/>
      <c r="AT853" s="66"/>
      <c r="AU853" s="66"/>
      <c r="AV853" s="66"/>
      <c r="AW853" s="66"/>
      <c r="AX853" s="66"/>
      <c r="AY853" s="66"/>
      <c r="AZ853" s="66"/>
      <c r="BA853" s="66"/>
      <c r="BB853" s="66"/>
      <c r="BC853" s="66"/>
      <c r="BD853" s="66"/>
      <c r="BE853" s="67"/>
      <c r="BF853" s="67"/>
      <c r="BG853" s="68"/>
      <c r="BI853" s="69">
        <v>0</v>
      </c>
      <c r="BJ853" s="70">
        <v>0</v>
      </c>
      <c r="BK853" s="71">
        <v>0</v>
      </c>
      <c r="BL853" s="71">
        <v>0</v>
      </c>
      <c r="BM853" s="71">
        <v>0</v>
      </c>
      <c r="BN853" s="72">
        <v>0</v>
      </c>
      <c r="BO853" s="151" t="e">
        <f t="shared" si="55"/>
        <v>#DIV/0!</v>
      </c>
      <c r="BP853" s="151" t="e">
        <f t="shared" si="56"/>
        <v>#DIV/0!</v>
      </c>
      <c r="BQ853" s="71">
        <v>0</v>
      </c>
      <c r="BR853" s="71">
        <v>0</v>
      </c>
      <c r="BS853" s="71">
        <v>0</v>
      </c>
      <c r="BT853" s="72">
        <v>0</v>
      </c>
      <c r="BU853" s="73"/>
      <c r="BV853" s="73"/>
    </row>
    <row r="854" ht="30" customHeight="1" spans="1:74">
      <c r="A854" s="55">
        <v>0</v>
      </c>
      <c r="B854" s="56">
        <v>0</v>
      </c>
      <c r="C854" s="57">
        <v>0</v>
      </c>
      <c r="D854" s="74"/>
      <c r="E854" s="74"/>
      <c r="F854" s="59" t="e">
        <f>VLOOKUP(E854,[1]库存!$B$1:$C$65536,2,FALSE)</f>
        <v>#N/A</v>
      </c>
      <c r="G854" s="59" t="e">
        <v>#N/A</v>
      </c>
      <c r="H854" s="74"/>
      <c r="I854" s="74"/>
      <c r="J854" s="87"/>
      <c r="K854" s="61"/>
      <c r="L854" s="62">
        <v>0</v>
      </c>
      <c r="M854" s="63">
        <v>0</v>
      </c>
      <c r="N854" s="64">
        <v>0</v>
      </c>
      <c r="O854" s="62">
        <v>0</v>
      </c>
      <c r="P854" s="65">
        <f t="shared" si="57"/>
        <v>0</v>
      </c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  <c r="AS854" s="66"/>
      <c r="AT854" s="66"/>
      <c r="AU854" s="66"/>
      <c r="AV854" s="66"/>
      <c r="AW854" s="66"/>
      <c r="AX854" s="66"/>
      <c r="AY854" s="66"/>
      <c r="AZ854" s="66"/>
      <c r="BA854" s="66"/>
      <c r="BB854" s="66"/>
      <c r="BC854" s="66"/>
      <c r="BD854" s="66"/>
      <c r="BE854" s="67"/>
      <c r="BF854" s="67"/>
      <c r="BG854" s="68"/>
      <c r="BI854" s="69">
        <v>0</v>
      </c>
      <c r="BJ854" s="70">
        <v>0</v>
      </c>
      <c r="BK854" s="71">
        <v>0</v>
      </c>
      <c r="BL854" s="71">
        <v>0</v>
      </c>
      <c r="BM854" s="71">
        <v>0</v>
      </c>
      <c r="BN854" s="72">
        <v>0</v>
      </c>
      <c r="BO854" s="151" t="e">
        <f t="shared" si="55"/>
        <v>#DIV/0!</v>
      </c>
      <c r="BP854" s="151" t="e">
        <f t="shared" si="56"/>
        <v>#DIV/0!</v>
      </c>
      <c r="BQ854" s="71">
        <v>0</v>
      </c>
      <c r="BR854" s="71">
        <v>0</v>
      </c>
      <c r="BS854" s="71">
        <v>0</v>
      </c>
      <c r="BT854" s="72">
        <v>0</v>
      </c>
      <c r="BU854" s="73"/>
      <c r="BV854" s="73"/>
    </row>
    <row r="855" ht="30" customHeight="1" spans="1:74">
      <c r="A855" s="55" t="s">
        <v>211</v>
      </c>
      <c r="B855" s="56" t="s">
        <v>1057</v>
      </c>
      <c r="C855" s="57" t="s">
        <v>1072</v>
      </c>
      <c r="D855" s="59" t="s">
        <v>1436</v>
      </c>
      <c r="E855" s="59" t="s">
        <v>1447</v>
      </c>
      <c r="F855" s="59" t="str">
        <f>VLOOKUP(E855,[1]库存!$B$1:$C$65536,2,FALSE)</f>
        <v>HKHAU SAB LH</v>
      </c>
      <c r="G855" s="59" t="s">
        <v>1448</v>
      </c>
      <c r="H855" s="59" t="s">
        <v>1449</v>
      </c>
      <c r="I855" s="59" t="s">
        <v>729</v>
      </c>
      <c r="J855" s="63"/>
      <c r="K855" s="61"/>
      <c r="L855" s="62">
        <v>2</v>
      </c>
      <c r="M855" s="63">
        <v>1500</v>
      </c>
      <c r="N855" s="64">
        <v>11</v>
      </c>
      <c r="O855" s="62">
        <v>2</v>
      </c>
      <c r="P855" s="65">
        <f t="shared" si="57"/>
        <v>0</v>
      </c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66"/>
      <c r="AU855" s="66"/>
      <c r="AV855" s="66"/>
      <c r="AW855" s="66"/>
      <c r="AX855" s="66"/>
      <c r="AY855" s="66"/>
      <c r="AZ855" s="66"/>
      <c r="BA855" s="66"/>
      <c r="BB855" s="66"/>
      <c r="BC855" s="66"/>
      <c r="BD855" s="66"/>
      <c r="BE855" s="67"/>
      <c r="BF855" s="67"/>
      <c r="BG855" s="68"/>
      <c r="BI855" s="69">
        <v>0</v>
      </c>
      <c r="BJ855" s="70">
        <v>0</v>
      </c>
      <c r="BK855" s="71">
        <v>0</v>
      </c>
      <c r="BL855" s="71">
        <v>0</v>
      </c>
      <c r="BM855" s="71">
        <v>0</v>
      </c>
      <c r="BN855" s="72">
        <v>0</v>
      </c>
      <c r="BO855" s="151" t="e">
        <f t="shared" si="55"/>
        <v>#DIV/0!</v>
      </c>
      <c r="BP855" s="151" t="e">
        <f t="shared" si="56"/>
        <v>#DIV/0!</v>
      </c>
      <c r="BQ855" s="71">
        <v>0</v>
      </c>
      <c r="BR855" s="71">
        <v>0</v>
      </c>
      <c r="BS855" s="71">
        <v>0</v>
      </c>
      <c r="BT855" s="72">
        <v>0</v>
      </c>
      <c r="BU855" s="73"/>
      <c r="BV855" s="73"/>
    </row>
    <row r="856" ht="30" customHeight="1" spans="1:74">
      <c r="A856" s="55">
        <v>0</v>
      </c>
      <c r="B856" s="56">
        <v>0</v>
      </c>
      <c r="C856" s="57">
        <v>0</v>
      </c>
      <c r="D856" s="74"/>
      <c r="E856" s="74"/>
      <c r="F856" s="59" t="e">
        <f>VLOOKUP(E856,[1]库存!$B$1:$C$65536,2,FALSE)</f>
        <v>#N/A</v>
      </c>
      <c r="G856" s="59" t="e">
        <v>#N/A</v>
      </c>
      <c r="H856" s="74"/>
      <c r="I856" s="74"/>
      <c r="J856" s="87"/>
      <c r="K856" s="61"/>
      <c r="L856" s="62">
        <v>0</v>
      </c>
      <c r="M856" s="63">
        <v>0</v>
      </c>
      <c r="N856" s="64">
        <v>0</v>
      </c>
      <c r="O856" s="62">
        <v>0</v>
      </c>
      <c r="P856" s="65">
        <f t="shared" si="57"/>
        <v>0</v>
      </c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  <c r="AS856" s="66"/>
      <c r="AT856" s="66"/>
      <c r="AU856" s="66"/>
      <c r="AV856" s="66"/>
      <c r="AW856" s="66"/>
      <c r="AX856" s="66"/>
      <c r="AY856" s="66"/>
      <c r="AZ856" s="66"/>
      <c r="BA856" s="66"/>
      <c r="BB856" s="66"/>
      <c r="BC856" s="66"/>
      <c r="BD856" s="66"/>
      <c r="BE856" s="67"/>
      <c r="BF856" s="67"/>
      <c r="BG856" s="68"/>
      <c r="BI856" s="69">
        <v>0</v>
      </c>
      <c r="BJ856" s="70">
        <v>0</v>
      </c>
      <c r="BK856" s="71">
        <v>0</v>
      </c>
      <c r="BL856" s="71">
        <v>0</v>
      </c>
      <c r="BM856" s="71">
        <v>0</v>
      </c>
      <c r="BN856" s="72">
        <v>0</v>
      </c>
      <c r="BO856" s="151" t="e">
        <f t="shared" si="55"/>
        <v>#DIV/0!</v>
      </c>
      <c r="BP856" s="151" t="e">
        <f t="shared" si="56"/>
        <v>#DIV/0!</v>
      </c>
      <c r="BQ856" s="71">
        <v>0</v>
      </c>
      <c r="BR856" s="71">
        <v>0</v>
      </c>
      <c r="BS856" s="71">
        <v>0</v>
      </c>
      <c r="BT856" s="72">
        <v>0</v>
      </c>
      <c r="BU856" s="73"/>
      <c r="BV856" s="73"/>
    </row>
    <row r="857" ht="30" customHeight="1" spans="1:74">
      <c r="A857" s="55" t="s">
        <v>211</v>
      </c>
      <c r="B857" s="56" t="s">
        <v>1057</v>
      </c>
      <c r="C857" s="57" t="s">
        <v>1072</v>
      </c>
      <c r="D857" s="59" t="s">
        <v>1436</v>
      </c>
      <c r="E857" s="59" t="s">
        <v>1450</v>
      </c>
      <c r="F857" s="59" t="str">
        <f>VLOOKUP(E857,[1]库存!$B$1:$C$65536,2,FALSE)</f>
        <v>HKHAU SAB RH</v>
      </c>
      <c r="G857" s="59" t="s">
        <v>1451</v>
      </c>
      <c r="H857" s="59" t="s">
        <v>1452</v>
      </c>
      <c r="I857" s="59" t="s">
        <v>729</v>
      </c>
      <c r="J857" s="63"/>
      <c r="K857" s="61"/>
      <c r="L857" s="62">
        <v>2</v>
      </c>
      <c r="M857" s="63">
        <v>1500</v>
      </c>
      <c r="N857" s="64">
        <v>11</v>
      </c>
      <c r="O857" s="62">
        <v>2</v>
      </c>
      <c r="P857" s="65">
        <f t="shared" si="57"/>
        <v>0</v>
      </c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66"/>
      <c r="AU857" s="66"/>
      <c r="AV857" s="66"/>
      <c r="AW857" s="66"/>
      <c r="AX857" s="66"/>
      <c r="AY857" s="66"/>
      <c r="AZ857" s="66"/>
      <c r="BA857" s="66"/>
      <c r="BB857" s="66"/>
      <c r="BC857" s="66"/>
      <c r="BD857" s="66"/>
      <c r="BE857" s="67"/>
      <c r="BF857" s="67"/>
      <c r="BG857" s="68"/>
      <c r="BI857" s="69">
        <v>0</v>
      </c>
      <c r="BJ857" s="70">
        <v>0</v>
      </c>
      <c r="BK857" s="71">
        <v>0</v>
      </c>
      <c r="BL857" s="71">
        <v>0</v>
      </c>
      <c r="BM857" s="71">
        <v>0</v>
      </c>
      <c r="BN857" s="72">
        <v>0</v>
      </c>
      <c r="BO857" s="151" t="e">
        <f t="shared" si="55"/>
        <v>#DIV/0!</v>
      </c>
      <c r="BP857" s="151" t="e">
        <f t="shared" si="56"/>
        <v>#DIV/0!</v>
      </c>
      <c r="BQ857" s="71">
        <v>0</v>
      </c>
      <c r="BR857" s="71">
        <v>0</v>
      </c>
      <c r="BS857" s="71">
        <v>0</v>
      </c>
      <c r="BT857" s="72">
        <v>0</v>
      </c>
      <c r="BU857" s="73"/>
      <c r="BV857" s="73"/>
    </row>
    <row r="858" ht="30" customHeight="1" spans="1:74">
      <c r="A858" s="55">
        <v>0</v>
      </c>
      <c r="B858" s="56">
        <v>0</v>
      </c>
      <c r="C858" s="57">
        <v>0</v>
      </c>
      <c r="D858" s="74"/>
      <c r="E858" s="74"/>
      <c r="F858" s="59" t="e">
        <f>VLOOKUP(E858,[1]库存!$B$1:$C$65536,2,FALSE)</f>
        <v>#N/A</v>
      </c>
      <c r="G858" s="59" t="e">
        <v>#N/A</v>
      </c>
      <c r="H858" s="74"/>
      <c r="I858" s="74"/>
      <c r="J858" s="87"/>
      <c r="K858" s="61"/>
      <c r="L858" s="62">
        <v>0</v>
      </c>
      <c r="M858" s="63">
        <v>0</v>
      </c>
      <c r="N858" s="64">
        <v>0</v>
      </c>
      <c r="O858" s="62">
        <v>0</v>
      </c>
      <c r="P858" s="65">
        <f t="shared" si="57"/>
        <v>0</v>
      </c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6"/>
      <c r="BB858" s="66"/>
      <c r="BC858" s="66"/>
      <c r="BD858" s="66"/>
      <c r="BE858" s="67"/>
      <c r="BF858" s="67"/>
      <c r="BG858" s="68"/>
      <c r="BI858" s="69">
        <v>0</v>
      </c>
      <c r="BJ858" s="70">
        <v>0</v>
      </c>
      <c r="BK858" s="71">
        <v>0</v>
      </c>
      <c r="BL858" s="71">
        <v>0</v>
      </c>
      <c r="BM858" s="71">
        <v>0</v>
      </c>
      <c r="BN858" s="72">
        <v>0</v>
      </c>
      <c r="BO858" s="151" t="e">
        <f t="shared" si="55"/>
        <v>#DIV/0!</v>
      </c>
      <c r="BP858" s="151" t="e">
        <f t="shared" si="56"/>
        <v>#DIV/0!</v>
      </c>
      <c r="BQ858" s="71">
        <v>0</v>
      </c>
      <c r="BR858" s="71">
        <v>0</v>
      </c>
      <c r="BS858" s="71">
        <v>0</v>
      </c>
      <c r="BT858" s="72">
        <v>0</v>
      </c>
      <c r="BU858" s="73"/>
      <c r="BV858" s="73"/>
    </row>
    <row r="859" ht="30" customHeight="1" spans="1:74">
      <c r="A859" s="55">
        <v>0</v>
      </c>
      <c r="B859" s="56">
        <v>0</v>
      </c>
      <c r="C859" s="57">
        <v>0</v>
      </c>
      <c r="E859" s="88"/>
      <c r="F859" s="59" t="e">
        <f>VLOOKUP(E859,[1]库存!$B$1:$C$65536,2,FALSE)</f>
        <v>#N/A</v>
      </c>
      <c r="G859" s="59" t="e">
        <v>#N/A</v>
      </c>
      <c r="H859" s="89"/>
      <c r="I859" s="88"/>
      <c r="J859" s="90"/>
      <c r="K859" s="61"/>
      <c r="L859" s="62">
        <v>0</v>
      </c>
      <c r="M859" s="63">
        <v>0</v>
      </c>
      <c r="N859" s="64">
        <v>0</v>
      </c>
      <c r="O859" s="62">
        <v>0</v>
      </c>
      <c r="P859" s="65">
        <f t="shared" si="57"/>
        <v>0</v>
      </c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66"/>
      <c r="AU859" s="66"/>
      <c r="AV859" s="66"/>
      <c r="AW859" s="66"/>
      <c r="AX859" s="66"/>
      <c r="AY859" s="66"/>
      <c r="AZ859" s="66"/>
      <c r="BA859" s="66"/>
      <c r="BB859" s="66"/>
      <c r="BC859" s="66"/>
      <c r="BD859" s="66"/>
      <c r="BE859" s="67"/>
      <c r="BF859" s="67"/>
      <c r="BG859" s="68"/>
      <c r="BI859" s="69">
        <v>0</v>
      </c>
      <c r="BJ859" s="70">
        <v>0</v>
      </c>
      <c r="BK859" s="71">
        <v>0</v>
      </c>
      <c r="BL859" s="71">
        <v>0</v>
      </c>
      <c r="BM859" s="71">
        <v>0</v>
      </c>
      <c r="BN859" s="72">
        <v>0</v>
      </c>
      <c r="BO859" s="151" t="e">
        <f t="shared" si="55"/>
        <v>#DIV/0!</v>
      </c>
      <c r="BP859" s="151" t="e">
        <f t="shared" si="56"/>
        <v>#DIV/0!</v>
      </c>
      <c r="BQ859" s="71">
        <v>0</v>
      </c>
      <c r="BR859" s="71">
        <v>0</v>
      </c>
      <c r="BS859" s="71">
        <v>0</v>
      </c>
      <c r="BT859" s="72">
        <v>0</v>
      </c>
      <c r="BU859" s="73"/>
      <c r="BV859" s="73"/>
    </row>
    <row r="860" ht="30" customHeight="1" spans="1:74">
      <c r="A860" s="55" t="s">
        <v>41</v>
      </c>
      <c r="B860" s="56" t="s">
        <v>1057</v>
      </c>
      <c r="C860" s="57" t="s">
        <v>1072</v>
      </c>
      <c r="D860" s="187" t="s">
        <v>1453</v>
      </c>
      <c r="E860" s="91" t="s">
        <v>1454</v>
      </c>
      <c r="F860" s="91" t="str">
        <f>VLOOKUP(E860,[1]库存!$B$1:$C$65536,2,FALSE)</f>
        <v>GEELY NL-3B DAB(INVISTA面料)</v>
      </c>
      <c r="G860" s="91" t="s">
        <v>1455</v>
      </c>
      <c r="H860" s="91" t="s">
        <v>1456</v>
      </c>
      <c r="I860" s="59" t="s">
        <v>1457</v>
      </c>
      <c r="J860" s="63"/>
      <c r="K860" s="61"/>
      <c r="L860" s="62">
        <v>2</v>
      </c>
      <c r="M860" s="63">
        <v>1500</v>
      </c>
      <c r="N860" s="64">
        <v>6</v>
      </c>
      <c r="O860" s="62">
        <v>2</v>
      </c>
      <c r="P860" s="65">
        <f t="shared" si="57"/>
        <v>0</v>
      </c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66"/>
      <c r="AU860" s="66"/>
      <c r="AV860" s="66"/>
      <c r="AW860" s="66"/>
      <c r="AX860" s="66"/>
      <c r="AY860" s="66"/>
      <c r="AZ860" s="66"/>
      <c r="BA860" s="66"/>
      <c r="BB860" s="66"/>
      <c r="BC860" s="66"/>
      <c r="BD860" s="66"/>
      <c r="BE860" s="67"/>
      <c r="BF860" s="67"/>
      <c r="BG860" s="68"/>
      <c r="BI860" s="69">
        <v>0</v>
      </c>
      <c r="BJ860" s="70">
        <v>0</v>
      </c>
      <c r="BK860" s="71">
        <v>0</v>
      </c>
      <c r="BL860" s="71">
        <v>0</v>
      </c>
      <c r="BM860" s="71">
        <v>0</v>
      </c>
      <c r="BN860" s="72">
        <v>0</v>
      </c>
      <c r="BO860" s="151" t="e">
        <f t="shared" si="55"/>
        <v>#DIV/0!</v>
      </c>
      <c r="BP860" s="151" t="e">
        <f t="shared" si="56"/>
        <v>#DIV/0!</v>
      </c>
      <c r="BQ860" s="71">
        <v>0</v>
      </c>
      <c r="BR860" s="71">
        <v>0</v>
      </c>
      <c r="BS860" s="71">
        <v>0</v>
      </c>
      <c r="BT860" s="72">
        <v>0</v>
      </c>
      <c r="BU860" s="73"/>
      <c r="BV860" s="73"/>
    </row>
    <row r="861" ht="30" customHeight="1" spans="1:74">
      <c r="A861" s="55">
        <v>0</v>
      </c>
      <c r="B861" s="56">
        <v>0</v>
      </c>
      <c r="C861" s="57">
        <v>0</v>
      </c>
      <c r="D861" s="211"/>
      <c r="E861" s="92"/>
      <c r="F861" s="91" t="e">
        <f>VLOOKUP(E861,[1]库存!$B$1:$C$65536,2,FALSE)</f>
        <v>#N/A</v>
      </c>
      <c r="G861" s="91" t="e">
        <v>#N/A</v>
      </c>
      <c r="H861" s="92"/>
      <c r="I861" s="74"/>
      <c r="J861" s="87"/>
      <c r="K861" s="61"/>
      <c r="L861" s="62">
        <v>0</v>
      </c>
      <c r="M861" s="63">
        <v>0</v>
      </c>
      <c r="N861" s="64">
        <v>0</v>
      </c>
      <c r="O861" s="62">
        <v>0</v>
      </c>
      <c r="P861" s="65">
        <f t="shared" si="57"/>
        <v>0</v>
      </c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66"/>
      <c r="AU861" s="66"/>
      <c r="AV861" s="66"/>
      <c r="AW861" s="66"/>
      <c r="AX861" s="66"/>
      <c r="AY861" s="66"/>
      <c r="AZ861" s="66"/>
      <c r="BA861" s="66"/>
      <c r="BB861" s="66"/>
      <c r="BC861" s="66"/>
      <c r="BD861" s="66"/>
      <c r="BE861" s="67"/>
      <c r="BF861" s="67"/>
      <c r="BG861" s="68"/>
      <c r="BI861" s="69">
        <v>0</v>
      </c>
      <c r="BJ861" s="70">
        <v>0</v>
      </c>
      <c r="BK861" s="71">
        <v>0</v>
      </c>
      <c r="BL861" s="71">
        <v>0</v>
      </c>
      <c r="BM861" s="71">
        <v>0</v>
      </c>
      <c r="BN861" s="72">
        <v>0</v>
      </c>
      <c r="BO861" s="151" t="e">
        <f t="shared" si="55"/>
        <v>#DIV/0!</v>
      </c>
      <c r="BP861" s="151" t="e">
        <f t="shared" si="56"/>
        <v>#DIV/0!</v>
      </c>
      <c r="BQ861" s="71">
        <v>0</v>
      </c>
      <c r="BR861" s="71">
        <v>0</v>
      </c>
      <c r="BS861" s="71">
        <v>0</v>
      </c>
      <c r="BT861" s="72">
        <v>0</v>
      </c>
      <c r="BU861" s="73"/>
      <c r="BV861" s="73"/>
    </row>
    <row r="862" ht="30" customHeight="1" spans="1:74">
      <c r="A862" s="55" t="s">
        <v>41</v>
      </c>
      <c r="B862" s="56" t="s">
        <v>1057</v>
      </c>
      <c r="C862" s="57" t="s">
        <v>1072</v>
      </c>
      <c r="D862" s="187" t="s">
        <v>1453</v>
      </c>
      <c r="E862" s="59" t="s">
        <v>1458</v>
      </c>
      <c r="F862" s="59" t="str">
        <f>VLOOKUP(E862,[1]库存!$B$1:$C$65536,2,FALSE)</f>
        <v>GEELY VF12 DAB A状态</v>
      </c>
      <c r="G862" s="59" t="s">
        <v>1459</v>
      </c>
      <c r="H862" s="59" t="s">
        <v>1460</v>
      </c>
      <c r="I862" s="59" t="s">
        <v>1457</v>
      </c>
      <c r="J862" s="97" t="s">
        <v>65</v>
      </c>
      <c r="K862" s="61"/>
      <c r="L862" s="62">
        <v>2</v>
      </c>
      <c r="M862" s="63">
        <v>1500</v>
      </c>
      <c r="N862" s="64">
        <v>6</v>
      </c>
      <c r="O862" s="62">
        <v>2</v>
      </c>
      <c r="P862" s="65">
        <f t="shared" si="57"/>
        <v>0</v>
      </c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66"/>
      <c r="AU862" s="66"/>
      <c r="AV862" s="66"/>
      <c r="AW862" s="66"/>
      <c r="AX862" s="66"/>
      <c r="AY862" s="66"/>
      <c r="AZ862" s="66"/>
      <c r="BA862" s="66"/>
      <c r="BB862" s="66"/>
      <c r="BC862" s="66"/>
      <c r="BD862" s="66"/>
      <c r="BE862" s="67"/>
      <c r="BF862" s="67"/>
      <c r="BG862" s="68"/>
      <c r="BI862" s="69">
        <v>0</v>
      </c>
      <c r="BJ862" s="70">
        <v>0</v>
      </c>
      <c r="BK862" s="71">
        <v>0</v>
      </c>
      <c r="BL862" s="71">
        <v>0</v>
      </c>
      <c r="BM862" s="71">
        <v>0</v>
      </c>
      <c r="BN862" s="72">
        <v>0</v>
      </c>
      <c r="BO862" s="151" t="e">
        <f t="shared" si="55"/>
        <v>#DIV/0!</v>
      </c>
      <c r="BP862" s="151" t="e">
        <f t="shared" si="56"/>
        <v>#DIV/0!</v>
      </c>
      <c r="BQ862" s="71">
        <v>0</v>
      </c>
      <c r="BR862" s="71">
        <v>0</v>
      </c>
      <c r="BS862" s="71">
        <v>0</v>
      </c>
      <c r="BT862" s="72">
        <v>0</v>
      </c>
      <c r="BU862" s="73"/>
      <c r="BV862" s="73"/>
    </row>
    <row r="863" ht="30" customHeight="1" spans="1:74">
      <c r="A863" s="55">
        <v>0</v>
      </c>
      <c r="B863" s="56">
        <v>0</v>
      </c>
      <c r="C863" s="57">
        <v>0</v>
      </c>
      <c r="D863" s="211"/>
      <c r="E863" s="74"/>
      <c r="F863" s="59" t="e">
        <f>VLOOKUP(E863,[1]库存!$B$1:$C$65536,2,FALSE)</f>
        <v>#N/A</v>
      </c>
      <c r="G863" s="59" t="e">
        <v>#N/A</v>
      </c>
      <c r="H863" s="74"/>
      <c r="I863" s="74"/>
      <c r="J863" s="98"/>
      <c r="K863" s="61"/>
      <c r="L863" s="62">
        <v>0</v>
      </c>
      <c r="M863" s="63">
        <v>0</v>
      </c>
      <c r="N863" s="64">
        <v>0</v>
      </c>
      <c r="O863" s="62">
        <v>0</v>
      </c>
      <c r="P863" s="65">
        <f t="shared" si="57"/>
        <v>0</v>
      </c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66"/>
      <c r="AU863" s="66"/>
      <c r="AV863" s="66"/>
      <c r="AW863" s="66"/>
      <c r="AX863" s="66"/>
      <c r="AY863" s="66"/>
      <c r="AZ863" s="66"/>
      <c r="BA863" s="66"/>
      <c r="BB863" s="66"/>
      <c r="BC863" s="66"/>
      <c r="BD863" s="66"/>
      <c r="BE863" s="67"/>
      <c r="BF863" s="67"/>
      <c r="BG863" s="68"/>
      <c r="BI863" s="69">
        <v>0</v>
      </c>
      <c r="BJ863" s="70">
        <v>0</v>
      </c>
      <c r="BK863" s="71">
        <v>0</v>
      </c>
      <c r="BL863" s="71">
        <v>0</v>
      </c>
      <c r="BM863" s="71">
        <v>0</v>
      </c>
      <c r="BN863" s="72">
        <v>0</v>
      </c>
      <c r="BO863" s="151" t="e">
        <f t="shared" si="55"/>
        <v>#DIV/0!</v>
      </c>
      <c r="BP863" s="151" t="e">
        <f t="shared" si="56"/>
        <v>#DIV/0!</v>
      </c>
      <c r="BQ863" s="71">
        <v>0</v>
      </c>
      <c r="BR863" s="71">
        <v>0</v>
      </c>
      <c r="BS863" s="71">
        <v>0</v>
      </c>
      <c r="BT863" s="72">
        <v>0</v>
      </c>
      <c r="BU863" s="73"/>
      <c r="BV863" s="73"/>
    </row>
    <row r="864" ht="30" customHeight="1" spans="1:74">
      <c r="A864" s="55" t="s">
        <v>41</v>
      </c>
      <c r="B864" s="56" t="s">
        <v>1057</v>
      </c>
      <c r="C864" s="57" t="s">
        <v>1072</v>
      </c>
      <c r="D864" s="59" t="s">
        <v>1453</v>
      </c>
      <c r="E864" s="59" t="s">
        <v>1461</v>
      </c>
      <c r="F864" s="59" t="str">
        <f>VLOOKUP(E864,[1]库存!$B$1:$C$65536,2,FALSE)</f>
        <v>GEELY FE-6 DAB(INVISTA面料)</v>
      </c>
      <c r="G864" s="59" t="s">
        <v>1462</v>
      </c>
      <c r="H864" s="59" t="s">
        <v>1463</v>
      </c>
      <c r="I864" s="59" t="s">
        <v>1464</v>
      </c>
      <c r="J864" s="97" t="s">
        <v>65</v>
      </c>
      <c r="K864" s="61"/>
      <c r="L864" s="62">
        <v>2</v>
      </c>
      <c r="M864" s="63">
        <v>1500</v>
      </c>
      <c r="N864" s="64">
        <v>6</v>
      </c>
      <c r="O864" s="62">
        <v>2</v>
      </c>
      <c r="P864" s="65">
        <f t="shared" si="57"/>
        <v>0</v>
      </c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  <c r="AS864" s="66"/>
      <c r="AT864" s="66"/>
      <c r="AU864" s="66"/>
      <c r="AV864" s="66"/>
      <c r="AW864" s="66"/>
      <c r="AX864" s="66"/>
      <c r="AY864" s="66"/>
      <c r="AZ864" s="66"/>
      <c r="BA864" s="66"/>
      <c r="BB864" s="66"/>
      <c r="BC864" s="66"/>
      <c r="BD864" s="66"/>
      <c r="BE864" s="67"/>
      <c r="BF864" s="67"/>
      <c r="BG864" s="68"/>
      <c r="BI864" s="69">
        <v>0</v>
      </c>
      <c r="BJ864" s="70">
        <v>0</v>
      </c>
      <c r="BK864" s="71">
        <v>0</v>
      </c>
      <c r="BL864" s="71">
        <v>0</v>
      </c>
      <c r="BM864" s="71">
        <v>0</v>
      </c>
      <c r="BN864" s="72">
        <v>0</v>
      </c>
      <c r="BO864" s="151" t="e">
        <f t="shared" si="55"/>
        <v>#DIV/0!</v>
      </c>
      <c r="BP864" s="151" t="e">
        <f t="shared" si="56"/>
        <v>#DIV/0!</v>
      </c>
      <c r="BQ864" s="71">
        <v>0</v>
      </c>
      <c r="BR864" s="71">
        <v>0</v>
      </c>
      <c r="BS864" s="71">
        <v>0</v>
      </c>
      <c r="BT864" s="72">
        <v>0</v>
      </c>
      <c r="BU864" s="73"/>
      <c r="BV864" s="73"/>
    </row>
    <row r="865" ht="30" customHeight="1" spans="1:74">
      <c r="A865" s="55">
        <v>0</v>
      </c>
      <c r="B865" s="56">
        <v>0</v>
      </c>
      <c r="C865" s="57">
        <v>0</v>
      </c>
      <c r="D865" s="74"/>
      <c r="E865" s="74"/>
      <c r="F865" s="59" t="e">
        <f>VLOOKUP(E865,[1]库存!$B$1:$C$65536,2,FALSE)</f>
        <v>#N/A</v>
      </c>
      <c r="G865" s="59" t="e">
        <v>#N/A</v>
      </c>
      <c r="H865" s="74"/>
      <c r="I865" s="74"/>
      <c r="J865" s="98"/>
      <c r="K865" s="61"/>
      <c r="L865" s="62">
        <v>0</v>
      </c>
      <c r="M865" s="63">
        <v>0</v>
      </c>
      <c r="N865" s="64">
        <v>0</v>
      </c>
      <c r="O865" s="62">
        <v>0</v>
      </c>
      <c r="P865" s="65">
        <f t="shared" si="57"/>
        <v>0</v>
      </c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66"/>
      <c r="AU865" s="66"/>
      <c r="AV865" s="66"/>
      <c r="AW865" s="66"/>
      <c r="AX865" s="66"/>
      <c r="AY865" s="66"/>
      <c r="AZ865" s="66"/>
      <c r="BA865" s="66"/>
      <c r="BB865" s="66"/>
      <c r="BC865" s="66"/>
      <c r="BD865" s="66"/>
      <c r="BE865" s="67"/>
      <c r="BF865" s="67"/>
      <c r="BG865" s="68"/>
      <c r="BI865" s="69">
        <v>0</v>
      </c>
      <c r="BJ865" s="70">
        <v>0</v>
      </c>
      <c r="BK865" s="71">
        <v>0</v>
      </c>
      <c r="BL865" s="71">
        <v>0</v>
      </c>
      <c r="BM865" s="71">
        <v>0</v>
      </c>
      <c r="BN865" s="72">
        <v>0</v>
      </c>
      <c r="BO865" s="151" t="e">
        <f t="shared" si="55"/>
        <v>#DIV/0!</v>
      </c>
      <c r="BP865" s="151" t="e">
        <f t="shared" si="56"/>
        <v>#DIV/0!</v>
      </c>
      <c r="BQ865" s="71">
        <v>0</v>
      </c>
      <c r="BR865" s="71">
        <v>0</v>
      </c>
      <c r="BS865" s="71">
        <v>0</v>
      </c>
      <c r="BT865" s="72">
        <v>0</v>
      </c>
      <c r="BU865" s="73"/>
      <c r="BV865" s="73"/>
    </row>
    <row r="866" ht="30" customHeight="1" spans="1:74">
      <c r="A866" s="55">
        <v>0</v>
      </c>
      <c r="B866" s="56" t="s">
        <v>1057</v>
      </c>
      <c r="C866" s="57" t="s">
        <v>1072</v>
      </c>
      <c r="D866" s="187" t="s">
        <v>1453</v>
      </c>
      <c r="E866" s="59" t="s">
        <v>1465</v>
      </c>
      <c r="F866" s="59" t="str">
        <f>VLOOKUP(E866,[1]库存!$B$1:$C$65536,2,FALSE)</f>
        <v>GEELY VF11 DAB A状态</v>
      </c>
      <c r="G866" s="59" t="s">
        <v>1466</v>
      </c>
      <c r="H866" s="129" t="s">
        <v>1467</v>
      </c>
      <c r="I866" s="59" t="s">
        <v>1468</v>
      </c>
      <c r="J866" s="97" t="s">
        <v>65</v>
      </c>
      <c r="K866" s="61"/>
      <c r="L866" s="62">
        <v>2</v>
      </c>
      <c r="M866" s="63">
        <v>1500</v>
      </c>
      <c r="N866" s="64">
        <v>6</v>
      </c>
      <c r="O866" s="62">
        <v>2</v>
      </c>
      <c r="P866" s="65">
        <f t="shared" si="57"/>
        <v>0</v>
      </c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6"/>
      <c r="AV866" s="66"/>
      <c r="AW866" s="66"/>
      <c r="AX866" s="66"/>
      <c r="AY866" s="66"/>
      <c r="AZ866" s="66"/>
      <c r="BA866" s="66"/>
      <c r="BB866" s="66"/>
      <c r="BC866" s="66"/>
      <c r="BD866" s="66"/>
      <c r="BE866" s="67"/>
      <c r="BF866" s="67"/>
      <c r="BG866" s="68"/>
      <c r="BI866" s="69">
        <v>0</v>
      </c>
      <c r="BJ866" s="70">
        <v>0</v>
      </c>
      <c r="BK866" s="71">
        <v>0</v>
      </c>
      <c r="BL866" s="71">
        <v>0</v>
      </c>
      <c r="BM866" s="71">
        <v>0</v>
      </c>
      <c r="BN866" s="72">
        <v>0</v>
      </c>
      <c r="BO866" s="151" t="e">
        <f t="shared" si="55"/>
        <v>#DIV/0!</v>
      </c>
      <c r="BP866" s="151" t="e">
        <f t="shared" si="56"/>
        <v>#DIV/0!</v>
      </c>
      <c r="BQ866" s="71">
        <v>0</v>
      </c>
      <c r="BR866" s="71">
        <v>0</v>
      </c>
      <c r="BS866" s="71">
        <v>0</v>
      </c>
      <c r="BT866" s="72">
        <v>0</v>
      </c>
      <c r="BU866" s="73"/>
      <c r="BV866" s="73"/>
    </row>
    <row r="867" ht="30" customHeight="1" spans="1:74">
      <c r="A867" s="55">
        <v>0</v>
      </c>
      <c r="B867" s="56">
        <v>0</v>
      </c>
      <c r="C867" s="57">
        <v>0</v>
      </c>
      <c r="D867" s="211"/>
      <c r="E867" s="74"/>
      <c r="F867" s="59" t="e">
        <f>VLOOKUP(E867,[1]库存!$B$1:$C$65536,2,FALSE)</f>
        <v>#N/A</v>
      </c>
      <c r="G867" s="59" t="e">
        <v>#N/A</v>
      </c>
      <c r="H867" s="130"/>
      <c r="I867" s="74"/>
      <c r="J867" s="98"/>
      <c r="K867" s="61"/>
      <c r="L867" s="62">
        <v>0</v>
      </c>
      <c r="M867" s="63">
        <v>0</v>
      </c>
      <c r="N867" s="64">
        <v>0</v>
      </c>
      <c r="O867" s="62">
        <v>0</v>
      </c>
      <c r="P867" s="65">
        <f t="shared" si="57"/>
        <v>0</v>
      </c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6"/>
      <c r="BB867" s="66"/>
      <c r="BC867" s="66"/>
      <c r="BD867" s="66"/>
      <c r="BE867" s="67"/>
      <c r="BF867" s="67"/>
      <c r="BG867" s="68"/>
      <c r="BI867" s="69">
        <v>0</v>
      </c>
      <c r="BJ867" s="70">
        <v>0</v>
      </c>
      <c r="BK867" s="71">
        <v>0</v>
      </c>
      <c r="BL867" s="71">
        <v>0</v>
      </c>
      <c r="BM867" s="71">
        <v>0</v>
      </c>
      <c r="BN867" s="72">
        <v>0</v>
      </c>
      <c r="BO867" s="151" t="e">
        <f t="shared" si="55"/>
        <v>#DIV/0!</v>
      </c>
      <c r="BP867" s="151" t="e">
        <f t="shared" si="56"/>
        <v>#DIV/0!</v>
      </c>
      <c r="BQ867" s="71">
        <v>0</v>
      </c>
      <c r="BR867" s="71">
        <v>0</v>
      </c>
      <c r="BS867" s="71">
        <v>0</v>
      </c>
      <c r="BT867" s="72">
        <v>0</v>
      </c>
      <c r="BU867" s="73"/>
      <c r="BV867" s="73"/>
    </row>
    <row r="868" ht="30" customHeight="1" spans="1:74">
      <c r="A868" s="55" t="s">
        <v>41</v>
      </c>
      <c r="B868" s="56" t="s">
        <v>1057</v>
      </c>
      <c r="C868" s="57" t="s">
        <v>1072</v>
      </c>
      <c r="D868" s="187" t="s">
        <v>1453</v>
      </c>
      <c r="E868" s="59" t="s">
        <v>1469</v>
      </c>
      <c r="F868" s="59" t="str">
        <f>VLOOKUP(E868,[1]库存!$B$1:$C$65536,2,FALSE)</f>
        <v>GEELY LX-1AB DAB</v>
      </c>
      <c r="G868" s="59" t="s">
        <v>1470</v>
      </c>
      <c r="H868" s="59" t="s">
        <v>1471</v>
      </c>
      <c r="I868" s="59" t="s">
        <v>1472</v>
      </c>
      <c r="J868" s="97" t="s">
        <v>65</v>
      </c>
      <c r="K868" s="61"/>
      <c r="L868" s="62">
        <v>2</v>
      </c>
      <c r="M868" s="63">
        <v>1650</v>
      </c>
      <c r="N868" s="64">
        <v>4</v>
      </c>
      <c r="O868" s="62">
        <v>2</v>
      </c>
      <c r="P868" s="65">
        <f t="shared" si="57"/>
        <v>0</v>
      </c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66"/>
      <c r="AU868" s="66"/>
      <c r="AV868" s="66"/>
      <c r="AW868" s="66"/>
      <c r="AX868" s="66"/>
      <c r="AY868" s="66"/>
      <c r="AZ868" s="66"/>
      <c r="BA868" s="66"/>
      <c r="BB868" s="66"/>
      <c r="BC868" s="66"/>
      <c r="BD868" s="66"/>
      <c r="BE868" s="67"/>
      <c r="BF868" s="67"/>
      <c r="BG868" s="68"/>
      <c r="BI868" s="69">
        <v>0</v>
      </c>
      <c r="BJ868" s="70">
        <v>0</v>
      </c>
      <c r="BK868" s="71">
        <v>0</v>
      </c>
      <c r="BL868" s="71">
        <v>0</v>
      </c>
      <c r="BM868" s="71">
        <v>0</v>
      </c>
      <c r="BN868" s="72">
        <v>0</v>
      </c>
      <c r="BO868" s="151" t="e">
        <f t="shared" si="55"/>
        <v>#DIV/0!</v>
      </c>
      <c r="BP868" s="151" t="e">
        <f t="shared" si="56"/>
        <v>#DIV/0!</v>
      </c>
      <c r="BQ868" s="71">
        <v>0</v>
      </c>
      <c r="BR868" s="71">
        <v>0</v>
      </c>
      <c r="BS868" s="71">
        <v>0</v>
      </c>
      <c r="BT868" s="72">
        <v>0</v>
      </c>
      <c r="BU868" s="73"/>
      <c r="BV868" s="73"/>
    </row>
    <row r="869" ht="30" customHeight="1" spans="1:74">
      <c r="A869" s="55">
        <v>0</v>
      </c>
      <c r="B869" s="56">
        <v>0</v>
      </c>
      <c r="C869" s="57">
        <v>0</v>
      </c>
      <c r="D869" s="211"/>
      <c r="E869" s="74"/>
      <c r="F869" s="59" t="e">
        <f>VLOOKUP(E869,[1]库存!$B$1:$C$65536,2,FALSE)</f>
        <v>#N/A</v>
      </c>
      <c r="G869" s="59" t="e">
        <v>#N/A</v>
      </c>
      <c r="H869" s="74"/>
      <c r="I869" s="74"/>
      <c r="J869" s="98"/>
      <c r="K869" s="61"/>
      <c r="L869" s="62">
        <v>0</v>
      </c>
      <c r="M869" s="63">
        <v>0</v>
      </c>
      <c r="N869" s="64">
        <v>0</v>
      </c>
      <c r="O869" s="62">
        <v>0</v>
      </c>
      <c r="P869" s="65">
        <f t="shared" si="57"/>
        <v>0</v>
      </c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66"/>
      <c r="AU869" s="66"/>
      <c r="AV869" s="66"/>
      <c r="AW869" s="66"/>
      <c r="AX869" s="66"/>
      <c r="AY869" s="66"/>
      <c r="AZ869" s="66"/>
      <c r="BA869" s="66"/>
      <c r="BB869" s="66"/>
      <c r="BC869" s="66"/>
      <c r="BD869" s="66"/>
      <c r="BE869" s="67"/>
      <c r="BF869" s="67"/>
      <c r="BG869" s="68"/>
      <c r="BI869" s="69">
        <v>0</v>
      </c>
      <c r="BJ869" s="70">
        <v>0</v>
      </c>
      <c r="BK869" s="71">
        <v>0</v>
      </c>
      <c r="BL869" s="71">
        <v>0</v>
      </c>
      <c r="BM869" s="71">
        <v>0</v>
      </c>
      <c r="BN869" s="72">
        <v>0</v>
      </c>
      <c r="BO869" s="151" t="e">
        <f t="shared" si="55"/>
        <v>#DIV/0!</v>
      </c>
      <c r="BP869" s="151" t="e">
        <f t="shared" si="56"/>
        <v>#DIV/0!</v>
      </c>
      <c r="BQ869" s="71">
        <v>0</v>
      </c>
      <c r="BR869" s="71">
        <v>0</v>
      </c>
      <c r="BS869" s="71">
        <v>0</v>
      </c>
      <c r="BT869" s="72">
        <v>0</v>
      </c>
      <c r="BU869" s="73"/>
      <c r="BV869" s="73"/>
    </row>
    <row r="870" ht="30" customHeight="1" spans="1:74">
      <c r="A870" s="55">
        <v>0</v>
      </c>
      <c r="B870" s="56">
        <v>0</v>
      </c>
      <c r="C870" s="57">
        <v>0</v>
      </c>
      <c r="D870" s="212" t="s">
        <v>1473</v>
      </c>
      <c r="E870" s="88"/>
      <c r="F870" s="59" t="e">
        <f>VLOOKUP(E870,[1]库存!$B$1:$C$65536,2,FALSE)</f>
        <v>#N/A</v>
      </c>
      <c r="G870" s="59" t="e">
        <v>#N/A</v>
      </c>
      <c r="H870" s="89"/>
      <c r="I870" s="88"/>
      <c r="J870" s="90"/>
      <c r="K870" s="61"/>
      <c r="L870" s="62">
        <v>0</v>
      </c>
      <c r="M870" s="63">
        <v>0</v>
      </c>
      <c r="N870" s="64">
        <v>0</v>
      </c>
      <c r="O870" s="62">
        <v>0</v>
      </c>
      <c r="P870" s="65">
        <f t="shared" si="57"/>
        <v>0</v>
      </c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66"/>
      <c r="AU870" s="66"/>
      <c r="AV870" s="66"/>
      <c r="AW870" s="66"/>
      <c r="AX870" s="66"/>
      <c r="AY870" s="66"/>
      <c r="AZ870" s="66"/>
      <c r="BA870" s="66"/>
      <c r="BB870" s="66"/>
      <c r="BC870" s="66"/>
      <c r="BD870" s="66"/>
      <c r="BE870" s="67"/>
      <c r="BF870" s="67"/>
      <c r="BG870" s="68"/>
      <c r="BI870" s="69">
        <v>0</v>
      </c>
      <c r="BJ870" s="70">
        <v>0</v>
      </c>
      <c r="BK870" s="71">
        <v>0</v>
      </c>
      <c r="BL870" s="71">
        <v>0</v>
      </c>
      <c r="BM870" s="71">
        <v>0</v>
      </c>
      <c r="BN870" s="72">
        <v>0</v>
      </c>
      <c r="BO870" s="151" t="e">
        <f t="shared" si="55"/>
        <v>#DIV/0!</v>
      </c>
      <c r="BP870" s="151" t="e">
        <f t="shared" si="56"/>
        <v>#DIV/0!</v>
      </c>
      <c r="BQ870" s="71">
        <v>0</v>
      </c>
      <c r="BR870" s="71">
        <v>0</v>
      </c>
      <c r="BS870" s="71">
        <v>0</v>
      </c>
      <c r="BT870" s="72">
        <v>0</v>
      </c>
      <c r="BU870" s="73"/>
      <c r="BV870" s="73"/>
    </row>
    <row r="871" ht="30" customHeight="1" spans="1:74">
      <c r="A871" s="55" t="s">
        <v>96</v>
      </c>
      <c r="B871" s="56" t="s">
        <v>1057</v>
      </c>
      <c r="C871" s="57" t="s">
        <v>1072</v>
      </c>
      <c r="D871" s="187" t="s">
        <v>1474</v>
      </c>
      <c r="E871" s="59" t="s">
        <v>1475</v>
      </c>
      <c r="F871" s="59" t="str">
        <f>VLOOKUP(E871,[1]库存!$B$1:$C$65536,2,FALSE)</f>
        <v>SGMW CN210S DAB B状态</v>
      </c>
      <c r="G871" s="59" t="s">
        <v>1476</v>
      </c>
      <c r="H871" s="129" t="s">
        <v>1477</v>
      </c>
      <c r="I871" s="59" t="s">
        <v>1478</v>
      </c>
      <c r="J871" s="97" t="s">
        <v>65</v>
      </c>
      <c r="K871" s="61"/>
      <c r="L871" s="62">
        <v>2</v>
      </c>
      <c r="M871" s="63">
        <v>1500</v>
      </c>
      <c r="N871" s="64">
        <v>6</v>
      </c>
      <c r="O871" s="62">
        <v>2</v>
      </c>
      <c r="P871" s="65">
        <f t="shared" si="57"/>
        <v>0</v>
      </c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66"/>
      <c r="AU871" s="66"/>
      <c r="AV871" s="66"/>
      <c r="AW871" s="66"/>
      <c r="AX871" s="66"/>
      <c r="AY871" s="66"/>
      <c r="AZ871" s="66"/>
      <c r="BA871" s="66"/>
      <c r="BB871" s="66"/>
      <c r="BC871" s="66"/>
      <c r="BD871" s="66"/>
      <c r="BE871" s="67"/>
      <c r="BF871" s="67"/>
      <c r="BG871" s="68"/>
      <c r="BI871" s="69">
        <v>0</v>
      </c>
      <c r="BJ871" s="70">
        <v>0</v>
      </c>
      <c r="BK871" s="71">
        <v>0</v>
      </c>
      <c r="BL871" s="71">
        <v>0</v>
      </c>
      <c r="BM871" s="71">
        <v>0</v>
      </c>
      <c r="BN871" s="72">
        <v>0</v>
      </c>
      <c r="BO871" s="151" t="e">
        <f t="shared" si="55"/>
        <v>#DIV/0!</v>
      </c>
      <c r="BP871" s="151" t="e">
        <f t="shared" si="56"/>
        <v>#DIV/0!</v>
      </c>
      <c r="BQ871" s="71">
        <v>0</v>
      </c>
      <c r="BR871" s="71">
        <v>0</v>
      </c>
      <c r="BS871" s="71">
        <v>0</v>
      </c>
      <c r="BT871" s="72">
        <v>0</v>
      </c>
      <c r="BU871" s="73"/>
      <c r="BV871" s="73"/>
    </row>
    <row r="872" ht="30" customHeight="1" spans="1:74">
      <c r="A872" s="55">
        <v>0</v>
      </c>
      <c r="B872" s="56">
        <v>0</v>
      </c>
      <c r="C872" s="57">
        <v>0</v>
      </c>
      <c r="D872" s="211"/>
      <c r="E872" s="74"/>
      <c r="F872" s="59" t="e">
        <f>VLOOKUP(E872,[1]库存!$B$1:$C$65536,2,FALSE)</f>
        <v>#N/A</v>
      </c>
      <c r="G872" s="59" t="e">
        <v>#N/A</v>
      </c>
      <c r="H872" s="130"/>
      <c r="I872" s="74"/>
      <c r="J872" s="98"/>
      <c r="K872" s="61"/>
      <c r="L872" s="62">
        <v>0</v>
      </c>
      <c r="M872" s="63">
        <v>0</v>
      </c>
      <c r="N872" s="64">
        <v>0</v>
      </c>
      <c r="O872" s="62">
        <v>0</v>
      </c>
      <c r="P872" s="65">
        <f t="shared" si="57"/>
        <v>0</v>
      </c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66"/>
      <c r="AU872" s="66"/>
      <c r="AV872" s="66"/>
      <c r="AW872" s="66"/>
      <c r="AX872" s="66"/>
      <c r="AY872" s="66"/>
      <c r="AZ872" s="66"/>
      <c r="BA872" s="66"/>
      <c r="BB872" s="66"/>
      <c r="BC872" s="66"/>
      <c r="BD872" s="66"/>
      <c r="BE872" s="67"/>
      <c r="BF872" s="67"/>
      <c r="BG872" s="68"/>
      <c r="BI872" s="69">
        <v>0</v>
      </c>
      <c r="BJ872" s="70">
        <v>0</v>
      </c>
      <c r="BK872" s="71">
        <v>0</v>
      </c>
      <c r="BL872" s="71">
        <v>0</v>
      </c>
      <c r="BM872" s="71">
        <v>0</v>
      </c>
      <c r="BN872" s="72">
        <v>0</v>
      </c>
      <c r="BO872" s="151" t="e">
        <f t="shared" si="55"/>
        <v>#DIV/0!</v>
      </c>
      <c r="BP872" s="151" t="e">
        <f t="shared" si="56"/>
        <v>#DIV/0!</v>
      </c>
      <c r="BQ872" s="71">
        <v>0</v>
      </c>
      <c r="BR872" s="71">
        <v>0</v>
      </c>
      <c r="BS872" s="71">
        <v>0</v>
      </c>
      <c r="BT872" s="72">
        <v>0</v>
      </c>
      <c r="BU872" s="73"/>
      <c r="BV872" s="73"/>
    </row>
    <row r="873" ht="30" customHeight="1" spans="1:74">
      <c r="A873" s="55">
        <v>0</v>
      </c>
      <c r="B873" s="56" t="s">
        <v>1057</v>
      </c>
      <c r="C873" s="57" t="s">
        <v>1072</v>
      </c>
      <c r="D873" s="187" t="s">
        <v>1474</v>
      </c>
      <c r="E873" s="59" t="s">
        <v>1479</v>
      </c>
      <c r="F873" s="59" t="str">
        <f>VLOOKUP(E873,[1]库存!$B$1:$C$65536,2,FALSE)</f>
        <v>SGMW CN210M DAB</v>
      </c>
      <c r="G873" s="59" t="s">
        <v>1480</v>
      </c>
      <c r="H873" s="59" t="s">
        <v>1481</v>
      </c>
      <c r="I873" s="59" t="s">
        <v>1478</v>
      </c>
      <c r="J873" s="97" t="s">
        <v>65</v>
      </c>
      <c r="K873" s="61"/>
      <c r="L873" s="62">
        <v>2</v>
      </c>
      <c r="M873" s="63">
        <v>1500</v>
      </c>
      <c r="N873" s="64">
        <v>6</v>
      </c>
      <c r="O873" s="62">
        <v>2</v>
      </c>
      <c r="P873" s="65">
        <f t="shared" si="57"/>
        <v>0</v>
      </c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66"/>
      <c r="AU873" s="66"/>
      <c r="AV873" s="66"/>
      <c r="AW873" s="66"/>
      <c r="AX873" s="66"/>
      <c r="AY873" s="66"/>
      <c r="AZ873" s="66"/>
      <c r="BA873" s="66"/>
      <c r="BB873" s="66"/>
      <c r="BC873" s="66"/>
      <c r="BD873" s="66"/>
      <c r="BE873" s="67"/>
      <c r="BF873" s="67"/>
      <c r="BG873" s="68"/>
      <c r="BI873" s="69">
        <v>0</v>
      </c>
      <c r="BJ873" s="70">
        <v>0</v>
      </c>
      <c r="BK873" s="71">
        <v>0</v>
      </c>
      <c r="BL873" s="71">
        <v>0</v>
      </c>
      <c r="BM873" s="71">
        <v>0</v>
      </c>
      <c r="BN873" s="72">
        <v>0</v>
      </c>
      <c r="BO873" s="151" t="e">
        <f t="shared" si="55"/>
        <v>#DIV/0!</v>
      </c>
      <c r="BP873" s="151" t="e">
        <f t="shared" si="56"/>
        <v>#DIV/0!</v>
      </c>
      <c r="BQ873" s="71">
        <v>0</v>
      </c>
      <c r="BR873" s="71">
        <v>0</v>
      </c>
      <c r="BS873" s="71">
        <v>0</v>
      </c>
      <c r="BT873" s="72">
        <v>0</v>
      </c>
      <c r="BU873" s="73"/>
      <c r="BV873" s="73"/>
    </row>
    <row r="874" ht="30" customHeight="1" spans="1:74">
      <c r="A874" s="55">
        <v>0</v>
      </c>
      <c r="B874" s="56">
        <v>0</v>
      </c>
      <c r="C874" s="57">
        <v>0</v>
      </c>
      <c r="D874" s="211"/>
      <c r="E874" s="74"/>
      <c r="F874" s="59" t="e">
        <f>VLOOKUP(E874,[1]库存!$B$1:$C$65536,2,FALSE)</f>
        <v>#N/A</v>
      </c>
      <c r="G874" s="59" t="e">
        <v>#N/A</v>
      </c>
      <c r="H874" s="74"/>
      <c r="I874" s="74"/>
      <c r="J874" s="98"/>
      <c r="K874" s="61"/>
      <c r="L874" s="62">
        <v>0</v>
      </c>
      <c r="M874" s="63">
        <v>0</v>
      </c>
      <c r="N874" s="64">
        <v>0</v>
      </c>
      <c r="O874" s="62">
        <v>0</v>
      </c>
      <c r="P874" s="65">
        <f t="shared" si="57"/>
        <v>0</v>
      </c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66"/>
      <c r="AU874" s="66"/>
      <c r="AV874" s="66"/>
      <c r="AW874" s="66"/>
      <c r="AX874" s="66"/>
      <c r="AY874" s="66"/>
      <c r="AZ874" s="66"/>
      <c r="BA874" s="66"/>
      <c r="BB874" s="66"/>
      <c r="BC874" s="66"/>
      <c r="BD874" s="66"/>
      <c r="BE874" s="67"/>
      <c r="BF874" s="67"/>
      <c r="BG874" s="68"/>
      <c r="BI874" s="69">
        <v>0</v>
      </c>
      <c r="BJ874" s="70">
        <v>0</v>
      </c>
      <c r="BK874" s="71">
        <v>0</v>
      </c>
      <c r="BL874" s="71">
        <v>0</v>
      </c>
      <c r="BM874" s="71">
        <v>0</v>
      </c>
      <c r="BN874" s="72">
        <v>0</v>
      </c>
      <c r="BO874" s="151" t="e">
        <f t="shared" si="55"/>
        <v>#DIV/0!</v>
      </c>
      <c r="BP874" s="151" t="e">
        <f t="shared" si="56"/>
        <v>#DIV/0!</v>
      </c>
      <c r="BQ874" s="71">
        <v>0</v>
      </c>
      <c r="BR874" s="71">
        <v>0</v>
      </c>
      <c r="BS874" s="71">
        <v>0</v>
      </c>
      <c r="BT874" s="72">
        <v>0</v>
      </c>
      <c r="BU874" s="73"/>
      <c r="BV874" s="73"/>
    </row>
    <row r="875" ht="30" customHeight="1" spans="1:74">
      <c r="A875" s="55" t="s">
        <v>96</v>
      </c>
      <c r="B875" s="56" t="s">
        <v>1057</v>
      </c>
      <c r="C875" s="57" t="s">
        <v>1072</v>
      </c>
      <c r="D875" s="187" t="s">
        <v>1474</v>
      </c>
      <c r="E875" s="59" t="s">
        <v>1482</v>
      </c>
      <c r="F875" s="59" t="str">
        <f>VLOOKUP(E875,[1]库存!$B$1:$C$65536,2,FALSE)</f>
        <v>SGMW CN180S MY DAB</v>
      </c>
      <c r="G875" s="59" t="s">
        <v>1483</v>
      </c>
      <c r="H875" s="59" t="s">
        <v>1484</v>
      </c>
      <c r="I875" s="59" t="s">
        <v>1485</v>
      </c>
      <c r="J875" s="213" t="s">
        <v>1486</v>
      </c>
      <c r="K875" s="61"/>
      <c r="L875" s="62">
        <v>2</v>
      </c>
      <c r="M875" s="63">
        <v>1000</v>
      </c>
      <c r="N875" s="64">
        <v>6</v>
      </c>
      <c r="O875" s="62">
        <v>2</v>
      </c>
      <c r="P875" s="65">
        <f t="shared" si="57"/>
        <v>0</v>
      </c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66"/>
      <c r="AU875" s="66"/>
      <c r="AV875" s="66"/>
      <c r="AW875" s="66"/>
      <c r="AX875" s="66"/>
      <c r="AY875" s="66"/>
      <c r="AZ875" s="66"/>
      <c r="BA875" s="66"/>
      <c r="BB875" s="66"/>
      <c r="BC875" s="66"/>
      <c r="BD875" s="66"/>
      <c r="BE875" s="67"/>
      <c r="BF875" s="67"/>
      <c r="BG875" s="68"/>
      <c r="BI875" s="69">
        <v>0</v>
      </c>
      <c r="BJ875" s="70">
        <v>0</v>
      </c>
      <c r="BK875" s="71">
        <v>0</v>
      </c>
      <c r="BL875" s="71">
        <v>0</v>
      </c>
      <c r="BM875" s="71">
        <v>0</v>
      </c>
      <c r="BN875" s="72">
        <v>0</v>
      </c>
      <c r="BO875" s="151" t="e">
        <f t="shared" si="55"/>
        <v>#DIV/0!</v>
      </c>
      <c r="BP875" s="151" t="e">
        <f t="shared" si="56"/>
        <v>#DIV/0!</v>
      </c>
      <c r="BQ875" s="71">
        <v>0</v>
      </c>
      <c r="BR875" s="71">
        <v>0</v>
      </c>
      <c r="BS875" s="71">
        <v>0</v>
      </c>
      <c r="BT875" s="72">
        <v>0</v>
      </c>
      <c r="BU875" s="73"/>
      <c r="BV875" s="73"/>
    </row>
    <row r="876" ht="30" customHeight="1" spans="1:74">
      <c r="A876" s="55">
        <v>0</v>
      </c>
      <c r="B876" s="56">
        <v>0</v>
      </c>
      <c r="C876" s="57">
        <v>0</v>
      </c>
      <c r="D876" s="211"/>
      <c r="E876" s="74"/>
      <c r="F876" s="59" t="e">
        <f>VLOOKUP(E876,[1]库存!$B$1:$C$65536,2,FALSE)</f>
        <v>#N/A</v>
      </c>
      <c r="G876" s="59" t="e">
        <v>#N/A</v>
      </c>
      <c r="H876" s="74"/>
      <c r="I876" s="74"/>
      <c r="J876" s="214"/>
      <c r="K876" s="61"/>
      <c r="L876" s="62">
        <v>0</v>
      </c>
      <c r="M876" s="63">
        <v>0</v>
      </c>
      <c r="N876" s="64">
        <v>0</v>
      </c>
      <c r="O876" s="62">
        <v>0</v>
      </c>
      <c r="P876" s="65">
        <f t="shared" si="57"/>
        <v>0</v>
      </c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  <c r="AS876" s="66"/>
      <c r="AT876" s="66"/>
      <c r="AU876" s="66"/>
      <c r="AV876" s="66"/>
      <c r="AW876" s="66"/>
      <c r="AX876" s="66"/>
      <c r="AY876" s="66"/>
      <c r="AZ876" s="66"/>
      <c r="BA876" s="66"/>
      <c r="BB876" s="66"/>
      <c r="BC876" s="66"/>
      <c r="BD876" s="66"/>
      <c r="BE876" s="67"/>
      <c r="BF876" s="67"/>
      <c r="BG876" s="68"/>
      <c r="BI876" s="69">
        <v>0</v>
      </c>
      <c r="BJ876" s="70">
        <v>0</v>
      </c>
      <c r="BK876" s="71">
        <v>0</v>
      </c>
      <c r="BL876" s="71">
        <v>0</v>
      </c>
      <c r="BM876" s="71">
        <v>0</v>
      </c>
      <c r="BN876" s="72">
        <v>0</v>
      </c>
      <c r="BO876" s="151" t="e">
        <f t="shared" si="55"/>
        <v>#DIV/0!</v>
      </c>
      <c r="BP876" s="151" t="e">
        <f t="shared" si="56"/>
        <v>#DIV/0!</v>
      </c>
      <c r="BQ876" s="71">
        <v>0</v>
      </c>
      <c r="BR876" s="71">
        <v>0</v>
      </c>
      <c r="BS876" s="71">
        <v>0</v>
      </c>
      <c r="BT876" s="72">
        <v>0</v>
      </c>
      <c r="BU876" s="73"/>
      <c r="BV876" s="73"/>
    </row>
    <row r="877" ht="30" customHeight="1" spans="1:74">
      <c r="A877" s="55" t="s">
        <v>96</v>
      </c>
      <c r="B877" s="56" t="s">
        <v>1057</v>
      </c>
      <c r="C877" s="57" t="s">
        <v>1072</v>
      </c>
      <c r="D877" s="59" t="s">
        <v>1474</v>
      </c>
      <c r="E877" s="59" t="s">
        <v>1487</v>
      </c>
      <c r="F877" s="59" t="str">
        <f>VLOOKUP(E877,[1]库存!$B$1:$C$65536,2,FALSE)</f>
        <v>SVW TCROSS DAB</v>
      </c>
      <c r="G877" s="59" t="s">
        <v>1488</v>
      </c>
      <c r="H877" s="59" t="s">
        <v>1489</v>
      </c>
      <c r="I877" s="59" t="s">
        <v>1490</v>
      </c>
      <c r="J877" s="100" t="s">
        <v>281</v>
      </c>
      <c r="K877" s="61"/>
      <c r="L877" s="62">
        <v>2</v>
      </c>
      <c r="M877" s="63">
        <v>1500</v>
      </c>
      <c r="N877" s="64">
        <v>6</v>
      </c>
      <c r="O877" s="62">
        <v>2</v>
      </c>
      <c r="P877" s="65">
        <f t="shared" si="57"/>
        <v>0</v>
      </c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66"/>
      <c r="AU877" s="66"/>
      <c r="AV877" s="66"/>
      <c r="AW877" s="66"/>
      <c r="AX877" s="66"/>
      <c r="AY877" s="66"/>
      <c r="AZ877" s="66"/>
      <c r="BA877" s="66"/>
      <c r="BB877" s="66"/>
      <c r="BC877" s="66"/>
      <c r="BD877" s="66"/>
      <c r="BE877" s="67"/>
      <c r="BF877" s="67"/>
      <c r="BG877" s="68"/>
      <c r="BI877" s="69">
        <v>0</v>
      </c>
      <c r="BJ877" s="70">
        <v>0</v>
      </c>
      <c r="BK877" s="71">
        <v>0</v>
      </c>
      <c r="BL877" s="71">
        <v>0</v>
      </c>
      <c r="BM877" s="71">
        <v>0</v>
      </c>
      <c r="BN877" s="72">
        <v>0</v>
      </c>
      <c r="BO877" s="151" t="e">
        <f t="shared" si="55"/>
        <v>#DIV/0!</v>
      </c>
      <c r="BP877" s="151" t="e">
        <f t="shared" si="56"/>
        <v>#DIV/0!</v>
      </c>
      <c r="BQ877" s="71">
        <v>0</v>
      </c>
      <c r="BR877" s="71">
        <v>0</v>
      </c>
      <c r="BS877" s="71">
        <v>0</v>
      </c>
      <c r="BT877" s="72">
        <v>0</v>
      </c>
      <c r="BU877" s="73"/>
      <c r="BV877" s="73"/>
    </row>
    <row r="878" ht="30" customHeight="1" spans="1:74">
      <c r="A878" s="55">
        <v>0</v>
      </c>
      <c r="B878" s="56">
        <v>0</v>
      </c>
      <c r="C878" s="57">
        <v>0</v>
      </c>
      <c r="D878" s="74"/>
      <c r="E878" s="74"/>
      <c r="F878" s="59" t="e">
        <f>VLOOKUP(E878,[1]库存!$B$1:$C$65536,2,FALSE)</f>
        <v>#N/A</v>
      </c>
      <c r="G878" s="59" t="e">
        <v>#N/A</v>
      </c>
      <c r="H878" s="74"/>
      <c r="I878" s="74"/>
      <c r="J878" s="101"/>
      <c r="K878" s="61"/>
      <c r="L878" s="62">
        <v>0</v>
      </c>
      <c r="M878" s="63">
        <v>0</v>
      </c>
      <c r="N878" s="64">
        <v>0</v>
      </c>
      <c r="O878" s="62">
        <v>0</v>
      </c>
      <c r="P878" s="65">
        <f t="shared" si="57"/>
        <v>0</v>
      </c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66"/>
      <c r="AZ878" s="66"/>
      <c r="BA878" s="66"/>
      <c r="BB878" s="66"/>
      <c r="BC878" s="66"/>
      <c r="BD878" s="66"/>
      <c r="BE878" s="67"/>
      <c r="BF878" s="67"/>
      <c r="BG878" s="68"/>
      <c r="BI878" s="69">
        <v>0</v>
      </c>
      <c r="BJ878" s="70">
        <v>0</v>
      </c>
      <c r="BK878" s="71">
        <v>0</v>
      </c>
      <c r="BL878" s="71">
        <v>0</v>
      </c>
      <c r="BM878" s="71">
        <v>0</v>
      </c>
      <c r="BN878" s="72">
        <v>0</v>
      </c>
      <c r="BO878" s="151" t="e">
        <f t="shared" si="55"/>
        <v>#DIV/0!</v>
      </c>
      <c r="BP878" s="151" t="e">
        <f t="shared" si="56"/>
        <v>#DIV/0!</v>
      </c>
      <c r="BQ878" s="71">
        <v>0</v>
      </c>
      <c r="BR878" s="71">
        <v>0</v>
      </c>
      <c r="BS878" s="71">
        <v>0</v>
      </c>
      <c r="BT878" s="72">
        <v>0</v>
      </c>
      <c r="BU878" s="73"/>
      <c r="BV878" s="73"/>
    </row>
    <row r="879" ht="30" customHeight="1" spans="1:74">
      <c r="A879" s="55">
        <v>0</v>
      </c>
      <c r="B879" s="56" t="s">
        <v>1057</v>
      </c>
      <c r="C879" s="57" t="s">
        <v>1072</v>
      </c>
      <c r="D879" s="187" t="s">
        <v>1474</v>
      </c>
      <c r="E879" s="59" t="s">
        <v>1491</v>
      </c>
      <c r="F879" s="59" t="str">
        <f>VLOOKUP(E879,[1]库存!$B$1:$C$65536,2,FALSE)</f>
        <v>SVW SUPERB PA DAB</v>
      </c>
      <c r="G879" s="59" t="s">
        <v>1492</v>
      </c>
      <c r="H879" s="59" t="s">
        <v>1493</v>
      </c>
      <c r="I879" s="59" t="s">
        <v>1494</v>
      </c>
      <c r="J879" s="97" t="s">
        <v>1495</v>
      </c>
      <c r="K879" s="61"/>
      <c r="L879" s="62">
        <v>2</v>
      </c>
      <c r="M879" s="63">
        <v>1500</v>
      </c>
      <c r="N879" s="64">
        <v>6</v>
      </c>
      <c r="O879" s="62">
        <v>2</v>
      </c>
      <c r="P879" s="65">
        <f t="shared" si="57"/>
        <v>0</v>
      </c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66"/>
      <c r="AU879" s="66"/>
      <c r="AV879" s="66"/>
      <c r="AW879" s="66"/>
      <c r="AX879" s="66"/>
      <c r="AY879" s="66"/>
      <c r="AZ879" s="66"/>
      <c r="BA879" s="66"/>
      <c r="BB879" s="66"/>
      <c r="BC879" s="66"/>
      <c r="BD879" s="66"/>
      <c r="BE879" s="67"/>
      <c r="BF879" s="67"/>
      <c r="BG879" s="68"/>
      <c r="BI879" s="69">
        <v>0</v>
      </c>
      <c r="BJ879" s="70">
        <v>0</v>
      </c>
      <c r="BK879" s="71">
        <v>0</v>
      </c>
      <c r="BL879" s="71">
        <v>0</v>
      </c>
      <c r="BM879" s="71">
        <v>0</v>
      </c>
      <c r="BN879" s="72">
        <v>0</v>
      </c>
      <c r="BO879" s="151" t="e">
        <f t="shared" si="55"/>
        <v>#DIV/0!</v>
      </c>
      <c r="BP879" s="151" t="e">
        <f t="shared" si="56"/>
        <v>#DIV/0!</v>
      </c>
      <c r="BQ879" s="71">
        <v>0</v>
      </c>
      <c r="BR879" s="71">
        <v>0</v>
      </c>
      <c r="BS879" s="71">
        <v>0</v>
      </c>
      <c r="BT879" s="72">
        <v>0</v>
      </c>
      <c r="BU879" s="73"/>
      <c r="BV879" s="73"/>
    </row>
    <row r="880" ht="30" customHeight="1" spans="1:74">
      <c r="A880" s="55">
        <v>0</v>
      </c>
      <c r="B880" s="56">
        <v>0</v>
      </c>
      <c r="C880" s="57">
        <v>0</v>
      </c>
      <c r="D880" s="211"/>
      <c r="E880" s="74"/>
      <c r="F880" s="59" t="e">
        <f>VLOOKUP(E880,[1]库存!$B$1:$C$65536,2,FALSE)</f>
        <v>#N/A</v>
      </c>
      <c r="G880" s="59" t="e">
        <v>#N/A</v>
      </c>
      <c r="H880" s="74"/>
      <c r="I880" s="74"/>
      <c r="J880" s="98"/>
      <c r="K880" s="61"/>
      <c r="L880" s="62">
        <v>0</v>
      </c>
      <c r="M880" s="63">
        <v>0</v>
      </c>
      <c r="N880" s="64">
        <v>0</v>
      </c>
      <c r="O880" s="62">
        <v>0</v>
      </c>
      <c r="P880" s="65">
        <f t="shared" si="57"/>
        <v>0</v>
      </c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66"/>
      <c r="AZ880" s="66"/>
      <c r="BA880" s="66"/>
      <c r="BB880" s="66"/>
      <c r="BC880" s="66"/>
      <c r="BD880" s="66"/>
      <c r="BE880" s="67"/>
      <c r="BF880" s="67"/>
      <c r="BG880" s="68"/>
      <c r="BI880" s="69">
        <v>0</v>
      </c>
      <c r="BJ880" s="70">
        <v>0</v>
      </c>
      <c r="BK880" s="71">
        <v>0</v>
      </c>
      <c r="BL880" s="71">
        <v>0</v>
      </c>
      <c r="BM880" s="71">
        <v>0</v>
      </c>
      <c r="BN880" s="72">
        <v>0</v>
      </c>
      <c r="BO880" s="151" t="e">
        <f t="shared" si="55"/>
        <v>#DIV/0!</v>
      </c>
      <c r="BP880" s="151" t="e">
        <f t="shared" si="56"/>
        <v>#DIV/0!</v>
      </c>
      <c r="BQ880" s="71">
        <v>0</v>
      </c>
      <c r="BR880" s="71">
        <v>0</v>
      </c>
      <c r="BS880" s="71">
        <v>0</v>
      </c>
      <c r="BT880" s="72">
        <v>0</v>
      </c>
      <c r="BU880" s="73"/>
      <c r="BV880" s="73"/>
    </row>
    <row r="881" ht="30" customHeight="1" spans="1:74">
      <c r="A881" s="55">
        <v>0</v>
      </c>
      <c r="B881" s="56">
        <v>0</v>
      </c>
      <c r="C881" s="57">
        <v>0</v>
      </c>
      <c r="E881" s="88"/>
      <c r="F881" s="59" t="e">
        <f>VLOOKUP(E881,[1]库存!$B$1:$C$65536,2,FALSE)</f>
        <v>#N/A</v>
      </c>
      <c r="G881" s="59" t="e">
        <v>#N/A</v>
      </c>
      <c r="H881" s="89"/>
      <c r="I881" s="88"/>
      <c r="J881" s="90"/>
      <c r="K881" s="61"/>
      <c r="L881" s="62">
        <v>0</v>
      </c>
      <c r="M881" s="63">
        <v>0</v>
      </c>
      <c r="N881" s="64">
        <v>0</v>
      </c>
      <c r="O881" s="62">
        <v>0</v>
      </c>
      <c r="P881" s="65">
        <f t="shared" si="57"/>
        <v>0</v>
      </c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  <c r="AS881" s="66"/>
      <c r="AT881" s="66"/>
      <c r="AU881" s="66"/>
      <c r="AV881" s="66"/>
      <c r="AW881" s="66"/>
      <c r="AX881" s="66"/>
      <c r="AY881" s="66"/>
      <c r="AZ881" s="66"/>
      <c r="BA881" s="66"/>
      <c r="BB881" s="66"/>
      <c r="BC881" s="66"/>
      <c r="BD881" s="66"/>
      <c r="BE881" s="67"/>
      <c r="BF881" s="67"/>
      <c r="BG881" s="68"/>
      <c r="BI881" s="69">
        <v>0</v>
      </c>
      <c r="BJ881" s="70">
        <v>0</v>
      </c>
      <c r="BK881" s="71">
        <v>0</v>
      </c>
      <c r="BL881" s="71">
        <v>0</v>
      </c>
      <c r="BM881" s="71">
        <v>0</v>
      </c>
      <c r="BN881" s="72">
        <v>0</v>
      </c>
      <c r="BO881" s="151" t="e">
        <f t="shared" si="55"/>
        <v>#DIV/0!</v>
      </c>
      <c r="BP881" s="151" t="e">
        <f t="shared" si="56"/>
        <v>#DIV/0!</v>
      </c>
      <c r="BQ881" s="71">
        <v>0</v>
      </c>
      <c r="BR881" s="71">
        <v>0</v>
      </c>
      <c r="BS881" s="71">
        <v>0</v>
      </c>
      <c r="BT881" s="72">
        <v>0</v>
      </c>
      <c r="BU881" s="73"/>
      <c r="BV881" s="73"/>
    </row>
    <row r="882" ht="30" customHeight="1" spans="1:74">
      <c r="A882" s="55" t="s">
        <v>41</v>
      </c>
      <c r="B882" s="56" t="s">
        <v>1057</v>
      </c>
      <c r="C882" s="57" t="s">
        <v>1072</v>
      </c>
      <c r="D882" s="141" t="s">
        <v>1496</v>
      </c>
      <c r="E882" s="59" t="s">
        <v>1497</v>
      </c>
      <c r="F882" s="59" t="str">
        <f>VLOOKUP(E882,[1]库存!$B$1:$C$65536,2,FALSE)</f>
        <v>GAC A26 DAB</v>
      </c>
      <c r="G882" s="59" t="s">
        <v>1498</v>
      </c>
      <c r="H882" s="59" t="s">
        <v>1499</v>
      </c>
      <c r="I882" s="59" t="s">
        <v>1500</v>
      </c>
      <c r="J882" s="100" t="s">
        <v>1501</v>
      </c>
      <c r="K882" s="61"/>
      <c r="L882" s="62">
        <v>2</v>
      </c>
      <c r="M882" s="63">
        <v>1450</v>
      </c>
      <c r="N882" s="64">
        <v>7</v>
      </c>
      <c r="O882" s="62">
        <v>2</v>
      </c>
      <c r="P882" s="65">
        <f t="shared" si="57"/>
        <v>0</v>
      </c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66"/>
      <c r="AU882" s="66"/>
      <c r="AV882" s="66"/>
      <c r="AW882" s="66"/>
      <c r="AX882" s="66"/>
      <c r="AY882" s="66"/>
      <c r="AZ882" s="66"/>
      <c r="BA882" s="66"/>
      <c r="BB882" s="66"/>
      <c r="BC882" s="66"/>
      <c r="BD882" s="66"/>
      <c r="BE882" s="67"/>
      <c r="BF882" s="67"/>
      <c r="BG882" s="68"/>
      <c r="BI882" s="69">
        <v>0</v>
      </c>
      <c r="BJ882" s="70">
        <v>0</v>
      </c>
      <c r="BK882" s="71">
        <v>0</v>
      </c>
      <c r="BL882" s="71">
        <v>0</v>
      </c>
      <c r="BM882" s="71">
        <v>0</v>
      </c>
      <c r="BN882" s="72">
        <v>0</v>
      </c>
      <c r="BO882" s="151" t="e">
        <f t="shared" si="55"/>
        <v>#DIV/0!</v>
      </c>
      <c r="BP882" s="151" t="e">
        <f t="shared" si="56"/>
        <v>#DIV/0!</v>
      </c>
      <c r="BQ882" s="71">
        <v>0</v>
      </c>
      <c r="BR882" s="71">
        <v>0</v>
      </c>
      <c r="BS882" s="71">
        <v>0</v>
      </c>
      <c r="BT882" s="72">
        <v>0</v>
      </c>
      <c r="BU882" s="73"/>
      <c r="BV882" s="73"/>
    </row>
    <row r="883" ht="30" customHeight="1" spans="1:74">
      <c r="A883" s="55">
        <v>0</v>
      </c>
      <c r="B883" s="56">
        <v>0</v>
      </c>
      <c r="C883" s="57">
        <v>0</v>
      </c>
      <c r="D883" s="161"/>
      <c r="E883" s="74"/>
      <c r="F883" s="59" t="e">
        <f>VLOOKUP(E883,[1]库存!$B$1:$C$65536,2,FALSE)</f>
        <v>#N/A</v>
      </c>
      <c r="G883" s="59" t="e">
        <v>#N/A</v>
      </c>
      <c r="H883" s="74"/>
      <c r="I883" s="74"/>
      <c r="J883" s="101"/>
      <c r="K883" s="61"/>
      <c r="L883" s="62">
        <v>0</v>
      </c>
      <c r="M883" s="63">
        <v>0</v>
      </c>
      <c r="N883" s="64">
        <v>0</v>
      </c>
      <c r="O883" s="62">
        <v>0</v>
      </c>
      <c r="P883" s="65">
        <f t="shared" si="57"/>
        <v>0</v>
      </c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66"/>
      <c r="AU883" s="66"/>
      <c r="AV883" s="66"/>
      <c r="AW883" s="66"/>
      <c r="AX883" s="66"/>
      <c r="AY883" s="66"/>
      <c r="AZ883" s="66"/>
      <c r="BA883" s="66"/>
      <c r="BB883" s="66"/>
      <c r="BC883" s="66"/>
      <c r="BD883" s="66"/>
      <c r="BE883" s="67"/>
      <c r="BF883" s="67"/>
      <c r="BG883" s="68"/>
      <c r="BI883" s="69">
        <v>0</v>
      </c>
      <c r="BJ883" s="70">
        <v>0</v>
      </c>
      <c r="BK883" s="71">
        <v>0</v>
      </c>
      <c r="BL883" s="71">
        <v>0</v>
      </c>
      <c r="BM883" s="71">
        <v>0</v>
      </c>
      <c r="BN883" s="72">
        <v>0</v>
      </c>
      <c r="BO883" s="151" t="e">
        <f t="shared" si="55"/>
        <v>#DIV/0!</v>
      </c>
      <c r="BP883" s="151" t="e">
        <f t="shared" si="56"/>
        <v>#DIV/0!</v>
      </c>
      <c r="BQ883" s="71">
        <v>0</v>
      </c>
      <c r="BR883" s="71">
        <v>0</v>
      </c>
      <c r="BS883" s="71">
        <v>0</v>
      </c>
      <c r="BT883" s="72">
        <v>0</v>
      </c>
      <c r="BU883" s="73"/>
      <c r="BV883" s="73"/>
    </row>
    <row r="884" ht="30" customHeight="1" spans="1:74">
      <c r="A884" s="55" t="s">
        <v>41</v>
      </c>
      <c r="B884" s="56" t="s">
        <v>1057</v>
      </c>
      <c r="C884" s="57" t="s">
        <v>1072</v>
      </c>
      <c r="D884" s="141" t="s">
        <v>1496</v>
      </c>
      <c r="E884" s="59" t="s">
        <v>1502</v>
      </c>
      <c r="F884" s="59" t="str">
        <f>VLOOKUP(E884,[1]库存!$B$1:$C$65536,2,FALSE)</f>
        <v>S3-17 DAB</v>
      </c>
      <c r="G884" s="59" t="s">
        <v>1503</v>
      </c>
      <c r="H884" s="59" t="s">
        <v>1504</v>
      </c>
      <c r="I884" s="59" t="s">
        <v>1505</v>
      </c>
      <c r="J884" s="102" t="s">
        <v>65</v>
      </c>
      <c r="K884" s="61"/>
      <c r="L884" s="62">
        <v>2</v>
      </c>
      <c r="M884" s="63">
        <v>1450</v>
      </c>
      <c r="N884" s="64">
        <v>7</v>
      </c>
      <c r="O884" s="62">
        <v>2</v>
      </c>
      <c r="P884" s="65">
        <f t="shared" si="57"/>
        <v>0</v>
      </c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>
        <v>1200</v>
      </c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  <c r="AS884" s="66"/>
      <c r="AT884" s="66"/>
      <c r="AU884" s="66"/>
      <c r="AV884" s="66"/>
      <c r="AW884" s="66"/>
      <c r="AX884" s="66"/>
      <c r="AY884" s="66"/>
      <c r="AZ884" s="66"/>
      <c r="BA884" s="66"/>
      <c r="BB884" s="66"/>
      <c r="BC884" s="66"/>
      <c r="BD884" s="66"/>
      <c r="BE884" s="67"/>
      <c r="BF884" s="67"/>
      <c r="BG884" s="68"/>
      <c r="BI884" s="69">
        <v>0</v>
      </c>
      <c r="BJ884" s="70">
        <v>0</v>
      </c>
      <c r="BK884" s="71">
        <v>0</v>
      </c>
      <c r="BL884" s="71">
        <v>0</v>
      </c>
      <c r="BM884" s="71">
        <v>0</v>
      </c>
      <c r="BN884" s="72">
        <v>0</v>
      </c>
      <c r="BO884" s="151" t="e">
        <f t="shared" si="55"/>
        <v>#DIV/0!</v>
      </c>
      <c r="BP884" s="151" t="e">
        <f t="shared" si="56"/>
        <v>#DIV/0!</v>
      </c>
      <c r="BQ884" s="71">
        <v>0</v>
      </c>
      <c r="BR884" s="71">
        <v>0</v>
      </c>
      <c r="BS884" s="71">
        <v>0</v>
      </c>
      <c r="BT884" s="72">
        <v>0</v>
      </c>
      <c r="BU884" s="73"/>
      <c r="BV884" s="73"/>
    </row>
    <row r="885" ht="30" customHeight="1" spans="1:74">
      <c r="A885" s="55">
        <v>0</v>
      </c>
      <c r="B885" s="56">
        <v>0</v>
      </c>
      <c r="C885" s="57">
        <v>0</v>
      </c>
      <c r="D885" s="161"/>
      <c r="E885" s="74"/>
      <c r="F885" s="59" t="e">
        <f>VLOOKUP(E885,[1]库存!$B$1:$C$65536,2,FALSE)</f>
        <v>#N/A</v>
      </c>
      <c r="G885" s="59" t="e">
        <v>#N/A</v>
      </c>
      <c r="H885" s="74"/>
      <c r="I885" s="74"/>
      <c r="J885" s="102"/>
      <c r="K885" s="61"/>
      <c r="L885" s="62">
        <v>0</v>
      </c>
      <c r="M885" s="63">
        <v>0</v>
      </c>
      <c r="N885" s="64">
        <v>0</v>
      </c>
      <c r="O885" s="62">
        <v>0</v>
      </c>
      <c r="P885" s="65">
        <f t="shared" si="57"/>
        <v>0</v>
      </c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>
        <v>1228</v>
      </c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66"/>
      <c r="AU885" s="66"/>
      <c r="AV885" s="66"/>
      <c r="AW885" s="66"/>
      <c r="AX885" s="66"/>
      <c r="AY885" s="66"/>
      <c r="AZ885" s="66"/>
      <c r="BA885" s="66"/>
      <c r="BB885" s="66"/>
      <c r="BC885" s="66"/>
      <c r="BD885" s="66"/>
      <c r="BE885" s="67"/>
      <c r="BF885" s="67"/>
      <c r="BG885" s="68"/>
      <c r="BI885" s="69">
        <v>0</v>
      </c>
      <c r="BJ885" s="70">
        <v>0</v>
      </c>
      <c r="BK885" s="71">
        <v>0</v>
      </c>
      <c r="BL885" s="71">
        <v>0</v>
      </c>
      <c r="BM885" s="71">
        <v>0</v>
      </c>
      <c r="BN885" s="72">
        <v>0</v>
      </c>
      <c r="BO885" s="151" t="e">
        <f t="shared" si="55"/>
        <v>#DIV/0!</v>
      </c>
      <c r="BP885" s="151" t="e">
        <f t="shared" si="56"/>
        <v>#DIV/0!</v>
      </c>
      <c r="BQ885" s="71">
        <v>0</v>
      </c>
      <c r="BR885" s="71">
        <v>0</v>
      </c>
      <c r="BS885" s="71">
        <v>0</v>
      </c>
      <c r="BT885" s="72">
        <v>0</v>
      </c>
      <c r="BU885" s="73"/>
      <c r="BV885" s="73"/>
    </row>
    <row r="886" ht="30" customHeight="1" spans="1:74">
      <c r="A886" s="55" t="s">
        <v>41</v>
      </c>
      <c r="B886" s="56" t="s">
        <v>1057</v>
      </c>
      <c r="C886" s="57" t="s">
        <v>1072</v>
      </c>
      <c r="D886" s="141" t="s">
        <v>1496</v>
      </c>
      <c r="E886" s="59" t="s">
        <v>1506</v>
      </c>
      <c r="F886" s="59" t="str">
        <f>VLOOKUP(E886,[1]库存!$B$1:$C$65536,2,FALSE)</f>
        <v>GAC A06 DAB(INVISTA面料)</v>
      </c>
      <c r="G886" s="59" t="s">
        <v>1507</v>
      </c>
      <c r="H886" s="59" t="s">
        <v>1508</v>
      </c>
      <c r="I886" s="59" t="s">
        <v>1500</v>
      </c>
      <c r="J886" s="102" t="s">
        <v>65</v>
      </c>
      <c r="K886" s="61"/>
      <c r="L886" s="62">
        <v>2</v>
      </c>
      <c r="M886" s="63">
        <v>1450</v>
      </c>
      <c r="N886" s="64">
        <v>7</v>
      </c>
      <c r="O886" s="62">
        <v>2</v>
      </c>
      <c r="P886" s="65">
        <f t="shared" si="57"/>
        <v>0</v>
      </c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66"/>
      <c r="AU886" s="66"/>
      <c r="AV886" s="66"/>
      <c r="AW886" s="66"/>
      <c r="AX886" s="66"/>
      <c r="AY886" s="66"/>
      <c r="AZ886" s="66"/>
      <c r="BA886" s="66"/>
      <c r="BB886" s="66"/>
      <c r="BC886" s="66"/>
      <c r="BD886" s="66"/>
      <c r="BE886" s="67"/>
      <c r="BF886" s="67"/>
      <c r="BG886" s="68"/>
      <c r="BI886" s="69">
        <v>0</v>
      </c>
      <c r="BJ886" s="70">
        <v>0</v>
      </c>
      <c r="BK886" s="71">
        <v>0</v>
      </c>
      <c r="BL886" s="71">
        <v>0</v>
      </c>
      <c r="BM886" s="71">
        <v>0</v>
      </c>
      <c r="BN886" s="72">
        <v>0</v>
      </c>
      <c r="BO886" s="151" t="e">
        <f t="shared" si="55"/>
        <v>#DIV/0!</v>
      </c>
      <c r="BP886" s="151" t="e">
        <f t="shared" si="56"/>
        <v>#DIV/0!</v>
      </c>
      <c r="BQ886" s="71">
        <v>0</v>
      </c>
      <c r="BR886" s="71">
        <v>0</v>
      </c>
      <c r="BS886" s="71">
        <v>0</v>
      </c>
      <c r="BT886" s="72">
        <v>0</v>
      </c>
      <c r="BU886" s="73"/>
      <c r="BV886" s="73"/>
    </row>
    <row r="887" ht="30" customHeight="1" spans="1:74">
      <c r="A887" s="55">
        <v>0</v>
      </c>
      <c r="B887" s="56">
        <v>0</v>
      </c>
      <c r="C887" s="57">
        <v>0</v>
      </c>
      <c r="D887" s="161"/>
      <c r="E887" s="74"/>
      <c r="F887" s="59" t="e">
        <f>VLOOKUP(E887,[1]库存!$B$1:$C$65536,2,FALSE)</f>
        <v>#N/A</v>
      </c>
      <c r="G887" s="59" t="e">
        <v>#N/A</v>
      </c>
      <c r="H887" s="74"/>
      <c r="I887" s="74"/>
      <c r="J887" s="102"/>
      <c r="K887" s="61"/>
      <c r="L887" s="62">
        <v>0</v>
      </c>
      <c r="M887" s="63">
        <v>0</v>
      </c>
      <c r="N887" s="64">
        <v>0</v>
      </c>
      <c r="O887" s="62">
        <v>0</v>
      </c>
      <c r="P887" s="65">
        <f t="shared" si="57"/>
        <v>0</v>
      </c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  <c r="AS887" s="66"/>
      <c r="AT887" s="66"/>
      <c r="AU887" s="66"/>
      <c r="AV887" s="66"/>
      <c r="AW887" s="66"/>
      <c r="AX887" s="66"/>
      <c r="AY887" s="66"/>
      <c r="AZ887" s="66"/>
      <c r="BA887" s="66"/>
      <c r="BB887" s="66"/>
      <c r="BC887" s="66"/>
      <c r="BD887" s="66"/>
      <c r="BE887" s="67"/>
      <c r="BF887" s="67"/>
      <c r="BG887" s="68"/>
      <c r="BI887" s="69">
        <v>0</v>
      </c>
      <c r="BJ887" s="70">
        <v>0</v>
      </c>
      <c r="BK887" s="71">
        <v>0</v>
      </c>
      <c r="BL887" s="71">
        <v>0</v>
      </c>
      <c r="BM887" s="71">
        <v>0</v>
      </c>
      <c r="BN887" s="72">
        <v>0</v>
      </c>
      <c r="BO887" s="151" t="e">
        <f t="shared" si="55"/>
        <v>#DIV/0!</v>
      </c>
      <c r="BP887" s="151" t="e">
        <f t="shared" si="56"/>
        <v>#DIV/0!</v>
      </c>
      <c r="BQ887" s="71">
        <v>0</v>
      </c>
      <c r="BR887" s="71">
        <v>0</v>
      </c>
      <c r="BS887" s="71">
        <v>0</v>
      </c>
      <c r="BT887" s="72">
        <v>0</v>
      </c>
      <c r="BU887" s="73"/>
      <c r="BV887" s="73"/>
    </row>
    <row r="888" ht="30" customHeight="1" spans="1:74">
      <c r="A888" s="55">
        <v>0</v>
      </c>
      <c r="B888" s="56" t="s">
        <v>1057</v>
      </c>
      <c r="C888" s="57" t="s">
        <v>1072</v>
      </c>
      <c r="D888" s="141" t="s">
        <v>1496</v>
      </c>
      <c r="E888" s="59" t="s">
        <v>1509</v>
      </c>
      <c r="F888" s="59" t="e">
        <f>VLOOKUP(E888,[1]库存!$B$1:$C$65536,2,FALSE)</f>
        <v>#N/A</v>
      </c>
      <c r="G888" s="59" t="e">
        <v>#N/A</v>
      </c>
      <c r="H888" s="59" t="s">
        <v>1510</v>
      </c>
      <c r="I888" s="59" t="s">
        <v>1511</v>
      </c>
      <c r="J888" s="102" t="s">
        <v>65</v>
      </c>
      <c r="K888" s="61"/>
      <c r="L888" s="62">
        <v>2</v>
      </c>
      <c r="M888" s="63">
        <v>1400</v>
      </c>
      <c r="N888" s="64">
        <v>7</v>
      </c>
      <c r="O888" s="62">
        <v>2</v>
      </c>
      <c r="P888" s="65">
        <f t="shared" si="57"/>
        <v>0</v>
      </c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66"/>
      <c r="AU888" s="66"/>
      <c r="AV888" s="66"/>
      <c r="AW888" s="66"/>
      <c r="AX888" s="66"/>
      <c r="AY888" s="66"/>
      <c r="AZ888" s="66"/>
      <c r="BA888" s="66"/>
      <c r="BB888" s="66"/>
      <c r="BC888" s="66"/>
      <c r="BD888" s="66"/>
      <c r="BE888" s="67"/>
      <c r="BF888" s="67"/>
      <c r="BG888" s="68"/>
      <c r="BI888" s="69">
        <v>0</v>
      </c>
      <c r="BJ888" s="70">
        <v>0</v>
      </c>
      <c r="BK888" s="71">
        <v>0</v>
      </c>
      <c r="BL888" s="71">
        <v>0</v>
      </c>
      <c r="BM888" s="71">
        <v>0</v>
      </c>
      <c r="BN888" s="72">
        <v>0</v>
      </c>
      <c r="BO888" s="151" t="e">
        <f t="shared" si="55"/>
        <v>#DIV/0!</v>
      </c>
      <c r="BP888" s="151" t="e">
        <f t="shared" si="56"/>
        <v>#DIV/0!</v>
      </c>
      <c r="BQ888" s="71">
        <v>0</v>
      </c>
      <c r="BR888" s="71">
        <v>0</v>
      </c>
      <c r="BS888" s="71">
        <v>0</v>
      </c>
      <c r="BT888" s="72">
        <v>0</v>
      </c>
      <c r="BU888" s="73"/>
      <c r="BV888" s="73"/>
    </row>
    <row r="889" ht="30" customHeight="1" spans="1:74">
      <c r="A889" s="55">
        <v>0</v>
      </c>
      <c r="B889" s="56">
        <v>0</v>
      </c>
      <c r="C889" s="57">
        <v>0</v>
      </c>
      <c r="D889" s="161"/>
      <c r="E889" s="74"/>
      <c r="F889" s="59" t="e">
        <f>VLOOKUP(E889,[1]库存!$B$1:$C$65536,2,FALSE)</f>
        <v>#N/A</v>
      </c>
      <c r="G889" s="59" t="e">
        <v>#N/A</v>
      </c>
      <c r="H889" s="74"/>
      <c r="I889" s="74"/>
      <c r="J889" s="102"/>
      <c r="K889" s="61"/>
      <c r="L889" s="62">
        <v>0</v>
      </c>
      <c r="M889" s="63">
        <v>0</v>
      </c>
      <c r="N889" s="64">
        <v>0</v>
      </c>
      <c r="O889" s="62">
        <v>0</v>
      </c>
      <c r="P889" s="65">
        <f t="shared" si="57"/>
        <v>0</v>
      </c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  <c r="AR889" s="66"/>
      <c r="AS889" s="66"/>
      <c r="AT889" s="66"/>
      <c r="AU889" s="66"/>
      <c r="AV889" s="66"/>
      <c r="AW889" s="66"/>
      <c r="AX889" s="66"/>
      <c r="AY889" s="66"/>
      <c r="AZ889" s="66"/>
      <c r="BA889" s="66"/>
      <c r="BB889" s="66"/>
      <c r="BC889" s="66"/>
      <c r="BD889" s="66"/>
      <c r="BE889" s="67"/>
      <c r="BF889" s="67"/>
      <c r="BG889" s="68"/>
      <c r="BI889" s="69">
        <v>0</v>
      </c>
      <c r="BJ889" s="70">
        <v>0</v>
      </c>
      <c r="BK889" s="71">
        <v>0</v>
      </c>
      <c r="BL889" s="71">
        <v>0</v>
      </c>
      <c r="BM889" s="71">
        <v>0</v>
      </c>
      <c r="BN889" s="72">
        <v>0</v>
      </c>
      <c r="BO889" s="151" t="e">
        <f t="shared" si="55"/>
        <v>#DIV/0!</v>
      </c>
      <c r="BP889" s="151" t="e">
        <f t="shared" si="56"/>
        <v>#DIV/0!</v>
      </c>
      <c r="BQ889" s="71">
        <v>0</v>
      </c>
      <c r="BR889" s="71">
        <v>0</v>
      </c>
      <c r="BS889" s="71">
        <v>0</v>
      </c>
      <c r="BT889" s="72">
        <v>0</v>
      </c>
      <c r="BU889" s="73"/>
      <c r="BV889" s="73"/>
    </row>
    <row r="890" ht="30" customHeight="1" spans="1:74">
      <c r="A890" s="55">
        <v>0</v>
      </c>
      <c r="B890" s="56" t="s">
        <v>1057</v>
      </c>
      <c r="C890" s="57" t="s">
        <v>1072</v>
      </c>
      <c r="D890" s="141" t="s">
        <v>1496</v>
      </c>
      <c r="E890" s="59" t="s">
        <v>1512</v>
      </c>
      <c r="F890" s="59" t="str">
        <f>VLOOKUP(E890,[1]库存!$B$1:$C$65536,2,FALSE)</f>
        <v>GEELY MPC CN6 DAB</v>
      </c>
      <c r="G890" s="59" t="s">
        <v>1513</v>
      </c>
      <c r="H890" s="59" t="s">
        <v>1514</v>
      </c>
      <c r="I890" s="59" t="s">
        <v>1478</v>
      </c>
      <c r="J890" s="63"/>
      <c r="K890" s="61"/>
      <c r="L890" s="62">
        <v>2</v>
      </c>
      <c r="M890" s="63">
        <v>1400</v>
      </c>
      <c r="N890" s="64">
        <v>6</v>
      </c>
      <c r="O890" s="62">
        <v>2</v>
      </c>
      <c r="P890" s="65">
        <f t="shared" si="57"/>
        <v>0</v>
      </c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  <c r="AS890" s="66"/>
      <c r="AT890" s="66"/>
      <c r="AU890" s="66"/>
      <c r="AV890" s="66"/>
      <c r="AW890" s="66"/>
      <c r="AX890" s="66"/>
      <c r="AY890" s="66"/>
      <c r="AZ890" s="66"/>
      <c r="BA890" s="66"/>
      <c r="BB890" s="66"/>
      <c r="BC890" s="66"/>
      <c r="BD890" s="66"/>
      <c r="BE890" s="67"/>
      <c r="BF890" s="67"/>
      <c r="BG890" s="68"/>
      <c r="BI890" s="69">
        <v>0</v>
      </c>
      <c r="BJ890" s="70">
        <v>0</v>
      </c>
      <c r="BK890" s="71">
        <v>0</v>
      </c>
      <c r="BL890" s="71">
        <v>0</v>
      </c>
      <c r="BM890" s="71">
        <v>0</v>
      </c>
      <c r="BN890" s="72">
        <v>0</v>
      </c>
      <c r="BO890" s="151" t="e">
        <f t="shared" si="55"/>
        <v>#DIV/0!</v>
      </c>
      <c r="BP890" s="151" t="e">
        <f t="shared" si="56"/>
        <v>#DIV/0!</v>
      </c>
      <c r="BQ890" s="71">
        <v>0</v>
      </c>
      <c r="BR890" s="71">
        <v>0</v>
      </c>
      <c r="BS890" s="71">
        <v>0</v>
      </c>
      <c r="BT890" s="72">
        <v>0</v>
      </c>
      <c r="BU890" s="73"/>
      <c r="BV890" s="73"/>
    </row>
    <row r="891" ht="30" customHeight="1" spans="1:74">
      <c r="A891" s="55">
        <v>0</v>
      </c>
      <c r="B891" s="56">
        <v>0</v>
      </c>
      <c r="C891" s="57">
        <v>0</v>
      </c>
      <c r="D891" s="161"/>
      <c r="E891" s="74"/>
      <c r="F891" s="59" t="e">
        <f>VLOOKUP(E891,[1]库存!$B$1:$C$65536,2,FALSE)</f>
        <v>#N/A</v>
      </c>
      <c r="G891" s="59" t="e">
        <v>#N/A</v>
      </c>
      <c r="H891" s="74"/>
      <c r="I891" s="74"/>
      <c r="J891" s="87"/>
      <c r="K891" s="61"/>
      <c r="L891" s="62">
        <v>0</v>
      </c>
      <c r="M891" s="63">
        <v>0</v>
      </c>
      <c r="N891" s="64">
        <v>0</v>
      </c>
      <c r="O891" s="62">
        <v>0</v>
      </c>
      <c r="P891" s="65">
        <f t="shared" si="57"/>
        <v>0</v>
      </c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66"/>
      <c r="AU891" s="66"/>
      <c r="AV891" s="66"/>
      <c r="AW891" s="66"/>
      <c r="AX891" s="66"/>
      <c r="AY891" s="66"/>
      <c r="AZ891" s="66"/>
      <c r="BA891" s="66"/>
      <c r="BB891" s="66"/>
      <c r="BC891" s="66"/>
      <c r="BD891" s="66"/>
      <c r="BE891" s="67"/>
      <c r="BF891" s="67"/>
      <c r="BG891" s="68"/>
      <c r="BI891" s="69">
        <v>0</v>
      </c>
      <c r="BJ891" s="70">
        <v>0</v>
      </c>
      <c r="BK891" s="71">
        <v>0</v>
      </c>
      <c r="BL891" s="71">
        <v>0</v>
      </c>
      <c r="BM891" s="71">
        <v>0</v>
      </c>
      <c r="BN891" s="72">
        <v>0</v>
      </c>
      <c r="BO891" s="151" t="e">
        <f t="shared" si="55"/>
        <v>#DIV/0!</v>
      </c>
      <c r="BP891" s="151" t="e">
        <f t="shared" si="56"/>
        <v>#DIV/0!</v>
      </c>
      <c r="BQ891" s="71">
        <v>0</v>
      </c>
      <c r="BR891" s="71">
        <v>0</v>
      </c>
      <c r="BS891" s="71">
        <v>0</v>
      </c>
      <c r="BT891" s="72">
        <v>0</v>
      </c>
      <c r="BU891" s="73"/>
      <c r="BV891" s="73"/>
    </row>
    <row r="892" ht="30" customHeight="1" spans="1:74">
      <c r="A892" s="55">
        <v>0</v>
      </c>
      <c r="B892" s="56" t="s">
        <v>1057</v>
      </c>
      <c r="C892" s="57" t="s">
        <v>1072</v>
      </c>
      <c r="D892" s="141" t="s">
        <v>1496</v>
      </c>
      <c r="E892" s="59"/>
      <c r="F892" s="59" t="e">
        <f>VLOOKUP(E892,[1]库存!$B$1:$C$65536,2,FALSE)</f>
        <v>#N/A</v>
      </c>
      <c r="G892" s="59" t="e">
        <v>#N/A</v>
      </c>
      <c r="H892" s="59" t="s">
        <v>1515</v>
      </c>
      <c r="I892" s="59" t="s">
        <v>1516</v>
      </c>
      <c r="J892" s="63"/>
      <c r="K892" s="61"/>
      <c r="L892" s="62">
        <v>2</v>
      </c>
      <c r="M892" s="63">
        <v>1400</v>
      </c>
      <c r="N892" s="64">
        <v>6</v>
      </c>
      <c r="O892" s="62">
        <v>2</v>
      </c>
      <c r="P892" s="65">
        <f t="shared" si="57"/>
        <v>0</v>
      </c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  <c r="AS892" s="66"/>
      <c r="AT892" s="66"/>
      <c r="AU892" s="66"/>
      <c r="AV892" s="66"/>
      <c r="AW892" s="66"/>
      <c r="AX892" s="66"/>
      <c r="AY892" s="66"/>
      <c r="AZ892" s="66"/>
      <c r="BA892" s="66"/>
      <c r="BB892" s="66"/>
      <c r="BC892" s="66"/>
      <c r="BD892" s="66"/>
      <c r="BE892" s="67"/>
      <c r="BF892" s="67"/>
      <c r="BG892" s="68"/>
      <c r="BI892" s="69">
        <v>0</v>
      </c>
      <c r="BJ892" s="70">
        <v>0</v>
      </c>
      <c r="BK892" s="71">
        <v>0</v>
      </c>
      <c r="BL892" s="71">
        <v>0</v>
      </c>
      <c r="BM892" s="71">
        <v>0</v>
      </c>
      <c r="BN892" s="72">
        <v>0</v>
      </c>
      <c r="BO892" s="151" t="e">
        <f t="shared" si="55"/>
        <v>#DIV/0!</v>
      </c>
      <c r="BP892" s="151" t="e">
        <f t="shared" si="56"/>
        <v>#DIV/0!</v>
      </c>
      <c r="BQ892" s="71">
        <v>0</v>
      </c>
      <c r="BR892" s="71">
        <v>0</v>
      </c>
      <c r="BS892" s="71">
        <v>0</v>
      </c>
      <c r="BT892" s="72">
        <v>0</v>
      </c>
      <c r="BU892" s="73"/>
      <c r="BV892" s="73"/>
    </row>
    <row r="893" ht="30" customHeight="1" spans="1:74">
      <c r="A893" s="55">
        <v>0</v>
      </c>
      <c r="B893" s="56">
        <v>0</v>
      </c>
      <c r="C893" s="57">
        <v>0</v>
      </c>
      <c r="D893" s="161"/>
      <c r="E893" s="74"/>
      <c r="F893" s="59" t="e">
        <f>VLOOKUP(E893,[1]库存!$B$1:$C$65536,2,FALSE)</f>
        <v>#N/A</v>
      </c>
      <c r="G893" s="59" t="e">
        <v>#N/A</v>
      </c>
      <c r="H893" s="74"/>
      <c r="I893" s="74"/>
      <c r="J893" s="87"/>
      <c r="K893" s="61"/>
      <c r="L893" s="62">
        <v>0</v>
      </c>
      <c r="M893" s="63">
        <v>0</v>
      </c>
      <c r="N893" s="64">
        <v>0</v>
      </c>
      <c r="O893" s="62">
        <v>0</v>
      </c>
      <c r="P893" s="65">
        <f t="shared" si="57"/>
        <v>0</v>
      </c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66"/>
      <c r="AU893" s="66"/>
      <c r="AV893" s="66"/>
      <c r="AW893" s="66"/>
      <c r="AX893" s="66"/>
      <c r="AY893" s="66"/>
      <c r="AZ893" s="66"/>
      <c r="BA893" s="66"/>
      <c r="BB893" s="66"/>
      <c r="BC893" s="66"/>
      <c r="BD893" s="66"/>
      <c r="BE893" s="67"/>
      <c r="BF893" s="67"/>
      <c r="BG893" s="68"/>
      <c r="BI893" s="69">
        <v>0</v>
      </c>
      <c r="BJ893" s="70">
        <v>0</v>
      </c>
      <c r="BK893" s="71">
        <v>0</v>
      </c>
      <c r="BL893" s="71">
        <v>0</v>
      </c>
      <c r="BM893" s="71">
        <v>0</v>
      </c>
      <c r="BN893" s="72">
        <v>0</v>
      </c>
      <c r="BO893" s="151" t="e">
        <f t="shared" si="55"/>
        <v>#DIV/0!</v>
      </c>
      <c r="BP893" s="151" t="e">
        <f t="shared" si="56"/>
        <v>#DIV/0!</v>
      </c>
      <c r="BQ893" s="71">
        <v>0</v>
      </c>
      <c r="BR893" s="71">
        <v>0</v>
      </c>
      <c r="BS893" s="71">
        <v>0</v>
      </c>
      <c r="BT893" s="72">
        <v>0</v>
      </c>
      <c r="BU893" s="73"/>
      <c r="BV893" s="73"/>
    </row>
    <row r="894" ht="30" customHeight="1" spans="1:74">
      <c r="A894" s="55">
        <v>0</v>
      </c>
      <c r="B894" s="56" t="s">
        <v>1057</v>
      </c>
      <c r="C894" s="57" t="s">
        <v>1072</v>
      </c>
      <c r="D894" s="141" t="s">
        <v>1496</v>
      </c>
      <c r="E894" s="59" t="s">
        <v>1517</v>
      </c>
      <c r="F894" s="59" t="e">
        <f>VLOOKUP(E894,[1]库存!$B$1:$C$65536,2,FALSE)</f>
        <v>#N/A</v>
      </c>
      <c r="G894" s="59" t="e">
        <v>#N/A</v>
      </c>
      <c r="H894" s="59" t="s">
        <v>1518</v>
      </c>
      <c r="I894" s="59" t="s">
        <v>1519</v>
      </c>
      <c r="J894" s="215" t="s">
        <v>1520</v>
      </c>
      <c r="K894" s="61"/>
      <c r="L894" s="62">
        <v>2</v>
      </c>
      <c r="M894" s="63">
        <v>1450</v>
      </c>
      <c r="N894" s="64">
        <v>7</v>
      </c>
      <c r="O894" s="62">
        <v>2</v>
      </c>
      <c r="P894" s="65">
        <f t="shared" si="57"/>
        <v>0</v>
      </c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66"/>
      <c r="AU894" s="66"/>
      <c r="AV894" s="66"/>
      <c r="AW894" s="66"/>
      <c r="AX894" s="66"/>
      <c r="AY894" s="66"/>
      <c r="AZ894" s="66"/>
      <c r="BA894" s="66"/>
      <c r="BB894" s="66"/>
      <c r="BC894" s="66"/>
      <c r="BD894" s="66"/>
      <c r="BE894" s="67"/>
      <c r="BF894" s="67"/>
      <c r="BG894" s="68"/>
      <c r="BI894" s="69">
        <v>0</v>
      </c>
      <c r="BJ894" s="70">
        <v>0</v>
      </c>
      <c r="BK894" s="71">
        <v>0</v>
      </c>
      <c r="BL894" s="71">
        <v>0</v>
      </c>
      <c r="BM894" s="71">
        <v>0</v>
      </c>
      <c r="BN894" s="72">
        <v>0</v>
      </c>
      <c r="BO894" s="151" t="e">
        <f t="shared" si="55"/>
        <v>#DIV/0!</v>
      </c>
      <c r="BP894" s="151" t="e">
        <f t="shared" si="56"/>
        <v>#DIV/0!</v>
      </c>
      <c r="BQ894" s="71">
        <v>0</v>
      </c>
      <c r="BR894" s="71">
        <v>0</v>
      </c>
      <c r="BS894" s="71">
        <v>0</v>
      </c>
      <c r="BT894" s="72">
        <v>0</v>
      </c>
      <c r="BU894" s="73"/>
      <c r="BV894" s="73"/>
    </row>
    <row r="895" ht="30" customHeight="1" spans="1:74">
      <c r="A895" s="55">
        <v>0</v>
      </c>
      <c r="B895" s="56">
        <v>0</v>
      </c>
      <c r="C895" s="57">
        <v>0</v>
      </c>
      <c r="D895" s="161"/>
      <c r="E895" s="74"/>
      <c r="F895" s="59" t="e">
        <f>VLOOKUP(E895,[1]库存!$B$1:$C$65536,2,FALSE)</f>
        <v>#N/A</v>
      </c>
      <c r="G895" s="59" t="e">
        <v>#N/A</v>
      </c>
      <c r="H895" s="74"/>
      <c r="I895" s="74"/>
      <c r="J895" s="215"/>
      <c r="K895" s="61"/>
      <c r="L895" s="62">
        <v>0</v>
      </c>
      <c r="M895" s="63">
        <v>0</v>
      </c>
      <c r="N895" s="64">
        <v>0</v>
      </c>
      <c r="O895" s="62">
        <v>0</v>
      </c>
      <c r="P895" s="65">
        <f t="shared" si="57"/>
        <v>0</v>
      </c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66"/>
      <c r="AU895" s="66"/>
      <c r="AV895" s="66"/>
      <c r="AW895" s="66"/>
      <c r="AX895" s="66"/>
      <c r="AY895" s="66"/>
      <c r="AZ895" s="66"/>
      <c r="BA895" s="66"/>
      <c r="BB895" s="66"/>
      <c r="BC895" s="66"/>
      <c r="BD895" s="66"/>
      <c r="BE895" s="67"/>
      <c r="BF895" s="67"/>
      <c r="BG895" s="68"/>
      <c r="BI895" s="69">
        <v>0</v>
      </c>
      <c r="BJ895" s="70">
        <v>0</v>
      </c>
      <c r="BK895" s="71">
        <v>0</v>
      </c>
      <c r="BL895" s="71">
        <v>0</v>
      </c>
      <c r="BM895" s="71">
        <v>0</v>
      </c>
      <c r="BN895" s="72">
        <v>0</v>
      </c>
      <c r="BO895" s="151" t="e">
        <f t="shared" si="55"/>
        <v>#DIV/0!</v>
      </c>
      <c r="BP895" s="151" t="e">
        <f t="shared" si="56"/>
        <v>#DIV/0!</v>
      </c>
      <c r="BQ895" s="71">
        <v>0</v>
      </c>
      <c r="BR895" s="71">
        <v>0</v>
      </c>
      <c r="BS895" s="71">
        <v>0</v>
      </c>
      <c r="BT895" s="72">
        <v>0</v>
      </c>
      <c r="BU895" s="73"/>
      <c r="BV895" s="73"/>
    </row>
    <row r="896" ht="30" customHeight="1" spans="1:74">
      <c r="A896" s="55">
        <v>0</v>
      </c>
      <c r="B896" s="56" t="s">
        <v>1057</v>
      </c>
      <c r="C896" s="57" t="s">
        <v>1072</v>
      </c>
      <c r="D896" s="141" t="s">
        <v>1496</v>
      </c>
      <c r="E896" s="59" t="s">
        <v>1521</v>
      </c>
      <c r="F896" s="59" t="e">
        <f>VLOOKUP(E896,[1]库存!$B$1:$C$65536,2,FALSE)</f>
        <v>#N/A</v>
      </c>
      <c r="G896" s="59" t="e">
        <v>#N/A</v>
      </c>
      <c r="H896" s="59" t="s">
        <v>1522</v>
      </c>
      <c r="I896" s="59" t="s">
        <v>1523</v>
      </c>
      <c r="J896" s="215" t="s">
        <v>1520</v>
      </c>
      <c r="K896" s="61"/>
      <c r="L896" s="62">
        <v>2</v>
      </c>
      <c r="M896" s="63">
        <v>1400</v>
      </c>
      <c r="N896" s="64">
        <v>7</v>
      </c>
      <c r="O896" s="62">
        <v>2</v>
      </c>
      <c r="P896" s="65">
        <f t="shared" si="57"/>
        <v>0</v>
      </c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66"/>
      <c r="AU896" s="66"/>
      <c r="AV896" s="66"/>
      <c r="AW896" s="66"/>
      <c r="AX896" s="66"/>
      <c r="AY896" s="66"/>
      <c r="AZ896" s="66"/>
      <c r="BA896" s="66"/>
      <c r="BB896" s="66"/>
      <c r="BC896" s="66"/>
      <c r="BD896" s="66"/>
      <c r="BE896" s="67"/>
      <c r="BF896" s="67"/>
      <c r="BG896" s="68"/>
      <c r="BI896" s="69">
        <v>0</v>
      </c>
      <c r="BJ896" s="70">
        <v>0</v>
      </c>
      <c r="BK896" s="71">
        <v>0</v>
      </c>
      <c r="BL896" s="71">
        <v>0</v>
      </c>
      <c r="BM896" s="71">
        <v>0</v>
      </c>
      <c r="BN896" s="72">
        <v>0</v>
      </c>
      <c r="BO896" s="151" t="e">
        <f t="shared" si="55"/>
        <v>#DIV/0!</v>
      </c>
      <c r="BP896" s="151" t="e">
        <f t="shared" si="56"/>
        <v>#DIV/0!</v>
      </c>
      <c r="BQ896" s="71">
        <v>0</v>
      </c>
      <c r="BR896" s="71">
        <v>0</v>
      </c>
      <c r="BS896" s="71">
        <v>0</v>
      </c>
      <c r="BT896" s="72">
        <v>0</v>
      </c>
      <c r="BU896" s="73"/>
      <c r="BV896" s="73"/>
    </row>
    <row r="897" ht="30" customHeight="1" spans="1:74">
      <c r="A897" s="55">
        <v>0</v>
      </c>
      <c r="B897" s="56">
        <v>0</v>
      </c>
      <c r="C897" s="57">
        <v>0</v>
      </c>
      <c r="D897" s="161"/>
      <c r="E897" s="74"/>
      <c r="F897" s="59" t="e">
        <f>VLOOKUP(E897,[1]库存!$B$1:$C$65536,2,FALSE)</f>
        <v>#N/A</v>
      </c>
      <c r="G897" s="59" t="e">
        <v>#N/A</v>
      </c>
      <c r="H897" s="74"/>
      <c r="I897" s="74"/>
      <c r="J897" s="215"/>
      <c r="K897" s="61"/>
      <c r="L897" s="62">
        <v>0</v>
      </c>
      <c r="M897" s="63">
        <v>0</v>
      </c>
      <c r="N897" s="64">
        <v>0</v>
      </c>
      <c r="O897" s="62">
        <v>0</v>
      </c>
      <c r="P897" s="65">
        <f t="shared" si="57"/>
        <v>0</v>
      </c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66"/>
      <c r="AZ897" s="66"/>
      <c r="BA897" s="66"/>
      <c r="BB897" s="66"/>
      <c r="BC897" s="66"/>
      <c r="BD897" s="66"/>
      <c r="BE897" s="67"/>
      <c r="BF897" s="67"/>
      <c r="BG897" s="68"/>
      <c r="BI897" s="69">
        <v>0</v>
      </c>
      <c r="BJ897" s="70">
        <v>0</v>
      </c>
      <c r="BK897" s="71">
        <v>0</v>
      </c>
      <c r="BL897" s="71">
        <v>0</v>
      </c>
      <c r="BM897" s="71">
        <v>0</v>
      </c>
      <c r="BN897" s="72">
        <v>0</v>
      </c>
      <c r="BO897" s="151" t="e">
        <f t="shared" si="55"/>
        <v>#DIV/0!</v>
      </c>
      <c r="BP897" s="151" t="e">
        <f t="shared" si="56"/>
        <v>#DIV/0!</v>
      </c>
      <c r="BQ897" s="71">
        <v>0</v>
      </c>
      <c r="BR897" s="71">
        <v>0</v>
      </c>
      <c r="BS897" s="71">
        <v>0</v>
      </c>
      <c r="BT897" s="72">
        <v>0</v>
      </c>
      <c r="BU897" s="73"/>
      <c r="BV897" s="73"/>
    </row>
    <row r="898" ht="30" customHeight="1" spans="1:74">
      <c r="A898" s="55">
        <v>0</v>
      </c>
      <c r="B898" s="56">
        <v>0</v>
      </c>
      <c r="C898" s="57">
        <v>0</v>
      </c>
      <c r="E898" s="88"/>
      <c r="F898" s="59" t="e">
        <f>VLOOKUP(E898,[1]库存!$B$1:$C$65536,2,FALSE)</f>
        <v>#N/A</v>
      </c>
      <c r="G898" s="59" t="e">
        <v>#N/A</v>
      </c>
      <c r="H898" s="89"/>
      <c r="I898" s="88"/>
      <c r="J898" s="90"/>
      <c r="K898" s="61"/>
      <c r="L898" s="62">
        <v>0</v>
      </c>
      <c r="M898" s="63">
        <v>0</v>
      </c>
      <c r="N898" s="64">
        <v>0</v>
      </c>
      <c r="O898" s="62">
        <v>0</v>
      </c>
      <c r="P898" s="65">
        <f t="shared" si="57"/>
        <v>0</v>
      </c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66"/>
      <c r="AU898" s="66"/>
      <c r="AV898" s="66"/>
      <c r="AW898" s="66"/>
      <c r="AX898" s="66"/>
      <c r="AY898" s="66"/>
      <c r="AZ898" s="66"/>
      <c r="BA898" s="66"/>
      <c r="BB898" s="66"/>
      <c r="BC898" s="66"/>
      <c r="BD898" s="66"/>
      <c r="BE898" s="67"/>
      <c r="BF898" s="67"/>
      <c r="BG898" s="68"/>
      <c r="BI898" s="69">
        <v>0</v>
      </c>
      <c r="BJ898" s="70">
        <v>0</v>
      </c>
      <c r="BK898" s="71">
        <v>0</v>
      </c>
      <c r="BL898" s="71">
        <v>0</v>
      </c>
      <c r="BM898" s="71">
        <v>0</v>
      </c>
      <c r="BN898" s="72">
        <v>0</v>
      </c>
      <c r="BO898" s="151" t="e">
        <f t="shared" si="55"/>
        <v>#DIV/0!</v>
      </c>
      <c r="BP898" s="151" t="e">
        <f t="shared" si="56"/>
        <v>#DIV/0!</v>
      </c>
      <c r="BQ898" s="71">
        <v>0</v>
      </c>
      <c r="BR898" s="71">
        <v>0</v>
      </c>
      <c r="BS898" s="71">
        <v>0</v>
      </c>
      <c r="BT898" s="72">
        <v>0</v>
      </c>
      <c r="BU898" s="73"/>
      <c r="BV898" s="73"/>
    </row>
    <row r="899" ht="30" customHeight="1" spans="1:74">
      <c r="A899" s="55">
        <v>0</v>
      </c>
      <c r="B899" s="56">
        <v>0</v>
      </c>
      <c r="C899" s="57">
        <v>0</v>
      </c>
      <c r="D899" s="59" t="s">
        <v>1524</v>
      </c>
      <c r="E899" s="59" t="s">
        <v>1525</v>
      </c>
      <c r="F899" s="59" t="e">
        <f>VLOOKUP(E899,[1]库存!$B$1:$C$65536,2,FALSE)</f>
        <v>#N/A</v>
      </c>
      <c r="G899" s="59" t="e">
        <v>#N/A</v>
      </c>
      <c r="H899" s="59" t="s">
        <v>1526</v>
      </c>
      <c r="I899" s="59" t="s">
        <v>242</v>
      </c>
      <c r="J899" s="63"/>
      <c r="K899" s="61"/>
      <c r="L899" s="62">
        <v>0</v>
      </c>
      <c r="M899" s="63">
        <v>0</v>
      </c>
      <c r="N899" s="64">
        <v>0</v>
      </c>
      <c r="O899" s="62">
        <v>0</v>
      </c>
      <c r="P899" s="65">
        <f t="shared" si="57"/>
        <v>0</v>
      </c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66"/>
      <c r="AU899" s="66"/>
      <c r="AV899" s="66"/>
      <c r="AW899" s="66"/>
      <c r="AX899" s="66"/>
      <c r="AY899" s="66"/>
      <c r="AZ899" s="66"/>
      <c r="BA899" s="66"/>
      <c r="BB899" s="66"/>
      <c r="BC899" s="66"/>
      <c r="BD899" s="66"/>
      <c r="BE899" s="67"/>
      <c r="BF899" s="67"/>
      <c r="BG899" s="68"/>
      <c r="BI899" s="69">
        <v>0</v>
      </c>
      <c r="BJ899" s="70">
        <v>0</v>
      </c>
      <c r="BK899" s="71">
        <v>0</v>
      </c>
      <c r="BL899" s="71">
        <v>0</v>
      </c>
      <c r="BM899" s="71">
        <v>0</v>
      </c>
      <c r="BN899" s="72">
        <v>0</v>
      </c>
      <c r="BO899" s="151" t="e">
        <f t="shared" si="55"/>
        <v>#DIV/0!</v>
      </c>
      <c r="BP899" s="151" t="e">
        <f t="shared" si="56"/>
        <v>#DIV/0!</v>
      </c>
      <c r="BQ899" s="71">
        <v>0</v>
      </c>
      <c r="BR899" s="71">
        <v>0</v>
      </c>
      <c r="BS899" s="71">
        <v>0</v>
      </c>
      <c r="BT899" s="72">
        <v>0</v>
      </c>
      <c r="BU899" s="73"/>
      <c r="BV899" s="73"/>
    </row>
    <row r="900" ht="30" customHeight="1" spans="1:74">
      <c r="A900" s="55">
        <v>0</v>
      </c>
      <c r="B900" s="56">
        <v>0</v>
      </c>
      <c r="C900" s="57">
        <v>0</v>
      </c>
      <c r="D900" s="74"/>
      <c r="E900" s="74"/>
      <c r="F900" s="59" t="e">
        <f>VLOOKUP(E900,[1]库存!$B$1:$C$65536,2,FALSE)</f>
        <v>#N/A</v>
      </c>
      <c r="G900" s="59" t="e">
        <v>#N/A</v>
      </c>
      <c r="H900" s="74"/>
      <c r="I900" s="74"/>
      <c r="J900" s="87"/>
      <c r="K900" s="61"/>
      <c r="L900" s="62">
        <v>0</v>
      </c>
      <c r="M900" s="63">
        <v>0</v>
      </c>
      <c r="N900" s="64">
        <v>0</v>
      </c>
      <c r="O900" s="62">
        <v>0</v>
      </c>
      <c r="P900" s="65">
        <f t="shared" si="57"/>
        <v>0</v>
      </c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  <c r="AS900" s="66"/>
      <c r="AT900" s="66"/>
      <c r="AU900" s="66"/>
      <c r="AV900" s="66"/>
      <c r="AW900" s="66"/>
      <c r="AX900" s="66"/>
      <c r="AY900" s="66"/>
      <c r="AZ900" s="66"/>
      <c r="BA900" s="66"/>
      <c r="BB900" s="66"/>
      <c r="BC900" s="66"/>
      <c r="BD900" s="66"/>
      <c r="BE900" s="67"/>
      <c r="BF900" s="67"/>
      <c r="BG900" s="68"/>
      <c r="BI900" s="69">
        <v>0</v>
      </c>
      <c r="BJ900" s="70">
        <v>0</v>
      </c>
      <c r="BK900" s="71">
        <v>0</v>
      </c>
      <c r="BL900" s="71">
        <v>0</v>
      </c>
      <c r="BM900" s="71">
        <v>0</v>
      </c>
      <c r="BN900" s="72">
        <v>0</v>
      </c>
      <c r="BO900" s="151" t="e">
        <f t="shared" ref="BO900:BO963" si="58">(BK900+BL900)/BJ900</f>
        <v>#DIV/0!</v>
      </c>
      <c r="BP900" s="151" t="e">
        <f t="shared" ref="BP900:BP963" si="59">BM900/BJ900</f>
        <v>#DIV/0!</v>
      </c>
      <c r="BQ900" s="71">
        <v>0</v>
      </c>
      <c r="BR900" s="71">
        <v>0</v>
      </c>
      <c r="BS900" s="71">
        <v>0</v>
      </c>
      <c r="BT900" s="72">
        <v>0</v>
      </c>
      <c r="BU900" s="73"/>
      <c r="BV900" s="73"/>
    </row>
    <row r="901" ht="30" customHeight="1" spans="1:74">
      <c r="A901" s="55">
        <v>0</v>
      </c>
      <c r="B901" s="56">
        <v>0</v>
      </c>
      <c r="C901" s="57">
        <v>0</v>
      </c>
      <c r="E901" s="88"/>
      <c r="F901" s="59" t="e">
        <f>VLOOKUP(E901,[1]库存!$B$1:$C$65536,2,FALSE)</f>
        <v>#N/A</v>
      </c>
      <c r="G901" s="59" t="e">
        <v>#N/A</v>
      </c>
      <c r="H901" s="89"/>
      <c r="I901" s="88"/>
      <c r="J901" s="90"/>
      <c r="K901" s="61"/>
      <c r="L901" s="62">
        <v>0</v>
      </c>
      <c r="M901" s="63">
        <v>0</v>
      </c>
      <c r="N901" s="64">
        <v>0</v>
      </c>
      <c r="O901" s="62">
        <v>0</v>
      </c>
      <c r="P901" s="65">
        <f t="shared" si="57"/>
        <v>0</v>
      </c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66"/>
      <c r="AU901" s="66"/>
      <c r="AV901" s="66"/>
      <c r="AW901" s="66"/>
      <c r="AX901" s="66"/>
      <c r="AY901" s="66"/>
      <c r="AZ901" s="66"/>
      <c r="BA901" s="66"/>
      <c r="BB901" s="66"/>
      <c r="BC901" s="66"/>
      <c r="BD901" s="66"/>
      <c r="BE901" s="67"/>
      <c r="BF901" s="67"/>
      <c r="BG901" s="68"/>
      <c r="BI901" s="69">
        <v>0</v>
      </c>
      <c r="BJ901" s="70">
        <v>0</v>
      </c>
      <c r="BK901" s="71">
        <v>0</v>
      </c>
      <c r="BL901" s="71">
        <v>0</v>
      </c>
      <c r="BM901" s="71">
        <v>0</v>
      </c>
      <c r="BN901" s="72">
        <v>0</v>
      </c>
      <c r="BO901" s="151" t="e">
        <f t="shared" si="58"/>
        <v>#DIV/0!</v>
      </c>
      <c r="BP901" s="151" t="e">
        <f t="shared" si="59"/>
        <v>#DIV/0!</v>
      </c>
      <c r="BQ901" s="71">
        <v>0</v>
      </c>
      <c r="BR901" s="71">
        <v>0</v>
      </c>
      <c r="BS901" s="71">
        <v>0</v>
      </c>
      <c r="BT901" s="72">
        <v>0</v>
      </c>
      <c r="BU901" s="73"/>
      <c r="BV901" s="73"/>
    </row>
    <row r="902" ht="30" customHeight="1" spans="1:74">
      <c r="A902" s="55" t="s">
        <v>96</v>
      </c>
      <c r="B902" s="56" t="s">
        <v>1057</v>
      </c>
      <c r="C902" s="57" t="s">
        <v>1124</v>
      </c>
      <c r="D902" s="59" t="s">
        <v>1527</v>
      </c>
      <c r="E902" s="59" t="s">
        <v>1528</v>
      </c>
      <c r="F902" s="59" t="str">
        <f>VLOOKUP(E902,[1]库存!$B$1:$C$65536,2,FALSE)</f>
        <v>SAIC IP31 PAB</v>
      </c>
      <c r="G902" s="59" t="s">
        <v>1529</v>
      </c>
      <c r="H902" s="59" t="s">
        <v>1530</v>
      </c>
      <c r="I902" s="59" t="s">
        <v>549</v>
      </c>
      <c r="J902" s="63"/>
      <c r="K902" s="61"/>
      <c r="L902" s="62">
        <v>2</v>
      </c>
      <c r="M902" s="63">
        <v>1300</v>
      </c>
      <c r="N902" s="64">
        <v>11</v>
      </c>
      <c r="O902" s="62">
        <v>2</v>
      </c>
      <c r="P902" s="65">
        <f t="shared" ref="P902:P965" si="60">SUM(AG902:AJ902)</f>
        <v>0</v>
      </c>
      <c r="Q902" s="66"/>
      <c r="R902" s="66"/>
      <c r="S902" s="66"/>
      <c r="T902" s="66"/>
      <c r="U902" s="66"/>
      <c r="V902" s="66"/>
      <c r="W902" s="66"/>
      <c r="X902" s="66"/>
      <c r="Y902" s="66">
        <v>1600</v>
      </c>
      <c r="Z902" s="66"/>
      <c r="AA902" s="66">
        <v>0</v>
      </c>
      <c r="AB902" s="66"/>
      <c r="AC902" s="66" t="s">
        <v>1531</v>
      </c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66"/>
      <c r="AU902" s="66"/>
      <c r="AV902" s="66"/>
      <c r="AW902" s="66"/>
      <c r="AX902" s="66"/>
      <c r="AY902" s="66"/>
      <c r="AZ902" s="66"/>
      <c r="BA902" s="66"/>
      <c r="BB902" s="66"/>
      <c r="BC902" s="66"/>
      <c r="BD902" s="66"/>
      <c r="BE902" s="67"/>
      <c r="BF902" s="67"/>
      <c r="BG902" s="68"/>
      <c r="BI902" s="69">
        <v>0</v>
      </c>
      <c r="BJ902" s="70">
        <v>0</v>
      </c>
      <c r="BK902" s="71">
        <v>0</v>
      </c>
      <c r="BL902" s="71">
        <v>0</v>
      </c>
      <c r="BM902" s="71">
        <v>0</v>
      </c>
      <c r="BN902" s="72">
        <v>0</v>
      </c>
      <c r="BO902" s="151" t="e">
        <f t="shared" si="58"/>
        <v>#DIV/0!</v>
      </c>
      <c r="BP902" s="151" t="e">
        <f t="shared" si="59"/>
        <v>#DIV/0!</v>
      </c>
      <c r="BQ902" s="71">
        <v>0</v>
      </c>
      <c r="BR902" s="71">
        <v>0</v>
      </c>
      <c r="BS902" s="71">
        <v>0</v>
      </c>
      <c r="BT902" s="72">
        <v>0</v>
      </c>
      <c r="BU902" s="73"/>
      <c r="BV902" s="73"/>
    </row>
    <row r="903" ht="30" customHeight="1" spans="1:74">
      <c r="A903" s="55">
        <v>0</v>
      </c>
      <c r="B903" s="56">
        <v>0</v>
      </c>
      <c r="C903" s="57">
        <v>0</v>
      </c>
      <c r="D903" s="74"/>
      <c r="E903" s="74"/>
      <c r="F903" s="59" t="e">
        <f>VLOOKUP(E903,[1]库存!$B$1:$C$65536,2,FALSE)</f>
        <v>#N/A</v>
      </c>
      <c r="G903" s="59" t="e">
        <v>#N/A</v>
      </c>
      <c r="H903" s="74"/>
      <c r="I903" s="74"/>
      <c r="J903" s="87"/>
      <c r="K903" s="61"/>
      <c r="L903" s="62">
        <v>0</v>
      </c>
      <c r="M903" s="63">
        <v>0</v>
      </c>
      <c r="N903" s="64">
        <v>0</v>
      </c>
      <c r="O903" s="62">
        <v>0</v>
      </c>
      <c r="P903" s="65">
        <f t="shared" si="60"/>
        <v>0</v>
      </c>
      <c r="Q903" s="66"/>
      <c r="R903" s="66"/>
      <c r="S903" s="66"/>
      <c r="T903" s="66"/>
      <c r="U903" s="66"/>
      <c r="V903" s="66"/>
      <c r="W903" s="66"/>
      <c r="X903" s="66"/>
      <c r="Y903" s="66">
        <v>1600</v>
      </c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  <c r="AS903" s="66"/>
      <c r="AT903" s="66"/>
      <c r="AU903" s="66"/>
      <c r="AV903" s="66"/>
      <c r="AW903" s="66"/>
      <c r="AX903" s="66"/>
      <c r="AY903" s="66"/>
      <c r="AZ903" s="66"/>
      <c r="BA903" s="66"/>
      <c r="BB903" s="66"/>
      <c r="BC903" s="66"/>
      <c r="BD903" s="66"/>
      <c r="BE903" s="67"/>
      <c r="BF903" s="67"/>
      <c r="BG903" s="68"/>
      <c r="BI903" s="69">
        <v>0</v>
      </c>
      <c r="BJ903" s="70">
        <v>0</v>
      </c>
      <c r="BK903" s="71">
        <v>0</v>
      </c>
      <c r="BL903" s="71">
        <v>0</v>
      </c>
      <c r="BM903" s="71">
        <v>0</v>
      </c>
      <c r="BN903" s="72">
        <v>0</v>
      </c>
      <c r="BO903" s="151" t="e">
        <f t="shared" si="58"/>
        <v>#DIV/0!</v>
      </c>
      <c r="BP903" s="151" t="e">
        <f t="shared" si="59"/>
        <v>#DIV/0!</v>
      </c>
      <c r="BQ903" s="71">
        <v>0</v>
      </c>
      <c r="BR903" s="71">
        <v>0</v>
      </c>
      <c r="BS903" s="71">
        <v>0</v>
      </c>
      <c r="BT903" s="72">
        <v>0</v>
      </c>
      <c r="BU903" s="73"/>
      <c r="BV903" s="73"/>
    </row>
    <row r="904" ht="30" customHeight="1" spans="1:74">
      <c r="A904" s="55">
        <v>0</v>
      </c>
      <c r="B904" s="56">
        <v>0</v>
      </c>
      <c r="C904" s="57">
        <v>0</v>
      </c>
      <c r="E904" s="88"/>
      <c r="F904" s="59" t="e">
        <f>VLOOKUP(E904,[1]库存!$B$1:$C$65536,2,FALSE)</f>
        <v>#N/A</v>
      </c>
      <c r="G904" s="59" t="e">
        <v>#N/A</v>
      </c>
      <c r="H904" s="89"/>
      <c r="I904" s="88"/>
      <c r="J904" s="90"/>
      <c r="K904" s="61"/>
      <c r="L904" s="62">
        <v>0</v>
      </c>
      <c r="M904" s="63">
        <v>0</v>
      </c>
      <c r="N904" s="64">
        <v>0</v>
      </c>
      <c r="O904" s="62">
        <v>0</v>
      </c>
      <c r="P904" s="65">
        <f t="shared" si="60"/>
        <v>0</v>
      </c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66"/>
      <c r="AU904" s="66"/>
      <c r="AV904" s="66"/>
      <c r="AW904" s="66"/>
      <c r="AX904" s="66"/>
      <c r="AY904" s="66"/>
      <c r="AZ904" s="66"/>
      <c r="BA904" s="66"/>
      <c r="BB904" s="66"/>
      <c r="BC904" s="66"/>
      <c r="BD904" s="66"/>
      <c r="BE904" s="67"/>
      <c r="BF904" s="67"/>
      <c r="BG904" s="68"/>
      <c r="BI904" s="69">
        <v>0</v>
      </c>
      <c r="BJ904" s="70">
        <v>0</v>
      </c>
      <c r="BK904" s="71">
        <v>0</v>
      </c>
      <c r="BL904" s="71">
        <v>0</v>
      </c>
      <c r="BM904" s="71">
        <v>0</v>
      </c>
      <c r="BN904" s="72">
        <v>0</v>
      </c>
      <c r="BO904" s="151" t="e">
        <f t="shared" si="58"/>
        <v>#DIV/0!</v>
      </c>
      <c r="BP904" s="151" t="e">
        <f t="shared" si="59"/>
        <v>#DIV/0!</v>
      </c>
      <c r="BQ904" s="71">
        <v>0</v>
      </c>
      <c r="BR904" s="71">
        <v>0</v>
      </c>
      <c r="BS904" s="71">
        <v>0</v>
      </c>
      <c r="BT904" s="72">
        <v>0</v>
      </c>
      <c r="BU904" s="73"/>
      <c r="BV904" s="73"/>
    </row>
    <row r="905" ht="30" customHeight="1" spans="1:74">
      <c r="A905" s="55" t="s">
        <v>41</v>
      </c>
      <c r="B905" s="56" t="s">
        <v>1057</v>
      </c>
      <c r="C905" s="57" t="s">
        <v>1124</v>
      </c>
      <c r="D905" s="59" t="s">
        <v>1532</v>
      </c>
      <c r="E905" s="59" t="s">
        <v>1533</v>
      </c>
      <c r="F905" s="59" t="str">
        <f>VLOOKUP(E905,[1]库存!$B$1:$C$65536,2,FALSE)</f>
        <v>CHANGAN S202 PAB</v>
      </c>
      <c r="G905" s="59" t="s">
        <v>1534</v>
      </c>
      <c r="H905" s="59" t="s">
        <v>1535</v>
      </c>
      <c r="I905" s="59" t="s">
        <v>289</v>
      </c>
      <c r="J905" s="63"/>
      <c r="K905" s="61"/>
      <c r="L905" s="62">
        <v>2</v>
      </c>
      <c r="M905" s="63">
        <v>850</v>
      </c>
      <c r="N905" s="64">
        <v>15</v>
      </c>
      <c r="O905" s="62">
        <v>2</v>
      </c>
      <c r="P905" s="65">
        <f t="shared" si="60"/>
        <v>0</v>
      </c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  <c r="AS905" s="66"/>
      <c r="AT905" s="66"/>
      <c r="AU905" s="66"/>
      <c r="AV905" s="66"/>
      <c r="AW905" s="66"/>
      <c r="AX905" s="66"/>
      <c r="AY905" s="66"/>
      <c r="AZ905" s="66"/>
      <c r="BA905" s="66"/>
      <c r="BB905" s="66"/>
      <c r="BC905" s="66"/>
      <c r="BD905" s="66"/>
      <c r="BE905" s="67"/>
      <c r="BF905" s="67"/>
      <c r="BG905" s="68"/>
      <c r="BI905" s="69">
        <v>0</v>
      </c>
      <c r="BJ905" s="70">
        <v>0</v>
      </c>
      <c r="BK905" s="71">
        <v>0</v>
      </c>
      <c r="BL905" s="71">
        <v>0</v>
      </c>
      <c r="BM905" s="71">
        <v>0</v>
      </c>
      <c r="BN905" s="72">
        <v>0</v>
      </c>
      <c r="BO905" s="151" t="e">
        <f t="shared" si="58"/>
        <v>#DIV/0!</v>
      </c>
      <c r="BP905" s="151" t="e">
        <f t="shared" si="59"/>
        <v>#DIV/0!</v>
      </c>
      <c r="BQ905" s="71">
        <v>0</v>
      </c>
      <c r="BR905" s="71">
        <v>0</v>
      </c>
      <c r="BS905" s="71">
        <v>0</v>
      </c>
      <c r="BT905" s="72">
        <v>0</v>
      </c>
      <c r="BU905" s="73"/>
      <c r="BV905" s="73"/>
    </row>
    <row r="906" ht="30" customHeight="1" spans="1:74">
      <c r="A906" s="55">
        <v>0</v>
      </c>
      <c r="B906" s="56">
        <v>0</v>
      </c>
      <c r="C906" s="57">
        <v>0</v>
      </c>
      <c r="D906" s="74"/>
      <c r="E906" s="74"/>
      <c r="F906" s="59" t="e">
        <f>VLOOKUP(E906,[1]库存!$B$1:$C$65536,2,FALSE)</f>
        <v>#N/A</v>
      </c>
      <c r="G906" s="59" t="e">
        <v>#N/A</v>
      </c>
      <c r="H906" s="74"/>
      <c r="I906" s="74"/>
      <c r="J906" s="87"/>
      <c r="K906" s="61"/>
      <c r="L906" s="62">
        <v>0</v>
      </c>
      <c r="M906" s="63">
        <v>0</v>
      </c>
      <c r="N906" s="64">
        <v>0</v>
      </c>
      <c r="O906" s="62">
        <v>0</v>
      </c>
      <c r="P906" s="65">
        <f t="shared" si="60"/>
        <v>0</v>
      </c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66"/>
      <c r="AU906" s="66"/>
      <c r="AV906" s="66"/>
      <c r="AW906" s="66"/>
      <c r="AX906" s="66"/>
      <c r="AY906" s="66"/>
      <c r="AZ906" s="66"/>
      <c r="BA906" s="66"/>
      <c r="BB906" s="66"/>
      <c r="BC906" s="66"/>
      <c r="BD906" s="66"/>
      <c r="BE906" s="67"/>
      <c r="BF906" s="67"/>
      <c r="BG906" s="68"/>
      <c r="BI906" s="69">
        <v>0</v>
      </c>
      <c r="BJ906" s="70">
        <v>0</v>
      </c>
      <c r="BK906" s="71">
        <v>0</v>
      </c>
      <c r="BL906" s="71">
        <v>0</v>
      </c>
      <c r="BM906" s="71">
        <v>0</v>
      </c>
      <c r="BN906" s="72">
        <v>0</v>
      </c>
      <c r="BO906" s="151" t="e">
        <f t="shared" si="58"/>
        <v>#DIV/0!</v>
      </c>
      <c r="BP906" s="151" t="e">
        <f t="shared" si="59"/>
        <v>#DIV/0!</v>
      </c>
      <c r="BQ906" s="71">
        <v>0</v>
      </c>
      <c r="BR906" s="71">
        <v>0</v>
      </c>
      <c r="BS906" s="71">
        <v>0</v>
      </c>
      <c r="BT906" s="72">
        <v>0</v>
      </c>
      <c r="BU906" s="73"/>
      <c r="BV906" s="73"/>
    </row>
    <row r="907" ht="30" customHeight="1" spans="1:74">
      <c r="A907" s="55" t="s">
        <v>96</v>
      </c>
      <c r="B907" s="56" t="s">
        <v>42</v>
      </c>
      <c r="C907" s="57" t="s">
        <v>462</v>
      </c>
      <c r="D907" s="59" t="s">
        <v>1532</v>
      </c>
      <c r="E907" s="59" t="s">
        <v>1536</v>
      </c>
      <c r="F907" s="59" t="str">
        <f>VLOOKUP(E907,[1]库存!$B$1:$C$65536,2,FALSE)</f>
        <v>SGMW CN180S MCE PAB</v>
      </c>
      <c r="G907" s="59" t="s">
        <v>1537</v>
      </c>
      <c r="H907" s="59" t="s">
        <v>1538</v>
      </c>
      <c r="I907" s="59" t="s">
        <v>277</v>
      </c>
      <c r="J907" s="80" t="s">
        <v>65</v>
      </c>
      <c r="K907" s="61"/>
      <c r="L907" s="62">
        <v>2</v>
      </c>
      <c r="M907" s="63">
        <v>850</v>
      </c>
      <c r="N907" s="64">
        <v>15</v>
      </c>
      <c r="O907" s="62">
        <v>2</v>
      </c>
      <c r="P907" s="65">
        <f t="shared" si="60"/>
        <v>0</v>
      </c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  <c r="AS907" s="66"/>
      <c r="AT907" s="66"/>
      <c r="AU907" s="66"/>
      <c r="AV907" s="66"/>
      <c r="AW907" s="66"/>
      <c r="AX907" s="66"/>
      <c r="AY907" s="66"/>
      <c r="AZ907" s="66"/>
      <c r="BA907" s="66"/>
      <c r="BB907" s="66"/>
      <c r="BC907" s="66"/>
      <c r="BD907" s="66"/>
      <c r="BE907" s="67"/>
      <c r="BF907" s="67"/>
      <c r="BG907" s="68"/>
      <c r="BI907" s="69">
        <v>0</v>
      </c>
      <c r="BJ907" s="70">
        <v>0</v>
      </c>
      <c r="BK907" s="71">
        <v>0</v>
      </c>
      <c r="BL907" s="71">
        <v>0</v>
      </c>
      <c r="BM907" s="71">
        <v>0</v>
      </c>
      <c r="BN907" s="72">
        <v>0</v>
      </c>
      <c r="BO907" s="151" t="e">
        <f t="shared" si="58"/>
        <v>#DIV/0!</v>
      </c>
      <c r="BP907" s="151" t="e">
        <f t="shared" si="59"/>
        <v>#DIV/0!</v>
      </c>
      <c r="BQ907" s="71">
        <v>0</v>
      </c>
      <c r="BR907" s="71">
        <v>0</v>
      </c>
      <c r="BS907" s="71">
        <v>0</v>
      </c>
      <c r="BT907" s="72">
        <v>0</v>
      </c>
      <c r="BU907" s="73"/>
      <c r="BV907" s="73"/>
    </row>
    <row r="908" ht="30" customHeight="1" spans="1:74">
      <c r="A908" s="55">
        <v>0</v>
      </c>
      <c r="B908" s="56">
        <v>0</v>
      </c>
      <c r="C908" s="57">
        <v>0</v>
      </c>
      <c r="D908" s="74"/>
      <c r="E908" s="74"/>
      <c r="F908" s="59" t="e">
        <f>VLOOKUP(E908,[1]库存!$B$1:$C$65536,2,FALSE)</f>
        <v>#N/A</v>
      </c>
      <c r="G908" s="59" t="e">
        <v>#N/A</v>
      </c>
      <c r="H908" s="74"/>
      <c r="I908" s="74"/>
      <c r="J908" s="81"/>
      <c r="K908" s="61"/>
      <c r="L908" s="62">
        <v>0</v>
      </c>
      <c r="M908" s="63">
        <v>0</v>
      </c>
      <c r="N908" s="64">
        <v>0</v>
      </c>
      <c r="O908" s="62">
        <v>0</v>
      </c>
      <c r="P908" s="65">
        <f t="shared" si="60"/>
        <v>0</v>
      </c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6"/>
      <c r="AS908" s="66"/>
      <c r="AT908" s="66"/>
      <c r="AU908" s="66"/>
      <c r="AV908" s="66"/>
      <c r="AW908" s="66"/>
      <c r="AX908" s="66"/>
      <c r="AY908" s="66"/>
      <c r="AZ908" s="66"/>
      <c r="BA908" s="66"/>
      <c r="BB908" s="66"/>
      <c r="BC908" s="66"/>
      <c r="BD908" s="66"/>
      <c r="BE908" s="67"/>
      <c r="BF908" s="67"/>
      <c r="BG908" s="68"/>
      <c r="BI908" s="69">
        <v>0</v>
      </c>
      <c r="BJ908" s="70">
        <v>0</v>
      </c>
      <c r="BK908" s="71">
        <v>0</v>
      </c>
      <c r="BL908" s="71">
        <v>0</v>
      </c>
      <c r="BM908" s="71">
        <v>0</v>
      </c>
      <c r="BN908" s="72">
        <v>0</v>
      </c>
      <c r="BO908" s="151" t="e">
        <f t="shared" si="58"/>
        <v>#DIV/0!</v>
      </c>
      <c r="BP908" s="151" t="e">
        <f t="shared" si="59"/>
        <v>#DIV/0!</v>
      </c>
      <c r="BQ908" s="71">
        <v>0</v>
      </c>
      <c r="BR908" s="71">
        <v>0</v>
      </c>
      <c r="BS908" s="71">
        <v>0</v>
      </c>
      <c r="BT908" s="72">
        <v>0</v>
      </c>
      <c r="BU908" s="73"/>
      <c r="BV908" s="73"/>
    </row>
    <row r="909" ht="30" customHeight="1" spans="1:74">
      <c r="A909" s="55">
        <v>0</v>
      </c>
      <c r="B909" s="56">
        <v>0</v>
      </c>
      <c r="C909" s="57">
        <v>0</v>
      </c>
      <c r="E909" s="88"/>
      <c r="F909" s="59" t="e">
        <f>VLOOKUP(E909,[1]库存!$B$1:$C$65536,2,FALSE)</f>
        <v>#N/A</v>
      </c>
      <c r="G909" s="59" t="e">
        <v>#N/A</v>
      </c>
      <c r="H909" s="89"/>
      <c r="I909" s="88"/>
      <c r="J909" s="90"/>
      <c r="K909" s="61"/>
      <c r="L909" s="62">
        <v>0</v>
      </c>
      <c r="M909" s="63">
        <v>0</v>
      </c>
      <c r="N909" s="64">
        <v>0</v>
      </c>
      <c r="O909" s="62">
        <v>0</v>
      </c>
      <c r="P909" s="65">
        <f t="shared" si="60"/>
        <v>0</v>
      </c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66"/>
      <c r="AU909" s="66"/>
      <c r="AV909" s="66"/>
      <c r="AW909" s="66"/>
      <c r="AX909" s="66"/>
      <c r="AY909" s="66"/>
      <c r="AZ909" s="66"/>
      <c r="BA909" s="66"/>
      <c r="BB909" s="66"/>
      <c r="BC909" s="66"/>
      <c r="BD909" s="66"/>
      <c r="BE909" s="67"/>
      <c r="BF909" s="67"/>
      <c r="BG909" s="68"/>
      <c r="BI909" s="69">
        <v>0</v>
      </c>
      <c r="BJ909" s="70">
        <v>0</v>
      </c>
      <c r="BK909" s="71">
        <v>0</v>
      </c>
      <c r="BL909" s="71">
        <v>0</v>
      </c>
      <c r="BM909" s="71">
        <v>0</v>
      </c>
      <c r="BN909" s="72">
        <v>0</v>
      </c>
      <c r="BO909" s="151" t="e">
        <f t="shared" si="58"/>
        <v>#DIV/0!</v>
      </c>
      <c r="BP909" s="151" t="e">
        <f t="shared" si="59"/>
        <v>#DIV/0!</v>
      </c>
      <c r="BQ909" s="71">
        <v>0</v>
      </c>
      <c r="BR909" s="71">
        <v>0</v>
      </c>
      <c r="BS909" s="71">
        <v>0</v>
      </c>
      <c r="BT909" s="72">
        <v>0</v>
      </c>
      <c r="BU909" s="73"/>
      <c r="BV909" s="73"/>
    </row>
    <row r="910" ht="30" customHeight="1" spans="1:74">
      <c r="A910" s="55" t="s">
        <v>96</v>
      </c>
      <c r="B910" s="56" t="s">
        <v>1057</v>
      </c>
      <c r="C910" s="57" t="s">
        <v>1124</v>
      </c>
      <c r="D910" s="59" t="s">
        <v>1539</v>
      </c>
      <c r="E910" s="59" t="s">
        <v>1540</v>
      </c>
      <c r="F910" s="59" t="str">
        <f>VLOOKUP(E910,[1]库存!$B$1:$C$65536,2,FALSE)</f>
        <v>SGMW CN202K PAB A状态</v>
      </c>
      <c r="G910" s="59" t="s">
        <v>1541</v>
      </c>
      <c r="H910" s="59" t="s">
        <v>1542</v>
      </c>
      <c r="I910" s="59" t="s">
        <v>1543</v>
      </c>
      <c r="J910" s="63"/>
      <c r="K910" s="61"/>
      <c r="L910" s="62">
        <v>2</v>
      </c>
      <c r="M910" s="63">
        <v>850</v>
      </c>
      <c r="N910" s="64">
        <v>16</v>
      </c>
      <c r="O910" s="62">
        <v>2</v>
      </c>
      <c r="P910" s="65">
        <f t="shared" si="60"/>
        <v>0</v>
      </c>
      <c r="Q910" s="66">
        <v>1000</v>
      </c>
      <c r="R910" s="66"/>
      <c r="S910" s="66">
        <v>1150</v>
      </c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66"/>
      <c r="AU910" s="66"/>
      <c r="AV910" s="66"/>
      <c r="AW910" s="66"/>
      <c r="AX910" s="66"/>
      <c r="AY910" s="66"/>
      <c r="AZ910" s="66"/>
      <c r="BA910" s="66"/>
      <c r="BB910" s="66"/>
      <c r="BC910" s="66"/>
      <c r="BD910" s="66"/>
      <c r="BE910" s="67"/>
      <c r="BF910" s="67"/>
      <c r="BG910" s="68"/>
      <c r="BI910" s="69">
        <v>0</v>
      </c>
      <c r="BJ910" s="70">
        <v>0</v>
      </c>
      <c r="BK910" s="71">
        <v>0</v>
      </c>
      <c r="BL910" s="71">
        <v>0</v>
      </c>
      <c r="BM910" s="71">
        <v>0</v>
      </c>
      <c r="BN910" s="72">
        <v>0</v>
      </c>
      <c r="BO910" s="151" t="e">
        <f t="shared" si="58"/>
        <v>#DIV/0!</v>
      </c>
      <c r="BP910" s="151" t="e">
        <f t="shared" si="59"/>
        <v>#DIV/0!</v>
      </c>
      <c r="BQ910" s="71">
        <v>0</v>
      </c>
      <c r="BR910" s="71">
        <v>0</v>
      </c>
      <c r="BS910" s="71">
        <v>0</v>
      </c>
      <c r="BT910" s="72">
        <v>0</v>
      </c>
      <c r="BU910" s="73"/>
      <c r="BV910" s="73"/>
    </row>
    <row r="911" ht="30" customHeight="1" spans="1:74">
      <c r="A911" s="55">
        <v>0</v>
      </c>
      <c r="B911" s="56">
        <v>0</v>
      </c>
      <c r="C911" s="57">
        <v>0</v>
      </c>
      <c r="D911" s="74"/>
      <c r="E911" s="74"/>
      <c r="F911" s="59" t="e">
        <f>VLOOKUP(E911,[1]库存!$B$1:$C$65536,2,FALSE)</f>
        <v>#N/A</v>
      </c>
      <c r="G911" s="59" t="e">
        <v>#N/A</v>
      </c>
      <c r="H911" s="74"/>
      <c r="I911" s="74"/>
      <c r="J911" s="87"/>
      <c r="K911" s="61"/>
      <c r="L911" s="62">
        <v>0</v>
      </c>
      <c r="M911" s="63">
        <v>0</v>
      </c>
      <c r="N911" s="64">
        <v>0</v>
      </c>
      <c r="O911" s="62">
        <v>0</v>
      </c>
      <c r="P911" s="65">
        <f t="shared" si="60"/>
        <v>0</v>
      </c>
      <c r="Q911" s="66">
        <v>1010</v>
      </c>
      <c r="R911" s="66"/>
      <c r="S911" s="66">
        <v>1183</v>
      </c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  <c r="AS911" s="66"/>
      <c r="AT911" s="66"/>
      <c r="AU911" s="66"/>
      <c r="AV911" s="66"/>
      <c r="AW911" s="66"/>
      <c r="AX911" s="66"/>
      <c r="AY911" s="66"/>
      <c r="AZ911" s="66"/>
      <c r="BA911" s="66"/>
      <c r="BB911" s="66"/>
      <c r="BC911" s="66"/>
      <c r="BD911" s="66"/>
      <c r="BE911" s="67"/>
      <c r="BF911" s="67"/>
      <c r="BG911" s="68"/>
      <c r="BI911" s="69">
        <v>0</v>
      </c>
      <c r="BJ911" s="70">
        <v>0</v>
      </c>
      <c r="BK911" s="71">
        <v>0</v>
      </c>
      <c r="BL911" s="71">
        <v>0</v>
      </c>
      <c r="BM911" s="71">
        <v>0</v>
      </c>
      <c r="BN911" s="72">
        <v>0</v>
      </c>
      <c r="BO911" s="151" t="e">
        <f t="shared" si="58"/>
        <v>#DIV/0!</v>
      </c>
      <c r="BP911" s="151" t="e">
        <f t="shared" si="59"/>
        <v>#DIV/0!</v>
      </c>
      <c r="BQ911" s="71">
        <v>0</v>
      </c>
      <c r="BR911" s="71">
        <v>0</v>
      </c>
      <c r="BS911" s="71">
        <v>0</v>
      </c>
      <c r="BT911" s="72">
        <v>0</v>
      </c>
      <c r="BU911" s="73"/>
      <c r="BV911" s="73"/>
    </row>
    <row r="912" ht="30" customHeight="1" spans="1:74">
      <c r="A912" s="55" t="s">
        <v>96</v>
      </c>
      <c r="B912" s="56" t="s">
        <v>1057</v>
      </c>
      <c r="C912" s="57" t="s">
        <v>1124</v>
      </c>
      <c r="D912" s="59" t="s">
        <v>1539</v>
      </c>
      <c r="E912" s="59" t="s">
        <v>1544</v>
      </c>
      <c r="F912" s="59" t="str">
        <f>VLOOKUP(E912,[1]库存!$B$1:$C$65536,2,FALSE)</f>
        <v>SAIC IP32 PAB B状态</v>
      </c>
      <c r="G912" s="59" t="s">
        <v>1545</v>
      </c>
      <c r="H912" s="59" t="s">
        <v>1546</v>
      </c>
      <c r="I912" s="59" t="s">
        <v>1547</v>
      </c>
      <c r="J912" s="117"/>
      <c r="K912" s="61"/>
      <c r="L912" s="62">
        <v>2</v>
      </c>
      <c r="M912" s="63">
        <v>900</v>
      </c>
      <c r="N912" s="64">
        <v>16</v>
      </c>
      <c r="O912" s="62">
        <v>2</v>
      </c>
      <c r="P912" s="65">
        <f t="shared" si="60"/>
        <v>0</v>
      </c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  <c r="AS912" s="66"/>
      <c r="AT912" s="66"/>
      <c r="AU912" s="66"/>
      <c r="AV912" s="66"/>
      <c r="AW912" s="66"/>
      <c r="AX912" s="66"/>
      <c r="AY912" s="66"/>
      <c r="AZ912" s="66"/>
      <c r="BA912" s="66"/>
      <c r="BB912" s="66"/>
      <c r="BC912" s="66"/>
      <c r="BD912" s="66"/>
      <c r="BE912" s="67"/>
      <c r="BF912" s="67"/>
      <c r="BG912" s="68"/>
      <c r="BI912" s="69">
        <v>0</v>
      </c>
      <c r="BJ912" s="70">
        <v>0</v>
      </c>
      <c r="BK912" s="71">
        <v>0</v>
      </c>
      <c r="BL912" s="71">
        <v>0</v>
      </c>
      <c r="BM912" s="71">
        <v>0</v>
      </c>
      <c r="BN912" s="72">
        <v>0</v>
      </c>
      <c r="BO912" s="151" t="e">
        <f t="shared" si="58"/>
        <v>#DIV/0!</v>
      </c>
      <c r="BP912" s="151" t="e">
        <f t="shared" si="59"/>
        <v>#DIV/0!</v>
      </c>
      <c r="BQ912" s="71">
        <v>0</v>
      </c>
      <c r="BR912" s="71">
        <v>0</v>
      </c>
      <c r="BS912" s="71">
        <v>0</v>
      </c>
      <c r="BT912" s="72">
        <v>0</v>
      </c>
      <c r="BU912" s="73"/>
      <c r="BV912" s="73"/>
    </row>
    <row r="913" ht="30" customHeight="1" spans="1:74">
      <c r="A913" s="55">
        <v>0</v>
      </c>
      <c r="B913" s="56">
        <v>0</v>
      </c>
      <c r="C913" s="57">
        <v>0</v>
      </c>
      <c r="D913" s="74"/>
      <c r="E913" s="74"/>
      <c r="F913" s="59" t="e">
        <f>VLOOKUP(E913,[1]库存!$B$1:$C$65536,2,FALSE)</f>
        <v>#N/A</v>
      </c>
      <c r="G913" s="59" t="e">
        <v>#N/A</v>
      </c>
      <c r="H913" s="74"/>
      <c r="I913" s="74"/>
      <c r="J913" s="162"/>
      <c r="K913" s="61"/>
      <c r="L913" s="62">
        <v>0</v>
      </c>
      <c r="M913" s="63">
        <v>0</v>
      </c>
      <c r="N913" s="64">
        <v>0</v>
      </c>
      <c r="O913" s="62">
        <v>0</v>
      </c>
      <c r="P913" s="65">
        <f t="shared" si="60"/>
        <v>0</v>
      </c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  <c r="AS913" s="66"/>
      <c r="AT913" s="66"/>
      <c r="AU913" s="66"/>
      <c r="AV913" s="66"/>
      <c r="AW913" s="66"/>
      <c r="AX913" s="66"/>
      <c r="AY913" s="66"/>
      <c r="AZ913" s="66"/>
      <c r="BA913" s="66"/>
      <c r="BB913" s="66"/>
      <c r="BC913" s="66"/>
      <c r="BD913" s="66"/>
      <c r="BE913" s="67"/>
      <c r="BF913" s="67"/>
      <c r="BG913" s="68"/>
      <c r="BI913" s="69">
        <v>0</v>
      </c>
      <c r="BJ913" s="70">
        <v>0</v>
      </c>
      <c r="BK913" s="71">
        <v>0</v>
      </c>
      <c r="BL913" s="71">
        <v>0</v>
      </c>
      <c r="BM913" s="71">
        <v>0</v>
      </c>
      <c r="BN913" s="72">
        <v>0</v>
      </c>
      <c r="BO913" s="151" t="e">
        <f t="shared" si="58"/>
        <v>#DIV/0!</v>
      </c>
      <c r="BP913" s="151" t="e">
        <f t="shared" si="59"/>
        <v>#DIV/0!</v>
      </c>
      <c r="BQ913" s="71">
        <v>0</v>
      </c>
      <c r="BR913" s="71">
        <v>0</v>
      </c>
      <c r="BS913" s="71">
        <v>0</v>
      </c>
      <c r="BT913" s="72">
        <v>0</v>
      </c>
      <c r="BU913" s="73"/>
      <c r="BV913" s="73"/>
    </row>
    <row r="914" ht="30" customHeight="1" spans="1:74">
      <c r="A914" s="55" t="s">
        <v>96</v>
      </c>
      <c r="B914" s="56" t="s">
        <v>1057</v>
      </c>
      <c r="C914" s="57" t="s">
        <v>1124</v>
      </c>
      <c r="D914" s="59" t="s">
        <v>1539</v>
      </c>
      <c r="E914" s="59" t="s">
        <v>1548</v>
      </c>
      <c r="F914" s="59" t="str">
        <f>VLOOKUP(E914,[1]库存!$B$1:$C$65536,2,FALSE)</f>
        <v>SAIC ZS12 MCE HEV PAB</v>
      </c>
      <c r="G914" s="59" t="s">
        <v>1549</v>
      </c>
      <c r="H914" s="59" t="s">
        <v>1550</v>
      </c>
      <c r="I914" s="59" t="s">
        <v>1551</v>
      </c>
      <c r="J914" s="80" t="s">
        <v>65</v>
      </c>
      <c r="K914" s="61"/>
      <c r="L914" s="62">
        <v>2</v>
      </c>
      <c r="M914" s="63">
        <v>900</v>
      </c>
      <c r="N914" s="64">
        <v>16</v>
      </c>
      <c r="O914" s="62">
        <v>2</v>
      </c>
      <c r="P914" s="65">
        <f t="shared" si="60"/>
        <v>0</v>
      </c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6"/>
      <c r="AS914" s="66"/>
      <c r="AT914" s="66"/>
      <c r="AU914" s="66"/>
      <c r="AV914" s="66"/>
      <c r="AW914" s="66"/>
      <c r="AX914" s="66"/>
      <c r="AY914" s="66"/>
      <c r="AZ914" s="66"/>
      <c r="BA914" s="66"/>
      <c r="BB914" s="66"/>
      <c r="BC914" s="66"/>
      <c r="BD914" s="66"/>
      <c r="BE914" s="67"/>
      <c r="BF914" s="67"/>
      <c r="BG914" s="68"/>
      <c r="BI914" s="69">
        <v>0</v>
      </c>
      <c r="BJ914" s="70">
        <v>0</v>
      </c>
      <c r="BK914" s="71">
        <v>0</v>
      </c>
      <c r="BL914" s="71">
        <v>0</v>
      </c>
      <c r="BM914" s="71">
        <v>0</v>
      </c>
      <c r="BN914" s="72">
        <v>0</v>
      </c>
      <c r="BO914" s="151" t="e">
        <f t="shared" si="58"/>
        <v>#DIV/0!</v>
      </c>
      <c r="BP914" s="151" t="e">
        <f t="shared" si="59"/>
        <v>#DIV/0!</v>
      </c>
      <c r="BQ914" s="71">
        <v>0</v>
      </c>
      <c r="BR914" s="71">
        <v>0</v>
      </c>
      <c r="BS914" s="71">
        <v>0</v>
      </c>
      <c r="BT914" s="72">
        <v>0</v>
      </c>
      <c r="BU914" s="73"/>
      <c r="BV914" s="73"/>
    </row>
    <row r="915" ht="30" customHeight="1" spans="1:74">
      <c r="A915" s="55">
        <v>0</v>
      </c>
      <c r="B915" s="56">
        <v>0</v>
      </c>
      <c r="C915" s="57">
        <v>0</v>
      </c>
      <c r="D915" s="74"/>
      <c r="E915" s="74"/>
      <c r="F915" s="59" t="e">
        <f>VLOOKUP(E915,[1]库存!$B$1:$C$65536,2,FALSE)</f>
        <v>#N/A</v>
      </c>
      <c r="G915" s="59" t="e">
        <v>#N/A</v>
      </c>
      <c r="H915" s="74"/>
      <c r="I915" s="74"/>
      <c r="J915" s="81"/>
      <c r="K915" s="61"/>
      <c r="L915" s="62">
        <v>0</v>
      </c>
      <c r="M915" s="63">
        <v>0</v>
      </c>
      <c r="N915" s="64">
        <v>0</v>
      </c>
      <c r="O915" s="62">
        <v>0</v>
      </c>
      <c r="P915" s="65">
        <f t="shared" si="60"/>
        <v>0</v>
      </c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66"/>
      <c r="AU915" s="66"/>
      <c r="AV915" s="66"/>
      <c r="AW915" s="66"/>
      <c r="AX915" s="66"/>
      <c r="AY915" s="66"/>
      <c r="AZ915" s="66"/>
      <c r="BA915" s="66"/>
      <c r="BB915" s="66"/>
      <c r="BC915" s="66"/>
      <c r="BD915" s="66"/>
      <c r="BE915" s="67"/>
      <c r="BF915" s="67"/>
      <c r="BG915" s="68"/>
      <c r="BI915" s="69">
        <v>0</v>
      </c>
      <c r="BJ915" s="70">
        <v>0</v>
      </c>
      <c r="BK915" s="71">
        <v>0</v>
      </c>
      <c r="BL915" s="71">
        <v>0</v>
      </c>
      <c r="BM915" s="71">
        <v>0</v>
      </c>
      <c r="BN915" s="72">
        <v>0</v>
      </c>
      <c r="BO915" s="151" t="e">
        <f t="shared" si="58"/>
        <v>#DIV/0!</v>
      </c>
      <c r="BP915" s="151" t="e">
        <f t="shared" si="59"/>
        <v>#DIV/0!</v>
      </c>
      <c r="BQ915" s="71">
        <v>0</v>
      </c>
      <c r="BR915" s="71">
        <v>0</v>
      </c>
      <c r="BS915" s="71">
        <v>0</v>
      </c>
      <c r="BT915" s="72">
        <v>0</v>
      </c>
      <c r="BU915" s="73"/>
      <c r="BV915" s="73"/>
    </row>
    <row r="916" ht="30" customHeight="1" spans="1:74">
      <c r="A916" s="55" t="s">
        <v>96</v>
      </c>
      <c r="B916" s="56" t="s">
        <v>1057</v>
      </c>
      <c r="C916" s="57" t="s">
        <v>1124</v>
      </c>
      <c r="D916" s="59" t="s">
        <v>1539</v>
      </c>
      <c r="E916" s="59" t="s">
        <v>1552</v>
      </c>
      <c r="F916" s="59" t="str">
        <f>VLOOKUP(E916,[1]库存!$B$1:$C$65536,2,FALSE)</f>
        <v>SAIC IS31 PAB</v>
      </c>
      <c r="G916" s="59" t="s">
        <v>1553</v>
      </c>
      <c r="H916" s="59" t="s">
        <v>1554</v>
      </c>
      <c r="I916" s="59" t="s">
        <v>1555</v>
      </c>
      <c r="J916" s="80" t="s">
        <v>65</v>
      </c>
      <c r="K916" s="61"/>
      <c r="L916" s="62">
        <v>2</v>
      </c>
      <c r="M916" s="63">
        <v>900</v>
      </c>
      <c r="N916" s="64">
        <v>16</v>
      </c>
      <c r="O916" s="62">
        <v>2</v>
      </c>
      <c r="P916" s="65">
        <f t="shared" si="60"/>
        <v>0</v>
      </c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  <c r="AS916" s="66"/>
      <c r="AT916" s="66"/>
      <c r="AU916" s="66"/>
      <c r="AV916" s="66"/>
      <c r="AW916" s="66"/>
      <c r="AX916" s="66"/>
      <c r="AY916" s="66"/>
      <c r="AZ916" s="66"/>
      <c r="BA916" s="66"/>
      <c r="BB916" s="66"/>
      <c r="BC916" s="66"/>
      <c r="BD916" s="66"/>
      <c r="BE916" s="67"/>
      <c r="BF916" s="67"/>
      <c r="BG916" s="68"/>
      <c r="BI916" s="69">
        <v>0</v>
      </c>
      <c r="BJ916" s="70">
        <v>0</v>
      </c>
      <c r="BK916" s="71">
        <v>0</v>
      </c>
      <c r="BL916" s="71">
        <v>0</v>
      </c>
      <c r="BM916" s="71">
        <v>0</v>
      </c>
      <c r="BN916" s="72">
        <v>0</v>
      </c>
      <c r="BO916" s="151" t="e">
        <f t="shared" si="58"/>
        <v>#DIV/0!</v>
      </c>
      <c r="BP916" s="151" t="e">
        <f t="shared" si="59"/>
        <v>#DIV/0!</v>
      </c>
      <c r="BQ916" s="71">
        <v>0</v>
      </c>
      <c r="BR916" s="71">
        <v>0</v>
      </c>
      <c r="BS916" s="71">
        <v>0</v>
      </c>
      <c r="BT916" s="72">
        <v>0</v>
      </c>
      <c r="BU916" s="73"/>
      <c r="BV916" s="73"/>
    </row>
    <row r="917" ht="30" customHeight="1" spans="1:74">
      <c r="A917" s="55">
        <v>0</v>
      </c>
      <c r="B917" s="56">
        <v>0</v>
      </c>
      <c r="C917" s="57">
        <v>0</v>
      </c>
      <c r="D917" s="74"/>
      <c r="E917" s="74"/>
      <c r="F917" s="59" t="e">
        <f>VLOOKUP(E917,[1]库存!$B$1:$C$65536,2,FALSE)</f>
        <v>#N/A</v>
      </c>
      <c r="G917" s="59" t="e">
        <v>#N/A</v>
      </c>
      <c r="H917" s="74"/>
      <c r="I917" s="74"/>
      <c r="J917" s="81"/>
      <c r="K917" s="61"/>
      <c r="L917" s="62">
        <v>0</v>
      </c>
      <c r="M917" s="63">
        <v>0</v>
      </c>
      <c r="N917" s="64">
        <v>0</v>
      </c>
      <c r="O917" s="62">
        <v>0</v>
      </c>
      <c r="P917" s="65">
        <f t="shared" si="60"/>
        <v>0</v>
      </c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66"/>
      <c r="AU917" s="66"/>
      <c r="AV917" s="66"/>
      <c r="AW917" s="66"/>
      <c r="AX917" s="66"/>
      <c r="AY917" s="66"/>
      <c r="AZ917" s="66"/>
      <c r="BA917" s="66"/>
      <c r="BB917" s="66"/>
      <c r="BC917" s="66"/>
      <c r="BD917" s="66"/>
      <c r="BE917" s="67"/>
      <c r="BF917" s="67"/>
      <c r="BG917" s="68"/>
      <c r="BI917" s="69">
        <v>0</v>
      </c>
      <c r="BJ917" s="70">
        <v>0</v>
      </c>
      <c r="BK917" s="71">
        <v>0</v>
      </c>
      <c r="BL917" s="71">
        <v>0</v>
      </c>
      <c r="BM917" s="71">
        <v>0</v>
      </c>
      <c r="BN917" s="72">
        <v>0</v>
      </c>
      <c r="BO917" s="151" t="e">
        <f t="shared" si="58"/>
        <v>#DIV/0!</v>
      </c>
      <c r="BP917" s="151" t="e">
        <f t="shared" si="59"/>
        <v>#DIV/0!</v>
      </c>
      <c r="BQ917" s="71">
        <v>0</v>
      </c>
      <c r="BR917" s="71">
        <v>0</v>
      </c>
      <c r="BS917" s="71">
        <v>0</v>
      </c>
      <c r="BT917" s="72">
        <v>0</v>
      </c>
      <c r="BU917" s="73"/>
      <c r="BV917" s="73"/>
    </row>
    <row r="918" ht="30" customHeight="1" spans="1:74">
      <c r="A918" s="55">
        <v>0</v>
      </c>
      <c r="B918" s="56" t="s">
        <v>1057</v>
      </c>
      <c r="C918" s="57" t="s">
        <v>1124</v>
      </c>
      <c r="D918" s="59" t="s">
        <v>1539</v>
      </c>
      <c r="E918" s="59" t="s">
        <v>1556</v>
      </c>
      <c r="F918" s="59" t="str">
        <f>VLOOKUP(E918,[1]库存!$B$1:$C$65536,2,FALSE)</f>
        <v>SAIC ZS11 MCE PAB</v>
      </c>
      <c r="G918" s="59" t="s">
        <v>1557</v>
      </c>
      <c r="H918" s="59" t="s">
        <v>1558</v>
      </c>
      <c r="I918" s="59" t="s">
        <v>1551</v>
      </c>
      <c r="J918" s="80" t="s">
        <v>65</v>
      </c>
      <c r="K918" s="61"/>
      <c r="L918" s="62">
        <v>2</v>
      </c>
      <c r="M918" s="63">
        <v>850</v>
      </c>
      <c r="N918" s="64">
        <v>17</v>
      </c>
      <c r="O918" s="62">
        <v>2</v>
      </c>
      <c r="P918" s="65">
        <f t="shared" si="60"/>
        <v>0</v>
      </c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66"/>
      <c r="AU918" s="66"/>
      <c r="AV918" s="66"/>
      <c r="AW918" s="66"/>
      <c r="AX918" s="66"/>
      <c r="AY918" s="66"/>
      <c r="AZ918" s="66"/>
      <c r="BA918" s="66"/>
      <c r="BB918" s="66"/>
      <c r="BC918" s="66"/>
      <c r="BD918" s="66"/>
      <c r="BE918" s="67"/>
      <c r="BF918" s="67"/>
      <c r="BG918" s="68"/>
      <c r="BI918" s="69">
        <v>0</v>
      </c>
      <c r="BJ918" s="70">
        <v>0</v>
      </c>
      <c r="BK918" s="71">
        <v>0</v>
      </c>
      <c r="BL918" s="71">
        <v>0</v>
      </c>
      <c r="BM918" s="71">
        <v>0</v>
      </c>
      <c r="BN918" s="72">
        <v>0</v>
      </c>
      <c r="BO918" s="151" t="e">
        <f t="shared" si="58"/>
        <v>#DIV/0!</v>
      </c>
      <c r="BP918" s="151" t="e">
        <f t="shared" si="59"/>
        <v>#DIV/0!</v>
      </c>
      <c r="BQ918" s="71">
        <v>0</v>
      </c>
      <c r="BR918" s="71">
        <v>0</v>
      </c>
      <c r="BS918" s="71">
        <v>0</v>
      </c>
      <c r="BT918" s="72">
        <v>0</v>
      </c>
      <c r="BU918" s="73"/>
      <c r="BV918" s="73"/>
    </row>
    <row r="919" ht="30" customHeight="1" spans="1:74">
      <c r="A919" s="55">
        <v>0</v>
      </c>
      <c r="B919" s="56">
        <v>0</v>
      </c>
      <c r="C919" s="57">
        <v>0</v>
      </c>
      <c r="D919" s="74"/>
      <c r="E919" s="74"/>
      <c r="F919" s="59" t="e">
        <f>VLOOKUP(E919,[1]库存!$B$1:$C$65536,2,FALSE)</f>
        <v>#N/A</v>
      </c>
      <c r="G919" s="59" t="e">
        <v>#N/A</v>
      </c>
      <c r="H919" s="74"/>
      <c r="I919" s="74"/>
      <c r="J919" s="81"/>
      <c r="K919" s="61"/>
      <c r="L919" s="62">
        <v>0</v>
      </c>
      <c r="M919" s="63">
        <v>0</v>
      </c>
      <c r="N919" s="64">
        <v>0</v>
      </c>
      <c r="O919" s="62">
        <v>0</v>
      </c>
      <c r="P919" s="65">
        <f t="shared" si="60"/>
        <v>0</v>
      </c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66"/>
      <c r="AU919" s="66"/>
      <c r="AV919" s="66"/>
      <c r="AW919" s="66"/>
      <c r="AX919" s="66"/>
      <c r="AY919" s="66"/>
      <c r="AZ919" s="66"/>
      <c r="BA919" s="66"/>
      <c r="BB919" s="66"/>
      <c r="BC919" s="66"/>
      <c r="BD919" s="66"/>
      <c r="BE919" s="67"/>
      <c r="BF919" s="67"/>
      <c r="BG919" s="68"/>
      <c r="BI919" s="69">
        <v>0</v>
      </c>
      <c r="BJ919" s="70">
        <v>0</v>
      </c>
      <c r="BK919" s="71">
        <v>0</v>
      </c>
      <c r="BL919" s="71">
        <v>0</v>
      </c>
      <c r="BM919" s="71">
        <v>0</v>
      </c>
      <c r="BN919" s="72">
        <v>0</v>
      </c>
      <c r="BO919" s="151" t="e">
        <f t="shared" si="58"/>
        <v>#DIV/0!</v>
      </c>
      <c r="BP919" s="151" t="e">
        <f t="shared" si="59"/>
        <v>#DIV/0!</v>
      </c>
      <c r="BQ919" s="71">
        <v>0</v>
      </c>
      <c r="BR919" s="71">
        <v>0</v>
      </c>
      <c r="BS919" s="71">
        <v>0</v>
      </c>
      <c r="BT919" s="72">
        <v>0</v>
      </c>
      <c r="BU919" s="73"/>
      <c r="BV919" s="73"/>
    </row>
    <row r="920" ht="30" customHeight="1" spans="1:74">
      <c r="A920" s="55" t="s">
        <v>96</v>
      </c>
      <c r="B920" s="56" t="s">
        <v>1057</v>
      </c>
      <c r="C920" s="57" t="s">
        <v>1124</v>
      </c>
      <c r="D920" s="59" t="s">
        <v>1539</v>
      </c>
      <c r="E920" s="59" t="s">
        <v>1559</v>
      </c>
      <c r="F920" s="59" t="str">
        <f>VLOOKUP(E920,[1]库存!$B$1:$C$65536,2,FALSE)</f>
        <v>ZS11 TNACP PAB</v>
      </c>
      <c r="G920" s="59" t="s">
        <v>1560</v>
      </c>
      <c r="H920" s="59" t="s">
        <v>1561</v>
      </c>
      <c r="I920" s="59" t="s">
        <v>1562</v>
      </c>
      <c r="J920" s="63"/>
      <c r="K920" s="61"/>
      <c r="L920" s="62">
        <v>2</v>
      </c>
      <c r="M920" s="63">
        <v>850</v>
      </c>
      <c r="N920" s="64">
        <v>17</v>
      </c>
      <c r="O920" s="62">
        <v>2</v>
      </c>
      <c r="P920" s="65">
        <f t="shared" si="60"/>
        <v>0</v>
      </c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66"/>
      <c r="AU920" s="66"/>
      <c r="AV920" s="66"/>
      <c r="AW920" s="66"/>
      <c r="AX920" s="66"/>
      <c r="AY920" s="66"/>
      <c r="AZ920" s="66"/>
      <c r="BA920" s="66"/>
      <c r="BB920" s="66"/>
      <c r="BC920" s="66"/>
      <c r="BD920" s="66"/>
      <c r="BE920" s="67"/>
      <c r="BF920" s="67"/>
      <c r="BG920" s="68"/>
      <c r="BI920" s="69">
        <v>0</v>
      </c>
      <c r="BJ920" s="70">
        <v>0</v>
      </c>
      <c r="BK920" s="71">
        <v>0</v>
      </c>
      <c r="BL920" s="71">
        <v>0</v>
      </c>
      <c r="BM920" s="71">
        <v>0</v>
      </c>
      <c r="BN920" s="72">
        <v>0</v>
      </c>
      <c r="BO920" s="151" t="e">
        <f t="shared" si="58"/>
        <v>#DIV/0!</v>
      </c>
      <c r="BP920" s="151" t="e">
        <f t="shared" si="59"/>
        <v>#DIV/0!</v>
      </c>
      <c r="BQ920" s="71">
        <v>0</v>
      </c>
      <c r="BR920" s="71">
        <v>0</v>
      </c>
      <c r="BS920" s="71">
        <v>0</v>
      </c>
      <c r="BT920" s="72">
        <v>0</v>
      </c>
      <c r="BU920" s="73"/>
      <c r="BV920" s="73"/>
    </row>
    <row r="921" ht="30" customHeight="1" spans="1:74">
      <c r="A921" s="55">
        <v>0</v>
      </c>
      <c r="B921" s="56">
        <v>0</v>
      </c>
      <c r="C921" s="57">
        <v>0</v>
      </c>
      <c r="D921" s="74"/>
      <c r="E921" s="74"/>
      <c r="F921" s="59" t="e">
        <f>VLOOKUP(E921,[1]库存!$B$1:$C$65536,2,FALSE)</f>
        <v>#N/A</v>
      </c>
      <c r="G921" s="59" t="e">
        <v>#N/A</v>
      </c>
      <c r="H921" s="74"/>
      <c r="I921" s="74"/>
      <c r="J921" s="87"/>
      <c r="K921" s="61"/>
      <c r="L921" s="62">
        <v>0</v>
      </c>
      <c r="M921" s="63">
        <v>0</v>
      </c>
      <c r="N921" s="64">
        <v>0</v>
      </c>
      <c r="O921" s="62">
        <v>0</v>
      </c>
      <c r="P921" s="65">
        <f t="shared" si="60"/>
        <v>0</v>
      </c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66"/>
      <c r="AU921" s="66"/>
      <c r="AV921" s="66"/>
      <c r="AW921" s="66"/>
      <c r="AX921" s="66"/>
      <c r="AY921" s="66"/>
      <c r="AZ921" s="66"/>
      <c r="BA921" s="66"/>
      <c r="BB921" s="66"/>
      <c r="BC921" s="66"/>
      <c r="BD921" s="66"/>
      <c r="BE921" s="67"/>
      <c r="BF921" s="67"/>
      <c r="BG921" s="68"/>
      <c r="BI921" s="69">
        <v>0</v>
      </c>
      <c r="BJ921" s="70">
        <v>0</v>
      </c>
      <c r="BK921" s="71">
        <v>0</v>
      </c>
      <c r="BL921" s="71">
        <v>0</v>
      </c>
      <c r="BM921" s="71">
        <v>0</v>
      </c>
      <c r="BN921" s="72">
        <v>0</v>
      </c>
      <c r="BO921" s="151" t="e">
        <f t="shared" si="58"/>
        <v>#DIV/0!</v>
      </c>
      <c r="BP921" s="151" t="e">
        <f t="shared" si="59"/>
        <v>#DIV/0!</v>
      </c>
      <c r="BQ921" s="71">
        <v>0</v>
      </c>
      <c r="BR921" s="71">
        <v>0</v>
      </c>
      <c r="BS921" s="71">
        <v>0</v>
      </c>
      <c r="BT921" s="72">
        <v>0</v>
      </c>
      <c r="BU921" s="73"/>
      <c r="BV921" s="73"/>
    </row>
    <row r="922" ht="30" customHeight="1" spans="1:74">
      <c r="A922" s="55">
        <v>0</v>
      </c>
      <c r="B922" s="56">
        <v>0</v>
      </c>
      <c r="C922" s="57">
        <v>0</v>
      </c>
      <c r="E922" s="88"/>
      <c r="F922" s="59" t="e">
        <f>VLOOKUP(E922,[1]库存!$B$1:$C$65536,2,FALSE)</f>
        <v>#N/A</v>
      </c>
      <c r="G922" s="59" t="e">
        <v>#N/A</v>
      </c>
      <c r="H922" s="89"/>
      <c r="I922" s="88"/>
      <c r="J922" s="90"/>
      <c r="K922" s="61"/>
      <c r="L922" s="62">
        <v>0</v>
      </c>
      <c r="M922" s="63">
        <v>0</v>
      </c>
      <c r="N922" s="64">
        <v>0</v>
      </c>
      <c r="O922" s="62">
        <v>0</v>
      </c>
      <c r="P922" s="65">
        <f t="shared" si="60"/>
        <v>0</v>
      </c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66"/>
      <c r="AU922" s="66"/>
      <c r="AV922" s="66"/>
      <c r="AW922" s="66"/>
      <c r="AX922" s="66"/>
      <c r="AY922" s="66"/>
      <c r="AZ922" s="66"/>
      <c r="BA922" s="66"/>
      <c r="BB922" s="66"/>
      <c r="BC922" s="66"/>
      <c r="BD922" s="66"/>
      <c r="BE922" s="67"/>
      <c r="BF922" s="67"/>
      <c r="BG922" s="68"/>
      <c r="BI922" s="69">
        <v>0</v>
      </c>
      <c r="BJ922" s="70">
        <v>0</v>
      </c>
      <c r="BK922" s="71">
        <v>0</v>
      </c>
      <c r="BL922" s="71">
        <v>0</v>
      </c>
      <c r="BM922" s="71">
        <v>0</v>
      </c>
      <c r="BN922" s="72">
        <v>0</v>
      </c>
      <c r="BO922" s="151" t="e">
        <f t="shared" si="58"/>
        <v>#DIV/0!</v>
      </c>
      <c r="BP922" s="151" t="e">
        <f t="shared" si="59"/>
        <v>#DIV/0!</v>
      </c>
      <c r="BQ922" s="71">
        <v>0</v>
      </c>
      <c r="BR922" s="71">
        <v>0</v>
      </c>
      <c r="BS922" s="71">
        <v>0</v>
      </c>
      <c r="BT922" s="72">
        <v>0</v>
      </c>
      <c r="BU922" s="73"/>
      <c r="BV922" s="73"/>
    </row>
    <row r="923" ht="30" customHeight="1" spans="1:74">
      <c r="A923" s="55" t="s">
        <v>96</v>
      </c>
      <c r="B923" s="56" t="s">
        <v>1057</v>
      </c>
      <c r="C923" s="57" t="s">
        <v>1124</v>
      </c>
      <c r="D923" s="59" t="s">
        <v>1563</v>
      </c>
      <c r="E923" s="59" t="s">
        <v>1564</v>
      </c>
      <c r="F923" s="59" t="str">
        <f>VLOOKUP(E923,[1]库存!$B$1:$C$65536,2,FALSE)</f>
        <v>SAIC AS28 PAB B状态</v>
      </c>
      <c r="G923" s="59" t="s">
        <v>1565</v>
      </c>
      <c r="H923" s="59" t="s">
        <v>1566</v>
      </c>
      <c r="I923" s="59" t="s">
        <v>1567</v>
      </c>
      <c r="J923" s="63"/>
      <c r="K923" s="61"/>
      <c r="L923" s="62">
        <v>2</v>
      </c>
      <c r="M923" s="63">
        <v>900</v>
      </c>
      <c r="N923" s="64">
        <v>15</v>
      </c>
      <c r="O923" s="62">
        <v>2</v>
      </c>
      <c r="P923" s="65">
        <f t="shared" si="60"/>
        <v>0</v>
      </c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 t="s">
        <v>1568</v>
      </c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  <c r="AS923" s="66"/>
      <c r="AT923" s="66"/>
      <c r="AU923" s="66"/>
      <c r="AV923" s="66"/>
      <c r="AW923" s="66"/>
      <c r="AX923" s="66"/>
      <c r="AY923" s="66"/>
      <c r="AZ923" s="66"/>
      <c r="BA923" s="66"/>
      <c r="BB923" s="66"/>
      <c r="BC923" s="66"/>
      <c r="BD923" s="66"/>
      <c r="BE923" s="67"/>
      <c r="BF923" s="67"/>
      <c r="BG923" s="68"/>
      <c r="BI923" s="69">
        <v>0</v>
      </c>
      <c r="BJ923" s="70">
        <v>0</v>
      </c>
      <c r="BK923" s="71">
        <v>0</v>
      </c>
      <c r="BL923" s="71">
        <v>0</v>
      </c>
      <c r="BM923" s="71">
        <v>0</v>
      </c>
      <c r="BN923" s="72">
        <v>0</v>
      </c>
      <c r="BO923" s="151" t="e">
        <f t="shared" si="58"/>
        <v>#DIV/0!</v>
      </c>
      <c r="BP923" s="151" t="e">
        <f t="shared" si="59"/>
        <v>#DIV/0!</v>
      </c>
      <c r="BQ923" s="71">
        <v>0</v>
      </c>
      <c r="BR923" s="71">
        <v>0</v>
      </c>
      <c r="BS923" s="71">
        <v>0</v>
      </c>
      <c r="BT923" s="72">
        <v>0</v>
      </c>
      <c r="BU923" s="73"/>
      <c r="BV923" s="73"/>
    </row>
    <row r="924" ht="30" customHeight="1" spans="1:74">
      <c r="A924" s="55">
        <v>0</v>
      </c>
      <c r="B924" s="56">
        <v>0</v>
      </c>
      <c r="C924" s="57">
        <v>0</v>
      </c>
      <c r="D924" s="74"/>
      <c r="E924" s="74"/>
      <c r="F924" s="59" t="e">
        <f>VLOOKUP(E924,[1]库存!$B$1:$C$65536,2,FALSE)</f>
        <v>#N/A</v>
      </c>
      <c r="G924" s="59" t="e">
        <v>#N/A</v>
      </c>
      <c r="H924" s="74"/>
      <c r="I924" s="74"/>
      <c r="J924" s="87"/>
      <c r="K924" s="61"/>
      <c r="L924" s="62">
        <v>0</v>
      </c>
      <c r="M924" s="63">
        <v>0</v>
      </c>
      <c r="N924" s="64">
        <v>0</v>
      </c>
      <c r="O924" s="62">
        <v>0</v>
      </c>
      <c r="P924" s="65">
        <f t="shared" si="60"/>
        <v>0</v>
      </c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>
        <v>1282</v>
      </c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  <c r="AS924" s="66"/>
      <c r="AT924" s="66"/>
      <c r="AU924" s="66"/>
      <c r="AV924" s="66"/>
      <c r="AW924" s="66"/>
      <c r="AX924" s="66"/>
      <c r="AY924" s="66"/>
      <c r="AZ924" s="66"/>
      <c r="BA924" s="66"/>
      <c r="BB924" s="66"/>
      <c r="BC924" s="66"/>
      <c r="BD924" s="66"/>
      <c r="BE924" s="67"/>
      <c r="BF924" s="67"/>
      <c r="BG924" s="68"/>
      <c r="BI924" s="69">
        <v>0</v>
      </c>
      <c r="BJ924" s="70">
        <v>0</v>
      </c>
      <c r="BK924" s="71">
        <v>0</v>
      </c>
      <c r="BL924" s="71">
        <v>0</v>
      </c>
      <c r="BM924" s="71">
        <v>0</v>
      </c>
      <c r="BN924" s="72">
        <v>0</v>
      </c>
      <c r="BO924" s="151" t="e">
        <f t="shared" si="58"/>
        <v>#DIV/0!</v>
      </c>
      <c r="BP924" s="151" t="e">
        <f t="shared" si="59"/>
        <v>#DIV/0!</v>
      </c>
      <c r="BQ924" s="71">
        <v>0</v>
      </c>
      <c r="BR924" s="71">
        <v>0</v>
      </c>
      <c r="BS924" s="71">
        <v>0</v>
      </c>
      <c r="BT924" s="72">
        <v>0</v>
      </c>
      <c r="BU924" s="73"/>
      <c r="BV924" s="73"/>
    </row>
    <row r="925" ht="30" customHeight="1" spans="1:74">
      <c r="A925" s="55" t="s">
        <v>96</v>
      </c>
      <c r="B925" s="56" t="s">
        <v>1057</v>
      </c>
      <c r="C925" s="57" t="s">
        <v>1124</v>
      </c>
      <c r="D925" s="59" t="s">
        <v>1563</v>
      </c>
      <c r="E925" s="59" t="s">
        <v>1544</v>
      </c>
      <c r="F925" s="59" t="str">
        <f>VLOOKUP(E925,[1]库存!$B$1:$C$65536,2,FALSE)</f>
        <v>SAIC IP32 PAB B状态</v>
      </c>
      <c r="G925" s="59" t="s">
        <v>1545</v>
      </c>
      <c r="H925" s="113" t="s">
        <v>1546</v>
      </c>
      <c r="I925" s="113" t="s">
        <v>1547</v>
      </c>
      <c r="J925" s="117" t="s">
        <v>1569</v>
      </c>
      <c r="K925" s="61"/>
      <c r="L925" s="62">
        <v>2</v>
      </c>
      <c r="M925" s="63">
        <v>900</v>
      </c>
      <c r="N925" s="64">
        <v>16</v>
      </c>
      <c r="O925" s="62">
        <v>2</v>
      </c>
      <c r="P925" s="65">
        <f t="shared" si="60"/>
        <v>0</v>
      </c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  <c r="AS925" s="66"/>
      <c r="AT925" s="66"/>
      <c r="AU925" s="66"/>
      <c r="AV925" s="66"/>
      <c r="AW925" s="66"/>
      <c r="AX925" s="66"/>
      <c r="AY925" s="66"/>
      <c r="AZ925" s="66"/>
      <c r="BA925" s="66"/>
      <c r="BB925" s="66"/>
      <c r="BC925" s="66"/>
      <c r="BD925" s="66"/>
      <c r="BE925" s="67"/>
      <c r="BF925" s="67"/>
      <c r="BG925" s="68"/>
      <c r="BI925" s="69">
        <v>0</v>
      </c>
      <c r="BJ925" s="70">
        <v>0</v>
      </c>
      <c r="BK925" s="71">
        <v>0</v>
      </c>
      <c r="BL925" s="71">
        <v>0</v>
      </c>
      <c r="BM925" s="71">
        <v>0</v>
      </c>
      <c r="BN925" s="72">
        <v>0</v>
      </c>
      <c r="BO925" s="151" t="e">
        <f t="shared" si="58"/>
        <v>#DIV/0!</v>
      </c>
      <c r="BP925" s="151" t="e">
        <f t="shared" si="59"/>
        <v>#DIV/0!</v>
      </c>
      <c r="BQ925" s="71">
        <v>0</v>
      </c>
      <c r="BR925" s="71">
        <v>0</v>
      </c>
      <c r="BS925" s="71">
        <v>0</v>
      </c>
      <c r="BT925" s="72">
        <v>0</v>
      </c>
      <c r="BU925" s="73"/>
      <c r="BV925" s="73"/>
    </row>
    <row r="926" ht="30" customHeight="1" spans="1:74">
      <c r="A926" s="55">
        <v>0</v>
      </c>
      <c r="B926" s="56">
        <v>0</v>
      </c>
      <c r="C926" s="57">
        <v>0</v>
      </c>
      <c r="D926" s="74"/>
      <c r="E926" s="74"/>
      <c r="F926" s="59" t="e">
        <f>VLOOKUP(E926,[1]库存!$B$1:$C$65536,2,FALSE)</f>
        <v>#N/A</v>
      </c>
      <c r="G926" s="59" t="e">
        <v>#N/A</v>
      </c>
      <c r="H926" s="127"/>
      <c r="I926" s="127"/>
      <c r="J926" s="162"/>
      <c r="K926" s="61"/>
      <c r="L926" s="62">
        <v>0</v>
      </c>
      <c r="M926" s="63">
        <v>0</v>
      </c>
      <c r="N926" s="64">
        <v>0</v>
      </c>
      <c r="O926" s="62">
        <v>0</v>
      </c>
      <c r="P926" s="65">
        <f t="shared" si="60"/>
        <v>0</v>
      </c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66"/>
      <c r="AU926" s="66"/>
      <c r="AV926" s="66"/>
      <c r="AW926" s="66"/>
      <c r="AX926" s="66"/>
      <c r="AY926" s="66"/>
      <c r="AZ926" s="66"/>
      <c r="BA926" s="66"/>
      <c r="BB926" s="66"/>
      <c r="BC926" s="66"/>
      <c r="BD926" s="66"/>
      <c r="BE926" s="67"/>
      <c r="BF926" s="67"/>
      <c r="BG926" s="68"/>
      <c r="BI926" s="69">
        <v>0</v>
      </c>
      <c r="BJ926" s="70">
        <v>0</v>
      </c>
      <c r="BK926" s="71">
        <v>0</v>
      </c>
      <c r="BL926" s="71">
        <v>0</v>
      </c>
      <c r="BM926" s="71">
        <v>0</v>
      </c>
      <c r="BN926" s="72">
        <v>0</v>
      </c>
      <c r="BO926" s="151" t="e">
        <f t="shared" si="58"/>
        <v>#DIV/0!</v>
      </c>
      <c r="BP926" s="151" t="e">
        <f t="shared" si="59"/>
        <v>#DIV/0!</v>
      </c>
      <c r="BQ926" s="71">
        <v>0</v>
      </c>
      <c r="BR926" s="71">
        <v>0</v>
      </c>
      <c r="BS926" s="71">
        <v>0</v>
      </c>
      <c r="BT926" s="72">
        <v>0</v>
      </c>
      <c r="BU926" s="73"/>
      <c r="BV926" s="73"/>
    </row>
    <row r="927" ht="30" customHeight="1" spans="1:74">
      <c r="A927" s="55" t="s">
        <v>96</v>
      </c>
      <c r="B927" s="56" t="s">
        <v>1057</v>
      </c>
      <c r="C927" s="57" t="s">
        <v>1124</v>
      </c>
      <c r="D927" s="59" t="s">
        <v>1563</v>
      </c>
      <c r="E927" s="59" t="s">
        <v>1540</v>
      </c>
      <c r="F927" s="59" t="str">
        <f>VLOOKUP(E927,[1]库存!$B$1:$C$65536,2,FALSE)</f>
        <v>SGMW CN202K PAB A状态</v>
      </c>
      <c r="G927" s="59" t="s">
        <v>1541</v>
      </c>
      <c r="H927" s="59" t="s">
        <v>1542</v>
      </c>
      <c r="I927" s="59" t="s">
        <v>1543</v>
      </c>
      <c r="J927" s="117" t="s">
        <v>1569</v>
      </c>
      <c r="K927" s="61"/>
      <c r="L927" s="62">
        <v>2</v>
      </c>
      <c r="M927" s="63">
        <v>850</v>
      </c>
      <c r="N927" s="64">
        <v>16</v>
      </c>
      <c r="O927" s="62">
        <v>2</v>
      </c>
      <c r="P927" s="65">
        <f t="shared" si="60"/>
        <v>0</v>
      </c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  <c r="AS927" s="66"/>
      <c r="AT927" s="66"/>
      <c r="AU927" s="66"/>
      <c r="AV927" s="66"/>
      <c r="AW927" s="66"/>
      <c r="AX927" s="66"/>
      <c r="AY927" s="66"/>
      <c r="AZ927" s="66"/>
      <c r="BA927" s="66"/>
      <c r="BB927" s="66"/>
      <c r="BC927" s="66"/>
      <c r="BD927" s="66"/>
      <c r="BE927" s="67"/>
      <c r="BF927" s="67"/>
      <c r="BG927" s="68"/>
      <c r="BI927" s="69">
        <v>0</v>
      </c>
      <c r="BJ927" s="70">
        <v>0</v>
      </c>
      <c r="BK927" s="71">
        <v>0</v>
      </c>
      <c r="BL927" s="71">
        <v>0</v>
      </c>
      <c r="BM927" s="71">
        <v>0</v>
      </c>
      <c r="BN927" s="72">
        <v>0</v>
      </c>
      <c r="BO927" s="151" t="e">
        <f t="shared" si="58"/>
        <v>#DIV/0!</v>
      </c>
      <c r="BP927" s="151" t="e">
        <f t="shared" si="59"/>
        <v>#DIV/0!</v>
      </c>
      <c r="BQ927" s="71">
        <v>0</v>
      </c>
      <c r="BR927" s="71">
        <v>0</v>
      </c>
      <c r="BS927" s="71">
        <v>0</v>
      </c>
      <c r="BT927" s="72">
        <v>0</v>
      </c>
      <c r="BU927" s="73"/>
      <c r="BV927" s="73"/>
    </row>
    <row r="928" ht="30" customHeight="1" spans="1:74">
      <c r="A928" s="55">
        <v>0</v>
      </c>
      <c r="B928" s="56">
        <v>0</v>
      </c>
      <c r="C928" s="57">
        <v>0</v>
      </c>
      <c r="D928" s="74"/>
      <c r="E928" s="74"/>
      <c r="F928" s="59" t="e">
        <f>VLOOKUP(E928,[1]库存!$B$1:$C$65536,2,FALSE)</f>
        <v>#N/A</v>
      </c>
      <c r="G928" s="59" t="e">
        <v>#N/A</v>
      </c>
      <c r="H928" s="74"/>
      <c r="I928" s="74"/>
      <c r="J928" s="162"/>
      <c r="K928" s="61"/>
      <c r="L928" s="62">
        <v>0</v>
      </c>
      <c r="M928" s="63">
        <v>0</v>
      </c>
      <c r="N928" s="64">
        <v>0</v>
      </c>
      <c r="O928" s="62">
        <v>0</v>
      </c>
      <c r="P928" s="65">
        <f t="shared" si="60"/>
        <v>0</v>
      </c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  <c r="AS928" s="66"/>
      <c r="AT928" s="66"/>
      <c r="AU928" s="66"/>
      <c r="AV928" s="66"/>
      <c r="AW928" s="66"/>
      <c r="AX928" s="66"/>
      <c r="AY928" s="66"/>
      <c r="AZ928" s="66"/>
      <c r="BA928" s="66"/>
      <c r="BB928" s="66"/>
      <c r="BC928" s="66"/>
      <c r="BD928" s="66"/>
      <c r="BE928" s="67"/>
      <c r="BF928" s="67"/>
      <c r="BG928" s="68"/>
      <c r="BI928" s="69">
        <v>0</v>
      </c>
      <c r="BJ928" s="70">
        <v>0</v>
      </c>
      <c r="BK928" s="71">
        <v>0</v>
      </c>
      <c r="BL928" s="71">
        <v>0</v>
      </c>
      <c r="BM928" s="71">
        <v>0</v>
      </c>
      <c r="BN928" s="72">
        <v>0</v>
      </c>
      <c r="BO928" s="151" t="e">
        <f t="shared" si="58"/>
        <v>#DIV/0!</v>
      </c>
      <c r="BP928" s="151" t="e">
        <f t="shared" si="59"/>
        <v>#DIV/0!</v>
      </c>
      <c r="BQ928" s="71">
        <v>0</v>
      </c>
      <c r="BR928" s="71">
        <v>0</v>
      </c>
      <c r="BS928" s="71">
        <v>0</v>
      </c>
      <c r="BT928" s="72">
        <v>0</v>
      </c>
      <c r="BU928" s="73"/>
      <c r="BV928" s="73"/>
    </row>
    <row r="929" ht="30" customHeight="1" spans="1:74">
      <c r="A929" s="55">
        <v>0</v>
      </c>
      <c r="B929" s="56">
        <v>0</v>
      </c>
      <c r="C929" s="57">
        <v>0</v>
      </c>
      <c r="E929" s="88"/>
      <c r="F929" s="59" t="e">
        <f>VLOOKUP(E929,[1]库存!$B$1:$C$65536,2,FALSE)</f>
        <v>#N/A</v>
      </c>
      <c r="G929" s="59" t="e">
        <v>#N/A</v>
      </c>
      <c r="H929" s="89"/>
      <c r="I929" s="88"/>
      <c r="J929" s="90"/>
      <c r="K929" s="61"/>
      <c r="L929" s="62">
        <v>0</v>
      </c>
      <c r="M929" s="63">
        <v>0</v>
      </c>
      <c r="N929" s="64">
        <v>0</v>
      </c>
      <c r="O929" s="62">
        <v>0</v>
      </c>
      <c r="P929" s="65">
        <f t="shared" si="60"/>
        <v>0</v>
      </c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  <c r="AS929" s="66"/>
      <c r="AT929" s="66"/>
      <c r="AU929" s="66"/>
      <c r="AV929" s="66"/>
      <c r="AW929" s="66"/>
      <c r="AX929" s="66"/>
      <c r="AY929" s="66"/>
      <c r="AZ929" s="66"/>
      <c r="BA929" s="66"/>
      <c r="BB929" s="66"/>
      <c r="BC929" s="66"/>
      <c r="BD929" s="66"/>
      <c r="BE929" s="67"/>
      <c r="BF929" s="67"/>
      <c r="BG929" s="68"/>
      <c r="BI929" s="69">
        <v>0</v>
      </c>
      <c r="BJ929" s="70">
        <v>0</v>
      </c>
      <c r="BK929" s="71">
        <v>0</v>
      </c>
      <c r="BL929" s="71">
        <v>0</v>
      </c>
      <c r="BM929" s="71">
        <v>0</v>
      </c>
      <c r="BN929" s="72">
        <v>0</v>
      </c>
      <c r="BO929" s="151" t="e">
        <f t="shared" si="58"/>
        <v>#DIV/0!</v>
      </c>
      <c r="BP929" s="151" t="e">
        <f t="shared" si="59"/>
        <v>#DIV/0!</v>
      </c>
      <c r="BQ929" s="71">
        <v>0</v>
      </c>
      <c r="BR929" s="71">
        <v>0</v>
      </c>
      <c r="BS929" s="71">
        <v>0</v>
      </c>
      <c r="BT929" s="72">
        <v>0</v>
      </c>
      <c r="BU929" s="73"/>
      <c r="BV929" s="73"/>
    </row>
    <row r="930" ht="30" customHeight="1" spans="1:74">
      <c r="A930" s="55" t="s">
        <v>165</v>
      </c>
      <c r="B930" s="56" t="s">
        <v>1057</v>
      </c>
      <c r="C930" s="57" t="s">
        <v>1124</v>
      </c>
      <c r="D930" s="59" t="s">
        <v>1570</v>
      </c>
      <c r="E930" s="59" t="s">
        <v>1571</v>
      </c>
      <c r="F930" s="59" t="str">
        <f>VLOOKUP(E930,[1]库存!$B$1:$C$65536,2,FALSE)</f>
        <v>GEELY SX12 PAB B状态</v>
      </c>
      <c r="G930" s="59" t="s">
        <v>1572</v>
      </c>
      <c r="H930" s="59" t="s">
        <v>1573</v>
      </c>
      <c r="I930" s="59" t="s">
        <v>1129</v>
      </c>
      <c r="J930" s="80" t="s">
        <v>65</v>
      </c>
      <c r="K930" s="61"/>
      <c r="L930" s="62">
        <v>2</v>
      </c>
      <c r="M930" s="63">
        <v>1000</v>
      </c>
      <c r="N930" s="64">
        <v>15</v>
      </c>
      <c r="O930" s="62">
        <v>2</v>
      </c>
      <c r="P930" s="65">
        <f t="shared" si="60"/>
        <v>0</v>
      </c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  <c r="AS930" s="66"/>
      <c r="AT930" s="66"/>
      <c r="AU930" s="66"/>
      <c r="AV930" s="66"/>
      <c r="AW930" s="66"/>
      <c r="AX930" s="66"/>
      <c r="AY930" s="66"/>
      <c r="AZ930" s="66"/>
      <c r="BA930" s="66"/>
      <c r="BB930" s="66"/>
      <c r="BC930" s="66"/>
      <c r="BD930" s="66"/>
      <c r="BE930" s="67"/>
      <c r="BF930" s="67"/>
      <c r="BG930" s="68"/>
      <c r="BI930" s="69">
        <v>0</v>
      </c>
      <c r="BJ930" s="70">
        <v>0</v>
      </c>
      <c r="BK930" s="71">
        <v>0</v>
      </c>
      <c r="BL930" s="71">
        <v>0</v>
      </c>
      <c r="BM930" s="71">
        <v>0</v>
      </c>
      <c r="BN930" s="72">
        <v>0</v>
      </c>
      <c r="BO930" s="151" t="e">
        <f t="shared" si="58"/>
        <v>#DIV/0!</v>
      </c>
      <c r="BP930" s="151" t="e">
        <f t="shared" si="59"/>
        <v>#DIV/0!</v>
      </c>
      <c r="BQ930" s="71">
        <v>0</v>
      </c>
      <c r="BR930" s="71">
        <v>0</v>
      </c>
      <c r="BS930" s="71">
        <v>0</v>
      </c>
      <c r="BT930" s="72">
        <v>0</v>
      </c>
      <c r="BU930" s="73"/>
      <c r="BV930" s="73"/>
    </row>
    <row r="931" ht="30" customHeight="1" spans="1:74">
      <c r="A931" s="55">
        <v>0</v>
      </c>
      <c r="B931" s="56">
        <v>0</v>
      </c>
      <c r="C931" s="57">
        <v>0</v>
      </c>
      <c r="D931" s="74"/>
      <c r="E931" s="74"/>
      <c r="F931" s="59" t="e">
        <f>VLOOKUP(E931,[1]库存!$B$1:$C$65536,2,FALSE)</f>
        <v>#N/A</v>
      </c>
      <c r="G931" s="59" t="e">
        <v>#N/A</v>
      </c>
      <c r="H931" s="74"/>
      <c r="I931" s="74"/>
      <c r="J931" s="81"/>
      <c r="K931" s="61"/>
      <c r="L931" s="62">
        <v>0</v>
      </c>
      <c r="M931" s="63">
        <v>0</v>
      </c>
      <c r="N931" s="64">
        <v>0</v>
      </c>
      <c r="O931" s="62">
        <v>0</v>
      </c>
      <c r="P931" s="65">
        <f t="shared" si="60"/>
        <v>0</v>
      </c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  <c r="AR931" s="66"/>
      <c r="AS931" s="66"/>
      <c r="AT931" s="66"/>
      <c r="AU931" s="66"/>
      <c r="AV931" s="66"/>
      <c r="AW931" s="66"/>
      <c r="AX931" s="66"/>
      <c r="AY931" s="66"/>
      <c r="AZ931" s="66"/>
      <c r="BA931" s="66"/>
      <c r="BB931" s="66"/>
      <c r="BC931" s="66"/>
      <c r="BD931" s="66"/>
      <c r="BE931" s="67"/>
      <c r="BF931" s="67"/>
      <c r="BG931" s="68"/>
      <c r="BI931" s="69">
        <v>0</v>
      </c>
      <c r="BJ931" s="70">
        <v>0</v>
      </c>
      <c r="BK931" s="71">
        <v>0</v>
      </c>
      <c r="BL931" s="71">
        <v>0</v>
      </c>
      <c r="BM931" s="71">
        <v>0</v>
      </c>
      <c r="BN931" s="72">
        <v>0</v>
      </c>
      <c r="BO931" s="151" t="e">
        <f t="shared" si="58"/>
        <v>#DIV/0!</v>
      </c>
      <c r="BP931" s="151" t="e">
        <f t="shared" si="59"/>
        <v>#DIV/0!</v>
      </c>
      <c r="BQ931" s="71">
        <v>0</v>
      </c>
      <c r="BR931" s="71">
        <v>0</v>
      </c>
      <c r="BS931" s="71">
        <v>0</v>
      </c>
      <c r="BT931" s="72">
        <v>0</v>
      </c>
      <c r="BU931" s="73"/>
      <c r="BV931" s="73"/>
    </row>
    <row r="932" ht="30" customHeight="1" spans="1:74">
      <c r="A932" s="55" t="s">
        <v>165</v>
      </c>
      <c r="B932" s="56" t="s">
        <v>1057</v>
      </c>
      <c r="C932" s="57" t="s">
        <v>1124</v>
      </c>
      <c r="D932" s="91" t="s">
        <v>1570</v>
      </c>
      <c r="E932" s="91" t="s">
        <v>1574</v>
      </c>
      <c r="F932" s="91" t="str">
        <f>VLOOKUP(E932,[1]库存!$B$1:$C$65536,2,FALSE)</f>
        <v>LYNK&amp;CO BX11 PAB B状态</v>
      </c>
      <c r="G932" s="91" t="s">
        <v>1575</v>
      </c>
      <c r="H932" s="91" t="s">
        <v>1576</v>
      </c>
      <c r="I932" s="91" t="s">
        <v>1129</v>
      </c>
      <c r="J932" s="63"/>
      <c r="K932" s="61"/>
      <c r="L932" s="62">
        <v>2</v>
      </c>
      <c r="M932" s="63">
        <v>1000</v>
      </c>
      <c r="N932" s="64">
        <v>14</v>
      </c>
      <c r="O932" s="62">
        <v>2</v>
      </c>
      <c r="P932" s="65">
        <f t="shared" si="60"/>
        <v>0</v>
      </c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  <c r="AR932" s="66"/>
      <c r="AS932" s="66"/>
      <c r="AT932" s="66"/>
      <c r="AU932" s="66"/>
      <c r="AV932" s="66"/>
      <c r="AW932" s="66"/>
      <c r="AX932" s="66"/>
      <c r="AY932" s="66"/>
      <c r="AZ932" s="66"/>
      <c r="BA932" s="66"/>
      <c r="BB932" s="66"/>
      <c r="BC932" s="66"/>
      <c r="BD932" s="66"/>
      <c r="BE932" s="67"/>
      <c r="BF932" s="67"/>
      <c r="BG932" s="68"/>
      <c r="BI932" s="69">
        <v>0</v>
      </c>
      <c r="BJ932" s="70">
        <v>0</v>
      </c>
      <c r="BK932" s="71">
        <v>0</v>
      </c>
      <c r="BL932" s="71">
        <v>0</v>
      </c>
      <c r="BM932" s="71">
        <v>0</v>
      </c>
      <c r="BN932" s="72">
        <v>0</v>
      </c>
      <c r="BO932" s="151" t="e">
        <f t="shared" si="58"/>
        <v>#DIV/0!</v>
      </c>
      <c r="BP932" s="151" t="e">
        <f t="shared" si="59"/>
        <v>#DIV/0!</v>
      </c>
      <c r="BQ932" s="71">
        <v>0</v>
      </c>
      <c r="BR932" s="71">
        <v>0</v>
      </c>
      <c r="BS932" s="71">
        <v>0</v>
      </c>
      <c r="BT932" s="72">
        <v>0</v>
      </c>
      <c r="BU932" s="73"/>
      <c r="BV932" s="73"/>
    </row>
    <row r="933" ht="30" customHeight="1" spans="1:74">
      <c r="A933" s="55">
        <v>0</v>
      </c>
      <c r="B933" s="56">
        <v>0</v>
      </c>
      <c r="C933" s="57">
        <v>0</v>
      </c>
      <c r="D933" s="92"/>
      <c r="E933" s="92"/>
      <c r="F933" s="91" t="e">
        <f>VLOOKUP(E933,[1]库存!$B$1:$C$65536,2,FALSE)</f>
        <v>#N/A</v>
      </c>
      <c r="G933" s="91" t="e">
        <v>#N/A</v>
      </c>
      <c r="H933" s="92"/>
      <c r="I933" s="92"/>
      <c r="J933" s="87"/>
      <c r="K933" s="61"/>
      <c r="L933" s="62">
        <v>0</v>
      </c>
      <c r="M933" s="63">
        <v>0</v>
      </c>
      <c r="N933" s="64">
        <v>0</v>
      </c>
      <c r="O933" s="62">
        <v>0</v>
      </c>
      <c r="P933" s="65">
        <f t="shared" si="60"/>
        <v>0</v>
      </c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  <c r="AS933" s="66"/>
      <c r="AT933" s="66"/>
      <c r="AU933" s="66"/>
      <c r="AV933" s="66"/>
      <c r="AW933" s="66"/>
      <c r="AX933" s="66"/>
      <c r="AY933" s="66"/>
      <c r="AZ933" s="66"/>
      <c r="BA933" s="66"/>
      <c r="BB933" s="66"/>
      <c r="BC933" s="66"/>
      <c r="BD933" s="66"/>
      <c r="BE933" s="67"/>
      <c r="BF933" s="67"/>
      <c r="BG933" s="68"/>
      <c r="BI933" s="69">
        <v>0</v>
      </c>
      <c r="BJ933" s="70">
        <v>0</v>
      </c>
      <c r="BK933" s="71">
        <v>0</v>
      </c>
      <c r="BL933" s="71">
        <v>0</v>
      </c>
      <c r="BM933" s="71">
        <v>0</v>
      </c>
      <c r="BN933" s="72">
        <v>0</v>
      </c>
      <c r="BO933" s="151" t="e">
        <f t="shared" si="58"/>
        <v>#DIV/0!</v>
      </c>
      <c r="BP933" s="151" t="e">
        <f t="shared" si="59"/>
        <v>#DIV/0!</v>
      </c>
      <c r="BQ933" s="71">
        <v>0</v>
      </c>
      <c r="BR933" s="71">
        <v>0</v>
      </c>
      <c r="BS933" s="71">
        <v>0</v>
      </c>
      <c r="BT933" s="72">
        <v>0</v>
      </c>
      <c r="BU933" s="73"/>
      <c r="BV933" s="73"/>
    </row>
    <row r="934" ht="30" customHeight="1" spans="1:74">
      <c r="A934" s="55" t="s">
        <v>165</v>
      </c>
      <c r="B934" s="56" t="s">
        <v>1057</v>
      </c>
      <c r="C934" s="57" t="s">
        <v>1124</v>
      </c>
      <c r="D934" s="59" t="s">
        <v>1570</v>
      </c>
      <c r="E934" s="59" t="s">
        <v>1577</v>
      </c>
      <c r="F934" s="59" t="str">
        <f>VLOOKUP(E934,[1]库存!$B$1:$C$65536,2,FALSE)</f>
        <v>GEELY FE-7B PAB</v>
      </c>
      <c r="G934" s="59" t="s">
        <v>1578</v>
      </c>
      <c r="H934" s="59" t="s">
        <v>1579</v>
      </c>
      <c r="I934" s="59" t="s">
        <v>1129</v>
      </c>
      <c r="J934" s="80" t="s">
        <v>65</v>
      </c>
      <c r="K934" s="61"/>
      <c r="L934" s="62">
        <v>2</v>
      </c>
      <c r="M934" s="63">
        <v>700</v>
      </c>
      <c r="N934" s="64">
        <v>15</v>
      </c>
      <c r="O934" s="62">
        <v>2</v>
      </c>
      <c r="P934" s="65">
        <f t="shared" si="60"/>
        <v>0</v>
      </c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  <c r="AS934" s="66"/>
      <c r="AT934" s="66"/>
      <c r="AU934" s="66"/>
      <c r="AV934" s="66"/>
      <c r="AW934" s="66"/>
      <c r="AX934" s="66"/>
      <c r="AY934" s="66"/>
      <c r="AZ934" s="66"/>
      <c r="BA934" s="66"/>
      <c r="BB934" s="66"/>
      <c r="BC934" s="66"/>
      <c r="BD934" s="66"/>
      <c r="BE934" s="67"/>
      <c r="BF934" s="67"/>
      <c r="BG934" s="68"/>
      <c r="BI934" s="69">
        <v>0</v>
      </c>
      <c r="BJ934" s="70">
        <v>0</v>
      </c>
      <c r="BK934" s="71">
        <v>0</v>
      </c>
      <c r="BL934" s="71">
        <v>0</v>
      </c>
      <c r="BM934" s="71">
        <v>0</v>
      </c>
      <c r="BN934" s="72">
        <v>0</v>
      </c>
      <c r="BO934" s="151" t="e">
        <f t="shared" si="58"/>
        <v>#DIV/0!</v>
      </c>
      <c r="BP934" s="151" t="e">
        <f t="shared" si="59"/>
        <v>#DIV/0!</v>
      </c>
      <c r="BQ934" s="71">
        <v>0</v>
      </c>
      <c r="BR934" s="71">
        <v>0</v>
      </c>
      <c r="BS934" s="71">
        <v>0</v>
      </c>
      <c r="BT934" s="72">
        <v>0</v>
      </c>
      <c r="BU934" s="73"/>
      <c r="BV934" s="73"/>
    </row>
    <row r="935" ht="30" customHeight="1" spans="1:74">
      <c r="A935" s="55">
        <v>0</v>
      </c>
      <c r="B935" s="56">
        <v>0</v>
      </c>
      <c r="C935" s="57">
        <v>0</v>
      </c>
      <c r="D935" s="74"/>
      <c r="E935" s="74"/>
      <c r="F935" s="59" t="e">
        <f>VLOOKUP(E935,[1]库存!$B$1:$C$65536,2,FALSE)</f>
        <v>#N/A</v>
      </c>
      <c r="G935" s="59" t="e">
        <v>#N/A</v>
      </c>
      <c r="H935" s="74"/>
      <c r="I935" s="74"/>
      <c r="J935" s="81"/>
      <c r="K935" s="61"/>
      <c r="L935" s="62">
        <v>0</v>
      </c>
      <c r="M935" s="63">
        <v>0</v>
      </c>
      <c r="N935" s="64">
        <v>0</v>
      </c>
      <c r="O935" s="62">
        <v>0</v>
      </c>
      <c r="P935" s="65">
        <f t="shared" si="60"/>
        <v>0</v>
      </c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  <c r="AR935" s="66"/>
      <c r="AS935" s="66"/>
      <c r="AT935" s="66"/>
      <c r="AU935" s="66"/>
      <c r="AV935" s="66"/>
      <c r="AW935" s="66"/>
      <c r="AX935" s="66"/>
      <c r="AY935" s="66"/>
      <c r="AZ935" s="66"/>
      <c r="BA935" s="66"/>
      <c r="BB935" s="66"/>
      <c r="BC935" s="66"/>
      <c r="BD935" s="66"/>
      <c r="BE935" s="67"/>
      <c r="BF935" s="67"/>
      <c r="BG935" s="68"/>
      <c r="BI935" s="69">
        <v>0</v>
      </c>
      <c r="BJ935" s="70">
        <v>0</v>
      </c>
      <c r="BK935" s="71">
        <v>0</v>
      </c>
      <c r="BL935" s="71">
        <v>0</v>
      </c>
      <c r="BM935" s="71">
        <v>0</v>
      </c>
      <c r="BN935" s="72">
        <v>0</v>
      </c>
      <c r="BO935" s="151" t="e">
        <f t="shared" si="58"/>
        <v>#DIV/0!</v>
      </c>
      <c r="BP935" s="151" t="e">
        <f t="shared" si="59"/>
        <v>#DIV/0!</v>
      </c>
      <c r="BQ935" s="71">
        <v>0</v>
      </c>
      <c r="BR935" s="71">
        <v>0</v>
      </c>
      <c r="BS935" s="71">
        <v>0</v>
      </c>
      <c r="BT935" s="72">
        <v>0</v>
      </c>
      <c r="BU935" s="73"/>
      <c r="BV935" s="73"/>
    </row>
    <row r="936" ht="30" customHeight="1" spans="1:74">
      <c r="A936" s="55">
        <v>0</v>
      </c>
      <c r="B936" s="56">
        <v>0</v>
      </c>
      <c r="C936" s="57">
        <v>0</v>
      </c>
      <c r="E936" s="88"/>
      <c r="F936" s="59" t="e">
        <f>VLOOKUP(E936,[1]库存!$B$1:$C$65536,2,FALSE)</f>
        <v>#N/A</v>
      </c>
      <c r="G936" s="59" t="e">
        <v>#N/A</v>
      </c>
      <c r="H936" s="89"/>
      <c r="I936" s="88"/>
      <c r="J936" s="90"/>
      <c r="K936" s="61"/>
      <c r="L936" s="62">
        <v>0</v>
      </c>
      <c r="M936" s="63">
        <v>0</v>
      </c>
      <c r="N936" s="64">
        <v>0</v>
      </c>
      <c r="O936" s="62">
        <v>0</v>
      </c>
      <c r="P936" s="65">
        <f t="shared" si="60"/>
        <v>0</v>
      </c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  <c r="AS936" s="66"/>
      <c r="AT936" s="66"/>
      <c r="AU936" s="66"/>
      <c r="AV936" s="66"/>
      <c r="AW936" s="66"/>
      <c r="AX936" s="66"/>
      <c r="AY936" s="66"/>
      <c r="AZ936" s="66"/>
      <c r="BA936" s="66"/>
      <c r="BB936" s="66"/>
      <c r="BC936" s="66"/>
      <c r="BD936" s="66"/>
      <c r="BE936" s="67"/>
      <c r="BF936" s="67"/>
      <c r="BG936" s="68"/>
      <c r="BI936" s="69">
        <v>0</v>
      </c>
      <c r="BJ936" s="70">
        <v>0</v>
      </c>
      <c r="BK936" s="71">
        <v>0</v>
      </c>
      <c r="BL936" s="71">
        <v>0</v>
      </c>
      <c r="BM936" s="71">
        <v>0</v>
      </c>
      <c r="BN936" s="72">
        <v>0</v>
      </c>
      <c r="BO936" s="151" t="e">
        <f t="shared" si="58"/>
        <v>#DIV/0!</v>
      </c>
      <c r="BP936" s="151" t="e">
        <f t="shared" si="59"/>
        <v>#DIV/0!</v>
      </c>
      <c r="BQ936" s="71">
        <v>0</v>
      </c>
      <c r="BR936" s="71">
        <v>0</v>
      </c>
      <c r="BS936" s="71">
        <v>0</v>
      </c>
      <c r="BT936" s="72">
        <v>0</v>
      </c>
      <c r="BU936" s="73"/>
      <c r="BV936" s="73"/>
    </row>
    <row r="937" ht="30" customHeight="1" spans="1:74">
      <c r="A937" s="55">
        <v>0</v>
      </c>
      <c r="B937" s="56" t="s">
        <v>1057</v>
      </c>
      <c r="C937" s="57" t="s">
        <v>1124</v>
      </c>
      <c r="D937" s="91" t="s">
        <v>1580</v>
      </c>
      <c r="E937" s="91" t="s">
        <v>1581</v>
      </c>
      <c r="F937" s="91" t="str">
        <f>VLOOKUP(E937,[1]库存!$B$1:$C$65536,2,FALSE)</f>
        <v>KO11 PAB</v>
      </c>
      <c r="G937" s="91" t="s">
        <v>1582</v>
      </c>
      <c r="H937" s="91" t="s">
        <v>1583</v>
      </c>
      <c r="I937" s="91" t="s">
        <v>1160</v>
      </c>
      <c r="J937" s="63"/>
      <c r="K937" s="61"/>
      <c r="L937" s="62">
        <v>0</v>
      </c>
      <c r="M937" s="63">
        <v>1200</v>
      </c>
      <c r="N937" s="64">
        <v>17</v>
      </c>
      <c r="O937" s="62">
        <v>2</v>
      </c>
      <c r="P937" s="65">
        <f t="shared" si="60"/>
        <v>0</v>
      </c>
      <c r="Q937" s="66"/>
      <c r="R937" s="66"/>
      <c r="S937" s="66">
        <v>0</v>
      </c>
      <c r="T937" s="66"/>
      <c r="U937" s="66" t="s">
        <v>1584</v>
      </c>
      <c r="V937" s="66"/>
      <c r="W937" s="66"/>
      <c r="X937" s="66"/>
      <c r="Y937" s="66"/>
      <c r="Z937" s="66"/>
      <c r="AA937" s="66">
        <v>600</v>
      </c>
      <c r="AB937" s="66"/>
      <c r="AC937" s="66">
        <v>600</v>
      </c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  <c r="AS937" s="66"/>
      <c r="AT937" s="66"/>
      <c r="AU937" s="66"/>
      <c r="AV937" s="66"/>
      <c r="AW937" s="66"/>
      <c r="AX937" s="66"/>
      <c r="AY937" s="66"/>
      <c r="AZ937" s="66"/>
      <c r="BA937" s="66"/>
      <c r="BB937" s="66"/>
      <c r="BC937" s="66"/>
      <c r="BD937" s="66"/>
      <c r="BE937" s="67"/>
      <c r="BF937" s="67"/>
      <c r="BG937" s="68"/>
      <c r="BI937" s="69">
        <v>0</v>
      </c>
      <c r="BJ937" s="70">
        <v>0</v>
      </c>
      <c r="BK937" s="71">
        <v>0</v>
      </c>
      <c r="BL937" s="71">
        <v>0</v>
      </c>
      <c r="BM937" s="71">
        <v>0</v>
      </c>
      <c r="BN937" s="72">
        <v>0</v>
      </c>
      <c r="BO937" s="151" t="e">
        <f t="shared" si="58"/>
        <v>#DIV/0!</v>
      </c>
      <c r="BP937" s="151" t="e">
        <f t="shared" si="59"/>
        <v>#DIV/0!</v>
      </c>
      <c r="BQ937" s="71">
        <v>0</v>
      </c>
      <c r="BR937" s="71">
        <v>0</v>
      </c>
      <c r="BS937" s="71">
        <v>0</v>
      </c>
      <c r="BT937" s="72">
        <v>0</v>
      </c>
      <c r="BU937" s="73"/>
      <c r="BV937" s="73"/>
    </row>
    <row r="938" ht="30" customHeight="1" spans="1:74">
      <c r="A938" s="55">
        <v>0</v>
      </c>
      <c r="B938" s="56">
        <v>0</v>
      </c>
      <c r="C938" s="57">
        <v>0</v>
      </c>
      <c r="D938" s="92"/>
      <c r="E938" s="92"/>
      <c r="F938" s="91" t="e">
        <f>VLOOKUP(E938,[1]库存!$B$1:$C$65536,2,FALSE)</f>
        <v>#N/A</v>
      </c>
      <c r="G938" s="91" t="e">
        <v>#N/A</v>
      </c>
      <c r="H938" s="92"/>
      <c r="I938" s="92"/>
      <c r="J938" s="87"/>
      <c r="K938" s="61"/>
      <c r="L938" s="62">
        <v>0</v>
      </c>
      <c r="M938" s="63">
        <v>0</v>
      </c>
      <c r="N938" s="64">
        <v>0</v>
      </c>
      <c r="O938" s="62">
        <v>0</v>
      </c>
      <c r="P938" s="65">
        <f t="shared" si="60"/>
        <v>0</v>
      </c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>
        <v>586</v>
      </c>
      <c r="AB938" s="66"/>
      <c r="AC938" s="66">
        <v>598</v>
      </c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66"/>
      <c r="AU938" s="66"/>
      <c r="AV938" s="66"/>
      <c r="AW938" s="66"/>
      <c r="AX938" s="66"/>
      <c r="AY938" s="66"/>
      <c r="AZ938" s="66"/>
      <c r="BA938" s="66"/>
      <c r="BB938" s="66"/>
      <c r="BC938" s="66"/>
      <c r="BD938" s="66"/>
      <c r="BE938" s="67"/>
      <c r="BF938" s="67"/>
      <c r="BG938" s="68"/>
      <c r="BI938" s="69">
        <v>0</v>
      </c>
      <c r="BJ938" s="70">
        <v>0</v>
      </c>
      <c r="BK938" s="71">
        <v>0</v>
      </c>
      <c r="BL938" s="71">
        <v>0</v>
      </c>
      <c r="BM938" s="71">
        <v>0</v>
      </c>
      <c r="BN938" s="72">
        <v>0</v>
      </c>
      <c r="BO938" s="151" t="e">
        <f t="shared" si="58"/>
        <v>#DIV/0!</v>
      </c>
      <c r="BP938" s="151" t="e">
        <f t="shared" si="59"/>
        <v>#DIV/0!</v>
      </c>
      <c r="BQ938" s="71">
        <v>0</v>
      </c>
      <c r="BR938" s="71">
        <v>0</v>
      </c>
      <c r="BS938" s="71">
        <v>0</v>
      </c>
      <c r="BT938" s="72">
        <v>0</v>
      </c>
      <c r="BU938" s="73"/>
      <c r="BV938" s="73"/>
    </row>
    <row r="939" ht="30" customHeight="1" spans="1:74">
      <c r="A939" s="55" t="s">
        <v>246</v>
      </c>
      <c r="B939" s="56" t="s">
        <v>1057</v>
      </c>
      <c r="C939" s="57" t="s">
        <v>1124</v>
      </c>
      <c r="D939" s="59" t="s">
        <v>1580</v>
      </c>
      <c r="E939" s="59" t="s">
        <v>1585</v>
      </c>
      <c r="F939" s="59" t="str">
        <f>VLOOKUP(E939,[1]库存!$B$1:$C$65536,2,FALSE)</f>
        <v>GWM P3011 PAB A状态</v>
      </c>
      <c r="G939" s="59" t="s">
        <v>1586</v>
      </c>
      <c r="H939" s="59" t="s">
        <v>1587</v>
      </c>
      <c r="I939" s="59" t="s">
        <v>1588</v>
      </c>
      <c r="J939" s="63"/>
      <c r="K939" s="61"/>
      <c r="L939" s="62">
        <v>2</v>
      </c>
      <c r="M939" s="63">
        <v>900</v>
      </c>
      <c r="N939" s="64">
        <v>15</v>
      </c>
      <c r="O939" s="62">
        <v>2</v>
      </c>
      <c r="P939" s="65">
        <f t="shared" si="60"/>
        <v>0</v>
      </c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66"/>
      <c r="AU939" s="66"/>
      <c r="AV939" s="66"/>
      <c r="AW939" s="66"/>
      <c r="AX939" s="66"/>
      <c r="AY939" s="66"/>
      <c r="AZ939" s="66"/>
      <c r="BA939" s="66"/>
      <c r="BB939" s="66"/>
      <c r="BC939" s="66"/>
      <c r="BD939" s="66"/>
      <c r="BE939" s="67"/>
      <c r="BF939" s="67"/>
      <c r="BG939" s="68"/>
      <c r="BI939" s="69">
        <v>0</v>
      </c>
      <c r="BJ939" s="70">
        <v>0</v>
      </c>
      <c r="BK939" s="71">
        <v>0</v>
      </c>
      <c r="BL939" s="71">
        <v>0</v>
      </c>
      <c r="BM939" s="71">
        <v>0</v>
      </c>
      <c r="BN939" s="72">
        <v>0</v>
      </c>
      <c r="BO939" s="151" t="e">
        <f t="shared" si="58"/>
        <v>#DIV/0!</v>
      </c>
      <c r="BP939" s="151" t="e">
        <f t="shared" si="59"/>
        <v>#DIV/0!</v>
      </c>
      <c r="BQ939" s="71">
        <v>0</v>
      </c>
      <c r="BR939" s="71">
        <v>0</v>
      </c>
      <c r="BS939" s="71">
        <v>0</v>
      </c>
      <c r="BT939" s="72">
        <v>0</v>
      </c>
      <c r="BU939" s="73"/>
      <c r="BV939" s="73"/>
    </row>
    <row r="940" ht="30" customHeight="1" spans="1:74">
      <c r="A940" s="55">
        <v>0</v>
      </c>
      <c r="B940" s="56">
        <v>0</v>
      </c>
      <c r="C940" s="57">
        <v>0</v>
      </c>
      <c r="D940" s="74"/>
      <c r="E940" s="74"/>
      <c r="F940" s="59" t="e">
        <f>VLOOKUP(E940,[1]库存!$B$1:$C$65536,2,FALSE)</f>
        <v>#N/A</v>
      </c>
      <c r="G940" s="59" t="e">
        <v>#N/A</v>
      </c>
      <c r="H940" s="74"/>
      <c r="I940" s="74"/>
      <c r="J940" s="87"/>
      <c r="K940" s="61"/>
      <c r="L940" s="62">
        <v>0</v>
      </c>
      <c r="M940" s="63">
        <v>0</v>
      </c>
      <c r="N940" s="64">
        <v>0</v>
      </c>
      <c r="O940" s="62">
        <v>0</v>
      </c>
      <c r="P940" s="65">
        <f t="shared" si="60"/>
        <v>0</v>
      </c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  <c r="AS940" s="66"/>
      <c r="AT940" s="66"/>
      <c r="AU940" s="66"/>
      <c r="AV940" s="66"/>
      <c r="AW940" s="66"/>
      <c r="AX940" s="66"/>
      <c r="AY940" s="66"/>
      <c r="AZ940" s="66"/>
      <c r="BA940" s="66"/>
      <c r="BB940" s="66"/>
      <c r="BC940" s="66"/>
      <c r="BD940" s="66"/>
      <c r="BE940" s="67"/>
      <c r="BF940" s="67"/>
      <c r="BG940" s="68"/>
      <c r="BI940" s="69">
        <v>0</v>
      </c>
      <c r="BJ940" s="70">
        <v>0</v>
      </c>
      <c r="BK940" s="71">
        <v>0</v>
      </c>
      <c r="BL940" s="71">
        <v>0</v>
      </c>
      <c r="BM940" s="71">
        <v>0</v>
      </c>
      <c r="BN940" s="72">
        <v>0</v>
      </c>
      <c r="BO940" s="151" t="e">
        <f t="shared" si="58"/>
        <v>#DIV/0!</v>
      </c>
      <c r="BP940" s="151" t="e">
        <f t="shared" si="59"/>
        <v>#DIV/0!</v>
      </c>
      <c r="BQ940" s="71">
        <v>0</v>
      </c>
      <c r="BR940" s="71">
        <v>0</v>
      </c>
      <c r="BS940" s="71">
        <v>0</v>
      </c>
      <c r="BT940" s="72">
        <v>0</v>
      </c>
      <c r="BU940" s="73"/>
      <c r="BV940" s="73"/>
    </row>
    <row r="941" ht="30" customHeight="1" spans="1:74">
      <c r="A941" s="55" t="s">
        <v>165</v>
      </c>
      <c r="B941" s="56" t="s">
        <v>1057</v>
      </c>
      <c r="C941" s="57" t="s">
        <v>1124</v>
      </c>
      <c r="D941" s="59" t="s">
        <v>1580</v>
      </c>
      <c r="E941" s="59" t="s">
        <v>1589</v>
      </c>
      <c r="F941" s="59" t="str">
        <f>VLOOKUP(E941,[1]库存!$B$1:$C$65536,2,FALSE)</f>
        <v>GWM EC24 PAB A状态</v>
      </c>
      <c r="G941" s="59" t="s">
        <v>1590</v>
      </c>
      <c r="H941" s="59" t="s">
        <v>1591</v>
      </c>
      <c r="I941" s="59" t="s">
        <v>1160</v>
      </c>
      <c r="J941" s="80" t="s">
        <v>65</v>
      </c>
      <c r="K941" s="61"/>
      <c r="L941" s="62">
        <v>0</v>
      </c>
      <c r="M941" s="63">
        <v>800</v>
      </c>
      <c r="N941" s="64">
        <v>17</v>
      </c>
      <c r="O941" s="62">
        <v>0</v>
      </c>
      <c r="P941" s="65">
        <f t="shared" si="60"/>
        <v>0</v>
      </c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66"/>
      <c r="AU941" s="66"/>
      <c r="AV941" s="66"/>
      <c r="AW941" s="66"/>
      <c r="AX941" s="66"/>
      <c r="AY941" s="66"/>
      <c r="AZ941" s="66"/>
      <c r="BA941" s="66"/>
      <c r="BB941" s="66"/>
      <c r="BC941" s="66"/>
      <c r="BD941" s="66"/>
      <c r="BE941" s="67"/>
      <c r="BF941" s="67"/>
      <c r="BG941" s="68"/>
      <c r="BI941" s="69">
        <v>0</v>
      </c>
      <c r="BJ941" s="70">
        <v>0</v>
      </c>
      <c r="BK941" s="71">
        <v>0</v>
      </c>
      <c r="BL941" s="71">
        <v>0</v>
      </c>
      <c r="BM941" s="71">
        <v>0</v>
      </c>
      <c r="BN941" s="72">
        <v>0</v>
      </c>
      <c r="BO941" s="151" t="e">
        <f t="shared" si="58"/>
        <v>#DIV/0!</v>
      </c>
      <c r="BP941" s="151" t="e">
        <f t="shared" si="59"/>
        <v>#DIV/0!</v>
      </c>
      <c r="BQ941" s="71">
        <v>0</v>
      </c>
      <c r="BR941" s="71">
        <v>0</v>
      </c>
      <c r="BS941" s="71">
        <v>0</v>
      </c>
      <c r="BT941" s="72">
        <v>0</v>
      </c>
      <c r="BU941" s="73"/>
      <c r="BV941" s="73"/>
    </row>
    <row r="942" ht="30" customHeight="1" spans="1:74">
      <c r="A942" s="55">
        <v>0</v>
      </c>
      <c r="B942" s="56">
        <v>0</v>
      </c>
      <c r="C942" s="57">
        <v>0</v>
      </c>
      <c r="D942" s="74"/>
      <c r="E942" s="74"/>
      <c r="F942" s="59" t="e">
        <f>VLOOKUP(E942,[1]库存!$B$1:$C$65536,2,FALSE)</f>
        <v>#N/A</v>
      </c>
      <c r="G942" s="59" t="e">
        <v>#N/A</v>
      </c>
      <c r="H942" s="74"/>
      <c r="I942" s="74"/>
      <c r="J942" s="81"/>
      <c r="K942" s="61"/>
      <c r="L942" s="62">
        <v>0</v>
      </c>
      <c r="M942" s="63">
        <v>0</v>
      </c>
      <c r="N942" s="64">
        <v>0</v>
      </c>
      <c r="O942" s="62">
        <v>0</v>
      </c>
      <c r="P942" s="65">
        <f t="shared" si="60"/>
        <v>0</v>
      </c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  <c r="AS942" s="66"/>
      <c r="AT942" s="66"/>
      <c r="AU942" s="66"/>
      <c r="AV942" s="66"/>
      <c r="AW942" s="66"/>
      <c r="AX942" s="66"/>
      <c r="AY942" s="66"/>
      <c r="AZ942" s="66"/>
      <c r="BA942" s="66"/>
      <c r="BB942" s="66"/>
      <c r="BC942" s="66"/>
      <c r="BD942" s="66"/>
      <c r="BE942" s="67"/>
      <c r="BF942" s="67"/>
      <c r="BG942" s="68"/>
      <c r="BI942" s="69">
        <v>0</v>
      </c>
      <c r="BJ942" s="70">
        <v>0</v>
      </c>
      <c r="BK942" s="71">
        <v>0</v>
      </c>
      <c r="BL942" s="71">
        <v>0</v>
      </c>
      <c r="BM942" s="71">
        <v>0</v>
      </c>
      <c r="BN942" s="72">
        <v>0</v>
      </c>
      <c r="BO942" s="151" t="e">
        <f t="shared" si="58"/>
        <v>#DIV/0!</v>
      </c>
      <c r="BP942" s="151" t="e">
        <f t="shared" si="59"/>
        <v>#DIV/0!</v>
      </c>
      <c r="BQ942" s="71">
        <v>0</v>
      </c>
      <c r="BR942" s="71">
        <v>0</v>
      </c>
      <c r="BS942" s="71">
        <v>0</v>
      </c>
      <c r="BT942" s="72">
        <v>0</v>
      </c>
      <c r="BU942" s="73"/>
      <c r="BV942" s="73"/>
    </row>
    <row r="943" ht="30" customHeight="1" spans="1:74">
      <c r="A943" s="55">
        <v>0</v>
      </c>
      <c r="B943" s="56" t="s">
        <v>1057</v>
      </c>
      <c r="C943" s="57" t="s">
        <v>1124</v>
      </c>
      <c r="D943" s="59" t="s">
        <v>1580</v>
      </c>
      <c r="E943" s="59"/>
      <c r="F943" s="59" t="e">
        <f>VLOOKUP(E943,[1]库存!$B$1:$C$65536,2,FALSE)</f>
        <v>#N/A</v>
      </c>
      <c r="G943" s="59" t="e">
        <v>#N/A</v>
      </c>
      <c r="H943" s="59" t="s">
        <v>1592</v>
      </c>
      <c r="I943" s="59" t="s">
        <v>1588</v>
      </c>
      <c r="J943" s="63"/>
      <c r="K943" s="61"/>
      <c r="L943" s="62">
        <v>0</v>
      </c>
      <c r="M943" s="63">
        <v>0</v>
      </c>
      <c r="N943" s="64">
        <v>0</v>
      </c>
      <c r="O943" s="62">
        <v>0</v>
      </c>
      <c r="P943" s="65">
        <f t="shared" si="60"/>
        <v>0</v>
      </c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  <c r="AS943" s="66"/>
      <c r="AT943" s="66"/>
      <c r="AU943" s="66"/>
      <c r="AV943" s="66"/>
      <c r="AW943" s="66"/>
      <c r="AX943" s="66"/>
      <c r="AY943" s="66"/>
      <c r="AZ943" s="66"/>
      <c r="BA943" s="66"/>
      <c r="BB943" s="66"/>
      <c r="BC943" s="66"/>
      <c r="BD943" s="66"/>
      <c r="BE943" s="67"/>
      <c r="BF943" s="67"/>
      <c r="BG943" s="68"/>
      <c r="BI943" s="69">
        <v>0</v>
      </c>
      <c r="BJ943" s="70">
        <v>0</v>
      </c>
      <c r="BK943" s="71">
        <v>0</v>
      </c>
      <c r="BL943" s="71">
        <v>0</v>
      </c>
      <c r="BM943" s="71">
        <v>0</v>
      </c>
      <c r="BN943" s="72">
        <v>0</v>
      </c>
      <c r="BO943" s="151" t="e">
        <f t="shared" si="58"/>
        <v>#DIV/0!</v>
      </c>
      <c r="BP943" s="151" t="e">
        <f t="shared" si="59"/>
        <v>#DIV/0!</v>
      </c>
      <c r="BQ943" s="71">
        <v>0</v>
      </c>
      <c r="BR943" s="71">
        <v>0</v>
      </c>
      <c r="BS943" s="71">
        <v>0</v>
      </c>
      <c r="BT943" s="72">
        <v>0</v>
      </c>
      <c r="BU943" s="73"/>
      <c r="BV943" s="73"/>
    </row>
    <row r="944" ht="30" customHeight="1" spans="1:74">
      <c r="A944" s="55">
        <v>0</v>
      </c>
      <c r="B944" s="56">
        <v>0</v>
      </c>
      <c r="C944" s="57">
        <v>0</v>
      </c>
      <c r="D944" s="74"/>
      <c r="E944" s="74"/>
      <c r="F944" s="59" t="e">
        <f>VLOOKUP(E944,[1]库存!$B$1:$C$65536,2,FALSE)</f>
        <v>#N/A</v>
      </c>
      <c r="G944" s="59" t="e">
        <v>#N/A</v>
      </c>
      <c r="H944" s="74"/>
      <c r="I944" s="74"/>
      <c r="J944" s="87"/>
      <c r="K944" s="61"/>
      <c r="L944" s="62">
        <v>0</v>
      </c>
      <c r="M944" s="63">
        <v>0</v>
      </c>
      <c r="N944" s="64">
        <v>0</v>
      </c>
      <c r="O944" s="62">
        <v>0</v>
      </c>
      <c r="P944" s="65">
        <f t="shared" si="60"/>
        <v>0</v>
      </c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  <c r="AS944" s="66"/>
      <c r="AT944" s="66"/>
      <c r="AU944" s="66"/>
      <c r="AV944" s="66"/>
      <c r="AW944" s="66"/>
      <c r="AX944" s="66"/>
      <c r="AY944" s="66"/>
      <c r="AZ944" s="66"/>
      <c r="BA944" s="66"/>
      <c r="BB944" s="66"/>
      <c r="BC944" s="66"/>
      <c r="BD944" s="66"/>
      <c r="BE944" s="67"/>
      <c r="BF944" s="67"/>
      <c r="BG944" s="68"/>
      <c r="BI944" s="69">
        <v>0</v>
      </c>
      <c r="BJ944" s="70">
        <v>0</v>
      </c>
      <c r="BK944" s="71">
        <v>0</v>
      </c>
      <c r="BL944" s="71">
        <v>0</v>
      </c>
      <c r="BM944" s="71">
        <v>0</v>
      </c>
      <c r="BN944" s="72">
        <v>0</v>
      </c>
      <c r="BO944" s="151" t="e">
        <f t="shared" si="58"/>
        <v>#DIV/0!</v>
      </c>
      <c r="BP944" s="151" t="e">
        <f t="shared" si="59"/>
        <v>#DIV/0!</v>
      </c>
      <c r="BQ944" s="71">
        <v>0</v>
      </c>
      <c r="BR944" s="71">
        <v>0</v>
      </c>
      <c r="BS944" s="71">
        <v>0</v>
      </c>
      <c r="BT944" s="72">
        <v>0</v>
      </c>
      <c r="BU944" s="73"/>
      <c r="BV944" s="73"/>
    </row>
    <row r="945" ht="30" customHeight="1" spans="1:74">
      <c r="A945" s="55">
        <v>0</v>
      </c>
      <c r="B945" s="56" t="s">
        <v>1057</v>
      </c>
      <c r="C945" s="57" t="s">
        <v>1124</v>
      </c>
      <c r="D945" s="59" t="s">
        <v>1580</v>
      </c>
      <c r="E945" s="59"/>
      <c r="F945" s="59" t="e">
        <f>VLOOKUP(E945,[1]库存!$B$1:$C$65536,2,FALSE)</f>
        <v>#N/A</v>
      </c>
      <c r="G945" s="59" t="e">
        <v>#N/A</v>
      </c>
      <c r="H945" s="59" t="s">
        <v>1593</v>
      </c>
      <c r="I945" s="59" t="s">
        <v>1594</v>
      </c>
      <c r="J945" s="63"/>
      <c r="K945" s="61"/>
      <c r="L945" s="62">
        <v>0</v>
      </c>
      <c r="M945" s="63">
        <v>0</v>
      </c>
      <c r="N945" s="64">
        <v>0</v>
      </c>
      <c r="O945" s="62">
        <v>0</v>
      </c>
      <c r="P945" s="65">
        <f t="shared" si="60"/>
        <v>0</v>
      </c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  <c r="AS945" s="66"/>
      <c r="AT945" s="66"/>
      <c r="AU945" s="66"/>
      <c r="AV945" s="66"/>
      <c r="AW945" s="66"/>
      <c r="AX945" s="66"/>
      <c r="AY945" s="66"/>
      <c r="AZ945" s="66"/>
      <c r="BA945" s="66"/>
      <c r="BB945" s="66"/>
      <c r="BC945" s="66"/>
      <c r="BD945" s="66"/>
      <c r="BE945" s="67"/>
      <c r="BF945" s="67"/>
      <c r="BG945" s="68"/>
      <c r="BI945" s="69">
        <v>0</v>
      </c>
      <c r="BJ945" s="70">
        <v>0</v>
      </c>
      <c r="BK945" s="71">
        <v>0</v>
      </c>
      <c r="BL945" s="71">
        <v>0</v>
      </c>
      <c r="BM945" s="71">
        <v>0</v>
      </c>
      <c r="BN945" s="72">
        <v>0</v>
      </c>
      <c r="BO945" s="151" t="e">
        <f t="shared" si="58"/>
        <v>#DIV/0!</v>
      </c>
      <c r="BP945" s="151" t="e">
        <f t="shared" si="59"/>
        <v>#DIV/0!</v>
      </c>
      <c r="BQ945" s="71">
        <v>0</v>
      </c>
      <c r="BR945" s="71">
        <v>0</v>
      </c>
      <c r="BS945" s="71">
        <v>0</v>
      </c>
      <c r="BT945" s="72">
        <v>0</v>
      </c>
      <c r="BU945" s="73"/>
      <c r="BV945" s="73"/>
    </row>
    <row r="946" ht="30" customHeight="1" spans="1:74">
      <c r="A946" s="55">
        <v>0</v>
      </c>
      <c r="B946" s="56">
        <v>0</v>
      </c>
      <c r="C946" s="57">
        <v>0</v>
      </c>
      <c r="D946" s="74"/>
      <c r="E946" s="74"/>
      <c r="F946" s="59" t="e">
        <f>VLOOKUP(E946,[1]库存!$B$1:$C$65536,2,FALSE)</f>
        <v>#N/A</v>
      </c>
      <c r="G946" s="59" t="e">
        <v>#N/A</v>
      </c>
      <c r="H946" s="74"/>
      <c r="I946" s="74"/>
      <c r="J946" s="87"/>
      <c r="K946" s="61"/>
      <c r="L946" s="62">
        <v>0</v>
      </c>
      <c r="M946" s="63">
        <v>0</v>
      </c>
      <c r="N946" s="64">
        <v>0</v>
      </c>
      <c r="O946" s="62">
        <v>0</v>
      </c>
      <c r="P946" s="65">
        <f t="shared" si="60"/>
        <v>0</v>
      </c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  <c r="AR946" s="66"/>
      <c r="AS946" s="66"/>
      <c r="AT946" s="66"/>
      <c r="AU946" s="66"/>
      <c r="AV946" s="66"/>
      <c r="AW946" s="66"/>
      <c r="AX946" s="66"/>
      <c r="AY946" s="66"/>
      <c r="AZ946" s="66"/>
      <c r="BA946" s="66"/>
      <c r="BB946" s="66"/>
      <c r="BC946" s="66"/>
      <c r="BD946" s="66"/>
      <c r="BE946" s="67"/>
      <c r="BF946" s="67"/>
      <c r="BG946" s="68"/>
      <c r="BI946" s="69">
        <v>0</v>
      </c>
      <c r="BJ946" s="70">
        <v>0</v>
      </c>
      <c r="BK946" s="71">
        <v>0</v>
      </c>
      <c r="BL946" s="71">
        <v>0</v>
      </c>
      <c r="BM946" s="71">
        <v>0</v>
      </c>
      <c r="BN946" s="72">
        <v>0</v>
      </c>
      <c r="BO946" s="151" t="e">
        <f t="shared" si="58"/>
        <v>#DIV/0!</v>
      </c>
      <c r="BP946" s="151" t="e">
        <f t="shared" si="59"/>
        <v>#DIV/0!</v>
      </c>
      <c r="BQ946" s="71">
        <v>0</v>
      </c>
      <c r="BR946" s="71">
        <v>0</v>
      </c>
      <c r="BS946" s="71">
        <v>0</v>
      </c>
      <c r="BT946" s="72">
        <v>0</v>
      </c>
      <c r="BU946" s="73"/>
      <c r="BV946" s="73"/>
    </row>
    <row r="947" ht="30" customHeight="1" spans="1:74">
      <c r="A947" s="55">
        <v>0</v>
      </c>
      <c r="B947" s="56">
        <v>0</v>
      </c>
      <c r="C947" s="57">
        <v>0</v>
      </c>
      <c r="E947" s="88"/>
      <c r="F947" s="59" t="e">
        <f>VLOOKUP(E947,[1]库存!$B$1:$C$65536,2,FALSE)</f>
        <v>#N/A</v>
      </c>
      <c r="G947" s="59" t="e">
        <v>#N/A</v>
      </c>
      <c r="H947" s="89"/>
      <c r="I947" s="88"/>
      <c r="J947" s="90"/>
      <c r="K947" s="61"/>
      <c r="L947" s="62">
        <v>0</v>
      </c>
      <c r="M947" s="63">
        <v>0</v>
      </c>
      <c r="N947" s="64">
        <v>0</v>
      </c>
      <c r="O947" s="62">
        <v>0</v>
      </c>
      <c r="P947" s="65">
        <f t="shared" si="60"/>
        <v>0</v>
      </c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66"/>
      <c r="AU947" s="66"/>
      <c r="AV947" s="66"/>
      <c r="AW947" s="66"/>
      <c r="AX947" s="66"/>
      <c r="AY947" s="66"/>
      <c r="AZ947" s="66"/>
      <c r="BA947" s="66"/>
      <c r="BB947" s="66"/>
      <c r="BC947" s="66"/>
      <c r="BD947" s="66"/>
      <c r="BE947" s="67"/>
      <c r="BF947" s="67"/>
      <c r="BG947" s="68"/>
      <c r="BI947" s="69">
        <v>0</v>
      </c>
      <c r="BJ947" s="70">
        <v>0</v>
      </c>
      <c r="BK947" s="71">
        <v>0</v>
      </c>
      <c r="BL947" s="71">
        <v>0</v>
      </c>
      <c r="BM947" s="71">
        <v>0</v>
      </c>
      <c r="BN947" s="72">
        <v>0</v>
      </c>
      <c r="BO947" s="151" t="e">
        <f t="shared" si="58"/>
        <v>#DIV/0!</v>
      </c>
      <c r="BP947" s="151" t="e">
        <f t="shared" si="59"/>
        <v>#DIV/0!</v>
      </c>
      <c r="BQ947" s="71">
        <v>0</v>
      </c>
      <c r="BR947" s="71">
        <v>0</v>
      </c>
      <c r="BS947" s="71">
        <v>0</v>
      </c>
      <c r="BT947" s="72">
        <v>0</v>
      </c>
      <c r="BU947" s="73"/>
      <c r="BV947" s="73"/>
    </row>
    <row r="948" ht="30" customHeight="1" spans="1:74">
      <c r="A948" s="55" t="s">
        <v>211</v>
      </c>
      <c r="B948" s="56" t="s">
        <v>1057</v>
      </c>
      <c r="C948" s="57" t="s">
        <v>1072</v>
      </c>
      <c r="D948" s="91" t="s">
        <v>1595</v>
      </c>
      <c r="E948" s="91" t="s">
        <v>1596</v>
      </c>
      <c r="F948" s="91" t="str">
        <f>VLOOKUP(E948,[1]库存!$B$1:$C$65536,2,FALSE)</f>
        <v>SK2F SAB LH A状态</v>
      </c>
      <c r="G948" s="91" t="s">
        <v>1597</v>
      </c>
      <c r="H948" s="91" t="s">
        <v>1598</v>
      </c>
      <c r="I948" s="91" t="s">
        <v>1599</v>
      </c>
      <c r="J948" s="63"/>
      <c r="K948" s="61"/>
      <c r="L948" s="62">
        <v>0</v>
      </c>
      <c r="M948" s="63">
        <v>1800</v>
      </c>
      <c r="N948" s="64">
        <v>9</v>
      </c>
      <c r="O948" s="62">
        <v>0</v>
      </c>
      <c r="P948" s="65">
        <f t="shared" si="60"/>
        <v>0</v>
      </c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  <c r="AS948" s="66"/>
      <c r="AT948" s="66"/>
      <c r="AU948" s="66"/>
      <c r="AV948" s="66"/>
      <c r="AW948" s="66"/>
      <c r="AX948" s="66"/>
      <c r="AY948" s="66"/>
      <c r="AZ948" s="66"/>
      <c r="BA948" s="66"/>
      <c r="BB948" s="66"/>
      <c r="BC948" s="66"/>
      <c r="BD948" s="66"/>
      <c r="BE948" s="67"/>
      <c r="BF948" s="67"/>
      <c r="BG948" s="68"/>
      <c r="BI948" s="69">
        <v>0</v>
      </c>
      <c r="BJ948" s="70">
        <v>0</v>
      </c>
      <c r="BK948" s="71">
        <v>0</v>
      </c>
      <c r="BL948" s="71">
        <v>0</v>
      </c>
      <c r="BM948" s="71">
        <v>0</v>
      </c>
      <c r="BN948" s="72">
        <v>0</v>
      </c>
      <c r="BO948" s="151" t="e">
        <f t="shared" si="58"/>
        <v>#DIV/0!</v>
      </c>
      <c r="BP948" s="151" t="e">
        <f t="shared" si="59"/>
        <v>#DIV/0!</v>
      </c>
      <c r="BQ948" s="71">
        <v>0</v>
      </c>
      <c r="BR948" s="71">
        <v>0</v>
      </c>
      <c r="BS948" s="71">
        <v>0</v>
      </c>
      <c r="BT948" s="72">
        <v>0</v>
      </c>
      <c r="BU948" s="73"/>
      <c r="BV948" s="73"/>
    </row>
    <row r="949" ht="30" customHeight="1" spans="1:74">
      <c r="A949" s="55">
        <v>0</v>
      </c>
      <c r="B949" s="56">
        <v>0</v>
      </c>
      <c r="C949" s="57">
        <v>0</v>
      </c>
      <c r="D949" s="92"/>
      <c r="E949" s="92"/>
      <c r="F949" s="91" t="e">
        <f>VLOOKUP(E949,[1]库存!$B$1:$C$65536,2,FALSE)</f>
        <v>#N/A</v>
      </c>
      <c r="G949" s="91" t="e">
        <v>#N/A</v>
      </c>
      <c r="H949" s="92"/>
      <c r="I949" s="92"/>
      <c r="J949" s="87"/>
      <c r="K949" s="61"/>
      <c r="L949" s="62">
        <v>0</v>
      </c>
      <c r="M949" s="63">
        <v>0</v>
      </c>
      <c r="N949" s="64">
        <v>0</v>
      </c>
      <c r="O949" s="62">
        <v>0</v>
      </c>
      <c r="P949" s="65">
        <f t="shared" si="60"/>
        <v>0</v>
      </c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  <c r="AS949" s="66"/>
      <c r="AT949" s="66"/>
      <c r="AU949" s="66"/>
      <c r="AV949" s="66"/>
      <c r="AW949" s="66"/>
      <c r="AX949" s="66"/>
      <c r="AY949" s="66"/>
      <c r="AZ949" s="66"/>
      <c r="BA949" s="66"/>
      <c r="BB949" s="66"/>
      <c r="BC949" s="66"/>
      <c r="BD949" s="66"/>
      <c r="BE949" s="67"/>
      <c r="BF949" s="67"/>
      <c r="BG949" s="68"/>
      <c r="BI949" s="69">
        <v>0</v>
      </c>
      <c r="BJ949" s="70">
        <v>0</v>
      </c>
      <c r="BK949" s="71">
        <v>0</v>
      </c>
      <c r="BL949" s="71">
        <v>0</v>
      </c>
      <c r="BM949" s="71">
        <v>0</v>
      </c>
      <c r="BN949" s="72">
        <v>0</v>
      </c>
      <c r="BO949" s="151" t="e">
        <f t="shared" si="58"/>
        <v>#DIV/0!</v>
      </c>
      <c r="BP949" s="151" t="e">
        <f t="shared" si="59"/>
        <v>#DIV/0!</v>
      </c>
      <c r="BQ949" s="71">
        <v>0</v>
      </c>
      <c r="BR949" s="71">
        <v>0</v>
      </c>
      <c r="BS949" s="71">
        <v>0</v>
      </c>
      <c r="BT949" s="72">
        <v>0</v>
      </c>
      <c r="BU949" s="73"/>
      <c r="BV949" s="73"/>
    </row>
    <row r="950" ht="30" customHeight="1" spans="1:74">
      <c r="A950" s="55" t="s">
        <v>211</v>
      </c>
      <c r="B950" s="56" t="s">
        <v>1057</v>
      </c>
      <c r="C950" s="57" t="s">
        <v>1072</v>
      </c>
      <c r="D950" s="91" t="s">
        <v>1595</v>
      </c>
      <c r="E950" s="91" t="s">
        <v>1600</v>
      </c>
      <c r="F950" s="91" t="str">
        <f>VLOOKUP(E950,[1]库存!$B$1:$C$65536,2,FALSE)</f>
        <v>SK2F SAB RH B状态</v>
      </c>
      <c r="G950" s="91" t="s">
        <v>1601</v>
      </c>
      <c r="H950" s="91" t="s">
        <v>1602</v>
      </c>
      <c r="I950" s="91" t="s">
        <v>1599</v>
      </c>
      <c r="J950" s="63"/>
      <c r="K950" s="61"/>
      <c r="L950" s="62">
        <v>0</v>
      </c>
      <c r="M950" s="63">
        <v>1800</v>
      </c>
      <c r="N950" s="64">
        <v>9</v>
      </c>
      <c r="O950" s="62">
        <v>0</v>
      </c>
      <c r="P950" s="65">
        <f t="shared" si="60"/>
        <v>0</v>
      </c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  <c r="AS950" s="66"/>
      <c r="AT950" s="66"/>
      <c r="AU950" s="66"/>
      <c r="AV950" s="66"/>
      <c r="AW950" s="66"/>
      <c r="AX950" s="66"/>
      <c r="AY950" s="66"/>
      <c r="AZ950" s="66"/>
      <c r="BA950" s="66"/>
      <c r="BB950" s="66"/>
      <c r="BC950" s="66"/>
      <c r="BD950" s="66"/>
      <c r="BE950" s="67"/>
      <c r="BF950" s="67"/>
      <c r="BG950" s="68"/>
      <c r="BI950" s="69">
        <v>0</v>
      </c>
      <c r="BJ950" s="70">
        <v>0</v>
      </c>
      <c r="BK950" s="71">
        <v>0</v>
      </c>
      <c r="BL950" s="71">
        <v>0</v>
      </c>
      <c r="BM950" s="71">
        <v>0</v>
      </c>
      <c r="BN950" s="72">
        <v>0</v>
      </c>
      <c r="BO950" s="151" t="e">
        <f t="shared" si="58"/>
        <v>#DIV/0!</v>
      </c>
      <c r="BP950" s="151" t="e">
        <f t="shared" si="59"/>
        <v>#DIV/0!</v>
      </c>
      <c r="BQ950" s="71">
        <v>0</v>
      </c>
      <c r="BR950" s="71">
        <v>0</v>
      </c>
      <c r="BS950" s="71">
        <v>0</v>
      </c>
      <c r="BT950" s="72">
        <v>0</v>
      </c>
      <c r="BU950" s="73"/>
      <c r="BV950" s="73"/>
    </row>
    <row r="951" ht="30" customHeight="1" spans="1:74">
      <c r="A951" s="55">
        <v>0</v>
      </c>
      <c r="B951" s="56">
        <v>0</v>
      </c>
      <c r="C951" s="57">
        <v>0</v>
      </c>
      <c r="D951" s="92"/>
      <c r="E951" s="92"/>
      <c r="F951" s="91" t="e">
        <f>VLOOKUP(E951,[1]库存!$B$1:$C$65536,2,FALSE)</f>
        <v>#N/A</v>
      </c>
      <c r="G951" s="91" t="e">
        <v>#N/A</v>
      </c>
      <c r="H951" s="92"/>
      <c r="I951" s="92"/>
      <c r="J951" s="87"/>
      <c r="K951" s="61"/>
      <c r="L951" s="62">
        <v>0</v>
      </c>
      <c r="M951" s="63">
        <v>0</v>
      </c>
      <c r="N951" s="64">
        <v>0</v>
      </c>
      <c r="O951" s="62">
        <v>0</v>
      </c>
      <c r="P951" s="65">
        <f t="shared" si="60"/>
        <v>0</v>
      </c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  <c r="AR951" s="66"/>
      <c r="AS951" s="66"/>
      <c r="AT951" s="66"/>
      <c r="AU951" s="66"/>
      <c r="AV951" s="66"/>
      <c r="AW951" s="66"/>
      <c r="AX951" s="66"/>
      <c r="AY951" s="66"/>
      <c r="AZ951" s="66"/>
      <c r="BA951" s="66"/>
      <c r="BB951" s="66"/>
      <c r="BC951" s="66"/>
      <c r="BD951" s="66"/>
      <c r="BE951" s="67"/>
      <c r="BF951" s="67"/>
      <c r="BG951" s="68"/>
      <c r="BI951" s="69">
        <v>0</v>
      </c>
      <c r="BJ951" s="70">
        <v>0</v>
      </c>
      <c r="BK951" s="71">
        <v>0</v>
      </c>
      <c r="BL951" s="71">
        <v>0</v>
      </c>
      <c r="BM951" s="71">
        <v>0</v>
      </c>
      <c r="BN951" s="72">
        <v>0</v>
      </c>
      <c r="BO951" s="151" t="e">
        <f t="shared" si="58"/>
        <v>#DIV/0!</v>
      </c>
      <c r="BP951" s="151" t="e">
        <f t="shared" si="59"/>
        <v>#DIV/0!</v>
      </c>
      <c r="BQ951" s="71">
        <v>0</v>
      </c>
      <c r="BR951" s="71">
        <v>0</v>
      </c>
      <c r="BS951" s="71">
        <v>0</v>
      </c>
      <c r="BT951" s="72">
        <v>0</v>
      </c>
      <c r="BU951" s="73"/>
      <c r="BV951" s="73"/>
    </row>
    <row r="952" ht="30" customHeight="1" spans="1:74">
      <c r="A952" s="55" t="s">
        <v>211</v>
      </c>
      <c r="B952" s="56" t="s">
        <v>1057</v>
      </c>
      <c r="C952" s="57" t="s">
        <v>1072</v>
      </c>
      <c r="D952" s="59" t="s">
        <v>1595</v>
      </c>
      <c r="E952" s="59" t="s">
        <v>1603</v>
      </c>
      <c r="F952" s="59" t="str">
        <f>VLOOKUP(E952,[1]库存!$B$1:$C$65536,2,FALSE)</f>
        <v>SFHAX-D1 SAB LH</v>
      </c>
      <c r="G952" s="59" t="s">
        <v>1604</v>
      </c>
      <c r="H952" s="59" t="s">
        <v>1605</v>
      </c>
      <c r="I952" s="59" t="s">
        <v>1012</v>
      </c>
      <c r="J952" s="63"/>
      <c r="K952" s="61"/>
      <c r="L952" s="62">
        <v>0</v>
      </c>
      <c r="M952" s="63">
        <v>1300</v>
      </c>
      <c r="N952" s="64">
        <v>7</v>
      </c>
      <c r="O952" s="62">
        <v>2</v>
      </c>
      <c r="P952" s="65">
        <f t="shared" si="60"/>
        <v>0</v>
      </c>
      <c r="Q952" s="66"/>
      <c r="R952" s="66"/>
      <c r="S952" s="66"/>
      <c r="T952" s="66"/>
      <c r="U952" s="66"/>
      <c r="V952" s="66"/>
      <c r="W952" s="66"/>
      <c r="X952" s="66"/>
      <c r="Y952" s="66">
        <v>1600</v>
      </c>
      <c r="Z952" s="66"/>
      <c r="AA952" s="66"/>
      <c r="AB952" s="66"/>
      <c r="AC952" s="66">
        <v>0</v>
      </c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  <c r="AS952" s="66"/>
      <c r="AT952" s="66"/>
      <c r="AU952" s="66"/>
      <c r="AV952" s="66"/>
      <c r="AW952" s="66"/>
      <c r="AX952" s="66"/>
      <c r="AY952" s="66"/>
      <c r="AZ952" s="66"/>
      <c r="BA952" s="66"/>
      <c r="BB952" s="66"/>
      <c r="BC952" s="66"/>
      <c r="BD952" s="66"/>
      <c r="BE952" s="67"/>
      <c r="BF952" s="67"/>
      <c r="BG952" s="68"/>
      <c r="BI952" s="69">
        <v>0</v>
      </c>
      <c r="BJ952" s="70">
        <v>0</v>
      </c>
      <c r="BK952" s="71">
        <v>0</v>
      </c>
      <c r="BL952" s="71">
        <v>0</v>
      </c>
      <c r="BM952" s="71">
        <v>0</v>
      </c>
      <c r="BN952" s="72">
        <v>0</v>
      </c>
      <c r="BO952" s="151" t="e">
        <f t="shared" si="58"/>
        <v>#DIV/0!</v>
      </c>
      <c r="BP952" s="151" t="e">
        <f t="shared" si="59"/>
        <v>#DIV/0!</v>
      </c>
      <c r="BQ952" s="71">
        <v>0</v>
      </c>
      <c r="BR952" s="71">
        <v>0</v>
      </c>
      <c r="BS952" s="71">
        <v>0</v>
      </c>
      <c r="BT952" s="72">
        <v>0</v>
      </c>
      <c r="BU952" s="73"/>
      <c r="BV952" s="73"/>
    </row>
    <row r="953" ht="30" customHeight="1" spans="1:74">
      <c r="A953" s="55">
        <v>0</v>
      </c>
      <c r="B953" s="56">
        <v>0</v>
      </c>
      <c r="C953" s="57">
        <v>0</v>
      </c>
      <c r="D953" s="74"/>
      <c r="E953" s="74"/>
      <c r="F953" s="59" t="e">
        <f>VLOOKUP(E953,[1]库存!$B$1:$C$65536,2,FALSE)</f>
        <v>#N/A</v>
      </c>
      <c r="G953" s="59" t="e">
        <v>#N/A</v>
      </c>
      <c r="H953" s="74"/>
      <c r="I953" s="74"/>
      <c r="J953" s="87"/>
      <c r="K953" s="61"/>
      <c r="L953" s="62">
        <v>0</v>
      </c>
      <c r="M953" s="63">
        <v>0</v>
      </c>
      <c r="N953" s="64">
        <v>0</v>
      </c>
      <c r="O953" s="62">
        <v>0</v>
      </c>
      <c r="P953" s="65">
        <f t="shared" si="60"/>
        <v>0</v>
      </c>
      <c r="Q953" s="66"/>
      <c r="R953" s="66"/>
      <c r="S953" s="66"/>
      <c r="T953" s="66"/>
      <c r="U953" s="66"/>
      <c r="V953" s="66"/>
      <c r="W953" s="66"/>
      <c r="X953" s="66"/>
      <c r="Y953" s="66">
        <v>1629</v>
      </c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  <c r="AS953" s="66"/>
      <c r="AT953" s="66"/>
      <c r="AU953" s="66"/>
      <c r="AV953" s="66"/>
      <c r="AW953" s="66"/>
      <c r="AX953" s="66"/>
      <c r="AY953" s="66"/>
      <c r="AZ953" s="66"/>
      <c r="BA953" s="66"/>
      <c r="BB953" s="66"/>
      <c r="BC953" s="66"/>
      <c r="BD953" s="66"/>
      <c r="BE953" s="67"/>
      <c r="BF953" s="67"/>
      <c r="BG953" s="68"/>
      <c r="BI953" s="69">
        <v>0</v>
      </c>
      <c r="BJ953" s="70">
        <v>0</v>
      </c>
      <c r="BK953" s="71">
        <v>0</v>
      </c>
      <c r="BL953" s="71">
        <v>0</v>
      </c>
      <c r="BM953" s="71">
        <v>0</v>
      </c>
      <c r="BN953" s="72">
        <v>0</v>
      </c>
      <c r="BO953" s="151" t="e">
        <f t="shared" si="58"/>
        <v>#DIV/0!</v>
      </c>
      <c r="BP953" s="151" t="e">
        <f t="shared" si="59"/>
        <v>#DIV/0!</v>
      </c>
      <c r="BQ953" s="71">
        <v>0</v>
      </c>
      <c r="BR953" s="71">
        <v>0</v>
      </c>
      <c r="BS953" s="71">
        <v>0</v>
      </c>
      <c r="BT953" s="72">
        <v>0</v>
      </c>
      <c r="BU953" s="73"/>
      <c r="BV953" s="73"/>
    </row>
    <row r="954" ht="30" customHeight="1" spans="1:74">
      <c r="A954" s="55" t="s">
        <v>211</v>
      </c>
      <c r="B954" s="56" t="s">
        <v>1057</v>
      </c>
      <c r="C954" s="57" t="s">
        <v>1072</v>
      </c>
      <c r="D954" s="59" t="s">
        <v>1595</v>
      </c>
      <c r="E954" s="59" t="s">
        <v>1606</v>
      </c>
      <c r="F954" s="59" t="str">
        <f>VLOOKUP(E954,[1]库存!$B$1:$C$65536,2,FALSE)</f>
        <v>SFHAX-D1 SAB RH</v>
      </c>
      <c r="G954" s="59" t="s">
        <v>1607</v>
      </c>
      <c r="H954" s="59" t="s">
        <v>1608</v>
      </c>
      <c r="I954" s="59" t="s">
        <v>1012</v>
      </c>
      <c r="J954" s="63"/>
      <c r="K954" s="61"/>
      <c r="L954" s="62">
        <v>0</v>
      </c>
      <c r="M954" s="63">
        <v>1300</v>
      </c>
      <c r="N954" s="64">
        <v>7</v>
      </c>
      <c r="O954" s="62">
        <v>2</v>
      </c>
      <c r="P954" s="65">
        <f t="shared" si="60"/>
        <v>0</v>
      </c>
      <c r="Q954" s="66"/>
      <c r="R954" s="66"/>
      <c r="S954" s="66"/>
      <c r="T954" s="66"/>
      <c r="U954" s="66"/>
      <c r="V954" s="66"/>
      <c r="W954" s="66" t="s">
        <v>1609</v>
      </c>
      <c r="X954" s="66"/>
      <c r="Y954" s="66"/>
      <c r="Z954" s="66"/>
      <c r="AA954" s="66">
        <v>0</v>
      </c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  <c r="AS954" s="66"/>
      <c r="AT954" s="66"/>
      <c r="AU954" s="66"/>
      <c r="AV954" s="66"/>
      <c r="AW954" s="66"/>
      <c r="AX954" s="66"/>
      <c r="AY954" s="66"/>
      <c r="AZ954" s="66"/>
      <c r="BA954" s="66"/>
      <c r="BB954" s="66"/>
      <c r="BC954" s="66"/>
      <c r="BD954" s="66"/>
      <c r="BE954" s="67"/>
      <c r="BF954" s="67"/>
      <c r="BG954" s="68"/>
      <c r="BI954" s="69">
        <v>0</v>
      </c>
      <c r="BJ954" s="70">
        <v>0</v>
      </c>
      <c r="BK954" s="71">
        <v>0</v>
      </c>
      <c r="BL954" s="71">
        <v>0</v>
      </c>
      <c r="BM954" s="71">
        <v>0</v>
      </c>
      <c r="BN954" s="72">
        <v>0</v>
      </c>
      <c r="BO954" s="151" t="e">
        <f t="shared" si="58"/>
        <v>#DIV/0!</v>
      </c>
      <c r="BP954" s="151" t="e">
        <f t="shared" si="59"/>
        <v>#DIV/0!</v>
      </c>
      <c r="BQ954" s="71">
        <v>0</v>
      </c>
      <c r="BR954" s="71">
        <v>0</v>
      </c>
      <c r="BS954" s="71">
        <v>0</v>
      </c>
      <c r="BT954" s="72">
        <v>0</v>
      </c>
      <c r="BU954" s="73"/>
      <c r="BV954" s="73"/>
    </row>
    <row r="955" ht="30" customHeight="1" spans="1:74">
      <c r="A955" s="55">
        <v>0</v>
      </c>
      <c r="B955" s="56">
        <v>0</v>
      </c>
      <c r="C955" s="57">
        <v>0</v>
      </c>
      <c r="D955" s="74"/>
      <c r="E955" s="74"/>
      <c r="F955" s="59" t="e">
        <f>VLOOKUP(E955,[1]库存!$B$1:$C$65536,2,FALSE)</f>
        <v>#N/A</v>
      </c>
      <c r="G955" s="59" t="e">
        <v>#N/A</v>
      </c>
      <c r="H955" s="74"/>
      <c r="I955" s="74"/>
      <c r="J955" s="87"/>
      <c r="K955" s="61"/>
      <c r="L955" s="62">
        <v>0</v>
      </c>
      <c r="M955" s="63">
        <v>0</v>
      </c>
      <c r="N955" s="64">
        <v>0</v>
      </c>
      <c r="O955" s="62">
        <v>0</v>
      </c>
      <c r="P955" s="65">
        <f t="shared" si="60"/>
        <v>0</v>
      </c>
      <c r="Q955" s="66"/>
      <c r="R955" s="66"/>
      <c r="S955" s="66"/>
      <c r="T955" s="66"/>
      <c r="U955" s="66"/>
      <c r="V955" s="66"/>
      <c r="W955" s="66">
        <v>1647</v>
      </c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  <c r="AS955" s="66"/>
      <c r="AT955" s="66"/>
      <c r="AU955" s="66"/>
      <c r="AV955" s="66"/>
      <c r="AW955" s="66"/>
      <c r="AX955" s="66"/>
      <c r="AY955" s="66"/>
      <c r="AZ955" s="66"/>
      <c r="BA955" s="66"/>
      <c r="BB955" s="66"/>
      <c r="BC955" s="66"/>
      <c r="BD955" s="66"/>
      <c r="BE955" s="67"/>
      <c r="BF955" s="67"/>
      <c r="BG955" s="68"/>
      <c r="BI955" s="69">
        <v>0</v>
      </c>
      <c r="BJ955" s="70">
        <v>0</v>
      </c>
      <c r="BK955" s="71">
        <v>0</v>
      </c>
      <c r="BL955" s="71">
        <v>0</v>
      </c>
      <c r="BM955" s="71">
        <v>0</v>
      </c>
      <c r="BN955" s="72">
        <v>0</v>
      </c>
      <c r="BO955" s="151" t="e">
        <f t="shared" si="58"/>
        <v>#DIV/0!</v>
      </c>
      <c r="BP955" s="151" t="e">
        <f t="shared" si="59"/>
        <v>#DIV/0!</v>
      </c>
      <c r="BQ955" s="71">
        <v>0</v>
      </c>
      <c r="BR955" s="71">
        <v>0</v>
      </c>
      <c r="BS955" s="71">
        <v>0</v>
      </c>
      <c r="BT955" s="72">
        <v>0</v>
      </c>
      <c r="BU955" s="73"/>
      <c r="BV955" s="73"/>
    </row>
    <row r="956" ht="30" customHeight="1" spans="1:74">
      <c r="A956" s="55">
        <v>0</v>
      </c>
      <c r="B956" s="56" t="s">
        <v>1057</v>
      </c>
      <c r="C956" s="57" t="s">
        <v>1072</v>
      </c>
      <c r="D956" s="59" t="s">
        <v>1595</v>
      </c>
      <c r="E956" s="59"/>
      <c r="F956" s="59" t="e">
        <f>VLOOKUP(E956,[1]库存!$B$1:$C$65536,2,FALSE)</f>
        <v>#N/A</v>
      </c>
      <c r="G956" s="59" t="e">
        <v>#N/A</v>
      </c>
      <c r="H956" s="59" t="s">
        <v>1610</v>
      </c>
      <c r="I956" s="59" t="s">
        <v>1611</v>
      </c>
      <c r="J956" s="63"/>
      <c r="K956" s="61"/>
      <c r="L956" s="62">
        <v>0</v>
      </c>
      <c r="M956" s="63">
        <v>1800</v>
      </c>
      <c r="N956" s="64">
        <v>9</v>
      </c>
      <c r="O956" s="62">
        <v>0</v>
      </c>
      <c r="P956" s="65">
        <f t="shared" si="60"/>
        <v>0</v>
      </c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66"/>
      <c r="AU956" s="66"/>
      <c r="AV956" s="66"/>
      <c r="AW956" s="66"/>
      <c r="AX956" s="66"/>
      <c r="AY956" s="66"/>
      <c r="AZ956" s="66"/>
      <c r="BA956" s="66"/>
      <c r="BB956" s="66"/>
      <c r="BC956" s="66"/>
      <c r="BD956" s="66"/>
      <c r="BE956" s="67"/>
      <c r="BF956" s="67"/>
      <c r="BG956" s="68"/>
      <c r="BI956" s="69">
        <v>0</v>
      </c>
      <c r="BJ956" s="70">
        <v>0</v>
      </c>
      <c r="BK956" s="71">
        <v>0</v>
      </c>
      <c r="BL956" s="71">
        <v>0</v>
      </c>
      <c r="BM956" s="71">
        <v>0</v>
      </c>
      <c r="BN956" s="72">
        <v>0</v>
      </c>
      <c r="BO956" s="151" t="e">
        <f t="shared" si="58"/>
        <v>#DIV/0!</v>
      </c>
      <c r="BP956" s="151" t="e">
        <f t="shared" si="59"/>
        <v>#DIV/0!</v>
      </c>
      <c r="BQ956" s="71">
        <v>0</v>
      </c>
      <c r="BR956" s="71">
        <v>0</v>
      </c>
      <c r="BS956" s="71">
        <v>0</v>
      </c>
      <c r="BT956" s="72">
        <v>0</v>
      </c>
      <c r="BU956" s="73"/>
      <c r="BV956" s="73"/>
    </row>
    <row r="957" ht="30" customHeight="1" spans="1:74">
      <c r="A957" s="55">
        <v>0</v>
      </c>
      <c r="B957" s="56">
        <v>0</v>
      </c>
      <c r="C957" s="57">
        <v>0</v>
      </c>
      <c r="D957" s="74"/>
      <c r="E957" s="74"/>
      <c r="F957" s="59" t="e">
        <f>VLOOKUP(E957,[1]库存!$B$1:$C$65536,2,FALSE)</f>
        <v>#N/A</v>
      </c>
      <c r="G957" s="59" t="e">
        <v>#N/A</v>
      </c>
      <c r="H957" s="74"/>
      <c r="I957" s="74"/>
      <c r="J957" s="87"/>
      <c r="K957" s="61"/>
      <c r="L957" s="62">
        <v>0</v>
      </c>
      <c r="M957" s="63">
        <v>0</v>
      </c>
      <c r="N957" s="64">
        <v>0</v>
      </c>
      <c r="O957" s="62">
        <v>0</v>
      </c>
      <c r="P957" s="65">
        <f t="shared" si="60"/>
        <v>0</v>
      </c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6"/>
      <c r="AS957" s="66"/>
      <c r="AT957" s="66"/>
      <c r="AU957" s="66"/>
      <c r="AV957" s="66"/>
      <c r="AW957" s="66"/>
      <c r="AX957" s="66"/>
      <c r="AY957" s="66"/>
      <c r="AZ957" s="66"/>
      <c r="BA957" s="66"/>
      <c r="BB957" s="66"/>
      <c r="BC957" s="66"/>
      <c r="BD957" s="66"/>
      <c r="BE957" s="67"/>
      <c r="BF957" s="67"/>
      <c r="BG957" s="68"/>
      <c r="BI957" s="69">
        <v>0</v>
      </c>
      <c r="BJ957" s="70">
        <v>0</v>
      </c>
      <c r="BK957" s="71">
        <v>0</v>
      </c>
      <c r="BL957" s="71">
        <v>0</v>
      </c>
      <c r="BM957" s="71">
        <v>0</v>
      </c>
      <c r="BN957" s="72">
        <v>0</v>
      </c>
      <c r="BO957" s="151" t="e">
        <f t="shared" si="58"/>
        <v>#DIV/0!</v>
      </c>
      <c r="BP957" s="151" t="e">
        <f t="shared" si="59"/>
        <v>#DIV/0!</v>
      </c>
      <c r="BQ957" s="71">
        <v>0</v>
      </c>
      <c r="BR957" s="71">
        <v>0</v>
      </c>
      <c r="BS957" s="71">
        <v>0</v>
      </c>
      <c r="BT957" s="72">
        <v>0</v>
      </c>
      <c r="BU957" s="73"/>
      <c r="BV957" s="73"/>
    </row>
    <row r="958" ht="30" customHeight="1" spans="1:74">
      <c r="A958" s="55">
        <v>0</v>
      </c>
      <c r="B958" s="56" t="s">
        <v>1057</v>
      </c>
      <c r="C958" s="57" t="s">
        <v>1072</v>
      </c>
      <c r="D958" s="59" t="s">
        <v>1595</v>
      </c>
      <c r="E958" s="59"/>
      <c r="F958" s="59" t="e">
        <f>VLOOKUP(E958,[1]库存!$B$1:$C$65536,2,FALSE)</f>
        <v>#N/A</v>
      </c>
      <c r="G958" s="59" t="e">
        <v>#N/A</v>
      </c>
      <c r="H958" s="59" t="s">
        <v>1612</v>
      </c>
      <c r="I958" s="59" t="s">
        <v>1613</v>
      </c>
      <c r="J958" s="63"/>
      <c r="K958" s="61"/>
      <c r="L958" s="62">
        <v>0</v>
      </c>
      <c r="M958" s="63">
        <v>1800</v>
      </c>
      <c r="N958" s="64">
        <v>9</v>
      </c>
      <c r="O958" s="62">
        <v>0</v>
      </c>
      <c r="P958" s="65">
        <f t="shared" si="60"/>
        <v>0</v>
      </c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  <c r="AS958" s="66"/>
      <c r="AT958" s="66"/>
      <c r="AU958" s="66"/>
      <c r="AV958" s="66"/>
      <c r="AW958" s="66"/>
      <c r="AX958" s="66"/>
      <c r="AY958" s="66"/>
      <c r="AZ958" s="66"/>
      <c r="BA958" s="66"/>
      <c r="BB958" s="66"/>
      <c r="BC958" s="66"/>
      <c r="BD958" s="66"/>
      <c r="BE958" s="67"/>
      <c r="BF958" s="67"/>
      <c r="BG958" s="68"/>
      <c r="BI958" s="69">
        <v>0</v>
      </c>
      <c r="BJ958" s="70">
        <v>0</v>
      </c>
      <c r="BK958" s="71">
        <v>0</v>
      </c>
      <c r="BL958" s="71">
        <v>0</v>
      </c>
      <c r="BM958" s="71">
        <v>0</v>
      </c>
      <c r="BN958" s="72">
        <v>0</v>
      </c>
      <c r="BO958" s="151" t="e">
        <f t="shared" si="58"/>
        <v>#DIV/0!</v>
      </c>
      <c r="BP958" s="151" t="e">
        <f t="shared" si="59"/>
        <v>#DIV/0!</v>
      </c>
      <c r="BQ958" s="71">
        <v>0</v>
      </c>
      <c r="BR958" s="71">
        <v>0</v>
      </c>
      <c r="BS958" s="71">
        <v>0</v>
      </c>
      <c r="BT958" s="72">
        <v>0</v>
      </c>
      <c r="BU958" s="73"/>
      <c r="BV958" s="73"/>
    </row>
    <row r="959" ht="30" customHeight="1" spans="1:74">
      <c r="A959" s="55">
        <v>0</v>
      </c>
      <c r="B959" s="56">
        <v>0</v>
      </c>
      <c r="C959" s="57">
        <v>0</v>
      </c>
      <c r="D959" s="74"/>
      <c r="E959" s="74"/>
      <c r="F959" s="59" t="e">
        <f>VLOOKUP(E959,[1]库存!$B$1:$C$65536,2,FALSE)</f>
        <v>#N/A</v>
      </c>
      <c r="G959" s="59" t="e">
        <v>#N/A</v>
      </c>
      <c r="H959" s="74"/>
      <c r="I959" s="74"/>
      <c r="J959" s="87"/>
      <c r="K959" s="61"/>
      <c r="L959" s="62">
        <v>0</v>
      </c>
      <c r="M959" s="63">
        <v>0</v>
      </c>
      <c r="N959" s="64">
        <v>0</v>
      </c>
      <c r="O959" s="62">
        <v>0</v>
      </c>
      <c r="P959" s="65">
        <f t="shared" si="60"/>
        <v>0</v>
      </c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  <c r="AS959" s="66"/>
      <c r="AT959" s="66"/>
      <c r="AU959" s="66"/>
      <c r="AV959" s="66"/>
      <c r="AW959" s="66"/>
      <c r="AX959" s="66"/>
      <c r="AY959" s="66"/>
      <c r="AZ959" s="66"/>
      <c r="BA959" s="66"/>
      <c r="BB959" s="66"/>
      <c r="BC959" s="66"/>
      <c r="BD959" s="66"/>
      <c r="BE959" s="67"/>
      <c r="BF959" s="67"/>
      <c r="BG959" s="68"/>
      <c r="BI959" s="69">
        <v>0</v>
      </c>
      <c r="BJ959" s="70">
        <v>0</v>
      </c>
      <c r="BK959" s="71">
        <v>0</v>
      </c>
      <c r="BL959" s="71">
        <v>0</v>
      </c>
      <c r="BM959" s="71">
        <v>0</v>
      </c>
      <c r="BN959" s="72">
        <v>0</v>
      </c>
      <c r="BO959" s="151" t="e">
        <f t="shared" si="58"/>
        <v>#DIV/0!</v>
      </c>
      <c r="BP959" s="151" t="e">
        <f t="shared" si="59"/>
        <v>#DIV/0!</v>
      </c>
      <c r="BQ959" s="71">
        <v>0</v>
      </c>
      <c r="BR959" s="71">
        <v>0</v>
      </c>
      <c r="BS959" s="71">
        <v>0</v>
      </c>
      <c r="BT959" s="72">
        <v>0</v>
      </c>
      <c r="BU959" s="73"/>
      <c r="BV959" s="73"/>
    </row>
    <row r="960" ht="30" customHeight="1" spans="1:74">
      <c r="A960" s="55">
        <v>0</v>
      </c>
      <c r="B960" s="56">
        <v>0</v>
      </c>
      <c r="C960" s="57">
        <v>0</v>
      </c>
      <c r="E960" s="88"/>
      <c r="F960" s="59" t="e">
        <f>VLOOKUP(E960,[1]库存!$B$1:$C$65536,2,FALSE)</f>
        <v>#N/A</v>
      </c>
      <c r="G960" s="59" t="e">
        <v>#N/A</v>
      </c>
      <c r="H960" s="89"/>
      <c r="I960" s="88"/>
      <c r="J960" s="90"/>
      <c r="K960" s="61"/>
      <c r="L960" s="62">
        <v>0</v>
      </c>
      <c r="M960" s="63">
        <v>0</v>
      </c>
      <c r="N960" s="64">
        <v>0</v>
      </c>
      <c r="O960" s="62">
        <v>0</v>
      </c>
      <c r="P960" s="65">
        <f t="shared" si="60"/>
        <v>0</v>
      </c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  <c r="AS960" s="66"/>
      <c r="AT960" s="66"/>
      <c r="AU960" s="66"/>
      <c r="AV960" s="66"/>
      <c r="AW960" s="66"/>
      <c r="AX960" s="66"/>
      <c r="AY960" s="66"/>
      <c r="AZ960" s="66"/>
      <c r="BA960" s="66"/>
      <c r="BB960" s="66"/>
      <c r="BC960" s="66"/>
      <c r="BD960" s="66"/>
      <c r="BE960" s="67"/>
      <c r="BF960" s="67"/>
      <c r="BG960" s="68"/>
      <c r="BI960" s="69">
        <v>0</v>
      </c>
      <c r="BJ960" s="70">
        <v>0</v>
      </c>
      <c r="BK960" s="71">
        <v>0</v>
      </c>
      <c r="BL960" s="71">
        <v>0</v>
      </c>
      <c r="BM960" s="71">
        <v>0</v>
      </c>
      <c r="BN960" s="72">
        <v>0</v>
      </c>
      <c r="BO960" s="151" t="e">
        <f t="shared" si="58"/>
        <v>#DIV/0!</v>
      </c>
      <c r="BP960" s="151" t="e">
        <f t="shared" si="59"/>
        <v>#DIV/0!</v>
      </c>
      <c r="BQ960" s="71">
        <v>0</v>
      </c>
      <c r="BR960" s="71">
        <v>0</v>
      </c>
      <c r="BS960" s="71">
        <v>0</v>
      </c>
      <c r="BT960" s="72">
        <v>0</v>
      </c>
      <c r="BU960" s="73"/>
      <c r="BV960" s="73"/>
    </row>
    <row r="961" ht="30" customHeight="1" spans="1:74">
      <c r="A961" s="55" t="s">
        <v>41</v>
      </c>
      <c r="B961" s="56" t="s">
        <v>1057</v>
      </c>
      <c r="C961" s="57" t="s">
        <v>1072</v>
      </c>
      <c r="D961" s="59" t="s">
        <v>1614</v>
      </c>
      <c r="E961" s="59" t="s">
        <v>1615</v>
      </c>
      <c r="F961" s="59" t="str">
        <f>VLOOKUP(E961,[1]库存!$B$1:$C$65536,2,FALSE)</f>
        <v>GEELY DX11 DAB A状态</v>
      </c>
      <c r="G961" s="59" t="s">
        <v>1616</v>
      </c>
      <c r="H961" s="59" t="s">
        <v>1617</v>
      </c>
      <c r="I961" s="59" t="s">
        <v>1618</v>
      </c>
      <c r="J961" s="80" t="s">
        <v>65</v>
      </c>
      <c r="K961" s="61"/>
      <c r="L961" s="62">
        <v>2</v>
      </c>
      <c r="M961" s="63">
        <v>1500</v>
      </c>
      <c r="N961" s="64">
        <v>9</v>
      </c>
      <c r="O961" s="62">
        <v>2</v>
      </c>
      <c r="P961" s="65">
        <f t="shared" si="60"/>
        <v>0</v>
      </c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  <c r="AS961" s="66"/>
      <c r="AT961" s="66"/>
      <c r="AU961" s="66"/>
      <c r="AV961" s="66"/>
      <c r="AW961" s="66"/>
      <c r="AX961" s="66"/>
      <c r="AY961" s="66"/>
      <c r="AZ961" s="66"/>
      <c r="BA961" s="66"/>
      <c r="BB961" s="66"/>
      <c r="BC961" s="66"/>
      <c r="BD961" s="66"/>
      <c r="BE961" s="67"/>
      <c r="BF961" s="67"/>
      <c r="BG961" s="68"/>
      <c r="BI961" s="69">
        <v>0</v>
      </c>
      <c r="BJ961" s="70">
        <v>0</v>
      </c>
      <c r="BK961" s="71">
        <v>0</v>
      </c>
      <c r="BL961" s="71">
        <v>0</v>
      </c>
      <c r="BM961" s="71">
        <v>0</v>
      </c>
      <c r="BN961" s="72">
        <v>0</v>
      </c>
      <c r="BO961" s="151" t="e">
        <f t="shared" si="58"/>
        <v>#DIV/0!</v>
      </c>
      <c r="BP961" s="151" t="e">
        <f t="shared" si="59"/>
        <v>#DIV/0!</v>
      </c>
      <c r="BQ961" s="71">
        <v>0</v>
      </c>
      <c r="BR961" s="71">
        <v>0</v>
      </c>
      <c r="BS961" s="71">
        <v>0</v>
      </c>
      <c r="BT961" s="72">
        <v>0</v>
      </c>
      <c r="BU961" s="73"/>
      <c r="BV961" s="73"/>
    </row>
    <row r="962" ht="30" customHeight="1" spans="1:74">
      <c r="A962" s="55">
        <v>0</v>
      </c>
      <c r="B962" s="56">
        <v>0</v>
      </c>
      <c r="C962" s="57">
        <v>0</v>
      </c>
      <c r="D962" s="74"/>
      <c r="E962" s="74"/>
      <c r="F962" s="59" t="e">
        <f>VLOOKUP(E962,[1]库存!$B$1:$C$65536,2,FALSE)</f>
        <v>#N/A</v>
      </c>
      <c r="G962" s="59" t="e">
        <v>#N/A</v>
      </c>
      <c r="H962" s="74"/>
      <c r="I962" s="74"/>
      <c r="J962" s="81"/>
      <c r="K962" s="61"/>
      <c r="L962" s="62">
        <v>0</v>
      </c>
      <c r="M962" s="63">
        <v>0</v>
      </c>
      <c r="N962" s="64">
        <v>0</v>
      </c>
      <c r="O962" s="62">
        <v>0</v>
      </c>
      <c r="P962" s="65">
        <f t="shared" si="60"/>
        <v>0</v>
      </c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6"/>
      <c r="AS962" s="66"/>
      <c r="AT962" s="66"/>
      <c r="AU962" s="66"/>
      <c r="AV962" s="66"/>
      <c r="AW962" s="66"/>
      <c r="AX962" s="66"/>
      <c r="AY962" s="66"/>
      <c r="AZ962" s="66"/>
      <c r="BA962" s="66"/>
      <c r="BB962" s="66"/>
      <c r="BC962" s="66"/>
      <c r="BD962" s="66"/>
      <c r="BE962" s="67"/>
      <c r="BF962" s="67"/>
      <c r="BG962" s="68"/>
      <c r="BI962" s="69">
        <v>0</v>
      </c>
      <c r="BJ962" s="70">
        <v>0</v>
      </c>
      <c r="BK962" s="71">
        <v>0</v>
      </c>
      <c r="BL962" s="71">
        <v>0</v>
      </c>
      <c r="BM962" s="71">
        <v>0</v>
      </c>
      <c r="BN962" s="72">
        <v>0</v>
      </c>
      <c r="BO962" s="151" t="e">
        <f t="shared" si="58"/>
        <v>#DIV/0!</v>
      </c>
      <c r="BP962" s="151" t="e">
        <f t="shared" si="59"/>
        <v>#DIV/0!</v>
      </c>
      <c r="BQ962" s="71">
        <v>0</v>
      </c>
      <c r="BR962" s="71">
        <v>0</v>
      </c>
      <c r="BS962" s="71">
        <v>0</v>
      </c>
      <c r="BT962" s="72">
        <v>0</v>
      </c>
      <c r="BU962" s="73"/>
      <c r="BV962" s="73"/>
    </row>
    <row r="963" ht="30" customHeight="1" spans="1:74">
      <c r="A963" s="55" t="s">
        <v>41</v>
      </c>
      <c r="B963" s="56" t="s">
        <v>1057</v>
      </c>
      <c r="C963" s="57" t="s">
        <v>1072</v>
      </c>
      <c r="D963" s="59" t="s">
        <v>1614</v>
      </c>
      <c r="E963" s="59" t="s">
        <v>1619</v>
      </c>
      <c r="F963" s="59" t="str">
        <f>VLOOKUP(E963,[1]库存!$B$1:$C$65536,2,FALSE)</f>
        <v>GEELY L743 DAB</v>
      </c>
      <c r="G963" s="59" t="s">
        <v>1620</v>
      </c>
      <c r="H963" s="59" t="s">
        <v>1621</v>
      </c>
      <c r="I963" s="59" t="s">
        <v>1622</v>
      </c>
      <c r="J963" s="77" t="s">
        <v>1623</v>
      </c>
      <c r="K963" s="61"/>
      <c r="L963" s="62">
        <v>2</v>
      </c>
      <c r="M963" s="63">
        <v>1300</v>
      </c>
      <c r="N963" s="64">
        <v>9</v>
      </c>
      <c r="O963" s="62">
        <v>2</v>
      </c>
      <c r="P963" s="65">
        <f t="shared" si="60"/>
        <v>0</v>
      </c>
      <c r="Q963" s="66"/>
      <c r="R963" s="66"/>
      <c r="S963" s="66"/>
      <c r="T963" s="66"/>
      <c r="U963" s="66">
        <v>0</v>
      </c>
      <c r="V963" s="66">
        <v>1600</v>
      </c>
      <c r="W963" s="66"/>
      <c r="X963" s="66"/>
      <c r="Y963" s="66"/>
      <c r="Z963" s="66"/>
      <c r="AA963" s="66">
        <v>1550</v>
      </c>
      <c r="AB963" s="66"/>
      <c r="AC963" s="66">
        <v>1600</v>
      </c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  <c r="AR963" s="66"/>
      <c r="AS963" s="66"/>
      <c r="AT963" s="66"/>
      <c r="AU963" s="66"/>
      <c r="AV963" s="66"/>
      <c r="AW963" s="66"/>
      <c r="AX963" s="66"/>
      <c r="AY963" s="66"/>
      <c r="AZ963" s="66"/>
      <c r="BA963" s="66"/>
      <c r="BB963" s="66"/>
      <c r="BC963" s="66"/>
      <c r="BD963" s="66"/>
      <c r="BE963" s="67"/>
      <c r="BF963" s="67"/>
      <c r="BG963" s="68"/>
      <c r="BI963" s="69">
        <v>0</v>
      </c>
      <c r="BJ963" s="70">
        <v>0</v>
      </c>
      <c r="BK963" s="71">
        <v>0</v>
      </c>
      <c r="BL963" s="71">
        <v>0</v>
      </c>
      <c r="BM963" s="71">
        <v>0</v>
      </c>
      <c r="BN963" s="72">
        <v>0</v>
      </c>
      <c r="BO963" s="151" t="e">
        <f t="shared" si="58"/>
        <v>#DIV/0!</v>
      </c>
      <c r="BP963" s="151" t="e">
        <f t="shared" si="59"/>
        <v>#DIV/0!</v>
      </c>
      <c r="BQ963" s="71">
        <v>0</v>
      </c>
      <c r="BR963" s="71">
        <v>0</v>
      </c>
      <c r="BS963" s="71">
        <v>0</v>
      </c>
      <c r="BT963" s="72">
        <v>0</v>
      </c>
      <c r="BU963" s="73"/>
      <c r="BV963" s="73"/>
    </row>
    <row r="964" ht="30" customHeight="1" spans="1:74">
      <c r="A964" s="55">
        <v>0</v>
      </c>
      <c r="B964" s="56">
        <v>0</v>
      </c>
      <c r="C964" s="57">
        <v>0</v>
      </c>
      <c r="D964" s="74"/>
      <c r="E964" s="74"/>
      <c r="F964" s="59" t="e">
        <f>VLOOKUP(E964,[1]库存!$B$1:$C$65536,2,FALSE)</f>
        <v>#N/A</v>
      </c>
      <c r="G964" s="59" t="e">
        <v>#N/A</v>
      </c>
      <c r="H964" s="74"/>
      <c r="I964" s="74"/>
      <c r="J964" s="79"/>
      <c r="K964" s="61"/>
      <c r="L964" s="62">
        <v>0</v>
      </c>
      <c r="M964" s="63">
        <v>0</v>
      </c>
      <c r="N964" s="64">
        <v>0</v>
      </c>
      <c r="O964" s="62">
        <v>0</v>
      </c>
      <c r="P964" s="65">
        <f t="shared" si="60"/>
        <v>0</v>
      </c>
      <c r="Q964" s="66"/>
      <c r="R964" s="66"/>
      <c r="S964" s="66"/>
      <c r="T964" s="66"/>
      <c r="U964" s="66"/>
      <c r="V964" s="66">
        <v>1439</v>
      </c>
      <c r="W964" s="66"/>
      <c r="X964" s="66"/>
      <c r="Y964" s="66"/>
      <c r="Z964" s="66"/>
      <c r="AA964" s="66">
        <v>1505</v>
      </c>
      <c r="AB964" s="66"/>
      <c r="AC964" s="66">
        <v>1631</v>
      </c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6"/>
      <c r="AS964" s="66"/>
      <c r="AT964" s="66"/>
      <c r="AU964" s="66"/>
      <c r="AV964" s="66"/>
      <c r="AW964" s="66"/>
      <c r="AX964" s="66"/>
      <c r="AY964" s="66"/>
      <c r="AZ964" s="66"/>
      <c r="BA964" s="66"/>
      <c r="BB964" s="66"/>
      <c r="BC964" s="66"/>
      <c r="BD964" s="66"/>
      <c r="BE964" s="67"/>
      <c r="BF964" s="67"/>
      <c r="BG964" s="68"/>
      <c r="BI964" s="69">
        <v>0</v>
      </c>
      <c r="BJ964" s="70">
        <v>0</v>
      </c>
      <c r="BK964" s="71">
        <v>0</v>
      </c>
      <c r="BL964" s="71">
        <v>0</v>
      </c>
      <c r="BM964" s="71">
        <v>0</v>
      </c>
      <c r="BN964" s="72">
        <v>0</v>
      </c>
      <c r="BO964" s="151" t="e">
        <f t="shared" ref="BO964:BO1027" si="61">(BK964+BL964)/BJ964</f>
        <v>#DIV/0!</v>
      </c>
      <c r="BP964" s="151" t="e">
        <f t="shared" ref="BP964:BP1027" si="62">BM964/BJ964</f>
        <v>#DIV/0!</v>
      </c>
      <c r="BQ964" s="71">
        <v>0</v>
      </c>
      <c r="BR964" s="71">
        <v>0</v>
      </c>
      <c r="BS964" s="71">
        <v>0</v>
      </c>
      <c r="BT964" s="72">
        <v>0</v>
      </c>
      <c r="BU964" s="73"/>
      <c r="BV964" s="73"/>
    </row>
    <row r="965" ht="30" customHeight="1" spans="1:74">
      <c r="A965" s="55" t="s">
        <v>41</v>
      </c>
      <c r="B965" s="56" t="s">
        <v>1057</v>
      </c>
      <c r="C965" s="57" t="s">
        <v>1072</v>
      </c>
      <c r="D965" s="59" t="s">
        <v>1614</v>
      </c>
      <c r="E965" s="59" t="s">
        <v>1624</v>
      </c>
      <c r="F965" s="59" t="str">
        <f>VLOOKUP(E965,[1]库存!$B$1:$C$65536,2,FALSE)</f>
        <v>CHANGAN C673-R DAB</v>
      </c>
      <c r="G965" s="59" t="s">
        <v>1625</v>
      </c>
      <c r="H965" s="59" t="s">
        <v>1626</v>
      </c>
      <c r="I965" s="59" t="s">
        <v>631</v>
      </c>
      <c r="J965" s="60" t="s">
        <v>1627</v>
      </c>
      <c r="K965" s="61"/>
      <c r="L965" s="62">
        <v>2</v>
      </c>
      <c r="M965" s="63">
        <v>1300</v>
      </c>
      <c r="N965" s="64">
        <v>9</v>
      </c>
      <c r="O965" s="62">
        <v>2</v>
      </c>
      <c r="P965" s="65">
        <f t="shared" si="60"/>
        <v>0</v>
      </c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  <c r="AS965" s="66"/>
      <c r="AT965" s="66"/>
      <c r="AU965" s="66"/>
      <c r="AV965" s="66"/>
      <c r="AW965" s="66"/>
      <c r="AX965" s="66"/>
      <c r="AY965" s="66"/>
      <c r="AZ965" s="66"/>
      <c r="BA965" s="66"/>
      <c r="BB965" s="66"/>
      <c r="BC965" s="66"/>
      <c r="BD965" s="66"/>
      <c r="BE965" s="67"/>
      <c r="BF965" s="67"/>
      <c r="BG965" s="68"/>
      <c r="BI965" s="69">
        <v>0</v>
      </c>
      <c r="BJ965" s="70">
        <v>0</v>
      </c>
      <c r="BK965" s="71">
        <v>0</v>
      </c>
      <c r="BL965" s="71">
        <v>0</v>
      </c>
      <c r="BM965" s="71">
        <v>0</v>
      </c>
      <c r="BN965" s="72">
        <v>0</v>
      </c>
      <c r="BO965" s="151" t="e">
        <f t="shared" si="61"/>
        <v>#DIV/0!</v>
      </c>
      <c r="BP965" s="151" t="e">
        <f t="shared" si="62"/>
        <v>#DIV/0!</v>
      </c>
      <c r="BQ965" s="71">
        <v>0</v>
      </c>
      <c r="BR965" s="71">
        <v>0</v>
      </c>
      <c r="BS965" s="71">
        <v>0</v>
      </c>
      <c r="BT965" s="72">
        <v>0</v>
      </c>
      <c r="BU965" s="73"/>
      <c r="BV965" s="73"/>
    </row>
    <row r="966" ht="30" customHeight="1" spans="1:74">
      <c r="A966" s="55">
        <v>0</v>
      </c>
      <c r="B966" s="56">
        <v>0</v>
      </c>
      <c r="C966" s="57">
        <v>0</v>
      </c>
      <c r="D966" s="74"/>
      <c r="E966" s="74"/>
      <c r="F966" s="59" t="e">
        <f>VLOOKUP(E966,[1]库存!$B$1:$C$65536,2,FALSE)</f>
        <v>#N/A</v>
      </c>
      <c r="G966" s="59" t="e">
        <v>#N/A</v>
      </c>
      <c r="H966" s="74"/>
      <c r="I966" s="74"/>
      <c r="J966" s="75"/>
      <c r="K966" s="61"/>
      <c r="L966" s="62">
        <v>0</v>
      </c>
      <c r="M966" s="63">
        <v>0</v>
      </c>
      <c r="N966" s="64">
        <v>0</v>
      </c>
      <c r="O966" s="62">
        <v>0</v>
      </c>
      <c r="P966" s="65">
        <f t="shared" ref="P966:P1029" si="63">SUM(AG966:AJ966)</f>
        <v>0</v>
      </c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6"/>
      <c r="AS966" s="66"/>
      <c r="AT966" s="66"/>
      <c r="AU966" s="66"/>
      <c r="AV966" s="66"/>
      <c r="AW966" s="66"/>
      <c r="AX966" s="66"/>
      <c r="AY966" s="66"/>
      <c r="AZ966" s="66"/>
      <c r="BA966" s="66"/>
      <c r="BB966" s="66"/>
      <c r="BC966" s="66"/>
      <c r="BD966" s="66"/>
      <c r="BE966" s="67"/>
      <c r="BF966" s="67"/>
      <c r="BG966" s="68"/>
      <c r="BI966" s="69">
        <v>0</v>
      </c>
      <c r="BJ966" s="70">
        <v>0</v>
      </c>
      <c r="BK966" s="71">
        <v>0</v>
      </c>
      <c r="BL966" s="71">
        <v>0</v>
      </c>
      <c r="BM966" s="71">
        <v>0</v>
      </c>
      <c r="BN966" s="72">
        <v>0</v>
      </c>
      <c r="BO966" s="151" t="e">
        <f t="shared" si="61"/>
        <v>#DIV/0!</v>
      </c>
      <c r="BP966" s="151" t="e">
        <f t="shared" si="62"/>
        <v>#DIV/0!</v>
      </c>
      <c r="BQ966" s="71">
        <v>0</v>
      </c>
      <c r="BR966" s="71">
        <v>0</v>
      </c>
      <c r="BS966" s="71">
        <v>0</v>
      </c>
      <c r="BT966" s="72">
        <v>0</v>
      </c>
      <c r="BU966" s="73"/>
      <c r="BV966" s="73"/>
    </row>
    <row r="967" ht="30" customHeight="1" spans="1:74">
      <c r="A967" s="55" t="s">
        <v>41</v>
      </c>
      <c r="B967" s="56" t="s">
        <v>1057</v>
      </c>
      <c r="C967" s="57" t="s">
        <v>1072</v>
      </c>
      <c r="D967" s="59" t="s">
        <v>1614</v>
      </c>
      <c r="E967" s="59" t="s">
        <v>1628</v>
      </c>
      <c r="F967" s="59" t="str">
        <f>VLOOKUP(E967,[1]库存!$B$1:$C$65536,2,FALSE)</f>
        <v>CHANGAN C673 DAB</v>
      </c>
      <c r="G967" s="59" t="s">
        <v>1629</v>
      </c>
      <c r="H967" s="59" t="s">
        <v>1630</v>
      </c>
      <c r="I967" s="59" t="s">
        <v>273</v>
      </c>
      <c r="J967" s="100" t="s">
        <v>1501</v>
      </c>
      <c r="K967" s="61"/>
      <c r="L967" s="62">
        <v>2</v>
      </c>
      <c r="M967" s="63">
        <v>1500</v>
      </c>
      <c r="N967" s="64">
        <v>9</v>
      </c>
      <c r="O967" s="62">
        <v>2</v>
      </c>
      <c r="P967" s="65">
        <f t="shared" si="63"/>
        <v>0</v>
      </c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  <c r="AS967" s="66"/>
      <c r="AT967" s="66"/>
      <c r="AU967" s="66"/>
      <c r="AV967" s="66"/>
      <c r="AW967" s="66"/>
      <c r="AX967" s="66"/>
      <c r="AY967" s="66"/>
      <c r="AZ967" s="66"/>
      <c r="BA967" s="66"/>
      <c r="BB967" s="66"/>
      <c r="BC967" s="66"/>
      <c r="BD967" s="66"/>
      <c r="BE967" s="67"/>
      <c r="BF967" s="67"/>
      <c r="BG967" s="68"/>
      <c r="BI967" s="69">
        <v>0</v>
      </c>
      <c r="BJ967" s="70">
        <v>0</v>
      </c>
      <c r="BK967" s="71">
        <v>0</v>
      </c>
      <c r="BL967" s="71">
        <v>0</v>
      </c>
      <c r="BM967" s="71">
        <v>0</v>
      </c>
      <c r="BN967" s="72">
        <v>0</v>
      </c>
      <c r="BO967" s="151" t="e">
        <f t="shared" si="61"/>
        <v>#DIV/0!</v>
      </c>
      <c r="BP967" s="151" t="e">
        <f t="shared" si="62"/>
        <v>#DIV/0!</v>
      </c>
      <c r="BQ967" s="71">
        <v>0</v>
      </c>
      <c r="BR967" s="71">
        <v>0</v>
      </c>
      <c r="BS967" s="71">
        <v>0</v>
      </c>
      <c r="BT967" s="72">
        <v>0</v>
      </c>
      <c r="BU967" s="73"/>
      <c r="BV967" s="73"/>
    </row>
    <row r="968" ht="30" customHeight="1" spans="1:74">
      <c r="A968" s="55">
        <v>0</v>
      </c>
      <c r="B968" s="56">
        <v>0</v>
      </c>
      <c r="C968" s="57">
        <v>0</v>
      </c>
      <c r="D968" s="74"/>
      <c r="E968" s="74"/>
      <c r="F968" s="59" t="e">
        <f>VLOOKUP(E968,[1]库存!$B$1:$C$65536,2,FALSE)</f>
        <v>#N/A</v>
      </c>
      <c r="G968" s="59" t="e">
        <v>#N/A</v>
      </c>
      <c r="H968" s="74"/>
      <c r="I968" s="74"/>
      <c r="J968" s="101"/>
      <c r="K968" s="61"/>
      <c r="L968" s="62">
        <v>0</v>
      </c>
      <c r="M968" s="63">
        <v>0</v>
      </c>
      <c r="N968" s="64">
        <v>0</v>
      </c>
      <c r="O968" s="62">
        <v>0</v>
      </c>
      <c r="P968" s="65">
        <f t="shared" si="63"/>
        <v>0</v>
      </c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  <c r="AS968" s="66"/>
      <c r="AT968" s="66"/>
      <c r="AU968" s="66"/>
      <c r="AV968" s="66"/>
      <c r="AW968" s="66"/>
      <c r="AX968" s="66"/>
      <c r="AY968" s="66"/>
      <c r="AZ968" s="66"/>
      <c r="BA968" s="66"/>
      <c r="BB968" s="66"/>
      <c r="BC968" s="66"/>
      <c r="BD968" s="66"/>
      <c r="BE968" s="67"/>
      <c r="BF968" s="67"/>
      <c r="BG968" s="68"/>
      <c r="BI968" s="69">
        <v>0</v>
      </c>
      <c r="BJ968" s="70">
        <v>0</v>
      </c>
      <c r="BK968" s="71">
        <v>0</v>
      </c>
      <c r="BL968" s="71">
        <v>0</v>
      </c>
      <c r="BM968" s="71">
        <v>0</v>
      </c>
      <c r="BN968" s="72">
        <v>0</v>
      </c>
      <c r="BO968" s="151" t="e">
        <f t="shared" si="61"/>
        <v>#DIV/0!</v>
      </c>
      <c r="BP968" s="151" t="e">
        <f t="shared" si="62"/>
        <v>#DIV/0!</v>
      </c>
      <c r="BQ968" s="71">
        <v>0</v>
      </c>
      <c r="BR968" s="71">
        <v>0</v>
      </c>
      <c r="BS968" s="71">
        <v>0</v>
      </c>
      <c r="BT968" s="72">
        <v>0</v>
      </c>
      <c r="BU968" s="73"/>
      <c r="BV968" s="73"/>
    </row>
    <row r="969" ht="30" customHeight="1" spans="1:74">
      <c r="A969" s="55" t="s">
        <v>41</v>
      </c>
      <c r="B969" s="56" t="s">
        <v>1057</v>
      </c>
      <c r="C969" s="57" t="s">
        <v>1072</v>
      </c>
      <c r="D969" s="59" t="s">
        <v>1614</v>
      </c>
      <c r="E969" s="59" t="s">
        <v>1631</v>
      </c>
      <c r="F969" s="59" t="str">
        <f>VLOOKUP(E969,[1]库存!$B$1:$C$65536,2,FALSE)</f>
        <v>GEELY G733 DAB</v>
      </c>
      <c r="G969" s="59" t="s">
        <v>1632</v>
      </c>
      <c r="H969" s="59" t="s">
        <v>1633</v>
      </c>
      <c r="I969" s="59" t="s">
        <v>1634</v>
      </c>
      <c r="J969" s="216" t="s">
        <v>1635</v>
      </c>
      <c r="K969" s="61"/>
      <c r="L969" s="62">
        <v>2</v>
      </c>
      <c r="M969" s="63">
        <v>900</v>
      </c>
      <c r="N969" s="64">
        <v>9</v>
      </c>
      <c r="O969" s="62">
        <v>2</v>
      </c>
      <c r="P969" s="65">
        <f t="shared" si="63"/>
        <v>0</v>
      </c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  <c r="AS969" s="66"/>
      <c r="AT969" s="66"/>
      <c r="AU969" s="66"/>
      <c r="AV969" s="66"/>
      <c r="AW969" s="66"/>
      <c r="AX969" s="66"/>
      <c r="AY969" s="66"/>
      <c r="AZ969" s="66"/>
      <c r="BA969" s="66"/>
      <c r="BB969" s="66"/>
      <c r="BC969" s="66"/>
      <c r="BD969" s="66"/>
      <c r="BE969" s="67"/>
      <c r="BF969" s="67"/>
      <c r="BG969" s="68"/>
      <c r="BI969" s="69">
        <v>0</v>
      </c>
      <c r="BJ969" s="70">
        <v>0</v>
      </c>
      <c r="BK969" s="71">
        <v>0</v>
      </c>
      <c r="BL969" s="71">
        <v>0</v>
      </c>
      <c r="BM969" s="71">
        <v>0</v>
      </c>
      <c r="BN969" s="72">
        <v>0</v>
      </c>
      <c r="BO969" s="151" t="e">
        <f t="shared" si="61"/>
        <v>#DIV/0!</v>
      </c>
      <c r="BP969" s="151" t="e">
        <f t="shared" si="62"/>
        <v>#DIV/0!</v>
      </c>
      <c r="BQ969" s="71">
        <v>0</v>
      </c>
      <c r="BR969" s="71">
        <v>0</v>
      </c>
      <c r="BS969" s="71">
        <v>0</v>
      </c>
      <c r="BT969" s="72">
        <v>0</v>
      </c>
      <c r="BU969" s="73"/>
      <c r="BV969" s="73"/>
    </row>
    <row r="970" ht="30" customHeight="1" spans="1:74">
      <c r="A970" s="55">
        <v>0</v>
      </c>
      <c r="B970" s="56">
        <v>0</v>
      </c>
      <c r="C970" s="57">
        <v>0</v>
      </c>
      <c r="D970" s="74"/>
      <c r="E970" s="74"/>
      <c r="F970" s="59" t="e">
        <f>VLOOKUP(E970,[1]库存!$B$1:$C$65536,2,FALSE)</f>
        <v>#N/A</v>
      </c>
      <c r="G970" s="59" t="e">
        <v>#N/A</v>
      </c>
      <c r="H970" s="74"/>
      <c r="I970" s="74"/>
      <c r="J970" s="217"/>
      <c r="K970" s="61"/>
      <c r="L970" s="62">
        <v>0</v>
      </c>
      <c r="M970" s="63">
        <v>0</v>
      </c>
      <c r="N970" s="64">
        <v>0</v>
      </c>
      <c r="O970" s="62">
        <v>0</v>
      </c>
      <c r="P970" s="65">
        <f t="shared" si="63"/>
        <v>0</v>
      </c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  <c r="AR970" s="66"/>
      <c r="AS970" s="66"/>
      <c r="AT970" s="66"/>
      <c r="AU970" s="66"/>
      <c r="AV970" s="66"/>
      <c r="AW970" s="66"/>
      <c r="AX970" s="66"/>
      <c r="AY970" s="66"/>
      <c r="AZ970" s="66"/>
      <c r="BA970" s="66"/>
      <c r="BB970" s="66"/>
      <c r="BC970" s="66"/>
      <c r="BD970" s="66"/>
      <c r="BE970" s="67"/>
      <c r="BF970" s="67"/>
      <c r="BG970" s="68"/>
      <c r="BI970" s="69">
        <v>0</v>
      </c>
      <c r="BJ970" s="70">
        <v>0</v>
      </c>
      <c r="BK970" s="71">
        <v>0</v>
      </c>
      <c r="BL970" s="71">
        <v>0</v>
      </c>
      <c r="BM970" s="71">
        <v>0</v>
      </c>
      <c r="BN970" s="72">
        <v>0</v>
      </c>
      <c r="BO970" s="151" t="e">
        <f t="shared" si="61"/>
        <v>#DIV/0!</v>
      </c>
      <c r="BP970" s="151" t="e">
        <f t="shared" si="62"/>
        <v>#DIV/0!</v>
      </c>
      <c r="BQ970" s="71">
        <v>0</v>
      </c>
      <c r="BR970" s="71">
        <v>0</v>
      </c>
      <c r="BS970" s="71">
        <v>0</v>
      </c>
      <c r="BT970" s="72">
        <v>0</v>
      </c>
      <c r="BU970" s="73"/>
      <c r="BV970" s="73"/>
    </row>
    <row r="971" ht="30" customHeight="1" spans="1:74">
      <c r="A971" s="55">
        <v>0</v>
      </c>
      <c r="B971" s="56">
        <v>0</v>
      </c>
      <c r="C971" s="57">
        <v>0</v>
      </c>
      <c r="E971" s="88"/>
      <c r="F971" s="59" t="e">
        <f>VLOOKUP(E971,[1]库存!$B$1:$C$65536,2,FALSE)</f>
        <v>#N/A</v>
      </c>
      <c r="G971" s="59" t="e">
        <v>#N/A</v>
      </c>
      <c r="H971" s="89"/>
      <c r="I971" s="88"/>
      <c r="J971" s="90"/>
      <c r="K971" s="61"/>
      <c r="L971" s="62">
        <v>0</v>
      </c>
      <c r="M971" s="63">
        <v>0</v>
      </c>
      <c r="N971" s="64">
        <v>0</v>
      </c>
      <c r="O971" s="62">
        <v>0</v>
      </c>
      <c r="P971" s="65">
        <f t="shared" si="63"/>
        <v>0</v>
      </c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6"/>
      <c r="AS971" s="66"/>
      <c r="AT971" s="66"/>
      <c r="AU971" s="66"/>
      <c r="AV971" s="66"/>
      <c r="AW971" s="66"/>
      <c r="AX971" s="66"/>
      <c r="AY971" s="66"/>
      <c r="AZ971" s="66"/>
      <c r="BA971" s="66"/>
      <c r="BB971" s="66"/>
      <c r="BC971" s="66"/>
      <c r="BD971" s="66"/>
      <c r="BE971" s="67"/>
      <c r="BF971" s="67"/>
      <c r="BG971" s="68"/>
      <c r="BI971" s="69">
        <v>0</v>
      </c>
      <c r="BJ971" s="70">
        <v>0</v>
      </c>
      <c r="BK971" s="71">
        <v>0</v>
      </c>
      <c r="BL971" s="71">
        <v>0</v>
      </c>
      <c r="BM971" s="71">
        <v>0</v>
      </c>
      <c r="BN971" s="72">
        <v>0</v>
      </c>
      <c r="BO971" s="151" t="e">
        <f t="shared" si="61"/>
        <v>#DIV/0!</v>
      </c>
      <c r="BP971" s="151" t="e">
        <f t="shared" si="62"/>
        <v>#DIV/0!</v>
      </c>
      <c r="BQ971" s="71">
        <v>0</v>
      </c>
      <c r="BR971" s="71">
        <v>0</v>
      </c>
      <c r="BS971" s="71">
        <v>0</v>
      </c>
      <c r="BT971" s="72">
        <v>0</v>
      </c>
      <c r="BU971" s="73"/>
      <c r="BV971" s="73"/>
    </row>
    <row r="972" ht="30" customHeight="1" spans="1:74">
      <c r="A972" s="55" t="s">
        <v>96</v>
      </c>
      <c r="B972" s="56" t="s">
        <v>1057</v>
      </c>
      <c r="C972" s="57" t="s">
        <v>1324</v>
      </c>
      <c r="D972" s="76" t="s">
        <v>1636</v>
      </c>
      <c r="E972" s="59" t="s">
        <v>1637</v>
      </c>
      <c r="F972" s="59" t="str">
        <f>VLOOKUP(E972,[1]库存!$B$1:$C$65536,2,FALSE)</f>
        <v>SGM 458 SAB LH</v>
      </c>
      <c r="G972" s="59" t="s">
        <v>1638</v>
      </c>
      <c r="H972" s="59" t="s">
        <v>1639</v>
      </c>
      <c r="I972" s="59" t="s">
        <v>1640</v>
      </c>
      <c r="J972" s="63"/>
      <c r="K972" s="61"/>
      <c r="L972" s="62">
        <v>2</v>
      </c>
      <c r="M972" s="63">
        <v>1400</v>
      </c>
      <c r="N972" s="64">
        <v>14</v>
      </c>
      <c r="O972" s="62">
        <v>2</v>
      </c>
      <c r="P972" s="65">
        <f t="shared" si="63"/>
        <v>0</v>
      </c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6"/>
      <c r="AS972" s="66"/>
      <c r="AT972" s="66"/>
      <c r="AU972" s="66"/>
      <c r="AV972" s="66"/>
      <c r="AW972" s="66"/>
      <c r="AX972" s="66"/>
      <c r="AY972" s="66"/>
      <c r="AZ972" s="66"/>
      <c r="BA972" s="66"/>
      <c r="BB972" s="66"/>
      <c r="BC972" s="66"/>
      <c r="BD972" s="66"/>
      <c r="BE972" s="67"/>
      <c r="BF972" s="67"/>
      <c r="BG972" s="68"/>
      <c r="BI972" s="69">
        <v>0</v>
      </c>
      <c r="BJ972" s="70">
        <v>0</v>
      </c>
      <c r="BK972" s="71">
        <v>0</v>
      </c>
      <c r="BL972" s="71">
        <v>0</v>
      </c>
      <c r="BM972" s="71">
        <v>0</v>
      </c>
      <c r="BN972" s="72">
        <v>0</v>
      </c>
      <c r="BO972" s="151" t="e">
        <f t="shared" si="61"/>
        <v>#DIV/0!</v>
      </c>
      <c r="BP972" s="151" t="e">
        <f t="shared" si="62"/>
        <v>#DIV/0!</v>
      </c>
      <c r="BQ972" s="71">
        <v>0</v>
      </c>
      <c r="BR972" s="71">
        <v>0</v>
      </c>
      <c r="BS972" s="71">
        <v>0</v>
      </c>
      <c r="BT972" s="72">
        <v>0</v>
      </c>
      <c r="BU972" s="73"/>
      <c r="BV972" s="73"/>
    </row>
    <row r="973" ht="30" customHeight="1" spans="1:74">
      <c r="A973" s="55">
        <v>0</v>
      </c>
      <c r="B973" s="56">
        <v>0</v>
      </c>
      <c r="C973" s="57">
        <v>0</v>
      </c>
      <c r="D973" s="78"/>
      <c r="E973" s="74"/>
      <c r="F973" s="59" t="e">
        <f>VLOOKUP(E973,[1]库存!$B$1:$C$65536,2,FALSE)</f>
        <v>#N/A</v>
      </c>
      <c r="G973" s="59" t="e">
        <v>#N/A</v>
      </c>
      <c r="H973" s="74"/>
      <c r="I973" s="74"/>
      <c r="J973" s="87"/>
      <c r="K973" s="61"/>
      <c r="L973" s="62">
        <v>0</v>
      </c>
      <c r="M973" s="63">
        <v>0</v>
      </c>
      <c r="N973" s="64">
        <v>0</v>
      </c>
      <c r="O973" s="62">
        <v>0</v>
      </c>
      <c r="P973" s="65">
        <f t="shared" si="63"/>
        <v>0</v>
      </c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66"/>
      <c r="AU973" s="66"/>
      <c r="AV973" s="66"/>
      <c r="AW973" s="66"/>
      <c r="AX973" s="66"/>
      <c r="AY973" s="66"/>
      <c r="AZ973" s="66"/>
      <c r="BA973" s="66"/>
      <c r="BB973" s="66"/>
      <c r="BC973" s="66"/>
      <c r="BD973" s="66"/>
      <c r="BE973" s="67"/>
      <c r="BF973" s="67"/>
      <c r="BG973" s="68"/>
      <c r="BI973" s="69">
        <v>0</v>
      </c>
      <c r="BJ973" s="70">
        <v>0</v>
      </c>
      <c r="BK973" s="71">
        <v>0</v>
      </c>
      <c r="BL973" s="71">
        <v>0</v>
      </c>
      <c r="BM973" s="71">
        <v>0</v>
      </c>
      <c r="BN973" s="72">
        <v>0</v>
      </c>
      <c r="BO973" s="151" t="e">
        <f t="shared" si="61"/>
        <v>#DIV/0!</v>
      </c>
      <c r="BP973" s="151" t="e">
        <f t="shared" si="62"/>
        <v>#DIV/0!</v>
      </c>
      <c r="BQ973" s="71">
        <v>0</v>
      </c>
      <c r="BR973" s="71">
        <v>0</v>
      </c>
      <c r="BS973" s="71">
        <v>0</v>
      </c>
      <c r="BT973" s="72">
        <v>0</v>
      </c>
      <c r="BU973" s="73"/>
      <c r="BV973" s="73"/>
    </row>
    <row r="974" ht="30" customHeight="1" spans="1:74">
      <c r="A974" s="55" t="s">
        <v>96</v>
      </c>
      <c r="B974" s="56" t="s">
        <v>1057</v>
      </c>
      <c r="C974" s="57" t="s">
        <v>1324</v>
      </c>
      <c r="D974" s="76" t="s">
        <v>1636</v>
      </c>
      <c r="E974" s="59" t="s">
        <v>1641</v>
      </c>
      <c r="F974" s="59" t="str">
        <f>VLOOKUP(E974,[1]库存!$B$1:$C$65536,2,FALSE)</f>
        <v>SGM 458 SAB RH</v>
      </c>
      <c r="G974" s="59" t="s">
        <v>1642</v>
      </c>
      <c r="H974" s="59" t="s">
        <v>1643</v>
      </c>
      <c r="I974" s="59" t="s">
        <v>1640</v>
      </c>
      <c r="J974" s="63"/>
      <c r="K974" s="61"/>
      <c r="L974" s="62">
        <v>2</v>
      </c>
      <c r="M974" s="63">
        <v>1400</v>
      </c>
      <c r="N974" s="64">
        <v>14</v>
      </c>
      <c r="O974" s="62">
        <v>2</v>
      </c>
      <c r="P974" s="65">
        <f t="shared" si="63"/>
        <v>0</v>
      </c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6"/>
      <c r="AS974" s="66"/>
      <c r="AT974" s="66"/>
      <c r="AU974" s="66"/>
      <c r="AV974" s="66"/>
      <c r="AW974" s="66"/>
      <c r="AX974" s="66"/>
      <c r="AY974" s="66"/>
      <c r="AZ974" s="66"/>
      <c r="BA974" s="66"/>
      <c r="BB974" s="66"/>
      <c r="BC974" s="66"/>
      <c r="BD974" s="66"/>
      <c r="BE974" s="67"/>
      <c r="BF974" s="67"/>
      <c r="BG974" s="68"/>
      <c r="BI974" s="69">
        <v>0</v>
      </c>
      <c r="BJ974" s="70">
        <v>0</v>
      </c>
      <c r="BK974" s="71">
        <v>0</v>
      </c>
      <c r="BL974" s="71">
        <v>0</v>
      </c>
      <c r="BM974" s="71">
        <v>0</v>
      </c>
      <c r="BN974" s="72">
        <v>0</v>
      </c>
      <c r="BO974" s="151" t="e">
        <f t="shared" si="61"/>
        <v>#DIV/0!</v>
      </c>
      <c r="BP974" s="151" t="e">
        <f t="shared" si="62"/>
        <v>#DIV/0!</v>
      </c>
      <c r="BQ974" s="71">
        <v>0</v>
      </c>
      <c r="BR974" s="71">
        <v>0</v>
      </c>
      <c r="BS974" s="71">
        <v>0</v>
      </c>
      <c r="BT974" s="72">
        <v>0</v>
      </c>
      <c r="BU974" s="73"/>
      <c r="BV974" s="73"/>
    </row>
    <row r="975" ht="30" customHeight="1" spans="1:74">
      <c r="A975" s="55">
        <v>0</v>
      </c>
      <c r="B975" s="56">
        <v>0</v>
      </c>
      <c r="C975" s="57">
        <v>0</v>
      </c>
      <c r="D975" s="78"/>
      <c r="E975" s="74"/>
      <c r="F975" s="59" t="e">
        <f>VLOOKUP(E975,[1]库存!$B$1:$C$65536,2,FALSE)</f>
        <v>#N/A</v>
      </c>
      <c r="G975" s="59" t="e">
        <v>#N/A</v>
      </c>
      <c r="H975" s="74"/>
      <c r="I975" s="74"/>
      <c r="J975" s="87"/>
      <c r="K975" s="61"/>
      <c r="L975" s="62">
        <v>0</v>
      </c>
      <c r="M975" s="63">
        <v>0</v>
      </c>
      <c r="N975" s="64">
        <v>0</v>
      </c>
      <c r="O975" s="62">
        <v>0</v>
      </c>
      <c r="P975" s="65">
        <f t="shared" si="63"/>
        <v>0</v>
      </c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  <c r="AS975" s="66"/>
      <c r="AT975" s="66"/>
      <c r="AU975" s="66"/>
      <c r="AV975" s="66"/>
      <c r="AW975" s="66"/>
      <c r="AX975" s="66"/>
      <c r="AY975" s="66"/>
      <c r="AZ975" s="66"/>
      <c r="BA975" s="66"/>
      <c r="BB975" s="66"/>
      <c r="BC975" s="66"/>
      <c r="BD975" s="66"/>
      <c r="BE975" s="67"/>
      <c r="BF975" s="67"/>
      <c r="BG975" s="68"/>
      <c r="BI975" s="69">
        <v>0</v>
      </c>
      <c r="BJ975" s="70">
        <v>0</v>
      </c>
      <c r="BK975" s="71">
        <v>0</v>
      </c>
      <c r="BL975" s="71">
        <v>0</v>
      </c>
      <c r="BM975" s="71">
        <v>0</v>
      </c>
      <c r="BN975" s="72">
        <v>0</v>
      </c>
      <c r="BO975" s="151" t="e">
        <f t="shared" si="61"/>
        <v>#DIV/0!</v>
      </c>
      <c r="BP975" s="151" t="e">
        <f t="shared" si="62"/>
        <v>#DIV/0!</v>
      </c>
      <c r="BQ975" s="71">
        <v>0</v>
      </c>
      <c r="BR975" s="71">
        <v>0</v>
      </c>
      <c r="BS975" s="71">
        <v>0</v>
      </c>
      <c r="BT975" s="72">
        <v>0</v>
      </c>
      <c r="BU975" s="73"/>
      <c r="BV975" s="73"/>
    </row>
    <row r="976" ht="30" customHeight="1" spans="1:74">
      <c r="A976" s="55">
        <v>0</v>
      </c>
      <c r="B976" s="56" t="s">
        <v>1057</v>
      </c>
      <c r="C976" s="57" t="s">
        <v>1324</v>
      </c>
      <c r="D976" s="76" t="s">
        <v>1636</v>
      </c>
      <c r="E976" s="59" t="s">
        <v>1644</v>
      </c>
      <c r="F976" s="59" t="str">
        <f>VLOOKUP(E976,[1]库存!$B$1:$C$65536,2,FALSE)</f>
        <v>SGM 358 MY22 SAB LH</v>
      </c>
      <c r="G976" s="59" t="s">
        <v>1645</v>
      </c>
      <c r="H976" s="59" t="s">
        <v>1646</v>
      </c>
      <c r="I976" s="59" t="s">
        <v>1647</v>
      </c>
      <c r="J976" s="80" t="s">
        <v>1648</v>
      </c>
      <c r="K976" s="61"/>
      <c r="L976" s="62">
        <v>2</v>
      </c>
      <c r="M976" s="63">
        <v>1400</v>
      </c>
      <c r="N976" s="64">
        <v>14</v>
      </c>
      <c r="O976" s="62">
        <v>2</v>
      </c>
      <c r="P976" s="65">
        <f t="shared" si="63"/>
        <v>0</v>
      </c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  <c r="AS976" s="66"/>
      <c r="AT976" s="66"/>
      <c r="AU976" s="66"/>
      <c r="AV976" s="66"/>
      <c r="AW976" s="66"/>
      <c r="AX976" s="66"/>
      <c r="AY976" s="66"/>
      <c r="AZ976" s="66"/>
      <c r="BA976" s="66"/>
      <c r="BB976" s="66"/>
      <c r="BC976" s="66"/>
      <c r="BD976" s="66"/>
      <c r="BE976" s="67"/>
      <c r="BF976" s="67"/>
      <c r="BG976" s="68"/>
      <c r="BI976" s="69">
        <v>0</v>
      </c>
      <c r="BJ976" s="70">
        <v>0</v>
      </c>
      <c r="BK976" s="71">
        <v>0</v>
      </c>
      <c r="BL976" s="71">
        <v>0</v>
      </c>
      <c r="BM976" s="71">
        <v>0</v>
      </c>
      <c r="BN976" s="72">
        <v>0</v>
      </c>
      <c r="BO976" s="151" t="e">
        <f t="shared" si="61"/>
        <v>#DIV/0!</v>
      </c>
      <c r="BP976" s="151" t="e">
        <f t="shared" si="62"/>
        <v>#DIV/0!</v>
      </c>
      <c r="BQ976" s="71">
        <v>0</v>
      </c>
      <c r="BR976" s="71">
        <v>0</v>
      </c>
      <c r="BS976" s="71">
        <v>0</v>
      </c>
      <c r="BT976" s="72">
        <v>0</v>
      </c>
      <c r="BU976" s="73"/>
      <c r="BV976" s="73"/>
    </row>
    <row r="977" ht="30" customHeight="1" spans="1:75">
      <c r="A977" s="55">
        <v>0</v>
      </c>
      <c r="B977" s="56">
        <v>0</v>
      </c>
      <c r="C977" s="57">
        <v>0</v>
      </c>
      <c r="D977" s="78"/>
      <c r="E977" s="74"/>
      <c r="F977" s="59" t="e">
        <f>VLOOKUP(E977,[1]库存!$B$1:$C$65536,2,FALSE)</f>
        <v>#N/A</v>
      </c>
      <c r="G977" s="59" t="e">
        <v>#N/A</v>
      </c>
      <c r="H977" s="74"/>
      <c r="I977" s="74"/>
      <c r="J977" s="81"/>
      <c r="K977" s="61"/>
      <c r="L977" s="62">
        <v>0</v>
      </c>
      <c r="M977" s="63">
        <v>0</v>
      </c>
      <c r="N977" s="64">
        <v>0</v>
      </c>
      <c r="O977" s="62">
        <v>0</v>
      </c>
      <c r="P977" s="65">
        <f t="shared" si="63"/>
        <v>0</v>
      </c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  <c r="AS977" s="66"/>
      <c r="AT977" s="66"/>
      <c r="AU977" s="66"/>
      <c r="AV977" s="66"/>
      <c r="AW977" s="66"/>
      <c r="AX977" s="66"/>
      <c r="AY977" s="66"/>
      <c r="AZ977" s="66"/>
      <c r="BA977" s="66"/>
      <c r="BB977" s="66"/>
      <c r="BC977" s="66"/>
      <c r="BD977" s="66"/>
      <c r="BE977" s="67"/>
      <c r="BF977" s="67"/>
      <c r="BG977" s="68"/>
      <c r="BI977" s="69">
        <v>0</v>
      </c>
      <c r="BJ977" s="70">
        <v>0</v>
      </c>
      <c r="BK977" s="71">
        <v>0</v>
      </c>
      <c r="BL977" s="71">
        <v>0</v>
      </c>
      <c r="BM977" s="71">
        <v>0</v>
      </c>
      <c r="BN977" s="72">
        <v>0</v>
      </c>
      <c r="BO977" s="151" t="e">
        <f t="shared" si="61"/>
        <v>#DIV/0!</v>
      </c>
      <c r="BP977" s="151" t="e">
        <f t="shared" si="62"/>
        <v>#DIV/0!</v>
      </c>
      <c r="BQ977" s="71">
        <v>0</v>
      </c>
      <c r="BR977" s="71">
        <v>0</v>
      </c>
      <c r="BS977" s="71">
        <v>0</v>
      </c>
      <c r="BT977" s="72">
        <v>0</v>
      </c>
      <c r="BU977" s="73"/>
      <c r="BV977" s="73"/>
    </row>
    <row r="978" ht="30" customHeight="1" spans="1:75">
      <c r="A978" s="55">
        <v>0</v>
      </c>
      <c r="B978" s="56" t="s">
        <v>1057</v>
      </c>
      <c r="C978" s="57" t="s">
        <v>1324</v>
      </c>
      <c r="D978" s="76" t="s">
        <v>1636</v>
      </c>
      <c r="E978" s="59" t="s">
        <v>1649</v>
      </c>
      <c r="F978" s="59" t="str">
        <f>VLOOKUP(E978,[1]库存!$B$1:$C$65536,2,FALSE)</f>
        <v>SGM 358 MY22 SAB RH</v>
      </c>
      <c r="G978" s="59" t="s">
        <v>1650</v>
      </c>
      <c r="H978" s="59" t="s">
        <v>1651</v>
      </c>
      <c r="I978" s="59" t="s">
        <v>1647</v>
      </c>
      <c r="J978" s="81"/>
      <c r="K978" s="61"/>
      <c r="L978" s="62">
        <v>2</v>
      </c>
      <c r="M978" s="63">
        <v>1400</v>
      </c>
      <c r="N978" s="64">
        <v>14</v>
      </c>
      <c r="O978" s="62">
        <v>2</v>
      </c>
      <c r="P978" s="65">
        <f t="shared" si="63"/>
        <v>0</v>
      </c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  <c r="AS978" s="66"/>
      <c r="AT978" s="66"/>
      <c r="AU978" s="66"/>
      <c r="AV978" s="66"/>
      <c r="AW978" s="66"/>
      <c r="AX978" s="66"/>
      <c r="AY978" s="66"/>
      <c r="AZ978" s="66"/>
      <c r="BA978" s="66"/>
      <c r="BB978" s="66"/>
      <c r="BC978" s="66"/>
      <c r="BD978" s="66"/>
      <c r="BE978" s="67"/>
      <c r="BF978" s="67"/>
      <c r="BG978" s="68"/>
      <c r="BI978" s="69">
        <v>0</v>
      </c>
      <c r="BJ978" s="70">
        <v>0</v>
      </c>
      <c r="BK978" s="71">
        <v>0</v>
      </c>
      <c r="BL978" s="71">
        <v>0</v>
      </c>
      <c r="BM978" s="71">
        <v>0</v>
      </c>
      <c r="BN978" s="72">
        <v>0</v>
      </c>
      <c r="BO978" s="151" t="e">
        <f t="shared" si="61"/>
        <v>#DIV/0!</v>
      </c>
      <c r="BP978" s="151" t="e">
        <f t="shared" si="62"/>
        <v>#DIV/0!</v>
      </c>
      <c r="BQ978" s="71">
        <v>0</v>
      </c>
      <c r="BR978" s="71">
        <v>0</v>
      </c>
      <c r="BS978" s="71">
        <v>0</v>
      </c>
      <c r="BT978" s="72">
        <v>0</v>
      </c>
      <c r="BU978" s="73"/>
      <c r="BV978" s="73"/>
    </row>
    <row r="979" ht="30" customHeight="1" spans="1:75">
      <c r="A979" s="55">
        <v>0</v>
      </c>
      <c r="B979" s="56">
        <v>0</v>
      </c>
      <c r="C979" s="57">
        <v>0</v>
      </c>
      <c r="D979" s="78"/>
      <c r="E979" s="74"/>
      <c r="F979" s="59" t="e">
        <f>VLOOKUP(E979,[1]库存!$B$1:$C$65536,2,FALSE)</f>
        <v>#N/A</v>
      </c>
      <c r="G979" s="59" t="e">
        <v>#N/A</v>
      </c>
      <c r="H979" s="74"/>
      <c r="I979" s="74"/>
      <c r="J979" s="81"/>
      <c r="K979" s="61"/>
      <c r="L979" s="62">
        <v>0</v>
      </c>
      <c r="M979" s="63">
        <v>0</v>
      </c>
      <c r="N979" s="64">
        <v>0</v>
      </c>
      <c r="O979" s="62">
        <v>0</v>
      </c>
      <c r="P979" s="65">
        <f t="shared" si="63"/>
        <v>0</v>
      </c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  <c r="AS979" s="66"/>
      <c r="AT979" s="66"/>
      <c r="AU979" s="66"/>
      <c r="AV979" s="66"/>
      <c r="AW979" s="66"/>
      <c r="AX979" s="66"/>
      <c r="AY979" s="66"/>
      <c r="AZ979" s="66"/>
      <c r="BA979" s="66"/>
      <c r="BB979" s="66"/>
      <c r="BC979" s="66"/>
      <c r="BD979" s="66"/>
      <c r="BE979" s="67"/>
      <c r="BF979" s="67"/>
      <c r="BG979" s="68"/>
      <c r="BI979" s="69">
        <v>0</v>
      </c>
      <c r="BJ979" s="70">
        <v>0</v>
      </c>
      <c r="BK979" s="71">
        <v>0</v>
      </c>
      <c r="BL979" s="71">
        <v>0</v>
      </c>
      <c r="BM979" s="71">
        <v>0</v>
      </c>
      <c r="BN979" s="72">
        <v>0</v>
      </c>
      <c r="BO979" s="151" t="e">
        <f t="shared" si="61"/>
        <v>#DIV/0!</v>
      </c>
      <c r="BP979" s="151" t="e">
        <f t="shared" si="62"/>
        <v>#DIV/0!</v>
      </c>
      <c r="BQ979" s="71">
        <v>0</v>
      </c>
      <c r="BR979" s="71">
        <v>0</v>
      </c>
      <c r="BS979" s="71">
        <v>0</v>
      </c>
      <c r="BT979" s="72">
        <v>0</v>
      </c>
      <c r="BU979" s="73"/>
      <c r="BV979" s="73"/>
    </row>
    <row r="980" ht="30" customHeight="1" spans="1:75">
      <c r="A980" s="55">
        <v>0</v>
      </c>
      <c r="B980" s="56">
        <v>0</v>
      </c>
      <c r="C980" s="57">
        <v>0</v>
      </c>
      <c r="E980" s="88"/>
      <c r="F980" s="59" t="e">
        <f>VLOOKUP(E980,[1]库存!$B$1:$C$65536,2,FALSE)</f>
        <v>#N/A</v>
      </c>
      <c r="G980" s="59" t="e">
        <v>#N/A</v>
      </c>
      <c r="H980" s="89"/>
      <c r="I980" s="88"/>
      <c r="J980" s="90"/>
      <c r="K980" s="61"/>
      <c r="L980" s="62">
        <v>0</v>
      </c>
      <c r="M980" s="63">
        <v>0</v>
      </c>
      <c r="N980" s="64">
        <v>0</v>
      </c>
      <c r="O980" s="62">
        <v>0</v>
      </c>
      <c r="P980" s="65">
        <f t="shared" si="63"/>
        <v>0</v>
      </c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66"/>
      <c r="AU980" s="66"/>
      <c r="AV980" s="66"/>
      <c r="AW980" s="66"/>
      <c r="AX980" s="66"/>
      <c r="AY980" s="66"/>
      <c r="AZ980" s="66"/>
      <c r="BA980" s="66"/>
      <c r="BB980" s="66"/>
      <c r="BC980" s="66"/>
      <c r="BD980" s="66"/>
      <c r="BE980" s="67"/>
      <c r="BF980" s="67"/>
      <c r="BG980" s="68"/>
      <c r="BI980" s="69">
        <v>0</v>
      </c>
      <c r="BJ980" s="70">
        <v>0</v>
      </c>
      <c r="BK980" s="71">
        <v>0</v>
      </c>
      <c r="BL980" s="71">
        <v>0</v>
      </c>
      <c r="BM980" s="71">
        <v>0</v>
      </c>
      <c r="BN980" s="72">
        <v>0</v>
      </c>
      <c r="BO980" s="151" t="e">
        <f t="shared" si="61"/>
        <v>#DIV/0!</v>
      </c>
      <c r="BP980" s="151" t="e">
        <f t="shared" si="62"/>
        <v>#DIV/0!</v>
      </c>
      <c r="BQ980" s="71">
        <v>0</v>
      </c>
      <c r="BR980" s="71">
        <v>0</v>
      </c>
      <c r="BS980" s="71">
        <v>0</v>
      </c>
      <c r="BT980" s="72">
        <v>0</v>
      </c>
      <c r="BU980" s="73"/>
      <c r="BV980" s="73"/>
    </row>
    <row r="981" ht="30" customHeight="1" spans="1:75">
      <c r="A981" s="55" t="s">
        <v>246</v>
      </c>
      <c r="B981" s="56" t="s">
        <v>1057</v>
      </c>
      <c r="C981" s="57" t="s">
        <v>1072</v>
      </c>
      <c r="D981" s="59" t="s">
        <v>1652</v>
      </c>
      <c r="E981" s="59" t="s">
        <v>1653</v>
      </c>
      <c r="F981" s="59" t="str">
        <f>VLOOKUP(E981,[1]库存!$B$1:$C$65536,2,FALSE)</f>
        <v>CH051X DAB</v>
      </c>
      <c r="G981" s="59" t="s">
        <v>1654</v>
      </c>
      <c r="H981" s="59" t="s">
        <v>1655</v>
      </c>
      <c r="I981" s="59" t="s">
        <v>210</v>
      </c>
      <c r="J981" s="63"/>
      <c r="K981" s="61"/>
      <c r="L981" s="62">
        <v>2</v>
      </c>
      <c r="M981" s="63">
        <v>1200</v>
      </c>
      <c r="N981" s="64">
        <v>8</v>
      </c>
      <c r="O981" s="62">
        <v>2</v>
      </c>
      <c r="P981" s="65">
        <f t="shared" si="63"/>
        <v>0</v>
      </c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  <c r="AS981" s="66"/>
      <c r="AT981" s="66"/>
      <c r="AU981" s="66"/>
      <c r="AV981" s="66"/>
      <c r="AW981" s="66"/>
      <c r="AX981" s="66"/>
      <c r="AY981" s="66"/>
      <c r="AZ981" s="66"/>
      <c r="BA981" s="66"/>
      <c r="BB981" s="66"/>
      <c r="BC981" s="66"/>
      <c r="BD981" s="66"/>
      <c r="BE981" s="67"/>
      <c r="BF981" s="67"/>
      <c r="BG981" s="68"/>
      <c r="BI981" s="69">
        <v>0</v>
      </c>
      <c r="BJ981" s="70">
        <v>0</v>
      </c>
      <c r="BK981" s="71">
        <v>0</v>
      </c>
      <c r="BL981" s="71">
        <v>0</v>
      </c>
      <c r="BM981" s="71">
        <v>0</v>
      </c>
      <c r="BN981" s="72">
        <v>0</v>
      </c>
      <c r="BO981" s="151" t="e">
        <f t="shared" si="61"/>
        <v>#DIV/0!</v>
      </c>
      <c r="BP981" s="151" t="e">
        <f t="shared" si="62"/>
        <v>#DIV/0!</v>
      </c>
      <c r="BQ981" s="71">
        <v>0</v>
      </c>
      <c r="BR981" s="71">
        <v>0</v>
      </c>
      <c r="BS981" s="71">
        <v>0</v>
      </c>
      <c r="BT981" s="72">
        <v>0</v>
      </c>
      <c r="BU981" s="73"/>
      <c r="BV981" s="73"/>
    </row>
    <row r="982" ht="30" customHeight="1" spans="1:75">
      <c r="A982" s="55">
        <v>0</v>
      </c>
      <c r="B982" s="56">
        <v>0</v>
      </c>
      <c r="C982" s="57">
        <v>0</v>
      </c>
      <c r="D982" s="74"/>
      <c r="E982" s="74"/>
      <c r="F982" s="59" t="e">
        <f>VLOOKUP(E982,[1]库存!$B$1:$C$65536,2,FALSE)</f>
        <v>#N/A</v>
      </c>
      <c r="G982" s="59" t="e">
        <v>#N/A</v>
      </c>
      <c r="H982" s="74"/>
      <c r="I982" s="74"/>
      <c r="J982" s="87"/>
      <c r="K982" s="61"/>
      <c r="L982" s="62">
        <v>0</v>
      </c>
      <c r="M982" s="63">
        <v>0</v>
      </c>
      <c r="N982" s="64">
        <v>0</v>
      </c>
      <c r="O982" s="62">
        <v>0</v>
      </c>
      <c r="P982" s="65">
        <f t="shared" si="63"/>
        <v>0</v>
      </c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  <c r="AS982" s="66"/>
      <c r="AT982" s="66"/>
      <c r="AU982" s="66"/>
      <c r="AV982" s="66"/>
      <c r="AW982" s="66"/>
      <c r="AX982" s="66"/>
      <c r="AY982" s="66"/>
      <c r="AZ982" s="66"/>
      <c r="BA982" s="66"/>
      <c r="BB982" s="66"/>
      <c r="BC982" s="66"/>
      <c r="BD982" s="66"/>
      <c r="BE982" s="67"/>
      <c r="BF982" s="67"/>
      <c r="BG982" s="68"/>
      <c r="BI982" s="69">
        <v>0</v>
      </c>
      <c r="BJ982" s="70">
        <v>0</v>
      </c>
      <c r="BK982" s="71">
        <v>0</v>
      </c>
      <c r="BL982" s="71">
        <v>0</v>
      </c>
      <c r="BM982" s="71">
        <v>0</v>
      </c>
      <c r="BN982" s="72">
        <v>0</v>
      </c>
      <c r="BO982" s="151" t="e">
        <f t="shared" si="61"/>
        <v>#DIV/0!</v>
      </c>
      <c r="BP982" s="151" t="e">
        <f t="shared" si="62"/>
        <v>#DIV/0!</v>
      </c>
      <c r="BQ982" s="71">
        <v>0</v>
      </c>
      <c r="BR982" s="71">
        <v>0</v>
      </c>
      <c r="BS982" s="71">
        <v>0</v>
      </c>
      <c r="BT982" s="72">
        <v>0</v>
      </c>
      <c r="BU982" s="73"/>
      <c r="BV982" s="73"/>
    </row>
    <row r="983" ht="30" customHeight="1" spans="1:75">
      <c r="A983" s="55">
        <v>0</v>
      </c>
      <c r="B983" s="56">
        <v>0</v>
      </c>
      <c r="C983" s="57">
        <v>0</v>
      </c>
      <c r="E983" s="88"/>
      <c r="F983" s="59" t="e">
        <f>VLOOKUP(E983,[1]库存!$B$1:$C$65536,2,FALSE)</f>
        <v>#N/A</v>
      </c>
      <c r="G983" s="59" t="e">
        <v>#N/A</v>
      </c>
      <c r="H983" s="89"/>
      <c r="I983" s="88"/>
      <c r="J983" s="90"/>
      <c r="K983" s="61"/>
      <c r="L983" s="62">
        <v>0</v>
      </c>
      <c r="M983" s="63">
        <v>0</v>
      </c>
      <c r="N983" s="64">
        <v>0</v>
      </c>
      <c r="O983" s="62">
        <v>0</v>
      </c>
      <c r="P983" s="65">
        <f t="shared" si="63"/>
        <v>0</v>
      </c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66"/>
      <c r="AU983" s="66"/>
      <c r="AV983" s="66"/>
      <c r="AW983" s="66"/>
      <c r="AX983" s="66"/>
      <c r="AY983" s="66"/>
      <c r="AZ983" s="66"/>
      <c r="BA983" s="66"/>
      <c r="BB983" s="66"/>
      <c r="BC983" s="66"/>
      <c r="BD983" s="66"/>
      <c r="BE983" s="67"/>
      <c r="BF983" s="67"/>
      <c r="BG983" s="68"/>
      <c r="BI983" s="69">
        <v>0</v>
      </c>
      <c r="BJ983" s="70">
        <v>0</v>
      </c>
      <c r="BK983" s="71">
        <v>0</v>
      </c>
      <c r="BL983" s="71">
        <v>0</v>
      </c>
      <c r="BM983" s="71">
        <v>0</v>
      </c>
      <c r="BN983" s="72">
        <v>0</v>
      </c>
      <c r="BO983" s="151" t="e">
        <f t="shared" si="61"/>
        <v>#DIV/0!</v>
      </c>
      <c r="BP983" s="151" t="e">
        <f t="shared" si="62"/>
        <v>#DIV/0!</v>
      </c>
      <c r="BQ983" s="71">
        <v>0</v>
      </c>
      <c r="BR983" s="71">
        <v>0</v>
      </c>
      <c r="BS983" s="71">
        <v>0</v>
      </c>
      <c r="BT983" s="72">
        <v>0</v>
      </c>
      <c r="BU983" s="73"/>
      <c r="BV983" s="73"/>
    </row>
    <row r="984" ht="30" customHeight="1" spans="1:75">
      <c r="A984" s="55" t="s">
        <v>165</v>
      </c>
      <c r="B984" s="56" t="s">
        <v>1057</v>
      </c>
      <c r="C984" s="57" t="s">
        <v>1058</v>
      </c>
      <c r="D984" s="59" t="s">
        <v>1656</v>
      </c>
      <c r="E984" s="59" t="s">
        <v>1657</v>
      </c>
      <c r="F984" s="59" t="str">
        <f>VLOOKUP(E984,[1]库存!$B$1:$C$65536,2,FALSE)</f>
        <v>A2LL SAB LH D状态</v>
      </c>
      <c r="G984" s="59" t="s">
        <v>1658</v>
      </c>
      <c r="H984" s="129" t="s">
        <v>1659</v>
      </c>
      <c r="I984" s="129" t="s">
        <v>1660</v>
      </c>
      <c r="J984" s="218" t="s">
        <v>65</v>
      </c>
      <c r="K984" s="61"/>
      <c r="L984" s="62">
        <v>2</v>
      </c>
      <c r="M984" s="63">
        <v>1200</v>
      </c>
      <c r="N984" s="64">
        <v>12</v>
      </c>
      <c r="O984" s="62">
        <v>2</v>
      </c>
      <c r="P984" s="65">
        <f t="shared" si="63"/>
        <v>0</v>
      </c>
      <c r="Q984" s="66">
        <v>1600</v>
      </c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>
        <v>1600</v>
      </c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  <c r="AS984" s="66"/>
      <c r="AT984" s="66"/>
      <c r="AU984" s="66"/>
      <c r="AV984" s="66"/>
      <c r="AW984" s="66"/>
      <c r="AX984" s="66"/>
      <c r="AY984" s="66"/>
      <c r="AZ984" s="66"/>
      <c r="BA984" s="66"/>
      <c r="BB984" s="66"/>
      <c r="BC984" s="66"/>
      <c r="BD984" s="66"/>
      <c r="BE984" s="67"/>
      <c r="BF984" s="67"/>
      <c r="BG984" s="68"/>
      <c r="BI984" s="69">
        <v>0</v>
      </c>
      <c r="BJ984" s="70">
        <v>0</v>
      </c>
      <c r="BK984" s="71">
        <v>0</v>
      </c>
      <c r="BL984" s="71">
        <v>0</v>
      </c>
      <c r="BM984" s="71">
        <v>0</v>
      </c>
      <c r="BN984" s="72">
        <v>0</v>
      </c>
      <c r="BO984" s="151" t="e">
        <f t="shared" si="61"/>
        <v>#DIV/0!</v>
      </c>
      <c r="BP984" s="151" t="e">
        <f t="shared" si="62"/>
        <v>#DIV/0!</v>
      </c>
      <c r="BQ984" s="71">
        <v>0</v>
      </c>
      <c r="BR984" s="71">
        <v>0</v>
      </c>
      <c r="BS984" s="71">
        <v>0</v>
      </c>
      <c r="BT984" s="72">
        <v>0</v>
      </c>
      <c r="BU984" s="73"/>
      <c r="BV984" s="73"/>
      <c r="BW984" s="14" t="s">
        <v>1661</v>
      </c>
    </row>
    <row r="985" ht="30" customHeight="1" spans="1:75">
      <c r="A985" s="55">
        <v>0</v>
      </c>
      <c r="B985" s="56">
        <v>0</v>
      </c>
      <c r="C985" s="57">
        <v>0</v>
      </c>
      <c r="D985" s="74"/>
      <c r="E985" s="74"/>
      <c r="F985" s="59" t="e">
        <f>VLOOKUP(E985,[1]库存!$B$1:$C$65536,2,FALSE)</f>
        <v>#N/A</v>
      </c>
      <c r="G985" s="59" t="e">
        <v>#N/A</v>
      </c>
      <c r="H985" s="130"/>
      <c r="I985" s="130"/>
      <c r="J985" s="219"/>
      <c r="K985" s="61"/>
      <c r="L985" s="62">
        <v>0</v>
      </c>
      <c r="M985" s="63">
        <v>0</v>
      </c>
      <c r="N985" s="64">
        <v>0</v>
      </c>
      <c r="O985" s="62">
        <v>0</v>
      </c>
      <c r="P985" s="65">
        <f t="shared" si="63"/>
        <v>0</v>
      </c>
      <c r="Q985" s="66">
        <v>1643</v>
      </c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>
        <v>1643</v>
      </c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66"/>
      <c r="AU985" s="66"/>
      <c r="AV985" s="66"/>
      <c r="AW985" s="66"/>
      <c r="AX985" s="66"/>
      <c r="AY985" s="66"/>
      <c r="AZ985" s="66"/>
      <c r="BA985" s="66"/>
      <c r="BB985" s="66"/>
      <c r="BC985" s="66"/>
      <c r="BD985" s="66"/>
      <c r="BE985" s="67"/>
      <c r="BF985" s="67"/>
      <c r="BG985" s="68"/>
      <c r="BI985" s="69">
        <v>0</v>
      </c>
      <c r="BJ985" s="70">
        <v>0</v>
      </c>
      <c r="BK985" s="71">
        <v>0</v>
      </c>
      <c r="BL985" s="71">
        <v>0</v>
      </c>
      <c r="BM985" s="71">
        <v>0</v>
      </c>
      <c r="BN985" s="72">
        <v>0</v>
      </c>
      <c r="BO985" s="151" t="e">
        <f t="shared" si="61"/>
        <v>#DIV/0!</v>
      </c>
      <c r="BP985" s="151" t="e">
        <f t="shared" si="62"/>
        <v>#DIV/0!</v>
      </c>
      <c r="BQ985" s="71">
        <v>0</v>
      </c>
      <c r="BR985" s="71">
        <v>0</v>
      </c>
      <c r="BS985" s="71">
        <v>0</v>
      </c>
      <c r="BT985" s="72">
        <v>0</v>
      </c>
      <c r="BU985" s="73"/>
      <c r="BV985" s="73"/>
      <c r="BW985" s="14" t="s">
        <v>1662</v>
      </c>
    </row>
    <row r="986" ht="30" customHeight="1" spans="1:75">
      <c r="A986" s="55" t="s">
        <v>165</v>
      </c>
      <c r="B986" s="56" t="s">
        <v>1057</v>
      </c>
      <c r="C986" s="57" t="s">
        <v>1058</v>
      </c>
      <c r="D986" s="59" t="s">
        <v>1656</v>
      </c>
      <c r="E986" s="59" t="s">
        <v>1663</v>
      </c>
      <c r="F986" s="59" t="str">
        <f>VLOOKUP(E986,[1]库存!$B$1:$C$65536,2,FALSE)</f>
        <v>A2LL SAB RH D状态</v>
      </c>
      <c r="G986" s="59" t="s">
        <v>1664</v>
      </c>
      <c r="H986" s="129" t="s">
        <v>1665</v>
      </c>
      <c r="I986" s="129" t="s">
        <v>1660</v>
      </c>
      <c r="J986" s="218" t="s">
        <v>65</v>
      </c>
      <c r="K986" s="61"/>
      <c r="L986" s="62">
        <v>2</v>
      </c>
      <c r="M986" s="63">
        <v>1200</v>
      </c>
      <c r="N986" s="64">
        <v>12</v>
      </c>
      <c r="O986" s="62">
        <v>2</v>
      </c>
      <c r="P986" s="65">
        <f t="shared" si="63"/>
        <v>0</v>
      </c>
      <c r="Q986" s="66"/>
      <c r="R986" s="66"/>
      <c r="S986" s="66">
        <v>1600</v>
      </c>
      <c r="T986" s="66"/>
      <c r="U986" s="66"/>
      <c r="V986" s="66"/>
      <c r="W986" s="66"/>
      <c r="X986" s="66"/>
      <c r="Y986" s="66"/>
      <c r="Z986" s="66"/>
      <c r="AA986" s="66">
        <v>1550</v>
      </c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  <c r="AR986" s="66"/>
      <c r="AS986" s="66"/>
      <c r="AT986" s="66"/>
      <c r="AU986" s="66"/>
      <c r="AV986" s="66"/>
      <c r="AW986" s="66"/>
      <c r="AX986" s="66"/>
      <c r="AY986" s="66"/>
      <c r="AZ986" s="66"/>
      <c r="BA986" s="66"/>
      <c r="BB986" s="66"/>
      <c r="BC986" s="66"/>
      <c r="BD986" s="66"/>
      <c r="BE986" s="67"/>
      <c r="BF986" s="67"/>
      <c r="BG986" s="68"/>
      <c r="BI986" s="69">
        <v>0</v>
      </c>
      <c r="BJ986" s="70">
        <v>0</v>
      </c>
      <c r="BK986" s="71">
        <v>0</v>
      </c>
      <c r="BL986" s="71">
        <v>0</v>
      </c>
      <c r="BM986" s="71">
        <v>0</v>
      </c>
      <c r="BN986" s="72">
        <v>0</v>
      </c>
      <c r="BO986" s="151" t="e">
        <f t="shared" si="61"/>
        <v>#DIV/0!</v>
      </c>
      <c r="BP986" s="151" t="e">
        <f t="shared" si="62"/>
        <v>#DIV/0!</v>
      </c>
      <c r="BQ986" s="71">
        <v>0</v>
      </c>
      <c r="BR986" s="71">
        <v>0</v>
      </c>
      <c r="BS986" s="71">
        <v>0</v>
      </c>
      <c r="BT986" s="72">
        <v>0</v>
      </c>
      <c r="BU986" s="73"/>
      <c r="BV986" s="73"/>
    </row>
    <row r="987" ht="30" customHeight="1" spans="1:75">
      <c r="A987" s="55">
        <v>0</v>
      </c>
      <c r="B987" s="56">
        <v>0</v>
      </c>
      <c r="C987" s="57">
        <v>0</v>
      </c>
      <c r="D987" s="74"/>
      <c r="E987" s="74"/>
      <c r="F987" s="59" t="e">
        <f>VLOOKUP(E987,[1]库存!$B$1:$C$65536,2,FALSE)</f>
        <v>#N/A</v>
      </c>
      <c r="G987" s="59" t="e">
        <v>#N/A</v>
      </c>
      <c r="H987" s="130"/>
      <c r="I987" s="130"/>
      <c r="J987" s="219"/>
      <c r="K987" s="61"/>
      <c r="L987" s="62">
        <v>0</v>
      </c>
      <c r="M987" s="63">
        <v>0</v>
      </c>
      <c r="N987" s="64">
        <v>0</v>
      </c>
      <c r="O987" s="62">
        <v>0</v>
      </c>
      <c r="P987" s="65">
        <f t="shared" si="63"/>
        <v>0</v>
      </c>
      <c r="Q987" s="66"/>
      <c r="R987" s="66"/>
      <c r="S987" s="66">
        <v>1641</v>
      </c>
      <c r="T987" s="66"/>
      <c r="U987" s="66"/>
      <c r="V987" s="66"/>
      <c r="W987" s="66"/>
      <c r="X987" s="66"/>
      <c r="Y987" s="66"/>
      <c r="Z987" s="66"/>
      <c r="AA987" s="66">
        <v>1609</v>
      </c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66"/>
      <c r="AU987" s="66"/>
      <c r="AV987" s="66"/>
      <c r="AW987" s="66"/>
      <c r="AX987" s="66"/>
      <c r="AY987" s="66"/>
      <c r="AZ987" s="66"/>
      <c r="BA987" s="66"/>
      <c r="BB987" s="66"/>
      <c r="BC987" s="66"/>
      <c r="BD987" s="66"/>
      <c r="BE987" s="67"/>
      <c r="BF987" s="67"/>
      <c r="BG987" s="68"/>
      <c r="BI987" s="69">
        <v>0</v>
      </c>
      <c r="BJ987" s="70">
        <v>0</v>
      </c>
      <c r="BK987" s="71">
        <v>0</v>
      </c>
      <c r="BL987" s="71">
        <v>0</v>
      </c>
      <c r="BM987" s="71">
        <v>0</v>
      </c>
      <c r="BN987" s="72">
        <v>0</v>
      </c>
      <c r="BO987" s="151" t="e">
        <f t="shared" si="61"/>
        <v>#DIV/0!</v>
      </c>
      <c r="BP987" s="151" t="e">
        <f t="shared" si="62"/>
        <v>#DIV/0!</v>
      </c>
      <c r="BQ987" s="71">
        <v>0</v>
      </c>
      <c r="BR987" s="71">
        <v>0</v>
      </c>
      <c r="BS987" s="71">
        <v>0</v>
      </c>
      <c r="BT987" s="72">
        <v>0</v>
      </c>
      <c r="BU987" s="73"/>
      <c r="BV987" s="73"/>
    </row>
    <row r="988" ht="30" customHeight="1" spans="1:75">
      <c r="A988" s="55">
        <v>0</v>
      </c>
      <c r="B988" s="56">
        <v>0</v>
      </c>
      <c r="C988" s="57">
        <v>0</v>
      </c>
      <c r="E988" s="88"/>
      <c r="F988" s="59" t="e">
        <f>VLOOKUP(E988,[1]库存!$B$1:$C$65536,2,FALSE)</f>
        <v>#N/A</v>
      </c>
      <c r="G988" s="59" t="e">
        <v>#N/A</v>
      </c>
      <c r="H988" s="89"/>
      <c r="I988" s="88"/>
      <c r="J988" s="90"/>
      <c r="K988" s="61"/>
      <c r="L988" s="62">
        <v>0</v>
      </c>
      <c r="M988" s="63">
        <v>0</v>
      </c>
      <c r="N988" s="64">
        <v>0</v>
      </c>
      <c r="O988" s="62">
        <v>0</v>
      </c>
      <c r="P988" s="65">
        <f t="shared" si="63"/>
        <v>0</v>
      </c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  <c r="AS988" s="66"/>
      <c r="AT988" s="66"/>
      <c r="AU988" s="66"/>
      <c r="AV988" s="66"/>
      <c r="AW988" s="66"/>
      <c r="AX988" s="66"/>
      <c r="AY988" s="66"/>
      <c r="AZ988" s="66"/>
      <c r="BA988" s="66"/>
      <c r="BB988" s="66"/>
      <c r="BC988" s="66"/>
      <c r="BD988" s="66"/>
      <c r="BE988" s="67"/>
      <c r="BF988" s="67"/>
      <c r="BG988" s="68"/>
      <c r="BI988" s="69">
        <v>0</v>
      </c>
      <c r="BJ988" s="70">
        <v>0</v>
      </c>
      <c r="BK988" s="71">
        <v>0</v>
      </c>
      <c r="BL988" s="71">
        <v>0</v>
      </c>
      <c r="BM988" s="71">
        <v>0</v>
      </c>
      <c r="BN988" s="72">
        <v>0</v>
      </c>
      <c r="BO988" s="151" t="e">
        <f t="shared" si="61"/>
        <v>#DIV/0!</v>
      </c>
      <c r="BP988" s="151" t="e">
        <f t="shared" si="62"/>
        <v>#DIV/0!</v>
      </c>
      <c r="BQ988" s="71">
        <v>0</v>
      </c>
      <c r="BR988" s="71">
        <v>0</v>
      </c>
      <c r="BS988" s="71">
        <v>0</v>
      </c>
      <c r="BT988" s="72">
        <v>0</v>
      </c>
      <c r="BU988" s="73"/>
      <c r="BV988" s="73"/>
    </row>
    <row r="989" ht="30" customHeight="1" spans="1:75">
      <c r="A989" s="55" t="s">
        <v>165</v>
      </c>
      <c r="B989" s="56" t="s">
        <v>1057</v>
      </c>
      <c r="C989" s="57" t="s">
        <v>1072</v>
      </c>
      <c r="D989" s="59" t="s">
        <v>1666</v>
      </c>
      <c r="E989" s="59" t="s">
        <v>1667</v>
      </c>
      <c r="F989" s="59" t="str">
        <f>VLOOKUP(E989,[1]库存!$B$1:$C$65536,2,FALSE)</f>
        <v>GEELY SX12 SAB LH</v>
      </c>
      <c r="G989" s="59" t="s">
        <v>1668</v>
      </c>
      <c r="H989" s="59" t="s">
        <v>1669</v>
      </c>
      <c r="I989" s="59" t="s">
        <v>1069</v>
      </c>
      <c r="J989" s="63"/>
      <c r="K989" s="61"/>
      <c r="L989" s="62">
        <v>2</v>
      </c>
      <c r="M989" s="63">
        <v>1200</v>
      </c>
      <c r="N989" s="64">
        <v>9</v>
      </c>
      <c r="O989" s="62">
        <v>2</v>
      </c>
      <c r="P989" s="65">
        <f t="shared" si="63"/>
        <v>0</v>
      </c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66"/>
      <c r="AU989" s="66"/>
      <c r="AV989" s="66"/>
      <c r="AW989" s="66"/>
      <c r="AX989" s="66"/>
      <c r="AY989" s="66"/>
      <c r="AZ989" s="66"/>
      <c r="BA989" s="66"/>
      <c r="BB989" s="66"/>
      <c r="BC989" s="66"/>
      <c r="BD989" s="66"/>
      <c r="BE989" s="67"/>
      <c r="BF989" s="67"/>
      <c r="BG989" s="68"/>
      <c r="BI989" s="69">
        <v>0</v>
      </c>
      <c r="BJ989" s="70">
        <v>0</v>
      </c>
      <c r="BK989" s="71">
        <v>0</v>
      </c>
      <c r="BL989" s="71">
        <v>0</v>
      </c>
      <c r="BM989" s="71">
        <v>0</v>
      </c>
      <c r="BN989" s="72">
        <v>0</v>
      </c>
      <c r="BO989" s="151" t="e">
        <f t="shared" si="61"/>
        <v>#DIV/0!</v>
      </c>
      <c r="BP989" s="151" t="e">
        <f t="shared" si="62"/>
        <v>#DIV/0!</v>
      </c>
      <c r="BQ989" s="71">
        <v>0</v>
      </c>
      <c r="BR989" s="71">
        <v>0</v>
      </c>
      <c r="BS989" s="71">
        <v>0</v>
      </c>
      <c r="BT989" s="72">
        <v>0</v>
      </c>
      <c r="BU989" s="73"/>
      <c r="BV989" s="73"/>
    </row>
    <row r="990" ht="30" customHeight="1" spans="1:75">
      <c r="A990" s="55">
        <v>0</v>
      </c>
      <c r="B990" s="56">
        <v>0</v>
      </c>
      <c r="C990" s="57">
        <v>0</v>
      </c>
      <c r="D990" s="74"/>
      <c r="E990" s="74"/>
      <c r="F990" s="59" t="e">
        <f>VLOOKUP(E990,[1]库存!$B$1:$C$65536,2,FALSE)</f>
        <v>#N/A</v>
      </c>
      <c r="G990" s="59" t="e">
        <v>#N/A</v>
      </c>
      <c r="H990" s="74"/>
      <c r="I990" s="74"/>
      <c r="J990" s="87"/>
      <c r="K990" s="61"/>
      <c r="L990" s="62">
        <v>0</v>
      </c>
      <c r="M990" s="63">
        <v>0</v>
      </c>
      <c r="N990" s="64">
        <v>0</v>
      </c>
      <c r="O990" s="62">
        <v>0</v>
      </c>
      <c r="P990" s="65">
        <f t="shared" si="63"/>
        <v>0</v>
      </c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66"/>
      <c r="AU990" s="66"/>
      <c r="AV990" s="66"/>
      <c r="AW990" s="66"/>
      <c r="AX990" s="66"/>
      <c r="AY990" s="66"/>
      <c r="AZ990" s="66"/>
      <c r="BA990" s="66"/>
      <c r="BB990" s="66"/>
      <c r="BC990" s="66"/>
      <c r="BD990" s="66"/>
      <c r="BE990" s="67"/>
      <c r="BF990" s="67"/>
      <c r="BG990" s="68"/>
      <c r="BI990" s="69">
        <v>0</v>
      </c>
      <c r="BJ990" s="70">
        <v>0</v>
      </c>
      <c r="BK990" s="71">
        <v>0</v>
      </c>
      <c r="BL990" s="71">
        <v>0</v>
      </c>
      <c r="BM990" s="71">
        <v>0</v>
      </c>
      <c r="BN990" s="72">
        <v>0</v>
      </c>
      <c r="BO990" s="151" t="e">
        <f t="shared" si="61"/>
        <v>#DIV/0!</v>
      </c>
      <c r="BP990" s="151" t="e">
        <f t="shared" si="62"/>
        <v>#DIV/0!</v>
      </c>
      <c r="BQ990" s="71">
        <v>0</v>
      </c>
      <c r="BR990" s="71">
        <v>0</v>
      </c>
      <c r="BS990" s="71">
        <v>0</v>
      </c>
      <c r="BT990" s="72">
        <v>0</v>
      </c>
      <c r="BU990" s="73"/>
      <c r="BV990" s="73"/>
    </row>
    <row r="991" ht="30" customHeight="1" spans="1:75">
      <c r="A991" s="55" t="s">
        <v>165</v>
      </c>
      <c r="B991" s="56" t="s">
        <v>1057</v>
      </c>
      <c r="C991" s="57" t="s">
        <v>1072</v>
      </c>
      <c r="D991" s="59" t="s">
        <v>1666</v>
      </c>
      <c r="E991" s="59" t="s">
        <v>1670</v>
      </c>
      <c r="F991" s="59" t="str">
        <f>VLOOKUP(E991,[1]库存!$B$1:$C$65536,2,FALSE)</f>
        <v>GEELY SX12 SAB RH</v>
      </c>
      <c r="G991" s="59" t="s">
        <v>1671</v>
      </c>
      <c r="H991" s="59" t="s">
        <v>1672</v>
      </c>
      <c r="I991" s="59" t="s">
        <v>1069</v>
      </c>
      <c r="J991" s="63"/>
      <c r="K991" s="61"/>
      <c r="L991" s="62">
        <v>2</v>
      </c>
      <c r="M991" s="63">
        <v>1200</v>
      </c>
      <c r="N991" s="64">
        <v>9</v>
      </c>
      <c r="O991" s="62">
        <v>2</v>
      </c>
      <c r="P991" s="65">
        <f t="shared" si="63"/>
        <v>0</v>
      </c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66"/>
      <c r="AU991" s="66"/>
      <c r="AV991" s="66"/>
      <c r="AW991" s="66"/>
      <c r="AX991" s="66"/>
      <c r="AY991" s="66"/>
      <c r="AZ991" s="66"/>
      <c r="BA991" s="66"/>
      <c r="BB991" s="66"/>
      <c r="BC991" s="66"/>
      <c r="BD991" s="66"/>
      <c r="BE991" s="67"/>
      <c r="BF991" s="67"/>
      <c r="BG991" s="68"/>
      <c r="BI991" s="69">
        <v>0</v>
      </c>
      <c r="BJ991" s="70">
        <v>0</v>
      </c>
      <c r="BK991" s="71">
        <v>0</v>
      </c>
      <c r="BL991" s="71">
        <v>0</v>
      </c>
      <c r="BM991" s="71">
        <v>0</v>
      </c>
      <c r="BN991" s="72">
        <v>0</v>
      </c>
      <c r="BO991" s="151" t="e">
        <f t="shared" si="61"/>
        <v>#DIV/0!</v>
      </c>
      <c r="BP991" s="151" t="e">
        <f t="shared" si="62"/>
        <v>#DIV/0!</v>
      </c>
      <c r="BQ991" s="71">
        <v>0</v>
      </c>
      <c r="BR991" s="71">
        <v>0</v>
      </c>
      <c r="BS991" s="71">
        <v>0</v>
      </c>
      <c r="BT991" s="72">
        <v>0</v>
      </c>
      <c r="BU991" s="73"/>
      <c r="BV991" s="73"/>
    </row>
    <row r="992" ht="30" customHeight="1" spans="1:75">
      <c r="A992" s="55">
        <v>0</v>
      </c>
      <c r="B992" s="56">
        <v>0</v>
      </c>
      <c r="C992" s="57">
        <v>0</v>
      </c>
      <c r="D992" s="74"/>
      <c r="E992" s="74"/>
      <c r="F992" s="59" t="e">
        <f>VLOOKUP(E992,[1]库存!$B$1:$C$65536,2,FALSE)</f>
        <v>#N/A</v>
      </c>
      <c r="G992" s="59" t="e">
        <v>#N/A</v>
      </c>
      <c r="H992" s="74"/>
      <c r="I992" s="74"/>
      <c r="J992" s="87"/>
      <c r="K992" s="61"/>
      <c r="L992" s="62">
        <v>0</v>
      </c>
      <c r="M992" s="63">
        <v>0</v>
      </c>
      <c r="N992" s="64">
        <v>0</v>
      </c>
      <c r="O992" s="62">
        <v>0</v>
      </c>
      <c r="P992" s="65">
        <f t="shared" si="63"/>
        <v>0</v>
      </c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66"/>
      <c r="AU992" s="66"/>
      <c r="AV992" s="66"/>
      <c r="AW992" s="66"/>
      <c r="AX992" s="66"/>
      <c r="AY992" s="66"/>
      <c r="AZ992" s="66"/>
      <c r="BA992" s="66"/>
      <c r="BB992" s="66"/>
      <c r="BC992" s="66"/>
      <c r="BD992" s="66"/>
      <c r="BE992" s="67"/>
      <c r="BF992" s="67"/>
      <c r="BG992" s="68"/>
      <c r="BI992" s="69">
        <v>0</v>
      </c>
      <c r="BJ992" s="70">
        <v>0</v>
      </c>
      <c r="BK992" s="71">
        <v>0</v>
      </c>
      <c r="BL992" s="71">
        <v>0</v>
      </c>
      <c r="BM992" s="71">
        <v>0</v>
      </c>
      <c r="BN992" s="72">
        <v>0</v>
      </c>
      <c r="BO992" s="151" t="e">
        <f t="shared" si="61"/>
        <v>#DIV/0!</v>
      </c>
      <c r="BP992" s="151" t="e">
        <f t="shared" si="62"/>
        <v>#DIV/0!</v>
      </c>
      <c r="BQ992" s="71">
        <v>0</v>
      </c>
      <c r="BR992" s="71">
        <v>0</v>
      </c>
      <c r="BS992" s="71">
        <v>0</v>
      </c>
      <c r="BT992" s="72">
        <v>0</v>
      </c>
      <c r="BU992" s="73"/>
      <c r="BV992" s="73"/>
    </row>
    <row r="993" ht="30" customHeight="1" spans="1:74">
      <c r="A993" s="55" t="s">
        <v>1104</v>
      </c>
      <c r="B993" s="56" t="s">
        <v>1057</v>
      </c>
      <c r="C993" s="57" t="s">
        <v>1072</v>
      </c>
      <c r="D993" s="59" t="s">
        <v>1666</v>
      </c>
      <c r="E993" s="59" t="s">
        <v>1673</v>
      </c>
      <c r="F993" s="59" t="str">
        <f>VLOOKUP(E993,[1]库存!$B$1:$C$65536,2,FALSE)</f>
        <v>SX11 RA SAB LH</v>
      </c>
      <c r="G993" s="59" t="s">
        <v>1674</v>
      </c>
      <c r="H993" s="59" t="s">
        <v>1675</v>
      </c>
      <c r="I993" s="59" t="s">
        <v>1069</v>
      </c>
      <c r="J993" s="63"/>
      <c r="K993" s="61"/>
      <c r="L993" s="62">
        <v>2</v>
      </c>
      <c r="M993" s="63">
        <v>1600</v>
      </c>
      <c r="N993" s="64">
        <v>9</v>
      </c>
      <c r="O993" s="62">
        <v>2</v>
      </c>
      <c r="P993" s="65">
        <f t="shared" si="63"/>
        <v>0</v>
      </c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66"/>
      <c r="AU993" s="66"/>
      <c r="AV993" s="66"/>
      <c r="AW993" s="66"/>
      <c r="AX993" s="66"/>
      <c r="AY993" s="66"/>
      <c r="AZ993" s="66"/>
      <c r="BA993" s="66"/>
      <c r="BB993" s="66"/>
      <c r="BC993" s="66"/>
      <c r="BD993" s="66"/>
      <c r="BE993" s="67"/>
      <c r="BF993" s="67"/>
      <c r="BG993" s="68"/>
      <c r="BI993" s="69">
        <v>0</v>
      </c>
      <c r="BJ993" s="70">
        <v>0</v>
      </c>
      <c r="BK993" s="71">
        <v>0</v>
      </c>
      <c r="BL993" s="71">
        <v>0</v>
      </c>
      <c r="BM993" s="71">
        <v>0</v>
      </c>
      <c r="BN993" s="72">
        <v>0</v>
      </c>
      <c r="BO993" s="151" t="e">
        <f t="shared" si="61"/>
        <v>#DIV/0!</v>
      </c>
      <c r="BP993" s="151" t="e">
        <f t="shared" si="62"/>
        <v>#DIV/0!</v>
      </c>
      <c r="BQ993" s="71">
        <v>0</v>
      </c>
      <c r="BR993" s="71">
        <v>0</v>
      </c>
      <c r="BS993" s="71">
        <v>0</v>
      </c>
      <c r="BT993" s="72">
        <v>0</v>
      </c>
      <c r="BU993" s="73"/>
      <c r="BV993" s="73"/>
    </row>
    <row r="994" ht="30" customHeight="1" spans="1:74">
      <c r="A994" s="55">
        <v>0</v>
      </c>
      <c r="B994" s="56">
        <v>0</v>
      </c>
      <c r="C994" s="57">
        <v>0</v>
      </c>
      <c r="D994" s="74"/>
      <c r="E994" s="74"/>
      <c r="F994" s="59" t="e">
        <f>VLOOKUP(E994,[1]库存!$B$1:$C$65536,2,FALSE)</f>
        <v>#N/A</v>
      </c>
      <c r="G994" s="59" t="e">
        <v>#N/A</v>
      </c>
      <c r="H994" s="74"/>
      <c r="I994" s="74"/>
      <c r="J994" s="87"/>
      <c r="K994" s="61"/>
      <c r="L994" s="62">
        <v>0</v>
      </c>
      <c r="M994" s="63">
        <v>0</v>
      </c>
      <c r="N994" s="64">
        <v>0</v>
      </c>
      <c r="O994" s="62">
        <v>0</v>
      </c>
      <c r="P994" s="65">
        <f t="shared" si="63"/>
        <v>0</v>
      </c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66"/>
      <c r="AU994" s="66"/>
      <c r="AV994" s="66"/>
      <c r="AW994" s="66"/>
      <c r="AX994" s="66"/>
      <c r="AY994" s="66"/>
      <c r="AZ994" s="66"/>
      <c r="BA994" s="66"/>
      <c r="BB994" s="66"/>
      <c r="BC994" s="66"/>
      <c r="BD994" s="66"/>
      <c r="BE994" s="67"/>
      <c r="BF994" s="67"/>
      <c r="BG994" s="68"/>
      <c r="BI994" s="69">
        <v>0</v>
      </c>
      <c r="BJ994" s="70">
        <v>0</v>
      </c>
      <c r="BK994" s="71">
        <v>0</v>
      </c>
      <c r="BL994" s="71">
        <v>0</v>
      </c>
      <c r="BM994" s="71">
        <v>0</v>
      </c>
      <c r="BN994" s="72">
        <v>0</v>
      </c>
      <c r="BO994" s="151" t="e">
        <f t="shared" si="61"/>
        <v>#DIV/0!</v>
      </c>
      <c r="BP994" s="151" t="e">
        <f t="shared" si="62"/>
        <v>#DIV/0!</v>
      </c>
      <c r="BQ994" s="71">
        <v>0</v>
      </c>
      <c r="BR994" s="71">
        <v>0</v>
      </c>
      <c r="BS994" s="71">
        <v>0</v>
      </c>
      <c r="BT994" s="72">
        <v>0</v>
      </c>
      <c r="BU994" s="73"/>
      <c r="BV994" s="73"/>
    </row>
    <row r="995" ht="30" customHeight="1" spans="1:74">
      <c r="A995" s="55" t="s">
        <v>1104</v>
      </c>
      <c r="B995" s="56" t="s">
        <v>1057</v>
      </c>
      <c r="C995" s="57" t="s">
        <v>1072</v>
      </c>
      <c r="D995" s="59" t="s">
        <v>1666</v>
      </c>
      <c r="E995" s="59" t="s">
        <v>1676</v>
      </c>
      <c r="F995" s="59" t="str">
        <f>VLOOKUP(E995,[1]库存!$B$1:$C$65536,2,FALSE)</f>
        <v>SX11 RA SAB RH</v>
      </c>
      <c r="G995" s="59" t="s">
        <v>1677</v>
      </c>
      <c r="H995" s="59" t="s">
        <v>1678</v>
      </c>
      <c r="I995" s="59" t="s">
        <v>1069</v>
      </c>
      <c r="J995" s="63"/>
      <c r="K995" s="61"/>
      <c r="L995" s="62">
        <v>2</v>
      </c>
      <c r="M995" s="63">
        <v>1600</v>
      </c>
      <c r="N995" s="64">
        <v>9</v>
      </c>
      <c r="O995" s="62">
        <v>2</v>
      </c>
      <c r="P995" s="65">
        <f t="shared" si="63"/>
        <v>0</v>
      </c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  <c r="AS995" s="66"/>
      <c r="AT995" s="66"/>
      <c r="AU995" s="66"/>
      <c r="AV995" s="66"/>
      <c r="AW995" s="66"/>
      <c r="AX995" s="66"/>
      <c r="AY995" s="66"/>
      <c r="AZ995" s="66"/>
      <c r="BA995" s="66"/>
      <c r="BB995" s="66"/>
      <c r="BC995" s="66"/>
      <c r="BD995" s="66"/>
      <c r="BE995" s="67"/>
      <c r="BF995" s="67"/>
      <c r="BG995" s="68"/>
      <c r="BI995" s="69">
        <v>0</v>
      </c>
      <c r="BJ995" s="70">
        <v>0</v>
      </c>
      <c r="BK995" s="71">
        <v>0</v>
      </c>
      <c r="BL995" s="71">
        <v>0</v>
      </c>
      <c r="BM995" s="71">
        <v>0</v>
      </c>
      <c r="BN995" s="72">
        <v>0</v>
      </c>
      <c r="BO995" s="151" t="e">
        <f t="shared" si="61"/>
        <v>#DIV/0!</v>
      </c>
      <c r="BP995" s="151" t="e">
        <f t="shared" si="62"/>
        <v>#DIV/0!</v>
      </c>
      <c r="BQ995" s="71">
        <v>0</v>
      </c>
      <c r="BR995" s="71">
        <v>0</v>
      </c>
      <c r="BS995" s="71">
        <v>0</v>
      </c>
      <c r="BT995" s="72">
        <v>0</v>
      </c>
      <c r="BU995" s="73"/>
      <c r="BV995" s="73"/>
    </row>
    <row r="996" ht="30" customHeight="1" spans="1:74">
      <c r="A996" s="55">
        <v>0</v>
      </c>
      <c r="B996" s="56">
        <v>0</v>
      </c>
      <c r="C996" s="57">
        <v>0</v>
      </c>
      <c r="D996" s="74"/>
      <c r="E996" s="74"/>
      <c r="F996" s="59" t="e">
        <f>VLOOKUP(E996,[1]库存!$B$1:$C$65536,2,FALSE)</f>
        <v>#N/A</v>
      </c>
      <c r="G996" s="59" t="e">
        <v>#N/A</v>
      </c>
      <c r="H996" s="74"/>
      <c r="I996" s="74"/>
      <c r="J996" s="87"/>
      <c r="K996" s="61"/>
      <c r="L996" s="62">
        <v>0</v>
      </c>
      <c r="M996" s="63">
        <v>0</v>
      </c>
      <c r="N996" s="64">
        <v>0</v>
      </c>
      <c r="O996" s="62">
        <v>0</v>
      </c>
      <c r="P996" s="65">
        <f t="shared" si="63"/>
        <v>0</v>
      </c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  <c r="AS996" s="66"/>
      <c r="AT996" s="66"/>
      <c r="AU996" s="66"/>
      <c r="AV996" s="66"/>
      <c r="AW996" s="66"/>
      <c r="AX996" s="66"/>
      <c r="AY996" s="66"/>
      <c r="AZ996" s="66"/>
      <c r="BA996" s="66"/>
      <c r="BB996" s="66"/>
      <c r="BC996" s="66"/>
      <c r="BD996" s="66"/>
      <c r="BE996" s="67"/>
      <c r="BF996" s="67"/>
      <c r="BG996" s="68"/>
      <c r="BI996" s="69">
        <v>0</v>
      </c>
      <c r="BJ996" s="70">
        <v>0</v>
      </c>
      <c r="BK996" s="71">
        <v>0</v>
      </c>
      <c r="BL996" s="71">
        <v>0</v>
      </c>
      <c r="BM996" s="71">
        <v>0</v>
      </c>
      <c r="BN996" s="72">
        <v>0</v>
      </c>
      <c r="BO996" s="151" t="e">
        <f t="shared" si="61"/>
        <v>#DIV/0!</v>
      </c>
      <c r="BP996" s="151" t="e">
        <f t="shared" si="62"/>
        <v>#DIV/0!</v>
      </c>
      <c r="BQ996" s="71">
        <v>0</v>
      </c>
      <c r="BR996" s="71">
        <v>0</v>
      </c>
      <c r="BS996" s="71">
        <v>0</v>
      </c>
      <c r="BT996" s="72">
        <v>0</v>
      </c>
      <c r="BU996" s="73"/>
      <c r="BV996" s="73"/>
    </row>
    <row r="997" ht="30" customHeight="1" spans="1:74">
      <c r="A997" s="55">
        <v>0</v>
      </c>
      <c r="B997" s="56">
        <v>0</v>
      </c>
      <c r="C997" s="57">
        <v>0</v>
      </c>
      <c r="E997" s="88"/>
      <c r="F997" s="59" t="e">
        <f>VLOOKUP(E997,[1]库存!$B$1:$C$65536,2,FALSE)</f>
        <v>#N/A</v>
      </c>
      <c r="G997" s="59" t="e">
        <v>#N/A</v>
      </c>
      <c r="H997" s="89"/>
      <c r="I997" s="88"/>
      <c r="J997" s="90"/>
      <c r="K997" s="61"/>
      <c r="L997" s="62">
        <v>0</v>
      </c>
      <c r="M997" s="63">
        <v>0</v>
      </c>
      <c r="N997" s="64">
        <v>0</v>
      </c>
      <c r="O997" s="62">
        <v>0</v>
      </c>
      <c r="P997" s="65">
        <f t="shared" si="63"/>
        <v>0</v>
      </c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  <c r="AP997" s="66"/>
      <c r="AQ997" s="66"/>
      <c r="AR997" s="66"/>
      <c r="AS997" s="66"/>
      <c r="AT997" s="66"/>
      <c r="AU997" s="66"/>
      <c r="AV997" s="66"/>
      <c r="AW997" s="66"/>
      <c r="AX997" s="66"/>
      <c r="AY997" s="66"/>
      <c r="AZ997" s="66"/>
      <c r="BA997" s="66"/>
      <c r="BB997" s="66"/>
      <c r="BC997" s="66"/>
      <c r="BD997" s="66"/>
      <c r="BE997" s="67"/>
      <c r="BF997" s="67"/>
      <c r="BG997" s="68"/>
      <c r="BI997" s="69">
        <v>0</v>
      </c>
      <c r="BJ997" s="70">
        <v>0</v>
      </c>
      <c r="BK997" s="71">
        <v>0</v>
      </c>
      <c r="BL997" s="71">
        <v>0</v>
      </c>
      <c r="BM997" s="71">
        <v>0</v>
      </c>
      <c r="BN997" s="72">
        <v>0</v>
      </c>
      <c r="BO997" s="151" t="e">
        <f t="shared" si="61"/>
        <v>#DIV/0!</v>
      </c>
      <c r="BP997" s="151" t="e">
        <f t="shared" si="62"/>
        <v>#DIV/0!</v>
      </c>
      <c r="BQ997" s="71">
        <v>0</v>
      </c>
      <c r="BR997" s="71">
        <v>0</v>
      </c>
      <c r="BS997" s="71">
        <v>0</v>
      </c>
      <c r="BT997" s="72">
        <v>0</v>
      </c>
      <c r="BU997" s="73"/>
      <c r="BV997" s="73"/>
    </row>
    <row r="998" ht="30" customHeight="1" spans="1:74">
      <c r="A998" s="55" t="s">
        <v>246</v>
      </c>
      <c r="B998" s="56" t="s">
        <v>1057</v>
      </c>
      <c r="C998" s="57" t="s">
        <v>1058</v>
      </c>
      <c r="D998" s="91" t="s">
        <v>1679</v>
      </c>
      <c r="E998" s="91" t="s">
        <v>1680</v>
      </c>
      <c r="F998" s="91" t="str">
        <f>VLOOKUP(E998,[1]库存!$B$1:$C$65536,2,FALSE)</f>
        <v>BAIC C71KB RSAB LH</v>
      </c>
      <c r="G998" s="91" t="s">
        <v>1681</v>
      </c>
      <c r="H998" s="91" t="s">
        <v>1682</v>
      </c>
      <c r="I998" s="91" t="s">
        <v>1683</v>
      </c>
      <c r="J998" s="63"/>
      <c r="K998" s="61"/>
      <c r="L998" s="62">
        <v>0</v>
      </c>
      <c r="M998" s="63">
        <v>1100</v>
      </c>
      <c r="N998" s="64">
        <v>8.5</v>
      </c>
      <c r="O998" s="62">
        <v>2</v>
      </c>
      <c r="P998" s="65">
        <f t="shared" si="63"/>
        <v>0</v>
      </c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  <c r="AP998" s="66"/>
      <c r="AQ998" s="66"/>
      <c r="AR998" s="66"/>
      <c r="AS998" s="66"/>
      <c r="AT998" s="66"/>
      <c r="AU998" s="66"/>
      <c r="AV998" s="66"/>
      <c r="AW998" s="66"/>
      <c r="AX998" s="66"/>
      <c r="AY998" s="66"/>
      <c r="AZ998" s="66"/>
      <c r="BA998" s="66"/>
      <c r="BB998" s="66"/>
      <c r="BC998" s="66"/>
      <c r="BD998" s="66"/>
      <c r="BE998" s="67"/>
      <c r="BF998" s="67"/>
      <c r="BG998" s="68"/>
      <c r="BI998" s="69">
        <v>0</v>
      </c>
      <c r="BJ998" s="70">
        <v>0</v>
      </c>
      <c r="BK998" s="71">
        <v>0</v>
      </c>
      <c r="BL998" s="71">
        <v>0</v>
      </c>
      <c r="BM998" s="71">
        <v>0</v>
      </c>
      <c r="BN998" s="72">
        <v>0</v>
      </c>
      <c r="BO998" s="151" t="e">
        <f t="shared" si="61"/>
        <v>#DIV/0!</v>
      </c>
      <c r="BP998" s="151" t="e">
        <f t="shared" si="62"/>
        <v>#DIV/0!</v>
      </c>
      <c r="BQ998" s="71">
        <v>0</v>
      </c>
      <c r="BR998" s="71">
        <v>0</v>
      </c>
      <c r="BS998" s="71">
        <v>0</v>
      </c>
      <c r="BT998" s="72">
        <v>0</v>
      </c>
      <c r="BU998" s="73"/>
      <c r="BV998" s="73"/>
    </row>
    <row r="999" ht="30" customHeight="1" spans="1:74">
      <c r="A999" s="55">
        <v>0</v>
      </c>
      <c r="B999" s="56">
        <v>0</v>
      </c>
      <c r="C999" s="57">
        <v>0</v>
      </c>
      <c r="D999" s="92"/>
      <c r="E999" s="92"/>
      <c r="F999" s="91" t="e">
        <f>VLOOKUP(E999,[1]库存!$B$1:$C$65536,2,FALSE)</f>
        <v>#N/A</v>
      </c>
      <c r="G999" s="91" t="e">
        <v>#N/A</v>
      </c>
      <c r="H999" s="92"/>
      <c r="I999" s="92"/>
      <c r="J999" s="87"/>
      <c r="K999" s="61"/>
      <c r="L999" s="62">
        <v>0</v>
      </c>
      <c r="M999" s="63">
        <v>0</v>
      </c>
      <c r="N999" s="64">
        <v>0</v>
      </c>
      <c r="O999" s="62">
        <v>0</v>
      </c>
      <c r="P999" s="65">
        <f t="shared" si="63"/>
        <v>0</v>
      </c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  <c r="AQ999" s="66"/>
      <c r="AR999" s="66"/>
      <c r="AS999" s="66"/>
      <c r="AT999" s="66"/>
      <c r="AU999" s="66"/>
      <c r="AV999" s="66"/>
      <c r="AW999" s="66"/>
      <c r="AX999" s="66"/>
      <c r="AY999" s="66"/>
      <c r="AZ999" s="66"/>
      <c r="BA999" s="66"/>
      <c r="BB999" s="66"/>
      <c r="BC999" s="66"/>
      <c r="BD999" s="66"/>
      <c r="BE999" s="67"/>
      <c r="BF999" s="67"/>
      <c r="BG999" s="68"/>
      <c r="BI999" s="69">
        <v>0</v>
      </c>
      <c r="BJ999" s="70">
        <v>0</v>
      </c>
      <c r="BK999" s="71">
        <v>0</v>
      </c>
      <c r="BL999" s="71">
        <v>0</v>
      </c>
      <c r="BM999" s="71">
        <v>0</v>
      </c>
      <c r="BN999" s="72">
        <v>0</v>
      </c>
      <c r="BO999" s="151" t="e">
        <f t="shared" si="61"/>
        <v>#DIV/0!</v>
      </c>
      <c r="BP999" s="151" t="e">
        <f t="shared" si="62"/>
        <v>#DIV/0!</v>
      </c>
      <c r="BQ999" s="71">
        <v>0</v>
      </c>
      <c r="BR999" s="71">
        <v>0</v>
      </c>
      <c r="BS999" s="71">
        <v>0</v>
      </c>
      <c r="BT999" s="72">
        <v>0</v>
      </c>
      <c r="BU999" s="73"/>
      <c r="BV999" s="73"/>
    </row>
    <row r="1000" ht="30" customHeight="1" spans="1:74">
      <c r="A1000" s="55" t="s">
        <v>246</v>
      </c>
      <c r="B1000" s="56" t="s">
        <v>1057</v>
      </c>
      <c r="C1000" s="57" t="s">
        <v>1058</v>
      </c>
      <c r="D1000" s="91" t="s">
        <v>1679</v>
      </c>
      <c r="E1000" s="91" t="s">
        <v>1684</v>
      </c>
      <c r="F1000" s="91" t="str">
        <f>VLOOKUP(E1000,[1]库存!$B$1:$C$65536,2,FALSE)</f>
        <v>BAIC C71KB RSAB RH</v>
      </c>
      <c r="G1000" s="91" t="s">
        <v>1685</v>
      </c>
      <c r="H1000" s="91" t="s">
        <v>1686</v>
      </c>
      <c r="I1000" s="91" t="s">
        <v>1683</v>
      </c>
      <c r="J1000" s="63"/>
      <c r="K1000" s="61"/>
      <c r="L1000" s="62">
        <v>0</v>
      </c>
      <c r="M1000" s="63">
        <v>1100</v>
      </c>
      <c r="N1000" s="64">
        <v>8.5</v>
      </c>
      <c r="O1000" s="62">
        <v>2</v>
      </c>
      <c r="P1000" s="65">
        <f t="shared" si="63"/>
        <v>0</v>
      </c>
      <c r="Q1000" s="66" t="s">
        <v>1687</v>
      </c>
      <c r="R1000" s="66"/>
      <c r="S1000" s="66">
        <v>1300</v>
      </c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  <c r="AR1000" s="66"/>
      <c r="AS1000" s="66"/>
      <c r="AT1000" s="66"/>
      <c r="AU1000" s="66"/>
      <c r="AV1000" s="66"/>
      <c r="AW1000" s="66"/>
      <c r="AX1000" s="66"/>
      <c r="AY1000" s="66"/>
      <c r="AZ1000" s="66"/>
      <c r="BA1000" s="66"/>
      <c r="BB1000" s="66"/>
      <c r="BC1000" s="66"/>
      <c r="BD1000" s="66"/>
      <c r="BE1000" s="67"/>
      <c r="BF1000" s="67"/>
      <c r="BG1000" s="68"/>
      <c r="BI1000" s="69">
        <v>0</v>
      </c>
      <c r="BJ1000" s="70">
        <v>0</v>
      </c>
      <c r="BK1000" s="71">
        <v>0</v>
      </c>
      <c r="BL1000" s="71">
        <v>0</v>
      </c>
      <c r="BM1000" s="71">
        <v>0</v>
      </c>
      <c r="BN1000" s="72">
        <v>0</v>
      </c>
      <c r="BO1000" s="151" t="e">
        <f t="shared" si="61"/>
        <v>#DIV/0!</v>
      </c>
      <c r="BP1000" s="151" t="e">
        <f t="shared" si="62"/>
        <v>#DIV/0!</v>
      </c>
      <c r="BQ1000" s="71">
        <v>0</v>
      </c>
      <c r="BR1000" s="71">
        <v>0</v>
      </c>
      <c r="BS1000" s="71">
        <v>0</v>
      </c>
      <c r="BT1000" s="72">
        <v>0</v>
      </c>
      <c r="BU1000" s="73"/>
      <c r="BV1000" s="73"/>
    </row>
    <row r="1001" ht="30" customHeight="1" spans="1:74">
      <c r="A1001" s="55">
        <v>0</v>
      </c>
      <c r="B1001" s="56">
        <v>0</v>
      </c>
      <c r="C1001" s="57">
        <v>0</v>
      </c>
      <c r="D1001" s="92"/>
      <c r="E1001" s="92"/>
      <c r="F1001" s="91" t="e">
        <f>VLOOKUP(E1001,[1]库存!$B$1:$C$65536,2,FALSE)</f>
        <v>#N/A</v>
      </c>
      <c r="G1001" s="91" t="e">
        <v>#N/A</v>
      </c>
      <c r="H1001" s="92"/>
      <c r="I1001" s="92"/>
      <c r="J1001" s="87"/>
      <c r="K1001" s="61"/>
      <c r="L1001" s="62">
        <v>0</v>
      </c>
      <c r="M1001" s="63">
        <v>0</v>
      </c>
      <c r="N1001" s="64">
        <v>0</v>
      </c>
      <c r="O1001" s="62">
        <v>0</v>
      </c>
      <c r="P1001" s="65">
        <f t="shared" si="63"/>
        <v>0</v>
      </c>
      <c r="Q1001" s="66">
        <v>1762</v>
      </c>
      <c r="R1001" s="66"/>
      <c r="S1001" s="66" t="s">
        <v>1688</v>
      </c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  <c r="AE1001" s="66"/>
      <c r="AF1001" s="66"/>
      <c r="AG1001" s="66"/>
      <c r="AH1001" s="66"/>
      <c r="AI1001" s="66"/>
      <c r="AJ1001" s="66"/>
      <c r="AK1001" s="66"/>
      <c r="AL1001" s="66"/>
      <c r="AM1001" s="66"/>
      <c r="AN1001" s="66"/>
      <c r="AO1001" s="66"/>
      <c r="AP1001" s="66"/>
      <c r="AQ1001" s="66"/>
      <c r="AR1001" s="66"/>
      <c r="AS1001" s="66"/>
      <c r="AT1001" s="66"/>
      <c r="AU1001" s="66"/>
      <c r="AV1001" s="66"/>
      <c r="AW1001" s="66"/>
      <c r="AX1001" s="66"/>
      <c r="AY1001" s="66"/>
      <c r="AZ1001" s="66"/>
      <c r="BA1001" s="66"/>
      <c r="BB1001" s="66"/>
      <c r="BC1001" s="66"/>
      <c r="BD1001" s="66"/>
      <c r="BE1001" s="67"/>
      <c r="BF1001" s="67"/>
      <c r="BG1001" s="68"/>
      <c r="BI1001" s="69">
        <v>0</v>
      </c>
      <c r="BJ1001" s="70">
        <v>0</v>
      </c>
      <c r="BK1001" s="71">
        <v>0</v>
      </c>
      <c r="BL1001" s="71">
        <v>0</v>
      </c>
      <c r="BM1001" s="71">
        <v>0</v>
      </c>
      <c r="BN1001" s="72">
        <v>0</v>
      </c>
      <c r="BO1001" s="151" t="e">
        <f t="shared" si="61"/>
        <v>#DIV/0!</v>
      </c>
      <c r="BP1001" s="151" t="e">
        <f t="shared" si="62"/>
        <v>#DIV/0!</v>
      </c>
      <c r="BQ1001" s="71">
        <v>0</v>
      </c>
      <c r="BR1001" s="71">
        <v>0</v>
      </c>
      <c r="BS1001" s="71">
        <v>0</v>
      </c>
      <c r="BT1001" s="72">
        <v>0</v>
      </c>
      <c r="BU1001" s="73"/>
      <c r="BV1001" s="73"/>
    </row>
    <row r="1002" ht="30" customHeight="1" spans="1:74">
      <c r="A1002" s="55" t="s">
        <v>165</v>
      </c>
      <c r="B1002" s="56" t="s">
        <v>1057</v>
      </c>
      <c r="C1002" s="57" t="s">
        <v>1058</v>
      </c>
      <c r="D1002" s="177" t="s">
        <v>1679</v>
      </c>
      <c r="E1002" s="177" t="s">
        <v>1689</v>
      </c>
      <c r="F1002" s="177" t="s">
        <v>1690</v>
      </c>
      <c r="G1002" s="310" t="s">
        <v>1691</v>
      </c>
      <c r="H1002" s="177" t="s">
        <v>1692</v>
      </c>
      <c r="I1002" s="177" t="s">
        <v>1693</v>
      </c>
      <c r="J1002" s="63"/>
      <c r="K1002" s="61"/>
      <c r="L1002" s="62">
        <v>2</v>
      </c>
      <c r="M1002" s="63">
        <v>1400</v>
      </c>
      <c r="N1002" s="64">
        <v>8</v>
      </c>
      <c r="O1002" s="62">
        <v>2</v>
      </c>
      <c r="P1002" s="65">
        <f t="shared" si="63"/>
        <v>0</v>
      </c>
      <c r="Q1002" s="66"/>
      <c r="R1002" s="66"/>
      <c r="S1002" s="66"/>
      <c r="T1002" s="66"/>
      <c r="U1002" s="66">
        <v>0</v>
      </c>
      <c r="V1002" s="66"/>
      <c r="W1002" s="66"/>
      <c r="X1002" s="66"/>
      <c r="Y1002" s="66"/>
      <c r="Z1002" s="66"/>
      <c r="AA1002" s="66"/>
      <c r="AB1002" s="66"/>
      <c r="AC1002" s="66"/>
      <c r="AD1002" s="66"/>
      <c r="AE1002" s="66"/>
      <c r="AF1002" s="66"/>
      <c r="AG1002" s="66"/>
      <c r="AH1002" s="66"/>
      <c r="AI1002" s="66"/>
      <c r="AJ1002" s="66"/>
      <c r="AK1002" s="66"/>
      <c r="AL1002" s="66"/>
      <c r="AM1002" s="66"/>
      <c r="AN1002" s="66"/>
      <c r="AO1002" s="66"/>
      <c r="AP1002" s="66"/>
      <c r="AQ1002" s="66"/>
      <c r="AR1002" s="66"/>
      <c r="AS1002" s="66"/>
      <c r="AT1002" s="66"/>
      <c r="AU1002" s="66"/>
      <c r="AV1002" s="66"/>
      <c r="AW1002" s="66"/>
      <c r="AX1002" s="66"/>
      <c r="AY1002" s="66"/>
      <c r="AZ1002" s="66"/>
      <c r="BA1002" s="66"/>
      <c r="BB1002" s="66"/>
      <c r="BC1002" s="66"/>
      <c r="BD1002" s="66"/>
      <c r="BE1002" s="67"/>
      <c r="BF1002" s="67"/>
      <c r="BG1002" s="68"/>
      <c r="BI1002" s="69">
        <v>0</v>
      </c>
      <c r="BJ1002" s="70">
        <v>0</v>
      </c>
      <c r="BK1002" s="71">
        <v>0</v>
      </c>
      <c r="BL1002" s="71">
        <v>0</v>
      </c>
      <c r="BM1002" s="71">
        <v>0</v>
      </c>
      <c r="BN1002" s="72">
        <v>0</v>
      </c>
      <c r="BO1002" s="151" t="e">
        <f t="shared" si="61"/>
        <v>#DIV/0!</v>
      </c>
      <c r="BP1002" s="151" t="e">
        <f t="shared" si="62"/>
        <v>#DIV/0!</v>
      </c>
      <c r="BQ1002" s="71">
        <v>0</v>
      </c>
      <c r="BR1002" s="71">
        <v>0</v>
      </c>
      <c r="BS1002" s="71">
        <v>0</v>
      </c>
      <c r="BT1002" s="72">
        <v>0</v>
      </c>
      <c r="BU1002" s="73"/>
      <c r="BV1002" s="73"/>
    </row>
    <row r="1003" ht="30" customHeight="1" spans="1:74">
      <c r="A1003" s="55">
        <v>0</v>
      </c>
      <c r="B1003" s="56">
        <v>0</v>
      </c>
      <c r="C1003" s="57">
        <v>0</v>
      </c>
      <c r="D1003" s="179"/>
      <c r="E1003" s="179"/>
      <c r="F1003" s="91" t="e">
        <f>VLOOKUP(E1003,[1]库存!$B$1:$C$65536,2,FALSE)</f>
        <v>#N/A</v>
      </c>
      <c r="G1003" s="177" t="e">
        <v>#N/A</v>
      </c>
      <c r="H1003" s="179"/>
      <c r="I1003" s="179"/>
      <c r="J1003" s="87"/>
      <c r="K1003" s="61"/>
      <c r="L1003" s="62">
        <v>0</v>
      </c>
      <c r="M1003" s="63">
        <v>0</v>
      </c>
      <c r="N1003" s="64">
        <v>0</v>
      </c>
      <c r="O1003" s="62">
        <v>0</v>
      </c>
      <c r="P1003" s="65">
        <f t="shared" si="63"/>
        <v>0</v>
      </c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  <c r="AD1003" s="66"/>
      <c r="AE1003" s="66"/>
      <c r="AF1003" s="66"/>
      <c r="AG1003" s="66"/>
      <c r="AH1003" s="66"/>
      <c r="AI1003" s="66"/>
      <c r="AJ1003" s="66"/>
      <c r="AK1003" s="66"/>
      <c r="AL1003" s="66"/>
      <c r="AM1003" s="66"/>
      <c r="AN1003" s="66"/>
      <c r="AO1003" s="66"/>
      <c r="AP1003" s="66"/>
      <c r="AQ1003" s="66"/>
      <c r="AR1003" s="66"/>
      <c r="AS1003" s="66"/>
      <c r="AT1003" s="66"/>
      <c r="AU1003" s="66"/>
      <c r="AV1003" s="66"/>
      <c r="AW1003" s="66"/>
      <c r="AX1003" s="66"/>
      <c r="AY1003" s="66"/>
      <c r="AZ1003" s="66"/>
      <c r="BA1003" s="66"/>
      <c r="BB1003" s="66"/>
      <c r="BC1003" s="66"/>
      <c r="BD1003" s="66"/>
      <c r="BE1003" s="67"/>
      <c r="BF1003" s="67"/>
      <c r="BG1003" s="68"/>
      <c r="BI1003" s="69">
        <v>0</v>
      </c>
      <c r="BJ1003" s="70">
        <v>0</v>
      </c>
      <c r="BK1003" s="71">
        <v>0</v>
      </c>
      <c r="BL1003" s="71">
        <v>0</v>
      </c>
      <c r="BM1003" s="71">
        <v>0</v>
      </c>
      <c r="BN1003" s="72">
        <v>0</v>
      </c>
      <c r="BO1003" s="151" t="e">
        <f t="shared" si="61"/>
        <v>#DIV/0!</v>
      </c>
      <c r="BP1003" s="151" t="e">
        <f t="shared" si="62"/>
        <v>#DIV/0!</v>
      </c>
      <c r="BQ1003" s="71">
        <v>0</v>
      </c>
      <c r="BR1003" s="71">
        <v>0</v>
      </c>
      <c r="BS1003" s="71">
        <v>0</v>
      </c>
      <c r="BT1003" s="72">
        <v>0</v>
      </c>
      <c r="BU1003" s="73"/>
      <c r="BV1003" s="73"/>
    </row>
    <row r="1004" ht="30" customHeight="1" spans="1:74">
      <c r="A1004" s="55" t="s">
        <v>165</v>
      </c>
      <c r="B1004" s="56" t="s">
        <v>1057</v>
      </c>
      <c r="C1004" s="57" t="s">
        <v>1058</v>
      </c>
      <c r="D1004" s="177" t="s">
        <v>1679</v>
      </c>
      <c r="E1004" s="177" t="s">
        <v>1694</v>
      </c>
      <c r="F1004" s="177" t="s">
        <v>1695</v>
      </c>
      <c r="G1004" s="310" t="s">
        <v>1696</v>
      </c>
      <c r="H1004" s="177" t="s">
        <v>1697</v>
      </c>
      <c r="I1004" s="177" t="s">
        <v>1693</v>
      </c>
      <c r="J1004" s="63"/>
      <c r="K1004" s="61"/>
      <c r="L1004" s="62">
        <v>2</v>
      </c>
      <c r="M1004" s="63">
        <v>1400</v>
      </c>
      <c r="N1004" s="64">
        <v>8</v>
      </c>
      <c r="O1004" s="62">
        <v>2</v>
      </c>
      <c r="P1004" s="65">
        <f t="shared" si="63"/>
        <v>0</v>
      </c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  <c r="AD1004" s="66"/>
      <c r="AE1004" s="66"/>
      <c r="AF1004" s="66"/>
      <c r="AG1004" s="66"/>
      <c r="AH1004" s="66"/>
      <c r="AI1004" s="66"/>
      <c r="AJ1004" s="66"/>
      <c r="AK1004" s="66"/>
      <c r="AL1004" s="66"/>
      <c r="AM1004" s="66"/>
      <c r="AN1004" s="66"/>
      <c r="AO1004" s="66"/>
      <c r="AP1004" s="66"/>
      <c r="AQ1004" s="66"/>
      <c r="AR1004" s="66"/>
      <c r="AS1004" s="66"/>
      <c r="AT1004" s="66"/>
      <c r="AU1004" s="66"/>
      <c r="AV1004" s="66"/>
      <c r="AW1004" s="66"/>
      <c r="AX1004" s="66"/>
      <c r="AY1004" s="66"/>
      <c r="AZ1004" s="66"/>
      <c r="BA1004" s="66"/>
      <c r="BB1004" s="66"/>
      <c r="BC1004" s="66"/>
      <c r="BD1004" s="66"/>
      <c r="BE1004" s="67"/>
      <c r="BF1004" s="67"/>
      <c r="BG1004" s="68"/>
      <c r="BI1004" s="69">
        <v>0</v>
      </c>
      <c r="BJ1004" s="70">
        <v>0</v>
      </c>
      <c r="BK1004" s="71">
        <v>0</v>
      </c>
      <c r="BL1004" s="71">
        <v>0</v>
      </c>
      <c r="BM1004" s="71">
        <v>0</v>
      </c>
      <c r="BN1004" s="72">
        <v>0</v>
      </c>
      <c r="BO1004" s="151" t="e">
        <f t="shared" si="61"/>
        <v>#DIV/0!</v>
      </c>
      <c r="BP1004" s="151" t="e">
        <f t="shared" si="62"/>
        <v>#DIV/0!</v>
      </c>
      <c r="BQ1004" s="71">
        <v>0</v>
      </c>
      <c r="BR1004" s="71">
        <v>0</v>
      </c>
      <c r="BS1004" s="71">
        <v>0</v>
      </c>
      <c r="BT1004" s="72">
        <v>0</v>
      </c>
      <c r="BU1004" s="73"/>
      <c r="BV1004" s="73"/>
    </row>
    <row r="1005" ht="30" customHeight="1" spans="1:74">
      <c r="A1005" s="55">
        <v>0</v>
      </c>
      <c r="B1005" s="56">
        <v>0</v>
      </c>
      <c r="C1005" s="57">
        <v>0</v>
      </c>
      <c r="D1005" s="179"/>
      <c r="E1005" s="179"/>
      <c r="F1005" s="91" t="e">
        <f>VLOOKUP(E1005,[1]库存!$B$1:$C$65536,2,FALSE)</f>
        <v>#N/A</v>
      </c>
      <c r="G1005" s="177" t="e">
        <v>#N/A</v>
      </c>
      <c r="H1005" s="179"/>
      <c r="I1005" s="179"/>
      <c r="J1005" s="87"/>
      <c r="K1005" s="61"/>
      <c r="L1005" s="62">
        <v>0</v>
      </c>
      <c r="M1005" s="63">
        <v>0</v>
      </c>
      <c r="N1005" s="64">
        <v>0</v>
      </c>
      <c r="O1005" s="62">
        <v>0</v>
      </c>
      <c r="P1005" s="65">
        <f t="shared" si="63"/>
        <v>0</v>
      </c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  <c r="AD1005" s="66"/>
      <c r="AE1005" s="66"/>
      <c r="AF1005" s="66"/>
      <c r="AG1005" s="66"/>
      <c r="AH1005" s="66"/>
      <c r="AI1005" s="66"/>
      <c r="AJ1005" s="66"/>
      <c r="AK1005" s="66"/>
      <c r="AL1005" s="66"/>
      <c r="AM1005" s="66"/>
      <c r="AN1005" s="66"/>
      <c r="AO1005" s="66"/>
      <c r="AP1005" s="66"/>
      <c r="AQ1005" s="66"/>
      <c r="AR1005" s="66"/>
      <c r="AS1005" s="66"/>
      <c r="AT1005" s="66"/>
      <c r="AU1005" s="66"/>
      <c r="AV1005" s="66"/>
      <c r="AW1005" s="66"/>
      <c r="AX1005" s="66"/>
      <c r="AY1005" s="66"/>
      <c r="AZ1005" s="66"/>
      <c r="BA1005" s="66"/>
      <c r="BB1005" s="66"/>
      <c r="BC1005" s="66"/>
      <c r="BD1005" s="66"/>
      <c r="BE1005" s="67"/>
      <c r="BF1005" s="67"/>
      <c r="BG1005" s="68"/>
      <c r="BI1005" s="69">
        <v>0</v>
      </c>
      <c r="BJ1005" s="70">
        <v>0</v>
      </c>
      <c r="BK1005" s="71">
        <v>0</v>
      </c>
      <c r="BL1005" s="71">
        <v>0</v>
      </c>
      <c r="BM1005" s="71">
        <v>0</v>
      </c>
      <c r="BN1005" s="72">
        <v>0</v>
      </c>
      <c r="BO1005" s="151" t="e">
        <f t="shared" si="61"/>
        <v>#DIV/0!</v>
      </c>
      <c r="BP1005" s="151" t="e">
        <f t="shared" si="62"/>
        <v>#DIV/0!</v>
      </c>
      <c r="BQ1005" s="71">
        <v>0</v>
      </c>
      <c r="BR1005" s="71">
        <v>0</v>
      </c>
      <c r="BS1005" s="71">
        <v>0</v>
      </c>
      <c r="BT1005" s="72">
        <v>0</v>
      </c>
      <c r="BU1005" s="73"/>
      <c r="BV1005" s="73"/>
    </row>
    <row r="1006" ht="30" customHeight="1" spans="1:74">
      <c r="A1006" s="55" t="s">
        <v>165</v>
      </c>
      <c r="B1006" s="56" t="s">
        <v>1057</v>
      </c>
      <c r="C1006" s="57" t="s">
        <v>1058</v>
      </c>
      <c r="D1006" s="59" t="s">
        <v>1679</v>
      </c>
      <c r="E1006" s="59" t="s">
        <v>1698</v>
      </c>
      <c r="F1006" s="59" t="str">
        <f>VLOOKUP(E1006,[1]库存!$B$1:$C$65536,2,FALSE)</f>
        <v>CHANGAN E15 MCA1 RSAB LH</v>
      </c>
      <c r="G1006" s="59" t="s">
        <v>1699</v>
      </c>
      <c r="H1006" s="59" t="s">
        <v>1700</v>
      </c>
      <c r="I1006" s="59" t="s">
        <v>429</v>
      </c>
      <c r="J1006" s="220" t="s">
        <v>1701</v>
      </c>
      <c r="K1006" s="61"/>
      <c r="L1006" s="62">
        <v>0</v>
      </c>
      <c r="M1006" s="63">
        <v>1450</v>
      </c>
      <c r="N1006" s="64">
        <v>12</v>
      </c>
      <c r="O1006" s="62">
        <v>2</v>
      </c>
      <c r="P1006" s="65">
        <f t="shared" si="63"/>
        <v>0</v>
      </c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  <c r="AD1006" s="66"/>
      <c r="AE1006" s="66"/>
      <c r="AF1006" s="66"/>
      <c r="AG1006" s="66"/>
      <c r="AH1006" s="66"/>
      <c r="AI1006" s="66"/>
      <c r="AJ1006" s="66"/>
      <c r="AK1006" s="66"/>
      <c r="AL1006" s="66"/>
      <c r="AM1006" s="66"/>
      <c r="AN1006" s="66"/>
      <c r="AO1006" s="66"/>
      <c r="AP1006" s="66"/>
      <c r="AQ1006" s="66"/>
      <c r="AR1006" s="66"/>
      <c r="AS1006" s="66"/>
      <c r="AT1006" s="66"/>
      <c r="AU1006" s="66"/>
      <c r="AV1006" s="66"/>
      <c r="AW1006" s="66"/>
      <c r="AX1006" s="66"/>
      <c r="AY1006" s="66"/>
      <c r="AZ1006" s="66"/>
      <c r="BA1006" s="66"/>
      <c r="BB1006" s="66"/>
      <c r="BC1006" s="66"/>
      <c r="BD1006" s="66"/>
      <c r="BE1006" s="105"/>
      <c r="BF1006" s="67"/>
      <c r="BG1006" s="68"/>
      <c r="BI1006" s="69">
        <v>0</v>
      </c>
      <c r="BJ1006" s="70">
        <v>0</v>
      </c>
      <c r="BK1006" s="71">
        <v>0</v>
      </c>
      <c r="BL1006" s="71">
        <v>0</v>
      </c>
      <c r="BM1006" s="71">
        <v>0</v>
      </c>
      <c r="BN1006" s="72">
        <v>0</v>
      </c>
      <c r="BO1006" s="151" t="e">
        <f t="shared" si="61"/>
        <v>#DIV/0!</v>
      </c>
      <c r="BP1006" s="151" t="e">
        <f t="shared" si="62"/>
        <v>#DIV/0!</v>
      </c>
      <c r="BQ1006" s="71">
        <v>0</v>
      </c>
      <c r="BR1006" s="71">
        <v>0</v>
      </c>
      <c r="BS1006" s="71">
        <v>0</v>
      </c>
      <c r="BT1006" s="72">
        <v>0</v>
      </c>
      <c r="BU1006" s="73"/>
      <c r="BV1006" s="73"/>
    </row>
    <row r="1007" ht="30" customHeight="1" spans="1:74">
      <c r="A1007" s="55">
        <v>0</v>
      </c>
      <c r="B1007" s="56">
        <v>0</v>
      </c>
      <c r="C1007" s="57">
        <v>0</v>
      </c>
      <c r="D1007" s="74"/>
      <c r="E1007" s="74"/>
      <c r="F1007" s="59" t="e">
        <f>VLOOKUP(E1007,[1]库存!$B$1:$C$65536,2,FALSE)</f>
        <v>#N/A</v>
      </c>
      <c r="G1007" s="59" t="e">
        <v>#N/A</v>
      </c>
      <c r="H1007" s="74"/>
      <c r="I1007" s="74"/>
      <c r="J1007" s="221"/>
      <c r="K1007" s="61"/>
      <c r="L1007" s="62">
        <v>0</v>
      </c>
      <c r="M1007" s="63">
        <v>0</v>
      </c>
      <c r="N1007" s="64">
        <v>0</v>
      </c>
      <c r="O1007" s="62">
        <v>0</v>
      </c>
      <c r="P1007" s="65">
        <f t="shared" si="63"/>
        <v>0</v>
      </c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  <c r="AD1007" s="66"/>
      <c r="AE1007" s="66"/>
      <c r="AF1007" s="66"/>
      <c r="AG1007" s="66"/>
      <c r="AH1007" s="66"/>
      <c r="AI1007" s="66"/>
      <c r="AJ1007" s="66"/>
      <c r="AK1007" s="66"/>
      <c r="AL1007" s="66"/>
      <c r="AM1007" s="66"/>
      <c r="AN1007" s="66"/>
      <c r="AO1007" s="66"/>
      <c r="AP1007" s="66"/>
      <c r="AQ1007" s="66"/>
      <c r="AR1007" s="66"/>
      <c r="AS1007" s="66"/>
      <c r="AT1007" s="66"/>
      <c r="AU1007" s="66"/>
      <c r="AV1007" s="66"/>
      <c r="AW1007" s="66"/>
      <c r="AX1007" s="66"/>
      <c r="AY1007" s="66"/>
      <c r="AZ1007" s="66"/>
      <c r="BA1007" s="66"/>
      <c r="BB1007" s="66"/>
      <c r="BC1007" s="66"/>
      <c r="BD1007" s="66"/>
      <c r="BE1007" s="67"/>
      <c r="BF1007" s="67"/>
      <c r="BG1007" s="68"/>
      <c r="BI1007" s="69">
        <v>0</v>
      </c>
      <c r="BJ1007" s="70">
        <v>0</v>
      </c>
      <c r="BK1007" s="71">
        <v>0</v>
      </c>
      <c r="BL1007" s="71">
        <v>0</v>
      </c>
      <c r="BM1007" s="71">
        <v>0</v>
      </c>
      <c r="BN1007" s="72">
        <v>0</v>
      </c>
      <c r="BO1007" s="151" t="e">
        <f t="shared" si="61"/>
        <v>#DIV/0!</v>
      </c>
      <c r="BP1007" s="151" t="e">
        <f t="shared" si="62"/>
        <v>#DIV/0!</v>
      </c>
      <c r="BQ1007" s="71">
        <v>0</v>
      </c>
      <c r="BR1007" s="71">
        <v>0</v>
      </c>
      <c r="BS1007" s="71">
        <v>0</v>
      </c>
      <c r="BT1007" s="72">
        <v>0</v>
      </c>
      <c r="BU1007" s="73"/>
      <c r="BV1007" s="73"/>
    </row>
    <row r="1008" ht="30" customHeight="1" spans="1:74">
      <c r="A1008" s="55" t="s">
        <v>165</v>
      </c>
      <c r="B1008" s="56" t="s">
        <v>1057</v>
      </c>
      <c r="C1008" s="57" t="s">
        <v>1058</v>
      </c>
      <c r="D1008" s="59" t="s">
        <v>1679</v>
      </c>
      <c r="E1008" s="59" t="s">
        <v>1702</v>
      </c>
      <c r="F1008" s="59" t="str">
        <f>VLOOKUP(E1008,[1]库存!$B$1:$C$65536,2,FALSE)</f>
        <v>CHANGAN E15 MCA1 RSAB RH</v>
      </c>
      <c r="G1008" s="59" t="s">
        <v>1703</v>
      </c>
      <c r="H1008" s="59" t="s">
        <v>1704</v>
      </c>
      <c r="I1008" s="59" t="s">
        <v>429</v>
      </c>
      <c r="J1008" s="221"/>
      <c r="K1008" s="61"/>
      <c r="L1008" s="62">
        <v>0</v>
      </c>
      <c r="M1008" s="63">
        <v>1450</v>
      </c>
      <c r="N1008" s="64">
        <v>12</v>
      </c>
      <c r="O1008" s="62">
        <v>2</v>
      </c>
      <c r="P1008" s="65">
        <f t="shared" si="63"/>
        <v>0</v>
      </c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  <c r="AD1008" s="66"/>
      <c r="AE1008" s="66"/>
      <c r="AF1008" s="66"/>
      <c r="AG1008" s="66"/>
      <c r="AH1008" s="66"/>
      <c r="AI1008" s="66"/>
      <c r="AJ1008" s="66"/>
      <c r="AK1008" s="66"/>
      <c r="AL1008" s="66"/>
      <c r="AM1008" s="66"/>
      <c r="AN1008" s="66"/>
      <c r="AO1008" s="66"/>
      <c r="AP1008" s="66"/>
      <c r="AQ1008" s="66"/>
      <c r="AR1008" s="66"/>
      <c r="AS1008" s="66"/>
      <c r="AT1008" s="66"/>
      <c r="AU1008" s="66"/>
      <c r="AV1008" s="66"/>
      <c r="AW1008" s="66"/>
      <c r="AX1008" s="66"/>
      <c r="AY1008" s="66"/>
      <c r="AZ1008" s="66"/>
      <c r="BA1008" s="66"/>
      <c r="BB1008" s="66"/>
      <c r="BC1008" s="66"/>
      <c r="BD1008" s="66"/>
      <c r="BE1008" s="67"/>
      <c r="BF1008" s="67"/>
      <c r="BG1008" s="68"/>
      <c r="BI1008" s="69">
        <v>0</v>
      </c>
      <c r="BJ1008" s="70">
        <v>0</v>
      </c>
      <c r="BK1008" s="71">
        <v>0</v>
      </c>
      <c r="BL1008" s="71">
        <v>0</v>
      </c>
      <c r="BM1008" s="71">
        <v>0</v>
      </c>
      <c r="BN1008" s="72">
        <v>0</v>
      </c>
      <c r="BO1008" s="151" t="e">
        <f t="shared" si="61"/>
        <v>#DIV/0!</v>
      </c>
      <c r="BP1008" s="151" t="e">
        <f t="shared" si="62"/>
        <v>#DIV/0!</v>
      </c>
      <c r="BQ1008" s="71">
        <v>0</v>
      </c>
      <c r="BR1008" s="71">
        <v>0</v>
      </c>
      <c r="BS1008" s="71">
        <v>0</v>
      </c>
      <c r="BT1008" s="72">
        <v>0</v>
      </c>
      <c r="BU1008" s="73"/>
      <c r="BV1008" s="73"/>
    </row>
    <row r="1009" ht="30" customHeight="1" spans="1:74">
      <c r="A1009" s="55">
        <v>0</v>
      </c>
      <c r="B1009" s="56">
        <v>0</v>
      </c>
      <c r="C1009" s="57">
        <v>0</v>
      </c>
      <c r="D1009" s="74"/>
      <c r="E1009" s="74"/>
      <c r="F1009" s="59" t="e">
        <f>VLOOKUP(E1009,[1]库存!$B$1:$C$65536,2,FALSE)</f>
        <v>#N/A</v>
      </c>
      <c r="G1009" s="59" t="e">
        <v>#N/A</v>
      </c>
      <c r="H1009" s="74"/>
      <c r="I1009" s="74"/>
      <c r="J1009" s="221"/>
      <c r="K1009" s="61"/>
      <c r="L1009" s="62">
        <v>0</v>
      </c>
      <c r="M1009" s="63">
        <v>0</v>
      </c>
      <c r="N1009" s="64">
        <v>0</v>
      </c>
      <c r="O1009" s="62">
        <v>0</v>
      </c>
      <c r="P1009" s="65">
        <f t="shared" si="63"/>
        <v>0</v>
      </c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  <c r="AD1009" s="66"/>
      <c r="AE1009" s="66"/>
      <c r="AF1009" s="66"/>
      <c r="AG1009" s="66"/>
      <c r="AH1009" s="66"/>
      <c r="AI1009" s="66"/>
      <c r="AJ1009" s="66"/>
      <c r="AK1009" s="66"/>
      <c r="AL1009" s="66"/>
      <c r="AM1009" s="66"/>
      <c r="AN1009" s="66"/>
      <c r="AO1009" s="66"/>
      <c r="AP1009" s="66"/>
      <c r="AQ1009" s="66"/>
      <c r="AR1009" s="66"/>
      <c r="AS1009" s="66"/>
      <c r="AT1009" s="66"/>
      <c r="AU1009" s="66"/>
      <c r="AV1009" s="66"/>
      <c r="AW1009" s="66"/>
      <c r="AX1009" s="66"/>
      <c r="AY1009" s="66"/>
      <c r="AZ1009" s="66"/>
      <c r="BA1009" s="66"/>
      <c r="BB1009" s="66"/>
      <c r="BC1009" s="66"/>
      <c r="BD1009" s="66"/>
      <c r="BE1009" s="67"/>
      <c r="BF1009" s="67"/>
      <c r="BG1009" s="68"/>
      <c r="BI1009" s="69">
        <v>0</v>
      </c>
      <c r="BJ1009" s="70">
        <v>0</v>
      </c>
      <c r="BK1009" s="71">
        <v>0</v>
      </c>
      <c r="BL1009" s="71">
        <v>0</v>
      </c>
      <c r="BM1009" s="71">
        <v>0</v>
      </c>
      <c r="BN1009" s="72">
        <v>0</v>
      </c>
      <c r="BO1009" s="151" t="e">
        <f t="shared" si="61"/>
        <v>#DIV/0!</v>
      </c>
      <c r="BP1009" s="151" t="e">
        <f t="shared" si="62"/>
        <v>#DIV/0!</v>
      </c>
      <c r="BQ1009" s="71">
        <v>0</v>
      </c>
      <c r="BR1009" s="71">
        <v>0</v>
      </c>
      <c r="BS1009" s="71">
        <v>0</v>
      </c>
      <c r="BT1009" s="72">
        <v>0</v>
      </c>
      <c r="BU1009" s="73"/>
      <c r="BV1009" s="73"/>
    </row>
    <row r="1010" ht="30" customHeight="1" spans="1:74">
      <c r="A1010" s="222" t="s">
        <v>410</v>
      </c>
      <c r="B1010" s="56" t="s">
        <v>1057</v>
      </c>
      <c r="C1010" s="57" t="s">
        <v>1058</v>
      </c>
      <c r="D1010" s="59" t="s">
        <v>1679</v>
      </c>
      <c r="E1010" s="59" t="s">
        <v>1705</v>
      </c>
      <c r="F1010" s="59" t="str">
        <f>VLOOKUP(E1010,[1]库存!$B$1:$C$65536,2,FALSE)</f>
        <v>F520S FSAB LH</v>
      </c>
      <c r="G1010" s="59" t="s">
        <v>1706</v>
      </c>
      <c r="H1010" s="59" t="s">
        <v>1707</v>
      </c>
      <c r="I1010" s="59" t="s">
        <v>1693</v>
      </c>
      <c r="J1010" s="63"/>
      <c r="K1010" s="61"/>
      <c r="L1010" s="62">
        <v>2</v>
      </c>
      <c r="M1010" s="63">
        <v>1400</v>
      </c>
      <c r="N1010" s="64">
        <v>8.5</v>
      </c>
      <c r="O1010" s="62">
        <v>1.5</v>
      </c>
      <c r="P1010" s="65">
        <f t="shared" si="63"/>
        <v>0</v>
      </c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 t="s">
        <v>1708</v>
      </c>
      <c r="AB1010" s="66"/>
      <c r="AC1010" s="66"/>
      <c r="AD1010" s="66"/>
      <c r="AE1010" s="66"/>
      <c r="AF1010" s="66"/>
      <c r="AG1010" s="66"/>
      <c r="AH1010" s="66"/>
      <c r="AI1010" s="66"/>
      <c r="AJ1010" s="66"/>
      <c r="AK1010" s="66"/>
      <c r="AL1010" s="66"/>
      <c r="AM1010" s="66"/>
      <c r="AN1010" s="66"/>
      <c r="AO1010" s="66"/>
      <c r="AP1010" s="66"/>
      <c r="AQ1010" s="66"/>
      <c r="AR1010" s="66"/>
      <c r="AS1010" s="66"/>
      <c r="AT1010" s="66"/>
      <c r="AU1010" s="66"/>
      <c r="AV1010" s="66"/>
      <c r="AW1010" s="66"/>
      <c r="AX1010" s="66"/>
      <c r="AY1010" s="66"/>
      <c r="AZ1010" s="66"/>
      <c r="BA1010" s="66"/>
      <c r="BB1010" s="66"/>
      <c r="BC1010" s="66"/>
      <c r="BD1010" s="66"/>
      <c r="BE1010" s="67"/>
      <c r="BF1010" s="67"/>
      <c r="BG1010" s="68"/>
      <c r="BI1010" s="69">
        <v>0</v>
      </c>
      <c r="BJ1010" s="70">
        <v>0</v>
      </c>
      <c r="BK1010" s="71">
        <v>0</v>
      </c>
      <c r="BL1010" s="71">
        <v>0</v>
      </c>
      <c r="BM1010" s="71">
        <v>0</v>
      </c>
      <c r="BN1010" s="72">
        <v>0</v>
      </c>
      <c r="BO1010" s="151" t="e">
        <f t="shared" si="61"/>
        <v>#DIV/0!</v>
      </c>
      <c r="BP1010" s="151" t="e">
        <f t="shared" si="62"/>
        <v>#DIV/0!</v>
      </c>
      <c r="BQ1010" s="71">
        <v>0</v>
      </c>
      <c r="BR1010" s="71">
        <v>0</v>
      </c>
      <c r="BS1010" s="71">
        <v>0</v>
      </c>
      <c r="BT1010" s="72">
        <v>0</v>
      </c>
      <c r="BU1010" s="73"/>
      <c r="BV1010" s="73"/>
    </row>
    <row r="1011" ht="30" customHeight="1" spans="1:74">
      <c r="A1011" s="222">
        <v>0</v>
      </c>
      <c r="B1011" s="56">
        <v>0</v>
      </c>
      <c r="C1011" s="57">
        <v>0</v>
      </c>
      <c r="D1011" s="74"/>
      <c r="E1011" s="74"/>
      <c r="F1011" s="59" t="e">
        <f>VLOOKUP(E1011,[1]库存!$B$1:$C$65536,2,FALSE)</f>
        <v>#N/A</v>
      </c>
      <c r="G1011" s="59" t="e">
        <v>#N/A</v>
      </c>
      <c r="H1011" s="74"/>
      <c r="I1011" s="74"/>
      <c r="J1011" s="87"/>
      <c r="K1011" s="61"/>
      <c r="L1011" s="62">
        <v>0</v>
      </c>
      <c r="M1011" s="63">
        <v>0</v>
      </c>
      <c r="N1011" s="64">
        <v>0</v>
      </c>
      <c r="O1011" s="62">
        <v>0</v>
      </c>
      <c r="P1011" s="65">
        <f t="shared" si="63"/>
        <v>0</v>
      </c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 t="s">
        <v>1709</v>
      </c>
      <c r="AB1011" s="66"/>
      <c r="AC1011" s="66"/>
      <c r="AD1011" s="66"/>
      <c r="AE1011" s="66"/>
      <c r="AF1011" s="66"/>
      <c r="AG1011" s="66"/>
      <c r="AH1011" s="66"/>
      <c r="AI1011" s="66"/>
      <c r="AJ1011" s="66"/>
      <c r="AK1011" s="66"/>
      <c r="AL1011" s="66"/>
      <c r="AM1011" s="66"/>
      <c r="AN1011" s="66"/>
      <c r="AO1011" s="66"/>
      <c r="AP1011" s="66"/>
      <c r="AQ1011" s="66"/>
      <c r="AR1011" s="66"/>
      <c r="AS1011" s="66"/>
      <c r="AT1011" s="66"/>
      <c r="AU1011" s="66"/>
      <c r="AV1011" s="66"/>
      <c r="AW1011" s="66"/>
      <c r="AX1011" s="66"/>
      <c r="AY1011" s="66"/>
      <c r="AZ1011" s="66"/>
      <c r="BA1011" s="66"/>
      <c r="BB1011" s="66"/>
      <c r="BC1011" s="66"/>
      <c r="BD1011" s="66"/>
      <c r="BE1011" s="67"/>
      <c r="BF1011" s="67"/>
      <c r="BG1011" s="68"/>
      <c r="BI1011" s="69">
        <v>0</v>
      </c>
      <c r="BJ1011" s="70">
        <v>0</v>
      </c>
      <c r="BK1011" s="71">
        <v>0</v>
      </c>
      <c r="BL1011" s="71">
        <v>0</v>
      </c>
      <c r="BM1011" s="71">
        <v>0</v>
      </c>
      <c r="BN1011" s="72">
        <v>0</v>
      </c>
      <c r="BO1011" s="151" t="e">
        <f t="shared" si="61"/>
        <v>#DIV/0!</v>
      </c>
      <c r="BP1011" s="151" t="e">
        <f t="shared" si="62"/>
        <v>#DIV/0!</v>
      </c>
      <c r="BQ1011" s="71">
        <v>0</v>
      </c>
      <c r="BR1011" s="71">
        <v>0</v>
      </c>
      <c r="BS1011" s="71">
        <v>0</v>
      </c>
      <c r="BT1011" s="72">
        <v>0</v>
      </c>
      <c r="BU1011" s="73"/>
      <c r="BV1011" s="73"/>
    </row>
    <row r="1012" ht="30" customHeight="1" spans="1:74">
      <c r="A1012" s="222" t="s">
        <v>410</v>
      </c>
      <c r="B1012" s="56" t="s">
        <v>1057</v>
      </c>
      <c r="C1012" s="57" t="s">
        <v>1058</v>
      </c>
      <c r="D1012" s="59" t="s">
        <v>1679</v>
      </c>
      <c r="E1012" s="59" t="s">
        <v>1710</v>
      </c>
      <c r="F1012" s="59" t="str">
        <f>VLOOKUP(E1012,[1]库存!$B$1:$C$65536,2,FALSE)</f>
        <v>F520S FSAB RH</v>
      </c>
      <c r="G1012" s="59" t="s">
        <v>1711</v>
      </c>
      <c r="H1012" s="59" t="s">
        <v>1712</v>
      </c>
      <c r="I1012" s="59" t="s">
        <v>1693</v>
      </c>
      <c r="J1012" s="63"/>
      <c r="K1012" s="61"/>
      <c r="L1012" s="62">
        <v>2</v>
      </c>
      <c r="M1012" s="63">
        <v>1400</v>
      </c>
      <c r="N1012" s="64">
        <v>8.5</v>
      </c>
      <c r="O1012" s="62">
        <v>1.5</v>
      </c>
      <c r="P1012" s="65">
        <f t="shared" si="63"/>
        <v>0</v>
      </c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>
        <v>2160</v>
      </c>
      <c r="AD1012" s="66"/>
      <c r="AE1012" s="66"/>
      <c r="AF1012" s="66"/>
      <c r="AG1012" s="66"/>
      <c r="AH1012" s="66"/>
      <c r="AI1012" s="66"/>
      <c r="AJ1012" s="66"/>
      <c r="AK1012" s="66"/>
      <c r="AL1012" s="66"/>
      <c r="AM1012" s="66"/>
      <c r="AN1012" s="66"/>
      <c r="AO1012" s="66"/>
      <c r="AP1012" s="66"/>
      <c r="AQ1012" s="66"/>
      <c r="AR1012" s="66"/>
      <c r="AS1012" s="66"/>
      <c r="AT1012" s="66"/>
      <c r="AU1012" s="66"/>
      <c r="AV1012" s="66"/>
      <c r="AW1012" s="66"/>
      <c r="AX1012" s="66"/>
      <c r="AY1012" s="66"/>
      <c r="AZ1012" s="66"/>
      <c r="BA1012" s="66"/>
      <c r="BB1012" s="66"/>
      <c r="BC1012" s="66"/>
      <c r="BD1012" s="66"/>
      <c r="BE1012" s="67"/>
      <c r="BF1012" s="67"/>
      <c r="BG1012" s="68"/>
      <c r="BI1012" s="69">
        <v>0</v>
      </c>
      <c r="BJ1012" s="70">
        <v>0</v>
      </c>
      <c r="BK1012" s="71">
        <v>0</v>
      </c>
      <c r="BL1012" s="71">
        <v>0</v>
      </c>
      <c r="BM1012" s="71">
        <v>0</v>
      </c>
      <c r="BN1012" s="72">
        <v>0</v>
      </c>
      <c r="BO1012" s="151" t="e">
        <f t="shared" si="61"/>
        <v>#DIV/0!</v>
      </c>
      <c r="BP1012" s="151" t="e">
        <f t="shared" si="62"/>
        <v>#DIV/0!</v>
      </c>
      <c r="BQ1012" s="71">
        <v>0</v>
      </c>
      <c r="BR1012" s="71">
        <v>0</v>
      </c>
      <c r="BS1012" s="71">
        <v>0</v>
      </c>
      <c r="BT1012" s="72">
        <v>0</v>
      </c>
      <c r="BU1012" s="73"/>
      <c r="BV1012" s="73"/>
    </row>
    <row r="1013" ht="30" customHeight="1" spans="1:74">
      <c r="A1013" s="55">
        <v>0</v>
      </c>
      <c r="B1013" s="56">
        <v>0</v>
      </c>
      <c r="C1013" s="57">
        <v>0</v>
      </c>
      <c r="D1013" s="74"/>
      <c r="E1013" s="74"/>
      <c r="F1013" s="59" t="e">
        <f>VLOOKUP(E1013,[1]库存!$B$1:$C$65536,2,FALSE)</f>
        <v>#N/A</v>
      </c>
      <c r="G1013" s="59" t="e">
        <v>#N/A</v>
      </c>
      <c r="H1013" s="74"/>
      <c r="I1013" s="74"/>
      <c r="J1013" s="87"/>
      <c r="K1013" s="61"/>
      <c r="L1013" s="62">
        <v>0</v>
      </c>
      <c r="M1013" s="63">
        <v>0</v>
      </c>
      <c r="N1013" s="64">
        <v>0</v>
      </c>
      <c r="O1013" s="62">
        <v>0</v>
      </c>
      <c r="P1013" s="65">
        <f t="shared" si="63"/>
        <v>0</v>
      </c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 t="s">
        <v>1713</v>
      </c>
      <c r="AD1013" s="66"/>
      <c r="AE1013" s="66"/>
      <c r="AF1013" s="66"/>
      <c r="AG1013" s="66"/>
      <c r="AH1013" s="66"/>
      <c r="AI1013" s="66"/>
      <c r="AJ1013" s="66"/>
      <c r="AK1013" s="66"/>
      <c r="AL1013" s="66"/>
      <c r="AM1013" s="66"/>
      <c r="AN1013" s="66"/>
      <c r="AO1013" s="66"/>
      <c r="AP1013" s="66"/>
      <c r="AQ1013" s="66"/>
      <c r="AR1013" s="66"/>
      <c r="AS1013" s="66"/>
      <c r="AT1013" s="66"/>
      <c r="AU1013" s="66"/>
      <c r="AV1013" s="66"/>
      <c r="AW1013" s="66"/>
      <c r="AX1013" s="66"/>
      <c r="AY1013" s="66"/>
      <c r="AZ1013" s="66"/>
      <c r="BA1013" s="66"/>
      <c r="BB1013" s="66"/>
      <c r="BC1013" s="66"/>
      <c r="BD1013" s="66"/>
      <c r="BE1013" s="67"/>
      <c r="BF1013" s="67"/>
      <c r="BG1013" s="68"/>
      <c r="BI1013" s="69">
        <v>0</v>
      </c>
      <c r="BJ1013" s="70">
        <v>0</v>
      </c>
      <c r="BK1013" s="71">
        <v>0</v>
      </c>
      <c r="BL1013" s="71">
        <v>0</v>
      </c>
      <c r="BM1013" s="71">
        <v>0</v>
      </c>
      <c r="BN1013" s="72">
        <v>0</v>
      </c>
      <c r="BO1013" s="151" t="e">
        <f t="shared" si="61"/>
        <v>#DIV/0!</v>
      </c>
      <c r="BP1013" s="151" t="e">
        <f t="shared" si="62"/>
        <v>#DIV/0!</v>
      </c>
      <c r="BQ1013" s="71">
        <v>0</v>
      </c>
      <c r="BR1013" s="71">
        <v>0</v>
      </c>
      <c r="BS1013" s="71">
        <v>0</v>
      </c>
      <c r="BT1013" s="72">
        <v>0</v>
      </c>
      <c r="BU1013" s="73"/>
      <c r="BV1013" s="73"/>
    </row>
    <row r="1014" ht="30" customHeight="1" spans="1:74">
      <c r="A1014" s="55" t="s">
        <v>246</v>
      </c>
      <c r="B1014" s="56" t="s">
        <v>1057</v>
      </c>
      <c r="C1014" s="57" t="s">
        <v>1058</v>
      </c>
      <c r="D1014" s="59" t="s">
        <v>1679</v>
      </c>
      <c r="E1014" s="59" t="s">
        <v>1714</v>
      </c>
      <c r="F1014" s="59" t="str">
        <f>VLOOKUP(E1014,[1]库存!$B$1:$C$65536,2,FALSE)</f>
        <v>CHANGAN C236 FSAB LH B状态</v>
      </c>
      <c r="G1014" s="59" t="s">
        <v>1715</v>
      </c>
      <c r="H1014" s="59" t="s">
        <v>1716</v>
      </c>
      <c r="I1014" s="59" t="s">
        <v>250</v>
      </c>
      <c r="J1014" s="63"/>
      <c r="K1014" s="61"/>
      <c r="L1014" s="62">
        <v>2</v>
      </c>
      <c r="M1014" s="63">
        <v>1200</v>
      </c>
      <c r="N1014" s="64">
        <v>17</v>
      </c>
      <c r="O1014" s="62">
        <v>2</v>
      </c>
      <c r="P1014" s="65">
        <f t="shared" si="63"/>
        <v>0</v>
      </c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  <c r="AD1014" s="66"/>
      <c r="AE1014" s="66"/>
      <c r="AF1014" s="66"/>
      <c r="AG1014" s="66"/>
      <c r="AH1014" s="66"/>
      <c r="AI1014" s="66"/>
      <c r="AJ1014" s="66"/>
      <c r="AK1014" s="66"/>
      <c r="AL1014" s="66"/>
      <c r="AM1014" s="66"/>
      <c r="AN1014" s="66"/>
      <c r="AO1014" s="66"/>
      <c r="AP1014" s="66"/>
      <c r="AQ1014" s="66"/>
      <c r="AR1014" s="66"/>
      <c r="AS1014" s="66"/>
      <c r="AT1014" s="66"/>
      <c r="AU1014" s="66"/>
      <c r="AV1014" s="66"/>
      <c r="AW1014" s="66"/>
      <c r="AX1014" s="66"/>
      <c r="AY1014" s="66"/>
      <c r="AZ1014" s="66"/>
      <c r="BA1014" s="66"/>
      <c r="BB1014" s="66"/>
      <c r="BC1014" s="66"/>
      <c r="BD1014" s="66"/>
      <c r="BE1014" s="105"/>
      <c r="BF1014" s="67"/>
      <c r="BG1014" s="68"/>
      <c r="BI1014" s="69">
        <v>0</v>
      </c>
      <c r="BJ1014" s="70">
        <v>0</v>
      </c>
      <c r="BK1014" s="71">
        <v>0</v>
      </c>
      <c r="BL1014" s="71">
        <v>0</v>
      </c>
      <c r="BM1014" s="71">
        <v>0</v>
      </c>
      <c r="BN1014" s="72">
        <v>0</v>
      </c>
      <c r="BO1014" s="151" t="e">
        <f t="shared" si="61"/>
        <v>#DIV/0!</v>
      </c>
      <c r="BP1014" s="151" t="e">
        <f t="shared" si="62"/>
        <v>#DIV/0!</v>
      </c>
      <c r="BQ1014" s="71">
        <v>0</v>
      </c>
      <c r="BR1014" s="71">
        <v>0</v>
      </c>
      <c r="BS1014" s="71">
        <v>0</v>
      </c>
      <c r="BT1014" s="72">
        <v>0</v>
      </c>
      <c r="BU1014" s="151" t="e">
        <f t="shared" ref="BU1014:BU1017" si="64">(BQ1014+BR1014)/BJ1014</f>
        <v>#DIV/0!</v>
      </c>
      <c r="BV1014" s="151" t="e">
        <f t="shared" ref="BV1014:BV1017" si="65">BS1014/BJ1014</f>
        <v>#DIV/0!</v>
      </c>
    </row>
    <row r="1015" ht="30" customHeight="1" spans="1:74">
      <c r="A1015" s="55">
        <v>0</v>
      </c>
      <c r="B1015" s="56">
        <v>0</v>
      </c>
      <c r="C1015" s="57">
        <v>0</v>
      </c>
      <c r="D1015" s="74"/>
      <c r="E1015" s="74"/>
      <c r="F1015" s="59" t="e">
        <f>VLOOKUP(E1015,[1]库存!$B$1:$C$65536,2,FALSE)</f>
        <v>#N/A</v>
      </c>
      <c r="G1015" s="59" t="e">
        <v>#N/A</v>
      </c>
      <c r="H1015" s="74"/>
      <c r="I1015" s="74"/>
      <c r="J1015" s="87"/>
      <c r="K1015" s="61"/>
      <c r="L1015" s="62">
        <v>0</v>
      </c>
      <c r="M1015" s="63">
        <v>0</v>
      </c>
      <c r="N1015" s="64">
        <v>0</v>
      </c>
      <c r="O1015" s="62">
        <v>0</v>
      </c>
      <c r="P1015" s="65">
        <f t="shared" si="63"/>
        <v>0</v>
      </c>
      <c r="Q1015" s="103"/>
      <c r="R1015" s="66"/>
      <c r="S1015" s="103"/>
      <c r="T1015" s="66"/>
      <c r="U1015" s="103"/>
      <c r="V1015" s="66"/>
      <c r="W1015" s="103"/>
      <c r="X1015" s="66"/>
      <c r="Y1015" s="103"/>
      <c r="Z1015" s="66"/>
      <c r="AA1015" s="103"/>
      <c r="AB1015" s="66"/>
      <c r="AC1015" s="103"/>
      <c r="AD1015" s="66"/>
      <c r="AE1015" s="103"/>
      <c r="AF1015" s="66"/>
      <c r="AG1015" s="103"/>
      <c r="AH1015" s="66"/>
      <c r="AI1015" s="103"/>
      <c r="AJ1015" s="66"/>
      <c r="AK1015" s="103"/>
      <c r="AL1015" s="66"/>
      <c r="AM1015" s="103"/>
      <c r="AN1015" s="66"/>
      <c r="AO1015" s="103"/>
      <c r="AP1015" s="66"/>
      <c r="AQ1015" s="103"/>
      <c r="AR1015" s="66"/>
      <c r="AS1015" s="103"/>
      <c r="AT1015" s="66"/>
      <c r="AU1015" s="103"/>
      <c r="AV1015" s="66"/>
      <c r="AW1015" s="103"/>
      <c r="AX1015" s="66"/>
      <c r="AY1015" s="103"/>
      <c r="AZ1015" s="66"/>
      <c r="BA1015" s="103"/>
      <c r="BB1015" s="66"/>
      <c r="BC1015" s="103"/>
      <c r="BD1015" s="66"/>
      <c r="BE1015" s="105"/>
      <c r="BF1015" s="67"/>
      <c r="BG1015" s="68"/>
      <c r="BI1015" s="69">
        <v>0</v>
      </c>
      <c r="BJ1015" s="70">
        <v>0</v>
      </c>
      <c r="BK1015" s="71">
        <v>0</v>
      </c>
      <c r="BL1015" s="71">
        <v>0</v>
      </c>
      <c r="BM1015" s="71">
        <v>0</v>
      </c>
      <c r="BN1015" s="72">
        <v>0</v>
      </c>
      <c r="BO1015" s="151" t="e">
        <f t="shared" si="61"/>
        <v>#DIV/0!</v>
      </c>
      <c r="BP1015" s="151" t="e">
        <f t="shared" si="62"/>
        <v>#DIV/0!</v>
      </c>
      <c r="BQ1015" s="71">
        <v>0</v>
      </c>
      <c r="BR1015" s="71">
        <v>0</v>
      </c>
      <c r="BS1015" s="71">
        <v>0</v>
      </c>
      <c r="BT1015" s="72">
        <v>0</v>
      </c>
      <c r="BU1015" s="151" t="e">
        <f t="shared" si="64"/>
        <v>#DIV/0!</v>
      </c>
      <c r="BV1015" s="151" t="e">
        <f t="shared" si="65"/>
        <v>#DIV/0!</v>
      </c>
    </row>
    <row r="1016" ht="30" customHeight="1" spans="1:74">
      <c r="A1016" s="55" t="s">
        <v>246</v>
      </c>
      <c r="B1016" s="56" t="s">
        <v>1057</v>
      </c>
      <c r="C1016" s="57" t="s">
        <v>1058</v>
      </c>
      <c r="D1016" s="59" t="s">
        <v>1679</v>
      </c>
      <c r="E1016" s="59" t="s">
        <v>1717</v>
      </c>
      <c r="F1016" s="59" t="str">
        <f>VLOOKUP(E1016,[1]库存!$B$1:$C$65536,2,FALSE)</f>
        <v>CHANGAN C236 FSAB RH B状态</v>
      </c>
      <c r="G1016" s="59" t="s">
        <v>1718</v>
      </c>
      <c r="H1016" s="59" t="s">
        <v>1719</v>
      </c>
      <c r="I1016" s="59" t="s">
        <v>250</v>
      </c>
      <c r="J1016" s="63"/>
      <c r="K1016" s="61"/>
      <c r="L1016" s="62">
        <v>2</v>
      </c>
      <c r="M1016" s="63">
        <v>1200</v>
      </c>
      <c r="N1016" s="64">
        <v>17</v>
      </c>
      <c r="O1016" s="62">
        <v>2</v>
      </c>
      <c r="P1016" s="65">
        <f t="shared" si="63"/>
        <v>0</v>
      </c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  <c r="AD1016" s="66"/>
      <c r="AE1016" s="66"/>
      <c r="AF1016" s="66"/>
      <c r="AG1016" s="66"/>
      <c r="AH1016" s="66"/>
      <c r="AI1016" s="66"/>
      <c r="AJ1016" s="66"/>
      <c r="AK1016" s="66"/>
      <c r="AL1016" s="66"/>
      <c r="AM1016" s="66"/>
      <c r="AN1016" s="66"/>
      <c r="AO1016" s="66"/>
      <c r="AP1016" s="66"/>
      <c r="AQ1016" s="66"/>
      <c r="AR1016" s="66"/>
      <c r="AS1016" s="66"/>
      <c r="AT1016" s="66"/>
      <c r="AU1016" s="66"/>
      <c r="AV1016" s="66"/>
      <c r="AW1016" s="66"/>
      <c r="AX1016" s="66"/>
      <c r="AY1016" s="66"/>
      <c r="AZ1016" s="66"/>
      <c r="BA1016" s="66"/>
      <c r="BB1016" s="66"/>
      <c r="BC1016" s="66"/>
      <c r="BD1016" s="66"/>
      <c r="BE1016" s="105"/>
      <c r="BF1016" s="67"/>
      <c r="BG1016" s="68"/>
      <c r="BI1016" s="69">
        <v>0</v>
      </c>
      <c r="BJ1016" s="70">
        <v>0</v>
      </c>
      <c r="BK1016" s="71">
        <v>0</v>
      </c>
      <c r="BL1016" s="71">
        <v>0</v>
      </c>
      <c r="BM1016" s="71">
        <v>0</v>
      </c>
      <c r="BN1016" s="72">
        <v>0</v>
      </c>
      <c r="BO1016" s="151" t="e">
        <f t="shared" si="61"/>
        <v>#DIV/0!</v>
      </c>
      <c r="BP1016" s="151" t="e">
        <f t="shared" si="62"/>
        <v>#DIV/0!</v>
      </c>
      <c r="BQ1016" s="71">
        <v>0</v>
      </c>
      <c r="BR1016" s="71">
        <v>0</v>
      </c>
      <c r="BS1016" s="71">
        <v>0</v>
      </c>
      <c r="BT1016" s="72">
        <v>0</v>
      </c>
      <c r="BU1016" s="151" t="e">
        <f t="shared" si="64"/>
        <v>#DIV/0!</v>
      </c>
      <c r="BV1016" s="151" t="e">
        <f t="shared" si="65"/>
        <v>#DIV/0!</v>
      </c>
    </row>
    <row r="1017" ht="30" customHeight="1" spans="1:74">
      <c r="A1017" s="55">
        <v>0</v>
      </c>
      <c r="B1017" s="56">
        <v>0</v>
      </c>
      <c r="C1017" s="57">
        <v>0</v>
      </c>
      <c r="D1017" s="74"/>
      <c r="E1017" s="74"/>
      <c r="F1017" s="59" t="e">
        <f>VLOOKUP(E1017,[1]库存!$B$1:$C$65536,2,FALSE)</f>
        <v>#N/A</v>
      </c>
      <c r="G1017" s="59" t="e">
        <v>#N/A</v>
      </c>
      <c r="H1017" s="74"/>
      <c r="I1017" s="74"/>
      <c r="J1017" s="87"/>
      <c r="K1017" s="61"/>
      <c r="L1017" s="62">
        <v>0</v>
      </c>
      <c r="M1017" s="63">
        <v>0</v>
      </c>
      <c r="N1017" s="64">
        <v>0</v>
      </c>
      <c r="O1017" s="62">
        <v>0</v>
      </c>
      <c r="P1017" s="65">
        <f t="shared" si="63"/>
        <v>0</v>
      </c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  <c r="AD1017" s="66"/>
      <c r="AE1017" s="66"/>
      <c r="AF1017" s="66"/>
      <c r="AG1017" s="66"/>
      <c r="AH1017" s="66"/>
      <c r="AI1017" s="66"/>
      <c r="AJ1017" s="66"/>
      <c r="AK1017" s="66"/>
      <c r="AL1017" s="66"/>
      <c r="AM1017" s="66"/>
      <c r="AN1017" s="66"/>
      <c r="AO1017" s="66"/>
      <c r="AP1017" s="66"/>
      <c r="AQ1017" s="66"/>
      <c r="AR1017" s="66"/>
      <c r="AS1017" s="66"/>
      <c r="AT1017" s="66"/>
      <c r="AU1017" s="66"/>
      <c r="AV1017" s="66"/>
      <c r="AW1017" s="66"/>
      <c r="AX1017" s="66"/>
      <c r="AY1017" s="66"/>
      <c r="AZ1017" s="66"/>
      <c r="BA1017" s="66"/>
      <c r="BB1017" s="66"/>
      <c r="BC1017" s="66"/>
      <c r="BD1017" s="66"/>
      <c r="BE1017" s="67"/>
      <c r="BF1017" s="67"/>
      <c r="BG1017" s="68"/>
      <c r="BI1017" s="69">
        <v>0</v>
      </c>
      <c r="BJ1017" s="70">
        <v>0</v>
      </c>
      <c r="BK1017" s="71">
        <v>0</v>
      </c>
      <c r="BL1017" s="71">
        <v>0</v>
      </c>
      <c r="BM1017" s="71">
        <v>0</v>
      </c>
      <c r="BN1017" s="72">
        <v>0</v>
      </c>
      <c r="BO1017" s="151" t="e">
        <f t="shared" si="61"/>
        <v>#DIV/0!</v>
      </c>
      <c r="BP1017" s="151" t="e">
        <f t="shared" si="62"/>
        <v>#DIV/0!</v>
      </c>
      <c r="BQ1017" s="71">
        <v>0</v>
      </c>
      <c r="BR1017" s="71">
        <v>0</v>
      </c>
      <c r="BS1017" s="71">
        <v>0</v>
      </c>
      <c r="BT1017" s="72">
        <v>0</v>
      </c>
      <c r="BU1017" s="151" t="e">
        <f t="shared" si="64"/>
        <v>#DIV/0!</v>
      </c>
      <c r="BV1017" s="151" t="e">
        <f t="shared" si="65"/>
        <v>#DIV/0!</v>
      </c>
    </row>
    <row r="1018" ht="30" customHeight="1" spans="1:74">
      <c r="A1018" s="55" t="s">
        <v>246</v>
      </c>
      <c r="B1018" s="56" t="s">
        <v>1057</v>
      </c>
      <c r="C1018" s="57" t="s">
        <v>1058</v>
      </c>
      <c r="D1018" s="59" t="s">
        <v>1679</v>
      </c>
      <c r="E1018" s="59" t="s">
        <v>1720</v>
      </c>
      <c r="F1018" s="59" t="str">
        <f>VLOOKUP(E1018,[1]库存!$B$1:$C$65536,2,FALSE)</f>
        <v>CHANGAN E15 RSAB LH A状态</v>
      </c>
      <c r="G1018" s="59" t="s">
        <v>1721</v>
      </c>
      <c r="H1018" s="59" t="s">
        <v>1722</v>
      </c>
      <c r="I1018" s="59" t="s">
        <v>429</v>
      </c>
      <c r="J1018" s="220" t="s">
        <v>1701</v>
      </c>
      <c r="K1018" s="61"/>
      <c r="L1018" s="62">
        <v>0</v>
      </c>
      <c r="M1018" s="63">
        <v>1200</v>
      </c>
      <c r="N1018" s="64">
        <v>10</v>
      </c>
      <c r="O1018" s="62">
        <v>2</v>
      </c>
      <c r="P1018" s="65">
        <f t="shared" si="63"/>
        <v>0</v>
      </c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  <c r="AD1018" s="66"/>
      <c r="AE1018" s="66"/>
      <c r="AF1018" s="66"/>
      <c r="AG1018" s="66"/>
      <c r="AH1018" s="66"/>
      <c r="AI1018" s="66"/>
      <c r="AJ1018" s="66"/>
      <c r="AK1018" s="66"/>
      <c r="AL1018" s="66"/>
      <c r="AM1018" s="66"/>
      <c r="AN1018" s="66"/>
      <c r="AO1018" s="66"/>
      <c r="AP1018" s="66"/>
      <c r="AQ1018" s="66"/>
      <c r="AR1018" s="66"/>
      <c r="AS1018" s="66"/>
      <c r="AT1018" s="66"/>
      <c r="AU1018" s="66"/>
      <c r="AV1018" s="66"/>
      <c r="AW1018" s="66"/>
      <c r="AX1018" s="66"/>
      <c r="AY1018" s="66"/>
      <c r="AZ1018" s="66"/>
      <c r="BA1018" s="66"/>
      <c r="BB1018" s="66"/>
      <c r="BC1018" s="66"/>
      <c r="BD1018" s="66"/>
      <c r="BE1018" s="105"/>
      <c r="BF1018" s="67"/>
      <c r="BG1018" s="68"/>
      <c r="BI1018" s="69">
        <v>0</v>
      </c>
      <c r="BJ1018" s="70">
        <v>0</v>
      </c>
      <c r="BK1018" s="71">
        <v>0</v>
      </c>
      <c r="BL1018" s="71">
        <v>0</v>
      </c>
      <c r="BM1018" s="71">
        <v>0</v>
      </c>
      <c r="BN1018" s="72">
        <v>0</v>
      </c>
      <c r="BO1018" s="151" t="e">
        <f t="shared" si="61"/>
        <v>#DIV/0!</v>
      </c>
      <c r="BP1018" s="151" t="e">
        <f t="shared" si="62"/>
        <v>#DIV/0!</v>
      </c>
      <c r="BQ1018" s="71">
        <v>0</v>
      </c>
      <c r="BR1018" s="71">
        <v>0</v>
      </c>
      <c r="BS1018" s="71">
        <v>0</v>
      </c>
      <c r="BT1018" s="72">
        <v>0</v>
      </c>
      <c r="BU1018" s="73"/>
      <c r="BV1018" s="73"/>
    </row>
    <row r="1019" ht="30" customHeight="1" spans="1:74">
      <c r="A1019" s="55">
        <v>0</v>
      </c>
      <c r="B1019" s="56">
        <v>0</v>
      </c>
      <c r="C1019" s="57">
        <v>0</v>
      </c>
      <c r="D1019" s="74"/>
      <c r="E1019" s="74"/>
      <c r="F1019" s="59" t="e">
        <f>VLOOKUP(E1019,[1]库存!$B$1:$C$65536,2,FALSE)</f>
        <v>#N/A</v>
      </c>
      <c r="G1019" s="59" t="e">
        <v>#N/A</v>
      </c>
      <c r="H1019" s="74"/>
      <c r="I1019" s="74"/>
      <c r="J1019" s="221"/>
      <c r="K1019" s="61"/>
      <c r="L1019" s="62">
        <v>0</v>
      </c>
      <c r="M1019" s="63">
        <v>0</v>
      </c>
      <c r="N1019" s="64">
        <v>0</v>
      </c>
      <c r="O1019" s="62">
        <v>0</v>
      </c>
      <c r="P1019" s="65">
        <f t="shared" si="63"/>
        <v>0</v>
      </c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  <c r="AD1019" s="66"/>
      <c r="AE1019" s="66"/>
      <c r="AF1019" s="66"/>
      <c r="AG1019" s="66"/>
      <c r="AH1019" s="66"/>
      <c r="AI1019" s="66"/>
      <c r="AJ1019" s="66"/>
      <c r="AK1019" s="66"/>
      <c r="AL1019" s="66"/>
      <c r="AM1019" s="66"/>
      <c r="AN1019" s="66"/>
      <c r="AO1019" s="66"/>
      <c r="AP1019" s="66"/>
      <c r="AQ1019" s="66"/>
      <c r="AR1019" s="66"/>
      <c r="AS1019" s="66"/>
      <c r="AT1019" s="66"/>
      <c r="AU1019" s="66"/>
      <c r="AV1019" s="66"/>
      <c r="AW1019" s="66"/>
      <c r="AX1019" s="66"/>
      <c r="AY1019" s="66"/>
      <c r="AZ1019" s="66"/>
      <c r="BA1019" s="66"/>
      <c r="BB1019" s="66"/>
      <c r="BC1019" s="66"/>
      <c r="BD1019" s="66"/>
      <c r="BE1019" s="67"/>
      <c r="BF1019" s="67"/>
      <c r="BG1019" s="68"/>
      <c r="BI1019" s="69">
        <v>0</v>
      </c>
      <c r="BJ1019" s="70">
        <v>0</v>
      </c>
      <c r="BK1019" s="71">
        <v>0</v>
      </c>
      <c r="BL1019" s="71">
        <v>0</v>
      </c>
      <c r="BM1019" s="71">
        <v>0</v>
      </c>
      <c r="BN1019" s="72">
        <v>0</v>
      </c>
      <c r="BO1019" s="151" t="e">
        <f t="shared" si="61"/>
        <v>#DIV/0!</v>
      </c>
      <c r="BP1019" s="151" t="e">
        <f t="shared" si="62"/>
        <v>#DIV/0!</v>
      </c>
      <c r="BQ1019" s="71">
        <v>0</v>
      </c>
      <c r="BR1019" s="71">
        <v>0</v>
      </c>
      <c r="BS1019" s="71">
        <v>0</v>
      </c>
      <c r="BT1019" s="72">
        <v>0</v>
      </c>
      <c r="BU1019" s="73"/>
      <c r="BV1019" s="73"/>
    </row>
    <row r="1020" ht="30" customHeight="1" spans="1:74">
      <c r="A1020" s="55" t="s">
        <v>246</v>
      </c>
      <c r="B1020" s="56" t="s">
        <v>1057</v>
      </c>
      <c r="C1020" s="57" t="s">
        <v>1058</v>
      </c>
      <c r="D1020" s="59" t="s">
        <v>1679</v>
      </c>
      <c r="E1020" s="59" t="s">
        <v>1723</v>
      </c>
      <c r="F1020" s="59" t="str">
        <f>VLOOKUP(E1020,[1]库存!$B$1:$C$65536,2,FALSE)</f>
        <v>CHANGAN E15 RSAB RH A状态</v>
      </c>
      <c r="G1020" s="59" t="s">
        <v>1724</v>
      </c>
      <c r="H1020" s="59" t="s">
        <v>1725</v>
      </c>
      <c r="I1020" s="59" t="s">
        <v>429</v>
      </c>
      <c r="J1020" s="221"/>
      <c r="K1020" s="61"/>
      <c r="L1020" s="62">
        <v>0</v>
      </c>
      <c r="M1020" s="63">
        <v>1200</v>
      </c>
      <c r="N1020" s="64">
        <v>10</v>
      </c>
      <c r="O1020" s="62">
        <v>2</v>
      </c>
      <c r="P1020" s="65">
        <f t="shared" si="63"/>
        <v>0</v>
      </c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  <c r="AD1020" s="66"/>
      <c r="AE1020" s="66"/>
      <c r="AF1020" s="66"/>
      <c r="AG1020" s="66"/>
      <c r="AH1020" s="66"/>
      <c r="AI1020" s="96"/>
      <c r="AJ1020" s="66"/>
      <c r="AK1020" s="66"/>
      <c r="AL1020" s="66"/>
      <c r="AM1020" s="66"/>
      <c r="AN1020" s="66"/>
      <c r="AO1020" s="66"/>
      <c r="AP1020" s="66"/>
      <c r="AQ1020" s="66"/>
      <c r="AR1020" s="66"/>
      <c r="AS1020" s="66"/>
      <c r="AT1020" s="66"/>
      <c r="AU1020" s="66"/>
      <c r="AV1020" s="66"/>
      <c r="AW1020" s="66"/>
      <c r="AX1020" s="66"/>
      <c r="AY1020" s="66"/>
      <c r="AZ1020" s="66"/>
      <c r="BA1020" s="66"/>
      <c r="BB1020" s="66"/>
      <c r="BC1020" s="66"/>
      <c r="BD1020" s="66"/>
      <c r="BE1020" s="67"/>
      <c r="BF1020" s="67"/>
      <c r="BG1020" s="68"/>
      <c r="BI1020" s="69">
        <v>0</v>
      </c>
      <c r="BJ1020" s="70">
        <v>0</v>
      </c>
      <c r="BK1020" s="71">
        <v>0</v>
      </c>
      <c r="BL1020" s="71">
        <v>0</v>
      </c>
      <c r="BM1020" s="71">
        <v>0</v>
      </c>
      <c r="BN1020" s="72">
        <v>0</v>
      </c>
      <c r="BO1020" s="151" t="e">
        <f t="shared" si="61"/>
        <v>#DIV/0!</v>
      </c>
      <c r="BP1020" s="151" t="e">
        <f t="shared" si="62"/>
        <v>#DIV/0!</v>
      </c>
      <c r="BQ1020" s="71">
        <v>0</v>
      </c>
      <c r="BR1020" s="71">
        <v>0</v>
      </c>
      <c r="BS1020" s="71">
        <v>0</v>
      </c>
      <c r="BT1020" s="72">
        <v>0</v>
      </c>
      <c r="BU1020" s="73"/>
      <c r="BV1020" s="73"/>
    </row>
    <row r="1021" ht="30" customHeight="1" spans="1:74">
      <c r="A1021" s="55">
        <v>0</v>
      </c>
      <c r="B1021" s="56">
        <v>0</v>
      </c>
      <c r="C1021" s="57">
        <v>0</v>
      </c>
      <c r="D1021" s="74"/>
      <c r="E1021" s="74"/>
      <c r="F1021" s="59" t="e">
        <f>VLOOKUP(E1021,[1]库存!$B$1:$C$65536,2,FALSE)</f>
        <v>#N/A</v>
      </c>
      <c r="G1021" s="59" t="e">
        <v>#N/A</v>
      </c>
      <c r="H1021" s="74"/>
      <c r="I1021" s="74"/>
      <c r="J1021" s="221"/>
      <c r="K1021" s="61"/>
      <c r="L1021" s="62">
        <v>0</v>
      </c>
      <c r="M1021" s="63">
        <v>0</v>
      </c>
      <c r="N1021" s="64">
        <v>0</v>
      </c>
      <c r="O1021" s="62">
        <v>0</v>
      </c>
      <c r="P1021" s="65">
        <f t="shared" si="63"/>
        <v>0</v>
      </c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  <c r="AD1021" s="66"/>
      <c r="AE1021" s="66"/>
      <c r="AF1021" s="66"/>
      <c r="AG1021" s="66"/>
      <c r="AH1021" s="66"/>
      <c r="AI1021" s="66"/>
      <c r="AJ1021" s="66"/>
      <c r="AK1021" s="66"/>
      <c r="AL1021" s="66"/>
      <c r="AM1021" s="66"/>
      <c r="AN1021" s="66"/>
      <c r="AO1021" s="66"/>
      <c r="AP1021" s="66"/>
      <c r="AQ1021" s="66"/>
      <c r="AR1021" s="66"/>
      <c r="AS1021" s="66"/>
      <c r="AT1021" s="66"/>
      <c r="AU1021" s="66"/>
      <c r="AV1021" s="66"/>
      <c r="AW1021" s="66"/>
      <c r="AX1021" s="66"/>
      <c r="AY1021" s="66"/>
      <c r="AZ1021" s="66"/>
      <c r="BA1021" s="66"/>
      <c r="BB1021" s="66"/>
      <c r="BC1021" s="66"/>
      <c r="BD1021" s="66"/>
      <c r="BE1021" s="67"/>
      <c r="BF1021" s="67"/>
      <c r="BG1021" s="68"/>
      <c r="BI1021" s="69">
        <v>0</v>
      </c>
      <c r="BJ1021" s="70">
        <v>0</v>
      </c>
      <c r="BK1021" s="71">
        <v>0</v>
      </c>
      <c r="BL1021" s="71">
        <v>0</v>
      </c>
      <c r="BM1021" s="71">
        <v>0</v>
      </c>
      <c r="BN1021" s="72">
        <v>0</v>
      </c>
      <c r="BO1021" s="151" t="e">
        <f t="shared" si="61"/>
        <v>#DIV/0!</v>
      </c>
      <c r="BP1021" s="151" t="e">
        <f t="shared" si="62"/>
        <v>#DIV/0!</v>
      </c>
      <c r="BQ1021" s="71">
        <v>0</v>
      </c>
      <c r="BR1021" s="71">
        <v>0</v>
      </c>
      <c r="BS1021" s="71">
        <v>0</v>
      </c>
      <c r="BT1021" s="72">
        <v>0</v>
      </c>
      <c r="BU1021" s="73"/>
      <c r="BV1021" s="73"/>
    </row>
    <row r="1022" ht="30" customHeight="1" spans="1:74">
      <c r="A1022" s="55" t="s">
        <v>165</v>
      </c>
      <c r="B1022" s="56" t="s">
        <v>1057</v>
      </c>
      <c r="C1022" s="57" t="s">
        <v>1058</v>
      </c>
      <c r="D1022" s="59" t="s">
        <v>1679</v>
      </c>
      <c r="E1022" s="59" t="s">
        <v>1689</v>
      </c>
      <c r="F1022" s="59" t="str">
        <f>VLOOKUP(E1022,[1]库存!$B$1:$C$65536,2,FALSE)</f>
        <v>F510S FSAB LH</v>
      </c>
      <c r="G1022" s="59" t="s">
        <v>1726</v>
      </c>
      <c r="H1022" s="59" t="s">
        <v>1727</v>
      </c>
      <c r="I1022" s="59" t="s">
        <v>1693</v>
      </c>
      <c r="J1022" s="80" t="s">
        <v>65</v>
      </c>
      <c r="K1022" s="61"/>
      <c r="L1022" s="62">
        <v>2</v>
      </c>
      <c r="M1022" s="63">
        <v>1450</v>
      </c>
      <c r="N1022" s="64">
        <v>8</v>
      </c>
      <c r="O1022" s="62">
        <v>2</v>
      </c>
      <c r="P1022" s="65">
        <f t="shared" si="63"/>
        <v>0</v>
      </c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  <c r="AD1022" s="66"/>
      <c r="AE1022" s="66"/>
      <c r="AF1022" s="66"/>
      <c r="AG1022" s="66"/>
      <c r="AH1022" s="66"/>
      <c r="AI1022" s="66"/>
      <c r="AJ1022" s="66"/>
      <c r="AK1022" s="66"/>
      <c r="AL1022" s="66"/>
      <c r="AM1022" s="66"/>
      <c r="AN1022" s="66"/>
      <c r="AO1022" s="66"/>
      <c r="AP1022" s="66"/>
      <c r="AQ1022" s="66"/>
      <c r="AR1022" s="66"/>
      <c r="AS1022" s="66"/>
      <c r="AT1022" s="66"/>
      <c r="AU1022" s="66"/>
      <c r="AV1022" s="66"/>
      <c r="AW1022" s="66"/>
      <c r="AX1022" s="66"/>
      <c r="AY1022" s="66"/>
      <c r="AZ1022" s="66"/>
      <c r="BA1022" s="66"/>
      <c r="BB1022" s="66"/>
      <c r="BC1022" s="66"/>
      <c r="BD1022" s="66"/>
      <c r="BE1022" s="67"/>
      <c r="BF1022" s="67"/>
      <c r="BG1022" s="68"/>
      <c r="BI1022" s="69">
        <v>0</v>
      </c>
      <c r="BJ1022" s="70">
        <v>0</v>
      </c>
      <c r="BK1022" s="71">
        <v>0</v>
      </c>
      <c r="BL1022" s="71">
        <v>0</v>
      </c>
      <c r="BM1022" s="71">
        <v>0</v>
      </c>
      <c r="BN1022" s="72">
        <v>0</v>
      </c>
      <c r="BO1022" s="151" t="e">
        <f t="shared" si="61"/>
        <v>#DIV/0!</v>
      </c>
      <c r="BP1022" s="151" t="e">
        <f t="shared" si="62"/>
        <v>#DIV/0!</v>
      </c>
      <c r="BQ1022" s="71">
        <v>0</v>
      </c>
      <c r="BR1022" s="71">
        <v>0</v>
      </c>
      <c r="BS1022" s="71">
        <v>0</v>
      </c>
      <c r="BT1022" s="72">
        <v>0</v>
      </c>
      <c r="BU1022" s="73"/>
      <c r="BV1022" s="73"/>
    </row>
    <row r="1023" ht="30" customHeight="1" spans="1:74">
      <c r="A1023" s="55">
        <v>0</v>
      </c>
      <c r="B1023" s="56">
        <v>0</v>
      </c>
      <c r="C1023" s="57">
        <v>0</v>
      </c>
      <c r="D1023" s="74"/>
      <c r="E1023" s="74"/>
      <c r="F1023" s="59" t="e">
        <f>VLOOKUP(E1023,[1]库存!$B$1:$C$65536,2,FALSE)</f>
        <v>#N/A</v>
      </c>
      <c r="G1023" s="59" t="e">
        <v>#N/A</v>
      </c>
      <c r="H1023" s="74"/>
      <c r="I1023" s="74"/>
      <c r="J1023" s="81"/>
      <c r="K1023" s="61"/>
      <c r="L1023" s="62">
        <v>0</v>
      </c>
      <c r="M1023" s="63">
        <v>0</v>
      </c>
      <c r="N1023" s="64">
        <v>0</v>
      </c>
      <c r="O1023" s="62">
        <v>0</v>
      </c>
      <c r="P1023" s="65">
        <f t="shared" si="63"/>
        <v>0</v>
      </c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  <c r="AD1023" s="66"/>
      <c r="AE1023" s="66"/>
      <c r="AF1023" s="66"/>
      <c r="AG1023" s="66"/>
      <c r="AH1023" s="66"/>
      <c r="AI1023" s="66"/>
      <c r="AJ1023" s="66"/>
      <c r="AK1023" s="66"/>
      <c r="AL1023" s="66"/>
      <c r="AM1023" s="66"/>
      <c r="AN1023" s="66"/>
      <c r="AO1023" s="66"/>
      <c r="AP1023" s="66"/>
      <c r="AQ1023" s="66"/>
      <c r="AR1023" s="66"/>
      <c r="AS1023" s="66"/>
      <c r="AT1023" s="66"/>
      <c r="AU1023" s="66"/>
      <c r="AV1023" s="66"/>
      <c r="AW1023" s="66"/>
      <c r="AX1023" s="66"/>
      <c r="AY1023" s="66"/>
      <c r="AZ1023" s="66"/>
      <c r="BA1023" s="66"/>
      <c r="BB1023" s="66"/>
      <c r="BC1023" s="66"/>
      <c r="BD1023" s="66"/>
      <c r="BE1023" s="67"/>
      <c r="BF1023" s="67"/>
      <c r="BG1023" s="68"/>
      <c r="BI1023" s="69">
        <v>0</v>
      </c>
      <c r="BJ1023" s="70">
        <v>0</v>
      </c>
      <c r="BK1023" s="71">
        <v>0</v>
      </c>
      <c r="BL1023" s="71">
        <v>0</v>
      </c>
      <c r="BM1023" s="71">
        <v>0</v>
      </c>
      <c r="BN1023" s="72">
        <v>0</v>
      </c>
      <c r="BO1023" s="151" t="e">
        <f t="shared" si="61"/>
        <v>#DIV/0!</v>
      </c>
      <c r="BP1023" s="151" t="e">
        <f t="shared" si="62"/>
        <v>#DIV/0!</v>
      </c>
      <c r="BQ1023" s="71">
        <v>0</v>
      </c>
      <c r="BR1023" s="71">
        <v>0</v>
      </c>
      <c r="BS1023" s="71">
        <v>0</v>
      </c>
      <c r="BT1023" s="72">
        <v>0</v>
      </c>
      <c r="BU1023" s="73"/>
      <c r="BV1023" s="73"/>
    </row>
    <row r="1024" ht="30" customHeight="1" spans="1:74">
      <c r="A1024" s="55" t="s">
        <v>165</v>
      </c>
      <c r="B1024" s="56" t="s">
        <v>1057</v>
      </c>
      <c r="C1024" s="57" t="s">
        <v>1058</v>
      </c>
      <c r="D1024" s="59" t="s">
        <v>1679</v>
      </c>
      <c r="E1024" s="59" t="s">
        <v>1694</v>
      </c>
      <c r="F1024" s="59" t="str">
        <f>VLOOKUP(E1024,[1]库存!$B$1:$C$65536,2,FALSE)</f>
        <v>F510S FSAB RH</v>
      </c>
      <c r="G1024" s="59" t="s">
        <v>1728</v>
      </c>
      <c r="H1024" s="59" t="s">
        <v>1729</v>
      </c>
      <c r="I1024" s="59" t="s">
        <v>1693</v>
      </c>
      <c r="J1024" s="80" t="s">
        <v>65</v>
      </c>
      <c r="K1024" s="61"/>
      <c r="L1024" s="62">
        <v>2</v>
      </c>
      <c r="M1024" s="63">
        <v>1450</v>
      </c>
      <c r="N1024" s="64">
        <v>8</v>
      </c>
      <c r="O1024" s="62">
        <v>2</v>
      </c>
      <c r="P1024" s="65">
        <f t="shared" si="63"/>
        <v>0</v>
      </c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  <c r="AD1024" s="66"/>
      <c r="AE1024" s="66"/>
      <c r="AF1024" s="66"/>
      <c r="AG1024" s="66"/>
      <c r="AH1024" s="66"/>
      <c r="AI1024" s="66"/>
      <c r="AJ1024" s="66"/>
      <c r="AK1024" s="66"/>
      <c r="AL1024" s="66"/>
      <c r="AM1024" s="66"/>
      <c r="AN1024" s="66"/>
      <c r="AO1024" s="66"/>
      <c r="AP1024" s="66"/>
      <c r="AQ1024" s="66"/>
      <c r="AR1024" s="66"/>
      <c r="AS1024" s="66"/>
      <c r="AT1024" s="66"/>
      <c r="AU1024" s="66"/>
      <c r="AV1024" s="66"/>
      <c r="AW1024" s="66"/>
      <c r="AX1024" s="66"/>
      <c r="AY1024" s="66"/>
      <c r="AZ1024" s="66"/>
      <c r="BA1024" s="66"/>
      <c r="BB1024" s="66"/>
      <c r="BC1024" s="66"/>
      <c r="BD1024" s="66"/>
      <c r="BE1024" s="67"/>
      <c r="BF1024" s="67"/>
      <c r="BG1024" s="68"/>
      <c r="BI1024" s="69">
        <v>0</v>
      </c>
      <c r="BJ1024" s="70">
        <v>0</v>
      </c>
      <c r="BK1024" s="71">
        <v>0</v>
      </c>
      <c r="BL1024" s="71">
        <v>0</v>
      </c>
      <c r="BM1024" s="71">
        <v>0</v>
      </c>
      <c r="BN1024" s="72">
        <v>0</v>
      </c>
      <c r="BO1024" s="151" t="e">
        <f t="shared" si="61"/>
        <v>#DIV/0!</v>
      </c>
      <c r="BP1024" s="151" t="e">
        <f t="shared" si="62"/>
        <v>#DIV/0!</v>
      </c>
      <c r="BQ1024" s="71">
        <v>0</v>
      </c>
      <c r="BR1024" s="71">
        <v>0</v>
      </c>
      <c r="BS1024" s="71">
        <v>0</v>
      </c>
      <c r="BT1024" s="72">
        <v>0</v>
      </c>
      <c r="BU1024" s="73"/>
      <c r="BV1024" s="73"/>
    </row>
    <row r="1025" ht="30" customHeight="1" spans="1:75 16331:16349">
      <c r="A1025" s="55">
        <v>0</v>
      </c>
      <c r="B1025" s="56">
        <v>0</v>
      </c>
      <c r="C1025" s="57">
        <v>0</v>
      </c>
      <c r="D1025" s="74"/>
      <c r="E1025" s="74"/>
      <c r="F1025" s="59" t="e">
        <f>VLOOKUP(E1025,[1]库存!$B$1:$C$65536,2,FALSE)</f>
        <v>#N/A</v>
      </c>
      <c r="G1025" s="59" t="e">
        <v>#N/A</v>
      </c>
      <c r="H1025" s="74"/>
      <c r="I1025" s="74"/>
      <c r="J1025" s="81"/>
      <c r="K1025" s="61"/>
      <c r="L1025" s="62">
        <v>0</v>
      </c>
      <c r="M1025" s="63">
        <v>0</v>
      </c>
      <c r="N1025" s="64">
        <v>0</v>
      </c>
      <c r="O1025" s="62">
        <v>0</v>
      </c>
      <c r="P1025" s="65">
        <f t="shared" si="63"/>
        <v>0</v>
      </c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  <c r="AD1025" s="66"/>
      <c r="AE1025" s="66"/>
      <c r="AF1025" s="66"/>
      <c r="AG1025" s="66"/>
      <c r="AH1025" s="66"/>
      <c r="AI1025" s="66"/>
      <c r="AJ1025" s="66"/>
      <c r="AK1025" s="66"/>
      <c r="AL1025" s="66"/>
      <c r="AM1025" s="66"/>
      <c r="AN1025" s="66"/>
      <c r="AO1025" s="66"/>
      <c r="AP1025" s="66"/>
      <c r="AQ1025" s="66"/>
      <c r="AR1025" s="66"/>
      <c r="AS1025" s="66"/>
      <c r="AT1025" s="66"/>
      <c r="AU1025" s="66"/>
      <c r="AV1025" s="66"/>
      <c r="AW1025" s="66"/>
      <c r="AX1025" s="66"/>
      <c r="AY1025" s="66"/>
      <c r="AZ1025" s="66"/>
      <c r="BA1025" s="66"/>
      <c r="BB1025" s="66"/>
      <c r="BC1025" s="66"/>
      <c r="BD1025" s="66"/>
      <c r="BE1025" s="67"/>
      <c r="BF1025" s="67"/>
      <c r="BG1025" s="68"/>
      <c r="BI1025" s="69">
        <v>0</v>
      </c>
      <c r="BJ1025" s="70">
        <v>0</v>
      </c>
      <c r="BK1025" s="71">
        <v>0</v>
      </c>
      <c r="BL1025" s="71">
        <v>0</v>
      </c>
      <c r="BM1025" s="71">
        <v>0</v>
      </c>
      <c r="BN1025" s="72">
        <v>0</v>
      </c>
      <c r="BO1025" s="151" t="e">
        <f t="shared" si="61"/>
        <v>#DIV/0!</v>
      </c>
      <c r="BP1025" s="151" t="e">
        <f t="shared" si="62"/>
        <v>#DIV/0!</v>
      </c>
      <c r="BQ1025" s="71">
        <v>0</v>
      </c>
      <c r="BR1025" s="71">
        <v>0</v>
      </c>
      <c r="BS1025" s="71">
        <v>0</v>
      </c>
      <c r="BT1025" s="72">
        <v>0</v>
      </c>
      <c r="BU1025" s="73"/>
      <c r="BV1025" s="73"/>
    </row>
    <row r="1026" ht="30" customHeight="1" spans="1:75 16331:16349">
      <c r="A1026" s="55">
        <v>0</v>
      </c>
      <c r="B1026" s="56">
        <v>0</v>
      </c>
      <c r="C1026" s="57">
        <v>0</v>
      </c>
      <c r="E1026" s="88"/>
      <c r="F1026" s="59" t="e">
        <f>VLOOKUP(E1026,[1]库存!$B$1:$C$65536,2,FALSE)</f>
        <v>#N/A</v>
      </c>
      <c r="G1026" s="59" t="e">
        <v>#N/A</v>
      </c>
      <c r="H1026" s="89"/>
      <c r="I1026" s="88"/>
      <c r="J1026" s="90"/>
      <c r="K1026" s="61"/>
      <c r="L1026" s="62">
        <v>0</v>
      </c>
      <c r="M1026" s="63">
        <v>0</v>
      </c>
      <c r="N1026" s="64">
        <v>0</v>
      </c>
      <c r="O1026" s="62">
        <v>0</v>
      </c>
      <c r="P1026" s="65">
        <f t="shared" si="63"/>
        <v>0</v>
      </c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  <c r="AD1026" s="66"/>
      <c r="AE1026" s="66"/>
      <c r="AF1026" s="66"/>
      <c r="AG1026" s="66"/>
      <c r="AH1026" s="66"/>
      <c r="AI1026" s="66"/>
      <c r="AJ1026" s="66"/>
      <c r="AK1026" s="66"/>
      <c r="AL1026" s="66"/>
      <c r="AM1026" s="66"/>
      <c r="AN1026" s="66"/>
      <c r="AO1026" s="66"/>
      <c r="AP1026" s="66"/>
      <c r="AQ1026" s="66"/>
      <c r="AR1026" s="66"/>
      <c r="AS1026" s="66"/>
      <c r="AT1026" s="66"/>
      <c r="AU1026" s="66"/>
      <c r="AV1026" s="66"/>
      <c r="AW1026" s="66"/>
      <c r="AX1026" s="66"/>
      <c r="AY1026" s="66"/>
      <c r="AZ1026" s="66"/>
      <c r="BA1026" s="66"/>
      <c r="BB1026" s="66"/>
      <c r="BC1026" s="66"/>
      <c r="BD1026" s="66"/>
      <c r="BE1026" s="67"/>
      <c r="BF1026" s="67"/>
      <c r="BG1026" s="68"/>
      <c r="BI1026" s="69">
        <v>0</v>
      </c>
      <c r="BJ1026" s="70">
        <v>0</v>
      </c>
      <c r="BK1026" s="71">
        <v>0</v>
      </c>
      <c r="BL1026" s="71">
        <v>0</v>
      </c>
      <c r="BM1026" s="71">
        <v>0</v>
      </c>
      <c r="BN1026" s="72">
        <v>0</v>
      </c>
      <c r="BO1026" s="151" t="e">
        <f t="shared" si="61"/>
        <v>#DIV/0!</v>
      </c>
      <c r="BP1026" s="151" t="e">
        <f t="shared" si="62"/>
        <v>#DIV/0!</v>
      </c>
      <c r="BQ1026" s="71">
        <v>0</v>
      </c>
      <c r="BR1026" s="71">
        <v>0</v>
      </c>
      <c r="BS1026" s="71">
        <v>0</v>
      </c>
      <c r="BT1026" s="72">
        <v>0</v>
      </c>
      <c r="BU1026" s="73"/>
      <c r="BV1026" s="73"/>
    </row>
    <row r="1027" s="1" customFormat="1" ht="30" customHeight="1" spans="1:75 16331:16349">
      <c r="A1027" s="110">
        <v>0</v>
      </c>
      <c r="B1027" s="111" t="s">
        <v>1057</v>
      </c>
      <c r="C1027" s="112" t="s">
        <v>1058</v>
      </c>
      <c r="D1027" s="113" t="s">
        <v>1730</v>
      </c>
      <c r="E1027" s="113" t="s">
        <v>1731</v>
      </c>
      <c r="F1027" s="113" t="e">
        <f>VLOOKUP(E1027,[1]库存!$B$1:$C$65536,2,FALSE)</f>
        <v>#N/A</v>
      </c>
      <c r="G1027" s="113" t="e">
        <v>#N/A</v>
      </c>
      <c r="H1027" s="113" t="s">
        <v>1732</v>
      </c>
      <c r="I1027" s="113" t="s">
        <v>1733</v>
      </c>
      <c r="J1027" s="220" t="s">
        <v>65</v>
      </c>
      <c r="K1027" s="115"/>
      <c r="L1027" s="116">
        <v>2</v>
      </c>
      <c r="M1027" s="117">
        <v>450</v>
      </c>
      <c r="N1027" s="114">
        <v>13</v>
      </c>
      <c r="O1027" s="116">
        <v>2</v>
      </c>
      <c r="P1027" s="65">
        <f t="shared" si="63"/>
        <v>0</v>
      </c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7"/>
      <c r="AQ1027" s="67"/>
      <c r="AR1027" s="67"/>
      <c r="AS1027" s="67"/>
      <c r="AT1027" s="67"/>
      <c r="AU1027" s="67"/>
      <c r="AV1027" s="67"/>
      <c r="AW1027" s="67"/>
      <c r="AX1027" s="67"/>
      <c r="AY1027" s="67"/>
      <c r="AZ1027" s="67"/>
      <c r="BA1027" s="67"/>
      <c r="BB1027" s="67"/>
      <c r="BC1027" s="67"/>
      <c r="BD1027" s="67"/>
      <c r="BE1027" s="67"/>
      <c r="BF1027" s="67"/>
      <c r="BG1027" s="118"/>
      <c r="BH1027" s="119"/>
      <c r="BI1027" s="120">
        <v>0</v>
      </c>
      <c r="BJ1027" s="121">
        <v>0</v>
      </c>
      <c r="BK1027" s="122">
        <v>0</v>
      </c>
      <c r="BL1027" s="122">
        <v>0</v>
      </c>
      <c r="BM1027" s="122">
        <v>0</v>
      </c>
      <c r="BN1027" s="123">
        <v>0</v>
      </c>
      <c r="BO1027" s="204" t="e">
        <f t="shared" si="61"/>
        <v>#DIV/0!</v>
      </c>
      <c r="BP1027" s="204" t="e">
        <f t="shared" si="62"/>
        <v>#DIV/0!</v>
      </c>
      <c r="BQ1027" s="122">
        <v>0</v>
      </c>
      <c r="BR1027" s="122">
        <v>0</v>
      </c>
      <c r="BS1027" s="122">
        <v>0</v>
      </c>
      <c r="BT1027" s="123">
        <v>0</v>
      </c>
      <c r="BU1027" s="124"/>
      <c r="BV1027" s="124"/>
      <c r="BW1027" s="125"/>
      <c r="XDC1027" s="126"/>
      <c r="XDD1027" s="126"/>
      <c r="XDE1027" s="126"/>
      <c r="XDF1027" s="126"/>
      <c r="XDG1027" s="126"/>
      <c r="XDH1027" s="126"/>
      <c r="XDI1027" s="126"/>
      <c r="XDJ1027" s="126"/>
      <c r="XDK1027" s="126"/>
      <c r="XDL1027" s="126"/>
      <c r="XDM1027" s="126"/>
      <c r="XDN1027" s="126"/>
      <c r="XDO1027" s="126"/>
      <c r="XDP1027" s="126"/>
      <c r="XDQ1027" s="126"/>
      <c r="XDR1027" s="126"/>
      <c r="XDS1027" s="126"/>
      <c r="XDT1027" s="126"/>
      <c r="XDU1027" s="126"/>
    </row>
    <row r="1028" s="1" customFormat="1" ht="30" customHeight="1" spans="1:75 16331:16349">
      <c r="A1028" s="110">
        <v>0</v>
      </c>
      <c r="B1028" s="111">
        <v>0</v>
      </c>
      <c r="C1028" s="112">
        <v>0</v>
      </c>
      <c r="D1028" s="127"/>
      <c r="E1028" s="127"/>
      <c r="F1028" s="113" t="e">
        <f>VLOOKUP(E1028,[1]库存!$B$1:$C$65536,2,FALSE)</f>
        <v>#N/A</v>
      </c>
      <c r="G1028" s="113" t="e">
        <v>#N/A</v>
      </c>
      <c r="H1028" s="127"/>
      <c r="I1028" s="127"/>
      <c r="J1028" s="221"/>
      <c r="K1028" s="115"/>
      <c r="L1028" s="116">
        <v>0</v>
      </c>
      <c r="M1028" s="117">
        <v>0</v>
      </c>
      <c r="N1028" s="114">
        <v>0</v>
      </c>
      <c r="O1028" s="116">
        <v>0</v>
      </c>
      <c r="P1028" s="65">
        <f t="shared" si="63"/>
        <v>0</v>
      </c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7"/>
      <c r="AQ1028" s="67"/>
      <c r="AR1028" s="67"/>
      <c r="AS1028" s="67"/>
      <c r="AT1028" s="67"/>
      <c r="AU1028" s="67"/>
      <c r="AV1028" s="67"/>
      <c r="AW1028" s="67"/>
      <c r="AX1028" s="67"/>
      <c r="AY1028" s="67"/>
      <c r="AZ1028" s="67"/>
      <c r="BA1028" s="67"/>
      <c r="BB1028" s="67"/>
      <c r="BC1028" s="67"/>
      <c r="BD1028" s="67"/>
      <c r="BE1028" s="67"/>
      <c r="BF1028" s="67"/>
      <c r="BG1028" s="118"/>
      <c r="BH1028" s="119"/>
      <c r="BI1028" s="120">
        <v>0</v>
      </c>
      <c r="BJ1028" s="121">
        <v>0</v>
      </c>
      <c r="BK1028" s="122">
        <v>0</v>
      </c>
      <c r="BL1028" s="122">
        <v>0</v>
      </c>
      <c r="BM1028" s="122">
        <v>0</v>
      </c>
      <c r="BN1028" s="123">
        <v>0</v>
      </c>
      <c r="BO1028" s="204" t="e">
        <f t="shared" ref="BO1028:BO1091" si="66">(BK1028+BL1028)/BJ1028</f>
        <v>#DIV/0!</v>
      </c>
      <c r="BP1028" s="204" t="e">
        <f t="shared" ref="BP1028:BP1091" si="67">BM1028/BJ1028</f>
        <v>#DIV/0!</v>
      </c>
      <c r="BQ1028" s="122">
        <v>0</v>
      </c>
      <c r="BR1028" s="122">
        <v>0</v>
      </c>
      <c r="BS1028" s="122">
        <v>0</v>
      </c>
      <c r="BT1028" s="123">
        <v>0</v>
      </c>
      <c r="BU1028" s="124"/>
      <c r="BV1028" s="124"/>
      <c r="BW1028" s="125"/>
      <c r="XDC1028" s="126"/>
      <c r="XDD1028" s="126"/>
      <c r="XDE1028" s="126"/>
      <c r="XDF1028" s="126"/>
      <c r="XDG1028" s="126"/>
      <c r="XDH1028" s="126"/>
      <c r="XDI1028" s="126"/>
      <c r="XDJ1028" s="126"/>
      <c r="XDK1028" s="126"/>
      <c r="XDL1028" s="126"/>
      <c r="XDM1028" s="126"/>
      <c r="XDN1028" s="126"/>
      <c r="XDO1028" s="126"/>
      <c r="XDP1028" s="126"/>
      <c r="XDQ1028" s="126"/>
      <c r="XDR1028" s="126"/>
      <c r="XDS1028" s="126"/>
      <c r="XDT1028" s="126"/>
      <c r="XDU1028" s="126"/>
    </row>
    <row r="1029" s="1" customFormat="1" ht="30" customHeight="1" spans="1:75 16331:16349">
      <c r="A1029" s="110" t="s">
        <v>1734</v>
      </c>
      <c r="B1029" s="111" t="s">
        <v>1057</v>
      </c>
      <c r="C1029" s="112" t="s">
        <v>1058</v>
      </c>
      <c r="D1029" s="113" t="s">
        <v>1730</v>
      </c>
      <c r="E1029" s="113" t="s">
        <v>1735</v>
      </c>
      <c r="F1029" s="113" t="e">
        <f>VLOOKUP(E1029,[1]库存!$B$1:$C$65536,2,FALSE)</f>
        <v>#N/A</v>
      </c>
      <c r="G1029" s="113" t="e">
        <v>#N/A</v>
      </c>
      <c r="H1029" s="113" t="s">
        <v>1736</v>
      </c>
      <c r="I1029" s="113" t="s">
        <v>1733</v>
      </c>
      <c r="J1029" s="220" t="s">
        <v>65</v>
      </c>
      <c r="K1029" s="115"/>
      <c r="L1029" s="116">
        <v>2</v>
      </c>
      <c r="M1029" s="117">
        <v>450</v>
      </c>
      <c r="N1029" s="114">
        <v>13</v>
      </c>
      <c r="O1029" s="116">
        <v>2</v>
      </c>
      <c r="P1029" s="65">
        <f t="shared" si="63"/>
        <v>0</v>
      </c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7"/>
      <c r="AQ1029" s="67"/>
      <c r="AR1029" s="67"/>
      <c r="AS1029" s="67"/>
      <c r="AT1029" s="67"/>
      <c r="AU1029" s="67"/>
      <c r="AV1029" s="67"/>
      <c r="AW1029" s="67"/>
      <c r="AX1029" s="67"/>
      <c r="AY1029" s="67"/>
      <c r="AZ1029" s="67"/>
      <c r="BA1029" s="67"/>
      <c r="BB1029" s="67"/>
      <c r="BC1029" s="67"/>
      <c r="BD1029" s="67"/>
      <c r="BE1029" s="67"/>
      <c r="BF1029" s="67"/>
      <c r="BG1029" s="118"/>
      <c r="BH1029" s="119"/>
      <c r="BI1029" s="120">
        <v>0</v>
      </c>
      <c r="BJ1029" s="121">
        <v>0</v>
      </c>
      <c r="BK1029" s="122">
        <v>0</v>
      </c>
      <c r="BL1029" s="122">
        <v>0</v>
      </c>
      <c r="BM1029" s="122">
        <v>0</v>
      </c>
      <c r="BN1029" s="123">
        <v>0</v>
      </c>
      <c r="BO1029" s="204" t="e">
        <f t="shared" si="66"/>
        <v>#DIV/0!</v>
      </c>
      <c r="BP1029" s="204" t="e">
        <f t="shared" si="67"/>
        <v>#DIV/0!</v>
      </c>
      <c r="BQ1029" s="122">
        <v>0</v>
      </c>
      <c r="BR1029" s="122">
        <v>0</v>
      </c>
      <c r="BS1029" s="122">
        <v>0</v>
      </c>
      <c r="BT1029" s="123">
        <v>0</v>
      </c>
      <c r="BU1029" s="124"/>
      <c r="BV1029" s="124"/>
      <c r="BW1029" s="125"/>
      <c r="XDC1029" s="126"/>
      <c r="XDD1029" s="126"/>
      <c r="XDE1029" s="126"/>
      <c r="XDF1029" s="126"/>
      <c r="XDG1029" s="126"/>
      <c r="XDH1029" s="126"/>
      <c r="XDI1029" s="126"/>
      <c r="XDJ1029" s="126"/>
      <c r="XDK1029" s="126"/>
      <c r="XDL1029" s="126"/>
      <c r="XDM1029" s="126"/>
      <c r="XDN1029" s="126"/>
      <c r="XDO1029" s="126"/>
      <c r="XDP1029" s="126"/>
      <c r="XDQ1029" s="126"/>
      <c r="XDR1029" s="126"/>
      <c r="XDS1029" s="126"/>
      <c r="XDT1029" s="126"/>
      <c r="XDU1029" s="126"/>
    </row>
    <row r="1030" s="1" customFormat="1" ht="30" customHeight="1" spans="1:75 16331:16349">
      <c r="A1030" s="110">
        <v>0</v>
      </c>
      <c r="B1030" s="111">
        <v>0</v>
      </c>
      <c r="C1030" s="112">
        <v>0</v>
      </c>
      <c r="D1030" s="127"/>
      <c r="E1030" s="127"/>
      <c r="F1030" s="113" t="e">
        <f>VLOOKUP(E1030,[1]库存!$B$1:$C$65536,2,FALSE)</f>
        <v>#N/A</v>
      </c>
      <c r="G1030" s="113" t="e">
        <v>#N/A</v>
      </c>
      <c r="H1030" s="127"/>
      <c r="I1030" s="127"/>
      <c r="J1030" s="221"/>
      <c r="K1030" s="115"/>
      <c r="L1030" s="116">
        <v>0</v>
      </c>
      <c r="M1030" s="117">
        <v>0</v>
      </c>
      <c r="N1030" s="114">
        <v>0</v>
      </c>
      <c r="O1030" s="116">
        <v>0</v>
      </c>
      <c r="P1030" s="65">
        <f t="shared" ref="P1030:P1093" si="68">SUM(AG1030:AJ1030)</f>
        <v>0</v>
      </c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7"/>
      <c r="AQ1030" s="67"/>
      <c r="AR1030" s="67"/>
      <c r="AS1030" s="67"/>
      <c r="AT1030" s="67"/>
      <c r="AU1030" s="67"/>
      <c r="AV1030" s="67"/>
      <c r="AW1030" s="67"/>
      <c r="AX1030" s="67"/>
      <c r="AY1030" s="67"/>
      <c r="AZ1030" s="67"/>
      <c r="BA1030" s="67"/>
      <c r="BB1030" s="67"/>
      <c r="BC1030" s="67"/>
      <c r="BD1030" s="67"/>
      <c r="BE1030" s="67"/>
      <c r="BF1030" s="67"/>
      <c r="BG1030" s="118"/>
      <c r="BH1030" s="119"/>
      <c r="BI1030" s="120">
        <v>0</v>
      </c>
      <c r="BJ1030" s="121">
        <v>0</v>
      </c>
      <c r="BK1030" s="122">
        <v>0</v>
      </c>
      <c r="BL1030" s="122">
        <v>0</v>
      </c>
      <c r="BM1030" s="122">
        <v>0</v>
      </c>
      <c r="BN1030" s="123">
        <v>0</v>
      </c>
      <c r="BO1030" s="204" t="e">
        <f t="shared" si="66"/>
        <v>#DIV/0!</v>
      </c>
      <c r="BP1030" s="204" t="e">
        <f t="shared" si="67"/>
        <v>#DIV/0!</v>
      </c>
      <c r="BQ1030" s="122">
        <v>0</v>
      </c>
      <c r="BR1030" s="122">
        <v>0</v>
      </c>
      <c r="BS1030" s="122">
        <v>0</v>
      </c>
      <c r="BT1030" s="123">
        <v>0</v>
      </c>
      <c r="BU1030" s="124"/>
      <c r="BV1030" s="124"/>
      <c r="BW1030" s="125"/>
      <c r="XDC1030" s="126"/>
      <c r="XDD1030" s="126"/>
      <c r="XDE1030" s="126"/>
      <c r="XDF1030" s="126"/>
      <c r="XDG1030" s="126"/>
      <c r="XDH1030" s="126"/>
      <c r="XDI1030" s="126"/>
      <c r="XDJ1030" s="126"/>
      <c r="XDK1030" s="126"/>
      <c r="XDL1030" s="126"/>
      <c r="XDM1030" s="126"/>
      <c r="XDN1030" s="126"/>
      <c r="XDO1030" s="126"/>
      <c r="XDP1030" s="126"/>
      <c r="XDQ1030" s="126"/>
      <c r="XDR1030" s="126"/>
      <c r="XDS1030" s="126"/>
      <c r="XDT1030" s="126"/>
      <c r="XDU1030" s="126"/>
    </row>
    <row r="1031" ht="30" customHeight="1" spans="1:75 16331:16349">
      <c r="A1031" s="55">
        <v>0</v>
      </c>
      <c r="B1031" s="56">
        <v>0</v>
      </c>
      <c r="C1031" s="57">
        <v>0</v>
      </c>
      <c r="E1031" s="88"/>
      <c r="F1031" s="59" t="e">
        <f>VLOOKUP(E1031,[1]库存!$B$1:$C$65536,2,FALSE)</f>
        <v>#N/A</v>
      </c>
      <c r="G1031" s="59" t="e">
        <v>#N/A</v>
      </c>
      <c r="H1031" s="89"/>
      <c r="I1031" s="88"/>
      <c r="J1031" s="90"/>
      <c r="K1031" s="61"/>
      <c r="L1031" s="62">
        <v>0</v>
      </c>
      <c r="M1031" s="63">
        <v>0</v>
      </c>
      <c r="N1031" s="64">
        <v>0</v>
      </c>
      <c r="O1031" s="62">
        <v>0</v>
      </c>
      <c r="P1031" s="65">
        <f t="shared" si="68"/>
        <v>0</v>
      </c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  <c r="AA1031" s="66"/>
      <c r="AB1031" s="66"/>
      <c r="AC1031" s="66"/>
      <c r="AD1031" s="66"/>
      <c r="AE1031" s="66"/>
      <c r="AF1031" s="66"/>
      <c r="AG1031" s="66"/>
      <c r="AH1031" s="66"/>
      <c r="AI1031" s="66"/>
      <c r="AJ1031" s="66"/>
      <c r="AK1031" s="66"/>
      <c r="AL1031" s="66"/>
      <c r="AM1031" s="66"/>
      <c r="AN1031" s="66"/>
      <c r="AO1031" s="66"/>
      <c r="AP1031" s="66"/>
      <c r="AQ1031" s="66"/>
      <c r="AR1031" s="66"/>
      <c r="AS1031" s="66"/>
      <c r="AT1031" s="66"/>
      <c r="AU1031" s="66"/>
      <c r="AV1031" s="66"/>
      <c r="AW1031" s="66"/>
      <c r="AX1031" s="66"/>
      <c r="AY1031" s="66"/>
      <c r="AZ1031" s="66"/>
      <c r="BA1031" s="66"/>
      <c r="BB1031" s="66"/>
      <c r="BC1031" s="66"/>
      <c r="BD1031" s="66"/>
      <c r="BE1031" s="67"/>
      <c r="BF1031" s="67"/>
      <c r="BG1031" s="68"/>
      <c r="BI1031" s="69">
        <v>0</v>
      </c>
      <c r="BJ1031" s="70">
        <v>0</v>
      </c>
      <c r="BK1031" s="71">
        <v>0</v>
      </c>
      <c r="BL1031" s="71">
        <v>0</v>
      </c>
      <c r="BM1031" s="71">
        <v>0</v>
      </c>
      <c r="BN1031" s="72">
        <v>0</v>
      </c>
      <c r="BO1031" s="151" t="e">
        <f t="shared" si="66"/>
        <v>#DIV/0!</v>
      </c>
      <c r="BP1031" s="151" t="e">
        <f t="shared" si="67"/>
        <v>#DIV/0!</v>
      </c>
      <c r="BQ1031" s="71">
        <v>0</v>
      </c>
      <c r="BR1031" s="71">
        <v>0</v>
      </c>
      <c r="BS1031" s="71">
        <v>0</v>
      </c>
      <c r="BT1031" s="72">
        <v>0</v>
      </c>
      <c r="BU1031" s="73"/>
      <c r="BV1031" s="73"/>
    </row>
    <row r="1032" ht="30" customHeight="1" spans="1:75 16331:16349">
      <c r="A1032" s="55" t="s">
        <v>165</v>
      </c>
      <c r="B1032" s="56" t="s">
        <v>1057</v>
      </c>
      <c r="C1032" s="57" t="s">
        <v>1072</v>
      </c>
      <c r="D1032" s="91" t="s">
        <v>1737</v>
      </c>
      <c r="E1032" s="91" t="s">
        <v>1738</v>
      </c>
      <c r="F1032" s="91" t="str">
        <f>VLOOKUP(E1032,[1]库存!$B$1:$C$65536,2,FALSE)</f>
        <v>GEELY BX11 SAB LH B状态</v>
      </c>
      <c r="G1032" s="91" t="s">
        <v>1739</v>
      </c>
      <c r="H1032" s="91" t="s">
        <v>1740</v>
      </c>
      <c r="I1032" s="91" t="s">
        <v>1741</v>
      </c>
      <c r="J1032" s="64"/>
      <c r="K1032" s="61"/>
      <c r="L1032" s="62">
        <v>2</v>
      </c>
      <c r="M1032" s="63">
        <v>1600</v>
      </c>
      <c r="N1032" s="64">
        <v>9</v>
      </c>
      <c r="O1032" s="62">
        <v>2</v>
      </c>
      <c r="P1032" s="65">
        <f t="shared" si="68"/>
        <v>0</v>
      </c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  <c r="AA1032" s="66"/>
      <c r="AB1032" s="66"/>
      <c r="AC1032" s="66"/>
      <c r="AD1032" s="66"/>
      <c r="AE1032" s="66"/>
      <c r="AF1032" s="66"/>
      <c r="AG1032" s="66"/>
      <c r="AH1032" s="66"/>
      <c r="AI1032" s="66"/>
      <c r="AJ1032" s="66"/>
      <c r="AK1032" s="66"/>
      <c r="AL1032" s="66"/>
      <c r="AM1032" s="66"/>
      <c r="AN1032" s="66"/>
      <c r="AO1032" s="66"/>
      <c r="AP1032" s="66"/>
      <c r="AQ1032" s="66"/>
      <c r="AR1032" s="66"/>
      <c r="AS1032" s="66"/>
      <c r="AT1032" s="66"/>
      <c r="AU1032" s="66"/>
      <c r="AV1032" s="66"/>
      <c r="AW1032" s="66"/>
      <c r="AX1032" s="66"/>
      <c r="AY1032" s="66"/>
      <c r="AZ1032" s="66"/>
      <c r="BA1032" s="66"/>
      <c r="BB1032" s="66"/>
      <c r="BC1032" s="66"/>
      <c r="BD1032" s="66"/>
      <c r="BE1032" s="67"/>
      <c r="BF1032" s="67"/>
      <c r="BG1032" s="68"/>
      <c r="BI1032" s="69">
        <v>0</v>
      </c>
      <c r="BJ1032" s="70">
        <v>0</v>
      </c>
      <c r="BK1032" s="71">
        <v>0</v>
      </c>
      <c r="BL1032" s="71">
        <v>0</v>
      </c>
      <c r="BM1032" s="71">
        <v>0</v>
      </c>
      <c r="BN1032" s="72">
        <v>0</v>
      </c>
      <c r="BO1032" s="151" t="e">
        <f t="shared" si="66"/>
        <v>#DIV/0!</v>
      </c>
      <c r="BP1032" s="151" t="e">
        <f t="shared" si="67"/>
        <v>#DIV/0!</v>
      </c>
      <c r="BQ1032" s="71">
        <v>0</v>
      </c>
      <c r="BR1032" s="71">
        <v>0</v>
      </c>
      <c r="BS1032" s="71">
        <v>0</v>
      </c>
      <c r="BT1032" s="72">
        <v>0</v>
      </c>
      <c r="BU1032" s="73"/>
      <c r="BV1032" s="73"/>
    </row>
    <row r="1033" ht="30" customHeight="1" spans="1:75 16331:16349">
      <c r="A1033" s="55">
        <v>0</v>
      </c>
      <c r="B1033" s="56">
        <v>0</v>
      </c>
      <c r="C1033" s="57">
        <v>0</v>
      </c>
      <c r="D1033" s="92"/>
      <c r="E1033" s="92"/>
      <c r="F1033" s="91" t="e">
        <f>VLOOKUP(E1033,[1]库存!$B$1:$C$65536,2,FALSE)</f>
        <v>#N/A</v>
      </c>
      <c r="G1033" s="91" t="e">
        <v>#N/A</v>
      </c>
      <c r="H1033" s="92"/>
      <c r="I1033" s="92"/>
      <c r="J1033" s="93"/>
      <c r="K1033" s="61"/>
      <c r="L1033" s="62">
        <v>0</v>
      </c>
      <c r="M1033" s="63">
        <v>0</v>
      </c>
      <c r="N1033" s="64">
        <v>0</v>
      </c>
      <c r="O1033" s="62">
        <v>0</v>
      </c>
      <c r="P1033" s="65">
        <f t="shared" si="68"/>
        <v>0</v>
      </c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  <c r="AA1033" s="66"/>
      <c r="AB1033" s="66"/>
      <c r="AC1033" s="66"/>
      <c r="AD1033" s="66"/>
      <c r="AE1033" s="66"/>
      <c r="AF1033" s="66"/>
      <c r="AG1033" s="66"/>
      <c r="AH1033" s="66"/>
      <c r="AI1033" s="66"/>
      <c r="AJ1033" s="66"/>
      <c r="AK1033" s="66"/>
      <c r="AL1033" s="66"/>
      <c r="AM1033" s="66"/>
      <c r="AN1033" s="66"/>
      <c r="AO1033" s="66"/>
      <c r="AP1033" s="66"/>
      <c r="AQ1033" s="66"/>
      <c r="AR1033" s="66"/>
      <c r="AS1033" s="66"/>
      <c r="AT1033" s="66"/>
      <c r="AU1033" s="66"/>
      <c r="AV1033" s="66"/>
      <c r="AW1033" s="66"/>
      <c r="AX1033" s="66"/>
      <c r="AY1033" s="66"/>
      <c r="AZ1033" s="66"/>
      <c r="BA1033" s="66"/>
      <c r="BB1033" s="66"/>
      <c r="BC1033" s="66"/>
      <c r="BD1033" s="66"/>
      <c r="BE1033" s="67"/>
      <c r="BF1033" s="67"/>
      <c r="BG1033" s="68"/>
      <c r="BI1033" s="69">
        <v>0</v>
      </c>
      <c r="BJ1033" s="70">
        <v>0</v>
      </c>
      <c r="BK1033" s="71">
        <v>0</v>
      </c>
      <c r="BL1033" s="71">
        <v>0</v>
      </c>
      <c r="BM1033" s="71">
        <v>0</v>
      </c>
      <c r="BN1033" s="72">
        <v>0</v>
      </c>
      <c r="BO1033" s="151" t="e">
        <f t="shared" si="66"/>
        <v>#DIV/0!</v>
      </c>
      <c r="BP1033" s="151" t="e">
        <f t="shared" si="67"/>
        <v>#DIV/0!</v>
      </c>
      <c r="BQ1033" s="71">
        <v>0</v>
      </c>
      <c r="BR1033" s="71">
        <v>0</v>
      </c>
      <c r="BS1033" s="71">
        <v>0</v>
      </c>
      <c r="BT1033" s="72">
        <v>0</v>
      </c>
      <c r="BU1033" s="73"/>
      <c r="BV1033" s="73"/>
    </row>
    <row r="1034" ht="30" customHeight="1" spans="1:75 16331:16349">
      <c r="A1034" s="55" t="s">
        <v>165</v>
      </c>
      <c r="B1034" s="56" t="s">
        <v>1057</v>
      </c>
      <c r="C1034" s="57" t="s">
        <v>1072</v>
      </c>
      <c r="D1034" s="91" t="s">
        <v>1737</v>
      </c>
      <c r="E1034" s="91" t="s">
        <v>1742</v>
      </c>
      <c r="F1034" s="91" t="str">
        <f>VLOOKUP(E1034,[1]库存!$B$1:$C$65536,2,FALSE)</f>
        <v>GEELY BX11 SAB RH B状态</v>
      </c>
      <c r="G1034" s="91" t="s">
        <v>1743</v>
      </c>
      <c r="H1034" s="91" t="s">
        <v>1744</v>
      </c>
      <c r="I1034" s="91" t="s">
        <v>1741</v>
      </c>
      <c r="J1034" s="64"/>
      <c r="K1034" s="61"/>
      <c r="L1034" s="62">
        <v>2</v>
      </c>
      <c r="M1034" s="63">
        <v>1600</v>
      </c>
      <c r="N1034" s="64">
        <v>9</v>
      </c>
      <c r="O1034" s="62">
        <v>2</v>
      </c>
      <c r="P1034" s="65">
        <f t="shared" si="68"/>
        <v>0</v>
      </c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  <c r="AA1034" s="66"/>
      <c r="AB1034" s="66"/>
      <c r="AC1034" s="66"/>
      <c r="AD1034" s="66"/>
      <c r="AE1034" s="66"/>
      <c r="AF1034" s="66"/>
      <c r="AG1034" s="66"/>
      <c r="AH1034" s="66"/>
      <c r="AI1034" s="66"/>
      <c r="AJ1034" s="66"/>
      <c r="AK1034" s="66"/>
      <c r="AL1034" s="66"/>
      <c r="AM1034" s="66"/>
      <c r="AN1034" s="66"/>
      <c r="AO1034" s="66"/>
      <c r="AP1034" s="66"/>
      <c r="AQ1034" s="66"/>
      <c r="AR1034" s="66"/>
      <c r="AS1034" s="66"/>
      <c r="AT1034" s="66"/>
      <c r="AU1034" s="66"/>
      <c r="AV1034" s="66"/>
      <c r="AW1034" s="66"/>
      <c r="AX1034" s="66"/>
      <c r="AY1034" s="66"/>
      <c r="AZ1034" s="66"/>
      <c r="BA1034" s="66"/>
      <c r="BB1034" s="66"/>
      <c r="BC1034" s="66"/>
      <c r="BD1034" s="66"/>
      <c r="BE1034" s="67"/>
      <c r="BF1034" s="67"/>
      <c r="BG1034" s="68"/>
      <c r="BI1034" s="69">
        <v>0</v>
      </c>
      <c r="BJ1034" s="70">
        <v>0</v>
      </c>
      <c r="BK1034" s="71">
        <v>0</v>
      </c>
      <c r="BL1034" s="71">
        <v>0</v>
      </c>
      <c r="BM1034" s="71">
        <v>0</v>
      </c>
      <c r="BN1034" s="72">
        <v>0</v>
      </c>
      <c r="BO1034" s="151" t="e">
        <f t="shared" si="66"/>
        <v>#DIV/0!</v>
      </c>
      <c r="BP1034" s="151" t="e">
        <f t="shared" si="67"/>
        <v>#DIV/0!</v>
      </c>
      <c r="BQ1034" s="71">
        <v>0</v>
      </c>
      <c r="BR1034" s="71">
        <v>0</v>
      </c>
      <c r="BS1034" s="71">
        <v>0</v>
      </c>
      <c r="BT1034" s="72">
        <v>0</v>
      </c>
      <c r="BU1034" s="73"/>
      <c r="BV1034" s="73"/>
    </row>
    <row r="1035" ht="30" customHeight="1" spans="1:75 16331:16349">
      <c r="A1035" s="55">
        <v>0</v>
      </c>
      <c r="B1035" s="56">
        <v>0</v>
      </c>
      <c r="C1035" s="57">
        <v>0</v>
      </c>
      <c r="D1035" s="92"/>
      <c r="E1035" s="92"/>
      <c r="F1035" s="91" t="e">
        <f>VLOOKUP(E1035,[1]库存!$B$1:$C$65536,2,FALSE)</f>
        <v>#N/A</v>
      </c>
      <c r="G1035" s="91" t="e">
        <v>#N/A</v>
      </c>
      <c r="H1035" s="92"/>
      <c r="I1035" s="92"/>
      <c r="J1035" s="93"/>
      <c r="K1035" s="61"/>
      <c r="L1035" s="62">
        <v>0</v>
      </c>
      <c r="M1035" s="63">
        <v>0</v>
      </c>
      <c r="N1035" s="64">
        <v>0</v>
      </c>
      <c r="O1035" s="62">
        <v>0</v>
      </c>
      <c r="P1035" s="65">
        <f t="shared" si="68"/>
        <v>0</v>
      </c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  <c r="AA1035" s="66"/>
      <c r="AB1035" s="66"/>
      <c r="AC1035" s="66"/>
      <c r="AD1035" s="66"/>
      <c r="AE1035" s="66"/>
      <c r="AF1035" s="66"/>
      <c r="AG1035" s="66"/>
      <c r="AH1035" s="66"/>
      <c r="AI1035" s="66"/>
      <c r="AJ1035" s="66"/>
      <c r="AK1035" s="66"/>
      <c r="AL1035" s="66"/>
      <c r="AM1035" s="66"/>
      <c r="AN1035" s="66"/>
      <c r="AO1035" s="66"/>
      <c r="AP1035" s="66"/>
      <c r="AQ1035" s="66"/>
      <c r="AR1035" s="66"/>
      <c r="AS1035" s="66"/>
      <c r="AT1035" s="66"/>
      <c r="AU1035" s="66"/>
      <c r="AV1035" s="66"/>
      <c r="AW1035" s="66"/>
      <c r="AX1035" s="66"/>
      <c r="AY1035" s="66"/>
      <c r="AZ1035" s="66"/>
      <c r="BA1035" s="66"/>
      <c r="BB1035" s="66"/>
      <c r="BC1035" s="66"/>
      <c r="BD1035" s="66"/>
      <c r="BE1035" s="67"/>
      <c r="BF1035" s="67"/>
      <c r="BG1035" s="68"/>
      <c r="BI1035" s="69">
        <v>0</v>
      </c>
      <c r="BJ1035" s="70">
        <v>0</v>
      </c>
      <c r="BK1035" s="71">
        <v>0</v>
      </c>
      <c r="BL1035" s="71">
        <v>0</v>
      </c>
      <c r="BM1035" s="71">
        <v>0</v>
      </c>
      <c r="BN1035" s="72">
        <v>0</v>
      </c>
      <c r="BO1035" s="151" t="e">
        <f t="shared" si="66"/>
        <v>#DIV/0!</v>
      </c>
      <c r="BP1035" s="151" t="e">
        <f t="shared" si="67"/>
        <v>#DIV/0!</v>
      </c>
      <c r="BQ1035" s="71">
        <v>0</v>
      </c>
      <c r="BR1035" s="71">
        <v>0</v>
      </c>
      <c r="BS1035" s="71">
        <v>0</v>
      </c>
      <c r="BT1035" s="72">
        <v>0</v>
      </c>
      <c r="BU1035" s="73"/>
      <c r="BV1035" s="73"/>
    </row>
    <row r="1036" ht="30" customHeight="1" spans="1:75 16331:16349">
      <c r="A1036" s="55" t="s">
        <v>165</v>
      </c>
      <c r="B1036" s="56" t="s">
        <v>1057</v>
      </c>
      <c r="C1036" s="57" t="s">
        <v>1072</v>
      </c>
      <c r="D1036" s="91" t="s">
        <v>1737</v>
      </c>
      <c r="E1036" s="91" t="s">
        <v>1745</v>
      </c>
      <c r="F1036" s="91" t="str">
        <f>VLOOKUP(E1036,[1]库存!$B$1:$C$65536,2,FALSE)</f>
        <v>SX11 SAB LH A状态 (埃)</v>
      </c>
      <c r="G1036" s="91" t="s">
        <v>1746</v>
      </c>
      <c r="H1036" s="91" t="s">
        <v>1747</v>
      </c>
      <c r="I1036" s="91" t="s">
        <v>1748</v>
      </c>
      <c r="J1036" s="64"/>
      <c r="K1036" s="61"/>
      <c r="L1036" s="62">
        <v>2</v>
      </c>
      <c r="M1036" s="63">
        <v>1600</v>
      </c>
      <c r="N1036" s="64">
        <v>9</v>
      </c>
      <c r="O1036" s="62">
        <v>2</v>
      </c>
      <c r="P1036" s="65">
        <f t="shared" si="68"/>
        <v>0</v>
      </c>
      <c r="Q1036" s="66"/>
      <c r="R1036" s="66"/>
      <c r="S1036" s="66" t="s">
        <v>471</v>
      </c>
      <c r="T1036" s="66"/>
      <c r="U1036" s="66"/>
      <c r="V1036" s="66"/>
      <c r="W1036" s="66"/>
      <c r="X1036" s="66"/>
      <c r="Y1036" s="66"/>
      <c r="Z1036" s="66"/>
      <c r="AA1036" s="66"/>
      <c r="AB1036" s="66"/>
      <c r="AC1036" s="66"/>
      <c r="AD1036" s="66"/>
      <c r="AE1036" s="66"/>
      <c r="AF1036" s="66"/>
      <c r="AG1036" s="66"/>
      <c r="AH1036" s="66"/>
      <c r="AI1036" s="66"/>
      <c r="AJ1036" s="66"/>
      <c r="AK1036" s="66"/>
      <c r="AL1036" s="66"/>
      <c r="AM1036" s="66"/>
      <c r="AN1036" s="66"/>
      <c r="AO1036" s="66"/>
      <c r="AP1036" s="66"/>
      <c r="AQ1036" s="66"/>
      <c r="AR1036" s="66"/>
      <c r="AS1036" s="66"/>
      <c r="AT1036" s="66"/>
      <c r="AU1036" s="66"/>
      <c r="AV1036" s="66"/>
      <c r="AW1036" s="66"/>
      <c r="AX1036" s="66"/>
      <c r="AY1036" s="66"/>
      <c r="AZ1036" s="66"/>
      <c r="BA1036" s="66"/>
      <c r="BB1036" s="66"/>
      <c r="BC1036" s="66"/>
      <c r="BD1036" s="66"/>
      <c r="BE1036" s="67"/>
      <c r="BF1036" s="67"/>
      <c r="BG1036" s="68"/>
      <c r="BI1036" s="69">
        <v>0</v>
      </c>
      <c r="BJ1036" s="70">
        <v>0</v>
      </c>
      <c r="BK1036" s="71">
        <v>0</v>
      </c>
      <c r="BL1036" s="71">
        <v>0</v>
      </c>
      <c r="BM1036" s="71">
        <v>0</v>
      </c>
      <c r="BN1036" s="72">
        <v>0</v>
      </c>
      <c r="BO1036" s="151" t="e">
        <f t="shared" si="66"/>
        <v>#DIV/0!</v>
      </c>
      <c r="BP1036" s="151" t="e">
        <f t="shared" si="67"/>
        <v>#DIV/0!</v>
      </c>
      <c r="BQ1036" s="71">
        <v>0</v>
      </c>
      <c r="BR1036" s="71">
        <v>0</v>
      </c>
      <c r="BS1036" s="71">
        <v>0</v>
      </c>
      <c r="BT1036" s="72">
        <v>0</v>
      </c>
      <c r="BU1036" s="73"/>
      <c r="BV1036" s="73"/>
    </row>
    <row r="1037" ht="30" customHeight="1" spans="1:75 16331:16349">
      <c r="A1037" s="55">
        <v>0</v>
      </c>
      <c r="B1037" s="56">
        <v>0</v>
      </c>
      <c r="C1037" s="57">
        <v>0</v>
      </c>
      <c r="D1037" s="92"/>
      <c r="E1037" s="92"/>
      <c r="F1037" s="91" t="e">
        <f>VLOOKUP(E1037,[1]库存!$B$1:$C$65536,2,FALSE)</f>
        <v>#N/A</v>
      </c>
      <c r="G1037" s="91" t="e">
        <v>#N/A</v>
      </c>
      <c r="H1037" s="92"/>
      <c r="I1037" s="92"/>
      <c r="J1037" s="93"/>
      <c r="K1037" s="61"/>
      <c r="L1037" s="62">
        <v>0</v>
      </c>
      <c r="M1037" s="63">
        <v>0</v>
      </c>
      <c r="N1037" s="64">
        <v>0</v>
      </c>
      <c r="O1037" s="62">
        <v>0</v>
      </c>
      <c r="P1037" s="65">
        <f t="shared" si="68"/>
        <v>0</v>
      </c>
      <c r="Q1037" s="66"/>
      <c r="R1037" s="66"/>
      <c r="S1037" s="66">
        <v>306</v>
      </c>
      <c r="T1037" s="66"/>
      <c r="U1037" s="66"/>
      <c r="V1037" s="66"/>
      <c r="W1037" s="66"/>
      <c r="X1037" s="66"/>
      <c r="Y1037" s="66"/>
      <c r="Z1037" s="66"/>
      <c r="AA1037" s="66"/>
      <c r="AB1037" s="66"/>
      <c r="AC1037" s="66"/>
      <c r="AD1037" s="66"/>
      <c r="AE1037" s="66"/>
      <c r="AF1037" s="66"/>
      <c r="AG1037" s="66"/>
      <c r="AH1037" s="66"/>
      <c r="AI1037" s="66"/>
      <c r="AJ1037" s="66"/>
      <c r="AK1037" s="66"/>
      <c r="AL1037" s="66"/>
      <c r="AM1037" s="66"/>
      <c r="AN1037" s="66"/>
      <c r="AO1037" s="66"/>
      <c r="AP1037" s="66"/>
      <c r="AQ1037" s="66"/>
      <c r="AR1037" s="66"/>
      <c r="AS1037" s="66"/>
      <c r="AT1037" s="66"/>
      <c r="AU1037" s="66"/>
      <c r="AV1037" s="66"/>
      <c r="AW1037" s="66"/>
      <c r="AX1037" s="66"/>
      <c r="AY1037" s="66"/>
      <c r="AZ1037" s="66"/>
      <c r="BA1037" s="66"/>
      <c r="BB1037" s="66"/>
      <c r="BC1037" s="66"/>
      <c r="BD1037" s="66"/>
      <c r="BE1037" s="67"/>
      <c r="BF1037" s="67"/>
      <c r="BG1037" s="68"/>
      <c r="BI1037" s="69">
        <v>0</v>
      </c>
      <c r="BJ1037" s="70">
        <v>0</v>
      </c>
      <c r="BK1037" s="71">
        <v>0</v>
      </c>
      <c r="BL1037" s="71">
        <v>0</v>
      </c>
      <c r="BM1037" s="71">
        <v>0</v>
      </c>
      <c r="BN1037" s="72">
        <v>0</v>
      </c>
      <c r="BO1037" s="151" t="e">
        <f t="shared" si="66"/>
        <v>#DIV/0!</v>
      </c>
      <c r="BP1037" s="151" t="e">
        <f t="shared" si="67"/>
        <v>#DIV/0!</v>
      </c>
      <c r="BQ1037" s="71">
        <v>0</v>
      </c>
      <c r="BR1037" s="71">
        <v>0</v>
      </c>
      <c r="BS1037" s="71">
        <v>0</v>
      </c>
      <c r="BT1037" s="72">
        <v>0</v>
      </c>
      <c r="BU1037" s="73"/>
      <c r="BV1037" s="73"/>
    </row>
    <row r="1038" ht="30" customHeight="1" spans="1:75 16331:16349">
      <c r="A1038" s="55" t="s">
        <v>165</v>
      </c>
      <c r="B1038" s="56" t="s">
        <v>1057</v>
      </c>
      <c r="C1038" s="57" t="s">
        <v>1072</v>
      </c>
      <c r="D1038" s="91" t="s">
        <v>1737</v>
      </c>
      <c r="E1038" s="91" t="s">
        <v>1749</v>
      </c>
      <c r="F1038" s="91" t="str">
        <f>VLOOKUP(E1038,[1]库存!$B$1:$C$65536,2,FALSE)</f>
        <v>SX11 SAB RH A状态 (埃)</v>
      </c>
      <c r="G1038" s="91" t="s">
        <v>1750</v>
      </c>
      <c r="H1038" s="91" t="s">
        <v>1751</v>
      </c>
      <c r="I1038" s="91" t="s">
        <v>1748</v>
      </c>
      <c r="J1038" s="64"/>
      <c r="K1038" s="61"/>
      <c r="L1038" s="62">
        <v>2</v>
      </c>
      <c r="M1038" s="63">
        <v>1600</v>
      </c>
      <c r="N1038" s="64">
        <v>9</v>
      </c>
      <c r="O1038" s="62">
        <v>2</v>
      </c>
      <c r="P1038" s="65">
        <f t="shared" si="68"/>
        <v>0</v>
      </c>
      <c r="Q1038" s="66">
        <v>0</v>
      </c>
      <c r="R1038" s="66"/>
      <c r="S1038" s="66">
        <v>1400</v>
      </c>
      <c r="T1038" s="66"/>
      <c r="U1038" s="66">
        <v>0</v>
      </c>
      <c r="V1038" s="66"/>
      <c r="W1038" s="66"/>
      <c r="X1038" s="66"/>
      <c r="Y1038" s="66"/>
      <c r="Z1038" s="66"/>
      <c r="AA1038" s="66"/>
      <c r="AB1038" s="66"/>
      <c r="AC1038" s="66"/>
      <c r="AD1038" s="66"/>
      <c r="AE1038" s="66"/>
      <c r="AF1038" s="66"/>
      <c r="AG1038" s="66"/>
      <c r="AH1038" s="66"/>
      <c r="AI1038" s="66"/>
      <c r="AJ1038" s="66"/>
      <c r="AK1038" s="66"/>
      <c r="AL1038" s="66"/>
      <c r="AM1038" s="66"/>
      <c r="AN1038" s="66"/>
      <c r="AO1038" s="66"/>
      <c r="AP1038" s="66"/>
      <c r="AQ1038" s="66"/>
      <c r="AR1038" s="66"/>
      <c r="AS1038" s="66"/>
      <c r="AT1038" s="66"/>
      <c r="AU1038" s="66"/>
      <c r="AV1038" s="66"/>
      <c r="AW1038" s="66"/>
      <c r="AX1038" s="66"/>
      <c r="AY1038" s="66"/>
      <c r="AZ1038" s="66"/>
      <c r="BA1038" s="66"/>
      <c r="BB1038" s="66"/>
      <c r="BC1038" s="66"/>
      <c r="BD1038" s="66"/>
      <c r="BE1038" s="67"/>
      <c r="BF1038" s="67"/>
      <c r="BG1038" s="68"/>
      <c r="BI1038" s="69">
        <v>0</v>
      </c>
      <c r="BJ1038" s="70">
        <v>0</v>
      </c>
      <c r="BK1038" s="71">
        <v>0</v>
      </c>
      <c r="BL1038" s="71">
        <v>0</v>
      </c>
      <c r="BM1038" s="71">
        <v>0</v>
      </c>
      <c r="BN1038" s="72">
        <v>0</v>
      </c>
      <c r="BO1038" s="151" t="e">
        <f t="shared" si="66"/>
        <v>#DIV/0!</v>
      </c>
      <c r="BP1038" s="151" t="e">
        <f t="shared" si="67"/>
        <v>#DIV/0!</v>
      </c>
      <c r="BQ1038" s="71">
        <v>0</v>
      </c>
      <c r="BR1038" s="71">
        <v>0</v>
      </c>
      <c r="BS1038" s="71">
        <v>0</v>
      </c>
      <c r="BT1038" s="72">
        <v>0</v>
      </c>
      <c r="BU1038" s="73"/>
      <c r="BV1038" s="73"/>
    </row>
    <row r="1039" ht="30" customHeight="1" spans="1:75 16331:16349">
      <c r="A1039" s="55">
        <v>0</v>
      </c>
      <c r="B1039" s="56">
        <v>0</v>
      </c>
      <c r="C1039" s="57">
        <v>0</v>
      </c>
      <c r="D1039" s="92"/>
      <c r="E1039" s="92"/>
      <c r="F1039" s="91" t="e">
        <f>VLOOKUP(E1039,[1]库存!$B$1:$C$65536,2,FALSE)</f>
        <v>#N/A</v>
      </c>
      <c r="G1039" s="91" t="e">
        <v>#N/A</v>
      </c>
      <c r="H1039" s="92"/>
      <c r="I1039" s="92"/>
      <c r="J1039" s="93"/>
      <c r="K1039" s="61"/>
      <c r="L1039" s="62">
        <v>0</v>
      </c>
      <c r="M1039" s="63">
        <v>0</v>
      </c>
      <c r="N1039" s="64">
        <v>0</v>
      </c>
      <c r="O1039" s="62">
        <v>0</v>
      </c>
      <c r="P1039" s="65">
        <f t="shared" si="68"/>
        <v>0</v>
      </c>
      <c r="Q1039" s="66"/>
      <c r="R1039" s="66"/>
      <c r="S1039" s="66">
        <v>1432</v>
      </c>
      <c r="T1039" s="66"/>
      <c r="U1039" s="66"/>
      <c r="V1039" s="66"/>
      <c r="W1039" s="66"/>
      <c r="X1039" s="66"/>
      <c r="Y1039" s="66"/>
      <c r="Z1039" s="66"/>
      <c r="AA1039" s="66"/>
      <c r="AB1039" s="66"/>
      <c r="AC1039" s="66"/>
      <c r="AD1039" s="66"/>
      <c r="AE1039" s="66"/>
      <c r="AF1039" s="66"/>
      <c r="AG1039" s="66"/>
      <c r="AH1039" s="66"/>
      <c r="AI1039" s="66"/>
      <c r="AJ1039" s="66"/>
      <c r="AK1039" s="66"/>
      <c r="AL1039" s="66"/>
      <c r="AM1039" s="66"/>
      <c r="AN1039" s="66"/>
      <c r="AO1039" s="66"/>
      <c r="AP1039" s="66"/>
      <c r="AQ1039" s="66"/>
      <c r="AR1039" s="66"/>
      <c r="AS1039" s="66"/>
      <c r="AT1039" s="66"/>
      <c r="AU1039" s="66"/>
      <c r="AV1039" s="66"/>
      <c r="AW1039" s="66"/>
      <c r="AX1039" s="66"/>
      <c r="AY1039" s="66"/>
      <c r="AZ1039" s="66"/>
      <c r="BA1039" s="66"/>
      <c r="BB1039" s="66"/>
      <c r="BC1039" s="66"/>
      <c r="BD1039" s="66"/>
      <c r="BE1039" s="67"/>
      <c r="BF1039" s="67"/>
      <c r="BG1039" s="68"/>
      <c r="BI1039" s="69">
        <v>0</v>
      </c>
      <c r="BJ1039" s="70">
        <v>0</v>
      </c>
      <c r="BK1039" s="71">
        <v>0</v>
      </c>
      <c r="BL1039" s="71">
        <v>0</v>
      </c>
      <c r="BM1039" s="71">
        <v>0</v>
      </c>
      <c r="BN1039" s="72">
        <v>0</v>
      </c>
      <c r="BO1039" s="151" t="e">
        <f t="shared" si="66"/>
        <v>#DIV/0!</v>
      </c>
      <c r="BP1039" s="151" t="e">
        <f t="shared" si="67"/>
        <v>#DIV/0!</v>
      </c>
      <c r="BQ1039" s="71">
        <v>0</v>
      </c>
      <c r="BR1039" s="71">
        <v>0</v>
      </c>
      <c r="BS1039" s="71">
        <v>0</v>
      </c>
      <c r="BT1039" s="72">
        <v>0</v>
      </c>
      <c r="BU1039" s="73"/>
      <c r="BV1039" s="73"/>
    </row>
    <row r="1040" ht="30" customHeight="1" spans="1:75 16331:16349">
      <c r="A1040" s="55" t="s">
        <v>165</v>
      </c>
      <c r="B1040" s="56" t="s">
        <v>1057</v>
      </c>
      <c r="C1040" s="57" t="s">
        <v>1072</v>
      </c>
      <c r="D1040" s="59" t="s">
        <v>1737</v>
      </c>
      <c r="E1040" s="59" t="s">
        <v>1752</v>
      </c>
      <c r="F1040" s="59" t="str">
        <f>VLOOKUP(E1040,[1]库存!$B$1:$C$65536,2,FALSE)</f>
        <v>DNL-5 SAB LH B状态 (国埃)</v>
      </c>
      <c r="G1040" s="59" t="s">
        <v>1753</v>
      </c>
      <c r="H1040" s="59" t="s">
        <v>1754</v>
      </c>
      <c r="I1040" s="59" t="s">
        <v>1069</v>
      </c>
      <c r="J1040" s="80" t="s">
        <v>65</v>
      </c>
      <c r="K1040" s="61"/>
      <c r="L1040" s="62">
        <v>2</v>
      </c>
      <c r="M1040" s="63">
        <v>1600</v>
      </c>
      <c r="N1040" s="64">
        <v>9</v>
      </c>
      <c r="O1040" s="62">
        <v>2</v>
      </c>
      <c r="P1040" s="65">
        <f t="shared" si="68"/>
        <v>0</v>
      </c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  <c r="AA1040" s="66"/>
      <c r="AB1040" s="66"/>
      <c r="AC1040" s="66"/>
      <c r="AD1040" s="66"/>
      <c r="AE1040" s="66"/>
      <c r="AF1040" s="66"/>
      <c r="AG1040" s="66"/>
      <c r="AH1040" s="66"/>
      <c r="AI1040" s="66"/>
      <c r="AJ1040" s="66"/>
      <c r="AK1040" s="66"/>
      <c r="AL1040" s="66"/>
      <c r="AM1040" s="66"/>
      <c r="AN1040" s="66"/>
      <c r="AO1040" s="66"/>
      <c r="AP1040" s="66"/>
      <c r="AQ1040" s="66"/>
      <c r="AR1040" s="66"/>
      <c r="AS1040" s="66"/>
      <c r="AT1040" s="66"/>
      <c r="AU1040" s="66"/>
      <c r="AV1040" s="66"/>
      <c r="AW1040" s="66"/>
      <c r="AX1040" s="66"/>
      <c r="AY1040" s="66"/>
      <c r="AZ1040" s="66"/>
      <c r="BA1040" s="66"/>
      <c r="BB1040" s="66"/>
      <c r="BC1040" s="66"/>
      <c r="BD1040" s="66"/>
      <c r="BE1040" s="67"/>
      <c r="BF1040" s="67"/>
      <c r="BG1040" s="68"/>
      <c r="BI1040" s="69">
        <v>0</v>
      </c>
      <c r="BJ1040" s="70">
        <v>0</v>
      </c>
      <c r="BK1040" s="71">
        <v>0</v>
      </c>
      <c r="BL1040" s="71">
        <v>0</v>
      </c>
      <c r="BM1040" s="71">
        <v>0</v>
      </c>
      <c r="BN1040" s="72">
        <v>0</v>
      </c>
      <c r="BO1040" s="151" t="e">
        <f t="shared" si="66"/>
        <v>#DIV/0!</v>
      </c>
      <c r="BP1040" s="151" t="e">
        <f t="shared" si="67"/>
        <v>#DIV/0!</v>
      </c>
      <c r="BQ1040" s="71">
        <v>0</v>
      </c>
      <c r="BR1040" s="71">
        <v>0</v>
      </c>
      <c r="BS1040" s="71">
        <v>0</v>
      </c>
      <c r="BT1040" s="72">
        <v>0</v>
      </c>
      <c r="BU1040" s="73"/>
      <c r="BV1040" s="73"/>
    </row>
    <row r="1041" ht="30" customHeight="1" spans="1:75">
      <c r="A1041" s="55">
        <v>0</v>
      </c>
      <c r="B1041" s="56">
        <v>0</v>
      </c>
      <c r="C1041" s="57">
        <v>0</v>
      </c>
      <c r="D1041" s="74"/>
      <c r="E1041" s="74"/>
      <c r="F1041" s="59" t="e">
        <f>VLOOKUP(E1041,[1]库存!$B$1:$C$65536,2,FALSE)</f>
        <v>#N/A</v>
      </c>
      <c r="G1041" s="59" t="e">
        <v>#N/A</v>
      </c>
      <c r="H1041" s="74"/>
      <c r="I1041" s="74"/>
      <c r="J1041" s="81"/>
      <c r="K1041" s="61"/>
      <c r="L1041" s="62">
        <v>0</v>
      </c>
      <c r="M1041" s="63">
        <v>0</v>
      </c>
      <c r="N1041" s="64">
        <v>0</v>
      </c>
      <c r="O1041" s="62">
        <v>0</v>
      </c>
      <c r="P1041" s="65">
        <f t="shared" si="68"/>
        <v>0</v>
      </c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  <c r="AA1041" s="66"/>
      <c r="AB1041" s="66"/>
      <c r="AC1041" s="66"/>
      <c r="AD1041" s="66"/>
      <c r="AE1041" s="66"/>
      <c r="AF1041" s="66"/>
      <c r="AG1041" s="66"/>
      <c r="AH1041" s="66"/>
      <c r="AI1041" s="66"/>
      <c r="AJ1041" s="66"/>
      <c r="AK1041" s="66"/>
      <c r="AL1041" s="66"/>
      <c r="AM1041" s="66"/>
      <c r="AN1041" s="66"/>
      <c r="AO1041" s="66"/>
      <c r="AP1041" s="66"/>
      <c r="AQ1041" s="66"/>
      <c r="AR1041" s="66"/>
      <c r="AS1041" s="66"/>
      <c r="AT1041" s="66"/>
      <c r="AU1041" s="66"/>
      <c r="AV1041" s="66"/>
      <c r="AW1041" s="66"/>
      <c r="AX1041" s="66"/>
      <c r="AY1041" s="66"/>
      <c r="AZ1041" s="66"/>
      <c r="BA1041" s="66"/>
      <c r="BB1041" s="66"/>
      <c r="BC1041" s="66"/>
      <c r="BD1041" s="66"/>
      <c r="BE1041" s="67"/>
      <c r="BF1041" s="67"/>
      <c r="BG1041" s="68"/>
      <c r="BI1041" s="69">
        <v>0</v>
      </c>
      <c r="BJ1041" s="70">
        <v>0</v>
      </c>
      <c r="BK1041" s="71">
        <v>0</v>
      </c>
      <c r="BL1041" s="71">
        <v>0</v>
      </c>
      <c r="BM1041" s="71">
        <v>0</v>
      </c>
      <c r="BN1041" s="72">
        <v>0</v>
      </c>
      <c r="BO1041" s="151" t="e">
        <f t="shared" si="66"/>
        <v>#DIV/0!</v>
      </c>
      <c r="BP1041" s="151" t="e">
        <f t="shared" si="67"/>
        <v>#DIV/0!</v>
      </c>
      <c r="BQ1041" s="71">
        <v>0</v>
      </c>
      <c r="BR1041" s="71">
        <v>0</v>
      </c>
      <c r="BS1041" s="71">
        <v>0</v>
      </c>
      <c r="BT1041" s="72">
        <v>0</v>
      </c>
      <c r="BU1041" s="73"/>
      <c r="BV1041" s="73"/>
    </row>
    <row r="1042" ht="30" customHeight="1" spans="1:75">
      <c r="A1042" s="55" t="s">
        <v>165</v>
      </c>
      <c r="B1042" s="56" t="s">
        <v>1057</v>
      </c>
      <c r="C1042" s="57" t="s">
        <v>1072</v>
      </c>
      <c r="D1042" s="59" t="s">
        <v>1737</v>
      </c>
      <c r="E1042" s="59" t="s">
        <v>1755</v>
      </c>
      <c r="F1042" s="59" t="str">
        <f>VLOOKUP(E1042,[1]库存!$B$1:$C$65536,2,FALSE)</f>
        <v>DNL-5 SAB RH B状态 (国埃)</v>
      </c>
      <c r="G1042" s="59" t="s">
        <v>1756</v>
      </c>
      <c r="H1042" s="59" t="s">
        <v>1757</v>
      </c>
      <c r="I1042" s="59" t="s">
        <v>1069</v>
      </c>
      <c r="J1042" s="80" t="s">
        <v>65</v>
      </c>
      <c r="K1042" s="61"/>
      <c r="L1042" s="62">
        <v>2</v>
      </c>
      <c r="M1042" s="63">
        <v>1600</v>
      </c>
      <c r="N1042" s="64">
        <v>9</v>
      </c>
      <c r="O1042" s="62">
        <v>2</v>
      </c>
      <c r="P1042" s="65">
        <f t="shared" si="68"/>
        <v>0</v>
      </c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  <c r="AA1042" s="66"/>
      <c r="AB1042" s="66"/>
      <c r="AC1042" s="66"/>
      <c r="AD1042" s="66"/>
      <c r="AE1042" s="66"/>
      <c r="AF1042" s="66"/>
      <c r="AG1042" s="66"/>
      <c r="AH1042" s="66"/>
      <c r="AI1042" s="66"/>
      <c r="AJ1042" s="66"/>
      <c r="AK1042" s="66"/>
      <c r="AL1042" s="66"/>
      <c r="AM1042" s="66"/>
      <c r="AN1042" s="66"/>
      <c r="AO1042" s="66"/>
      <c r="AP1042" s="66"/>
      <c r="AQ1042" s="66"/>
      <c r="AR1042" s="66"/>
      <c r="AS1042" s="66"/>
      <c r="AT1042" s="66"/>
      <c r="AU1042" s="66"/>
      <c r="AV1042" s="66"/>
      <c r="AW1042" s="66"/>
      <c r="AX1042" s="66"/>
      <c r="AY1042" s="66"/>
      <c r="AZ1042" s="66"/>
      <c r="BA1042" s="66"/>
      <c r="BB1042" s="66"/>
      <c r="BC1042" s="66"/>
      <c r="BD1042" s="66"/>
      <c r="BE1042" s="67"/>
      <c r="BF1042" s="67"/>
      <c r="BG1042" s="68"/>
      <c r="BI1042" s="69">
        <v>0</v>
      </c>
      <c r="BJ1042" s="70">
        <v>0</v>
      </c>
      <c r="BK1042" s="71">
        <v>0</v>
      </c>
      <c r="BL1042" s="71">
        <v>0</v>
      </c>
      <c r="BM1042" s="71">
        <v>0</v>
      </c>
      <c r="BN1042" s="72">
        <v>0</v>
      </c>
      <c r="BO1042" s="151" t="e">
        <f t="shared" si="66"/>
        <v>#DIV/0!</v>
      </c>
      <c r="BP1042" s="151" t="e">
        <f t="shared" si="67"/>
        <v>#DIV/0!</v>
      </c>
      <c r="BQ1042" s="71">
        <v>0</v>
      </c>
      <c r="BR1042" s="71">
        <v>0</v>
      </c>
      <c r="BS1042" s="71">
        <v>0</v>
      </c>
      <c r="BT1042" s="72">
        <v>0</v>
      </c>
      <c r="BU1042" s="73"/>
      <c r="BV1042" s="73"/>
    </row>
    <row r="1043" ht="30" customHeight="1" spans="1:75">
      <c r="A1043" s="55">
        <v>0</v>
      </c>
      <c r="B1043" s="56">
        <v>0</v>
      </c>
      <c r="C1043" s="57">
        <v>0</v>
      </c>
      <c r="D1043" s="74"/>
      <c r="E1043" s="74"/>
      <c r="F1043" s="59" t="e">
        <f>VLOOKUP(E1043,[1]库存!$B$1:$C$65536,2,FALSE)</f>
        <v>#N/A</v>
      </c>
      <c r="G1043" s="59" t="e">
        <v>#N/A</v>
      </c>
      <c r="H1043" s="74"/>
      <c r="I1043" s="74"/>
      <c r="J1043" s="81"/>
      <c r="K1043" s="61"/>
      <c r="L1043" s="62">
        <v>0</v>
      </c>
      <c r="M1043" s="63">
        <v>0</v>
      </c>
      <c r="N1043" s="64">
        <v>0</v>
      </c>
      <c r="O1043" s="62">
        <v>0</v>
      </c>
      <c r="P1043" s="65">
        <f t="shared" si="68"/>
        <v>0</v>
      </c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  <c r="AA1043" s="66"/>
      <c r="AB1043" s="66"/>
      <c r="AC1043" s="66"/>
      <c r="AD1043" s="66"/>
      <c r="AE1043" s="66"/>
      <c r="AF1043" s="66"/>
      <c r="AG1043" s="66"/>
      <c r="AH1043" s="66"/>
      <c r="AI1043" s="66"/>
      <c r="AJ1043" s="66"/>
      <c r="AK1043" s="66"/>
      <c r="AL1043" s="66"/>
      <c r="AM1043" s="66"/>
      <c r="AN1043" s="66"/>
      <c r="AO1043" s="66"/>
      <c r="AP1043" s="66"/>
      <c r="AQ1043" s="66"/>
      <c r="AR1043" s="66"/>
      <c r="AS1043" s="66"/>
      <c r="AT1043" s="66"/>
      <c r="AU1043" s="66"/>
      <c r="AV1043" s="66"/>
      <c r="AW1043" s="66"/>
      <c r="AX1043" s="66"/>
      <c r="AY1043" s="66"/>
      <c r="AZ1043" s="66"/>
      <c r="BA1043" s="66"/>
      <c r="BB1043" s="66"/>
      <c r="BC1043" s="66"/>
      <c r="BD1043" s="66"/>
      <c r="BE1043" s="67"/>
      <c r="BF1043" s="67"/>
      <c r="BG1043" s="68"/>
      <c r="BI1043" s="69">
        <v>0</v>
      </c>
      <c r="BJ1043" s="70">
        <v>0</v>
      </c>
      <c r="BK1043" s="71">
        <v>0</v>
      </c>
      <c r="BL1043" s="71">
        <v>0</v>
      </c>
      <c r="BM1043" s="71">
        <v>0</v>
      </c>
      <c r="BN1043" s="72">
        <v>0</v>
      </c>
      <c r="BO1043" s="151" t="e">
        <f t="shared" si="66"/>
        <v>#DIV/0!</v>
      </c>
      <c r="BP1043" s="151" t="e">
        <f t="shared" si="67"/>
        <v>#DIV/0!</v>
      </c>
      <c r="BQ1043" s="71">
        <v>0</v>
      </c>
      <c r="BR1043" s="71">
        <v>0</v>
      </c>
      <c r="BS1043" s="71">
        <v>0</v>
      </c>
      <c r="BT1043" s="72">
        <v>0</v>
      </c>
      <c r="BU1043" s="73"/>
      <c r="BV1043" s="73"/>
    </row>
    <row r="1044" ht="30" customHeight="1" spans="1:75">
      <c r="A1044" s="55">
        <v>0</v>
      </c>
      <c r="B1044" s="56">
        <v>0</v>
      </c>
      <c r="C1044" s="57">
        <v>0</v>
      </c>
      <c r="E1044" s="88"/>
      <c r="F1044" s="59" t="e">
        <f>VLOOKUP(E1044,[1]库存!$B$1:$C$65536,2,FALSE)</f>
        <v>#N/A</v>
      </c>
      <c r="G1044" s="59" t="e">
        <v>#N/A</v>
      </c>
      <c r="H1044" s="89"/>
      <c r="I1044" s="88"/>
      <c r="J1044" s="90"/>
      <c r="K1044" s="61"/>
      <c r="L1044" s="62">
        <v>0</v>
      </c>
      <c r="M1044" s="63">
        <v>0</v>
      </c>
      <c r="N1044" s="64">
        <v>0</v>
      </c>
      <c r="O1044" s="62">
        <v>0</v>
      </c>
      <c r="P1044" s="65">
        <f t="shared" si="68"/>
        <v>0</v>
      </c>
      <c r="Q1044" s="66"/>
      <c r="R1044" s="66"/>
      <c r="S1044" s="66"/>
      <c r="T1044" s="66"/>
      <c r="U1044" s="66"/>
      <c r="V1044" s="66"/>
      <c r="W1044" s="66"/>
      <c r="X1044" s="66"/>
      <c r="Y1044" s="66"/>
      <c r="Z1044" s="66"/>
      <c r="AA1044" s="66"/>
      <c r="AB1044" s="66"/>
      <c r="AC1044" s="66"/>
      <c r="AD1044" s="66"/>
      <c r="AE1044" s="66"/>
      <c r="AF1044" s="66"/>
      <c r="AG1044" s="66"/>
      <c r="AH1044" s="66"/>
      <c r="AI1044" s="66"/>
      <c r="AJ1044" s="66"/>
      <c r="AK1044" s="66"/>
      <c r="AL1044" s="66"/>
      <c r="AM1044" s="66"/>
      <c r="AN1044" s="66"/>
      <c r="AO1044" s="66"/>
      <c r="AP1044" s="66"/>
      <c r="AQ1044" s="66"/>
      <c r="AR1044" s="66"/>
      <c r="AS1044" s="66"/>
      <c r="AT1044" s="66"/>
      <c r="AU1044" s="66"/>
      <c r="AV1044" s="66"/>
      <c r="AW1044" s="66"/>
      <c r="AX1044" s="66"/>
      <c r="AY1044" s="66"/>
      <c r="AZ1044" s="66"/>
      <c r="BA1044" s="66"/>
      <c r="BB1044" s="66"/>
      <c r="BC1044" s="66"/>
      <c r="BD1044" s="66"/>
      <c r="BE1044" s="67"/>
      <c r="BF1044" s="67"/>
      <c r="BG1044" s="68"/>
      <c r="BI1044" s="69">
        <v>0</v>
      </c>
      <c r="BJ1044" s="70">
        <v>0</v>
      </c>
      <c r="BK1044" s="71">
        <v>0</v>
      </c>
      <c r="BL1044" s="71">
        <v>0</v>
      </c>
      <c r="BM1044" s="71">
        <v>0</v>
      </c>
      <c r="BN1044" s="72">
        <v>0</v>
      </c>
      <c r="BO1044" s="151" t="e">
        <f t="shared" si="66"/>
        <v>#DIV/0!</v>
      </c>
      <c r="BP1044" s="151" t="e">
        <f t="shared" si="67"/>
        <v>#DIV/0!</v>
      </c>
      <c r="BQ1044" s="71">
        <v>0</v>
      </c>
      <c r="BR1044" s="71">
        <v>0</v>
      </c>
      <c r="BS1044" s="71">
        <v>0</v>
      </c>
      <c r="BT1044" s="72">
        <v>0</v>
      </c>
      <c r="BU1044" s="73"/>
      <c r="BV1044" s="73"/>
    </row>
    <row r="1045" s="3" customFormat="1" ht="30" customHeight="1" spans="1:75">
      <c r="A1045" s="55" t="s">
        <v>96</v>
      </c>
      <c r="B1045" s="56" t="s">
        <v>1057</v>
      </c>
      <c r="C1045" s="57" t="s">
        <v>1058</v>
      </c>
      <c r="D1045" s="91" t="s">
        <v>1758</v>
      </c>
      <c r="E1045" s="91" t="s">
        <v>1759</v>
      </c>
      <c r="F1045" s="91" t="str">
        <f>VLOOKUP(E1045,[1]库存!$B$1:$C$65536,2,FALSE)</f>
        <v>AH4EM SAB LH</v>
      </c>
      <c r="G1045" s="91" t="s">
        <v>1760</v>
      </c>
      <c r="H1045" s="223" t="s">
        <v>1761</v>
      </c>
      <c r="I1045" s="91" t="s">
        <v>1762</v>
      </c>
      <c r="J1045" s="64"/>
      <c r="K1045" s="61"/>
      <c r="L1045" s="62">
        <v>2</v>
      </c>
      <c r="M1045" s="63">
        <v>1500</v>
      </c>
      <c r="N1045" s="64">
        <v>12</v>
      </c>
      <c r="O1045" s="62">
        <v>2</v>
      </c>
      <c r="P1045" s="65">
        <f t="shared" si="68"/>
        <v>0</v>
      </c>
      <c r="Q1045" s="66"/>
      <c r="R1045" s="66"/>
      <c r="S1045" s="66"/>
      <c r="T1045" s="66"/>
      <c r="U1045" s="66"/>
      <c r="V1045" s="66"/>
      <c r="W1045" s="66"/>
      <c r="X1045" s="66"/>
      <c r="Y1045" s="66"/>
      <c r="Z1045" s="66"/>
      <c r="AA1045" s="66"/>
      <c r="AB1045" s="66"/>
      <c r="AC1045" s="66"/>
      <c r="AD1045" s="66"/>
      <c r="AE1045" s="66"/>
      <c r="AF1045" s="66"/>
      <c r="AG1045" s="66"/>
      <c r="AH1045" s="66"/>
      <c r="AI1045" s="66"/>
      <c r="AJ1045" s="66"/>
      <c r="AK1045" s="66"/>
      <c r="AL1045" s="66"/>
      <c r="AM1045" s="66"/>
      <c r="AN1045" s="66"/>
      <c r="AO1045" s="66"/>
      <c r="AP1045" s="66"/>
      <c r="AQ1045" s="66"/>
      <c r="AR1045" s="66"/>
      <c r="AS1045" s="66"/>
      <c r="AT1045" s="66"/>
      <c r="AU1045" s="66"/>
      <c r="AV1045" s="66"/>
      <c r="AW1045" s="66"/>
      <c r="AX1045" s="66"/>
      <c r="AY1045" s="66"/>
      <c r="AZ1045" s="66"/>
      <c r="BA1045" s="66"/>
      <c r="BB1045" s="66"/>
      <c r="BC1045" s="66"/>
      <c r="BD1045" s="66"/>
      <c r="BE1045" s="67"/>
      <c r="BF1045" s="67"/>
      <c r="BG1045" s="68"/>
      <c r="BH1045" s="11"/>
      <c r="BI1045" s="69">
        <v>0</v>
      </c>
      <c r="BJ1045" s="70">
        <v>0</v>
      </c>
      <c r="BK1045" s="71">
        <v>0</v>
      </c>
      <c r="BL1045" s="71">
        <v>0</v>
      </c>
      <c r="BM1045" s="71">
        <v>0</v>
      </c>
      <c r="BN1045" s="72">
        <v>0</v>
      </c>
      <c r="BO1045" s="151" t="e">
        <f t="shared" si="66"/>
        <v>#DIV/0!</v>
      </c>
      <c r="BP1045" s="151" t="e">
        <f t="shared" si="67"/>
        <v>#DIV/0!</v>
      </c>
      <c r="BQ1045" s="71">
        <v>0</v>
      </c>
      <c r="BR1045" s="71">
        <v>0</v>
      </c>
      <c r="BS1045" s="71">
        <v>0</v>
      </c>
      <c r="BT1045" s="72">
        <v>0</v>
      </c>
      <c r="BU1045" s="73"/>
      <c r="BV1045" s="73"/>
      <c r="BW1045" s="14"/>
    </row>
    <row r="1046" s="3" customFormat="1" ht="30" customHeight="1" spans="1:75">
      <c r="A1046" s="55">
        <v>0</v>
      </c>
      <c r="B1046" s="56">
        <v>0</v>
      </c>
      <c r="C1046" s="57">
        <v>0</v>
      </c>
      <c r="D1046" s="92"/>
      <c r="E1046" s="92"/>
      <c r="F1046" s="91" t="e">
        <f>VLOOKUP(E1046,[1]库存!$B$1:$C$65536,2,FALSE)</f>
        <v>#N/A</v>
      </c>
      <c r="G1046" s="91" t="e">
        <v>#N/A</v>
      </c>
      <c r="H1046" s="224"/>
      <c r="I1046" s="92"/>
      <c r="J1046" s="93"/>
      <c r="K1046" s="61"/>
      <c r="L1046" s="62">
        <v>0</v>
      </c>
      <c r="M1046" s="63">
        <v>0</v>
      </c>
      <c r="N1046" s="64">
        <v>0</v>
      </c>
      <c r="O1046" s="62">
        <v>0</v>
      </c>
      <c r="P1046" s="65">
        <f t="shared" si="68"/>
        <v>0</v>
      </c>
      <c r="Q1046" s="66"/>
      <c r="R1046" s="66"/>
      <c r="S1046" s="66"/>
      <c r="T1046" s="66"/>
      <c r="U1046" s="66"/>
      <c r="V1046" s="66"/>
      <c r="W1046" s="66"/>
      <c r="X1046" s="66"/>
      <c r="Y1046" s="66"/>
      <c r="Z1046" s="66"/>
      <c r="AA1046" s="66"/>
      <c r="AB1046" s="66"/>
      <c r="AC1046" s="66"/>
      <c r="AD1046" s="66"/>
      <c r="AE1046" s="66"/>
      <c r="AF1046" s="66"/>
      <c r="AG1046" s="66"/>
      <c r="AH1046" s="66"/>
      <c r="AI1046" s="66"/>
      <c r="AJ1046" s="66"/>
      <c r="AK1046" s="66"/>
      <c r="AL1046" s="66"/>
      <c r="AM1046" s="66"/>
      <c r="AN1046" s="66"/>
      <c r="AO1046" s="66"/>
      <c r="AP1046" s="66"/>
      <c r="AQ1046" s="66"/>
      <c r="AR1046" s="66"/>
      <c r="AS1046" s="66"/>
      <c r="AT1046" s="66"/>
      <c r="AU1046" s="66"/>
      <c r="AV1046" s="66"/>
      <c r="AW1046" s="66"/>
      <c r="AX1046" s="66"/>
      <c r="AY1046" s="66"/>
      <c r="AZ1046" s="66"/>
      <c r="BA1046" s="66"/>
      <c r="BB1046" s="66"/>
      <c r="BC1046" s="66"/>
      <c r="BD1046" s="66"/>
      <c r="BE1046" s="67"/>
      <c r="BF1046" s="67"/>
      <c r="BG1046" s="68"/>
      <c r="BH1046" s="11"/>
      <c r="BI1046" s="69">
        <v>0</v>
      </c>
      <c r="BJ1046" s="70">
        <v>0</v>
      </c>
      <c r="BK1046" s="71">
        <v>0</v>
      </c>
      <c r="BL1046" s="71">
        <v>0</v>
      </c>
      <c r="BM1046" s="71">
        <v>0</v>
      </c>
      <c r="BN1046" s="72">
        <v>0</v>
      </c>
      <c r="BO1046" s="151" t="e">
        <f t="shared" si="66"/>
        <v>#DIV/0!</v>
      </c>
      <c r="BP1046" s="151" t="e">
        <f t="shared" si="67"/>
        <v>#DIV/0!</v>
      </c>
      <c r="BQ1046" s="71">
        <v>0</v>
      </c>
      <c r="BR1046" s="71">
        <v>0</v>
      </c>
      <c r="BS1046" s="71">
        <v>0</v>
      </c>
      <c r="BT1046" s="72">
        <v>0</v>
      </c>
      <c r="BU1046" s="73"/>
      <c r="BV1046" s="73"/>
      <c r="BW1046" s="14"/>
    </row>
    <row r="1047" s="3" customFormat="1" ht="30" customHeight="1" spans="1:75">
      <c r="A1047" s="55" t="s">
        <v>96</v>
      </c>
      <c r="B1047" s="56" t="s">
        <v>1057</v>
      </c>
      <c r="C1047" s="57" t="s">
        <v>1058</v>
      </c>
      <c r="D1047" s="91" t="s">
        <v>1758</v>
      </c>
      <c r="E1047" s="91" t="s">
        <v>1763</v>
      </c>
      <c r="F1047" s="91" t="str">
        <f>VLOOKUP(E1047,[1]库存!$B$1:$C$65536,2,FALSE)</f>
        <v>AH4EM SAB RH</v>
      </c>
      <c r="G1047" s="91" t="s">
        <v>1764</v>
      </c>
      <c r="H1047" s="223" t="s">
        <v>1765</v>
      </c>
      <c r="I1047" s="91" t="s">
        <v>1762</v>
      </c>
      <c r="J1047" s="64"/>
      <c r="K1047" s="61"/>
      <c r="L1047" s="62">
        <v>2</v>
      </c>
      <c r="M1047" s="63">
        <v>1500</v>
      </c>
      <c r="N1047" s="64">
        <v>12</v>
      </c>
      <c r="O1047" s="62">
        <v>2</v>
      </c>
      <c r="P1047" s="65">
        <f t="shared" si="68"/>
        <v>0</v>
      </c>
      <c r="Q1047" s="66"/>
      <c r="R1047" s="66"/>
      <c r="S1047" s="66"/>
      <c r="T1047" s="66"/>
      <c r="U1047" s="66"/>
      <c r="V1047" s="66"/>
      <c r="W1047" s="66"/>
      <c r="X1047" s="66"/>
      <c r="Y1047" s="66">
        <v>0</v>
      </c>
      <c r="Z1047" s="66"/>
      <c r="AA1047" s="66"/>
      <c r="AB1047" s="66"/>
      <c r="AC1047" s="66"/>
      <c r="AD1047" s="66"/>
      <c r="AE1047" s="66"/>
      <c r="AF1047" s="66"/>
      <c r="AG1047" s="66"/>
      <c r="AH1047" s="66"/>
      <c r="AI1047" s="66"/>
      <c r="AJ1047" s="66"/>
      <c r="AK1047" s="66"/>
      <c r="AL1047" s="66"/>
      <c r="AM1047" s="66"/>
      <c r="AN1047" s="66"/>
      <c r="AO1047" s="66"/>
      <c r="AP1047" s="66"/>
      <c r="AQ1047" s="66"/>
      <c r="AR1047" s="66"/>
      <c r="AS1047" s="66"/>
      <c r="AT1047" s="66"/>
      <c r="AU1047" s="66"/>
      <c r="AV1047" s="66"/>
      <c r="AW1047" s="66"/>
      <c r="AX1047" s="66"/>
      <c r="AY1047" s="66"/>
      <c r="AZ1047" s="66"/>
      <c r="BA1047" s="66"/>
      <c r="BB1047" s="66"/>
      <c r="BC1047" s="66"/>
      <c r="BD1047" s="66"/>
      <c r="BE1047" s="67"/>
      <c r="BF1047" s="67"/>
      <c r="BG1047" s="68"/>
      <c r="BH1047" s="11"/>
      <c r="BI1047" s="69">
        <v>0</v>
      </c>
      <c r="BJ1047" s="70">
        <v>0</v>
      </c>
      <c r="BK1047" s="71">
        <v>0</v>
      </c>
      <c r="BL1047" s="71">
        <v>0</v>
      </c>
      <c r="BM1047" s="71">
        <v>0</v>
      </c>
      <c r="BN1047" s="72">
        <v>0</v>
      </c>
      <c r="BO1047" s="151" t="e">
        <f t="shared" si="66"/>
        <v>#DIV/0!</v>
      </c>
      <c r="BP1047" s="151" t="e">
        <f t="shared" si="67"/>
        <v>#DIV/0!</v>
      </c>
      <c r="BQ1047" s="71">
        <v>0</v>
      </c>
      <c r="BR1047" s="71">
        <v>0</v>
      </c>
      <c r="BS1047" s="71">
        <v>0</v>
      </c>
      <c r="BT1047" s="72">
        <v>0</v>
      </c>
      <c r="BU1047" s="73"/>
      <c r="BV1047" s="73"/>
      <c r="BW1047" s="14"/>
    </row>
    <row r="1048" s="3" customFormat="1" ht="30" customHeight="1" spans="1:75">
      <c r="A1048" s="55">
        <v>0</v>
      </c>
      <c r="B1048" s="56">
        <v>0</v>
      </c>
      <c r="C1048" s="57">
        <v>0</v>
      </c>
      <c r="D1048" s="92"/>
      <c r="E1048" s="92"/>
      <c r="F1048" s="91" t="e">
        <f>VLOOKUP(E1048,[1]库存!$B$1:$C$65536,2,FALSE)</f>
        <v>#N/A</v>
      </c>
      <c r="G1048" s="91" t="e">
        <v>#N/A</v>
      </c>
      <c r="H1048" s="224"/>
      <c r="I1048" s="92"/>
      <c r="J1048" s="93"/>
      <c r="K1048" s="61"/>
      <c r="L1048" s="62">
        <v>0</v>
      </c>
      <c r="M1048" s="63">
        <v>0</v>
      </c>
      <c r="N1048" s="64">
        <v>0</v>
      </c>
      <c r="O1048" s="62">
        <v>0</v>
      </c>
      <c r="P1048" s="65">
        <f t="shared" si="68"/>
        <v>0</v>
      </c>
      <c r="Q1048" s="66"/>
      <c r="R1048" s="66"/>
      <c r="S1048" s="66"/>
      <c r="T1048" s="66"/>
      <c r="U1048" s="66"/>
      <c r="V1048" s="66"/>
      <c r="W1048" s="66"/>
      <c r="X1048" s="66"/>
      <c r="Y1048" s="66"/>
      <c r="Z1048" s="66"/>
      <c r="AA1048" s="66"/>
      <c r="AB1048" s="66"/>
      <c r="AC1048" s="66"/>
      <c r="AD1048" s="66"/>
      <c r="AE1048" s="66"/>
      <c r="AF1048" s="66"/>
      <c r="AG1048" s="66"/>
      <c r="AH1048" s="66"/>
      <c r="AI1048" s="66"/>
      <c r="AJ1048" s="66"/>
      <c r="AK1048" s="66"/>
      <c r="AL1048" s="66"/>
      <c r="AM1048" s="66"/>
      <c r="AN1048" s="66"/>
      <c r="AO1048" s="66"/>
      <c r="AP1048" s="66"/>
      <c r="AQ1048" s="66"/>
      <c r="AR1048" s="66"/>
      <c r="AS1048" s="66"/>
      <c r="AT1048" s="66"/>
      <c r="AU1048" s="66"/>
      <c r="AV1048" s="66"/>
      <c r="AW1048" s="66"/>
      <c r="AX1048" s="66"/>
      <c r="AY1048" s="66"/>
      <c r="AZ1048" s="66"/>
      <c r="BA1048" s="66"/>
      <c r="BB1048" s="66"/>
      <c r="BC1048" s="66"/>
      <c r="BD1048" s="66"/>
      <c r="BE1048" s="67"/>
      <c r="BF1048" s="67"/>
      <c r="BG1048" s="68"/>
      <c r="BH1048" s="11"/>
      <c r="BI1048" s="69">
        <v>0</v>
      </c>
      <c r="BJ1048" s="70">
        <v>0</v>
      </c>
      <c r="BK1048" s="71">
        <v>0</v>
      </c>
      <c r="BL1048" s="71">
        <v>0</v>
      </c>
      <c r="BM1048" s="71">
        <v>0</v>
      </c>
      <c r="BN1048" s="72">
        <v>0</v>
      </c>
      <c r="BO1048" s="151" t="e">
        <f t="shared" si="66"/>
        <v>#DIV/0!</v>
      </c>
      <c r="BP1048" s="151" t="e">
        <f t="shared" si="67"/>
        <v>#DIV/0!</v>
      </c>
      <c r="BQ1048" s="71">
        <v>0</v>
      </c>
      <c r="BR1048" s="71">
        <v>0</v>
      </c>
      <c r="BS1048" s="71">
        <v>0</v>
      </c>
      <c r="BT1048" s="72">
        <v>0</v>
      </c>
      <c r="BU1048" s="73"/>
      <c r="BV1048" s="73"/>
      <c r="BW1048" s="14"/>
    </row>
    <row r="1049" s="3" customFormat="1" ht="30" customHeight="1" spans="1:75">
      <c r="A1049" s="55" t="s">
        <v>96</v>
      </c>
      <c r="B1049" s="56" t="s">
        <v>1057</v>
      </c>
      <c r="C1049" s="57" t="s">
        <v>1058</v>
      </c>
      <c r="D1049" s="91" t="s">
        <v>1758</v>
      </c>
      <c r="E1049" s="91" t="s">
        <v>1766</v>
      </c>
      <c r="F1049" s="91" t="str">
        <f>VLOOKUP(E1049,[1]库存!$B$1:$C$65536,2,FALSE)</f>
        <v>ZS3EM SAB LH A状态</v>
      </c>
      <c r="G1049" s="91" t="s">
        <v>1767</v>
      </c>
      <c r="H1049" s="223" t="s">
        <v>1768</v>
      </c>
      <c r="I1049" s="223" t="s">
        <v>1769</v>
      </c>
      <c r="J1049" s="64"/>
      <c r="K1049" s="61"/>
      <c r="L1049" s="62">
        <v>2</v>
      </c>
      <c r="M1049" s="63">
        <v>1600</v>
      </c>
      <c r="N1049" s="64">
        <v>12</v>
      </c>
      <c r="O1049" s="62">
        <v>2</v>
      </c>
      <c r="P1049" s="65">
        <f t="shared" si="68"/>
        <v>0</v>
      </c>
      <c r="Q1049" s="66"/>
      <c r="R1049" s="66"/>
      <c r="S1049" s="66"/>
      <c r="T1049" s="66"/>
      <c r="U1049" s="66"/>
      <c r="V1049" s="66"/>
      <c r="W1049" s="66"/>
      <c r="X1049" s="66"/>
      <c r="Y1049" s="66"/>
      <c r="Z1049" s="66"/>
      <c r="AA1049" s="66"/>
      <c r="AB1049" s="66"/>
      <c r="AC1049" s="66">
        <v>1900</v>
      </c>
      <c r="AD1049" s="66"/>
      <c r="AE1049" s="66"/>
      <c r="AF1049" s="66"/>
      <c r="AG1049" s="66"/>
      <c r="AH1049" s="66"/>
      <c r="AI1049" s="66"/>
      <c r="AJ1049" s="66"/>
      <c r="AK1049" s="66"/>
      <c r="AL1049" s="66"/>
      <c r="AM1049" s="66"/>
      <c r="AN1049" s="66"/>
      <c r="AO1049" s="66"/>
      <c r="AP1049" s="66"/>
      <c r="AQ1049" s="66"/>
      <c r="AR1049" s="66"/>
      <c r="AS1049" s="66"/>
      <c r="AT1049" s="66"/>
      <c r="AU1049" s="66"/>
      <c r="AV1049" s="66"/>
      <c r="AW1049" s="66"/>
      <c r="AX1049" s="66"/>
      <c r="AY1049" s="66"/>
      <c r="AZ1049" s="66"/>
      <c r="BA1049" s="66"/>
      <c r="BB1049" s="66"/>
      <c r="BC1049" s="66"/>
      <c r="BD1049" s="66"/>
      <c r="BE1049" s="67"/>
      <c r="BF1049" s="67"/>
      <c r="BG1049" s="68"/>
      <c r="BH1049" s="11"/>
      <c r="BI1049" s="69">
        <v>0</v>
      </c>
      <c r="BJ1049" s="70">
        <v>0</v>
      </c>
      <c r="BK1049" s="71">
        <v>0</v>
      </c>
      <c r="BL1049" s="71">
        <v>0</v>
      </c>
      <c r="BM1049" s="71">
        <v>0</v>
      </c>
      <c r="BN1049" s="72">
        <v>0</v>
      </c>
      <c r="BO1049" s="151" t="e">
        <f t="shared" si="66"/>
        <v>#DIV/0!</v>
      </c>
      <c r="BP1049" s="151" t="e">
        <f t="shared" si="67"/>
        <v>#DIV/0!</v>
      </c>
      <c r="BQ1049" s="71">
        <v>0</v>
      </c>
      <c r="BR1049" s="71">
        <v>0</v>
      </c>
      <c r="BS1049" s="71">
        <v>0</v>
      </c>
      <c r="BT1049" s="72">
        <v>0</v>
      </c>
      <c r="BU1049" s="73"/>
      <c r="BV1049" s="73"/>
      <c r="BW1049" s="14"/>
    </row>
    <row r="1050" s="3" customFormat="1" ht="30" customHeight="1" spans="1:75">
      <c r="A1050" s="55">
        <v>0</v>
      </c>
      <c r="B1050" s="56">
        <v>0</v>
      </c>
      <c r="C1050" s="57">
        <v>0</v>
      </c>
      <c r="D1050" s="92"/>
      <c r="E1050" s="92"/>
      <c r="F1050" s="91" t="e">
        <f>VLOOKUP(E1050,[1]库存!$B$1:$C$65536,2,FALSE)</f>
        <v>#N/A</v>
      </c>
      <c r="G1050" s="91" t="e">
        <v>#N/A</v>
      </c>
      <c r="H1050" s="224"/>
      <c r="I1050" s="224"/>
      <c r="J1050" s="93"/>
      <c r="K1050" s="61"/>
      <c r="L1050" s="62">
        <v>0</v>
      </c>
      <c r="M1050" s="63">
        <v>0</v>
      </c>
      <c r="N1050" s="64">
        <v>0</v>
      </c>
      <c r="O1050" s="62">
        <v>0</v>
      </c>
      <c r="P1050" s="65">
        <f t="shared" si="68"/>
        <v>0</v>
      </c>
      <c r="Q1050" s="66"/>
      <c r="R1050" s="66"/>
      <c r="S1050" s="66"/>
      <c r="T1050" s="66"/>
      <c r="U1050" s="66"/>
      <c r="V1050" s="66"/>
      <c r="W1050" s="66"/>
      <c r="X1050" s="66"/>
      <c r="Y1050" s="66"/>
      <c r="Z1050" s="66"/>
      <c r="AA1050" s="66"/>
      <c r="AB1050" s="66"/>
      <c r="AC1050" s="66" t="s">
        <v>1770</v>
      </c>
      <c r="AD1050" s="66"/>
      <c r="AE1050" s="66"/>
      <c r="AF1050" s="66"/>
      <c r="AG1050" s="66"/>
      <c r="AH1050" s="66"/>
      <c r="AI1050" s="66"/>
      <c r="AJ1050" s="66"/>
      <c r="AK1050" s="66"/>
      <c r="AL1050" s="66"/>
      <c r="AM1050" s="66"/>
      <c r="AN1050" s="66"/>
      <c r="AO1050" s="66"/>
      <c r="AP1050" s="66"/>
      <c r="AQ1050" s="66"/>
      <c r="AR1050" s="66"/>
      <c r="AS1050" s="66"/>
      <c r="AT1050" s="66"/>
      <c r="AU1050" s="66"/>
      <c r="AV1050" s="66"/>
      <c r="AW1050" s="66"/>
      <c r="AX1050" s="66"/>
      <c r="AY1050" s="66"/>
      <c r="AZ1050" s="66"/>
      <c r="BA1050" s="66"/>
      <c r="BB1050" s="66"/>
      <c r="BC1050" s="66"/>
      <c r="BD1050" s="66"/>
      <c r="BE1050" s="67"/>
      <c r="BF1050" s="67"/>
      <c r="BG1050" s="68"/>
      <c r="BH1050" s="11"/>
      <c r="BI1050" s="69">
        <v>0</v>
      </c>
      <c r="BJ1050" s="70">
        <v>0</v>
      </c>
      <c r="BK1050" s="71">
        <v>0</v>
      </c>
      <c r="BL1050" s="71">
        <v>0</v>
      </c>
      <c r="BM1050" s="71">
        <v>0</v>
      </c>
      <c r="BN1050" s="72">
        <v>0</v>
      </c>
      <c r="BO1050" s="151" t="e">
        <f t="shared" si="66"/>
        <v>#DIV/0!</v>
      </c>
      <c r="BP1050" s="151" t="e">
        <f t="shared" si="67"/>
        <v>#DIV/0!</v>
      </c>
      <c r="BQ1050" s="71">
        <v>0</v>
      </c>
      <c r="BR1050" s="71">
        <v>0</v>
      </c>
      <c r="BS1050" s="71">
        <v>0</v>
      </c>
      <c r="BT1050" s="72">
        <v>0</v>
      </c>
      <c r="BU1050" s="73"/>
      <c r="BV1050" s="73"/>
      <c r="BW1050" s="14"/>
    </row>
    <row r="1051" s="3" customFormat="1" ht="30" customHeight="1" spans="1:75">
      <c r="A1051" s="55" t="s">
        <v>96</v>
      </c>
      <c r="B1051" s="56" t="s">
        <v>1057</v>
      </c>
      <c r="C1051" s="57" t="s">
        <v>1058</v>
      </c>
      <c r="D1051" s="59" t="s">
        <v>1758</v>
      </c>
      <c r="E1051" s="59" t="s">
        <v>1771</v>
      </c>
      <c r="F1051" s="59" t="str">
        <f>VLOOKUP(E1051,[1]库存!$B$1:$C$65536,2,FALSE)</f>
        <v>ZS3EM SAB RH A状态</v>
      </c>
      <c r="G1051" s="59" t="s">
        <v>1772</v>
      </c>
      <c r="H1051" s="225" t="s">
        <v>1773</v>
      </c>
      <c r="I1051" s="225" t="s">
        <v>1769</v>
      </c>
      <c r="J1051" s="165" t="s">
        <v>1774</v>
      </c>
      <c r="K1051" s="61"/>
      <c r="L1051" s="62">
        <v>2</v>
      </c>
      <c r="M1051" s="63">
        <v>1600</v>
      </c>
      <c r="N1051" s="64">
        <v>12</v>
      </c>
      <c r="O1051" s="62">
        <v>2</v>
      </c>
      <c r="P1051" s="65">
        <f t="shared" si="68"/>
        <v>0</v>
      </c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66"/>
      <c r="AI1051" s="66"/>
      <c r="AJ1051" s="66"/>
      <c r="AK1051" s="66"/>
      <c r="AL1051" s="66"/>
      <c r="AM1051" s="66"/>
      <c r="AN1051" s="66"/>
      <c r="AO1051" s="66"/>
      <c r="AP1051" s="66"/>
      <c r="AQ1051" s="66"/>
      <c r="AR1051" s="66"/>
      <c r="AS1051" s="66"/>
      <c r="AT1051" s="66"/>
      <c r="AU1051" s="66"/>
      <c r="AV1051" s="66"/>
      <c r="AW1051" s="66"/>
      <c r="AX1051" s="66"/>
      <c r="AY1051" s="66"/>
      <c r="AZ1051" s="66"/>
      <c r="BA1051" s="66"/>
      <c r="BB1051" s="66"/>
      <c r="BC1051" s="66"/>
      <c r="BD1051" s="66"/>
      <c r="BE1051" s="67"/>
      <c r="BF1051" s="67"/>
      <c r="BG1051" s="68"/>
      <c r="BH1051" s="11"/>
      <c r="BI1051" s="69">
        <v>0</v>
      </c>
      <c r="BJ1051" s="70">
        <v>0</v>
      </c>
      <c r="BK1051" s="71">
        <v>0</v>
      </c>
      <c r="BL1051" s="71">
        <v>0</v>
      </c>
      <c r="BM1051" s="71">
        <v>0</v>
      </c>
      <c r="BN1051" s="72">
        <v>0</v>
      </c>
      <c r="BO1051" s="151" t="e">
        <f t="shared" si="66"/>
        <v>#DIV/0!</v>
      </c>
      <c r="BP1051" s="151" t="e">
        <f t="shared" si="67"/>
        <v>#DIV/0!</v>
      </c>
      <c r="BQ1051" s="71">
        <v>0</v>
      </c>
      <c r="BR1051" s="71">
        <v>0</v>
      </c>
      <c r="BS1051" s="71">
        <v>0</v>
      </c>
      <c r="BT1051" s="72">
        <v>0</v>
      </c>
      <c r="BU1051" s="73"/>
      <c r="BV1051" s="73"/>
      <c r="BW1051" s="14"/>
    </row>
    <row r="1052" s="3" customFormat="1" ht="30" customHeight="1" spans="1:75">
      <c r="A1052" s="55">
        <v>0</v>
      </c>
      <c r="B1052" s="56">
        <v>0</v>
      </c>
      <c r="C1052" s="57">
        <v>0</v>
      </c>
      <c r="D1052" s="74"/>
      <c r="E1052" s="74"/>
      <c r="F1052" s="59" t="e">
        <f>VLOOKUP(E1052,[1]库存!$B$1:$C$65536,2,FALSE)</f>
        <v>#N/A</v>
      </c>
      <c r="G1052" s="59" t="e">
        <v>#N/A</v>
      </c>
      <c r="H1052" s="226"/>
      <c r="I1052" s="226"/>
      <c r="J1052" s="166"/>
      <c r="K1052" s="61"/>
      <c r="L1052" s="62">
        <v>0</v>
      </c>
      <c r="M1052" s="63">
        <v>0</v>
      </c>
      <c r="N1052" s="64">
        <v>0</v>
      </c>
      <c r="O1052" s="62">
        <v>0</v>
      </c>
      <c r="P1052" s="65">
        <f t="shared" si="68"/>
        <v>0</v>
      </c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66"/>
      <c r="AI1052" s="66"/>
      <c r="AJ1052" s="66"/>
      <c r="AK1052" s="66"/>
      <c r="AL1052" s="66"/>
      <c r="AM1052" s="66"/>
      <c r="AN1052" s="66"/>
      <c r="AO1052" s="66"/>
      <c r="AP1052" s="66"/>
      <c r="AQ1052" s="66"/>
      <c r="AR1052" s="66"/>
      <c r="AS1052" s="66"/>
      <c r="AT1052" s="66"/>
      <c r="AU1052" s="66"/>
      <c r="AV1052" s="66"/>
      <c r="AW1052" s="66"/>
      <c r="AX1052" s="66"/>
      <c r="AY1052" s="66"/>
      <c r="AZ1052" s="66"/>
      <c r="BA1052" s="66"/>
      <c r="BB1052" s="66"/>
      <c r="BC1052" s="66"/>
      <c r="BD1052" s="66"/>
      <c r="BE1052" s="67"/>
      <c r="BF1052" s="67"/>
      <c r="BG1052" s="68"/>
      <c r="BH1052" s="11"/>
      <c r="BI1052" s="69">
        <v>0</v>
      </c>
      <c r="BJ1052" s="70">
        <v>0</v>
      </c>
      <c r="BK1052" s="71">
        <v>0</v>
      </c>
      <c r="BL1052" s="71">
        <v>0</v>
      </c>
      <c r="BM1052" s="71">
        <v>0</v>
      </c>
      <c r="BN1052" s="72">
        <v>0</v>
      </c>
      <c r="BO1052" s="151" t="e">
        <f t="shared" si="66"/>
        <v>#DIV/0!</v>
      </c>
      <c r="BP1052" s="151" t="e">
        <f t="shared" si="67"/>
        <v>#DIV/0!</v>
      </c>
      <c r="BQ1052" s="71">
        <v>0</v>
      </c>
      <c r="BR1052" s="71">
        <v>0</v>
      </c>
      <c r="BS1052" s="71">
        <v>0</v>
      </c>
      <c r="BT1052" s="72">
        <v>0</v>
      </c>
      <c r="BU1052" s="73"/>
      <c r="BV1052" s="73"/>
      <c r="BW1052" s="14"/>
    </row>
    <row r="1053" s="3" customFormat="1" ht="30" customHeight="1" spans="1:75">
      <c r="A1053" s="55" t="s">
        <v>96</v>
      </c>
      <c r="B1053" s="56" t="s">
        <v>1057</v>
      </c>
      <c r="C1053" s="57" t="s">
        <v>1058</v>
      </c>
      <c r="D1053" s="59" t="s">
        <v>1758</v>
      </c>
      <c r="E1053" s="59" t="s">
        <v>1775</v>
      </c>
      <c r="F1053" s="59" t="str">
        <f>VLOOKUP(E1053,[1]库存!$B$1:$C$65536,2,FALSE)</f>
        <v>SGM 358-2 SAB LH</v>
      </c>
      <c r="G1053" s="59" t="s">
        <v>1776</v>
      </c>
      <c r="H1053" s="225" t="s">
        <v>1777</v>
      </c>
      <c r="I1053" s="59" t="s">
        <v>1778</v>
      </c>
      <c r="J1053" s="63"/>
      <c r="K1053" s="61"/>
      <c r="L1053" s="62">
        <v>2</v>
      </c>
      <c r="M1053" s="63">
        <v>1400</v>
      </c>
      <c r="N1053" s="64">
        <v>9</v>
      </c>
      <c r="O1053" s="62">
        <v>2</v>
      </c>
      <c r="P1053" s="65">
        <f t="shared" si="68"/>
        <v>0</v>
      </c>
      <c r="Q1053" s="66">
        <v>1900</v>
      </c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66"/>
      <c r="AI1053" s="66"/>
      <c r="AJ1053" s="66"/>
      <c r="AK1053" s="66"/>
      <c r="AL1053" s="66"/>
      <c r="AM1053" s="66"/>
      <c r="AN1053" s="66"/>
      <c r="AO1053" s="66"/>
      <c r="AP1053" s="66"/>
      <c r="AQ1053" s="66"/>
      <c r="AR1053" s="66"/>
      <c r="AS1053" s="66"/>
      <c r="AT1053" s="66"/>
      <c r="AU1053" s="66"/>
      <c r="AV1053" s="66"/>
      <c r="AW1053" s="66"/>
      <c r="AX1053" s="66"/>
      <c r="AY1053" s="66"/>
      <c r="AZ1053" s="66"/>
      <c r="BA1053" s="66"/>
      <c r="BB1053" s="66"/>
      <c r="BC1053" s="66"/>
      <c r="BD1053" s="66"/>
      <c r="BE1053" s="67"/>
      <c r="BF1053" s="67"/>
      <c r="BG1053" s="68"/>
      <c r="BH1053" s="11"/>
      <c r="BI1053" s="69">
        <v>0</v>
      </c>
      <c r="BJ1053" s="70">
        <v>0</v>
      </c>
      <c r="BK1053" s="71">
        <v>0</v>
      </c>
      <c r="BL1053" s="71">
        <v>0</v>
      </c>
      <c r="BM1053" s="71">
        <v>0</v>
      </c>
      <c r="BN1053" s="72">
        <v>0</v>
      </c>
      <c r="BO1053" s="151" t="e">
        <f t="shared" si="66"/>
        <v>#DIV/0!</v>
      </c>
      <c r="BP1053" s="151" t="e">
        <f t="shared" si="67"/>
        <v>#DIV/0!</v>
      </c>
      <c r="BQ1053" s="71">
        <v>0</v>
      </c>
      <c r="BR1053" s="71">
        <v>0</v>
      </c>
      <c r="BS1053" s="71">
        <v>0</v>
      </c>
      <c r="BT1053" s="72">
        <v>0</v>
      </c>
      <c r="BU1053" s="73"/>
      <c r="BV1053" s="73"/>
      <c r="BW1053" s="14"/>
    </row>
    <row r="1054" s="3" customFormat="1" ht="30" customHeight="1" spans="1:75">
      <c r="A1054" s="55">
        <v>0</v>
      </c>
      <c r="B1054" s="56">
        <v>0</v>
      </c>
      <c r="C1054" s="57">
        <v>0</v>
      </c>
      <c r="D1054" s="74"/>
      <c r="E1054" s="74"/>
      <c r="F1054" s="59" t="e">
        <f>VLOOKUP(E1054,[1]库存!$B$1:$C$65536,2,FALSE)</f>
        <v>#N/A</v>
      </c>
      <c r="G1054" s="59" t="e">
        <v>#N/A</v>
      </c>
      <c r="H1054" s="226"/>
      <c r="I1054" s="74"/>
      <c r="J1054" s="87"/>
      <c r="K1054" s="61"/>
      <c r="L1054" s="62">
        <v>0</v>
      </c>
      <c r="M1054" s="63">
        <v>0</v>
      </c>
      <c r="N1054" s="64">
        <v>0</v>
      </c>
      <c r="O1054" s="62">
        <v>0</v>
      </c>
      <c r="P1054" s="65">
        <f t="shared" si="68"/>
        <v>0</v>
      </c>
      <c r="Q1054" s="66">
        <v>1937</v>
      </c>
      <c r="R1054" s="66"/>
      <c r="S1054" s="66"/>
      <c r="T1054" s="66"/>
      <c r="U1054" s="66"/>
      <c r="V1054" s="66"/>
      <c r="W1054" s="66"/>
      <c r="X1054" s="66"/>
      <c r="Y1054" s="66"/>
      <c r="Z1054" s="66"/>
      <c r="AA1054" s="66"/>
      <c r="AB1054" s="66"/>
      <c r="AC1054" s="66"/>
      <c r="AD1054" s="66"/>
      <c r="AE1054" s="66"/>
      <c r="AF1054" s="66"/>
      <c r="AG1054" s="66"/>
      <c r="AH1054" s="66"/>
      <c r="AI1054" s="66"/>
      <c r="AJ1054" s="66"/>
      <c r="AK1054" s="66"/>
      <c r="AL1054" s="66"/>
      <c r="AM1054" s="66"/>
      <c r="AN1054" s="66"/>
      <c r="AO1054" s="66"/>
      <c r="AP1054" s="66"/>
      <c r="AQ1054" s="66"/>
      <c r="AR1054" s="66"/>
      <c r="AS1054" s="66"/>
      <c r="AT1054" s="66"/>
      <c r="AU1054" s="66"/>
      <c r="AV1054" s="66"/>
      <c r="AW1054" s="66"/>
      <c r="AX1054" s="66"/>
      <c r="AY1054" s="66"/>
      <c r="AZ1054" s="66"/>
      <c r="BA1054" s="66"/>
      <c r="BB1054" s="66"/>
      <c r="BC1054" s="66"/>
      <c r="BD1054" s="66"/>
      <c r="BE1054" s="67"/>
      <c r="BF1054" s="67"/>
      <c r="BG1054" s="68"/>
      <c r="BH1054" s="11"/>
      <c r="BI1054" s="69">
        <v>0</v>
      </c>
      <c r="BJ1054" s="70">
        <v>0</v>
      </c>
      <c r="BK1054" s="71">
        <v>0</v>
      </c>
      <c r="BL1054" s="71">
        <v>0</v>
      </c>
      <c r="BM1054" s="71">
        <v>0</v>
      </c>
      <c r="BN1054" s="72">
        <v>0</v>
      </c>
      <c r="BO1054" s="151" t="e">
        <f t="shared" si="66"/>
        <v>#DIV/0!</v>
      </c>
      <c r="BP1054" s="151" t="e">
        <f t="shared" si="67"/>
        <v>#DIV/0!</v>
      </c>
      <c r="BQ1054" s="71">
        <v>0</v>
      </c>
      <c r="BR1054" s="71">
        <v>0</v>
      </c>
      <c r="BS1054" s="71">
        <v>0</v>
      </c>
      <c r="BT1054" s="72">
        <v>0</v>
      </c>
      <c r="BU1054" s="73"/>
      <c r="BV1054" s="73"/>
      <c r="BW1054" s="14"/>
    </row>
    <row r="1055" s="3" customFormat="1" ht="30" customHeight="1" spans="1:75">
      <c r="A1055" s="55" t="s">
        <v>96</v>
      </c>
      <c r="B1055" s="56" t="s">
        <v>1057</v>
      </c>
      <c r="C1055" s="57" t="s">
        <v>1058</v>
      </c>
      <c r="D1055" s="59" t="s">
        <v>1758</v>
      </c>
      <c r="E1055" s="59" t="s">
        <v>1779</v>
      </c>
      <c r="F1055" s="59" t="str">
        <f>VLOOKUP(E1055,[1]库存!$B$1:$C$65536,2,FALSE)</f>
        <v>SGM 358-2 SAB RH</v>
      </c>
      <c r="G1055" s="59" t="s">
        <v>1780</v>
      </c>
      <c r="H1055" s="225" t="s">
        <v>1781</v>
      </c>
      <c r="I1055" s="59" t="s">
        <v>1778</v>
      </c>
      <c r="J1055" s="63"/>
      <c r="K1055" s="61"/>
      <c r="L1055" s="62">
        <v>2</v>
      </c>
      <c r="M1055" s="63">
        <v>1400</v>
      </c>
      <c r="N1055" s="64">
        <v>9</v>
      </c>
      <c r="O1055" s="62">
        <v>2</v>
      </c>
      <c r="P1055" s="65">
        <f t="shared" si="68"/>
        <v>0</v>
      </c>
      <c r="Q1055" s="66"/>
      <c r="R1055" s="66"/>
      <c r="S1055" s="66">
        <v>1950</v>
      </c>
      <c r="T1055" s="66"/>
      <c r="U1055" s="66"/>
      <c r="V1055" s="66"/>
      <c r="W1055" s="66"/>
      <c r="X1055" s="66"/>
      <c r="Y1055" s="66">
        <v>1950</v>
      </c>
      <c r="Z1055" s="66"/>
      <c r="AA1055" s="66">
        <v>1950</v>
      </c>
      <c r="AB1055" s="66"/>
      <c r="AC1055" s="66"/>
      <c r="AD1055" s="66"/>
      <c r="AE1055" s="66"/>
      <c r="AF1055" s="66"/>
      <c r="AG1055" s="66"/>
      <c r="AH1055" s="66"/>
      <c r="AI1055" s="66"/>
      <c r="AJ1055" s="66"/>
      <c r="AK1055" s="66"/>
      <c r="AL1055" s="66"/>
      <c r="AM1055" s="66"/>
      <c r="AN1055" s="66"/>
      <c r="AO1055" s="66"/>
      <c r="AP1055" s="66"/>
      <c r="AQ1055" s="66"/>
      <c r="AR1055" s="66"/>
      <c r="AS1055" s="66"/>
      <c r="AT1055" s="66"/>
      <c r="AU1055" s="66"/>
      <c r="AV1055" s="66"/>
      <c r="AW1055" s="66"/>
      <c r="AX1055" s="66"/>
      <c r="AY1055" s="66"/>
      <c r="AZ1055" s="66"/>
      <c r="BA1055" s="66"/>
      <c r="BB1055" s="66"/>
      <c r="BC1055" s="66"/>
      <c r="BD1055" s="66"/>
      <c r="BE1055" s="67"/>
      <c r="BF1055" s="67"/>
      <c r="BG1055" s="68"/>
      <c r="BH1055" s="11"/>
      <c r="BI1055" s="69">
        <v>0</v>
      </c>
      <c r="BJ1055" s="70">
        <v>0</v>
      </c>
      <c r="BK1055" s="71">
        <v>0</v>
      </c>
      <c r="BL1055" s="71">
        <v>0</v>
      </c>
      <c r="BM1055" s="71">
        <v>0</v>
      </c>
      <c r="BN1055" s="72">
        <v>0</v>
      </c>
      <c r="BO1055" s="151" t="e">
        <f t="shared" si="66"/>
        <v>#DIV/0!</v>
      </c>
      <c r="BP1055" s="151" t="e">
        <f t="shared" si="67"/>
        <v>#DIV/0!</v>
      </c>
      <c r="BQ1055" s="71">
        <v>0</v>
      </c>
      <c r="BR1055" s="71">
        <v>0</v>
      </c>
      <c r="BS1055" s="71">
        <v>0</v>
      </c>
      <c r="BT1055" s="72">
        <v>0</v>
      </c>
      <c r="BU1055" s="73"/>
      <c r="BV1055" s="73"/>
      <c r="BW1055" s="14"/>
    </row>
    <row r="1056" s="3" customFormat="1" ht="30" customHeight="1" spans="1:75">
      <c r="A1056" s="55">
        <v>0</v>
      </c>
      <c r="B1056" s="56">
        <v>0</v>
      </c>
      <c r="C1056" s="57">
        <v>0</v>
      </c>
      <c r="D1056" s="74"/>
      <c r="E1056" s="74"/>
      <c r="F1056" s="59" t="e">
        <f>VLOOKUP(E1056,[1]库存!$B$1:$C$65536,2,FALSE)</f>
        <v>#N/A</v>
      </c>
      <c r="G1056" s="59" t="e">
        <v>#N/A</v>
      </c>
      <c r="H1056" s="226"/>
      <c r="I1056" s="74"/>
      <c r="J1056" s="87"/>
      <c r="K1056" s="61"/>
      <c r="L1056" s="62">
        <v>0</v>
      </c>
      <c r="M1056" s="63">
        <v>0</v>
      </c>
      <c r="N1056" s="64">
        <v>0</v>
      </c>
      <c r="O1056" s="62">
        <v>0</v>
      </c>
      <c r="P1056" s="65">
        <f t="shared" si="68"/>
        <v>0</v>
      </c>
      <c r="Q1056" s="66"/>
      <c r="R1056" s="66"/>
      <c r="S1056" s="66">
        <v>1979</v>
      </c>
      <c r="T1056" s="66"/>
      <c r="U1056" s="66"/>
      <c r="V1056" s="66"/>
      <c r="W1056" s="66"/>
      <c r="X1056" s="66"/>
      <c r="Y1056" s="66">
        <v>2042</v>
      </c>
      <c r="Z1056" s="66"/>
      <c r="AA1056" s="66">
        <v>1943</v>
      </c>
      <c r="AB1056" s="66"/>
      <c r="AC1056" s="66"/>
      <c r="AD1056" s="66"/>
      <c r="AE1056" s="66"/>
      <c r="AF1056" s="66"/>
      <c r="AG1056" s="66"/>
      <c r="AH1056" s="66"/>
      <c r="AI1056" s="66"/>
      <c r="AJ1056" s="66"/>
      <c r="AK1056" s="66"/>
      <c r="AL1056" s="66"/>
      <c r="AM1056" s="66"/>
      <c r="AN1056" s="66"/>
      <c r="AO1056" s="66"/>
      <c r="AP1056" s="66"/>
      <c r="AQ1056" s="66"/>
      <c r="AR1056" s="66"/>
      <c r="AS1056" s="66"/>
      <c r="AT1056" s="66"/>
      <c r="AU1056" s="66"/>
      <c r="AV1056" s="66"/>
      <c r="AW1056" s="66"/>
      <c r="AX1056" s="66"/>
      <c r="AY1056" s="66"/>
      <c r="AZ1056" s="66"/>
      <c r="BA1056" s="66"/>
      <c r="BB1056" s="66"/>
      <c r="BC1056" s="66"/>
      <c r="BD1056" s="66"/>
      <c r="BE1056" s="67"/>
      <c r="BF1056" s="67"/>
      <c r="BG1056" s="68"/>
      <c r="BH1056" s="11"/>
      <c r="BI1056" s="69">
        <v>0</v>
      </c>
      <c r="BJ1056" s="70">
        <v>0</v>
      </c>
      <c r="BK1056" s="71">
        <v>0</v>
      </c>
      <c r="BL1056" s="71">
        <v>0</v>
      </c>
      <c r="BM1056" s="71">
        <v>0</v>
      </c>
      <c r="BN1056" s="72">
        <v>0</v>
      </c>
      <c r="BO1056" s="151" t="e">
        <f t="shared" si="66"/>
        <v>#DIV/0!</v>
      </c>
      <c r="BP1056" s="151" t="e">
        <f t="shared" si="67"/>
        <v>#DIV/0!</v>
      </c>
      <c r="BQ1056" s="71">
        <v>0</v>
      </c>
      <c r="BR1056" s="71">
        <v>0</v>
      </c>
      <c r="BS1056" s="71">
        <v>0</v>
      </c>
      <c r="BT1056" s="72">
        <v>0</v>
      </c>
      <c r="BU1056" s="73"/>
      <c r="BV1056" s="73"/>
      <c r="BW1056" s="14"/>
    </row>
    <row r="1057" s="3" customFormat="1" ht="30" customHeight="1" spans="1:75">
      <c r="A1057" s="55" t="s">
        <v>96</v>
      </c>
      <c r="B1057" s="56" t="s">
        <v>1057</v>
      </c>
      <c r="C1057" s="57" t="s">
        <v>1058</v>
      </c>
      <c r="D1057" s="59" t="s">
        <v>1758</v>
      </c>
      <c r="E1057" s="59" t="s">
        <v>1782</v>
      </c>
      <c r="F1057" s="59" t="str">
        <f>VLOOKUP(E1057,[1]库存!$B$1:$C$65536,2,FALSE)</f>
        <v>SGMW F510S SAB LH A状态</v>
      </c>
      <c r="G1057" s="59" t="s">
        <v>1783</v>
      </c>
      <c r="H1057" s="225" t="s">
        <v>1784</v>
      </c>
      <c r="I1057" s="225" t="s">
        <v>1785</v>
      </c>
      <c r="J1057" s="80" t="s">
        <v>65</v>
      </c>
      <c r="K1057" s="61"/>
      <c r="L1057" s="62">
        <v>2</v>
      </c>
      <c r="M1057" s="63">
        <v>1500</v>
      </c>
      <c r="N1057" s="64">
        <v>12</v>
      </c>
      <c r="O1057" s="62">
        <v>2</v>
      </c>
      <c r="P1057" s="65">
        <f t="shared" si="68"/>
        <v>0</v>
      </c>
      <c r="Q1057" s="66"/>
      <c r="R1057" s="66"/>
      <c r="S1057" s="66"/>
      <c r="T1057" s="66"/>
      <c r="U1057" s="66">
        <v>1700</v>
      </c>
      <c r="V1057" s="66"/>
      <c r="W1057" s="66"/>
      <c r="X1057" s="66"/>
      <c r="Y1057" s="66"/>
      <c r="Z1057" s="66"/>
      <c r="AA1057" s="66"/>
      <c r="AB1057" s="66"/>
      <c r="AC1057" s="66"/>
      <c r="AD1057" s="66"/>
      <c r="AE1057" s="66"/>
      <c r="AF1057" s="66"/>
      <c r="AG1057" s="66"/>
      <c r="AH1057" s="66"/>
      <c r="AI1057" s="66"/>
      <c r="AJ1057" s="66"/>
      <c r="AK1057" s="66"/>
      <c r="AL1057" s="66"/>
      <c r="AM1057" s="66"/>
      <c r="AN1057" s="66"/>
      <c r="AO1057" s="66"/>
      <c r="AP1057" s="66"/>
      <c r="AQ1057" s="66"/>
      <c r="AR1057" s="66"/>
      <c r="AS1057" s="66"/>
      <c r="AT1057" s="66"/>
      <c r="AU1057" s="66"/>
      <c r="AV1057" s="66"/>
      <c r="AW1057" s="66"/>
      <c r="AX1057" s="66"/>
      <c r="AY1057" s="66"/>
      <c r="AZ1057" s="66"/>
      <c r="BA1057" s="66"/>
      <c r="BB1057" s="66"/>
      <c r="BC1057" s="66"/>
      <c r="BD1057" s="66"/>
      <c r="BE1057" s="67"/>
      <c r="BF1057" s="67"/>
      <c r="BG1057" s="68"/>
      <c r="BH1057" s="11"/>
      <c r="BI1057" s="69">
        <v>0</v>
      </c>
      <c r="BJ1057" s="70">
        <v>0</v>
      </c>
      <c r="BK1057" s="71">
        <v>0</v>
      </c>
      <c r="BL1057" s="71">
        <v>0</v>
      </c>
      <c r="BM1057" s="71">
        <v>0</v>
      </c>
      <c r="BN1057" s="72">
        <v>0</v>
      </c>
      <c r="BO1057" s="151" t="e">
        <f t="shared" si="66"/>
        <v>#DIV/0!</v>
      </c>
      <c r="BP1057" s="151" t="e">
        <f t="shared" si="67"/>
        <v>#DIV/0!</v>
      </c>
      <c r="BQ1057" s="71">
        <v>0</v>
      </c>
      <c r="BR1057" s="71">
        <v>0</v>
      </c>
      <c r="BS1057" s="71">
        <v>0</v>
      </c>
      <c r="BT1057" s="72">
        <v>0</v>
      </c>
      <c r="BU1057" s="73"/>
      <c r="BV1057" s="73"/>
      <c r="BW1057" s="14"/>
    </row>
    <row r="1058" s="3" customFormat="1" ht="30" customHeight="1" spans="1:75">
      <c r="A1058" s="55">
        <v>0</v>
      </c>
      <c r="B1058" s="56">
        <v>0</v>
      </c>
      <c r="C1058" s="57">
        <v>0</v>
      </c>
      <c r="D1058" s="74"/>
      <c r="E1058" s="74"/>
      <c r="F1058" s="59" t="e">
        <f>VLOOKUP(E1058,[1]库存!$B$1:$C$65536,2,FALSE)</f>
        <v>#N/A</v>
      </c>
      <c r="G1058" s="59" t="e">
        <v>#N/A</v>
      </c>
      <c r="H1058" s="226"/>
      <c r="I1058" s="226"/>
      <c r="J1058" s="81"/>
      <c r="K1058" s="61"/>
      <c r="L1058" s="62">
        <v>0</v>
      </c>
      <c r="M1058" s="63">
        <v>0</v>
      </c>
      <c r="N1058" s="64">
        <v>0</v>
      </c>
      <c r="O1058" s="62">
        <v>0</v>
      </c>
      <c r="P1058" s="65">
        <f t="shared" si="68"/>
        <v>0</v>
      </c>
      <c r="Q1058" s="66"/>
      <c r="R1058" s="66"/>
      <c r="S1058" s="66"/>
      <c r="T1058" s="66"/>
      <c r="U1058" s="66">
        <v>1845</v>
      </c>
      <c r="V1058" s="66"/>
      <c r="W1058" s="66"/>
      <c r="X1058" s="66"/>
      <c r="Y1058" s="66"/>
      <c r="Z1058" s="66"/>
      <c r="AA1058" s="66"/>
      <c r="AB1058" s="66"/>
      <c r="AC1058" s="66"/>
      <c r="AD1058" s="66"/>
      <c r="AE1058" s="66"/>
      <c r="AF1058" s="66"/>
      <c r="AG1058" s="66"/>
      <c r="AH1058" s="66"/>
      <c r="AI1058" s="66"/>
      <c r="AJ1058" s="66"/>
      <c r="AK1058" s="66"/>
      <c r="AL1058" s="66"/>
      <c r="AM1058" s="66"/>
      <c r="AN1058" s="66"/>
      <c r="AO1058" s="66"/>
      <c r="AP1058" s="66"/>
      <c r="AQ1058" s="66"/>
      <c r="AR1058" s="66"/>
      <c r="AS1058" s="66"/>
      <c r="AT1058" s="66"/>
      <c r="AU1058" s="66"/>
      <c r="AV1058" s="66"/>
      <c r="AW1058" s="66"/>
      <c r="AX1058" s="66"/>
      <c r="AY1058" s="66"/>
      <c r="AZ1058" s="66"/>
      <c r="BA1058" s="66"/>
      <c r="BB1058" s="66"/>
      <c r="BC1058" s="66"/>
      <c r="BD1058" s="66"/>
      <c r="BE1058" s="67"/>
      <c r="BF1058" s="67"/>
      <c r="BG1058" s="68"/>
      <c r="BH1058" s="11"/>
      <c r="BI1058" s="69">
        <v>0</v>
      </c>
      <c r="BJ1058" s="70">
        <v>0</v>
      </c>
      <c r="BK1058" s="71">
        <v>0</v>
      </c>
      <c r="BL1058" s="71">
        <v>0</v>
      </c>
      <c r="BM1058" s="71">
        <v>0</v>
      </c>
      <c r="BN1058" s="72">
        <v>0</v>
      </c>
      <c r="BO1058" s="151" t="e">
        <f t="shared" si="66"/>
        <v>#DIV/0!</v>
      </c>
      <c r="BP1058" s="151" t="e">
        <f t="shared" si="67"/>
        <v>#DIV/0!</v>
      </c>
      <c r="BQ1058" s="71">
        <v>0</v>
      </c>
      <c r="BR1058" s="71">
        <v>0</v>
      </c>
      <c r="BS1058" s="71">
        <v>0</v>
      </c>
      <c r="BT1058" s="72">
        <v>0</v>
      </c>
      <c r="BU1058" s="73"/>
      <c r="BV1058" s="73"/>
      <c r="BW1058" s="14"/>
    </row>
    <row r="1059" s="3" customFormat="1" ht="30" customHeight="1" spans="1:75">
      <c r="A1059" s="55" t="s">
        <v>96</v>
      </c>
      <c r="B1059" s="56" t="s">
        <v>1057</v>
      </c>
      <c r="C1059" s="57" t="s">
        <v>1058</v>
      </c>
      <c r="D1059" s="59" t="s">
        <v>1758</v>
      </c>
      <c r="E1059" s="59" t="s">
        <v>1786</v>
      </c>
      <c r="F1059" s="59" t="str">
        <f>VLOOKUP(E1059,[1]库存!$B$1:$C$65536,2,FALSE)</f>
        <v>SGMW F510S SAB RH A状态</v>
      </c>
      <c r="G1059" s="59" t="s">
        <v>1787</v>
      </c>
      <c r="H1059" s="225" t="s">
        <v>1788</v>
      </c>
      <c r="I1059" s="225" t="s">
        <v>1785</v>
      </c>
      <c r="J1059" s="80" t="s">
        <v>65</v>
      </c>
      <c r="K1059" s="61"/>
      <c r="L1059" s="62">
        <v>2</v>
      </c>
      <c r="M1059" s="63">
        <v>1500</v>
      </c>
      <c r="N1059" s="64">
        <v>12</v>
      </c>
      <c r="O1059" s="62">
        <v>2</v>
      </c>
      <c r="P1059" s="65">
        <f t="shared" si="68"/>
        <v>0</v>
      </c>
      <c r="Q1059" s="66"/>
      <c r="R1059" s="66"/>
      <c r="S1059" s="66"/>
      <c r="T1059" s="66"/>
      <c r="U1059" s="66"/>
      <c r="V1059" s="66"/>
      <c r="W1059" s="66">
        <v>1700</v>
      </c>
      <c r="X1059" s="66"/>
      <c r="Y1059" s="66"/>
      <c r="Z1059" s="66"/>
      <c r="AA1059" s="66"/>
      <c r="AB1059" s="66"/>
      <c r="AC1059" s="66"/>
      <c r="AD1059" s="66"/>
      <c r="AE1059" s="66"/>
      <c r="AF1059" s="66"/>
      <c r="AG1059" s="66"/>
      <c r="AH1059" s="66"/>
      <c r="AI1059" s="66"/>
      <c r="AJ1059" s="66"/>
      <c r="AK1059" s="66"/>
      <c r="AL1059" s="66"/>
      <c r="AM1059" s="66"/>
      <c r="AN1059" s="66"/>
      <c r="AO1059" s="66"/>
      <c r="AP1059" s="66"/>
      <c r="AQ1059" s="66"/>
      <c r="AR1059" s="66"/>
      <c r="AS1059" s="66"/>
      <c r="AT1059" s="66"/>
      <c r="AU1059" s="66"/>
      <c r="AV1059" s="66"/>
      <c r="AW1059" s="66"/>
      <c r="AX1059" s="66"/>
      <c r="AY1059" s="66"/>
      <c r="AZ1059" s="66"/>
      <c r="BA1059" s="66"/>
      <c r="BB1059" s="66"/>
      <c r="BC1059" s="66"/>
      <c r="BD1059" s="66"/>
      <c r="BE1059" s="67"/>
      <c r="BF1059" s="67"/>
      <c r="BG1059" s="68"/>
      <c r="BH1059" s="11"/>
      <c r="BI1059" s="69">
        <v>0</v>
      </c>
      <c r="BJ1059" s="70">
        <v>0</v>
      </c>
      <c r="BK1059" s="71">
        <v>0</v>
      </c>
      <c r="BL1059" s="71">
        <v>0</v>
      </c>
      <c r="BM1059" s="71">
        <v>0</v>
      </c>
      <c r="BN1059" s="72">
        <v>0</v>
      </c>
      <c r="BO1059" s="151" t="e">
        <f t="shared" si="66"/>
        <v>#DIV/0!</v>
      </c>
      <c r="BP1059" s="151" t="e">
        <f t="shared" si="67"/>
        <v>#DIV/0!</v>
      </c>
      <c r="BQ1059" s="71">
        <v>0</v>
      </c>
      <c r="BR1059" s="71">
        <v>0</v>
      </c>
      <c r="BS1059" s="71">
        <v>0</v>
      </c>
      <c r="BT1059" s="72">
        <v>0</v>
      </c>
      <c r="BU1059" s="73"/>
      <c r="BV1059" s="73"/>
      <c r="BW1059" s="14"/>
    </row>
    <row r="1060" s="3" customFormat="1" ht="30" customHeight="1" spans="1:75">
      <c r="A1060" s="55">
        <v>0</v>
      </c>
      <c r="B1060" s="56">
        <v>0</v>
      </c>
      <c r="C1060" s="57">
        <v>0</v>
      </c>
      <c r="D1060" s="74"/>
      <c r="E1060" s="74"/>
      <c r="F1060" s="59" t="e">
        <f>VLOOKUP(E1060,[1]库存!$B$1:$C$65536,2,FALSE)</f>
        <v>#N/A</v>
      </c>
      <c r="G1060" s="59" t="e">
        <v>#N/A</v>
      </c>
      <c r="H1060" s="226"/>
      <c r="I1060" s="226"/>
      <c r="J1060" s="81"/>
      <c r="K1060" s="61"/>
      <c r="L1060" s="62">
        <v>0</v>
      </c>
      <c r="M1060" s="63">
        <v>0</v>
      </c>
      <c r="N1060" s="64">
        <v>0</v>
      </c>
      <c r="O1060" s="62">
        <v>0</v>
      </c>
      <c r="P1060" s="65">
        <f t="shared" si="68"/>
        <v>0</v>
      </c>
      <c r="Q1060" s="66"/>
      <c r="R1060" s="66"/>
      <c r="S1060" s="66"/>
      <c r="T1060" s="66"/>
      <c r="U1060" s="66"/>
      <c r="V1060" s="66"/>
      <c r="W1060" s="66">
        <v>1748</v>
      </c>
      <c r="X1060" s="66"/>
      <c r="Y1060" s="66"/>
      <c r="Z1060" s="66"/>
      <c r="AA1060" s="66"/>
      <c r="AB1060" s="66"/>
      <c r="AC1060" s="66"/>
      <c r="AD1060" s="66"/>
      <c r="AE1060" s="66"/>
      <c r="AF1060" s="66"/>
      <c r="AG1060" s="66"/>
      <c r="AH1060" s="66"/>
      <c r="AI1060" s="66"/>
      <c r="AJ1060" s="66"/>
      <c r="AK1060" s="66"/>
      <c r="AL1060" s="66"/>
      <c r="AM1060" s="66"/>
      <c r="AN1060" s="66"/>
      <c r="AO1060" s="66"/>
      <c r="AP1060" s="66"/>
      <c r="AQ1060" s="66"/>
      <c r="AR1060" s="66"/>
      <c r="AS1060" s="66"/>
      <c r="AT1060" s="66"/>
      <c r="AU1060" s="66"/>
      <c r="AV1060" s="66"/>
      <c r="AW1060" s="66"/>
      <c r="AX1060" s="66"/>
      <c r="AY1060" s="66"/>
      <c r="AZ1060" s="66"/>
      <c r="BA1060" s="66"/>
      <c r="BB1060" s="66"/>
      <c r="BC1060" s="66"/>
      <c r="BD1060" s="66"/>
      <c r="BE1060" s="67"/>
      <c r="BF1060" s="67"/>
      <c r="BG1060" s="68"/>
      <c r="BH1060" s="11"/>
      <c r="BI1060" s="69">
        <v>0</v>
      </c>
      <c r="BJ1060" s="70">
        <v>0</v>
      </c>
      <c r="BK1060" s="71">
        <v>0</v>
      </c>
      <c r="BL1060" s="71">
        <v>0</v>
      </c>
      <c r="BM1060" s="71">
        <v>0</v>
      </c>
      <c r="BN1060" s="72">
        <v>0</v>
      </c>
      <c r="BO1060" s="151" t="e">
        <f t="shared" si="66"/>
        <v>#DIV/0!</v>
      </c>
      <c r="BP1060" s="151" t="e">
        <f t="shared" si="67"/>
        <v>#DIV/0!</v>
      </c>
      <c r="BQ1060" s="71">
        <v>0</v>
      </c>
      <c r="BR1060" s="71">
        <v>0</v>
      </c>
      <c r="BS1060" s="71">
        <v>0</v>
      </c>
      <c r="BT1060" s="72">
        <v>0</v>
      </c>
      <c r="BU1060" s="73"/>
      <c r="BV1060" s="73"/>
      <c r="BW1060" s="14"/>
    </row>
    <row r="1061" ht="30" customHeight="1" spans="1:75">
      <c r="A1061" s="55">
        <v>0</v>
      </c>
      <c r="B1061" s="56" t="s">
        <v>1057</v>
      </c>
      <c r="C1061" s="57" t="s">
        <v>1058</v>
      </c>
      <c r="D1061" s="59" t="s">
        <v>1758</v>
      </c>
      <c r="E1061" s="59" t="s">
        <v>1789</v>
      </c>
      <c r="F1061" s="59" t="e">
        <f>VLOOKUP(E1061,[1]库存!$B$1:$C$65536,2,FALSE)</f>
        <v>#N/A</v>
      </c>
      <c r="G1061" s="59" t="e">
        <v>#N/A</v>
      </c>
      <c r="H1061" s="59" t="s">
        <v>1790</v>
      </c>
      <c r="I1061" s="59" t="s">
        <v>1308</v>
      </c>
      <c r="J1061" s="80" t="s">
        <v>65</v>
      </c>
      <c r="K1061" s="61"/>
      <c r="L1061" s="62">
        <v>2</v>
      </c>
      <c r="M1061" s="63">
        <v>1600</v>
      </c>
      <c r="N1061" s="64">
        <v>12</v>
      </c>
      <c r="O1061" s="62">
        <v>2</v>
      </c>
      <c r="P1061" s="65">
        <f t="shared" si="68"/>
        <v>0</v>
      </c>
      <c r="Q1061" s="66"/>
      <c r="R1061" s="66"/>
      <c r="S1061" s="66"/>
      <c r="T1061" s="66"/>
      <c r="U1061" s="66"/>
      <c r="V1061" s="66"/>
      <c r="W1061" s="66"/>
      <c r="X1061" s="66"/>
      <c r="Y1061" s="66"/>
      <c r="Z1061" s="66"/>
      <c r="AA1061" s="66"/>
      <c r="AB1061" s="66"/>
      <c r="AC1061" s="66"/>
      <c r="AD1061" s="66"/>
      <c r="AE1061" s="66"/>
      <c r="AF1061" s="66"/>
      <c r="AG1061" s="66"/>
      <c r="AH1061" s="66"/>
      <c r="AI1061" s="66"/>
      <c r="AJ1061" s="66"/>
      <c r="AK1061" s="66"/>
      <c r="AL1061" s="66"/>
      <c r="AM1061" s="66"/>
      <c r="AN1061" s="66"/>
      <c r="AO1061" s="66"/>
      <c r="AP1061" s="66"/>
      <c r="AQ1061" s="66"/>
      <c r="AR1061" s="66"/>
      <c r="AS1061" s="66"/>
      <c r="AT1061" s="66"/>
      <c r="AU1061" s="66"/>
      <c r="AV1061" s="66"/>
      <c r="AW1061" s="66"/>
      <c r="AX1061" s="66"/>
      <c r="AY1061" s="66"/>
      <c r="AZ1061" s="66"/>
      <c r="BA1061" s="66"/>
      <c r="BB1061" s="66"/>
      <c r="BC1061" s="66"/>
      <c r="BD1061" s="66"/>
      <c r="BE1061" s="67"/>
      <c r="BF1061" s="67"/>
      <c r="BG1061" s="68"/>
      <c r="BI1061" s="69">
        <v>0</v>
      </c>
      <c r="BJ1061" s="70">
        <v>0</v>
      </c>
      <c r="BK1061" s="71">
        <v>0</v>
      </c>
      <c r="BL1061" s="71">
        <v>0</v>
      </c>
      <c r="BM1061" s="71">
        <v>0</v>
      </c>
      <c r="BN1061" s="72">
        <v>0</v>
      </c>
      <c r="BO1061" s="151" t="e">
        <f t="shared" si="66"/>
        <v>#DIV/0!</v>
      </c>
      <c r="BP1061" s="151" t="e">
        <f t="shared" si="67"/>
        <v>#DIV/0!</v>
      </c>
      <c r="BQ1061" s="71">
        <v>0</v>
      </c>
      <c r="BR1061" s="71">
        <v>0</v>
      </c>
      <c r="BS1061" s="71">
        <v>0</v>
      </c>
      <c r="BT1061" s="72">
        <v>0</v>
      </c>
      <c r="BU1061" s="73"/>
      <c r="BV1061" s="73"/>
    </row>
    <row r="1062" ht="30" customHeight="1" spans="1:75">
      <c r="A1062" s="55">
        <v>0</v>
      </c>
      <c r="B1062" s="56">
        <v>0</v>
      </c>
      <c r="C1062" s="57">
        <v>0</v>
      </c>
      <c r="D1062" s="74"/>
      <c r="E1062" s="74"/>
      <c r="F1062" s="59" t="e">
        <f>VLOOKUP(E1062,[1]库存!$B$1:$C$65536,2,FALSE)</f>
        <v>#N/A</v>
      </c>
      <c r="G1062" s="59" t="e">
        <v>#N/A</v>
      </c>
      <c r="H1062" s="74"/>
      <c r="I1062" s="74"/>
      <c r="J1062" s="81"/>
      <c r="K1062" s="61"/>
      <c r="L1062" s="62">
        <v>0</v>
      </c>
      <c r="M1062" s="63">
        <v>0</v>
      </c>
      <c r="N1062" s="64">
        <v>0</v>
      </c>
      <c r="O1062" s="62">
        <v>0</v>
      </c>
      <c r="P1062" s="65">
        <f t="shared" si="68"/>
        <v>0</v>
      </c>
      <c r="Q1062" s="66"/>
      <c r="R1062" s="66"/>
      <c r="S1062" s="66"/>
      <c r="T1062" s="66"/>
      <c r="U1062" s="66"/>
      <c r="V1062" s="66"/>
      <c r="W1062" s="66"/>
      <c r="X1062" s="66"/>
      <c r="Y1062" s="66"/>
      <c r="Z1062" s="66"/>
      <c r="AA1062" s="66"/>
      <c r="AB1062" s="66"/>
      <c r="AC1062" s="66"/>
      <c r="AD1062" s="66"/>
      <c r="AE1062" s="66"/>
      <c r="AF1062" s="66"/>
      <c r="AG1062" s="66"/>
      <c r="AH1062" s="66"/>
      <c r="AI1062" s="66"/>
      <c r="AJ1062" s="66"/>
      <c r="AK1062" s="66"/>
      <c r="AL1062" s="66"/>
      <c r="AM1062" s="66"/>
      <c r="AN1062" s="66"/>
      <c r="AO1062" s="66"/>
      <c r="AP1062" s="66"/>
      <c r="AQ1062" s="66"/>
      <c r="AR1062" s="66"/>
      <c r="AS1062" s="66"/>
      <c r="AT1062" s="66"/>
      <c r="AU1062" s="66"/>
      <c r="AV1062" s="66"/>
      <c r="AW1062" s="66"/>
      <c r="AX1062" s="66"/>
      <c r="AY1062" s="66"/>
      <c r="AZ1062" s="66"/>
      <c r="BA1062" s="66"/>
      <c r="BB1062" s="66"/>
      <c r="BC1062" s="66"/>
      <c r="BD1062" s="66"/>
      <c r="BE1062" s="67"/>
      <c r="BF1062" s="67"/>
      <c r="BG1062" s="68"/>
      <c r="BI1062" s="69">
        <v>0</v>
      </c>
      <c r="BJ1062" s="70">
        <v>0</v>
      </c>
      <c r="BK1062" s="71">
        <v>0</v>
      </c>
      <c r="BL1062" s="71">
        <v>0</v>
      </c>
      <c r="BM1062" s="71">
        <v>0</v>
      </c>
      <c r="BN1062" s="72">
        <v>0</v>
      </c>
      <c r="BO1062" s="151" t="e">
        <f t="shared" si="66"/>
        <v>#DIV/0!</v>
      </c>
      <c r="BP1062" s="151" t="e">
        <f t="shared" si="67"/>
        <v>#DIV/0!</v>
      </c>
      <c r="BQ1062" s="71">
        <v>0</v>
      </c>
      <c r="BR1062" s="71">
        <v>0</v>
      </c>
      <c r="BS1062" s="71">
        <v>0</v>
      </c>
      <c r="BT1062" s="72">
        <v>0</v>
      </c>
      <c r="BU1062" s="73"/>
      <c r="BV1062" s="73"/>
    </row>
    <row r="1063" ht="30" customHeight="1" spans="1:75">
      <c r="A1063" s="55">
        <v>0</v>
      </c>
      <c r="B1063" s="56" t="s">
        <v>1057</v>
      </c>
      <c r="C1063" s="57" t="s">
        <v>1058</v>
      </c>
      <c r="D1063" s="59" t="s">
        <v>1758</v>
      </c>
      <c r="E1063" s="59" t="s">
        <v>1791</v>
      </c>
      <c r="F1063" s="59" t="e">
        <f>VLOOKUP(E1063,[1]库存!$B$1:$C$65536,2,FALSE)</f>
        <v>#N/A</v>
      </c>
      <c r="G1063" s="59" t="e">
        <v>#N/A</v>
      </c>
      <c r="H1063" s="59" t="s">
        <v>1792</v>
      </c>
      <c r="I1063" s="59" t="s">
        <v>1308</v>
      </c>
      <c r="J1063" s="60" t="s">
        <v>1793</v>
      </c>
      <c r="K1063" s="61"/>
      <c r="L1063" s="62">
        <v>2</v>
      </c>
      <c r="M1063" s="63">
        <v>1600</v>
      </c>
      <c r="N1063" s="64">
        <v>12</v>
      </c>
      <c r="O1063" s="62">
        <v>2</v>
      </c>
      <c r="P1063" s="65">
        <f t="shared" si="68"/>
        <v>0</v>
      </c>
      <c r="Q1063" s="66"/>
      <c r="R1063" s="66"/>
      <c r="S1063" s="66"/>
      <c r="T1063" s="66"/>
      <c r="U1063" s="66"/>
      <c r="V1063" s="66"/>
      <c r="W1063" s="66"/>
      <c r="X1063" s="66"/>
      <c r="Y1063" s="66"/>
      <c r="Z1063" s="66"/>
      <c r="AA1063" s="66"/>
      <c r="AB1063" s="66"/>
      <c r="AC1063" s="66"/>
      <c r="AD1063" s="66"/>
      <c r="AE1063" s="66"/>
      <c r="AF1063" s="66"/>
      <c r="AG1063" s="66"/>
      <c r="AH1063" s="66"/>
      <c r="AI1063" s="66"/>
      <c r="AJ1063" s="66"/>
      <c r="AK1063" s="66"/>
      <c r="AL1063" s="66"/>
      <c r="AM1063" s="66"/>
      <c r="AN1063" s="66"/>
      <c r="AO1063" s="66"/>
      <c r="AP1063" s="66"/>
      <c r="AQ1063" s="66"/>
      <c r="AR1063" s="66"/>
      <c r="AS1063" s="66"/>
      <c r="AT1063" s="66"/>
      <c r="AU1063" s="66"/>
      <c r="AV1063" s="66"/>
      <c r="AW1063" s="66"/>
      <c r="AX1063" s="66"/>
      <c r="AY1063" s="66"/>
      <c r="AZ1063" s="66"/>
      <c r="BA1063" s="66"/>
      <c r="BB1063" s="66"/>
      <c r="BC1063" s="66"/>
      <c r="BD1063" s="66"/>
      <c r="BE1063" s="67"/>
      <c r="BF1063" s="67"/>
      <c r="BG1063" s="68"/>
      <c r="BI1063" s="69">
        <v>0</v>
      </c>
      <c r="BJ1063" s="70">
        <v>0</v>
      </c>
      <c r="BK1063" s="71">
        <v>0</v>
      </c>
      <c r="BL1063" s="71">
        <v>0</v>
      </c>
      <c r="BM1063" s="71">
        <v>0</v>
      </c>
      <c r="BN1063" s="72">
        <v>0</v>
      </c>
      <c r="BO1063" s="151" t="e">
        <f t="shared" si="66"/>
        <v>#DIV/0!</v>
      </c>
      <c r="BP1063" s="151" t="e">
        <f t="shared" si="67"/>
        <v>#DIV/0!</v>
      </c>
      <c r="BQ1063" s="71">
        <v>0</v>
      </c>
      <c r="BR1063" s="71">
        <v>0</v>
      </c>
      <c r="BS1063" s="71">
        <v>0</v>
      </c>
      <c r="BT1063" s="72">
        <v>0</v>
      </c>
      <c r="BU1063" s="73"/>
      <c r="BV1063" s="73"/>
    </row>
    <row r="1064" ht="30" customHeight="1" spans="1:75">
      <c r="A1064" s="55">
        <v>0</v>
      </c>
      <c r="B1064" s="56">
        <v>0</v>
      </c>
      <c r="C1064" s="57">
        <v>0</v>
      </c>
      <c r="D1064" s="74"/>
      <c r="E1064" s="74"/>
      <c r="F1064" s="59" t="e">
        <f>VLOOKUP(E1064,[1]库存!$B$1:$C$65536,2,FALSE)</f>
        <v>#N/A</v>
      </c>
      <c r="G1064" s="59" t="e">
        <v>#N/A</v>
      </c>
      <c r="H1064" s="74"/>
      <c r="I1064" s="74"/>
      <c r="J1064" s="75"/>
      <c r="K1064" s="61"/>
      <c r="L1064" s="62">
        <v>0</v>
      </c>
      <c r="M1064" s="63">
        <v>0</v>
      </c>
      <c r="N1064" s="64">
        <v>0</v>
      </c>
      <c r="O1064" s="62">
        <v>0</v>
      </c>
      <c r="P1064" s="65">
        <f t="shared" si="68"/>
        <v>0</v>
      </c>
      <c r="Q1064" s="66"/>
      <c r="R1064" s="66"/>
      <c r="S1064" s="66"/>
      <c r="T1064" s="66"/>
      <c r="U1064" s="66"/>
      <c r="V1064" s="66"/>
      <c r="W1064" s="66"/>
      <c r="X1064" s="66"/>
      <c r="Y1064" s="66"/>
      <c r="Z1064" s="66"/>
      <c r="AA1064" s="66"/>
      <c r="AB1064" s="66"/>
      <c r="AC1064" s="66"/>
      <c r="AD1064" s="66"/>
      <c r="AE1064" s="66"/>
      <c r="AF1064" s="66"/>
      <c r="AG1064" s="66"/>
      <c r="AH1064" s="66"/>
      <c r="AI1064" s="66"/>
      <c r="AJ1064" s="66"/>
      <c r="AK1064" s="66"/>
      <c r="AL1064" s="66"/>
      <c r="AM1064" s="66"/>
      <c r="AN1064" s="66"/>
      <c r="AO1064" s="66"/>
      <c r="AP1064" s="66"/>
      <c r="AQ1064" s="66"/>
      <c r="AR1064" s="66"/>
      <c r="AS1064" s="66"/>
      <c r="AT1064" s="66"/>
      <c r="AU1064" s="66"/>
      <c r="AV1064" s="66"/>
      <c r="AW1064" s="66"/>
      <c r="AX1064" s="66"/>
      <c r="AY1064" s="66"/>
      <c r="AZ1064" s="66"/>
      <c r="BA1064" s="66"/>
      <c r="BB1064" s="66"/>
      <c r="BC1064" s="66"/>
      <c r="BD1064" s="66"/>
      <c r="BE1064" s="67"/>
      <c r="BF1064" s="67"/>
      <c r="BG1064" s="68"/>
      <c r="BI1064" s="69">
        <v>0</v>
      </c>
      <c r="BJ1064" s="70">
        <v>0</v>
      </c>
      <c r="BK1064" s="71">
        <v>0</v>
      </c>
      <c r="BL1064" s="71">
        <v>0</v>
      </c>
      <c r="BM1064" s="71">
        <v>0</v>
      </c>
      <c r="BN1064" s="72">
        <v>0</v>
      </c>
      <c r="BO1064" s="151" t="e">
        <f t="shared" si="66"/>
        <v>#DIV/0!</v>
      </c>
      <c r="BP1064" s="151" t="e">
        <f t="shared" si="67"/>
        <v>#DIV/0!</v>
      </c>
      <c r="BQ1064" s="71">
        <v>0</v>
      </c>
      <c r="BR1064" s="71">
        <v>0</v>
      </c>
      <c r="BS1064" s="71">
        <v>0</v>
      </c>
      <c r="BT1064" s="72">
        <v>0</v>
      </c>
      <c r="BU1064" s="73"/>
      <c r="BV1064" s="73"/>
    </row>
    <row r="1065" ht="30" customHeight="1" spans="1:75">
      <c r="A1065" s="55">
        <v>0</v>
      </c>
      <c r="B1065" s="56">
        <v>0</v>
      </c>
      <c r="C1065" s="57">
        <v>0</v>
      </c>
      <c r="E1065" s="88"/>
      <c r="F1065" s="59" t="e">
        <f>VLOOKUP(E1065,[1]库存!$B$1:$C$65536,2,FALSE)</f>
        <v>#N/A</v>
      </c>
      <c r="G1065" s="59" t="e">
        <v>#N/A</v>
      </c>
      <c r="H1065" s="89"/>
      <c r="I1065" s="88"/>
      <c r="J1065" s="90"/>
      <c r="K1065" s="61"/>
      <c r="L1065" s="62">
        <v>0</v>
      </c>
      <c r="M1065" s="63">
        <v>0</v>
      </c>
      <c r="N1065" s="64">
        <v>0</v>
      </c>
      <c r="O1065" s="62">
        <v>0</v>
      </c>
      <c r="P1065" s="65">
        <f t="shared" si="68"/>
        <v>0</v>
      </c>
      <c r="Q1065" s="66"/>
      <c r="R1065" s="66"/>
      <c r="S1065" s="66"/>
      <c r="T1065" s="66"/>
      <c r="U1065" s="66"/>
      <c r="V1065" s="66"/>
      <c r="W1065" s="66"/>
      <c r="X1065" s="66"/>
      <c r="Y1065" s="66"/>
      <c r="Z1065" s="66"/>
      <c r="AA1065" s="66"/>
      <c r="AB1065" s="66"/>
      <c r="AC1065" s="66"/>
      <c r="AD1065" s="66"/>
      <c r="AE1065" s="66"/>
      <c r="AF1065" s="66"/>
      <c r="AG1065" s="66"/>
      <c r="AH1065" s="66"/>
      <c r="AI1065" s="66"/>
      <c r="AJ1065" s="66"/>
      <c r="AK1065" s="66"/>
      <c r="AL1065" s="66"/>
      <c r="AM1065" s="66"/>
      <c r="AN1065" s="66"/>
      <c r="AO1065" s="66"/>
      <c r="AP1065" s="66"/>
      <c r="AQ1065" s="66"/>
      <c r="AR1065" s="66"/>
      <c r="AS1065" s="66"/>
      <c r="AT1065" s="66"/>
      <c r="AU1065" s="66"/>
      <c r="AV1065" s="66"/>
      <c r="AW1065" s="66"/>
      <c r="AX1065" s="66"/>
      <c r="AY1065" s="66"/>
      <c r="AZ1065" s="66"/>
      <c r="BA1065" s="66"/>
      <c r="BB1065" s="66"/>
      <c r="BC1065" s="66"/>
      <c r="BD1065" s="66"/>
      <c r="BE1065" s="67"/>
      <c r="BF1065" s="67"/>
      <c r="BG1065" s="68"/>
      <c r="BI1065" s="69">
        <v>0</v>
      </c>
      <c r="BJ1065" s="70">
        <v>0</v>
      </c>
      <c r="BK1065" s="71">
        <v>0</v>
      </c>
      <c r="BL1065" s="71">
        <v>0</v>
      </c>
      <c r="BM1065" s="71">
        <v>0</v>
      </c>
      <c r="BN1065" s="72">
        <v>0</v>
      </c>
      <c r="BO1065" s="151" t="e">
        <f t="shared" si="66"/>
        <v>#DIV/0!</v>
      </c>
      <c r="BP1065" s="151" t="e">
        <f t="shared" si="67"/>
        <v>#DIV/0!</v>
      </c>
      <c r="BQ1065" s="71">
        <v>0</v>
      </c>
      <c r="BR1065" s="71">
        <v>0</v>
      </c>
      <c r="BS1065" s="71">
        <v>0</v>
      </c>
      <c r="BT1065" s="72">
        <v>0</v>
      </c>
      <c r="BU1065" s="73"/>
      <c r="BV1065" s="73"/>
    </row>
    <row r="1066" ht="30" customHeight="1" spans="1:75">
      <c r="A1066" s="55" t="s">
        <v>165</v>
      </c>
      <c r="B1066" s="56" t="s">
        <v>1057</v>
      </c>
      <c r="C1066" s="57" t="s">
        <v>1058</v>
      </c>
      <c r="D1066" s="91" t="s">
        <v>1794</v>
      </c>
      <c r="E1066" s="91" t="s">
        <v>1795</v>
      </c>
      <c r="F1066" s="91" t="str">
        <f>VLOOKUP(E1066,[1]库存!$B$1:$C$65536,2,FALSE)</f>
        <v>NIO CETUS RSAB LH</v>
      </c>
      <c r="G1066" s="91" t="s">
        <v>1796</v>
      </c>
      <c r="H1066" s="91" t="s">
        <v>1797</v>
      </c>
      <c r="I1066" s="59" t="s">
        <v>429</v>
      </c>
      <c r="J1066" s="171"/>
      <c r="K1066" s="61"/>
      <c r="L1066" s="62">
        <v>0</v>
      </c>
      <c r="M1066" s="63">
        <v>1100</v>
      </c>
      <c r="N1066" s="64">
        <v>11</v>
      </c>
      <c r="O1066" s="62">
        <v>0</v>
      </c>
      <c r="P1066" s="65">
        <f t="shared" si="68"/>
        <v>0</v>
      </c>
      <c r="Q1066" s="66"/>
      <c r="R1066" s="66"/>
      <c r="S1066" s="66"/>
      <c r="T1066" s="66"/>
      <c r="U1066" s="66"/>
      <c r="V1066" s="66"/>
      <c r="W1066" s="66"/>
      <c r="X1066" s="66"/>
      <c r="Y1066" s="66"/>
      <c r="Z1066" s="66"/>
      <c r="AA1066" s="66"/>
      <c r="AB1066" s="66"/>
      <c r="AC1066" s="66"/>
      <c r="AD1066" s="66"/>
      <c r="AE1066" s="66"/>
      <c r="AF1066" s="66"/>
      <c r="AG1066" s="66"/>
      <c r="AH1066" s="66"/>
      <c r="AI1066" s="66"/>
      <c r="AJ1066" s="66"/>
      <c r="AK1066" s="66"/>
      <c r="AL1066" s="66"/>
      <c r="AM1066" s="66"/>
      <c r="AN1066" s="66"/>
      <c r="AO1066" s="66"/>
      <c r="AP1066" s="66"/>
      <c r="AQ1066" s="66"/>
      <c r="AR1066" s="66"/>
      <c r="AS1066" s="66"/>
      <c r="AT1066" s="66"/>
      <c r="AU1066" s="66"/>
      <c r="AV1066" s="66"/>
      <c r="AW1066" s="66"/>
      <c r="AX1066" s="66"/>
      <c r="AY1066" s="66"/>
      <c r="AZ1066" s="66"/>
      <c r="BA1066" s="66"/>
      <c r="BB1066" s="66"/>
      <c r="BC1066" s="66"/>
      <c r="BD1066" s="66"/>
      <c r="BE1066" s="67"/>
      <c r="BF1066" s="67"/>
      <c r="BG1066" s="68"/>
      <c r="BI1066" s="69">
        <v>0</v>
      </c>
      <c r="BJ1066" s="70">
        <v>0</v>
      </c>
      <c r="BK1066" s="71">
        <v>0</v>
      </c>
      <c r="BL1066" s="71">
        <v>0</v>
      </c>
      <c r="BM1066" s="71">
        <v>0</v>
      </c>
      <c r="BN1066" s="72">
        <v>0</v>
      </c>
      <c r="BO1066" s="151" t="e">
        <f t="shared" si="66"/>
        <v>#DIV/0!</v>
      </c>
      <c r="BP1066" s="151" t="e">
        <f t="shared" si="67"/>
        <v>#DIV/0!</v>
      </c>
      <c r="BQ1066" s="71">
        <v>0</v>
      </c>
      <c r="BR1066" s="71">
        <v>0</v>
      </c>
      <c r="BS1066" s="71">
        <v>0</v>
      </c>
      <c r="BT1066" s="72">
        <v>0</v>
      </c>
      <c r="BU1066" s="73"/>
      <c r="BV1066" s="73"/>
    </row>
    <row r="1067" ht="30" customHeight="1" spans="1:75">
      <c r="A1067" s="55">
        <v>0</v>
      </c>
      <c r="B1067" s="56">
        <v>0</v>
      </c>
      <c r="C1067" s="57">
        <v>0</v>
      </c>
      <c r="D1067" s="92"/>
      <c r="E1067" s="92"/>
      <c r="F1067" s="91" t="e">
        <f>VLOOKUP(E1067,[1]库存!$B$1:$C$65536,2,FALSE)</f>
        <v>#N/A</v>
      </c>
      <c r="G1067" s="91" t="e">
        <v>#N/A</v>
      </c>
      <c r="H1067" s="92"/>
      <c r="I1067" s="74"/>
      <c r="J1067" s="227"/>
      <c r="K1067" s="61"/>
      <c r="L1067" s="62">
        <v>0</v>
      </c>
      <c r="M1067" s="63">
        <v>0</v>
      </c>
      <c r="N1067" s="64">
        <v>0</v>
      </c>
      <c r="O1067" s="62">
        <v>0</v>
      </c>
      <c r="P1067" s="65">
        <f t="shared" si="68"/>
        <v>0</v>
      </c>
      <c r="Q1067" s="66"/>
      <c r="R1067" s="66"/>
      <c r="S1067" s="66"/>
      <c r="T1067" s="66"/>
      <c r="U1067" s="66"/>
      <c r="V1067" s="66"/>
      <c r="W1067" s="66"/>
      <c r="X1067" s="66"/>
      <c r="Y1067" s="66"/>
      <c r="Z1067" s="66"/>
      <c r="AA1067" s="66"/>
      <c r="AB1067" s="66"/>
      <c r="AC1067" s="66"/>
      <c r="AD1067" s="66"/>
      <c r="AE1067" s="66"/>
      <c r="AF1067" s="66"/>
      <c r="AG1067" s="66"/>
      <c r="AH1067" s="66"/>
      <c r="AI1067" s="66"/>
      <c r="AJ1067" s="66"/>
      <c r="AK1067" s="66"/>
      <c r="AL1067" s="66"/>
      <c r="AM1067" s="66"/>
      <c r="AN1067" s="66"/>
      <c r="AO1067" s="66"/>
      <c r="AP1067" s="66"/>
      <c r="AQ1067" s="66"/>
      <c r="AR1067" s="66"/>
      <c r="AS1067" s="66"/>
      <c r="AT1067" s="66"/>
      <c r="AU1067" s="66"/>
      <c r="AV1067" s="66"/>
      <c r="AW1067" s="66"/>
      <c r="AX1067" s="66"/>
      <c r="AY1067" s="66"/>
      <c r="AZ1067" s="66"/>
      <c r="BA1067" s="66"/>
      <c r="BB1067" s="66"/>
      <c r="BC1067" s="66"/>
      <c r="BD1067" s="66"/>
      <c r="BE1067" s="67"/>
      <c r="BF1067" s="67"/>
      <c r="BG1067" s="68"/>
      <c r="BI1067" s="69">
        <v>0</v>
      </c>
      <c r="BJ1067" s="70">
        <v>0</v>
      </c>
      <c r="BK1067" s="71">
        <v>0</v>
      </c>
      <c r="BL1067" s="71">
        <v>0</v>
      </c>
      <c r="BM1067" s="71">
        <v>0</v>
      </c>
      <c r="BN1067" s="72">
        <v>0</v>
      </c>
      <c r="BO1067" s="151" t="e">
        <f t="shared" si="66"/>
        <v>#DIV/0!</v>
      </c>
      <c r="BP1067" s="151" t="e">
        <f t="shared" si="67"/>
        <v>#DIV/0!</v>
      </c>
      <c r="BQ1067" s="71">
        <v>0</v>
      </c>
      <c r="BR1067" s="71">
        <v>0</v>
      </c>
      <c r="BS1067" s="71">
        <v>0</v>
      </c>
      <c r="BT1067" s="72">
        <v>0</v>
      </c>
      <c r="BU1067" s="73"/>
      <c r="BV1067" s="73"/>
    </row>
    <row r="1068" ht="30" customHeight="1" spans="1:75">
      <c r="A1068" s="55" t="s">
        <v>165</v>
      </c>
      <c r="B1068" s="56" t="s">
        <v>1057</v>
      </c>
      <c r="C1068" s="57" t="s">
        <v>1058</v>
      </c>
      <c r="D1068" s="91" t="s">
        <v>1794</v>
      </c>
      <c r="E1068" s="91" t="s">
        <v>1798</v>
      </c>
      <c r="F1068" s="91" t="str">
        <f>VLOOKUP(E1068,[1]库存!$B$1:$C$65536,2,FALSE)</f>
        <v>NIO CETUS RSAB RH</v>
      </c>
      <c r="G1068" s="91" t="s">
        <v>1799</v>
      </c>
      <c r="H1068" s="91" t="s">
        <v>1800</v>
      </c>
      <c r="I1068" s="59" t="s">
        <v>429</v>
      </c>
      <c r="J1068" s="171"/>
      <c r="K1068" s="61"/>
      <c r="L1068" s="62">
        <v>0</v>
      </c>
      <c r="M1068" s="63">
        <v>1100</v>
      </c>
      <c r="N1068" s="64">
        <v>11</v>
      </c>
      <c r="O1068" s="62">
        <v>0</v>
      </c>
      <c r="P1068" s="65">
        <f t="shared" si="68"/>
        <v>0</v>
      </c>
      <c r="Q1068" s="66"/>
      <c r="R1068" s="66"/>
      <c r="S1068" s="66"/>
      <c r="T1068" s="66"/>
      <c r="U1068" s="66"/>
      <c r="V1068" s="66"/>
      <c r="W1068" s="66"/>
      <c r="X1068" s="66"/>
      <c r="Y1068" s="66"/>
      <c r="Z1068" s="66"/>
      <c r="AA1068" s="66"/>
      <c r="AB1068" s="66"/>
      <c r="AC1068" s="66"/>
      <c r="AD1068" s="66"/>
      <c r="AE1068" s="66"/>
      <c r="AF1068" s="66"/>
      <c r="AG1068" s="66"/>
      <c r="AH1068" s="66"/>
      <c r="AI1068" s="66"/>
      <c r="AJ1068" s="66"/>
      <c r="AK1068" s="66"/>
      <c r="AL1068" s="66"/>
      <c r="AM1068" s="66"/>
      <c r="AN1068" s="66"/>
      <c r="AO1068" s="66"/>
      <c r="AP1068" s="66"/>
      <c r="AQ1068" s="66"/>
      <c r="AR1068" s="66"/>
      <c r="AS1068" s="66"/>
      <c r="AT1068" s="66"/>
      <c r="AU1068" s="66"/>
      <c r="AV1068" s="66"/>
      <c r="AW1068" s="66"/>
      <c r="AX1068" s="66"/>
      <c r="AY1068" s="66"/>
      <c r="AZ1068" s="66"/>
      <c r="BA1068" s="66"/>
      <c r="BB1068" s="66"/>
      <c r="BC1068" s="66"/>
      <c r="BD1068" s="66"/>
      <c r="BE1068" s="67"/>
      <c r="BF1068" s="67"/>
      <c r="BG1068" s="68"/>
      <c r="BI1068" s="69">
        <v>0</v>
      </c>
      <c r="BJ1068" s="70">
        <v>0</v>
      </c>
      <c r="BK1068" s="71">
        <v>0</v>
      </c>
      <c r="BL1068" s="71">
        <v>0</v>
      </c>
      <c r="BM1068" s="71">
        <v>0</v>
      </c>
      <c r="BN1068" s="72">
        <v>0</v>
      </c>
      <c r="BO1068" s="151" t="e">
        <f t="shared" si="66"/>
        <v>#DIV/0!</v>
      </c>
      <c r="BP1068" s="151" t="e">
        <f t="shared" si="67"/>
        <v>#DIV/0!</v>
      </c>
      <c r="BQ1068" s="71">
        <v>0</v>
      </c>
      <c r="BR1068" s="71">
        <v>0</v>
      </c>
      <c r="BS1068" s="71">
        <v>0</v>
      </c>
      <c r="BT1068" s="72">
        <v>0</v>
      </c>
      <c r="BU1068" s="73"/>
      <c r="BV1068" s="73"/>
    </row>
    <row r="1069" ht="30" customHeight="1" spans="1:75">
      <c r="A1069" s="55">
        <v>0</v>
      </c>
      <c r="B1069" s="56">
        <v>0</v>
      </c>
      <c r="C1069" s="57">
        <v>0</v>
      </c>
      <c r="D1069" s="92"/>
      <c r="E1069" s="92"/>
      <c r="F1069" s="91" t="e">
        <f>VLOOKUP(E1069,[1]库存!$B$1:$C$65536,2,FALSE)</f>
        <v>#N/A</v>
      </c>
      <c r="G1069" s="91" t="e">
        <v>#N/A</v>
      </c>
      <c r="H1069" s="92"/>
      <c r="I1069" s="74"/>
      <c r="J1069" s="227"/>
      <c r="K1069" s="61"/>
      <c r="L1069" s="62">
        <v>0</v>
      </c>
      <c r="M1069" s="63">
        <v>0</v>
      </c>
      <c r="N1069" s="64">
        <v>0</v>
      </c>
      <c r="O1069" s="62">
        <v>0</v>
      </c>
      <c r="P1069" s="65">
        <f t="shared" si="68"/>
        <v>0</v>
      </c>
      <c r="Q1069" s="66"/>
      <c r="R1069" s="66"/>
      <c r="S1069" s="66"/>
      <c r="T1069" s="66"/>
      <c r="U1069" s="66"/>
      <c r="V1069" s="66"/>
      <c r="W1069" s="66"/>
      <c r="X1069" s="66"/>
      <c r="Y1069" s="66"/>
      <c r="Z1069" s="66"/>
      <c r="AA1069" s="66"/>
      <c r="AB1069" s="66"/>
      <c r="AC1069" s="66"/>
      <c r="AD1069" s="66"/>
      <c r="AE1069" s="66"/>
      <c r="AF1069" s="66"/>
      <c r="AG1069" s="66"/>
      <c r="AH1069" s="66"/>
      <c r="AI1069" s="66"/>
      <c r="AJ1069" s="66"/>
      <c r="AK1069" s="66"/>
      <c r="AL1069" s="66"/>
      <c r="AM1069" s="66"/>
      <c r="AN1069" s="66"/>
      <c r="AO1069" s="66"/>
      <c r="AP1069" s="66"/>
      <c r="AQ1069" s="66"/>
      <c r="AR1069" s="66"/>
      <c r="AS1069" s="66"/>
      <c r="AT1069" s="66"/>
      <c r="AU1069" s="66"/>
      <c r="AV1069" s="66"/>
      <c r="AW1069" s="66"/>
      <c r="AX1069" s="66"/>
      <c r="AY1069" s="66"/>
      <c r="AZ1069" s="66"/>
      <c r="BA1069" s="66"/>
      <c r="BB1069" s="66"/>
      <c r="BC1069" s="66"/>
      <c r="BD1069" s="66"/>
      <c r="BE1069" s="67"/>
      <c r="BF1069" s="67"/>
      <c r="BG1069" s="68"/>
      <c r="BI1069" s="69">
        <v>0</v>
      </c>
      <c r="BJ1069" s="70">
        <v>0</v>
      </c>
      <c r="BK1069" s="71">
        <v>0</v>
      </c>
      <c r="BL1069" s="71">
        <v>0</v>
      </c>
      <c r="BM1069" s="71">
        <v>0</v>
      </c>
      <c r="BN1069" s="72">
        <v>0</v>
      </c>
      <c r="BO1069" s="151" t="e">
        <f t="shared" si="66"/>
        <v>#DIV/0!</v>
      </c>
      <c r="BP1069" s="151" t="e">
        <f t="shared" si="67"/>
        <v>#DIV/0!</v>
      </c>
      <c r="BQ1069" s="71">
        <v>0</v>
      </c>
      <c r="BR1069" s="71">
        <v>0</v>
      </c>
      <c r="BS1069" s="71">
        <v>0</v>
      </c>
      <c r="BT1069" s="72">
        <v>0</v>
      </c>
      <c r="BU1069" s="73"/>
      <c r="BV1069" s="73"/>
    </row>
    <row r="1070" ht="30" customHeight="1" spans="1:75">
      <c r="A1070" s="55" t="s">
        <v>165</v>
      </c>
      <c r="B1070" s="56" t="s">
        <v>1057</v>
      </c>
      <c r="C1070" s="57" t="s">
        <v>1058</v>
      </c>
      <c r="D1070" s="91" t="s">
        <v>1794</v>
      </c>
      <c r="E1070" s="91" t="s">
        <v>1801</v>
      </c>
      <c r="F1070" s="91" t="str">
        <f>VLOOKUP(E1070,[1]库存!$B$1:$C$65536,2,FALSE)</f>
        <v>FORD CX743 SAB LH A状态</v>
      </c>
      <c r="G1070" s="91" t="s">
        <v>1802</v>
      </c>
      <c r="H1070" s="91" t="s">
        <v>1803</v>
      </c>
      <c r="I1070" s="91" t="s">
        <v>1804</v>
      </c>
      <c r="J1070" s="82" t="s">
        <v>1805</v>
      </c>
      <c r="K1070" s="61"/>
      <c r="L1070" s="62">
        <v>2</v>
      </c>
      <c r="M1070" s="63">
        <v>1000</v>
      </c>
      <c r="N1070" s="64">
        <v>12</v>
      </c>
      <c r="O1070" s="62">
        <v>2</v>
      </c>
      <c r="P1070" s="65">
        <f t="shared" si="68"/>
        <v>0</v>
      </c>
      <c r="Q1070" s="66"/>
      <c r="R1070" s="66"/>
      <c r="S1070" s="66"/>
      <c r="T1070" s="66"/>
      <c r="U1070" s="66"/>
      <c r="V1070" s="66"/>
      <c r="W1070" s="66"/>
      <c r="X1070" s="66"/>
      <c r="Y1070" s="66"/>
      <c r="Z1070" s="66"/>
      <c r="AA1070" s="66" t="s">
        <v>1806</v>
      </c>
      <c r="AB1070" s="66"/>
      <c r="AC1070" s="66">
        <v>1750</v>
      </c>
      <c r="AD1070" s="66"/>
      <c r="AE1070" s="66"/>
      <c r="AF1070" s="66"/>
      <c r="AG1070" s="66"/>
      <c r="AH1070" s="66"/>
      <c r="AI1070" s="66"/>
      <c r="AJ1070" s="66"/>
      <c r="AK1070" s="66"/>
      <c r="AL1070" s="66"/>
      <c r="AM1070" s="66"/>
      <c r="AN1070" s="66"/>
      <c r="AO1070" s="66"/>
      <c r="AP1070" s="66"/>
      <c r="AQ1070" s="66"/>
      <c r="AR1070" s="66"/>
      <c r="AS1070" s="66"/>
      <c r="AT1070" s="66"/>
      <c r="AU1070" s="66"/>
      <c r="AV1070" s="66"/>
      <c r="AW1070" s="66"/>
      <c r="AX1070" s="66"/>
      <c r="AY1070" s="66"/>
      <c r="AZ1070" s="66"/>
      <c r="BA1070" s="66"/>
      <c r="BB1070" s="66"/>
      <c r="BC1070" s="66"/>
      <c r="BD1070" s="66"/>
      <c r="BE1070" s="67"/>
      <c r="BF1070" s="67"/>
      <c r="BG1070" s="68"/>
      <c r="BI1070" s="69">
        <v>0</v>
      </c>
      <c r="BJ1070" s="70">
        <v>0</v>
      </c>
      <c r="BK1070" s="71">
        <v>0</v>
      </c>
      <c r="BL1070" s="71">
        <v>0</v>
      </c>
      <c r="BM1070" s="71">
        <v>0</v>
      </c>
      <c r="BN1070" s="72">
        <v>0</v>
      </c>
      <c r="BO1070" s="151" t="e">
        <f t="shared" si="66"/>
        <v>#DIV/0!</v>
      </c>
      <c r="BP1070" s="151" t="e">
        <f t="shared" si="67"/>
        <v>#DIV/0!</v>
      </c>
      <c r="BQ1070" s="71">
        <v>0</v>
      </c>
      <c r="BR1070" s="71">
        <v>0</v>
      </c>
      <c r="BS1070" s="71">
        <v>0</v>
      </c>
      <c r="BT1070" s="72">
        <v>0</v>
      </c>
      <c r="BU1070" s="73"/>
      <c r="BV1070" s="73"/>
    </row>
    <row r="1071" ht="30" customHeight="1" spans="1:75">
      <c r="A1071" s="55">
        <v>0</v>
      </c>
      <c r="B1071" s="56">
        <v>0</v>
      </c>
      <c r="C1071" s="57">
        <v>0</v>
      </c>
      <c r="D1071" s="92"/>
      <c r="E1071" s="92"/>
      <c r="F1071" s="91" t="e">
        <f>VLOOKUP(E1071,[1]库存!$B$1:$C$65536,2,FALSE)</f>
        <v>#N/A</v>
      </c>
      <c r="G1071" s="91" t="e">
        <v>#N/A</v>
      </c>
      <c r="H1071" s="92"/>
      <c r="I1071" s="92"/>
      <c r="J1071" s="83"/>
      <c r="K1071" s="61"/>
      <c r="L1071" s="62">
        <v>0</v>
      </c>
      <c r="M1071" s="63">
        <v>0</v>
      </c>
      <c r="N1071" s="64">
        <v>0</v>
      </c>
      <c r="O1071" s="62">
        <v>0</v>
      </c>
      <c r="P1071" s="65">
        <f t="shared" si="68"/>
        <v>0</v>
      </c>
      <c r="Q1071" s="66"/>
      <c r="R1071" s="66"/>
      <c r="S1071" s="66"/>
      <c r="T1071" s="66"/>
      <c r="U1071" s="66"/>
      <c r="V1071" s="66"/>
      <c r="W1071" s="66"/>
      <c r="X1071" s="66"/>
      <c r="Y1071" s="66"/>
      <c r="Z1071" s="66"/>
      <c r="AA1071" s="66">
        <v>1735</v>
      </c>
      <c r="AB1071" s="66"/>
      <c r="AC1071" s="66">
        <v>1725</v>
      </c>
      <c r="AD1071" s="66"/>
      <c r="AE1071" s="66"/>
      <c r="AF1071" s="66"/>
      <c r="AG1071" s="66"/>
      <c r="AH1071" s="66"/>
      <c r="AI1071" s="66"/>
      <c r="AJ1071" s="66"/>
      <c r="AK1071" s="66"/>
      <c r="AL1071" s="66"/>
      <c r="AM1071" s="66"/>
      <c r="AN1071" s="66"/>
      <c r="AO1071" s="66"/>
      <c r="AP1071" s="66"/>
      <c r="AQ1071" s="66"/>
      <c r="AR1071" s="66"/>
      <c r="AS1071" s="66"/>
      <c r="AT1071" s="66"/>
      <c r="AU1071" s="66"/>
      <c r="AV1071" s="66"/>
      <c r="AW1071" s="66"/>
      <c r="AX1071" s="66"/>
      <c r="AY1071" s="66"/>
      <c r="AZ1071" s="66"/>
      <c r="BA1071" s="66"/>
      <c r="BB1071" s="66"/>
      <c r="BC1071" s="66"/>
      <c r="BD1071" s="66"/>
      <c r="BE1071" s="67"/>
      <c r="BF1071" s="67"/>
      <c r="BG1071" s="68"/>
      <c r="BI1071" s="69">
        <v>0</v>
      </c>
      <c r="BJ1071" s="70">
        <v>0</v>
      </c>
      <c r="BK1071" s="71">
        <v>0</v>
      </c>
      <c r="BL1071" s="71">
        <v>0</v>
      </c>
      <c r="BM1071" s="71">
        <v>0</v>
      </c>
      <c r="BN1071" s="72">
        <v>0</v>
      </c>
      <c r="BO1071" s="151" t="e">
        <f t="shared" si="66"/>
        <v>#DIV/0!</v>
      </c>
      <c r="BP1071" s="151" t="e">
        <f t="shared" si="67"/>
        <v>#DIV/0!</v>
      </c>
      <c r="BQ1071" s="71">
        <v>0</v>
      </c>
      <c r="BR1071" s="71">
        <v>0</v>
      </c>
      <c r="BS1071" s="71">
        <v>0</v>
      </c>
      <c r="BT1071" s="72">
        <v>0</v>
      </c>
      <c r="BU1071" s="73"/>
      <c r="BV1071" s="73"/>
    </row>
    <row r="1072" ht="30" customHeight="1" spans="1:75">
      <c r="A1072" s="55" t="s">
        <v>165</v>
      </c>
      <c r="B1072" s="56" t="s">
        <v>1057</v>
      </c>
      <c r="C1072" s="57" t="s">
        <v>1058</v>
      </c>
      <c r="D1072" s="91" t="s">
        <v>1794</v>
      </c>
      <c r="E1072" s="91" t="s">
        <v>1807</v>
      </c>
      <c r="F1072" s="91" t="str">
        <f>VLOOKUP(E1072,[1]库存!$B$1:$C$65536,2,FALSE)</f>
        <v>FORD CX743 SAB RH A状态</v>
      </c>
      <c r="G1072" s="91" t="s">
        <v>1808</v>
      </c>
      <c r="H1072" s="91" t="s">
        <v>1809</v>
      </c>
      <c r="I1072" s="91" t="s">
        <v>1804</v>
      </c>
      <c r="J1072" s="83"/>
      <c r="K1072" s="61"/>
      <c r="L1072" s="62">
        <v>2</v>
      </c>
      <c r="M1072" s="63">
        <v>1000</v>
      </c>
      <c r="N1072" s="64">
        <v>12</v>
      </c>
      <c r="O1072" s="62">
        <v>2</v>
      </c>
      <c r="P1072" s="65">
        <f t="shared" si="68"/>
        <v>0</v>
      </c>
      <c r="Q1072" s="66" t="s">
        <v>1810</v>
      </c>
      <c r="R1072" s="66"/>
      <c r="S1072" s="66">
        <v>1800</v>
      </c>
      <c r="T1072" s="66"/>
      <c r="U1072" s="66">
        <v>1750</v>
      </c>
      <c r="V1072" s="66"/>
      <c r="W1072" s="66"/>
      <c r="X1072" s="66"/>
      <c r="Y1072" s="66"/>
      <c r="Z1072" s="66"/>
      <c r="AA1072" s="66"/>
      <c r="AB1072" s="66"/>
      <c r="AC1072" s="66"/>
      <c r="AD1072" s="66"/>
      <c r="AE1072" s="66"/>
      <c r="AF1072" s="66"/>
      <c r="AG1072" s="66"/>
      <c r="AH1072" s="66"/>
      <c r="AI1072" s="66"/>
      <c r="AJ1072" s="66"/>
      <c r="AK1072" s="66"/>
      <c r="AL1072" s="66"/>
      <c r="AM1072" s="66"/>
      <c r="AN1072" s="66"/>
      <c r="AO1072" s="66"/>
      <c r="AP1072" s="66"/>
      <c r="AQ1072" s="66"/>
      <c r="AR1072" s="66"/>
      <c r="AS1072" s="66"/>
      <c r="AT1072" s="66"/>
      <c r="AU1072" s="66"/>
      <c r="AV1072" s="66"/>
      <c r="AW1072" s="66"/>
      <c r="AX1072" s="66"/>
      <c r="AY1072" s="66"/>
      <c r="AZ1072" s="66"/>
      <c r="BA1072" s="66"/>
      <c r="BB1072" s="66"/>
      <c r="BC1072" s="66"/>
      <c r="BD1072" s="66"/>
      <c r="BE1072" s="67"/>
      <c r="BF1072" s="67"/>
      <c r="BG1072" s="68"/>
      <c r="BI1072" s="69">
        <v>0</v>
      </c>
      <c r="BJ1072" s="70">
        <v>0</v>
      </c>
      <c r="BK1072" s="71">
        <v>0</v>
      </c>
      <c r="BL1072" s="71">
        <v>0</v>
      </c>
      <c r="BM1072" s="71">
        <v>0</v>
      </c>
      <c r="BN1072" s="72">
        <v>0</v>
      </c>
      <c r="BO1072" s="151" t="e">
        <f t="shared" si="66"/>
        <v>#DIV/0!</v>
      </c>
      <c r="BP1072" s="151" t="e">
        <f t="shared" si="67"/>
        <v>#DIV/0!</v>
      </c>
      <c r="BQ1072" s="71">
        <v>0</v>
      </c>
      <c r="BR1072" s="71">
        <v>0</v>
      </c>
      <c r="BS1072" s="71">
        <v>0</v>
      </c>
      <c r="BT1072" s="72">
        <v>0</v>
      </c>
      <c r="BU1072" s="73"/>
      <c r="BV1072" s="73"/>
    </row>
    <row r="1073" ht="30" customHeight="1" spans="1:75 16331:16349">
      <c r="A1073" s="55">
        <v>0</v>
      </c>
      <c r="B1073" s="56">
        <v>0</v>
      </c>
      <c r="C1073" s="57">
        <v>0</v>
      </c>
      <c r="D1073" s="92"/>
      <c r="E1073" s="92"/>
      <c r="F1073" s="91" t="e">
        <f>VLOOKUP(E1073,[1]库存!$B$1:$C$65536,2,FALSE)</f>
        <v>#N/A</v>
      </c>
      <c r="G1073" s="91" t="e">
        <v>#N/A</v>
      </c>
      <c r="H1073" s="92"/>
      <c r="I1073" s="92"/>
      <c r="J1073" s="83"/>
      <c r="K1073" s="61"/>
      <c r="L1073" s="62">
        <v>0</v>
      </c>
      <c r="M1073" s="63">
        <v>0</v>
      </c>
      <c r="N1073" s="64">
        <v>0</v>
      </c>
      <c r="O1073" s="62">
        <v>0</v>
      </c>
      <c r="P1073" s="65">
        <f t="shared" si="68"/>
        <v>0</v>
      </c>
      <c r="Q1073" s="66"/>
      <c r="R1073" s="66"/>
      <c r="S1073" s="66">
        <v>1655</v>
      </c>
      <c r="T1073" s="66"/>
      <c r="U1073" s="66">
        <v>1982</v>
      </c>
      <c r="V1073" s="66"/>
      <c r="W1073" s="66"/>
      <c r="X1073" s="66"/>
      <c r="Y1073" s="66"/>
      <c r="Z1073" s="66"/>
      <c r="AA1073" s="66"/>
      <c r="AB1073" s="66"/>
      <c r="AC1073" s="66"/>
      <c r="AD1073" s="66"/>
      <c r="AE1073" s="66"/>
      <c r="AF1073" s="66"/>
      <c r="AG1073" s="66"/>
      <c r="AH1073" s="66"/>
      <c r="AI1073" s="66"/>
      <c r="AJ1073" s="66"/>
      <c r="AK1073" s="66"/>
      <c r="AL1073" s="66"/>
      <c r="AM1073" s="66"/>
      <c r="AN1073" s="66"/>
      <c r="AO1073" s="66"/>
      <c r="AP1073" s="66"/>
      <c r="AQ1073" s="66"/>
      <c r="AR1073" s="66"/>
      <c r="AS1073" s="66"/>
      <c r="AT1073" s="66"/>
      <c r="AU1073" s="66"/>
      <c r="AV1073" s="66"/>
      <c r="AW1073" s="66"/>
      <c r="AX1073" s="66"/>
      <c r="AY1073" s="66"/>
      <c r="AZ1073" s="66"/>
      <c r="BA1073" s="66"/>
      <c r="BB1073" s="66"/>
      <c r="BC1073" s="66"/>
      <c r="BD1073" s="66"/>
      <c r="BE1073" s="67"/>
      <c r="BF1073" s="67"/>
      <c r="BG1073" s="68"/>
      <c r="BI1073" s="69">
        <v>0</v>
      </c>
      <c r="BJ1073" s="70">
        <v>0</v>
      </c>
      <c r="BK1073" s="71">
        <v>0</v>
      </c>
      <c r="BL1073" s="71">
        <v>0</v>
      </c>
      <c r="BM1073" s="71">
        <v>0</v>
      </c>
      <c r="BN1073" s="72">
        <v>0</v>
      </c>
      <c r="BO1073" s="151" t="e">
        <f t="shared" si="66"/>
        <v>#DIV/0!</v>
      </c>
      <c r="BP1073" s="151" t="e">
        <f t="shared" si="67"/>
        <v>#DIV/0!</v>
      </c>
      <c r="BQ1073" s="71">
        <v>0</v>
      </c>
      <c r="BR1073" s="71">
        <v>0</v>
      </c>
      <c r="BS1073" s="71">
        <v>0</v>
      </c>
      <c r="BT1073" s="72">
        <v>0</v>
      </c>
      <c r="BU1073" s="73"/>
      <c r="BV1073" s="73"/>
    </row>
    <row r="1074" ht="30" customHeight="1" spans="1:75 16331:16349">
      <c r="A1074" s="55" t="s">
        <v>165</v>
      </c>
      <c r="B1074" s="56" t="s">
        <v>1057</v>
      </c>
      <c r="C1074" s="57" t="s">
        <v>1058</v>
      </c>
      <c r="D1074" s="91" t="s">
        <v>1794</v>
      </c>
      <c r="E1074" s="91"/>
      <c r="F1074" s="91" t="e">
        <f>VLOOKUP(E1074,[1]库存!$B$1:$C$65536,2,FALSE)</f>
        <v>#N/A</v>
      </c>
      <c r="G1074" s="91" t="e">
        <v>#N/A</v>
      </c>
      <c r="H1074" s="91" t="s">
        <v>1307</v>
      </c>
      <c r="I1074" s="91" t="s">
        <v>1308</v>
      </c>
      <c r="J1074" s="64" t="s">
        <v>1811</v>
      </c>
      <c r="K1074" s="61" t="s">
        <v>1305</v>
      </c>
      <c r="L1074" s="62">
        <v>2</v>
      </c>
      <c r="M1074" s="63">
        <v>1200</v>
      </c>
      <c r="N1074" s="64">
        <v>12</v>
      </c>
      <c r="O1074" s="62">
        <v>2</v>
      </c>
      <c r="P1074" s="65">
        <f t="shared" si="68"/>
        <v>0</v>
      </c>
      <c r="Q1074" s="66"/>
      <c r="R1074" s="66"/>
      <c r="S1074" s="66"/>
      <c r="T1074" s="66"/>
      <c r="U1074" s="66"/>
      <c r="V1074" s="66"/>
      <c r="W1074" s="66"/>
      <c r="X1074" s="66"/>
      <c r="Y1074" s="66"/>
      <c r="Z1074" s="66"/>
      <c r="AA1074" s="66"/>
      <c r="AB1074" s="66"/>
      <c r="AC1074" s="66"/>
      <c r="AD1074" s="66"/>
      <c r="AE1074" s="66"/>
      <c r="AF1074" s="66"/>
      <c r="AG1074" s="66"/>
      <c r="AH1074" s="66"/>
      <c r="AI1074" s="66"/>
      <c r="AJ1074" s="66"/>
      <c r="AK1074" s="66"/>
      <c r="AL1074" s="66"/>
      <c r="AM1074" s="66"/>
      <c r="AN1074" s="66"/>
      <c r="AO1074" s="66"/>
      <c r="AP1074" s="66"/>
      <c r="AQ1074" s="66"/>
      <c r="AR1074" s="66"/>
      <c r="AS1074" s="66"/>
      <c r="AT1074" s="66"/>
      <c r="AU1074" s="66"/>
      <c r="AV1074" s="66"/>
      <c r="AW1074" s="66"/>
      <c r="AX1074" s="66"/>
      <c r="AY1074" s="66"/>
      <c r="AZ1074" s="66"/>
      <c r="BA1074" s="66"/>
      <c r="BB1074" s="66"/>
      <c r="BC1074" s="66"/>
      <c r="BD1074" s="66"/>
      <c r="BE1074" s="67"/>
      <c r="BF1074" s="67"/>
      <c r="BG1074" s="68"/>
      <c r="BI1074" s="69">
        <v>0</v>
      </c>
      <c r="BJ1074" s="70">
        <v>0</v>
      </c>
      <c r="BK1074" s="71">
        <v>0</v>
      </c>
      <c r="BL1074" s="71">
        <v>0</v>
      </c>
      <c r="BM1074" s="71">
        <v>0</v>
      </c>
      <c r="BN1074" s="72">
        <v>0</v>
      </c>
      <c r="BO1074" s="151" t="e">
        <f t="shared" si="66"/>
        <v>#DIV/0!</v>
      </c>
      <c r="BP1074" s="151" t="e">
        <f t="shared" si="67"/>
        <v>#DIV/0!</v>
      </c>
      <c r="BQ1074" s="71">
        <v>0</v>
      </c>
      <c r="BR1074" s="71">
        <v>0</v>
      </c>
      <c r="BS1074" s="71">
        <v>0</v>
      </c>
      <c r="BT1074" s="72">
        <v>0</v>
      </c>
      <c r="BU1074" s="73"/>
      <c r="BV1074" s="73"/>
    </row>
    <row r="1075" ht="30" customHeight="1" spans="1:75 16331:16349">
      <c r="A1075" s="55">
        <v>0</v>
      </c>
      <c r="B1075" s="56">
        <v>0</v>
      </c>
      <c r="C1075" s="57">
        <v>0</v>
      </c>
      <c r="D1075" s="92"/>
      <c r="E1075" s="92"/>
      <c r="F1075" s="91" t="e">
        <f>VLOOKUP(E1075,[1]库存!$B$1:$C$65536,2,FALSE)</f>
        <v>#N/A</v>
      </c>
      <c r="G1075" s="91" t="e">
        <v>#N/A</v>
      </c>
      <c r="H1075" s="92"/>
      <c r="I1075" s="92"/>
      <c r="J1075" s="93"/>
      <c r="K1075" s="61"/>
      <c r="L1075" s="62">
        <v>0</v>
      </c>
      <c r="M1075" s="63">
        <v>0</v>
      </c>
      <c r="N1075" s="64">
        <v>0</v>
      </c>
      <c r="O1075" s="62">
        <v>0</v>
      </c>
      <c r="P1075" s="65">
        <f t="shared" si="68"/>
        <v>0</v>
      </c>
      <c r="Q1075" s="66"/>
      <c r="R1075" s="66"/>
      <c r="S1075" s="66"/>
      <c r="T1075" s="66"/>
      <c r="U1075" s="66"/>
      <c r="V1075" s="66"/>
      <c r="W1075" s="66"/>
      <c r="X1075" s="66"/>
      <c r="Y1075" s="66"/>
      <c r="Z1075" s="66"/>
      <c r="AA1075" s="66"/>
      <c r="AB1075" s="66"/>
      <c r="AC1075" s="66"/>
      <c r="AD1075" s="66"/>
      <c r="AE1075" s="66"/>
      <c r="AF1075" s="66"/>
      <c r="AG1075" s="66"/>
      <c r="AH1075" s="66"/>
      <c r="AI1075" s="66"/>
      <c r="AJ1075" s="66"/>
      <c r="AK1075" s="66"/>
      <c r="AL1075" s="66"/>
      <c r="AM1075" s="66"/>
      <c r="AN1075" s="66"/>
      <c r="AO1075" s="66"/>
      <c r="AP1075" s="66"/>
      <c r="AQ1075" s="66"/>
      <c r="AR1075" s="66"/>
      <c r="AS1075" s="66"/>
      <c r="AT1075" s="66"/>
      <c r="AU1075" s="66"/>
      <c r="AV1075" s="66"/>
      <c r="AW1075" s="66"/>
      <c r="AX1075" s="66"/>
      <c r="AY1075" s="66"/>
      <c r="AZ1075" s="66"/>
      <c r="BA1075" s="66"/>
      <c r="BB1075" s="66"/>
      <c r="BC1075" s="66"/>
      <c r="BD1075" s="66"/>
      <c r="BE1075" s="67"/>
      <c r="BF1075" s="67"/>
      <c r="BG1075" s="68"/>
      <c r="BI1075" s="69">
        <v>0</v>
      </c>
      <c r="BJ1075" s="70">
        <v>0</v>
      </c>
      <c r="BK1075" s="71">
        <v>0</v>
      </c>
      <c r="BL1075" s="71">
        <v>0</v>
      </c>
      <c r="BM1075" s="71">
        <v>0</v>
      </c>
      <c r="BN1075" s="72">
        <v>0</v>
      </c>
      <c r="BO1075" s="151" t="e">
        <f t="shared" si="66"/>
        <v>#DIV/0!</v>
      </c>
      <c r="BP1075" s="151" t="e">
        <f t="shared" si="67"/>
        <v>#DIV/0!</v>
      </c>
      <c r="BQ1075" s="71">
        <v>0</v>
      </c>
      <c r="BR1075" s="71">
        <v>0</v>
      </c>
      <c r="BS1075" s="71">
        <v>0</v>
      </c>
      <c r="BT1075" s="72">
        <v>0</v>
      </c>
      <c r="BU1075" s="73"/>
      <c r="BV1075" s="73"/>
    </row>
    <row r="1076" ht="30" customHeight="1" spans="1:75 16331:16349">
      <c r="A1076" s="55">
        <v>0</v>
      </c>
      <c r="B1076" s="56" t="s">
        <v>1057</v>
      </c>
      <c r="C1076" s="57" t="s">
        <v>1058</v>
      </c>
      <c r="D1076" s="59" t="s">
        <v>1794</v>
      </c>
      <c r="E1076" s="59"/>
      <c r="F1076" s="59" t="e">
        <f>VLOOKUP(E1076,[1]库存!$B$1:$C$65536,2,FALSE)</f>
        <v>#N/A</v>
      </c>
      <c r="G1076" s="59" t="e">
        <v>#N/A</v>
      </c>
      <c r="H1076" s="59" t="s">
        <v>1312</v>
      </c>
      <c r="I1076" s="59" t="s">
        <v>1308</v>
      </c>
      <c r="J1076" s="64" t="s">
        <v>1811</v>
      </c>
      <c r="K1076" s="61"/>
      <c r="L1076" s="62">
        <v>2</v>
      </c>
      <c r="M1076" s="63">
        <v>1200</v>
      </c>
      <c r="N1076" s="64">
        <v>12</v>
      </c>
      <c r="O1076" s="62">
        <v>2</v>
      </c>
      <c r="P1076" s="65">
        <f t="shared" si="68"/>
        <v>0</v>
      </c>
      <c r="Q1076" s="66"/>
      <c r="R1076" s="66"/>
      <c r="S1076" s="66"/>
      <c r="T1076" s="66"/>
      <c r="U1076" s="66"/>
      <c r="V1076" s="66"/>
      <c r="W1076" s="66"/>
      <c r="X1076" s="66"/>
      <c r="Y1076" s="66"/>
      <c r="Z1076" s="66"/>
      <c r="AA1076" s="66"/>
      <c r="AB1076" s="66"/>
      <c r="AC1076" s="66"/>
      <c r="AD1076" s="66"/>
      <c r="AE1076" s="66"/>
      <c r="AF1076" s="66"/>
      <c r="AG1076" s="66"/>
      <c r="AH1076" s="66"/>
      <c r="AI1076" s="66"/>
      <c r="AJ1076" s="66"/>
      <c r="AK1076" s="66"/>
      <c r="AL1076" s="66"/>
      <c r="AM1076" s="66"/>
      <c r="AN1076" s="66"/>
      <c r="AO1076" s="66"/>
      <c r="AP1076" s="66"/>
      <c r="AQ1076" s="66"/>
      <c r="AR1076" s="66"/>
      <c r="AS1076" s="66"/>
      <c r="AT1076" s="66"/>
      <c r="AU1076" s="66"/>
      <c r="AV1076" s="66"/>
      <c r="AW1076" s="66"/>
      <c r="AX1076" s="66"/>
      <c r="AY1076" s="66"/>
      <c r="AZ1076" s="66"/>
      <c r="BA1076" s="66"/>
      <c r="BB1076" s="66"/>
      <c r="BC1076" s="66"/>
      <c r="BD1076" s="66"/>
      <c r="BE1076" s="67"/>
      <c r="BF1076" s="67"/>
      <c r="BG1076" s="68"/>
      <c r="BI1076" s="69">
        <v>0</v>
      </c>
      <c r="BJ1076" s="70">
        <v>0</v>
      </c>
      <c r="BK1076" s="71">
        <v>0</v>
      </c>
      <c r="BL1076" s="71">
        <v>0</v>
      </c>
      <c r="BM1076" s="71">
        <v>0</v>
      </c>
      <c r="BN1076" s="72">
        <v>0</v>
      </c>
      <c r="BO1076" s="151" t="e">
        <f t="shared" si="66"/>
        <v>#DIV/0!</v>
      </c>
      <c r="BP1076" s="151" t="e">
        <f t="shared" si="67"/>
        <v>#DIV/0!</v>
      </c>
      <c r="BQ1076" s="71">
        <v>0</v>
      </c>
      <c r="BR1076" s="71">
        <v>0</v>
      </c>
      <c r="BS1076" s="71">
        <v>0</v>
      </c>
      <c r="BT1076" s="72">
        <v>0</v>
      </c>
      <c r="BU1076" s="73"/>
      <c r="BV1076" s="73"/>
    </row>
    <row r="1077" ht="30" customHeight="1" spans="1:75 16331:16349">
      <c r="A1077" s="55">
        <v>0</v>
      </c>
      <c r="B1077" s="56">
        <v>0</v>
      </c>
      <c r="C1077" s="57">
        <v>0</v>
      </c>
      <c r="D1077" s="74"/>
      <c r="E1077" s="74"/>
      <c r="F1077" s="59" t="e">
        <f>VLOOKUP(E1077,[1]库存!$B$1:$C$65536,2,FALSE)</f>
        <v>#N/A</v>
      </c>
      <c r="G1077" s="59" t="e">
        <v>#N/A</v>
      </c>
      <c r="H1077" s="74"/>
      <c r="I1077" s="74"/>
      <c r="J1077" s="93"/>
      <c r="K1077" s="61"/>
      <c r="L1077" s="62">
        <v>0</v>
      </c>
      <c r="M1077" s="63">
        <v>0</v>
      </c>
      <c r="N1077" s="64">
        <v>0</v>
      </c>
      <c r="O1077" s="62">
        <v>0</v>
      </c>
      <c r="P1077" s="65">
        <f t="shared" si="68"/>
        <v>0</v>
      </c>
      <c r="Q1077" s="66"/>
      <c r="R1077" s="66"/>
      <c r="S1077" s="66"/>
      <c r="T1077" s="66"/>
      <c r="U1077" s="66"/>
      <c r="V1077" s="66"/>
      <c r="W1077" s="66"/>
      <c r="X1077" s="66"/>
      <c r="Y1077" s="66"/>
      <c r="Z1077" s="66"/>
      <c r="AA1077" s="66"/>
      <c r="AB1077" s="66"/>
      <c r="AC1077" s="66"/>
      <c r="AD1077" s="66"/>
      <c r="AE1077" s="66"/>
      <c r="AF1077" s="66"/>
      <c r="AG1077" s="66"/>
      <c r="AH1077" s="66"/>
      <c r="AI1077" s="66"/>
      <c r="AJ1077" s="66"/>
      <c r="AK1077" s="66"/>
      <c r="AL1077" s="66"/>
      <c r="AM1077" s="66"/>
      <c r="AN1077" s="66"/>
      <c r="AO1077" s="66"/>
      <c r="AP1077" s="66"/>
      <c r="AQ1077" s="66"/>
      <c r="AR1077" s="66"/>
      <c r="AS1077" s="66"/>
      <c r="AT1077" s="66"/>
      <c r="AU1077" s="66"/>
      <c r="AV1077" s="66"/>
      <c r="AW1077" s="66"/>
      <c r="AX1077" s="66"/>
      <c r="AY1077" s="66"/>
      <c r="AZ1077" s="66"/>
      <c r="BA1077" s="66"/>
      <c r="BB1077" s="66"/>
      <c r="BC1077" s="66"/>
      <c r="BD1077" s="66"/>
      <c r="BE1077" s="67"/>
      <c r="BF1077" s="67"/>
      <c r="BG1077" s="68"/>
      <c r="BI1077" s="69">
        <v>0</v>
      </c>
      <c r="BJ1077" s="70">
        <v>0</v>
      </c>
      <c r="BK1077" s="71">
        <v>0</v>
      </c>
      <c r="BL1077" s="71">
        <v>0</v>
      </c>
      <c r="BM1077" s="71">
        <v>0</v>
      </c>
      <c r="BN1077" s="72">
        <v>0</v>
      </c>
      <c r="BO1077" s="151" t="e">
        <f t="shared" si="66"/>
        <v>#DIV/0!</v>
      </c>
      <c r="BP1077" s="151" t="e">
        <f t="shared" si="67"/>
        <v>#DIV/0!</v>
      </c>
      <c r="BQ1077" s="71">
        <v>0</v>
      </c>
      <c r="BR1077" s="71">
        <v>0</v>
      </c>
      <c r="BS1077" s="71">
        <v>0</v>
      </c>
      <c r="BT1077" s="72">
        <v>0</v>
      </c>
      <c r="BU1077" s="73"/>
      <c r="BV1077" s="73"/>
    </row>
    <row r="1078" ht="30" customHeight="1" spans="1:75 16331:16349">
      <c r="A1078" s="55" t="s">
        <v>165</v>
      </c>
      <c r="B1078" s="56" t="s">
        <v>1057</v>
      </c>
      <c r="C1078" s="57" t="s">
        <v>1058</v>
      </c>
      <c r="D1078" s="59" t="s">
        <v>1794</v>
      </c>
      <c r="E1078" s="59" t="s">
        <v>1812</v>
      </c>
      <c r="F1078" s="59" t="str">
        <f>VLOOKUP(E1078,[1]库存!$B$1:$C$65536,2,FALSE)</f>
        <v>DCY11 SAB LH （国产缝纫线）</v>
      </c>
      <c r="G1078" s="59" t="s">
        <v>1813</v>
      </c>
      <c r="H1078" s="59" t="s">
        <v>1814</v>
      </c>
      <c r="I1078" s="59" t="s">
        <v>242</v>
      </c>
      <c r="J1078" s="80" t="s">
        <v>65</v>
      </c>
      <c r="K1078" s="61"/>
      <c r="L1078" s="62">
        <v>2</v>
      </c>
      <c r="M1078" s="63">
        <v>1200</v>
      </c>
      <c r="N1078" s="64">
        <v>12</v>
      </c>
      <c r="O1078" s="62">
        <v>2</v>
      </c>
      <c r="P1078" s="65">
        <f t="shared" si="68"/>
        <v>0</v>
      </c>
      <c r="Q1078" s="66"/>
      <c r="R1078" s="66"/>
      <c r="S1078" s="66"/>
      <c r="T1078" s="66"/>
      <c r="U1078" s="66"/>
      <c r="V1078" s="66"/>
      <c r="W1078" s="66"/>
      <c r="X1078" s="66"/>
      <c r="Y1078" s="66"/>
      <c r="Z1078" s="66"/>
      <c r="AA1078" s="66"/>
      <c r="AB1078" s="66"/>
      <c r="AC1078" s="66"/>
      <c r="AD1078" s="66"/>
      <c r="AE1078" s="66"/>
      <c r="AF1078" s="66"/>
      <c r="AG1078" s="66"/>
      <c r="AH1078" s="66"/>
      <c r="AI1078" s="66"/>
      <c r="AJ1078" s="66"/>
      <c r="AK1078" s="66"/>
      <c r="AL1078" s="66"/>
      <c r="AM1078" s="66"/>
      <c r="AN1078" s="66"/>
      <c r="AO1078" s="66"/>
      <c r="AP1078" s="66"/>
      <c r="AQ1078" s="66"/>
      <c r="AR1078" s="66"/>
      <c r="AS1078" s="66"/>
      <c r="AT1078" s="66"/>
      <c r="AU1078" s="66"/>
      <c r="AV1078" s="66"/>
      <c r="AW1078" s="66"/>
      <c r="AX1078" s="66"/>
      <c r="AY1078" s="66"/>
      <c r="AZ1078" s="66"/>
      <c r="BA1078" s="66"/>
      <c r="BB1078" s="66"/>
      <c r="BC1078" s="66"/>
      <c r="BD1078" s="66"/>
      <c r="BE1078" s="67"/>
      <c r="BF1078" s="67"/>
      <c r="BG1078" s="68"/>
      <c r="BI1078" s="69">
        <v>0</v>
      </c>
      <c r="BJ1078" s="70">
        <v>0</v>
      </c>
      <c r="BK1078" s="71">
        <v>0</v>
      </c>
      <c r="BL1078" s="71">
        <v>0</v>
      </c>
      <c r="BM1078" s="71">
        <v>0</v>
      </c>
      <c r="BN1078" s="72">
        <v>0</v>
      </c>
      <c r="BO1078" s="151" t="e">
        <f t="shared" si="66"/>
        <v>#DIV/0!</v>
      </c>
      <c r="BP1078" s="151" t="e">
        <f t="shared" si="67"/>
        <v>#DIV/0!</v>
      </c>
      <c r="BQ1078" s="71">
        <v>0</v>
      </c>
      <c r="BR1078" s="71">
        <v>0</v>
      </c>
      <c r="BS1078" s="71">
        <v>0</v>
      </c>
      <c r="BT1078" s="72">
        <v>0</v>
      </c>
      <c r="BU1078" s="73"/>
      <c r="BV1078" s="73"/>
    </row>
    <row r="1079" ht="30" customHeight="1" spans="1:75 16331:16349">
      <c r="A1079" s="55">
        <v>0</v>
      </c>
      <c r="B1079" s="56">
        <v>0</v>
      </c>
      <c r="C1079" s="57">
        <v>0</v>
      </c>
      <c r="D1079" s="74"/>
      <c r="E1079" s="74"/>
      <c r="F1079" s="59" t="e">
        <f>VLOOKUP(E1079,[1]库存!$B$1:$C$65536,2,FALSE)</f>
        <v>#N/A</v>
      </c>
      <c r="G1079" s="59" t="e">
        <v>#N/A</v>
      </c>
      <c r="H1079" s="74"/>
      <c r="I1079" s="74"/>
      <c r="J1079" s="81"/>
      <c r="K1079" s="61"/>
      <c r="L1079" s="62">
        <v>0</v>
      </c>
      <c r="M1079" s="63">
        <v>0</v>
      </c>
      <c r="N1079" s="64">
        <v>0</v>
      </c>
      <c r="O1079" s="62">
        <v>0</v>
      </c>
      <c r="P1079" s="65">
        <f t="shared" si="68"/>
        <v>0</v>
      </c>
      <c r="Q1079" s="66"/>
      <c r="R1079" s="66"/>
      <c r="S1079" s="66"/>
      <c r="T1079" s="66"/>
      <c r="U1079" s="66"/>
      <c r="V1079" s="66"/>
      <c r="W1079" s="66"/>
      <c r="X1079" s="66"/>
      <c r="Y1079" s="66"/>
      <c r="Z1079" s="66"/>
      <c r="AA1079" s="66"/>
      <c r="AB1079" s="66"/>
      <c r="AC1079" s="66"/>
      <c r="AD1079" s="66"/>
      <c r="AE1079" s="66"/>
      <c r="AF1079" s="66"/>
      <c r="AG1079" s="66"/>
      <c r="AH1079" s="66"/>
      <c r="AI1079" s="66"/>
      <c r="AJ1079" s="66"/>
      <c r="AK1079" s="66"/>
      <c r="AL1079" s="66"/>
      <c r="AM1079" s="66"/>
      <c r="AN1079" s="66"/>
      <c r="AO1079" s="66"/>
      <c r="AP1079" s="66"/>
      <c r="AQ1079" s="66"/>
      <c r="AR1079" s="66"/>
      <c r="AS1079" s="66"/>
      <c r="AT1079" s="66"/>
      <c r="AU1079" s="66"/>
      <c r="AV1079" s="66"/>
      <c r="AW1079" s="66"/>
      <c r="AX1079" s="66"/>
      <c r="AY1079" s="66"/>
      <c r="AZ1079" s="66"/>
      <c r="BA1079" s="66"/>
      <c r="BB1079" s="66"/>
      <c r="BC1079" s="66"/>
      <c r="BD1079" s="66"/>
      <c r="BE1079" s="67"/>
      <c r="BF1079" s="67"/>
      <c r="BG1079" s="68"/>
      <c r="BI1079" s="69">
        <v>0</v>
      </c>
      <c r="BJ1079" s="70">
        <v>0</v>
      </c>
      <c r="BK1079" s="71">
        <v>0</v>
      </c>
      <c r="BL1079" s="71">
        <v>0</v>
      </c>
      <c r="BM1079" s="71">
        <v>0</v>
      </c>
      <c r="BN1079" s="72">
        <v>0</v>
      </c>
      <c r="BO1079" s="151" t="e">
        <f t="shared" si="66"/>
        <v>#DIV/0!</v>
      </c>
      <c r="BP1079" s="151" t="e">
        <f t="shared" si="67"/>
        <v>#DIV/0!</v>
      </c>
      <c r="BQ1079" s="71">
        <v>0</v>
      </c>
      <c r="BR1079" s="71">
        <v>0</v>
      </c>
      <c r="BS1079" s="71">
        <v>0</v>
      </c>
      <c r="BT1079" s="72">
        <v>0</v>
      </c>
      <c r="BU1079" s="73"/>
      <c r="BV1079" s="73"/>
    </row>
    <row r="1080" ht="30" customHeight="1" spans="1:75 16331:16349">
      <c r="A1080" s="55" t="s">
        <v>165</v>
      </c>
      <c r="B1080" s="56" t="s">
        <v>1057</v>
      </c>
      <c r="C1080" s="57" t="s">
        <v>1058</v>
      </c>
      <c r="D1080" s="59" t="s">
        <v>1794</v>
      </c>
      <c r="E1080" s="59" t="s">
        <v>1815</v>
      </c>
      <c r="F1080" s="59" t="str">
        <f>VLOOKUP(E1080,[1]库存!$B$1:$C$65536,2,FALSE)</f>
        <v>DCY11 SAB RH （国产缝纫线）</v>
      </c>
      <c r="G1080" s="59" t="s">
        <v>1816</v>
      </c>
      <c r="H1080" s="59" t="s">
        <v>1817</v>
      </c>
      <c r="I1080" s="59" t="s">
        <v>242</v>
      </c>
      <c r="J1080" s="80" t="s">
        <v>65</v>
      </c>
      <c r="K1080" s="61"/>
      <c r="L1080" s="62">
        <v>2</v>
      </c>
      <c r="M1080" s="63">
        <v>1200</v>
      </c>
      <c r="N1080" s="64">
        <v>12</v>
      </c>
      <c r="O1080" s="62">
        <v>2</v>
      </c>
      <c r="P1080" s="65">
        <f t="shared" si="68"/>
        <v>0</v>
      </c>
      <c r="Q1080" s="66"/>
      <c r="R1080" s="66"/>
      <c r="S1080" s="66"/>
      <c r="T1080" s="66"/>
      <c r="U1080" s="66"/>
      <c r="V1080" s="66"/>
      <c r="W1080" s="66"/>
      <c r="X1080" s="66"/>
      <c r="Y1080" s="66"/>
      <c r="Z1080" s="66"/>
      <c r="AA1080" s="66"/>
      <c r="AB1080" s="66"/>
      <c r="AC1080" s="66"/>
      <c r="AD1080" s="66"/>
      <c r="AE1080" s="66"/>
      <c r="AF1080" s="66"/>
      <c r="AG1080" s="66"/>
      <c r="AH1080" s="66"/>
      <c r="AI1080" s="66"/>
      <c r="AJ1080" s="66"/>
      <c r="AK1080" s="66"/>
      <c r="AL1080" s="66"/>
      <c r="AM1080" s="66"/>
      <c r="AN1080" s="66"/>
      <c r="AO1080" s="66"/>
      <c r="AP1080" s="66"/>
      <c r="AQ1080" s="66"/>
      <c r="AR1080" s="66"/>
      <c r="AS1080" s="66"/>
      <c r="AT1080" s="66"/>
      <c r="AU1080" s="66"/>
      <c r="AV1080" s="66"/>
      <c r="AW1080" s="66"/>
      <c r="AX1080" s="66"/>
      <c r="AY1080" s="66"/>
      <c r="AZ1080" s="66"/>
      <c r="BA1080" s="66"/>
      <c r="BB1080" s="66"/>
      <c r="BC1080" s="66"/>
      <c r="BD1080" s="66"/>
      <c r="BE1080" s="67"/>
      <c r="BF1080" s="67"/>
      <c r="BG1080" s="68"/>
      <c r="BI1080" s="69">
        <v>0</v>
      </c>
      <c r="BJ1080" s="70">
        <v>0</v>
      </c>
      <c r="BK1080" s="71">
        <v>0</v>
      </c>
      <c r="BL1080" s="71">
        <v>0</v>
      </c>
      <c r="BM1080" s="71">
        <v>0</v>
      </c>
      <c r="BN1080" s="72">
        <v>0</v>
      </c>
      <c r="BO1080" s="151" t="e">
        <f t="shared" si="66"/>
        <v>#DIV/0!</v>
      </c>
      <c r="BP1080" s="151" t="e">
        <f t="shared" si="67"/>
        <v>#DIV/0!</v>
      </c>
      <c r="BQ1080" s="71">
        <v>0</v>
      </c>
      <c r="BR1080" s="71">
        <v>0</v>
      </c>
      <c r="BS1080" s="71">
        <v>0</v>
      </c>
      <c r="BT1080" s="72">
        <v>0</v>
      </c>
      <c r="BU1080" s="73"/>
      <c r="BV1080" s="73"/>
    </row>
    <row r="1081" ht="30" customHeight="1" spans="1:75 16331:16349">
      <c r="A1081" s="55">
        <v>0</v>
      </c>
      <c r="B1081" s="56">
        <v>0</v>
      </c>
      <c r="C1081" s="57">
        <v>0</v>
      </c>
      <c r="D1081" s="74"/>
      <c r="E1081" s="74"/>
      <c r="F1081" s="59" t="e">
        <f>VLOOKUP(E1081,[1]库存!$B$1:$C$65536,2,FALSE)</f>
        <v>#N/A</v>
      </c>
      <c r="G1081" s="59" t="e">
        <v>#N/A</v>
      </c>
      <c r="H1081" s="74"/>
      <c r="I1081" s="74"/>
      <c r="J1081" s="81"/>
      <c r="K1081" s="61"/>
      <c r="L1081" s="62">
        <v>0</v>
      </c>
      <c r="M1081" s="63">
        <v>0</v>
      </c>
      <c r="N1081" s="64">
        <v>0</v>
      </c>
      <c r="O1081" s="62">
        <v>0</v>
      </c>
      <c r="P1081" s="65">
        <f t="shared" si="68"/>
        <v>0</v>
      </c>
      <c r="Q1081" s="66"/>
      <c r="R1081" s="66"/>
      <c r="S1081" s="66"/>
      <c r="T1081" s="66"/>
      <c r="U1081" s="66"/>
      <c r="V1081" s="66"/>
      <c r="W1081" s="66"/>
      <c r="X1081" s="66"/>
      <c r="Y1081" s="66"/>
      <c r="Z1081" s="66"/>
      <c r="AA1081" s="66"/>
      <c r="AB1081" s="66"/>
      <c r="AC1081" s="66"/>
      <c r="AD1081" s="66"/>
      <c r="AE1081" s="66"/>
      <c r="AF1081" s="66"/>
      <c r="AG1081" s="66"/>
      <c r="AH1081" s="66"/>
      <c r="AI1081" s="66"/>
      <c r="AJ1081" s="66"/>
      <c r="AK1081" s="66"/>
      <c r="AL1081" s="66"/>
      <c r="AM1081" s="66"/>
      <c r="AN1081" s="66"/>
      <c r="AO1081" s="66"/>
      <c r="AP1081" s="66"/>
      <c r="AQ1081" s="66"/>
      <c r="AR1081" s="66"/>
      <c r="AS1081" s="66"/>
      <c r="AT1081" s="66"/>
      <c r="AU1081" s="66"/>
      <c r="AV1081" s="66"/>
      <c r="AW1081" s="66"/>
      <c r="AX1081" s="66"/>
      <c r="AY1081" s="66"/>
      <c r="AZ1081" s="66"/>
      <c r="BA1081" s="66"/>
      <c r="BB1081" s="66"/>
      <c r="BC1081" s="66"/>
      <c r="BD1081" s="66"/>
      <c r="BE1081" s="67"/>
      <c r="BF1081" s="67"/>
      <c r="BG1081" s="68"/>
      <c r="BI1081" s="69">
        <v>0</v>
      </c>
      <c r="BJ1081" s="70">
        <v>0</v>
      </c>
      <c r="BK1081" s="71">
        <v>0</v>
      </c>
      <c r="BL1081" s="71">
        <v>0</v>
      </c>
      <c r="BM1081" s="71">
        <v>0</v>
      </c>
      <c r="BN1081" s="72">
        <v>0</v>
      </c>
      <c r="BO1081" s="151" t="e">
        <f t="shared" si="66"/>
        <v>#DIV/0!</v>
      </c>
      <c r="BP1081" s="151" t="e">
        <f t="shared" si="67"/>
        <v>#DIV/0!</v>
      </c>
      <c r="BQ1081" s="71">
        <v>0</v>
      </c>
      <c r="BR1081" s="71">
        <v>0</v>
      </c>
      <c r="BS1081" s="71">
        <v>0</v>
      </c>
      <c r="BT1081" s="72">
        <v>0</v>
      </c>
      <c r="BU1081" s="73"/>
      <c r="BV1081" s="73"/>
    </row>
    <row r="1082" s="1" customFormat="1" ht="30" customHeight="1" spans="1:75 16331:16349">
      <c r="A1082" s="110" t="s">
        <v>246</v>
      </c>
      <c r="B1082" s="111" t="s">
        <v>1057</v>
      </c>
      <c r="C1082" s="112" t="s">
        <v>1058</v>
      </c>
      <c r="D1082" s="113" t="s">
        <v>1794</v>
      </c>
      <c r="E1082" s="113" t="s">
        <v>1818</v>
      </c>
      <c r="F1082" s="113" t="str">
        <f>VLOOKUP(E1082,[1]库存!$B$1:$C$65536,2,FALSE)</f>
        <v>GWM ES24 RSAB LH</v>
      </c>
      <c r="G1082" s="113" t="s">
        <v>1819</v>
      </c>
      <c r="H1082" s="113" t="s">
        <v>1820</v>
      </c>
      <c r="I1082" s="113" t="s">
        <v>1821</v>
      </c>
      <c r="J1082" s="220" t="s">
        <v>1822</v>
      </c>
      <c r="K1082" s="115"/>
      <c r="L1082" s="116">
        <v>0</v>
      </c>
      <c r="M1082" s="117">
        <v>1000</v>
      </c>
      <c r="N1082" s="114">
        <v>12</v>
      </c>
      <c r="O1082" s="116">
        <v>0</v>
      </c>
      <c r="P1082" s="65">
        <f t="shared" si="68"/>
        <v>0</v>
      </c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7"/>
      <c r="AQ1082" s="67"/>
      <c r="AR1082" s="67"/>
      <c r="AS1082" s="67"/>
      <c r="AT1082" s="67"/>
      <c r="AU1082" s="67"/>
      <c r="AV1082" s="67"/>
      <c r="AW1082" s="67"/>
      <c r="AX1082" s="67"/>
      <c r="AY1082" s="67"/>
      <c r="AZ1082" s="67"/>
      <c r="BA1082" s="67"/>
      <c r="BB1082" s="67"/>
      <c r="BC1082" s="67"/>
      <c r="BD1082" s="67"/>
      <c r="BE1082" s="67"/>
      <c r="BF1082" s="67"/>
      <c r="BG1082" s="118"/>
      <c r="BH1082" s="119"/>
      <c r="BI1082" s="120">
        <v>0</v>
      </c>
      <c r="BJ1082" s="121">
        <v>0</v>
      </c>
      <c r="BK1082" s="122">
        <v>0</v>
      </c>
      <c r="BL1082" s="122">
        <v>0</v>
      </c>
      <c r="BM1082" s="122">
        <v>0</v>
      </c>
      <c r="BN1082" s="123">
        <v>0</v>
      </c>
      <c r="BO1082" s="204" t="e">
        <f t="shared" si="66"/>
        <v>#DIV/0!</v>
      </c>
      <c r="BP1082" s="204" t="e">
        <f t="shared" si="67"/>
        <v>#DIV/0!</v>
      </c>
      <c r="BQ1082" s="122">
        <v>0</v>
      </c>
      <c r="BR1082" s="122">
        <v>0</v>
      </c>
      <c r="BS1082" s="122">
        <v>0</v>
      </c>
      <c r="BT1082" s="123">
        <v>0</v>
      </c>
      <c r="BU1082" s="124"/>
      <c r="BV1082" s="124"/>
      <c r="BW1082" s="125"/>
      <c r="XDC1082" s="126"/>
      <c r="XDD1082" s="126"/>
      <c r="XDE1082" s="126"/>
      <c r="XDF1082" s="126"/>
      <c r="XDG1082" s="126"/>
      <c r="XDH1082" s="126"/>
      <c r="XDI1082" s="126"/>
      <c r="XDJ1082" s="126"/>
      <c r="XDK1082" s="126"/>
      <c r="XDL1082" s="126"/>
      <c r="XDM1082" s="126"/>
      <c r="XDN1082" s="126"/>
      <c r="XDO1082" s="126"/>
      <c r="XDP1082" s="126"/>
      <c r="XDQ1082" s="126"/>
      <c r="XDR1082" s="126"/>
      <c r="XDS1082" s="126"/>
      <c r="XDT1082" s="126"/>
      <c r="XDU1082" s="126"/>
    </row>
    <row r="1083" s="1" customFormat="1" ht="30" customHeight="1" spans="1:75 16331:16349">
      <c r="A1083" s="110">
        <v>0</v>
      </c>
      <c r="B1083" s="111">
        <v>0</v>
      </c>
      <c r="C1083" s="112">
        <v>0</v>
      </c>
      <c r="D1083" s="127"/>
      <c r="E1083" s="127"/>
      <c r="F1083" s="113" t="e">
        <f>VLOOKUP(E1083,[1]库存!$B$1:$C$65536,2,FALSE)</f>
        <v>#N/A</v>
      </c>
      <c r="G1083" s="113" t="e">
        <v>#N/A</v>
      </c>
      <c r="H1083" s="127"/>
      <c r="I1083" s="127"/>
      <c r="J1083" s="221"/>
      <c r="K1083" s="115"/>
      <c r="L1083" s="116">
        <v>0</v>
      </c>
      <c r="M1083" s="117">
        <v>0</v>
      </c>
      <c r="N1083" s="114">
        <v>0</v>
      </c>
      <c r="O1083" s="116">
        <v>0</v>
      </c>
      <c r="P1083" s="65">
        <f t="shared" si="68"/>
        <v>0</v>
      </c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7"/>
      <c r="AQ1083" s="67"/>
      <c r="AR1083" s="67"/>
      <c r="AS1083" s="67"/>
      <c r="AT1083" s="67"/>
      <c r="AU1083" s="67"/>
      <c r="AV1083" s="67"/>
      <c r="AW1083" s="67"/>
      <c r="AX1083" s="67"/>
      <c r="AY1083" s="67"/>
      <c r="AZ1083" s="67"/>
      <c r="BA1083" s="67"/>
      <c r="BB1083" s="67"/>
      <c r="BC1083" s="67"/>
      <c r="BD1083" s="67"/>
      <c r="BE1083" s="67"/>
      <c r="BF1083" s="67"/>
      <c r="BG1083" s="118"/>
      <c r="BH1083" s="119"/>
      <c r="BI1083" s="120">
        <v>0</v>
      </c>
      <c r="BJ1083" s="121">
        <v>0</v>
      </c>
      <c r="BK1083" s="122">
        <v>0</v>
      </c>
      <c r="BL1083" s="122">
        <v>0</v>
      </c>
      <c r="BM1083" s="122">
        <v>0</v>
      </c>
      <c r="BN1083" s="123">
        <v>0</v>
      </c>
      <c r="BO1083" s="204" t="e">
        <f t="shared" si="66"/>
        <v>#DIV/0!</v>
      </c>
      <c r="BP1083" s="204" t="e">
        <f t="shared" si="67"/>
        <v>#DIV/0!</v>
      </c>
      <c r="BQ1083" s="122">
        <v>0</v>
      </c>
      <c r="BR1083" s="122">
        <v>0</v>
      </c>
      <c r="BS1083" s="122">
        <v>0</v>
      </c>
      <c r="BT1083" s="123">
        <v>0</v>
      </c>
      <c r="BU1083" s="124"/>
      <c r="BV1083" s="124"/>
      <c r="BW1083" s="125"/>
      <c r="XDC1083" s="126"/>
      <c r="XDD1083" s="126"/>
      <c r="XDE1083" s="126"/>
      <c r="XDF1083" s="126"/>
      <c r="XDG1083" s="126"/>
      <c r="XDH1083" s="126"/>
      <c r="XDI1083" s="126"/>
      <c r="XDJ1083" s="126"/>
      <c r="XDK1083" s="126"/>
      <c r="XDL1083" s="126"/>
      <c r="XDM1083" s="126"/>
      <c r="XDN1083" s="126"/>
      <c r="XDO1083" s="126"/>
      <c r="XDP1083" s="126"/>
      <c r="XDQ1083" s="126"/>
      <c r="XDR1083" s="126"/>
      <c r="XDS1083" s="126"/>
      <c r="XDT1083" s="126"/>
      <c r="XDU1083" s="126"/>
    </row>
    <row r="1084" s="1" customFormat="1" ht="30" customHeight="1" spans="1:75 16331:16349">
      <c r="A1084" s="110" t="s">
        <v>246</v>
      </c>
      <c r="B1084" s="111" t="s">
        <v>1057</v>
      </c>
      <c r="C1084" s="112" t="s">
        <v>1058</v>
      </c>
      <c r="D1084" s="113" t="s">
        <v>1794</v>
      </c>
      <c r="E1084" s="113" t="s">
        <v>1823</v>
      </c>
      <c r="F1084" s="113" t="str">
        <f>VLOOKUP(E1084,[1]库存!$B$1:$C$65536,2,FALSE)</f>
        <v>GWM ES24 RSAB RH</v>
      </c>
      <c r="G1084" s="113" t="s">
        <v>1824</v>
      </c>
      <c r="H1084" s="113" t="s">
        <v>1825</v>
      </c>
      <c r="I1084" s="113" t="s">
        <v>1821</v>
      </c>
      <c r="J1084" s="220" t="s">
        <v>1822</v>
      </c>
      <c r="K1084" s="115"/>
      <c r="L1084" s="116">
        <v>0</v>
      </c>
      <c r="M1084" s="117">
        <v>1000</v>
      </c>
      <c r="N1084" s="114">
        <v>12</v>
      </c>
      <c r="O1084" s="116">
        <v>0</v>
      </c>
      <c r="P1084" s="65">
        <f t="shared" si="68"/>
        <v>0</v>
      </c>
      <c r="Q1084" s="67"/>
      <c r="R1084" s="67"/>
      <c r="S1084" s="67"/>
      <c r="T1084" s="67"/>
      <c r="U1084" s="67"/>
      <c r="V1084" s="67"/>
      <c r="W1084" s="67"/>
      <c r="X1084" s="67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67"/>
      <c r="AI1084" s="67"/>
      <c r="AJ1084" s="67"/>
      <c r="AK1084" s="67"/>
      <c r="AL1084" s="67"/>
      <c r="AM1084" s="67"/>
      <c r="AN1084" s="67"/>
      <c r="AO1084" s="67"/>
      <c r="AP1084" s="67"/>
      <c r="AQ1084" s="67"/>
      <c r="AR1084" s="67"/>
      <c r="AS1084" s="67"/>
      <c r="AT1084" s="67"/>
      <c r="AU1084" s="67"/>
      <c r="AV1084" s="67"/>
      <c r="AW1084" s="67"/>
      <c r="AX1084" s="67"/>
      <c r="AY1084" s="67"/>
      <c r="AZ1084" s="67"/>
      <c r="BA1084" s="67"/>
      <c r="BB1084" s="67"/>
      <c r="BC1084" s="67"/>
      <c r="BD1084" s="67"/>
      <c r="BE1084" s="67"/>
      <c r="BF1084" s="67"/>
      <c r="BG1084" s="118"/>
      <c r="BH1084" s="119"/>
      <c r="BI1084" s="120">
        <v>0</v>
      </c>
      <c r="BJ1084" s="121">
        <v>0</v>
      </c>
      <c r="BK1084" s="122">
        <v>0</v>
      </c>
      <c r="BL1084" s="122">
        <v>0</v>
      </c>
      <c r="BM1084" s="122">
        <v>0</v>
      </c>
      <c r="BN1084" s="123">
        <v>0</v>
      </c>
      <c r="BO1084" s="204" t="e">
        <f t="shared" si="66"/>
        <v>#DIV/0!</v>
      </c>
      <c r="BP1084" s="204" t="e">
        <f t="shared" si="67"/>
        <v>#DIV/0!</v>
      </c>
      <c r="BQ1084" s="122">
        <v>0</v>
      </c>
      <c r="BR1084" s="122">
        <v>0</v>
      </c>
      <c r="BS1084" s="122">
        <v>0</v>
      </c>
      <c r="BT1084" s="123">
        <v>0</v>
      </c>
      <c r="BU1084" s="124"/>
      <c r="BV1084" s="124"/>
      <c r="BW1084" s="125"/>
      <c r="XDC1084" s="126"/>
      <c r="XDD1084" s="126"/>
      <c r="XDE1084" s="126"/>
      <c r="XDF1084" s="126"/>
      <c r="XDG1084" s="126"/>
      <c r="XDH1084" s="126"/>
      <c r="XDI1084" s="126"/>
      <c r="XDJ1084" s="126"/>
      <c r="XDK1084" s="126"/>
      <c r="XDL1084" s="126"/>
      <c r="XDM1084" s="126"/>
      <c r="XDN1084" s="126"/>
      <c r="XDO1084" s="126"/>
      <c r="XDP1084" s="126"/>
      <c r="XDQ1084" s="126"/>
      <c r="XDR1084" s="126"/>
      <c r="XDS1084" s="126"/>
      <c r="XDT1084" s="126"/>
      <c r="XDU1084" s="126"/>
    </row>
    <row r="1085" s="1" customFormat="1" ht="30" customHeight="1" spans="1:75 16331:16349">
      <c r="A1085" s="110">
        <v>0</v>
      </c>
      <c r="B1085" s="111">
        <v>0</v>
      </c>
      <c r="C1085" s="112">
        <v>0</v>
      </c>
      <c r="D1085" s="127"/>
      <c r="E1085" s="127"/>
      <c r="F1085" s="113" t="e">
        <f>VLOOKUP(E1085,[1]库存!$B$1:$C$65536,2,FALSE)</f>
        <v>#N/A</v>
      </c>
      <c r="G1085" s="113" t="e">
        <v>#N/A</v>
      </c>
      <c r="H1085" s="127"/>
      <c r="I1085" s="127"/>
      <c r="J1085" s="221"/>
      <c r="K1085" s="115"/>
      <c r="L1085" s="116">
        <v>0</v>
      </c>
      <c r="M1085" s="117">
        <v>0</v>
      </c>
      <c r="N1085" s="114">
        <v>0</v>
      </c>
      <c r="O1085" s="116">
        <v>0</v>
      </c>
      <c r="P1085" s="65">
        <f t="shared" si="68"/>
        <v>0</v>
      </c>
      <c r="Q1085" s="67"/>
      <c r="R1085" s="67"/>
      <c r="S1085" s="67"/>
      <c r="T1085" s="67"/>
      <c r="U1085" s="67"/>
      <c r="V1085" s="67"/>
      <c r="W1085" s="67"/>
      <c r="X1085" s="67"/>
      <c r="Y1085" s="67"/>
      <c r="Z1085" s="67"/>
      <c r="AA1085" s="67"/>
      <c r="AB1085" s="67"/>
      <c r="AC1085" s="67"/>
      <c r="AD1085" s="67"/>
      <c r="AE1085" s="67"/>
      <c r="AF1085" s="67"/>
      <c r="AG1085" s="67"/>
      <c r="AH1085" s="67"/>
      <c r="AI1085" s="67"/>
      <c r="AJ1085" s="67"/>
      <c r="AK1085" s="67"/>
      <c r="AL1085" s="67"/>
      <c r="AM1085" s="67"/>
      <c r="AN1085" s="67"/>
      <c r="AO1085" s="67"/>
      <c r="AP1085" s="67"/>
      <c r="AQ1085" s="67"/>
      <c r="AR1085" s="67"/>
      <c r="AS1085" s="67"/>
      <c r="AT1085" s="67"/>
      <c r="AU1085" s="67"/>
      <c r="AV1085" s="67"/>
      <c r="AW1085" s="67"/>
      <c r="AX1085" s="67"/>
      <c r="AY1085" s="67"/>
      <c r="AZ1085" s="67"/>
      <c r="BA1085" s="67"/>
      <c r="BB1085" s="67"/>
      <c r="BC1085" s="67"/>
      <c r="BD1085" s="67"/>
      <c r="BE1085" s="67"/>
      <c r="BF1085" s="67"/>
      <c r="BG1085" s="118"/>
      <c r="BH1085" s="119"/>
      <c r="BI1085" s="120">
        <v>0</v>
      </c>
      <c r="BJ1085" s="121">
        <v>0</v>
      </c>
      <c r="BK1085" s="122">
        <v>0</v>
      </c>
      <c r="BL1085" s="122">
        <v>0</v>
      </c>
      <c r="BM1085" s="122">
        <v>0</v>
      </c>
      <c r="BN1085" s="123">
        <v>0</v>
      </c>
      <c r="BO1085" s="204" t="e">
        <f t="shared" si="66"/>
        <v>#DIV/0!</v>
      </c>
      <c r="BP1085" s="204" t="e">
        <f t="shared" si="67"/>
        <v>#DIV/0!</v>
      </c>
      <c r="BQ1085" s="122">
        <v>0</v>
      </c>
      <c r="BR1085" s="122">
        <v>0</v>
      </c>
      <c r="BS1085" s="122">
        <v>0</v>
      </c>
      <c r="BT1085" s="123">
        <v>0</v>
      </c>
      <c r="BU1085" s="124"/>
      <c r="BV1085" s="124"/>
      <c r="BW1085" s="125"/>
      <c r="XDC1085" s="126"/>
      <c r="XDD1085" s="126"/>
      <c r="XDE1085" s="126"/>
      <c r="XDF1085" s="126"/>
      <c r="XDG1085" s="126"/>
      <c r="XDH1085" s="126"/>
      <c r="XDI1085" s="126"/>
      <c r="XDJ1085" s="126"/>
      <c r="XDK1085" s="126"/>
      <c r="XDL1085" s="126"/>
      <c r="XDM1085" s="126"/>
      <c r="XDN1085" s="126"/>
      <c r="XDO1085" s="126"/>
      <c r="XDP1085" s="126"/>
      <c r="XDQ1085" s="126"/>
      <c r="XDR1085" s="126"/>
      <c r="XDS1085" s="126"/>
      <c r="XDT1085" s="126"/>
      <c r="XDU1085" s="126"/>
    </row>
    <row r="1086" ht="30" customHeight="1" spans="1:75 16331:16349">
      <c r="A1086" s="55">
        <v>0</v>
      </c>
      <c r="B1086" s="56" t="s">
        <v>1057</v>
      </c>
      <c r="C1086" s="57" t="s">
        <v>1058</v>
      </c>
      <c r="D1086" s="59" t="s">
        <v>1794</v>
      </c>
      <c r="E1086" s="59"/>
      <c r="F1086" s="59" t="e">
        <f>VLOOKUP(E1086,[1]库存!$B$1:$C$65536,2,FALSE)</f>
        <v>#N/A</v>
      </c>
      <c r="G1086" s="59" t="e">
        <v>#N/A</v>
      </c>
      <c r="H1086" s="59" t="s">
        <v>1826</v>
      </c>
      <c r="I1086" s="228" t="s">
        <v>1827</v>
      </c>
      <c r="J1086" s="171"/>
      <c r="K1086" s="61"/>
      <c r="L1086" s="62">
        <v>0</v>
      </c>
      <c r="M1086" s="63">
        <v>0</v>
      </c>
      <c r="N1086" s="64">
        <v>0</v>
      </c>
      <c r="O1086" s="62">
        <v>0</v>
      </c>
      <c r="P1086" s="65">
        <f t="shared" si="68"/>
        <v>0</v>
      </c>
      <c r="Q1086" s="66"/>
      <c r="R1086" s="66"/>
      <c r="S1086" s="66"/>
      <c r="T1086" s="66"/>
      <c r="U1086" s="66"/>
      <c r="V1086" s="66"/>
      <c r="W1086" s="66"/>
      <c r="X1086" s="66"/>
      <c r="Y1086" s="66"/>
      <c r="Z1086" s="66"/>
      <c r="AA1086" s="66"/>
      <c r="AB1086" s="66"/>
      <c r="AC1086" s="66"/>
      <c r="AD1086" s="66"/>
      <c r="AE1086" s="66"/>
      <c r="AF1086" s="66"/>
      <c r="AG1086" s="66"/>
      <c r="AH1086" s="66"/>
      <c r="AI1086" s="66"/>
      <c r="AJ1086" s="66"/>
      <c r="AK1086" s="66"/>
      <c r="AL1086" s="66"/>
      <c r="AM1086" s="66"/>
      <c r="AN1086" s="66"/>
      <c r="AO1086" s="66"/>
      <c r="AP1086" s="66"/>
      <c r="AQ1086" s="66"/>
      <c r="AR1086" s="66"/>
      <c r="AS1086" s="66"/>
      <c r="AT1086" s="66"/>
      <c r="AU1086" s="66"/>
      <c r="AV1086" s="66"/>
      <c r="AW1086" s="66"/>
      <c r="AX1086" s="66"/>
      <c r="AY1086" s="66"/>
      <c r="AZ1086" s="66"/>
      <c r="BA1086" s="66"/>
      <c r="BB1086" s="66"/>
      <c r="BC1086" s="66"/>
      <c r="BD1086" s="66"/>
      <c r="BE1086" s="67"/>
      <c r="BF1086" s="67"/>
      <c r="BG1086" s="68"/>
      <c r="BI1086" s="69">
        <v>0</v>
      </c>
      <c r="BJ1086" s="70">
        <v>0</v>
      </c>
      <c r="BK1086" s="71">
        <v>0</v>
      </c>
      <c r="BL1086" s="71">
        <v>0</v>
      </c>
      <c r="BM1086" s="71">
        <v>0</v>
      </c>
      <c r="BN1086" s="72">
        <v>0</v>
      </c>
      <c r="BO1086" s="151" t="e">
        <f t="shared" si="66"/>
        <v>#DIV/0!</v>
      </c>
      <c r="BP1086" s="151" t="e">
        <f t="shared" si="67"/>
        <v>#DIV/0!</v>
      </c>
      <c r="BQ1086" s="71">
        <v>0</v>
      </c>
      <c r="BR1086" s="71">
        <v>0</v>
      </c>
      <c r="BS1086" s="71">
        <v>0</v>
      </c>
      <c r="BT1086" s="72">
        <v>0</v>
      </c>
      <c r="BU1086" s="73"/>
      <c r="BV1086" s="73"/>
    </row>
    <row r="1087" ht="30" customHeight="1" spans="1:75 16331:16349">
      <c r="A1087" s="55">
        <v>0</v>
      </c>
      <c r="B1087" s="56">
        <v>0</v>
      </c>
      <c r="C1087" s="57">
        <v>0</v>
      </c>
      <c r="D1087" s="74"/>
      <c r="E1087" s="74"/>
      <c r="F1087" s="59" t="e">
        <f>VLOOKUP(E1087,[1]库存!$B$1:$C$65536,2,FALSE)</f>
        <v>#N/A</v>
      </c>
      <c r="G1087" s="59" t="e">
        <v>#N/A</v>
      </c>
      <c r="H1087" s="74"/>
      <c r="I1087" s="229"/>
      <c r="J1087" s="227"/>
      <c r="K1087" s="61"/>
      <c r="L1087" s="62">
        <v>0</v>
      </c>
      <c r="M1087" s="63">
        <v>0</v>
      </c>
      <c r="N1087" s="64">
        <v>0</v>
      </c>
      <c r="O1087" s="62">
        <v>0</v>
      </c>
      <c r="P1087" s="65">
        <f t="shared" si="68"/>
        <v>0</v>
      </c>
      <c r="Q1087" s="66"/>
      <c r="R1087" s="66"/>
      <c r="S1087" s="66"/>
      <c r="T1087" s="66"/>
      <c r="U1087" s="66"/>
      <c r="V1087" s="66"/>
      <c r="W1087" s="66"/>
      <c r="X1087" s="66"/>
      <c r="Y1087" s="66"/>
      <c r="Z1087" s="66"/>
      <c r="AA1087" s="66"/>
      <c r="AB1087" s="66"/>
      <c r="AC1087" s="66"/>
      <c r="AD1087" s="66"/>
      <c r="AE1087" s="66"/>
      <c r="AF1087" s="66"/>
      <c r="AG1087" s="66"/>
      <c r="AH1087" s="66"/>
      <c r="AI1087" s="66"/>
      <c r="AJ1087" s="66"/>
      <c r="AK1087" s="66"/>
      <c r="AL1087" s="66"/>
      <c r="AM1087" s="66"/>
      <c r="AN1087" s="66"/>
      <c r="AO1087" s="66"/>
      <c r="AP1087" s="66"/>
      <c r="AQ1087" s="66"/>
      <c r="AR1087" s="66"/>
      <c r="AS1087" s="66"/>
      <c r="AT1087" s="66"/>
      <c r="AU1087" s="66"/>
      <c r="AV1087" s="66"/>
      <c r="AW1087" s="66"/>
      <c r="AX1087" s="66"/>
      <c r="AY1087" s="66"/>
      <c r="AZ1087" s="66"/>
      <c r="BA1087" s="66"/>
      <c r="BB1087" s="66"/>
      <c r="BC1087" s="66"/>
      <c r="BD1087" s="66"/>
      <c r="BE1087" s="67"/>
      <c r="BF1087" s="67"/>
      <c r="BG1087" s="68"/>
      <c r="BI1087" s="69">
        <v>0</v>
      </c>
      <c r="BJ1087" s="70">
        <v>0</v>
      </c>
      <c r="BK1087" s="71">
        <v>0</v>
      </c>
      <c r="BL1087" s="71">
        <v>0</v>
      </c>
      <c r="BM1087" s="71">
        <v>0</v>
      </c>
      <c r="BN1087" s="72">
        <v>0</v>
      </c>
      <c r="BO1087" s="151" t="e">
        <f t="shared" si="66"/>
        <v>#DIV/0!</v>
      </c>
      <c r="BP1087" s="151" t="e">
        <f t="shared" si="67"/>
        <v>#DIV/0!</v>
      </c>
      <c r="BQ1087" s="71">
        <v>0</v>
      </c>
      <c r="BR1087" s="71">
        <v>0</v>
      </c>
      <c r="BS1087" s="71">
        <v>0</v>
      </c>
      <c r="BT1087" s="72">
        <v>0</v>
      </c>
      <c r="BU1087" s="73"/>
      <c r="BV1087" s="73"/>
    </row>
    <row r="1088" ht="30" customHeight="1" spans="1:75 16331:16349">
      <c r="A1088" s="55">
        <v>0</v>
      </c>
      <c r="B1088" s="56" t="s">
        <v>1057</v>
      </c>
      <c r="C1088" s="57" t="s">
        <v>1058</v>
      </c>
      <c r="D1088" s="59" t="s">
        <v>1794</v>
      </c>
      <c r="E1088" s="59"/>
      <c r="F1088" s="59" t="e">
        <f>VLOOKUP(E1088,[1]库存!$B$1:$C$65536,2,FALSE)</f>
        <v>#N/A</v>
      </c>
      <c r="G1088" s="59" t="e">
        <v>#N/A</v>
      </c>
      <c r="H1088" s="59" t="s">
        <v>1828</v>
      </c>
      <c r="I1088" s="228" t="s">
        <v>1827</v>
      </c>
      <c r="J1088" s="171"/>
      <c r="K1088" s="61"/>
      <c r="L1088" s="62">
        <v>0</v>
      </c>
      <c r="M1088" s="63">
        <v>0</v>
      </c>
      <c r="N1088" s="64">
        <v>0</v>
      </c>
      <c r="O1088" s="62">
        <v>0</v>
      </c>
      <c r="P1088" s="65">
        <f t="shared" si="68"/>
        <v>0</v>
      </c>
      <c r="Q1088" s="66"/>
      <c r="R1088" s="66"/>
      <c r="S1088" s="66"/>
      <c r="T1088" s="66"/>
      <c r="U1088" s="66"/>
      <c r="V1088" s="66"/>
      <c r="W1088" s="66"/>
      <c r="X1088" s="66"/>
      <c r="Y1088" s="66"/>
      <c r="Z1088" s="66"/>
      <c r="AA1088" s="66"/>
      <c r="AB1088" s="66"/>
      <c r="AC1088" s="66"/>
      <c r="AD1088" s="66"/>
      <c r="AE1088" s="66"/>
      <c r="AF1088" s="66"/>
      <c r="AG1088" s="66"/>
      <c r="AH1088" s="66"/>
      <c r="AI1088" s="66"/>
      <c r="AJ1088" s="66"/>
      <c r="AK1088" s="66"/>
      <c r="AL1088" s="66"/>
      <c r="AM1088" s="66"/>
      <c r="AN1088" s="66"/>
      <c r="AO1088" s="66"/>
      <c r="AP1088" s="66"/>
      <c r="AQ1088" s="66"/>
      <c r="AR1088" s="66"/>
      <c r="AS1088" s="66"/>
      <c r="AT1088" s="66"/>
      <c r="AU1088" s="66"/>
      <c r="AV1088" s="66"/>
      <c r="AW1088" s="66"/>
      <c r="AX1088" s="66"/>
      <c r="AY1088" s="66"/>
      <c r="AZ1088" s="66"/>
      <c r="BA1088" s="66"/>
      <c r="BB1088" s="66"/>
      <c r="BC1088" s="66"/>
      <c r="BD1088" s="66"/>
      <c r="BE1088" s="67"/>
      <c r="BF1088" s="67"/>
      <c r="BG1088" s="68"/>
      <c r="BI1088" s="69">
        <v>0</v>
      </c>
      <c r="BJ1088" s="70">
        <v>0</v>
      </c>
      <c r="BK1088" s="71">
        <v>0</v>
      </c>
      <c r="BL1088" s="71">
        <v>0</v>
      </c>
      <c r="BM1088" s="71">
        <v>0</v>
      </c>
      <c r="BN1088" s="72">
        <v>0</v>
      </c>
      <c r="BO1088" s="151" t="e">
        <f t="shared" si="66"/>
        <v>#DIV/0!</v>
      </c>
      <c r="BP1088" s="151" t="e">
        <f t="shared" si="67"/>
        <v>#DIV/0!</v>
      </c>
      <c r="BQ1088" s="71">
        <v>0</v>
      </c>
      <c r="BR1088" s="71">
        <v>0</v>
      </c>
      <c r="BS1088" s="71">
        <v>0</v>
      </c>
      <c r="BT1088" s="72">
        <v>0</v>
      </c>
      <c r="BU1088" s="73"/>
      <c r="BV1088" s="73"/>
    </row>
    <row r="1089" ht="30" customHeight="1" spans="1:75">
      <c r="A1089" s="55">
        <v>0</v>
      </c>
      <c r="B1089" s="56">
        <v>0</v>
      </c>
      <c r="C1089" s="57">
        <v>0</v>
      </c>
      <c r="D1089" s="74"/>
      <c r="E1089" s="74"/>
      <c r="F1089" s="59" t="e">
        <f>VLOOKUP(E1089,[1]库存!$B$1:$C$65536,2,FALSE)</f>
        <v>#N/A</v>
      </c>
      <c r="G1089" s="59" t="e">
        <v>#N/A</v>
      </c>
      <c r="H1089" s="74"/>
      <c r="I1089" s="229"/>
      <c r="J1089" s="227"/>
      <c r="K1089" s="61"/>
      <c r="L1089" s="62">
        <v>0</v>
      </c>
      <c r="M1089" s="63">
        <v>0</v>
      </c>
      <c r="N1089" s="64">
        <v>0</v>
      </c>
      <c r="O1089" s="62">
        <v>0</v>
      </c>
      <c r="P1089" s="65">
        <f t="shared" si="68"/>
        <v>0</v>
      </c>
      <c r="Q1089" s="66"/>
      <c r="R1089" s="66"/>
      <c r="S1089" s="66"/>
      <c r="T1089" s="66"/>
      <c r="U1089" s="66"/>
      <c r="V1089" s="66"/>
      <c r="W1089" s="66"/>
      <c r="X1089" s="66"/>
      <c r="Y1089" s="66"/>
      <c r="Z1089" s="66"/>
      <c r="AA1089" s="66"/>
      <c r="AB1089" s="66"/>
      <c r="AC1089" s="66"/>
      <c r="AD1089" s="66"/>
      <c r="AE1089" s="66"/>
      <c r="AF1089" s="66"/>
      <c r="AG1089" s="66"/>
      <c r="AH1089" s="66"/>
      <c r="AI1089" s="66"/>
      <c r="AJ1089" s="66"/>
      <c r="AK1089" s="66"/>
      <c r="AL1089" s="66"/>
      <c r="AM1089" s="66"/>
      <c r="AN1089" s="66"/>
      <c r="AO1089" s="66"/>
      <c r="AP1089" s="66"/>
      <c r="AQ1089" s="66"/>
      <c r="AR1089" s="66"/>
      <c r="AS1089" s="66"/>
      <c r="AT1089" s="66"/>
      <c r="AU1089" s="66"/>
      <c r="AV1089" s="66"/>
      <c r="AW1089" s="66"/>
      <c r="AX1089" s="66"/>
      <c r="AY1089" s="66"/>
      <c r="AZ1089" s="66"/>
      <c r="BA1089" s="66"/>
      <c r="BB1089" s="66"/>
      <c r="BC1089" s="66"/>
      <c r="BD1089" s="66"/>
      <c r="BE1089" s="67"/>
      <c r="BF1089" s="67"/>
      <c r="BG1089" s="68"/>
      <c r="BI1089" s="69">
        <v>0</v>
      </c>
      <c r="BJ1089" s="70">
        <v>0</v>
      </c>
      <c r="BK1089" s="71">
        <v>0</v>
      </c>
      <c r="BL1089" s="71">
        <v>0</v>
      </c>
      <c r="BM1089" s="71">
        <v>0</v>
      </c>
      <c r="BN1089" s="72">
        <v>0</v>
      </c>
      <c r="BO1089" s="151" t="e">
        <f t="shared" si="66"/>
        <v>#DIV/0!</v>
      </c>
      <c r="BP1089" s="151" t="e">
        <f t="shared" si="67"/>
        <v>#DIV/0!</v>
      </c>
      <c r="BQ1089" s="71">
        <v>0</v>
      </c>
      <c r="BR1089" s="71">
        <v>0</v>
      </c>
      <c r="BS1089" s="71">
        <v>0</v>
      </c>
      <c r="BT1089" s="72">
        <v>0</v>
      </c>
      <c r="BU1089" s="73"/>
      <c r="BV1089" s="73"/>
    </row>
    <row r="1090" ht="30" customHeight="1" spans="1:75">
      <c r="A1090" s="55">
        <v>0</v>
      </c>
      <c r="B1090" s="56">
        <v>0</v>
      </c>
      <c r="C1090" s="57">
        <v>0</v>
      </c>
      <c r="E1090" s="88"/>
      <c r="F1090" s="59" t="e">
        <f>VLOOKUP(E1090,[1]库存!$B$1:$C$65536,2,FALSE)</f>
        <v>#N/A</v>
      </c>
      <c r="G1090" s="59" t="e">
        <v>#N/A</v>
      </c>
      <c r="H1090" s="89"/>
      <c r="I1090" s="88"/>
      <c r="J1090" s="90"/>
      <c r="K1090" s="61"/>
      <c r="L1090" s="62">
        <v>0</v>
      </c>
      <c r="M1090" s="63">
        <v>0</v>
      </c>
      <c r="N1090" s="64">
        <v>0</v>
      </c>
      <c r="O1090" s="62">
        <v>0</v>
      </c>
      <c r="P1090" s="65">
        <f t="shared" si="68"/>
        <v>0</v>
      </c>
      <c r="Q1090" s="66"/>
      <c r="R1090" s="66"/>
      <c r="S1090" s="66"/>
      <c r="T1090" s="66"/>
      <c r="U1090" s="66"/>
      <c r="V1090" s="66"/>
      <c r="W1090" s="66"/>
      <c r="X1090" s="66"/>
      <c r="Y1090" s="66"/>
      <c r="Z1090" s="66"/>
      <c r="AA1090" s="66"/>
      <c r="AB1090" s="66"/>
      <c r="AC1090" s="66"/>
      <c r="AD1090" s="66"/>
      <c r="AE1090" s="66"/>
      <c r="AF1090" s="66"/>
      <c r="AG1090" s="66"/>
      <c r="AH1090" s="66"/>
      <c r="AI1090" s="66"/>
      <c r="AJ1090" s="66"/>
      <c r="AK1090" s="66"/>
      <c r="AL1090" s="66"/>
      <c r="AM1090" s="66"/>
      <c r="AN1090" s="66"/>
      <c r="AO1090" s="66"/>
      <c r="AP1090" s="66"/>
      <c r="AQ1090" s="66"/>
      <c r="AR1090" s="66"/>
      <c r="AS1090" s="66"/>
      <c r="AT1090" s="66"/>
      <c r="AU1090" s="66"/>
      <c r="AV1090" s="66"/>
      <c r="AW1090" s="66"/>
      <c r="AX1090" s="66"/>
      <c r="AY1090" s="66"/>
      <c r="AZ1090" s="66"/>
      <c r="BA1090" s="66"/>
      <c r="BB1090" s="66"/>
      <c r="BC1090" s="66"/>
      <c r="BD1090" s="66"/>
      <c r="BE1090" s="67"/>
      <c r="BF1090" s="67"/>
      <c r="BG1090" s="68"/>
      <c r="BI1090" s="69">
        <v>0</v>
      </c>
      <c r="BJ1090" s="70">
        <v>0</v>
      </c>
      <c r="BK1090" s="71">
        <v>0</v>
      </c>
      <c r="BL1090" s="71">
        <v>0</v>
      </c>
      <c r="BM1090" s="71">
        <v>0</v>
      </c>
      <c r="BN1090" s="72">
        <v>0</v>
      </c>
      <c r="BO1090" s="151" t="e">
        <f t="shared" si="66"/>
        <v>#DIV/0!</v>
      </c>
      <c r="BP1090" s="151" t="e">
        <f t="shared" si="67"/>
        <v>#DIV/0!</v>
      </c>
      <c r="BQ1090" s="71">
        <v>0</v>
      </c>
      <c r="BR1090" s="71">
        <v>0</v>
      </c>
      <c r="BS1090" s="71">
        <v>0</v>
      </c>
      <c r="BT1090" s="72">
        <v>0</v>
      </c>
      <c r="BU1090" s="73"/>
      <c r="BV1090" s="73"/>
    </row>
    <row r="1091" ht="30" customHeight="1" spans="1:75">
      <c r="A1091" s="55" t="s">
        <v>165</v>
      </c>
      <c r="B1091" s="56" t="s">
        <v>1057</v>
      </c>
      <c r="C1091" s="57" t="s">
        <v>1058</v>
      </c>
      <c r="D1091" s="91" t="s">
        <v>1829</v>
      </c>
      <c r="E1091" s="230"/>
      <c r="F1091" s="91" t="e">
        <f>VLOOKUP(E1091,[1]库存!$B$1:$C$65536,2,FALSE)</f>
        <v>#N/A</v>
      </c>
      <c r="G1091" s="91" t="e">
        <v>#N/A</v>
      </c>
      <c r="H1091" s="91" t="s">
        <v>1830</v>
      </c>
      <c r="I1091" s="91" t="s">
        <v>1831</v>
      </c>
      <c r="J1091" s="80" t="s">
        <v>1832</v>
      </c>
      <c r="K1091" s="61"/>
      <c r="L1091" s="62">
        <v>2</v>
      </c>
      <c r="M1091" s="63">
        <v>1200</v>
      </c>
      <c r="N1091" s="64">
        <v>12</v>
      </c>
      <c r="O1091" s="62">
        <v>2</v>
      </c>
      <c r="P1091" s="65">
        <f t="shared" si="68"/>
        <v>0</v>
      </c>
      <c r="Q1091" s="66"/>
      <c r="R1091" s="66"/>
      <c r="S1091" s="66"/>
      <c r="T1091" s="66"/>
      <c r="U1091" s="66"/>
      <c r="V1091" s="66"/>
      <c r="W1091" s="66"/>
      <c r="X1091" s="66"/>
      <c r="Y1091" s="66"/>
      <c r="Z1091" s="66"/>
      <c r="AA1091" s="66"/>
      <c r="AB1091" s="66"/>
      <c r="AC1091" s="66"/>
      <c r="AD1091" s="66"/>
      <c r="AE1091" s="66"/>
      <c r="AF1091" s="66"/>
      <c r="AG1091" s="66"/>
      <c r="AH1091" s="66"/>
      <c r="AI1091" s="66"/>
      <c r="AJ1091" s="66"/>
      <c r="AK1091" s="66"/>
      <c r="AL1091" s="66"/>
      <c r="AM1091" s="66"/>
      <c r="AN1091" s="66"/>
      <c r="AO1091" s="66"/>
      <c r="AP1091" s="66"/>
      <c r="AQ1091" s="66"/>
      <c r="AR1091" s="66"/>
      <c r="AS1091" s="66"/>
      <c r="AT1091" s="66"/>
      <c r="AU1091" s="66"/>
      <c r="AV1091" s="66"/>
      <c r="AW1091" s="66"/>
      <c r="AX1091" s="66"/>
      <c r="AY1091" s="66"/>
      <c r="AZ1091" s="66"/>
      <c r="BA1091" s="66"/>
      <c r="BB1091" s="66"/>
      <c r="BC1091" s="66"/>
      <c r="BD1091" s="66"/>
      <c r="BE1091" s="67"/>
      <c r="BF1091" s="67"/>
      <c r="BG1091" s="68"/>
      <c r="BI1091" s="69">
        <v>0</v>
      </c>
      <c r="BJ1091" s="70">
        <v>0</v>
      </c>
      <c r="BK1091" s="71">
        <v>0</v>
      </c>
      <c r="BL1091" s="71">
        <v>0</v>
      </c>
      <c r="BM1091" s="71">
        <v>0</v>
      </c>
      <c r="BN1091" s="72">
        <v>0</v>
      </c>
      <c r="BO1091" s="151" t="e">
        <f t="shared" si="66"/>
        <v>#DIV/0!</v>
      </c>
      <c r="BP1091" s="151" t="e">
        <f t="shared" si="67"/>
        <v>#DIV/0!</v>
      </c>
      <c r="BQ1091" s="71">
        <v>0</v>
      </c>
      <c r="BR1091" s="71">
        <v>0</v>
      </c>
      <c r="BS1091" s="71">
        <v>0</v>
      </c>
      <c r="BT1091" s="72">
        <v>0</v>
      </c>
      <c r="BU1091" s="73"/>
      <c r="BV1091" s="73"/>
    </row>
    <row r="1092" ht="30" customHeight="1" spans="1:75">
      <c r="A1092" s="55">
        <v>0</v>
      </c>
      <c r="B1092" s="56">
        <v>0</v>
      </c>
      <c r="C1092" s="57">
        <v>0</v>
      </c>
      <c r="D1092" s="154"/>
      <c r="E1092" s="231"/>
      <c r="F1092" s="91" t="e">
        <f>VLOOKUP(E1092,[1]库存!$B$1:$C$65536,2,FALSE)</f>
        <v>#N/A</v>
      </c>
      <c r="G1092" s="91" t="e">
        <v>#N/A</v>
      </c>
      <c r="H1092" s="154"/>
      <c r="I1092" s="154"/>
      <c r="J1092" s="81"/>
      <c r="K1092" s="61"/>
      <c r="L1092" s="62">
        <v>0</v>
      </c>
      <c r="M1092" s="63">
        <v>0</v>
      </c>
      <c r="N1092" s="64">
        <v>0</v>
      </c>
      <c r="O1092" s="62">
        <v>0</v>
      </c>
      <c r="P1092" s="65">
        <f t="shared" si="68"/>
        <v>0</v>
      </c>
      <c r="Q1092" s="66"/>
      <c r="R1092" s="66"/>
      <c r="S1092" s="66"/>
      <c r="T1092" s="66"/>
      <c r="U1092" s="66"/>
      <c r="V1092" s="66"/>
      <c r="W1092" s="66"/>
      <c r="X1092" s="66"/>
      <c r="Y1092" s="66"/>
      <c r="Z1092" s="66"/>
      <c r="AA1092" s="66"/>
      <c r="AB1092" s="66"/>
      <c r="AC1092" s="66"/>
      <c r="AD1092" s="66"/>
      <c r="AE1092" s="66"/>
      <c r="AF1092" s="66"/>
      <c r="AG1092" s="66"/>
      <c r="AH1092" s="66"/>
      <c r="AI1092" s="66"/>
      <c r="AJ1092" s="66"/>
      <c r="AK1092" s="66"/>
      <c r="AL1092" s="66"/>
      <c r="AM1092" s="66"/>
      <c r="AN1092" s="66"/>
      <c r="AO1092" s="66"/>
      <c r="AP1092" s="66"/>
      <c r="AQ1092" s="66"/>
      <c r="AR1092" s="66"/>
      <c r="AS1092" s="66"/>
      <c r="AT1092" s="66"/>
      <c r="AU1092" s="66"/>
      <c r="AV1092" s="66"/>
      <c r="AW1092" s="66"/>
      <c r="AX1092" s="66"/>
      <c r="AY1092" s="66"/>
      <c r="AZ1092" s="66"/>
      <c r="BA1092" s="66"/>
      <c r="BB1092" s="66"/>
      <c r="BC1092" s="66"/>
      <c r="BD1092" s="66"/>
      <c r="BE1092" s="67"/>
      <c r="BF1092" s="67"/>
      <c r="BG1092" s="68"/>
      <c r="BI1092" s="69">
        <v>0</v>
      </c>
      <c r="BJ1092" s="70">
        <v>0</v>
      </c>
      <c r="BK1092" s="71">
        <v>0</v>
      </c>
      <c r="BL1092" s="71">
        <v>0</v>
      </c>
      <c r="BM1092" s="71">
        <v>0</v>
      </c>
      <c r="BN1092" s="72">
        <v>0</v>
      </c>
      <c r="BO1092" s="151" t="e">
        <f t="shared" ref="BO1092:BO1155" si="69">(BK1092+BL1092)/BJ1092</f>
        <v>#DIV/0!</v>
      </c>
      <c r="BP1092" s="151" t="e">
        <f t="shared" ref="BP1092:BP1155" si="70">BM1092/BJ1092</f>
        <v>#DIV/0!</v>
      </c>
      <c r="BQ1092" s="71">
        <v>0</v>
      </c>
      <c r="BR1092" s="71">
        <v>0</v>
      </c>
      <c r="BS1092" s="71">
        <v>0</v>
      </c>
      <c r="BT1092" s="72">
        <v>0</v>
      </c>
      <c r="BU1092" s="73"/>
      <c r="BV1092" s="73"/>
    </row>
    <row r="1093" ht="30" customHeight="1" spans="1:75">
      <c r="A1093" s="55" t="s">
        <v>165</v>
      </c>
      <c r="B1093" s="56" t="s">
        <v>1057</v>
      </c>
      <c r="C1093" s="57" t="s">
        <v>1058</v>
      </c>
      <c r="D1093" s="91" t="s">
        <v>1829</v>
      </c>
      <c r="E1093" s="91" t="s">
        <v>1833</v>
      </c>
      <c r="F1093" s="91" t="str">
        <f>VLOOKUP(E1093,[1]库存!$B$1:$C$65536,2,FALSE)</f>
        <v>CHERY M1E FSAB RH A状态</v>
      </c>
      <c r="G1093" s="91" t="s">
        <v>1834</v>
      </c>
      <c r="H1093" s="91" t="s">
        <v>1835</v>
      </c>
      <c r="I1093" s="91" t="s">
        <v>1831</v>
      </c>
      <c r="J1093" s="64"/>
      <c r="K1093" s="61"/>
      <c r="L1093" s="62">
        <v>2</v>
      </c>
      <c r="M1093" s="63">
        <v>1200</v>
      </c>
      <c r="N1093" s="64">
        <v>12</v>
      </c>
      <c r="O1093" s="62">
        <v>2</v>
      </c>
      <c r="P1093" s="65">
        <f t="shared" si="68"/>
        <v>0</v>
      </c>
      <c r="Q1093" s="66" t="s">
        <v>1836</v>
      </c>
      <c r="R1093" s="66"/>
      <c r="S1093" s="66">
        <v>0</v>
      </c>
      <c r="T1093" s="66"/>
      <c r="U1093" s="66">
        <v>0</v>
      </c>
      <c r="V1093" s="66"/>
      <c r="W1093" s="66"/>
      <c r="X1093" s="66"/>
      <c r="Y1093" s="66"/>
      <c r="Z1093" s="66"/>
      <c r="AA1093" s="66" t="s">
        <v>1837</v>
      </c>
      <c r="AB1093" s="66"/>
      <c r="AC1093" s="66"/>
      <c r="AD1093" s="66"/>
      <c r="AE1093" s="66"/>
      <c r="AF1093" s="66"/>
      <c r="AG1093" s="66"/>
      <c r="AH1093" s="66"/>
      <c r="AI1093" s="66"/>
      <c r="AJ1093" s="66"/>
      <c r="AK1093" s="66"/>
      <c r="AL1093" s="66"/>
      <c r="AM1093" s="66"/>
      <c r="AN1093" s="66"/>
      <c r="AO1093" s="66"/>
      <c r="AP1093" s="66"/>
      <c r="AQ1093" s="66"/>
      <c r="AR1093" s="66"/>
      <c r="AS1093" s="66"/>
      <c r="AT1093" s="66"/>
      <c r="AU1093" s="66"/>
      <c r="AV1093" s="66"/>
      <c r="AW1093" s="66"/>
      <c r="AX1093" s="66"/>
      <c r="AY1093" s="66"/>
      <c r="AZ1093" s="66"/>
      <c r="BA1093" s="66"/>
      <c r="BB1093" s="66"/>
      <c r="BC1093" s="66"/>
      <c r="BD1093" s="66"/>
      <c r="BE1093" s="67"/>
      <c r="BF1093" s="67"/>
      <c r="BG1093" s="68"/>
      <c r="BI1093" s="69">
        <v>0</v>
      </c>
      <c r="BJ1093" s="70">
        <v>0</v>
      </c>
      <c r="BK1093" s="71">
        <v>0</v>
      </c>
      <c r="BL1093" s="71">
        <v>0</v>
      </c>
      <c r="BM1093" s="71">
        <v>0</v>
      </c>
      <c r="BN1093" s="72">
        <v>0</v>
      </c>
      <c r="BO1093" s="151" t="e">
        <f t="shared" si="69"/>
        <v>#DIV/0!</v>
      </c>
      <c r="BP1093" s="151" t="e">
        <f t="shared" si="70"/>
        <v>#DIV/0!</v>
      </c>
      <c r="BQ1093" s="71">
        <v>0</v>
      </c>
      <c r="BR1093" s="71">
        <v>0</v>
      </c>
      <c r="BS1093" s="71">
        <v>0</v>
      </c>
      <c r="BT1093" s="72">
        <v>0</v>
      </c>
      <c r="BU1093" s="73"/>
      <c r="BV1093" s="73"/>
      <c r="BW1093" s="14" t="s">
        <v>1838</v>
      </c>
    </row>
    <row r="1094" ht="30" customHeight="1" spans="1:75">
      <c r="A1094" s="55">
        <v>0</v>
      </c>
      <c r="B1094" s="56">
        <v>0</v>
      </c>
      <c r="C1094" s="57">
        <v>0</v>
      </c>
      <c r="D1094" s="154"/>
      <c r="E1094" s="154"/>
      <c r="F1094" s="91" t="e">
        <f>VLOOKUP(E1094,[1]库存!$B$1:$C$65536,2,FALSE)</f>
        <v>#N/A</v>
      </c>
      <c r="G1094" s="91" t="e">
        <v>#N/A</v>
      </c>
      <c r="H1094" s="154"/>
      <c r="I1094" s="154"/>
      <c r="J1094" s="93"/>
      <c r="K1094" s="61"/>
      <c r="L1094" s="62">
        <v>0</v>
      </c>
      <c r="M1094" s="63">
        <v>0</v>
      </c>
      <c r="N1094" s="64">
        <v>0</v>
      </c>
      <c r="O1094" s="62">
        <v>0</v>
      </c>
      <c r="P1094" s="65">
        <f t="shared" ref="P1094:P1157" si="71">SUM(AG1094:AJ1094)</f>
        <v>0</v>
      </c>
      <c r="Q1094" s="66"/>
      <c r="R1094" s="66"/>
      <c r="S1094" s="66"/>
      <c r="T1094" s="66"/>
      <c r="U1094" s="66"/>
      <c r="V1094" s="66"/>
      <c r="W1094" s="66"/>
      <c r="X1094" s="66"/>
      <c r="Y1094" s="66"/>
      <c r="Z1094" s="66"/>
      <c r="AA1094" s="66">
        <v>1980</v>
      </c>
      <c r="AB1094" s="66"/>
      <c r="AC1094" s="66"/>
      <c r="AD1094" s="66"/>
      <c r="AE1094" s="66"/>
      <c r="AF1094" s="66"/>
      <c r="AG1094" s="66"/>
      <c r="AH1094" s="66"/>
      <c r="AI1094" s="66"/>
      <c r="AJ1094" s="66"/>
      <c r="AK1094" s="66"/>
      <c r="AL1094" s="66"/>
      <c r="AM1094" s="66"/>
      <c r="AN1094" s="66"/>
      <c r="AO1094" s="66"/>
      <c r="AP1094" s="66"/>
      <c r="AQ1094" s="66"/>
      <c r="AR1094" s="66"/>
      <c r="AS1094" s="66"/>
      <c r="AT1094" s="66"/>
      <c r="AU1094" s="66"/>
      <c r="AV1094" s="66"/>
      <c r="AW1094" s="66"/>
      <c r="AX1094" s="66"/>
      <c r="AY1094" s="66"/>
      <c r="AZ1094" s="66"/>
      <c r="BA1094" s="66"/>
      <c r="BB1094" s="66"/>
      <c r="BC1094" s="66"/>
      <c r="BD1094" s="66"/>
      <c r="BE1094" s="67"/>
      <c r="BF1094" s="67"/>
      <c r="BG1094" s="68"/>
      <c r="BI1094" s="69">
        <v>0</v>
      </c>
      <c r="BJ1094" s="70">
        <v>0</v>
      </c>
      <c r="BK1094" s="71">
        <v>0</v>
      </c>
      <c r="BL1094" s="71">
        <v>0</v>
      </c>
      <c r="BM1094" s="71">
        <v>0</v>
      </c>
      <c r="BN1094" s="72">
        <v>0</v>
      </c>
      <c r="BO1094" s="151" t="e">
        <f t="shared" si="69"/>
        <v>#DIV/0!</v>
      </c>
      <c r="BP1094" s="151" t="e">
        <f t="shared" si="70"/>
        <v>#DIV/0!</v>
      </c>
      <c r="BQ1094" s="71">
        <v>0</v>
      </c>
      <c r="BR1094" s="71">
        <v>0</v>
      </c>
      <c r="BS1094" s="71">
        <v>0</v>
      </c>
      <c r="BT1094" s="72">
        <v>0</v>
      </c>
      <c r="BU1094" s="73"/>
      <c r="BV1094" s="73"/>
    </row>
    <row r="1095" ht="30" customHeight="1" spans="1:75">
      <c r="A1095" s="55" t="s">
        <v>165</v>
      </c>
      <c r="B1095" s="56" t="s">
        <v>1057</v>
      </c>
      <c r="C1095" s="57" t="s">
        <v>1058</v>
      </c>
      <c r="D1095" s="52" t="s">
        <v>1829</v>
      </c>
      <c r="E1095" s="59" t="s">
        <v>1839</v>
      </c>
      <c r="F1095" s="59" t="str">
        <f>VLOOKUP(E1095,[1]库存!$B$1:$C$65536,2,FALSE)</f>
        <v>GEELY EF1E MR SAB LH</v>
      </c>
      <c r="G1095" s="59" t="s">
        <v>1840</v>
      </c>
      <c r="H1095" s="59" t="s">
        <v>1841</v>
      </c>
      <c r="I1095" s="59" t="s">
        <v>1842</v>
      </c>
      <c r="J1095" s="80" t="s">
        <v>65</v>
      </c>
      <c r="K1095" s="61"/>
      <c r="L1095" s="62">
        <v>2</v>
      </c>
      <c r="M1095" s="63">
        <v>1150</v>
      </c>
      <c r="N1095" s="64">
        <v>12</v>
      </c>
      <c r="O1095" s="62">
        <v>2</v>
      </c>
      <c r="P1095" s="65">
        <f t="shared" si="71"/>
        <v>0</v>
      </c>
      <c r="Q1095" s="66"/>
      <c r="R1095" s="66"/>
      <c r="S1095" s="66"/>
      <c r="T1095" s="66"/>
      <c r="U1095" s="66"/>
      <c r="V1095" s="66"/>
      <c r="W1095" s="66"/>
      <c r="X1095" s="66"/>
      <c r="Y1095" s="66"/>
      <c r="Z1095" s="66"/>
      <c r="AA1095" s="66"/>
      <c r="AB1095" s="66"/>
      <c r="AC1095" s="66"/>
      <c r="AD1095" s="66"/>
      <c r="AE1095" s="66"/>
      <c r="AF1095" s="66"/>
      <c r="AG1095" s="66"/>
      <c r="AH1095" s="66"/>
      <c r="AI1095" s="66"/>
      <c r="AJ1095" s="66"/>
      <c r="AK1095" s="66"/>
      <c r="AL1095" s="66"/>
      <c r="AM1095" s="66"/>
      <c r="AN1095" s="66"/>
      <c r="AO1095" s="66"/>
      <c r="AP1095" s="66"/>
      <c r="AQ1095" s="66"/>
      <c r="AR1095" s="66"/>
      <c r="AS1095" s="66"/>
      <c r="AT1095" s="66"/>
      <c r="AU1095" s="66"/>
      <c r="AV1095" s="66"/>
      <c r="AW1095" s="66"/>
      <c r="AX1095" s="66"/>
      <c r="AY1095" s="66"/>
      <c r="AZ1095" s="66"/>
      <c r="BA1095" s="66"/>
      <c r="BB1095" s="66"/>
      <c r="BC1095" s="66"/>
      <c r="BD1095" s="66"/>
      <c r="BE1095" s="67"/>
      <c r="BF1095" s="67"/>
      <c r="BG1095" s="68"/>
      <c r="BI1095" s="69">
        <v>0</v>
      </c>
      <c r="BJ1095" s="70">
        <v>0</v>
      </c>
      <c r="BK1095" s="71">
        <v>0</v>
      </c>
      <c r="BL1095" s="71">
        <v>0</v>
      </c>
      <c r="BM1095" s="71">
        <v>0</v>
      </c>
      <c r="BN1095" s="72">
        <v>0</v>
      </c>
      <c r="BO1095" s="151" t="e">
        <f t="shared" si="69"/>
        <v>#DIV/0!</v>
      </c>
      <c r="BP1095" s="151" t="e">
        <f t="shared" si="70"/>
        <v>#DIV/0!</v>
      </c>
      <c r="BQ1095" s="71">
        <v>0</v>
      </c>
      <c r="BR1095" s="71">
        <v>0</v>
      </c>
      <c r="BS1095" s="71">
        <v>0</v>
      </c>
      <c r="BT1095" s="72">
        <v>0</v>
      </c>
      <c r="BU1095" s="73"/>
      <c r="BV1095" s="73"/>
    </row>
    <row r="1096" ht="30" customHeight="1" spans="1:75">
      <c r="A1096" s="55">
        <v>0</v>
      </c>
      <c r="B1096" s="56">
        <v>0</v>
      </c>
      <c r="C1096" s="57">
        <v>0</v>
      </c>
      <c r="D1096" s="52"/>
      <c r="E1096" s="152"/>
      <c r="F1096" s="59" t="e">
        <f>VLOOKUP(E1096,[1]库存!$B$1:$C$65536,2,FALSE)</f>
        <v>#N/A</v>
      </c>
      <c r="G1096" s="59" t="e">
        <v>#N/A</v>
      </c>
      <c r="H1096" s="152"/>
      <c r="I1096" s="152"/>
      <c r="J1096" s="81"/>
      <c r="K1096" s="61"/>
      <c r="L1096" s="62">
        <v>0</v>
      </c>
      <c r="M1096" s="63">
        <v>0</v>
      </c>
      <c r="N1096" s="64">
        <v>0</v>
      </c>
      <c r="O1096" s="62">
        <v>0</v>
      </c>
      <c r="P1096" s="65">
        <f t="shared" si="71"/>
        <v>0</v>
      </c>
      <c r="Q1096" s="66"/>
      <c r="R1096" s="66"/>
      <c r="S1096" s="66"/>
      <c r="T1096" s="66"/>
      <c r="U1096" s="66"/>
      <c r="V1096" s="66"/>
      <c r="W1096" s="66"/>
      <c r="X1096" s="66"/>
      <c r="Y1096" s="66"/>
      <c r="Z1096" s="66"/>
      <c r="AA1096" s="66"/>
      <c r="AB1096" s="66"/>
      <c r="AC1096" s="66"/>
      <c r="AD1096" s="66"/>
      <c r="AE1096" s="66"/>
      <c r="AF1096" s="66"/>
      <c r="AG1096" s="66"/>
      <c r="AH1096" s="66"/>
      <c r="AI1096" s="66"/>
      <c r="AJ1096" s="66"/>
      <c r="AK1096" s="66"/>
      <c r="AL1096" s="66"/>
      <c r="AM1096" s="66"/>
      <c r="AN1096" s="66"/>
      <c r="AO1096" s="66"/>
      <c r="AP1096" s="66"/>
      <c r="AQ1096" s="66"/>
      <c r="AR1096" s="66"/>
      <c r="AS1096" s="66"/>
      <c r="AT1096" s="66"/>
      <c r="AU1096" s="66"/>
      <c r="AV1096" s="66"/>
      <c r="AW1096" s="66"/>
      <c r="AX1096" s="66"/>
      <c r="AY1096" s="66"/>
      <c r="AZ1096" s="66"/>
      <c r="BA1096" s="66"/>
      <c r="BB1096" s="66"/>
      <c r="BC1096" s="66"/>
      <c r="BD1096" s="66"/>
      <c r="BE1096" s="67"/>
      <c r="BF1096" s="67"/>
      <c r="BG1096" s="68"/>
      <c r="BI1096" s="69">
        <v>0</v>
      </c>
      <c r="BJ1096" s="70">
        <v>0</v>
      </c>
      <c r="BK1096" s="71">
        <v>0</v>
      </c>
      <c r="BL1096" s="71">
        <v>0</v>
      </c>
      <c r="BM1096" s="71">
        <v>0</v>
      </c>
      <c r="BN1096" s="72">
        <v>0</v>
      </c>
      <c r="BO1096" s="151" t="e">
        <f t="shared" si="69"/>
        <v>#DIV/0!</v>
      </c>
      <c r="BP1096" s="151" t="e">
        <f t="shared" si="70"/>
        <v>#DIV/0!</v>
      </c>
      <c r="BQ1096" s="71">
        <v>0</v>
      </c>
      <c r="BR1096" s="71">
        <v>0</v>
      </c>
      <c r="BS1096" s="71">
        <v>0</v>
      </c>
      <c r="BT1096" s="72">
        <v>0</v>
      </c>
      <c r="BU1096" s="73"/>
      <c r="BV1096" s="73"/>
    </row>
    <row r="1097" ht="30" customHeight="1" spans="1:75">
      <c r="A1097" s="55" t="s">
        <v>165</v>
      </c>
      <c r="B1097" s="56" t="s">
        <v>1057</v>
      </c>
      <c r="C1097" s="57" t="s">
        <v>1058</v>
      </c>
      <c r="D1097" s="59" t="s">
        <v>1829</v>
      </c>
      <c r="E1097" s="59" t="s">
        <v>1843</v>
      </c>
      <c r="F1097" s="59" t="str">
        <f>VLOOKUP(E1097,[1]库存!$B$1:$C$65536,2,FALSE)</f>
        <v>GEELY DC1E SAB LH A状态</v>
      </c>
      <c r="G1097" s="59" t="s">
        <v>1844</v>
      </c>
      <c r="H1097" s="59" t="s">
        <v>1845</v>
      </c>
      <c r="I1097" s="59" t="s">
        <v>242</v>
      </c>
      <c r="J1097" s="80" t="s">
        <v>65</v>
      </c>
      <c r="K1097" s="61"/>
      <c r="L1097" s="62">
        <v>2</v>
      </c>
      <c r="M1097" s="63">
        <v>1200</v>
      </c>
      <c r="N1097" s="64">
        <v>11</v>
      </c>
      <c r="O1097" s="62">
        <v>2</v>
      </c>
      <c r="P1097" s="65">
        <f t="shared" si="71"/>
        <v>0</v>
      </c>
      <c r="Q1097" s="66"/>
      <c r="R1097" s="66"/>
      <c r="S1097" s="66"/>
      <c r="T1097" s="66"/>
      <c r="U1097" s="66"/>
      <c r="V1097" s="66"/>
      <c r="W1097" s="66"/>
      <c r="X1097" s="66"/>
      <c r="Y1097" s="66"/>
      <c r="Z1097" s="66"/>
      <c r="AA1097" s="66"/>
      <c r="AB1097" s="66"/>
      <c r="AC1097" s="66">
        <v>800</v>
      </c>
      <c r="AD1097" s="66"/>
      <c r="AE1097" s="66"/>
      <c r="AF1097" s="66"/>
      <c r="AG1097" s="66"/>
      <c r="AH1097" s="66"/>
      <c r="AI1097" s="66"/>
      <c r="AJ1097" s="66"/>
      <c r="AK1097" s="66"/>
      <c r="AL1097" s="66"/>
      <c r="AM1097" s="66"/>
      <c r="AN1097" s="66"/>
      <c r="AO1097" s="66"/>
      <c r="AP1097" s="66"/>
      <c r="AQ1097" s="66"/>
      <c r="AR1097" s="66"/>
      <c r="AS1097" s="66"/>
      <c r="AT1097" s="66"/>
      <c r="AU1097" s="66"/>
      <c r="AV1097" s="66"/>
      <c r="AW1097" s="66"/>
      <c r="AX1097" s="66"/>
      <c r="AY1097" s="66"/>
      <c r="AZ1097" s="66"/>
      <c r="BA1097" s="66"/>
      <c r="BB1097" s="66"/>
      <c r="BC1097" s="66"/>
      <c r="BD1097" s="66"/>
      <c r="BE1097" s="67"/>
      <c r="BF1097" s="67"/>
      <c r="BG1097" s="68"/>
      <c r="BI1097" s="69">
        <v>0</v>
      </c>
      <c r="BJ1097" s="70">
        <v>0</v>
      </c>
      <c r="BK1097" s="71">
        <v>0</v>
      </c>
      <c r="BL1097" s="71">
        <v>0</v>
      </c>
      <c r="BM1097" s="71">
        <v>0</v>
      </c>
      <c r="BN1097" s="72">
        <v>0</v>
      </c>
      <c r="BO1097" s="151" t="e">
        <f t="shared" si="69"/>
        <v>#DIV/0!</v>
      </c>
      <c r="BP1097" s="151" t="e">
        <f t="shared" si="70"/>
        <v>#DIV/0!</v>
      </c>
      <c r="BQ1097" s="71">
        <v>0</v>
      </c>
      <c r="BR1097" s="71">
        <v>0</v>
      </c>
      <c r="BS1097" s="71">
        <v>0</v>
      </c>
      <c r="BT1097" s="72">
        <v>0</v>
      </c>
      <c r="BU1097" s="73"/>
      <c r="BV1097" s="73"/>
    </row>
    <row r="1098" ht="30" customHeight="1" spans="1:75">
      <c r="A1098" s="55">
        <v>0</v>
      </c>
      <c r="B1098" s="56">
        <v>0</v>
      </c>
      <c r="C1098" s="57">
        <v>0</v>
      </c>
      <c r="D1098" s="74"/>
      <c r="E1098" s="74"/>
      <c r="F1098" s="59" t="e">
        <f>VLOOKUP(E1098,[1]库存!$B$1:$C$65536,2,FALSE)</f>
        <v>#N/A</v>
      </c>
      <c r="G1098" s="59" t="e">
        <v>#N/A</v>
      </c>
      <c r="H1098" s="74"/>
      <c r="I1098" s="74"/>
      <c r="J1098" s="81"/>
      <c r="K1098" s="61"/>
      <c r="L1098" s="62">
        <v>0</v>
      </c>
      <c r="M1098" s="63">
        <v>0</v>
      </c>
      <c r="N1098" s="64">
        <v>0</v>
      </c>
      <c r="O1098" s="62">
        <v>0</v>
      </c>
      <c r="P1098" s="65">
        <f t="shared" si="71"/>
        <v>0</v>
      </c>
      <c r="Q1098" s="66"/>
      <c r="R1098" s="66"/>
      <c r="S1098" s="66"/>
      <c r="T1098" s="66"/>
      <c r="U1098" s="66"/>
      <c r="V1098" s="66"/>
      <c r="W1098" s="66"/>
      <c r="X1098" s="66"/>
      <c r="Y1098" s="66"/>
      <c r="Z1098" s="66"/>
      <c r="AA1098" s="66"/>
      <c r="AB1098" s="66"/>
      <c r="AC1098" s="66" t="s">
        <v>1846</v>
      </c>
      <c r="AD1098" s="66"/>
      <c r="AE1098" s="66"/>
      <c r="AF1098" s="66"/>
      <c r="AG1098" s="66"/>
      <c r="AH1098" s="66"/>
      <c r="AI1098" s="66"/>
      <c r="AJ1098" s="66"/>
      <c r="AK1098" s="66"/>
      <c r="AL1098" s="66"/>
      <c r="AM1098" s="66"/>
      <c r="AN1098" s="66"/>
      <c r="AO1098" s="66"/>
      <c r="AP1098" s="66"/>
      <c r="AQ1098" s="66"/>
      <c r="AR1098" s="66"/>
      <c r="AS1098" s="66"/>
      <c r="AT1098" s="66"/>
      <c r="AU1098" s="66"/>
      <c r="AV1098" s="66"/>
      <c r="AW1098" s="66"/>
      <c r="AX1098" s="66"/>
      <c r="AY1098" s="66"/>
      <c r="AZ1098" s="66"/>
      <c r="BA1098" s="66"/>
      <c r="BB1098" s="66"/>
      <c r="BC1098" s="66"/>
      <c r="BD1098" s="66"/>
      <c r="BE1098" s="67"/>
      <c r="BF1098" s="67"/>
      <c r="BG1098" s="68"/>
      <c r="BI1098" s="69">
        <v>0</v>
      </c>
      <c r="BJ1098" s="70">
        <v>0</v>
      </c>
      <c r="BK1098" s="71">
        <v>0</v>
      </c>
      <c r="BL1098" s="71">
        <v>0</v>
      </c>
      <c r="BM1098" s="71">
        <v>0</v>
      </c>
      <c r="BN1098" s="72">
        <v>0</v>
      </c>
      <c r="BO1098" s="151" t="e">
        <f t="shared" si="69"/>
        <v>#DIV/0!</v>
      </c>
      <c r="BP1098" s="151" t="e">
        <f t="shared" si="70"/>
        <v>#DIV/0!</v>
      </c>
      <c r="BQ1098" s="71">
        <v>0</v>
      </c>
      <c r="BR1098" s="71">
        <v>0</v>
      </c>
      <c r="BS1098" s="71">
        <v>0</v>
      </c>
      <c r="BT1098" s="72">
        <v>0</v>
      </c>
      <c r="BU1098" s="73"/>
      <c r="BV1098" s="73"/>
    </row>
    <row r="1099" ht="30" customHeight="1" spans="1:75">
      <c r="A1099" s="55" t="s">
        <v>165</v>
      </c>
      <c r="B1099" s="56" t="s">
        <v>1057</v>
      </c>
      <c r="C1099" s="57" t="s">
        <v>1058</v>
      </c>
      <c r="D1099" s="59" t="s">
        <v>1829</v>
      </c>
      <c r="E1099" s="59" t="s">
        <v>1847</v>
      </c>
      <c r="F1099" s="59" t="str">
        <f>VLOOKUP(E1099,[1]库存!$B$1:$C$65536,2,FALSE)</f>
        <v>GEELY DC1E SAB RH A状态</v>
      </c>
      <c r="G1099" s="59" t="s">
        <v>1848</v>
      </c>
      <c r="H1099" s="59" t="s">
        <v>1849</v>
      </c>
      <c r="I1099" s="59" t="s">
        <v>242</v>
      </c>
      <c r="J1099" s="80" t="s">
        <v>65</v>
      </c>
      <c r="K1099" s="61"/>
      <c r="L1099" s="62">
        <v>2</v>
      </c>
      <c r="M1099" s="63">
        <v>1200</v>
      </c>
      <c r="N1099" s="64">
        <v>11</v>
      </c>
      <c r="O1099" s="62">
        <v>2</v>
      </c>
      <c r="P1099" s="65">
        <f t="shared" si="71"/>
        <v>0</v>
      </c>
      <c r="Q1099" s="66"/>
      <c r="R1099" s="66"/>
      <c r="S1099" s="66"/>
      <c r="T1099" s="66"/>
      <c r="U1099" s="66"/>
      <c r="V1099" s="66"/>
      <c r="W1099" s="66"/>
      <c r="X1099" s="66"/>
      <c r="Y1099" s="66"/>
      <c r="Z1099" s="66"/>
      <c r="AA1099" s="66"/>
      <c r="AB1099" s="66"/>
      <c r="AC1099" s="66">
        <v>800</v>
      </c>
      <c r="AD1099" s="66"/>
      <c r="AE1099" s="66"/>
      <c r="AF1099" s="66"/>
      <c r="AG1099" s="66"/>
      <c r="AH1099" s="66"/>
      <c r="AI1099" s="66"/>
      <c r="AJ1099" s="66"/>
      <c r="AK1099" s="66"/>
      <c r="AL1099" s="66"/>
      <c r="AM1099" s="66"/>
      <c r="AN1099" s="66"/>
      <c r="AO1099" s="66"/>
      <c r="AP1099" s="66"/>
      <c r="AQ1099" s="66"/>
      <c r="AR1099" s="66"/>
      <c r="AS1099" s="66"/>
      <c r="AT1099" s="66"/>
      <c r="AU1099" s="66"/>
      <c r="AV1099" s="66"/>
      <c r="AW1099" s="66"/>
      <c r="AX1099" s="66"/>
      <c r="AY1099" s="66"/>
      <c r="AZ1099" s="66"/>
      <c r="BA1099" s="66"/>
      <c r="BB1099" s="66"/>
      <c r="BC1099" s="66"/>
      <c r="BD1099" s="66"/>
      <c r="BE1099" s="67"/>
      <c r="BF1099" s="67"/>
      <c r="BG1099" s="68"/>
      <c r="BI1099" s="69">
        <v>0</v>
      </c>
      <c r="BJ1099" s="70">
        <v>0</v>
      </c>
      <c r="BK1099" s="71">
        <v>0</v>
      </c>
      <c r="BL1099" s="71">
        <v>0</v>
      </c>
      <c r="BM1099" s="71">
        <v>0</v>
      </c>
      <c r="BN1099" s="72">
        <v>0</v>
      </c>
      <c r="BO1099" s="151" t="e">
        <f t="shared" si="69"/>
        <v>#DIV/0!</v>
      </c>
      <c r="BP1099" s="151" t="e">
        <f t="shared" si="70"/>
        <v>#DIV/0!</v>
      </c>
      <c r="BQ1099" s="71">
        <v>0</v>
      </c>
      <c r="BR1099" s="71">
        <v>0</v>
      </c>
      <c r="BS1099" s="71">
        <v>0</v>
      </c>
      <c r="BT1099" s="72">
        <v>0</v>
      </c>
      <c r="BU1099" s="73"/>
      <c r="BV1099" s="73"/>
    </row>
    <row r="1100" ht="30" customHeight="1" spans="1:75">
      <c r="A1100" s="55">
        <v>0</v>
      </c>
      <c r="B1100" s="56">
        <v>0</v>
      </c>
      <c r="C1100" s="57">
        <v>0</v>
      </c>
      <c r="D1100" s="74"/>
      <c r="E1100" s="74"/>
      <c r="F1100" s="59" t="e">
        <f>VLOOKUP(E1100,[1]库存!$B$1:$C$65536,2,FALSE)</f>
        <v>#N/A</v>
      </c>
      <c r="G1100" s="59" t="e">
        <v>#N/A</v>
      </c>
      <c r="H1100" s="74"/>
      <c r="I1100" s="74"/>
      <c r="J1100" s="81"/>
      <c r="K1100" s="61"/>
      <c r="L1100" s="62">
        <v>0</v>
      </c>
      <c r="M1100" s="63">
        <v>0</v>
      </c>
      <c r="N1100" s="64">
        <v>0</v>
      </c>
      <c r="O1100" s="62">
        <v>0</v>
      </c>
      <c r="P1100" s="65">
        <f t="shared" si="71"/>
        <v>0</v>
      </c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  <c r="AA1100" s="66"/>
      <c r="AB1100" s="66"/>
      <c r="AC1100" s="66" t="s">
        <v>1850</v>
      </c>
      <c r="AD1100" s="66"/>
      <c r="AE1100" s="66"/>
      <c r="AF1100" s="66"/>
      <c r="AG1100" s="66"/>
      <c r="AH1100" s="66"/>
      <c r="AI1100" s="66"/>
      <c r="AJ1100" s="66"/>
      <c r="AK1100" s="66"/>
      <c r="AL1100" s="66"/>
      <c r="AM1100" s="66"/>
      <c r="AN1100" s="66"/>
      <c r="AO1100" s="66"/>
      <c r="AP1100" s="66"/>
      <c r="AQ1100" s="66"/>
      <c r="AR1100" s="66"/>
      <c r="AS1100" s="66"/>
      <c r="AT1100" s="66"/>
      <c r="AU1100" s="66"/>
      <c r="AV1100" s="66"/>
      <c r="AW1100" s="66"/>
      <c r="AX1100" s="66"/>
      <c r="AY1100" s="66"/>
      <c r="AZ1100" s="66"/>
      <c r="BA1100" s="66"/>
      <c r="BB1100" s="66"/>
      <c r="BC1100" s="66"/>
      <c r="BD1100" s="66"/>
      <c r="BE1100" s="67"/>
      <c r="BF1100" s="67"/>
      <c r="BG1100" s="68"/>
      <c r="BI1100" s="69">
        <v>0</v>
      </c>
      <c r="BJ1100" s="70">
        <v>0</v>
      </c>
      <c r="BK1100" s="71">
        <v>0</v>
      </c>
      <c r="BL1100" s="71">
        <v>0</v>
      </c>
      <c r="BM1100" s="71">
        <v>0</v>
      </c>
      <c r="BN1100" s="72">
        <v>0</v>
      </c>
      <c r="BO1100" s="151" t="e">
        <f t="shared" si="69"/>
        <v>#DIV/0!</v>
      </c>
      <c r="BP1100" s="151" t="e">
        <f t="shared" si="70"/>
        <v>#DIV/0!</v>
      </c>
      <c r="BQ1100" s="71">
        <v>0</v>
      </c>
      <c r="BR1100" s="71">
        <v>0</v>
      </c>
      <c r="BS1100" s="71">
        <v>0</v>
      </c>
      <c r="BT1100" s="72">
        <v>0</v>
      </c>
      <c r="BU1100" s="73"/>
      <c r="BV1100" s="73"/>
    </row>
    <row r="1101" ht="30" customHeight="1" spans="1:75">
      <c r="A1101" s="55">
        <v>0</v>
      </c>
      <c r="B1101" s="56" t="s">
        <v>1057</v>
      </c>
      <c r="C1101" s="57" t="s">
        <v>1058</v>
      </c>
      <c r="D1101" s="59" t="s">
        <v>1829</v>
      </c>
      <c r="E1101" s="59"/>
      <c r="F1101" s="59" t="e">
        <f>VLOOKUP(E1101,[1]库存!$B$1:$C$65536,2,FALSE)</f>
        <v>#N/A</v>
      </c>
      <c r="G1101" s="59" t="e">
        <v>#N/A</v>
      </c>
      <c r="H1101" s="59" t="s">
        <v>1851</v>
      </c>
      <c r="I1101" s="59" t="s">
        <v>1852</v>
      </c>
      <c r="J1101" s="63"/>
      <c r="K1101" s="61"/>
      <c r="L1101" s="62">
        <v>2</v>
      </c>
      <c r="M1101" s="63">
        <v>1200</v>
      </c>
      <c r="N1101" s="64">
        <v>11</v>
      </c>
      <c r="O1101" s="62">
        <v>2</v>
      </c>
      <c r="P1101" s="65">
        <f t="shared" si="71"/>
        <v>0</v>
      </c>
      <c r="Q1101" s="66"/>
      <c r="R1101" s="66"/>
      <c r="S1101" s="66"/>
      <c r="T1101" s="66"/>
      <c r="U1101" s="66"/>
      <c r="V1101" s="66"/>
      <c r="W1101" s="66"/>
      <c r="X1101" s="66"/>
      <c r="Y1101" s="66"/>
      <c r="Z1101" s="66"/>
      <c r="AA1101" s="66"/>
      <c r="AB1101" s="66"/>
      <c r="AC1101" s="66"/>
      <c r="AD1101" s="66"/>
      <c r="AE1101" s="66"/>
      <c r="AF1101" s="66"/>
      <c r="AG1101" s="66"/>
      <c r="AH1101" s="66"/>
      <c r="AI1101" s="66"/>
      <c r="AJ1101" s="66"/>
      <c r="AK1101" s="66"/>
      <c r="AL1101" s="66"/>
      <c r="AM1101" s="66"/>
      <c r="AN1101" s="66"/>
      <c r="AO1101" s="66"/>
      <c r="AP1101" s="66"/>
      <c r="AQ1101" s="66"/>
      <c r="AR1101" s="66"/>
      <c r="AS1101" s="66"/>
      <c r="AT1101" s="66"/>
      <c r="AU1101" s="66"/>
      <c r="AV1101" s="66"/>
      <c r="AW1101" s="66"/>
      <c r="AX1101" s="66"/>
      <c r="AY1101" s="66"/>
      <c r="AZ1101" s="66"/>
      <c r="BA1101" s="66"/>
      <c r="BB1101" s="66"/>
      <c r="BC1101" s="66"/>
      <c r="BD1101" s="66"/>
      <c r="BE1101" s="67"/>
      <c r="BF1101" s="67"/>
      <c r="BG1101" s="68"/>
      <c r="BI1101" s="69">
        <v>0</v>
      </c>
      <c r="BJ1101" s="70">
        <v>0</v>
      </c>
      <c r="BK1101" s="71">
        <v>0</v>
      </c>
      <c r="BL1101" s="71">
        <v>0</v>
      </c>
      <c r="BM1101" s="71">
        <v>0</v>
      </c>
      <c r="BN1101" s="72">
        <v>0</v>
      </c>
      <c r="BO1101" s="151" t="e">
        <f t="shared" si="69"/>
        <v>#DIV/0!</v>
      </c>
      <c r="BP1101" s="151" t="e">
        <f t="shared" si="70"/>
        <v>#DIV/0!</v>
      </c>
      <c r="BQ1101" s="71">
        <v>0</v>
      </c>
      <c r="BR1101" s="71">
        <v>0</v>
      </c>
      <c r="BS1101" s="71">
        <v>0</v>
      </c>
      <c r="BT1101" s="72">
        <v>0</v>
      </c>
      <c r="BU1101" s="73"/>
      <c r="BV1101" s="73"/>
    </row>
    <row r="1102" ht="30" customHeight="1" spans="1:75">
      <c r="A1102" s="55">
        <v>0</v>
      </c>
      <c r="B1102" s="56">
        <v>0</v>
      </c>
      <c r="C1102" s="57">
        <v>0</v>
      </c>
      <c r="D1102" s="74"/>
      <c r="E1102" s="74"/>
      <c r="F1102" s="59" t="e">
        <f>VLOOKUP(E1102,[1]库存!$B$1:$C$65536,2,FALSE)</f>
        <v>#N/A</v>
      </c>
      <c r="G1102" s="59" t="e">
        <v>#N/A</v>
      </c>
      <c r="H1102" s="74"/>
      <c r="I1102" s="74"/>
      <c r="J1102" s="87"/>
      <c r="K1102" s="61"/>
      <c r="L1102" s="62">
        <v>0</v>
      </c>
      <c r="M1102" s="63">
        <v>0</v>
      </c>
      <c r="N1102" s="64">
        <v>0</v>
      </c>
      <c r="O1102" s="62">
        <v>0</v>
      </c>
      <c r="P1102" s="65">
        <f t="shared" si="71"/>
        <v>0</v>
      </c>
      <c r="Q1102" s="66"/>
      <c r="R1102" s="66"/>
      <c r="S1102" s="66"/>
      <c r="T1102" s="66"/>
      <c r="U1102" s="66"/>
      <c r="V1102" s="66"/>
      <c r="W1102" s="66"/>
      <c r="X1102" s="66"/>
      <c r="Y1102" s="66"/>
      <c r="Z1102" s="66"/>
      <c r="AA1102" s="66"/>
      <c r="AB1102" s="66"/>
      <c r="AC1102" s="66"/>
      <c r="AD1102" s="66"/>
      <c r="AE1102" s="66"/>
      <c r="AF1102" s="66"/>
      <c r="AG1102" s="66"/>
      <c r="AH1102" s="66"/>
      <c r="AI1102" s="66"/>
      <c r="AJ1102" s="66"/>
      <c r="AK1102" s="66"/>
      <c r="AL1102" s="66"/>
      <c r="AM1102" s="66"/>
      <c r="AN1102" s="66"/>
      <c r="AO1102" s="66"/>
      <c r="AP1102" s="66"/>
      <c r="AQ1102" s="66"/>
      <c r="AR1102" s="66"/>
      <c r="AS1102" s="66"/>
      <c r="AT1102" s="66"/>
      <c r="AU1102" s="66"/>
      <c r="AV1102" s="66"/>
      <c r="AW1102" s="66"/>
      <c r="AX1102" s="66"/>
      <c r="AY1102" s="66"/>
      <c r="AZ1102" s="66"/>
      <c r="BA1102" s="66"/>
      <c r="BB1102" s="66"/>
      <c r="BC1102" s="66"/>
      <c r="BD1102" s="66"/>
      <c r="BE1102" s="67"/>
      <c r="BF1102" s="67"/>
      <c r="BG1102" s="68"/>
      <c r="BI1102" s="69">
        <v>0</v>
      </c>
      <c r="BJ1102" s="70">
        <v>0</v>
      </c>
      <c r="BK1102" s="71">
        <v>0</v>
      </c>
      <c r="BL1102" s="71">
        <v>0</v>
      </c>
      <c r="BM1102" s="71">
        <v>0</v>
      </c>
      <c r="BN1102" s="72">
        <v>0</v>
      </c>
      <c r="BO1102" s="151" t="e">
        <f t="shared" si="69"/>
        <v>#DIV/0!</v>
      </c>
      <c r="BP1102" s="151" t="e">
        <f t="shared" si="70"/>
        <v>#DIV/0!</v>
      </c>
      <c r="BQ1102" s="71">
        <v>0</v>
      </c>
      <c r="BR1102" s="71">
        <v>0</v>
      </c>
      <c r="BS1102" s="71">
        <v>0</v>
      </c>
      <c r="BT1102" s="72">
        <v>0</v>
      </c>
      <c r="BU1102" s="73"/>
      <c r="BV1102" s="73"/>
    </row>
    <row r="1103" ht="30" customHeight="1" spans="1:75">
      <c r="A1103" s="55">
        <v>0</v>
      </c>
      <c r="B1103" s="56" t="s">
        <v>1057</v>
      </c>
      <c r="C1103" s="57" t="s">
        <v>1058</v>
      </c>
      <c r="D1103" s="59" t="s">
        <v>1829</v>
      </c>
      <c r="E1103" s="59"/>
      <c r="F1103" s="59" t="e">
        <f>VLOOKUP(E1103,[1]库存!$B$1:$C$65536,2,FALSE)</f>
        <v>#N/A</v>
      </c>
      <c r="G1103" s="59" t="e">
        <v>#N/A</v>
      </c>
      <c r="H1103" s="59" t="s">
        <v>1853</v>
      </c>
      <c r="I1103" s="59" t="s">
        <v>1854</v>
      </c>
      <c r="J1103" s="63"/>
      <c r="K1103" s="61"/>
      <c r="L1103" s="62">
        <v>2</v>
      </c>
      <c r="M1103" s="63">
        <v>1200</v>
      </c>
      <c r="N1103" s="64">
        <v>11</v>
      </c>
      <c r="O1103" s="62">
        <v>2</v>
      </c>
      <c r="P1103" s="65">
        <f t="shared" si="71"/>
        <v>0</v>
      </c>
      <c r="Q1103" s="66"/>
      <c r="R1103" s="66"/>
      <c r="S1103" s="66"/>
      <c r="T1103" s="66"/>
      <c r="U1103" s="66"/>
      <c r="V1103" s="66"/>
      <c r="W1103" s="66"/>
      <c r="X1103" s="66"/>
      <c r="Y1103" s="66"/>
      <c r="Z1103" s="66"/>
      <c r="AA1103" s="66"/>
      <c r="AB1103" s="66"/>
      <c r="AC1103" s="66"/>
      <c r="AD1103" s="66"/>
      <c r="AE1103" s="66"/>
      <c r="AF1103" s="66"/>
      <c r="AG1103" s="66"/>
      <c r="AH1103" s="66"/>
      <c r="AI1103" s="66"/>
      <c r="AJ1103" s="66"/>
      <c r="AK1103" s="66"/>
      <c r="AL1103" s="66"/>
      <c r="AM1103" s="66"/>
      <c r="AN1103" s="66"/>
      <c r="AO1103" s="66"/>
      <c r="AP1103" s="66"/>
      <c r="AQ1103" s="66"/>
      <c r="AR1103" s="66"/>
      <c r="AS1103" s="66"/>
      <c r="AT1103" s="66"/>
      <c r="AU1103" s="66"/>
      <c r="AV1103" s="66"/>
      <c r="AW1103" s="66"/>
      <c r="AX1103" s="66"/>
      <c r="AY1103" s="66"/>
      <c r="AZ1103" s="66"/>
      <c r="BA1103" s="66"/>
      <c r="BB1103" s="66"/>
      <c r="BC1103" s="66"/>
      <c r="BD1103" s="66"/>
      <c r="BE1103" s="67"/>
      <c r="BF1103" s="67"/>
      <c r="BG1103" s="68"/>
      <c r="BI1103" s="69">
        <v>0</v>
      </c>
      <c r="BJ1103" s="70">
        <v>0</v>
      </c>
      <c r="BK1103" s="71">
        <v>0</v>
      </c>
      <c r="BL1103" s="71">
        <v>0</v>
      </c>
      <c r="BM1103" s="71">
        <v>0</v>
      </c>
      <c r="BN1103" s="72">
        <v>0</v>
      </c>
      <c r="BO1103" s="151" t="e">
        <f t="shared" si="69"/>
        <v>#DIV/0!</v>
      </c>
      <c r="BP1103" s="151" t="e">
        <f t="shared" si="70"/>
        <v>#DIV/0!</v>
      </c>
      <c r="BQ1103" s="71">
        <v>0</v>
      </c>
      <c r="BR1103" s="71">
        <v>0</v>
      </c>
      <c r="BS1103" s="71">
        <v>0</v>
      </c>
      <c r="BT1103" s="72">
        <v>0</v>
      </c>
      <c r="BU1103" s="73"/>
      <c r="BV1103" s="73"/>
    </row>
    <row r="1104" ht="30" customHeight="1" spans="1:75">
      <c r="A1104" s="55">
        <v>0</v>
      </c>
      <c r="B1104" s="56">
        <v>0</v>
      </c>
      <c r="C1104" s="57">
        <v>0</v>
      </c>
      <c r="D1104" s="74"/>
      <c r="E1104" s="74"/>
      <c r="F1104" s="59" t="e">
        <f>VLOOKUP(E1104,[1]库存!$B$1:$C$65536,2,FALSE)</f>
        <v>#N/A</v>
      </c>
      <c r="G1104" s="59" t="e">
        <v>#N/A</v>
      </c>
      <c r="H1104" s="74"/>
      <c r="I1104" s="74"/>
      <c r="J1104" s="87"/>
      <c r="K1104" s="61"/>
      <c r="L1104" s="62">
        <v>0</v>
      </c>
      <c r="M1104" s="63">
        <v>0</v>
      </c>
      <c r="N1104" s="64">
        <v>0</v>
      </c>
      <c r="O1104" s="62">
        <v>0</v>
      </c>
      <c r="P1104" s="65">
        <f t="shared" si="71"/>
        <v>0</v>
      </c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66"/>
      <c r="AI1104" s="66"/>
      <c r="AJ1104" s="66"/>
      <c r="AK1104" s="66"/>
      <c r="AL1104" s="66"/>
      <c r="AM1104" s="66"/>
      <c r="AN1104" s="66"/>
      <c r="AO1104" s="66"/>
      <c r="AP1104" s="66"/>
      <c r="AQ1104" s="66"/>
      <c r="AR1104" s="66"/>
      <c r="AS1104" s="66"/>
      <c r="AT1104" s="66"/>
      <c r="AU1104" s="66"/>
      <c r="AV1104" s="66"/>
      <c r="AW1104" s="66"/>
      <c r="AX1104" s="66"/>
      <c r="AY1104" s="66"/>
      <c r="AZ1104" s="66"/>
      <c r="BA1104" s="66"/>
      <c r="BB1104" s="66"/>
      <c r="BC1104" s="66"/>
      <c r="BD1104" s="66"/>
      <c r="BE1104" s="67"/>
      <c r="BF1104" s="67"/>
      <c r="BG1104" s="68"/>
      <c r="BI1104" s="69">
        <v>0</v>
      </c>
      <c r="BJ1104" s="70">
        <v>0</v>
      </c>
      <c r="BK1104" s="71">
        <v>0</v>
      </c>
      <c r="BL1104" s="71">
        <v>0</v>
      </c>
      <c r="BM1104" s="71">
        <v>0</v>
      </c>
      <c r="BN1104" s="72">
        <v>0</v>
      </c>
      <c r="BO1104" s="151" t="e">
        <f t="shared" si="69"/>
        <v>#DIV/0!</v>
      </c>
      <c r="BP1104" s="151" t="e">
        <f t="shared" si="70"/>
        <v>#DIV/0!</v>
      </c>
      <c r="BQ1104" s="71">
        <v>0</v>
      </c>
      <c r="BR1104" s="71">
        <v>0</v>
      </c>
      <c r="BS1104" s="71">
        <v>0</v>
      </c>
      <c r="BT1104" s="72">
        <v>0</v>
      </c>
      <c r="BU1104" s="73"/>
      <c r="BV1104" s="73"/>
    </row>
    <row r="1105" ht="30" customHeight="1" spans="1:75 16331:16349">
      <c r="A1105" s="55" t="s">
        <v>165</v>
      </c>
      <c r="B1105" s="56" t="s">
        <v>1057</v>
      </c>
      <c r="C1105" s="57" t="s">
        <v>1058</v>
      </c>
      <c r="D1105" s="59" t="s">
        <v>1829</v>
      </c>
      <c r="E1105" s="59" t="s">
        <v>1855</v>
      </c>
      <c r="F1105" s="59" t="str">
        <f>VLOOKUP(E1105,[1]库存!$B$1:$C$65536,2,FALSE)</f>
        <v>GEELY EX11 SAB LH</v>
      </c>
      <c r="G1105" s="59" t="s">
        <v>1856</v>
      </c>
      <c r="H1105" s="59" t="s">
        <v>1857</v>
      </c>
      <c r="I1105" s="59" t="s">
        <v>242</v>
      </c>
      <c r="J1105" s="63"/>
      <c r="K1105" s="61"/>
      <c r="L1105" s="62">
        <v>2</v>
      </c>
      <c r="M1105" s="63">
        <v>1200</v>
      </c>
      <c r="N1105" s="64">
        <v>10</v>
      </c>
      <c r="O1105" s="62">
        <v>2</v>
      </c>
      <c r="P1105" s="65">
        <f t="shared" si="71"/>
        <v>0</v>
      </c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66"/>
      <c r="AI1105" s="66"/>
      <c r="AJ1105" s="66"/>
      <c r="AK1105" s="66"/>
      <c r="AL1105" s="66"/>
      <c r="AM1105" s="66"/>
      <c r="AN1105" s="66"/>
      <c r="AO1105" s="66"/>
      <c r="AP1105" s="66"/>
      <c r="AQ1105" s="66"/>
      <c r="AR1105" s="66"/>
      <c r="AS1105" s="66"/>
      <c r="AT1105" s="66"/>
      <c r="AU1105" s="66"/>
      <c r="AV1105" s="66"/>
      <c r="AW1105" s="66"/>
      <c r="AX1105" s="66"/>
      <c r="AY1105" s="66"/>
      <c r="AZ1105" s="66"/>
      <c r="BA1105" s="66"/>
      <c r="BB1105" s="66"/>
      <c r="BC1105" s="66"/>
      <c r="BD1105" s="66"/>
      <c r="BE1105" s="67"/>
      <c r="BF1105" s="67"/>
      <c r="BG1105" s="68"/>
      <c r="BI1105" s="69">
        <v>0</v>
      </c>
      <c r="BJ1105" s="70">
        <v>0</v>
      </c>
      <c r="BK1105" s="71">
        <v>0</v>
      </c>
      <c r="BL1105" s="71">
        <v>0</v>
      </c>
      <c r="BM1105" s="71">
        <v>0</v>
      </c>
      <c r="BN1105" s="72">
        <v>0</v>
      </c>
      <c r="BO1105" s="151" t="e">
        <f t="shared" si="69"/>
        <v>#DIV/0!</v>
      </c>
      <c r="BP1105" s="151" t="e">
        <f t="shared" si="70"/>
        <v>#DIV/0!</v>
      </c>
      <c r="BQ1105" s="71">
        <v>0</v>
      </c>
      <c r="BR1105" s="71">
        <v>0</v>
      </c>
      <c r="BS1105" s="71">
        <v>0</v>
      </c>
      <c r="BT1105" s="72">
        <v>0</v>
      </c>
      <c r="BU1105" s="73"/>
      <c r="BV1105" s="73"/>
    </row>
    <row r="1106" ht="30" customHeight="1" spans="1:75 16331:16349">
      <c r="A1106" s="55">
        <v>0</v>
      </c>
      <c r="B1106" s="56">
        <v>0</v>
      </c>
      <c r="C1106" s="57">
        <v>0</v>
      </c>
      <c r="D1106" s="74"/>
      <c r="E1106" s="74"/>
      <c r="F1106" s="59" t="e">
        <f>VLOOKUP(E1106,[1]库存!$B$1:$C$65536,2,FALSE)</f>
        <v>#N/A</v>
      </c>
      <c r="G1106" s="59" t="e">
        <v>#N/A</v>
      </c>
      <c r="H1106" s="74"/>
      <c r="I1106" s="74"/>
      <c r="J1106" s="87"/>
      <c r="K1106" s="61"/>
      <c r="L1106" s="62">
        <v>0</v>
      </c>
      <c r="M1106" s="63">
        <v>0</v>
      </c>
      <c r="N1106" s="64">
        <v>0</v>
      </c>
      <c r="O1106" s="62">
        <v>0</v>
      </c>
      <c r="P1106" s="65">
        <f t="shared" si="71"/>
        <v>0</v>
      </c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66"/>
      <c r="AI1106" s="66"/>
      <c r="AJ1106" s="66"/>
      <c r="AK1106" s="66"/>
      <c r="AL1106" s="66"/>
      <c r="AM1106" s="66"/>
      <c r="AN1106" s="66"/>
      <c r="AO1106" s="66"/>
      <c r="AP1106" s="66"/>
      <c r="AQ1106" s="66"/>
      <c r="AR1106" s="66"/>
      <c r="AS1106" s="66"/>
      <c r="AT1106" s="66"/>
      <c r="AU1106" s="66"/>
      <c r="AV1106" s="66"/>
      <c r="AW1106" s="66"/>
      <c r="AX1106" s="66"/>
      <c r="AY1106" s="66"/>
      <c r="AZ1106" s="66"/>
      <c r="BA1106" s="66"/>
      <c r="BB1106" s="66"/>
      <c r="BC1106" s="66"/>
      <c r="BD1106" s="66"/>
      <c r="BE1106" s="67"/>
      <c r="BF1106" s="67"/>
      <c r="BG1106" s="68"/>
      <c r="BI1106" s="69">
        <v>0</v>
      </c>
      <c r="BJ1106" s="70">
        <v>0</v>
      </c>
      <c r="BK1106" s="71">
        <v>0</v>
      </c>
      <c r="BL1106" s="71">
        <v>0</v>
      </c>
      <c r="BM1106" s="71">
        <v>0</v>
      </c>
      <c r="BN1106" s="72">
        <v>0</v>
      </c>
      <c r="BO1106" s="151" t="e">
        <f t="shared" si="69"/>
        <v>#DIV/0!</v>
      </c>
      <c r="BP1106" s="151" t="e">
        <f t="shared" si="70"/>
        <v>#DIV/0!</v>
      </c>
      <c r="BQ1106" s="71">
        <v>0</v>
      </c>
      <c r="BR1106" s="71">
        <v>0</v>
      </c>
      <c r="BS1106" s="71">
        <v>0</v>
      </c>
      <c r="BT1106" s="72">
        <v>0</v>
      </c>
      <c r="BU1106" s="73"/>
      <c r="BV1106" s="73"/>
    </row>
    <row r="1107" ht="30" customHeight="1" spans="1:75 16331:16349">
      <c r="A1107" s="55" t="s">
        <v>165</v>
      </c>
      <c r="B1107" s="56" t="s">
        <v>1057</v>
      </c>
      <c r="C1107" s="57" t="s">
        <v>1058</v>
      </c>
      <c r="D1107" s="59" t="s">
        <v>1829</v>
      </c>
      <c r="E1107" s="59" t="s">
        <v>1858</v>
      </c>
      <c r="F1107" s="59" t="str">
        <f>VLOOKUP(E1107,[1]库存!$B$1:$C$65536,2,FALSE)</f>
        <v>GEELY EX11 SAB RH</v>
      </c>
      <c r="G1107" s="59" t="s">
        <v>1859</v>
      </c>
      <c r="H1107" s="59" t="s">
        <v>1860</v>
      </c>
      <c r="I1107" s="59" t="s">
        <v>242</v>
      </c>
      <c r="J1107" s="63"/>
      <c r="K1107" s="61"/>
      <c r="L1107" s="62">
        <v>2</v>
      </c>
      <c r="M1107" s="63">
        <v>1200</v>
      </c>
      <c r="N1107" s="64">
        <v>10</v>
      </c>
      <c r="O1107" s="62">
        <v>2</v>
      </c>
      <c r="P1107" s="65">
        <f t="shared" si="71"/>
        <v>0</v>
      </c>
      <c r="Q1107" s="66"/>
      <c r="R1107" s="66"/>
      <c r="S1107" s="66"/>
      <c r="T1107" s="66"/>
      <c r="U1107" s="66"/>
      <c r="V1107" s="66"/>
      <c r="W1107" s="66"/>
      <c r="X1107" s="66"/>
      <c r="Y1107" s="66"/>
      <c r="Z1107" s="66"/>
      <c r="AA1107" s="66"/>
      <c r="AB1107" s="66"/>
      <c r="AC1107" s="66"/>
      <c r="AD1107" s="66"/>
      <c r="AE1107" s="66"/>
      <c r="AF1107" s="66"/>
      <c r="AG1107" s="66"/>
      <c r="AH1107" s="66"/>
      <c r="AI1107" s="66"/>
      <c r="AJ1107" s="66"/>
      <c r="AK1107" s="66"/>
      <c r="AL1107" s="66"/>
      <c r="AM1107" s="66"/>
      <c r="AN1107" s="66"/>
      <c r="AO1107" s="66"/>
      <c r="AP1107" s="66"/>
      <c r="AQ1107" s="66"/>
      <c r="AR1107" s="66"/>
      <c r="AS1107" s="66"/>
      <c r="AT1107" s="66"/>
      <c r="AU1107" s="66"/>
      <c r="AV1107" s="66"/>
      <c r="AW1107" s="66"/>
      <c r="AX1107" s="66"/>
      <c r="AY1107" s="66"/>
      <c r="AZ1107" s="66"/>
      <c r="BA1107" s="66"/>
      <c r="BB1107" s="66"/>
      <c r="BC1107" s="66"/>
      <c r="BD1107" s="66"/>
      <c r="BE1107" s="67"/>
      <c r="BF1107" s="67"/>
      <c r="BG1107" s="68"/>
      <c r="BI1107" s="69">
        <v>0</v>
      </c>
      <c r="BJ1107" s="70">
        <v>0</v>
      </c>
      <c r="BK1107" s="71">
        <v>0</v>
      </c>
      <c r="BL1107" s="71">
        <v>0</v>
      </c>
      <c r="BM1107" s="71">
        <v>0</v>
      </c>
      <c r="BN1107" s="72">
        <v>0</v>
      </c>
      <c r="BO1107" s="151" t="e">
        <f t="shared" si="69"/>
        <v>#DIV/0!</v>
      </c>
      <c r="BP1107" s="151" t="e">
        <f t="shared" si="70"/>
        <v>#DIV/0!</v>
      </c>
      <c r="BQ1107" s="71">
        <v>0</v>
      </c>
      <c r="BR1107" s="71">
        <v>0</v>
      </c>
      <c r="BS1107" s="71">
        <v>0</v>
      </c>
      <c r="BT1107" s="72">
        <v>0</v>
      </c>
      <c r="BU1107" s="73"/>
      <c r="BV1107" s="73"/>
    </row>
    <row r="1108" ht="30" customHeight="1" spans="1:75 16331:16349">
      <c r="A1108" s="55">
        <v>0</v>
      </c>
      <c r="B1108" s="56">
        <v>0</v>
      </c>
      <c r="C1108" s="57">
        <v>0</v>
      </c>
      <c r="D1108" s="74"/>
      <c r="E1108" s="74"/>
      <c r="F1108" s="59" t="e">
        <f>VLOOKUP(E1108,[1]库存!$B$1:$C$65536,2,FALSE)</f>
        <v>#N/A</v>
      </c>
      <c r="G1108" s="59" t="e">
        <v>#N/A</v>
      </c>
      <c r="H1108" s="74"/>
      <c r="I1108" s="74"/>
      <c r="J1108" s="87"/>
      <c r="K1108" s="61"/>
      <c r="L1108" s="62">
        <v>0</v>
      </c>
      <c r="M1108" s="63">
        <v>0</v>
      </c>
      <c r="N1108" s="64">
        <v>0</v>
      </c>
      <c r="O1108" s="62">
        <v>0</v>
      </c>
      <c r="P1108" s="65">
        <f t="shared" si="71"/>
        <v>0</v>
      </c>
      <c r="Q1108" s="66"/>
      <c r="R1108" s="66"/>
      <c r="S1108" s="66"/>
      <c r="T1108" s="66"/>
      <c r="U1108" s="66"/>
      <c r="V1108" s="66"/>
      <c r="W1108" s="66"/>
      <c r="X1108" s="66"/>
      <c r="Y1108" s="66"/>
      <c r="Z1108" s="66"/>
      <c r="AA1108" s="66"/>
      <c r="AB1108" s="66"/>
      <c r="AC1108" s="66"/>
      <c r="AD1108" s="66"/>
      <c r="AE1108" s="66"/>
      <c r="AF1108" s="66"/>
      <c r="AG1108" s="66"/>
      <c r="AH1108" s="66"/>
      <c r="AI1108" s="66"/>
      <c r="AJ1108" s="66"/>
      <c r="AK1108" s="66"/>
      <c r="AL1108" s="66"/>
      <c r="AM1108" s="66"/>
      <c r="AN1108" s="66"/>
      <c r="AO1108" s="66"/>
      <c r="AP1108" s="66"/>
      <c r="AQ1108" s="66"/>
      <c r="AR1108" s="66"/>
      <c r="AS1108" s="66"/>
      <c r="AT1108" s="66"/>
      <c r="AU1108" s="66"/>
      <c r="AV1108" s="66"/>
      <c r="AW1108" s="66"/>
      <c r="AX1108" s="66"/>
      <c r="AY1108" s="66"/>
      <c r="AZ1108" s="66"/>
      <c r="BA1108" s="66"/>
      <c r="BB1108" s="66"/>
      <c r="BC1108" s="66"/>
      <c r="BD1108" s="66"/>
      <c r="BE1108" s="67"/>
      <c r="BF1108" s="67"/>
      <c r="BG1108" s="68"/>
      <c r="BI1108" s="69">
        <v>0</v>
      </c>
      <c r="BJ1108" s="70">
        <v>0</v>
      </c>
      <c r="BK1108" s="71">
        <v>0</v>
      </c>
      <c r="BL1108" s="71">
        <v>0</v>
      </c>
      <c r="BM1108" s="71">
        <v>0</v>
      </c>
      <c r="BN1108" s="72">
        <v>0</v>
      </c>
      <c r="BO1108" s="151" t="e">
        <f t="shared" si="69"/>
        <v>#DIV/0!</v>
      </c>
      <c r="BP1108" s="151" t="e">
        <f t="shared" si="70"/>
        <v>#DIV/0!</v>
      </c>
      <c r="BQ1108" s="71">
        <v>0</v>
      </c>
      <c r="BR1108" s="71">
        <v>0</v>
      </c>
      <c r="BS1108" s="71">
        <v>0</v>
      </c>
      <c r="BT1108" s="72">
        <v>0</v>
      </c>
      <c r="BU1108" s="73"/>
      <c r="BV1108" s="73"/>
    </row>
    <row r="1109" ht="30" customHeight="1" spans="1:75 16331:16349">
      <c r="A1109" s="55">
        <v>0</v>
      </c>
      <c r="B1109" s="56" t="s">
        <v>1057</v>
      </c>
      <c r="C1109" s="57" t="s">
        <v>1058</v>
      </c>
      <c r="D1109" s="59" t="s">
        <v>1829</v>
      </c>
      <c r="E1109" s="59"/>
      <c r="F1109" s="59" t="e">
        <f>VLOOKUP(E1109,[1]库存!$B$1:$C$65536,2,FALSE)</f>
        <v>#N/A</v>
      </c>
      <c r="G1109" s="59" t="e">
        <v>#N/A</v>
      </c>
      <c r="H1109" s="59" t="s">
        <v>1857</v>
      </c>
      <c r="I1109" s="59" t="s">
        <v>1861</v>
      </c>
      <c r="J1109" s="63"/>
      <c r="K1109" s="61"/>
      <c r="L1109" s="62">
        <v>2</v>
      </c>
      <c r="M1109" s="63">
        <v>1200</v>
      </c>
      <c r="N1109" s="64">
        <v>10</v>
      </c>
      <c r="O1109" s="62">
        <v>2</v>
      </c>
      <c r="P1109" s="65">
        <f t="shared" si="71"/>
        <v>0</v>
      </c>
      <c r="Q1109" s="66"/>
      <c r="R1109" s="66"/>
      <c r="S1109" s="66"/>
      <c r="T1109" s="66"/>
      <c r="U1109" s="66"/>
      <c r="V1109" s="66"/>
      <c r="W1109" s="66"/>
      <c r="X1109" s="66"/>
      <c r="Y1109" s="66"/>
      <c r="Z1109" s="66"/>
      <c r="AA1109" s="66"/>
      <c r="AB1109" s="66"/>
      <c r="AC1109" s="66"/>
      <c r="AD1109" s="66"/>
      <c r="AE1109" s="66"/>
      <c r="AF1109" s="66"/>
      <c r="AG1109" s="66"/>
      <c r="AH1109" s="66"/>
      <c r="AI1109" s="66"/>
      <c r="AJ1109" s="66"/>
      <c r="AK1109" s="66"/>
      <c r="AL1109" s="66"/>
      <c r="AM1109" s="66"/>
      <c r="AN1109" s="66"/>
      <c r="AO1109" s="66"/>
      <c r="AP1109" s="66"/>
      <c r="AQ1109" s="66"/>
      <c r="AR1109" s="66"/>
      <c r="AS1109" s="66"/>
      <c r="AT1109" s="66"/>
      <c r="AU1109" s="66"/>
      <c r="AV1109" s="66"/>
      <c r="AW1109" s="66"/>
      <c r="AX1109" s="66"/>
      <c r="AY1109" s="66"/>
      <c r="AZ1109" s="66"/>
      <c r="BA1109" s="66"/>
      <c r="BB1109" s="66"/>
      <c r="BC1109" s="66"/>
      <c r="BD1109" s="66"/>
      <c r="BE1109" s="67"/>
      <c r="BF1109" s="67"/>
      <c r="BG1109" s="68"/>
      <c r="BI1109" s="69">
        <v>0</v>
      </c>
      <c r="BJ1109" s="70">
        <v>0</v>
      </c>
      <c r="BK1109" s="71">
        <v>0</v>
      </c>
      <c r="BL1109" s="71">
        <v>0</v>
      </c>
      <c r="BM1109" s="71">
        <v>0</v>
      </c>
      <c r="BN1109" s="72">
        <v>0</v>
      </c>
      <c r="BO1109" s="151" t="e">
        <f t="shared" si="69"/>
        <v>#DIV/0!</v>
      </c>
      <c r="BP1109" s="151" t="e">
        <f t="shared" si="70"/>
        <v>#DIV/0!</v>
      </c>
      <c r="BQ1109" s="71">
        <v>0</v>
      </c>
      <c r="BR1109" s="71">
        <v>0</v>
      </c>
      <c r="BS1109" s="71">
        <v>0</v>
      </c>
      <c r="BT1109" s="72">
        <v>0</v>
      </c>
      <c r="BU1109" s="73"/>
      <c r="BV1109" s="73"/>
    </row>
    <row r="1110" ht="30" customHeight="1" spans="1:75 16331:16349">
      <c r="A1110" s="55">
        <v>0</v>
      </c>
      <c r="B1110" s="56">
        <v>0</v>
      </c>
      <c r="C1110" s="57">
        <v>0</v>
      </c>
      <c r="D1110" s="74"/>
      <c r="E1110" s="74"/>
      <c r="F1110" s="59" t="e">
        <f>VLOOKUP(E1110,[1]库存!$B$1:$C$65536,2,FALSE)</f>
        <v>#N/A</v>
      </c>
      <c r="G1110" s="59" t="e">
        <v>#N/A</v>
      </c>
      <c r="H1110" s="74"/>
      <c r="I1110" s="74"/>
      <c r="J1110" s="87"/>
      <c r="K1110" s="61"/>
      <c r="L1110" s="62">
        <v>0</v>
      </c>
      <c r="M1110" s="63">
        <v>0</v>
      </c>
      <c r="N1110" s="64">
        <v>0</v>
      </c>
      <c r="O1110" s="62">
        <v>0</v>
      </c>
      <c r="P1110" s="65">
        <f t="shared" si="71"/>
        <v>0</v>
      </c>
      <c r="Q1110" s="66"/>
      <c r="R1110" s="66"/>
      <c r="S1110" s="66"/>
      <c r="T1110" s="66"/>
      <c r="U1110" s="66"/>
      <c r="V1110" s="66"/>
      <c r="W1110" s="66"/>
      <c r="X1110" s="66"/>
      <c r="Y1110" s="66"/>
      <c r="Z1110" s="66"/>
      <c r="AA1110" s="66"/>
      <c r="AB1110" s="66"/>
      <c r="AC1110" s="66"/>
      <c r="AD1110" s="66"/>
      <c r="AE1110" s="66"/>
      <c r="AF1110" s="66"/>
      <c r="AG1110" s="66"/>
      <c r="AH1110" s="66"/>
      <c r="AI1110" s="66"/>
      <c r="AJ1110" s="66"/>
      <c r="AK1110" s="66"/>
      <c r="AL1110" s="66"/>
      <c r="AM1110" s="66"/>
      <c r="AN1110" s="66"/>
      <c r="AO1110" s="66"/>
      <c r="AP1110" s="66"/>
      <c r="AQ1110" s="66"/>
      <c r="AR1110" s="66"/>
      <c r="AS1110" s="66"/>
      <c r="AT1110" s="66"/>
      <c r="AU1110" s="66"/>
      <c r="AV1110" s="66"/>
      <c r="AW1110" s="66"/>
      <c r="AX1110" s="66"/>
      <c r="AY1110" s="66"/>
      <c r="AZ1110" s="66"/>
      <c r="BA1110" s="66"/>
      <c r="BB1110" s="66"/>
      <c r="BC1110" s="66"/>
      <c r="BD1110" s="66"/>
      <c r="BE1110" s="67"/>
      <c r="BF1110" s="67"/>
      <c r="BG1110" s="68"/>
      <c r="BI1110" s="69">
        <v>0</v>
      </c>
      <c r="BJ1110" s="70">
        <v>0</v>
      </c>
      <c r="BK1110" s="71">
        <v>0</v>
      </c>
      <c r="BL1110" s="71">
        <v>0</v>
      </c>
      <c r="BM1110" s="71">
        <v>0</v>
      </c>
      <c r="BN1110" s="72">
        <v>0</v>
      </c>
      <c r="BO1110" s="151" t="e">
        <f t="shared" si="69"/>
        <v>#DIV/0!</v>
      </c>
      <c r="BP1110" s="151" t="e">
        <f t="shared" si="70"/>
        <v>#DIV/0!</v>
      </c>
      <c r="BQ1110" s="71">
        <v>0</v>
      </c>
      <c r="BR1110" s="71">
        <v>0</v>
      </c>
      <c r="BS1110" s="71">
        <v>0</v>
      </c>
      <c r="BT1110" s="72">
        <v>0</v>
      </c>
      <c r="BU1110" s="73"/>
      <c r="BV1110" s="73"/>
    </row>
    <row r="1111" ht="30" customHeight="1" spans="1:75 16331:16349">
      <c r="A1111" s="55">
        <v>0</v>
      </c>
      <c r="B1111" s="56" t="s">
        <v>1057</v>
      </c>
      <c r="C1111" s="57" t="s">
        <v>1058</v>
      </c>
      <c r="D1111" s="59" t="s">
        <v>1829</v>
      </c>
      <c r="E1111" s="59"/>
      <c r="F1111" s="59" t="e">
        <f>VLOOKUP(E1111,[1]库存!$B$1:$C$65536,2,FALSE)</f>
        <v>#N/A</v>
      </c>
      <c r="G1111" s="59" t="e">
        <v>#N/A</v>
      </c>
      <c r="H1111" s="59" t="s">
        <v>1860</v>
      </c>
      <c r="I1111" s="59" t="s">
        <v>1862</v>
      </c>
      <c r="J1111" s="63"/>
      <c r="K1111" s="61"/>
      <c r="L1111" s="62">
        <v>2</v>
      </c>
      <c r="M1111" s="63">
        <v>1200</v>
      </c>
      <c r="N1111" s="64">
        <v>10</v>
      </c>
      <c r="O1111" s="62">
        <v>2</v>
      </c>
      <c r="P1111" s="65">
        <f t="shared" si="71"/>
        <v>0</v>
      </c>
      <c r="Q1111" s="66"/>
      <c r="R1111" s="66"/>
      <c r="S1111" s="66"/>
      <c r="T1111" s="66"/>
      <c r="U1111" s="66"/>
      <c r="V1111" s="66"/>
      <c r="W1111" s="66"/>
      <c r="X1111" s="66"/>
      <c r="Y1111" s="66"/>
      <c r="Z1111" s="66"/>
      <c r="AA1111" s="66"/>
      <c r="AB1111" s="66"/>
      <c r="AC1111" s="66"/>
      <c r="AD1111" s="66"/>
      <c r="AE1111" s="66"/>
      <c r="AF1111" s="66"/>
      <c r="AG1111" s="66"/>
      <c r="AH1111" s="66"/>
      <c r="AI1111" s="66"/>
      <c r="AJ1111" s="66"/>
      <c r="AK1111" s="66"/>
      <c r="AL1111" s="66"/>
      <c r="AM1111" s="66"/>
      <c r="AN1111" s="66"/>
      <c r="AO1111" s="66"/>
      <c r="AP1111" s="66"/>
      <c r="AQ1111" s="66"/>
      <c r="AR1111" s="66"/>
      <c r="AS1111" s="66"/>
      <c r="AT1111" s="66"/>
      <c r="AU1111" s="66"/>
      <c r="AV1111" s="66"/>
      <c r="AW1111" s="66"/>
      <c r="AX1111" s="66"/>
      <c r="AY1111" s="66"/>
      <c r="AZ1111" s="66"/>
      <c r="BA1111" s="66"/>
      <c r="BB1111" s="66"/>
      <c r="BC1111" s="66"/>
      <c r="BD1111" s="66"/>
      <c r="BE1111" s="67"/>
      <c r="BF1111" s="67"/>
      <c r="BG1111" s="68"/>
      <c r="BI1111" s="69">
        <v>0</v>
      </c>
      <c r="BJ1111" s="70">
        <v>0</v>
      </c>
      <c r="BK1111" s="71">
        <v>0</v>
      </c>
      <c r="BL1111" s="71">
        <v>0</v>
      </c>
      <c r="BM1111" s="71">
        <v>0</v>
      </c>
      <c r="BN1111" s="72">
        <v>0</v>
      </c>
      <c r="BO1111" s="151" t="e">
        <f t="shared" si="69"/>
        <v>#DIV/0!</v>
      </c>
      <c r="BP1111" s="151" t="e">
        <f t="shared" si="70"/>
        <v>#DIV/0!</v>
      </c>
      <c r="BQ1111" s="71">
        <v>0</v>
      </c>
      <c r="BR1111" s="71">
        <v>0</v>
      </c>
      <c r="BS1111" s="71">
        <v>0</v>
      </c>
      <c r="BT1111" s="72">
        <v>0</v>
      </c>
      <c r="BU1111" s="73"/>
      <c r="BV1111" s="73"/>
    </row>
    <row r="1112" ht="30" customHeight="1" spans="1:75 16331:16349">
      <c r="A1112" s="55">
        <v>0</v>
      </c>
      <c r="B1112" s="56">
        <v>0</v>
      </c>
      <c r="C1112" s="57">
        <v>0</v>
      </c>
      <c r="D1112" s="74"/>
      <c r="E1112" s="74"/>
      <c r="F1112" s="59" t="e">
        <f>VLOOKUP(E1112,[1]库存!$B$1:$C$65536,2,FALSE)</f>
        <v>#N/A</v>
      </c>
      <c r="G1112" s="59" t="e">
        <v>#N/A</v>
      </c>
      <c r="H1112" s="74"/>
      <c r="I1112" s="74"/>
      <c r="J1112" s="87"/>
      <c r="K1112" s="61"/>
      <c r="L1112" s="62">
        <v>0</v>
      </c>
      <c r="M1112" s="63">
        <v>0</v>
      </c>
      <c r="N1112" s="64">
        <v>0</v>
      </c>
      <c r="O1112" s="62">
        <v>0</v>
      </c>
      <c r="P1112" s="65">
        <f t="shared" si="71"/>
        <v>0</v>
      </c>
      <c r="Q1112" s="66"/>
      <c r="R1112" s="66"/>
      <c r="S1112" s="66"/>
      <c r="T1112" s="66"/>
      <c r="U1112" s="66"/>
      <c r="V1112" s="66"/>
      <c r="W1112" s="66"/>
      <c r="X1112" s="66"/>
      <c r="Y1112" s="66"/>
      <c r="Z1112" s="66"/>
      <c r="AA1112" s="66"/>
      <c r="AB1112" s="66"/>
      <c r="AC1112" s="66"/>
      <c r="AD1112" s="66"/>
      <c r="AE1112" s="66"/>
      <c r="AF1112" s="66"/>
      <c r="AG1112" s="66"/>
      <c r="AH1112" s="66"/>
      <c r="AI1112" s="66"/>
      <c r="AJ1112" s="66"/>
      <c r="AK1112" s="66"/>
      <c r="AL1112" s="66"/>
      <c r="AM1112" s="66"/>
      <c r="AN1112" s="66"/>
      <c r="AO1112" s="66"/>
      <c r="AP1112" s="66"/>
      <c r="AQ1112" s="66"/>
      <c r="AR1112" s="66"/>
      <c r="AS1112" s="66"/>
      <c r="AT1112" s="66"/>
      <c r="AU1112" s="66"/>
      <c r="AV1112" s="66"/>
      <c r="AW1112" s="66"/>
      <c r="AX1112" s="66"/>
      <c r="AY1112" s="66"/>
      <c r="AZ1112" s="66"/>
      <c r="BA1112" s="66"/>
      <c r="BB1112" s="66"/>
      <c r="BC1112" s="66"/>
      <c r="BD1112" s="66"/>
      <c r="BE1112" s="67"/>
      <c r="BF1112" s="67"/>
      <c r="BG1112" s="68"/>
      <c r="BI1112" s="69">
        <v>0</v>
      </c>
      <c r="BJ1112" s="70">
        <v>0</v>
      </c>
      <c r="BK1112" s="71">
        <v>0</v>
      </c>
      <c r="BL1112" s="71">
        <v>0</v>
      </c>
      <c r="BM1112" s="71">
        <v>0</v>
      </c>
      <c r="BN1112" s="72">
        <v>0</v>
      </c>
      <c r="BO1112" s="151" t="e">
        <f t="shared" si="69"/>
        <v>#DIV/0!</v>
      </c>
      <c r="BP1112" s="151" t="e">
        <f t="shared" si="70"/>
        <v>#DIV/0!</v>
      </c>
      <c r="BQ1112" s="71">
        <v>0</v>
      </c>
      <c r="BR1112" s="71">
        <v>0</v>
      </c>
      <c r="BS1112" s="71">
        <v>0</v>
      </c>
      <c r="BT1112" s="72">
        <v>0</v>
      </c>
      <c r="BU1112" s="73"/>
      <c r="BV1112" s="73"/>
    </row>
    <row r="1113" s="1" customFormat="1" ht="30" customHeight="1" spans="1:75 16331:16349">
      <c r="A1113" s="110" t="s">
        <v>165</v>
      </c>
      <c r="B1113" s="111" t="s">
        <v>1057</v>
      </c>
      <c r="C1113" s="112" t="s">
        <v>1058</v>
      </c>
      <c r="D1113" s="232" t="s">
        <v>1829</v>
      </c>
      <c r="E1113" s="113" t="s">
        <v>1863</v>
      </c>
      <c r="F1113" s="113" t="str">
        <f>VLOOKUP(E1113,[1]库存!$B$1:$C$65536,2,FALSE)</f>
        <v>GEELY EF1E SAB LH B状态</v>
      </c>
      <c r="G1113" s="113" t="s">
        <v>1864</v>
      </c>
      <c r="H1113" s="113" t="s">
        <v>1865</v>
      </c>
      <c r="I1113" s="113" t="s">
        <v>242</v>
      </c>
      <c r="J1113" s="220" t="s">
        <v>65</v>
      </c>
      <c r="K1113" s="115"/>
      <c r="L1113" s="116">
        <v>2</v>
      </c>
      <c r="M1113" s="117">
        <v>1200</v>
      </c>
      <c r="N1113" s="114">
        <v>11</v>
      </c>
      <c r="O1113" s="116">
        <v>2</v>
      </c>
      <c r="P1113" s="65">
        <f t="shared" si="71"/>
        <v>0</v>
      </c>
      <c r="Q1113" s="67"/>
      <c r="R1113" s="67"/>
      <c r="S1113" s="67"/>
      <c r="T1113" s="67"/>
      <c r="U1113" s="67"/>
      <c r="V1113" s="67"/>
      <c r="W1113" s="67"/>
      <c r="X1113" s="67"/>
      <c r="Y1113" s="67"/>
      <c r="Z1113" s="67"/>
      <c r="AA1113" s="67"/>
      <c r="AB1113" s="67"/>
      <c r="AC1113" s="67"/>
      <c r="AD1113" s="67"/>
      <c r="AE1113" s="67"/>
      <c r="AF1113" s="67"/>
      <c r="AG1113" s="67"/>
      <c r="AH1113" s="67"/>
      <c r="AI1113" s="67"/>
      <c r="AJ1113" s="67"/>
      <c r="AK1113" s="67"/>
      <c r="AL1113" s="67"/>
      <c r="AM1113" s="67"/>
      <c r="AN1113" s="67"/>
      <c r="AO1113" s="67"/>
      <c r="AP1113" s="67"/>
      <c r="AQ1113" s="67"/>
      <c r="AR1113" s="67"/>
      <c r="AS1113" s="67"/>
      <c r="AT1113" s="67"/>
      <c r="AU1113" s="67"/>
      <c r="AV1113" s="67"/>
      <c r="AW1113" s="67"/>
      <c r="AX1113" s="67"/>
      <c r="AY1113" s="67"/>
      <c r="AZ1113" s="67"/>
      <c r="BA1113" s="67"/>
      <c r="BB1113" s="67"/>
      <c r="BC1113" s="67"/>
      <c r="BD1113" s="67"/>
      <c r="BE1113" s="67"/>
      <c r="BF1113" s="67"/>
      <c r="BG1113" s="118"/>
      <c r="BH1113" s="119"/>
      <c r="BI1113" s="120">
        <v>0</v>
      </c>
      <c r="BJ1113" s="121">
        <v>0</v>
      </c>
      <c r="BK1113" s="122">
        <v>0</v>
      </c>
      <c r="BL1113" s="122">
        <v>0</v>
      </c>
      <c r="BM1113" s="122">
        <v>0</v>
      </c>
      <c r="BN1113" s="123">
        <v>0</v>
      </c>
      <c r="BO1113" s="204" t="e">
        <f t="shared" si="69"/>
        <v>#DIV/0!</v>
      </c>
      <c r="BP1113" s="204" t="e">
        <f t="shared" si="70"/>
        <v>#DIV/0!</v>
      </c>
      <c r="BQ1113" s="122">
        <v>0</v>
      </c>
      <c r="BR1113" s="122">
        <v>0</v>
      </c>
      <c r="BS1113" s="122">
        <v>0</v>
      </c>
      <c r="BT1113" s="123">
        <v>0</v>
      </c>
      <c r="BU1113" s="124"/>
      <c r="BV1113" s="124"/>
      <c r="BW1113" s="125"/>
      <c r="XDC1113" s="126"/>
      <c r="XDD1113" s="126"/>
      <c r="XDE1113" s="126"/>
      <c r="XDF1113" s="126"/>
      <c r="XDG1113" s="126"/>
      <c r="XDH1113" s="126"/>
      <c r="XDI1113" s="126"/>
      <c r="XDJ1113" s="126"/>
      <c r="XDK1113" s="126"/>
      <c r="XDL1113" s="126"/>
      <c r="XDM1113" s="126"/>
      <c r="XDN1113" s="126"/>
      <c r="XDO1113" s="126"/>
      <c r="XDP1113" s="126"/>
      <c r="XDQ1113" s="126"/>
      <c r="XDR1113" s="126"/>
      <c r="XDS1113" s="126"/>
      <c r="XDT1113" s="126"/>
      <c r="XDU1113" s="126"/>
    </row>
    <row r="1114" s="1" customFormat="1" ht="30" customHeight="1" spans="1:75 16331:16349">
      <c r="A1114" s="110">
        <v>0</v>
      </c>
      <c r="B1114" s="111">
        <v>0</v>
      </c>
      <c r="C1114" s="112">
        <v>0</v>
      </c>
      <c r="D1114" s="232"/>
      <c r="E1114" s="233"/>
      <c r="F1114" s="113" t="e">
        <f>VLOOKUP(E1114,[1]库存!$B$1:$C$65536,2,FALSE)</f>
        <v>#N/A</v>
      </c>
      <c r="G1114" s="113" t="e">
        <v>#N/A</v>
      </c>
      <c r="H1114" s="233"/>
      <c r="I1114" s="233"/>
      <c r="J1114" s="221"/>
      <c r="K1114" s="115"/>
      <c r="L1114" s="116">
        <v>0</v>
      </c>
      <c r="M1114" s="117">
        <v>0</v>
      </c>
      <c r="N1114" s="114">
        <v>0</v>
      </c>
      <c r="O1114" s="116">
        <v>0</v>
      </c>
      <c r="P1114" s="65">
        <f t="shared" si="71"/>
        <v>0</v>
      </c>
      <c r="Q1114" s="67"/>
      <c r="R1114" s="67"/>
      <c r="S1114" s="67"/>
      <c r="T1114" s="67"/>
      <c r="U1114" s="67"/>
      <c r="V1114" s="67"/>
      <c r="W1114" s="67"/>
      <c r="X1114" s="67"/>
      <c r="Y1114" s="67"/>
      <c r="Z1114" s="67"/>
      <c r="AA1114" s="67"/>
      <c r="AB1114" s="67"/>
      <c r="AC1114" s="67"/>
      <c r="AD1114" s="67"/>
      <c r="AE1114" s="67"/>
      <c r="AF1114" s="67"/>
      <c r="AG1114" s="67"/>
      <c r="AH1114" s="67"/>
      <c r="AI1114" s="67"/>
      <c r="AJ1114" s="67"/>
      <c r="AK1114" s="67"/>
      <c r="AL1114" s="67"/>
      <c r="AM1114" s="67"/>
      <c r="AN1114" s="67"/>
      <c r="AO1114" s="67"/>
      <c r="AP1114" s="67"/>
      <c r="AQ1114" s="67"/>
      <c r="AR1114" s="67"/>
      <c r="AS1114" s="67"/>
      <c r="AT1114" s="67"/>
      <c r="AU1114" s="67"/>
      <c r="AV1114" s="67"/>
      <c r="AW1114" s="67"/>
      <c r="AX1114" s="67"/>
      <c r="AY1114" s="67"/>
      <c r="AZ1114" s="67"/>
      <c r="BA1114" s="67"/>
      <c r="BB1114" s="67"/>
      <c r="BC1114" s="67"/>
      <c r="BD1114" s="67"/>
      <c r="BE1114" s="67"/>
      <c r="BF1114" s="67"/>
      <c r="BG1114" s="118"/>
      <c r="BH1114" s="119"/>
      <c r="BI1114" s="120">
        <v>0</v>
      </c>
      <c r="BJ1114" s="121">
        <v>0</v>
      </c>
      <c r="BK1114" s="122">
        <v>0</v>
      </c>
      <c r="BL1114" s="122">
        <v>0</v>
      </c>
      <c r="BM1114" s="122">
        <v>0</v>
      </c>
      <c r="BN1114" s="123">
        <v>0</v>
      </c>
      <c r="BO1114" s="204" t="e">
        <f t="shared" si="69"/>
        <v>#DIV/0!</v>
      </c>
      <c r="BP1114" s="204" t="e">
        <f t="shared" si="70"/>
        <v>#DIV/0!</v>
      </c>
      <c r="BQ1114" s="122">
        <v>0</v>
      </c>
      <c r="BR1114" s="122">
        <v>0</v>
      </c>
      <c r="BS1114" s="122">
        <v>0</v>
      </c>
      <c r="BT1114" s="123">
        <v>0</v>
      </c>
      <c r="BU1114" s="124"/>
      <c r="BV1114" s="124"/>
      <c r="BW1114" s="125"/>
      <c r="XDC1114" s="126"/>
      <c r="XDD1114" s="126"/>
      <c r="XDE1114" s="126"/>
      <c r="XDF1114" s="126"/>
      <c r="XDG1114" s="126"/>
      <c r="XDH1114" s="126"/>
      <c r="XDI1114" s="126"/>
      <c r="XDJ1114" s="126"/>
      <c r="XDK1114" s="126"/>
      <c r="XDL1114" s="126"/>
      <c r="XDM1114" s="126"/>
      <c r="XDN1114" s="126"/>
      <c r="XDO1114" s="126"/>
      <c r="XDP1114" s="126"/>
      <c r="XDQ1114" s="126"/>
      <c r="XDR1114" s="126"/>
      <c r="XDS1114" s="126"/>
      <c r="XDT1114" s="126"/>
      <c r="XDU1114" s="126"/>
    </row>
    <row r="1115" s="1" customFormat="1" ht="30" customHeight="1" spans="1:75 16331:16349">
      <c r="A1115" s="110" t="s">
        <v>165</v>
      </c>
      <c r="B1115" s="111" t="s">
        <v>1057</v>
      </c>
      <c r="C1115" s="112" t="s">
        <v>1058</v>
      </c>
      <c r="D1115" s="232" t="s">
        <v>1829</v>
      </c>
      <c r="E1115" s="113" t="s">
        <v>1866</v>
      </c>
      <c r="F1115" s="113" t="str">
        <f>VLOOKUP(E1115,[1]库存!$B$1:$C$65536,2,FALSE)</f>
        <v>GEELY EF1E SAB RH B状态</v>
      </c>
      <c r="G1115" s="113" t="s">
        <v>1867</v>
      </c>
      <c r="H1115" s="113" t="s">
        <v>1868</v>
      </c>
      <c r="I1115" s="113" t="s">
        <v>242</v>
      </c>
      <c r="J1115" s="220" t="s">
        <v>65</v>
      </c>
      <c r="K1115" s="115"/>
      <c r="L1115" s="116">
        <v>2</v>
      </c>
      <c r="M1115" s="117">
        <v>1200</v>
      </c>
      <c r="N1115" s="114">
        <v>11</v>
      </c>
      <c r="O1115" s="116">
        <v>2</v>
      </c>
      <c r="P1115" s="65">
        <f t="shared" si="71"/>
        <v>0</v>
      </c>
      <c r="Q1115" s="67"/>
      <c r="R1115" s="67"/>
      <c r="S1115" s="67"/>
      <c r="T1115" s="67"/>
      <c r="U1115" s="67"/>
      <c r="V1115" s="67"/>
      <c r="W1115" s="67"/>
      <c r="X1115" s="67"/>
      <c r="Y1115" s="67"/>
      <c r="Z1115" s="67"/>
      <c r="AA1115" s="67"/>
      <c r="AB1115" s="67"/>
      <c r="AC1115" s="67"/>
      <c r="AD1115" s="67"/>
      <c r="AE1115" s="67"/>
      <c r="AF1115" s="67"/>
      <c r="AG1115" s="67"/>
      <c r="AH1115" s="67"/>
      <c r="AI1115" s="67"/>
      <c r="AJ1115" s="67"/>
      <c r="AK1115" s="67"/>
      <c r="AL1115" s="67"/>
      <c r="AM1115" s="67"/>
      <c r="AN1115" s="67"/>
      <c r="AO1115" s="67"/>
      <c r="AP1115" s="67"/>
      <c r="AQ1115" s="67"/>
      <c r="AR1115" s="67"/>
      <c r="AS1115" s="67"/>
      <c r="AT1115" s="67"/>
      <c r="AU1115" s="67"/>
      <c r="AV1115" s="67"/>
      <c r="AW1115" s="67"/>
      <c r="AX1115" s="67"/>
      <c r="AY1115" s="67"/>
      <c r="AZ1115" s="67"/>
      <c r="BA1115" s="67"/>
      <c r="BB1115" s="67"/>
      <c r="BC1115" s="67"/>
      <c r="BD1115" s="67"/>
      <c r="BE1115" s="67"/>
      <c r="BF1115" s="67"/>
      <c r="BG1115" s="118"/>
      <c r="BH1115" s="119"/>
      <c r="BI1115" s="120">
        <v>0</v>
      </c>
      <c r="BJ1115" s="121">
        <v>0</v>
      </c>
      <c r="BK1115" s="122">
        <v>0</v>
      </c>
      <c r="BL1115" s="122">
        <v>0</v>
      </c>
      <c r="BM1115" s="122">
        <v>0</v>
      </c>
      <c r="BN1115" s="123">
        <v>0</v>
      </c>
      <c r="BO1115" s="204" t="e">
        <f t="shared" si="69"/>
        <v>#DIV/0!</v>
      </c>
      <c r="BP1115" s="204" t="e">
        <f t="shared" si="70"/>
        <v>#DIV/0!</v>
      </c>
      <c r="BQ1115" s="122">
        <v>0</v>
      </c>
      <c r="BR1115" s="122">
        <v>0</v>
      </c>
      <c r="BS1115" s="122">
        <v>0</v>
      </c>
      <c r="BT1115" s="123">
        <v>0</v>
      </c>
      <c r="BU1115" s="124"/>
      <c r="BV1115" s="124"/>
      <c r="BW1115" s="125"/>
      <c r="XDC1115" s="126"/>
      <c r="XDD1115" s="126"/>
      <c r="XDE1115" s="126"/>
      <c r="XDF1115" s="126"/>
      <c r="XDG1115" s="126"/>
      <c r="XDH1115" s="126"/>
      <c r="XDI1115" s="126"/>
      <c r="XDJ1115" s="126"/>
      <c r="XDK1115" s="126"/>
      <c r="XDL1115" s="126"/>
      <c r="XDM1115" s="126"/>
      <c r="XDN1115" s="126"/>
      <c r="XDO1115" s="126"/>
      <c r="XDP1115" s="126"/>
      <c r="XDQ1115" s="126"/>
      <c r="XDR1115" s="126"/>
      <c r="XDS1115" s="126"/>
      <c r="XDT1115" s="126"/>
      <c r="XDU1115" s="126"/>
    </row>
    <row r="1116" s="1" customFormat="1" ht="30" customHeight="1" spans="1:75 16331:16349">
      <c r="A1116" s="110">
        <v>0</v>
      </c>
      <c r="B1116" s="111">
        <v>0</v>
      </c>
      <c r="C1116" s="112">
        <v>0</v>
      </c>
      <c r="D1116" s="232"/>
      <c r="E1116" s="233"/>
      <c r="F1116" s="113" t="e">
        <f>VLOOKUP(E1116,[1]库存!$B$1:$C$65536,2,FALSE)</f>
        <v>#N/A</v>
      </c>
      <c r="G1116" s="113" t="e">
        <v>#N/A</v>
      </c>
      <c r="H1116" s="233"/>
      <c r="I1116" s="233"/>
      <c r="J1116" s="221"/>
      <c r="K1116" s="115"/>
      <c r="L1116" s="116">
        <v>0</v>
      </c>
      <c r="M1116" s="117">
        <v>0</v>
      </c>
      <c r="N1116" s="114">
        <v>0</v>
      </c>
      <c r="O1116" s="116">
        <v>0</v>
      </c>
      <c r="P1116" s="65">
        <f t="shared" si="71"/>
        <v>0</v>
      </c>
      <c r="Q1116" s="67"/>
      <c r="R1116" s="67"/>
      <c r="S1116" s="67"/>
      <c r="T1116" s="67"/>
      <c r="U1116" s="67"/>
      <c r="V1116" s="67"/>
      <c r="W1116" s="67"/>
      <c r="X1116" s="67"/>
      <c r="Y1116" s="67"/>
      <c r="Z1116" s="67"/>
      <c r="AA1116" s="67"/>
      <c r="AB1116" s="67"/>
      <c r="AC1116" s="67"/>
      <c r="AD1116" s="67"/>
      <c r="AE1116" s="67"/>
      <c r="AF1116" s="67"/>
      <c r="AG1116" s="67"/>
      <c r="AH1116" s="67"/>
      <c r="AI1116" s="67"/>
      <c r="AJ1116" s="67"/>
      <c r="AK1116" s="67"/>
      <c r="AL1116" s="67"/>
      <c r="AM1116" s="67"/>
      <c r="AN1116" s="67"/>
      <c r="AO1116" s="67"/>
      <c r="AP1116" s="67"/>
      <c r="AQ1116" s="67"/>
      <c r="AR1116" s="67"/>
      <c r="AS1116" s="67"/>
      <c r="AT1116" s="67"/>
      <c r="AU1116" s="67"/>
      <c r="AV1116" s="67"/>
      <c r="AW1116" s="67"/>
      <c r="AX1116" s="67"/>
      <c r="AY1116" s="67"/>
      <c r="AZ1116" s="67"/>
      <c r="BA1116" s="67"/>
      <c r="BB1116" s="67"/>
      <c r="BC1116" s="67"/>
      <c r="BD1116" s="67"/>
      <c r="BE1116" s="67"/>
      <c r="BF1116" s="67"/>
      <c r="BG1116" s="118"/>
      <c r="BH1116" s="119"/>
      <c r="BI1116" s="120">
        <v>0</v>
      </c>
      <c r="BJ1116" s="121">
        <v>0</v>
      </c>
      <c r="BK1116" s="122">
        <v>0</v>
      </c>
      <c r="BL1116" s="122">
        <v>0</v>
      </c>
      <c r="BM1116" s="122">
        <v>0</v>
      </c>
      <c r="BN1116" s="123">
        <v>0</v>
      </c>
      <c r="BO1116" s="204" t="e">
        <f t="shared" si="69"/>
        <v>#DIV/0!</v>
      </c>
      <c r="BP1116" s="204" t="e">
        <f t="shared" si="70"/>
        <v>#DIV/0!</v>
      </c>
      <c r="BQ1116" s="122">
        <v>0</v>
      </c>
      <c r="BR1116" s="122">
        <v>0</v>
      </c>
      <c r="BS1116" s="122">
        <v>0</v>
      </c>
      <c r="BT1116" s="123">
        <v>0</v>
      </c>
      <c r="BU1116" s="124"/>
      <c r="BV1116" s="124"/>
      <c r="BW1116" s="125"/>
      <c r="XDC1116" s="126"/>
      <c r="XDD1116" s="126"/>
      <c r="XDE1116" s="126"/>
      <c r="XDF1116" s="126"/>
      <c r="XDG1116" s="126"/>
      <c r="XDH1116" s="126"/>
      <c r="XDI1116" s="126"/>
      <c r="XDJ1116" s="126"/>
      <c r="XDK1116" s="126"/>
      <c r="XDL1116" s="126"/>
      <c r="XDM1116" s="126"/>
      <c r="XDN1116" s="126"/>
      <c r="XDO1116" s="126"/>
      <c r="XDP1116" s="126"/>
      <c r="XDQ1116" s="126"/>
      <c r="XDR1116" s="126"/>
      <c r="XDS1116" s="126"/>
      <c r="XDT1116" s="126"/>
      <c r="XDU1116" s="126"/>
    </row>
    <row r="1117" ht="30" customHeight="1" spans="1:75 16331:16349">
      <c r="A1117" s="55">
        <v>0</v>
      </c>
      <c r="B1117" s="56">
        <v>0</v>
      </c>
      <c r="C1117" s="57">
        <v>0</v>
      </c>
      <c r="E1117" s="88"/>
      <c r="F1117" s="59" t="e">
        <f>VLOOKUP(E1117,[1]库存!$B$1:$C$65536,2,FALSE)</f>
        <v>#N/A</v>
      </c>
      <c r="G1117" s="59" t="e">
        <v>#N/A</v>
      </c>
      <c r="H1117" s="89"/>
      <c r="I1117" s="88"/>
      <c r="J1117" s="90"/>
      <c r="K1117" s="61"/>
      <c r="L1117" s="62">
        <v>0</v>
      </c>
      <c r="M1117" s="63">
        <v>0</v>
      </c>
      <c r="N1117" s="64">
        <v>0</v>
      </c>
      <c r="O1117" s="62">
        <v>0</v>
      </c>
      <c r="P1117" s="65">
        <f t="shared" si="71"/>
        <v>0</v>
      </c>
      <c r="Q1117" s="66"/>
      <c r="R1117" s="66"/>
      <c r="S1117" s="66"/>
      <c r="T1117" s="66"/>
      <c r="U1117" s="66"/>
      <c r="V1117" s="66"/>
      <c r="W1117" s="66"/>
      <c r="X1117" s="66"/>
      <c r="Y1117" s="66"/>
      <c r="Z1117" s="66"/>
      <c r="AA1117" s="66"/>
      <c r="AB1117" s="66"/>
      <c r="AC1117" s="66"/>
      <c r="AD1117" s="66"/>
      <c r="AE1117" s="66"/>
      <c r="AF1117" s="66"/>
      <c r="AG1117" s="66"/>
      <c r="AH1117" s="66"/>
      <c r="AI1117" s="66"/>
      <c r="AJ1117" s="66"/>
      <c r="AK1117" s="66"/>
      <c r="AL1117" s="66"/>
      <c r="AM1117" s="66"/>
      <c r="AN1117" s="66"/>
      <c r="AO1117" s="66"/>
      <c r="AP1117" s="66"/>
      <c r="AQ1117" s="66"/>
      <c r="AR1117" s="66"/>
      <c r="AS1117" s="66"/>
      <c r="AT1117" s="66"/>
      <c r="AU1117" s="66"/>
      <c r="AV1117" s="66"/>
      <c r="AW1117" s="66"/>
      <c r="AX1117" s="66"/>
      <c r="AY1117" s="66"/>
      <c r="AZ1117" s="66"/>
      <c r="BA1117" s="66"/>
      <c r="BB1117" s="66"/>
      <c r="BC1117" s="66"/>
      <c r="BD1117" s="66"/>
      <c r="BE1117" s="67"/>
      <c r="BF1117" s="67"/>
      <c r="BG1117" s="68"/>
      <c r="BI1117" s="69">
        <v>0</v>
      </c>
      <c r="BJ1117" s="70">
        <v>0</v>
      </c>
      <c r="BK1117" s="71">
        <v>0</v>
      </c>
      <c r="BL1117" s="71">
        <v>0</v>
      </c>
      <c r="BM1117" s="71">
        <v>0</v>
      </c>
      <c r="BN1117" s="72">
        <v>0</v>
      </c>
      <c r="BO1117" s="151" t="e">
        <f t="shared" si="69"/>
        <v>#DIV/0!</v>
      </c>
      <c r="BP1117" s="151" t="e">
        <f t="shared" si="70"/>
        <v>#DIV/0!</v>
      </c>
      <c r="BQ1117" s="71">
        <v>0</v>
      </c>
      <c r="BR1117" s="71">
        <v>0</v>
      </c>
      <c r="BS1117" s="71">
        <v>0</v>
      </c>
      <c r="BT1117" s="72">
        <v>0</v>
      </c>
      <c r="BU1117" s="73"/>
      <c r="BV1117" s="73"/>
    </row>
    <row r="1118" ht="30" customHeight="1" spans="1:75 16331:16349">
      <c r="A1118" s="55" t="s">
        <v>246</v>
      </c>
      <c r="B1118" s="56" t="s">
        <v>1057</v>
      </c>
      <c r="C1118" s="57" t="s">
        <v>1072</v>
      </c>
      <c r="D1118" s="91" t="s">
        <v>1869</v>
      </c>
      <c r="E1118" s="91" t="s">
        <v>1870</v>
      </c>
      <c r="F1118" s="91" t="str">
        <f>VLOOKUP(E1118,[1]库存!$B$1:$C$65536,2,FALSE)</f>
        <v>GWM P11 DAB C状态</v>
      </c>
      <c r="G1118" s="91" t="s">
        <v>1871</v>
      </c>
      <c r="H1118" s="91" t="s">
        <v>1872</v>
      </c>
      <c r="I1118" s="56" t="s">
        <v>1873</v>
      </c>
      <c r="J1118" s="63" t="s">
        <v>1870</v>
      </c>
      <c r="K1118" s="61"/>
      <c r="L1118" s="62">
        <v>2</v>
      </c>
      <c r="M1118" s="63">
        <v>1050</v>
      </c>
      <c r="N1118" s="64">
        <v>10</v>
      </c>
      <c r="O1118" s="62">
        <v>2</v>
      </c>
      <c r="P1118" s="65">
        <f t="shared" si="71"/>
        <v>0</v>
      </c>
      <c r="Q1118" s="66">
        <v>1500</v>
      </c>
      <c r="R1118" s="66">
        <v>1550</v>
      </c>
      <c r="S1118" s="66">
        <v>1550</v>
      </c>
      <c r="T1118" s="66">
        <v>1550</v>
      </c>
      <c r="U1118" s="66">
        <v>1550</v>
      </c>
      <c r="V1118" s="66">
        <v>0</v>
      </c>
      <c r="W1118" s="66"/>
      <c r="X1118" s="66"/>
      <c r="Y1118" s="66"/>
      <c r="Z1118" s="66"/>
      <c r="AA1118" s="66"/>
      <c r="AB1118" s="66"/>
      <c r="AC1118" s="66"/>
      <c r="AD1118" s="66"/>
      <c r="AE1118" s="66"/>
      <c r="AF1118" s="66"/>
      <c r="AG1118" s="66"/>
      <c r="AH1118" s="66"/>
      <c r="AI1118" s="66"/>
      <c r="AJ1118" s="66"/>
      <c r="AK1118" s="66"/>
      <c r="AL1118" s="66"/>
      <c r="AM1118" s="66"/>
      <c r="AN1118" s="66"/>
      <c r="AO1118" s="66"/>
      <c r="AP1118" s="66"/>
      <c r="AQ1118" s="66"/>
      <c r="AR1118" s="66"/>
      <c r="AS1118" s="66"/>
      <c r="AT1118" s="66"/>
      <c r="AU1118" s="66"/>
      <c r="AV1118" s="66"/>
      <c r="AW1118" s="66"/>
      <c r="AX1118" s="66"/>
      <c r="AY1118" s="66"/>
      <c r="AZ1118" s="66"/>
      <c r="BA1118" s="66"/>
      <c r="BB1118" s="66"/>
      <c r="BC1118" s="66"/>
      <c r="BD1118" s="66"/>
      <c r="BE1118" s="67"/>
      <c r="BF1118" s="67"/>
      <c r="BG1118" s="68"/>
      <c r="BI1118" s="69">
        <v>0</v>
      </c>
      <c r="BJ1118" s="70">
        <v>0</v>
      </c>
      <c r="BK1118" s="71">
        <v>0</v>
      </c>
      <c r="BL1118" s="71">
        <v>0</v>
      </c>
      <c r="BM1118" s="71">
        <v>0</v>
      </c>
      <c r="BN1118" s="72">
        <v>0</v>
      </c>
      <c r="BO1118" s="151" t="e">
        <f t="shared" si="69"/>
        <v>#DIV/0!</v>
      </c>
      <c r="BP1118" s="151" t="e">
        <f t="shared" si="70"/>
        <v>#DIV/0!</v>
      </c>
      <c r="BQ1118" s="71">
        <v>0</v>
      </c>
      <c r="BR1118" s="71">
        <v>0</v>
      </c>
      <c r="BS1118" s="71">
        <v>0</v>
      </c>
      <c r="BT1118" s="72">
        <v>0</v>
      </c>
      <c r="BU1118" s="73"/>
      <c r="BV1118" s="73"/>
    </row>
    <row r="1119" ht="30" customHeight="1" spans="1:75 16331:16349">
      <c r="A1119" s="55">
        <v>0</v>
      </c>
      <c r="B1119" s="56">
        <v>0</v>
      </c>
      <c r="C1119" s="57">
        <v>0</v>
      </c>
      <c r="D1119" s="92"/>
      <c r="E1119" s="92"/>
      <c r="F1119" s="91" t="e">
        <f>VLOOKUP(E1119,[1]库存!$B$1:$C$65536,2,FALSE)</f>
        <v>#N/A</v>
      </c>
      <c r="G1119" s="91" t="e">
        <v>#N/A</v>
      </c>
      <c r="H1119" s="92"/>
      <c r="I1119" s="56"/>
      <c r="J1119" s="87"/>
      <c r="K1119" s="61"/>
      <c r="L1119" s="62">
        <v>0</v>
      </c>
      <c r="M1119" s="63">
        <v>0</v>
      </c>
      <c r="N1119" s="64">
        <v>0</v>
      </c>
      <c r="O1119" s="62">
        <v>0</v>
      </c>
      <c r="P1119" s="65">
        <f t="shared" si="71"/>
        <v>0</v>
      </c>
      <c r="Q1119" s="66">
        <v>1397</v>
      </c>
      <c r="R1119" s="66">
        <v>1580</v>
      </c>
      <c r="S1119" s="66">
        <v>1605</v>
      </c>
      <c r="T1119" s="66">
        <v>1575</v>
      </c>
      <c r="U1119" s="66">
        <v>1627</v>
      </c>
      <c r="V1119" s="66"/>
      <c r="W1119" s="66"/>
      <c r="X1119" s="66"/>
      <c r="Y1119" s="66"/>
      <c r="Z1119" s="66"/>
      <c r="AA1119" s="66"/>
      <c r="AB1119" s="66"/>
      <c r="AC1119" s="66"/>
      <c r="AD1119" s="66"/>
      <c r="AE1119" s="66"/>
      <c r="AF1119" s="66"/>
      <c r="AG1119" s="66"/>
      <c r="AH1119" s="66"/>
      <c r="AI1119" s="66"/>
      <c r="AJ1119" s="66"/>
      <c r="AK1119" s="66"/>
      <c r="AL1119" s="66"/>
      <c r="AM1119" s="66"/>
      <c r="AN1119" s="66"/>
      <c r="AO1119" s="66"/>
      <c r="AP1119" s="66"/>
      <c r="AQ1119" s="66"/>
      <c r="AR1119" s="66"/>
      <c r="AS1119" s="66"/>
      <c r="AT1119" s="66"/>
      <c r="AU1119" s="66"/>
      <c r="AV1119" s="66"/>
      <c r="AW1119" s="66"/>
      <c r="AX1119" s="66"/>
      <c r="AY1119" s="66"/>
      <c r="AZ1119" s="66"/>
      <c r="BA1119" s="66"/>
      <c r="BB1119" s="66"/>
      <c r="BC1119" s="66"/>
      <c r="BD1119" s="66"/>
      <c r="BE1119" s="67"/>
      <c r="BF1119" s="67"/>
      <c r="BG1119" s="68"/>
      <c r="BI1119" s="69">
        <v>0</v>
      </c>
      <c r="BJ1119" s="70">
        <v>0</v>
      </c>
      <c r="BK1119" s="71">
        <v>0</v>
      </c>
      <c r="BL1119" s="71">
        <v>0</v>
      </c>
      <c r="BM1119" s="71">
        <v>0</v>
      </c>
      <c r="BN1119" s="72">
        <v>0</v>
      </c>
      <c r="BO1119" s="151" t="e">
        <f t="shared" si="69"/>
        <v>#DIV/0!</v>
      </c>
      <c r="BP1119" s="151" t="e">
        <f t="shared" si="70"/>
        <v>#DIV/0!</v>
      </c>
      <c r="BQ1119" s="71">
        <v>0</v>
      </c>
      <c r="BR1119" s="71">
        <v>0</v>
      </c>
      <c r="BS1119" s="71">
        <v>0</v>
      </c>
      <c r="BT1119" s="72">
        <v>0</v>
      </c>
      <c r="BU1119" s="73"/>
      <c r="BV1119" s="73"/>
    </row>
    <row r="1120" ht="30" customHeight="1" spans="1:75 16331:16349">
      <c r="A1120" s="55" t="s">
        <v>165</v>
      </c>
      <c r="B1120" s="56" t="s">
        <v>1057</v>
      </c>
      <c r="C1120" s="57" t="s">
        <v>1072</v>
      </c>
      <c r="D1120" s="59" t="s">
        <v>1869</v>
      </c>
      <c r="E1120" s="59" t="s">
        <v>1874</v>
      </c>
      <c r="F1120" s="59" t="str">
        <f>VLOOKUP(E1120,[1]库存!$B$1:$C$65536,2,FALSE)</f>
        <v>GEELY DC1E A3 DAB A状态</v>
      </c>
      <c r="G1120" s="59" t="s">
        <v>1875</v>
      </c>
      <c r="H1120" s="59" t="s">
        <v>1876</v>
      </c>
      <c r="I1120" s="59" t="s">
        <v>1877</v>
      </c>
      <c r="J1120" s="63"/>
      <c r="K1120" s="61"/>
      <c r="L1120" s="62">
        <v>2</v>
      </c>
      <c r="M1120" s="63">
        <v>1050</v>
      </c>
      <c r="N1120" s="64">
        <v>12</v>
      </c>
      <c r="O1120" s="62">
        <v>2</v>
      </c>
      <c r="P1120" s="65">
        <f t="shared" si="71"/>
        <v>0</v>
      </c>
      <c r="Q1120" s="66"/>
      <c r="R1120" s="66"/>
      <c r="S1120" s="66"/>
      <c r="T1120" s="66"/>
      <c r="U1120" s="66"/>
      <c r="V1120" s="66"/>
      <c r="W1120" s="66"/>
      <c r="X1120" s="66"/>
      <c r="Y1120" s="66"/>
      <c r="Z1120" s="66"/>
      <c r="AA1120" s="66"/>
      <c r="AB1120" s="66"/>
      <c r="AC1120" s="66"/>
      <c r="AD1120" s="66"/>
      <c r="AE1120" s="66"/>
      <c r="AF1120" s="66"/>
      <c r="AG1120" s="66"/>
      <c r="AH1120" s="66"/>
      <c r="AI1120" s="66"/>
      <c r="AJ1120" s="66"/>
      <c r="AK1120" s="66"/>
      <c r="AL1120" s="66"/>
      <c r="AM1120" s="66"/>
      <c r="AN1120" s="66"/>
      <c r="AO1120" s="66"/>
      <c r="AP1120" s="66"/>
      <c r="AQ1120" s="66"/>
      <c r="AR1120" s="66"/>
      <c r="AS1120" s="66"/>
      <c r="AT1120" s="66"/>
      <c r="AU1120" s="66"/>
      <c r="AV1120" s="66"/>
      <c r="AW1120" s="66"/>
      <c r="AX1120" s="66"/>
      <c r="AY1120" s="66"/>
      <c r="AZ1120" s="66"/>
      <c r="BA1120" s="66"/>
      <c r="BB1120" s="66"/>
      <c r="BC1120" s="66"/>
      <c r="BD1120" s="66"/>
      <c r="BE1120" s="67"/>
      <c r="BF1120" s="67"/>
      <c r="BG1120" s="68"/>
      <c r="BI1120" s="69">
        <v>0</v>
      </c>
      <c r="BJ1120" s="70">
        <v>0</v>
      </c>
      <c r="BK1120" s="71">
        <v>0</v>
      </c>
      <c r="BL1120" s="71">
        <v>0</v>
      </c>
      <c r="BM1120" s="71">
        <v>0</v>
      </c>
      <c r="BN1120" s="72">
        <v>0</v>
      </c>
      <c r="BO1120" s="151" t="e">
        <f t="shared" si="69"/>
        <v>#DIV/0!</v>
      </c>
      <c r="BP1120" s="151" t="e">
        <f t="shared" si="70"/>
        <v>#DIV/0!</v>
      </c>
      <c r="BQ1120" s="71">
        <v>0</v>
      </c>
      <c r="BR1120" s="71">
        <v>0</v>
      </c>
      <c r="BS1120" s="71">
        <v>0</v>
      </c>
      <c r="BT1120" s="72">
        <v>0</v>
      </c>
      <c r="BU1120" s="73"/>
      <c r="BV1120" s="73"/>
    </row>
    <row r="1121" ht="30" customHeight="1" spans="1:75 16331:16349">
      <c r="A1121" s="55">
        <v>0</v>
      </c>
      <c r="B1121" s="56">
        <v>0</v>
      </c>
      <c r="C1121" s="57">
        <v>0</v>
      </c>
      <c r="D1121" s="74"/>
      <c r="E1121" s="74"/>
      <c r="F1121" s="59" t="e">
        <f>VLOOKUP(E1121,[1]库存!$B$1:$C$65536,2,FALSE)</f>
        <v>#N/A</v>
      </c>
      <c r="G1121" s="59" t="e">
        <v>#N/A</v>
      </c>
      <c r="H1121" s="74"/>
      <c r="I1121" s="74"/>
      <c r="J1121" s="87"/>
      <c r="K1121" s="61"/>
      <c r="L1121" s="62">
        <v>0</v>
      </c>
      <c r="M1121" s="63">
        <v>0</v>
      </c>
      <c r="N1121" s="64">
        <v>0</v>
      </c>
      <c r="O1121" s="62">
        <v>0</v>
      </c>
      <c r="P1121" s="65">
        <f t="shared" si="71"/>
        <v>0</v>
      </c>
      <c r="Q1121" s="66"/>
      <c r="R1121" s="66"/>
      <c r="S1121" s="66"/>
      <c r="T1121" s="66"/>
      <c r="U1121" s="66"/>
      <c r="V1121" s="66"/>
      <c r="W1121" s="66"/>
      <c r="X1121" s="66"/>
      <c r="Y1121" s="66"/>
      <c r="Z1121" s="66"/>
      <c r="AA1121" s="66"/>
      <c r="AB1121" s="66"/>
      <c r="AC1121" s="66"/>
      <c r="AD1121" s="66"/>
      <c r="AE1121" s="66"/>
      <c r="AF1121" s="66"/>
      <c r="AG1121" s="66"/>
      <c r="AH1121" s="66"/>
      <c r="AI1121" s="66"/>
      <c r="AJ1121" s="66"/>
      <c r="AK1121" s="66"/>
      <c r="AL1121" s="66"/>
      <c r="AM1121" s="66"/>
      <c r="AN1121" s="66"/>
      <c r="AO1121" s="66"/>
      <c r="AP1121" s="66"/>
      <c r="AQ1121" s="66"/>
      <c r="AR1121" s="66"/>
      <c r="AS1121" s="66"/>
      <c r="AT1121" s="66"/>
      <c r="AU1121" s="66"/>
      <c r="AV1121" s="66"/>
      <c r="AW1121" s="66"/>
      <c r="AX1121" s="66"/>
      <c r="AY1121" s="66"/>
      <c r="AZ1121" s="66"/>
      <c r="BA1121" s="66"/>
      <c r="BB1121" s="66"/>
      <c r="BC1121" s="66"/>
      <c r="BD1121" s="66"/>
      <c r="BE1121" s="67"/>
      <c r="BF1121" s="67"/>
      <c r="BG1121" s="68"/>
      <c r="BI1121" s="69">
        <v>0</v>
      </c>
      <c r="BJ1121" s="70">
        <v>0</v>
      </c>
      <c r="BK1121" s="71">
        <v>0</v>
      </c>
      <c r="BL1121" s="71">
        <v>0</v>
      </c>
      <c r="BM1121" s="71">
        <v>0</v>
      </c>
      <c r="BN1121" s="72">
        <v>0</v>
      </c>
      <c r="BO1121" s="151" t="e">
        <f t="shared" si="69"/>
        <v>#DIV/0!</v>
      </c>
      <c r="BP1121" s="151" t="e">
        <f t="shared" si="70"/>
        <v>#DIV/0!</v>
      </c>
      <c r="BQ1121" s="71">
        <v>0</v>
      </c>
      <c r="BR1121" s="71">
        <v>0</v>
      </c>
      <c r="BS1121" s="71">
        <v>0</v>
      </c>
      <c r="BT1121" s="72">
        <v>0</v>
      </c>
      <c r="BU1121" s="73"/>
      <c r="BV1121" s="73"/>
    </row>
    <row r="1122" ht="30" customHeight="1" spans="1:75 16331:16349">
      <c r="A1122" s="55" t="s">
        <v>246</v>
      </c>
      <c r="B1122" s="56" t="s">
        <v>1057</v>
      </c>
      <c r="C1122" s="57" t="s">
        <v>1072</v>
      </c>
      <c r="D1122" s="59" t="s">
        <v>1869</v>
      </c>
      <c r="E1122" s="59" t="s">
        <v>1878</v>
      </c>
      <c r="F1122" s="59" t="str">
        <f>VLOOKUP(E1122,[1]库存!$B$1:$C$65536,2,FALSE)</f>
        <v>GWM P06 DAB</v>
      </c>
      <c r="G1122" s="59" t="s">
        <v>1879</v>
      </c>
      <c r="H1122" s="59" t="s">
        <v>1880</v>
      </c>
      <c r="I1122" s="59" t="s">
        <v>444</v>
      </c>
      <c r="J1122" s="63"/>
      <c r="K1122" s="61"/>
      <c r="L1122" s="62">
        <v>2</v>
      </c>
      <c r="M1122" s="63">
        <v>1050</v>
      </c>
      <c r="N1122" s="64">
        <v>8</v>
      </c>
      <c r="O1122" s="62">
        <v>2</v>
      </c>
      <c r="P1122" s="65">
        <f t="shared" si="71"/>
        <v>0</v>
      </c>
      <c r="Q1122" s="66"/>
      <c r="R1122" s="66"/>
      <c r="S1122" s="66"/>
      <c r="T1122" s="66"/>
      <c r="U1122" s="66"/>
      <c r="V1122" s="66"/>
      <c r="W1122" s="66"/>
      <c r="X1122" s="66"/>
      <c r="Y1122" s="66"/>
      <c r="Z1122" s="66"/>
      <c r="AA1122" s="66"/>
      <c r="AB1122" s="66"/>
      <c r="AC1122" s="66"/>
      <c r="AD1122" s="66"/>
      <c r="AE1122" s="66"/>
      <c r="AF1122" s="66"/>
      <c r="AG1122" s="66"/>
      <c r="AH1122" s="66"/>
      <c r="AI1122" s="66"/>
      <c r="AJ1122" s="66"/>
      <c r="AK1122" s="66"/>
      <c r="AL1122" s="66"/>
      <c r="AM1122" s="66"/>
      <c r="AN1122" s="66"/>
      <c r="AO1122" s="66"/>
      <c r="AP1122" s="66"/>
      <c r="AQ1122" s="66"/>
      <c r="AR1122" s="66"/>
      <c r="AS1122" s="66"/>
      <c r="AT1122" s="66"/>
      <c r="AU1122" s="66"/>
      <c r="AV1122" s="66"/>
      <c r="AW1122" s="66"/>
      <c r="AX1122" s="66"/>
      <c r="AY1122" s="66"/>
      <c r="AZ1122" s="66"/>
      <c r="BA1122" s="66"/>
      <c r="BB1122" s="66"/>
      <c r="BC1122" s="66"/>
      <c r="BD1122" s="66"/>
      <c r="BE1122" s="67"/>
      <c r="BF1122" s="67"/>
      <c r="BG1122" s="68"/>
      <c r="BI1122" s="69">
        <v>0</v>
      </c>
      <c r="BJ1122" s="70">
        <v>0</v>
      </c>
      <c r="BK1122" s="71">
        <v>0</v>
      </c>
      <c r="BL1122" s="71">
        <v>0</v>
      </c>
      <c r="BM1122" s="71">
        <v>0</v>
      </c>
      <c r="BN1122" s="72">
        <v>0</v>
      </c>
      <c r="BO1122" s="151" t="e">
        <f t="shared" si="69"/>
        <v>#DIV/0!</v>
      </c>
      <c r="BP1122" s="151" t="e">
        <f t="shared" si="70"/>
        <v>#DIV/0!</v>
      </c>
      <c r="BQ1122" s="71">
        <v>0</v>
      </c>
      <c r="BR1122" s="71">
        <v>0</v>
      </c>
      <c r="BS1122" s="71">
        <v>0</v>
      </c>
      <c r="BT1122" s="72">
        <v>0</v>
      </c>
      <c r="BU1122" s="73"/>
      <c r="BV1122" s="73"/>
    </row>
    <row r="1123" ht="30" customHeight="1" spans="1:75 16331:16349">
      <c r="A1123" s="55">
        <v>0</v>
      </c>
      <c r="B1123" s="56">
        <v>0</v>
      </c>
      <c r="C1123" s="57">
        <v>0</v>
      </c>
      <c r="D1123" s="74"/>
      <c r="E1123" s="74"/>
      <c r="F1123" s="59" t="e">
        <f>VLOOKUP(E1123,[1]库存!$B$1:$C$65536,2,FALSE)</f>
        <v>#N/A</v>
      </c>
      <c r="G1123" s="59" t="e">
        <v>#N/A</v>
      </c>
      <c r="H1123" s="74"/>
      <c r="I1123" s="74"/>
      <c r="J1123" s="87"/>
      <c r="K1123" s="61"/>
      <c r="L1123" s="62">
        <v>0</v>
      </c>
      <c r="M1123" s="63">
        <v>0</v>
      </c>
      <c r="N1123" s="64">
        <v>0</v>
      </c>
      <c r="O1123" s="62">
        <v>0</v>
      </c>
      <c r="P1123" s="65">
        <f t="shared" si="71"/>
        <v>0</v>
      </c>
      <c r="Q1123" s="66"/>
      <c r="R1123" s="66"/>
      <c r="S1123" s="66"/>
      <c r="T1123" s="66"/>
      <c r="U1123" s="66"/>
      <c r="V1123" s="66"/>
      <c r="W1123" s="66"/>
      <c r="X1123" s="66"/>
      <c r="Y1123" s="66"/>
      <c r="Z1123" s="66"/>
      <c r="AA1123" s="66"/>
      <c r="AB1123" s="66"/>
      <c r="AC1123" s="66"/>
      <c r="AD1123" s="66"/>
      <c r="AE1123" s="66"/>
      <c r="AF1123" s="66"/>
      <c r="AG1123" s="66"/>
      <c r="AH1123" s="66"/>
      <c r="AI1123" s="66"/>
      <c r="AJ1123" s="66"/>
      <c r="AK1123" s="66"/>
      <c r="AL1123" s="66"/>
      <c r="AM1123" s="66"/>
      <c r="AN1123" s="66"/>
      <c r="AO1123" s="66"/>
      <c r="AP1123" s="66"/>
      <c r="AQ1123" s="66"/>
      <c r="AR1123" s="66"/>
      <c r="AS1123" s="66"/>
      <c r="AT1123" s="66"/>
      <c r="AU1123" s="66"/>
      <c r="AV1123" s="66"/>
      <c r="AW1123" s="66"/>
      <c r="AX1123" s="66"/>
      <c r="AY1123" s="66"/>
      <c r="AZ1123" s="66"/>
      <c r="BA1123" s="66"/>
      <c r="BB1123" s="66"/>
      <c r="BC1123" s="66"/>
      <c r="BD1123" s="66"/>
      <c r="BE1123" s="67"/>
      <c r="BF1123" s="67"/>
      <c r="BG1123" s="68"/>
      <c r="BI1123" s="69">
        <v>0</v>
      </c>
      <c r="BJ1123" s="70">
        <v>0</v>
      </c>
      <c r="BK1123" s="71">
        <v>0</v>
      </c>
      <c r="BL1123" s="71">
        <v>0</v>
      </c>
      <c r="BM1123" s="71">
        <v>0</v>
      </c>
      <c r="BN1123" s="72">
        <v>0</v>
      </c>
      <c r="BO1123" s="151" t="e">
        <f t="shared" si="69"/>
        <v>#DIV/0!</v>
      </c>
      <c r="BP1123" s="151" t="e">
        <f t="shared" si="70"/>
        <v>#DIV/0!</v>
      </c>
      <c r="BQ1123" s="71">
        <v>0</v>
      </c>
      <c r="BR1123" s="71">
        <v>0</v>
      </c>
      <c r="BS1123" s="71">
        <v>0</v>
      </c>
      <c r="BT1123" s="72">
        <v>0</v>
      </c>
      <c r="BU1123" s="73"/>
      <c r="BV1123" s="73"/>
    </row>
    <row r="1124" ht="30" customHeight="1" spans="1:75 16331:16349">
      <c r="A1124" s="55" t="s">
        <v>165</v>
      </c>
      <c r="B1124" s="56" t="s">
        <v>1057</v>
      </c>
      <c r="C1124" s="57" t="s">
        <v>1072</v>
      </c>
      <c r="D1124" s="59" t="s">
        <v>1869</v>
      </c>
      <c r="E1124" s="59" t="s">
        <v>1881</v>
      </c>
      <c r="F1124" s="59" t="str">
        <f>VLOOKUP(E1124,[1]库存!$B$1:$C$65536,2,FALSE)</f>
        <v>CC1E-U DAB</v>
      </c>
      <c r="G1124" s="59" t="s">
        <v>1882</v>
      </c>
      <c r="H1124" s="59" t="s">
        <v>1883</v>
      </c>
      <c r="I1124" s="59" t="s">
        <v>1884</v>
      </c>
      <c r="J1124" s="63"/>
      <c r="K1124" s="61"/>
      <c r="L1124" s="62">
        <v>2</v>
      </c>
      <c r="M1124" s="63">
        <v>850</v>
      </c>
      <c r="N1124" s="64">
        <v>8</v>
      </c>
      <c r="O1124" s="62">
        <v>2</v>
      </c>
      <c r="P1124" s="65">
        <f t="shared" si="71"/>
        <v>0</v>
      </c>
      <c r="Q1124" s="66"/>
      <c r="R1124" s="66"/>
      <c r="S1124" s="66"/>
      <c r="T1124" s="66"/>
      <c r="U1124" s="66"/>
      <c r="V1124" s="66"/>
      <c r="W1124" s="66"/>
      <c r="X1124" s="66"/>
      <c r="Y1124" s="66"/>
      <c r="Z1124" s="66"/>
      <c r="AA1124" s="66">
        <v>1200</v>
      </c>
      <c r="AB1124" s="66"/>
      <c r="AC1124" s="66">
        <v>1300</v>
      </c>
      <c r="AD1124" s="66"/>
      <c r="AE1124" s="66"/>
      <c r="AF1124" s="66"/>
      <c r="AG1124" s="66"/>
      <c r="AH1124" s="66"/>
      <c r="AI1124" s="234"/>
      <c r="AJ1124" s="66"/>
      <c r="AK1124" s="234"/>
      <c r="AL1124" s="66"/>
      <c r="AM1124" s="66"/>
      <c r="AN1124" s="66"/>
      <c r="AO1124" s="66"/>
      <c r="AP1124" s="66"/>
      <c r="AQ1124" s="66"/>
      <c r="AR1124" s="66"/>
      <c r="AS1124" s="66"/>
      <c r="AT1124" s="66"/>
      <c r="AU1124" s="66"/>
      <c r="AV1124" s="66"/>
      <c r="AW1124" s="66"/>
      <c r="AX1124" s="66"/>
      <c r="AY1124" s="66"/>
      <c r="AZ1124" s="66"/>
      <c r="BA1124" s="66"/>
      <c r="BB1124" s="66"/>
      <c r="BC1124" s="66"/>
      <c r="BD1124" s="66"/>
      <c r="BE1124" s="67"/>
      <c r="BF1124" s="67"/>
      <c r="BG1124" s="68"/>
      <c r="BI1124" s="69">
        <v>0</v>
      </c>
      <c r="BJ1124" s="70">
        <v>0</v>
      </c>
      <c r="BK1124" s="71">
        <v>0</v>
      </c>
      <c r="BL1124" s="71">
        <v>0</v>
      </c>
      <c r="BM1124" s="71">
        <v>0</v>
      </c>
      <c r="BN1124" s="72">
        <v>0</v>
      </c>
      <c r="BO1124" s="151" t="e">
        <f t="shared" si="69"/>
        <v>#DIV/0!</v>
      </c>
      <c r="BP1124" s="151" t="e">
        <f t="shared" si="70"/>
        <v>#DIV/0!</v>
      </c>
      <c r="BQ1124" s="71">
        <v>0</v>
      </c>
      <c r="BR1124" s="71">
        <v>0</v>
      </c>
      <c r="BS1124" s="71">
        <v>0</v>
      </c>
      <c r="BT1124" s="72">
        <v>0</v>
      </c>
      <c r="BU1124" s="73"/>
      <c r="BV1124" s="73"/>
    </row>
    <row r="1125" ht="30" customHeight="1" spans="1:75 16331:16349">
      <c r="A1125" s="55">
        <v>0</v>
      </c>
      <c r="B1125" s="56">
        <v>0</v>
      </c>
      <c r="C1125" s="57">
        <v>0</v>
      </c>
      <c r="D1125" s="74"/>
      <c r="E1125" s="74"/>
      <c r="F1125" s="59" t="e">
        <f>VLOOKUP(E1125,[1]库存!$B$1:$C$65536,2,FALSE)</f>
        <v>#N/A</v>
      </c>
      <c r="G1125" s="59" t="e">
        <v>#N/A</v>
      </c>
      <c r="H1125" s="74"/>
      <c r="I1125" s="74"/>
      <c r="J1125" s="87"/>
      <c r="K1125" s="61"/>
      <c r="L1125" s="62">
        <v>0</v>
      </c>
      <c r="M1125" s="63">
        <v>0</v>
      </c>
      <c r="N1125" s="64">
        <v>0</v>
      </c>
      <c r="O1125" s="62">
        <v>0</v>
      </c>
      <c r="P1125" s="65">
        <f t="shared" si="71"/>
        <v>0</v>
      </c>
      <c r="Q1125" s="66"/>
      <c r="R1125" s="66"/>
      <c r="S1125" s="66"/>
      <c r="T1125" s="66"/>
      <c r="U1125" s="66"/>
      <c r="V1125" s="66"/>
      <c r="W1125" s="66"/>
      <c r="X1125" s="66"/>
      <c r="Y1125" s="66"/>
      <c r="Z1125" s="66"/>
      <c r="AA1125" s="66">
        <v>1144</v>
      </c>
      <c r="AB1125" s="66"/>
      <c r="AC1125" s="66">
        <v>1346</v>
      </c>
      <c r="AD1125" s="66"/>
      <c r="AE1125" s="66"/>
      <c r="AF1125" s="66"/>
      <c r="AG1125" s="66"/>
      <c r="AH1125" s="66"/>
      <c r="AI1125" s="66"/>
      <c r="AJ1125" s="66"/>
      <c r="AK1125" s="66"/>
      <c r="AL1125" s="66"/>
      <c r="AM1125" s="66"/>
      <c r="AN1125" s="66"/>
      <c r="AO1125" s="66"/>
      <c r="AP1125" s="66"/>
      <c r="AQ1125" s="66"/>
      <c r="AR1125" s="66"/>
      <c r="AS1125" s="66"/>
      <c r="AT1125" s="66"/>
      <c r="AU1125" s="66"/>
      <c r="AV1125" s="66"/>
      <c r="AW1125" s="66"/>
      <c r="AX1125" s="66"/>
      <c r="AY1125" s="66"/>
      <c r="AZ1125" s="66"/>
      <c r="BA1125" s="66"/>
      <c r="BB1125" s="66"/>
      <c r="BC1125" s="66"/>
      <c r="BD1125" s="66"/>
      <c r="BE1125" s="67"/>
      <c r="BF1125" s="67"/>
      <c r="BG1125" s="68"/>
      <c r="BI1125" s="69">
        <v>0</v>
      </c>
      <c r="BJ1125" s="70">
        <v>0</v>
      </c>
      <c r="BK1125" s="71">
        <v>0</v>
      </c>
      <c r="BL1125" s="71">
        <v>0</v>
      </c>
      <c r="BM1125" s="71">
        <v>0</v>
      </c>
      <c r="BN1125" s="72">
        <v>0</v>
      </c>
      <c r="BO1125" s="151" t="e">
        <f t="shared" si="69"/>
        <v>#DIV/0!</v>
      </c>
      <c r="BP1125" s="151" t="e">
        <f t="shared" si="70"/>
        <v>#DIV/0!</v>
      </c>
      <c r="BQ1125" s="71">
        <v>0</v>
      </c>
      <c r="BR1125" s="71">
        <v>0</v>
      </c>
      <c r="BS1125" s="71">
        <v>0</v>
      </c>
      <c r="BT1125" s="72">
        <v>0</v>
      </c>
      <c r="BU1125" s="73"/>
      <c r="BV1125" s="73"/>
    </row>
    <row r="1126" ht="30" customHeight="1" spans="1:75 16331:16349">
      <c r="A1126" s="55" t="s">
        <v>165</v>
      </c>
      <c r="B1126" s="56" t="s">
        <v>1057</v>
      </c>
      <c r="C1126" s="57" t="s">
        <v>1072</v>
      </c>
      <c r="D1126" s="59" t="s">
        <v>1869</v>
      </c>
      <c r="E1126" s="59" t="s">
        <v>1885</v>
      </c>
      <c r="F1126" s="59" t="str">
        <f>VLOOKUP(E1126,[1]库存!$B$1:$C$65536,2,FALSE)</f>
        <v>ROX01 DAB B状态</v>
      </c>
      <c r="G1126" s="59" t="s">
        <v>1886</v>
      </c>
      <c r="H1126" s="59" t="s">
        <v>1887</v>
      </c>
      <c r="I1126" s="59" t="s">
        <v>1888</v>
      </c>
      <c r="J1126" s="80" t="s">
        <v>65</v>
      </c>
      <c r="K1126" s="61"/>
      <c r="L1126" s="62">
        <v>2</v>
      </c>
      <c r="M1126" s="63">
        <v>950</v>
      </c>
      <c r="N1126" s="64">
        <v>9.5</v>
      </c>
      <c r="O1126" s="62">
        <v>2</v>
      </c>
      <c r="P1126" s="65">
        <f t="shared" si="71"/>
        <v>0</v>
      </c>
      <c r="Q1126" s="66"/>
      <c r="R1126" s="66"/>
      <c r="S1126" s="66"/>
      <c r="T1126" s="66"/>
      <c r="U1126" s="66"/>
      <c r="V1126" s="66"/>
      <c r="W1126" s="66"/>
      <c r="X1126" s="66"/>
      <c r="Y1126" s="66"/>
      <c r="Z1126" s="66"/>
      <c r="AA1126" s="66"/>
      <c r="AB1126" s="66"/>
      <c r="AC1126" s="66"/>
      <c r="AD1126" s="66"/>
      <c r="AE1126" s="66"/>
      <c r="AF1126" s="66"/>
      <c r="AG1126" s="66"/>
      <c r="AH1126" s="66"/>
      <c r="AI1126" s="66"/>
      <c r="AJ1126" s="66"/>
      <c r="AK1126" s="66"/>
      <c r="AL1126" s="66"/>
      <c r="AM1126" s="66"/>
      <c r="AN1126" s="66"/>
      <c r="AO1126" s="66"/>
      <c r="AP1126" s="66"/>
      <c r="AQ1126" s="66"/>
      <c r="AR1126" s="66"/>
      <c r="AS1126" s="66"/>
      <c r="AT1126" s="66"/>
      <c r="AU1126" s="66"/>
      <c r="AV1126" s="66"/>
      <c r="AW1126" s="66"/>
      <c r="AX1126" s="66"/>
      <c r="AY1126" s="66"/>
      <c r="AZ1126" s="66"/>
      <c r="BA1126" s="66"/>
      <c r="BB1126" s="66"/>
      <c r="BC1126" s="66"/>
      <c r="BD1126" s="66"/>
      <c r="BE1126" s="67"/>
      <c r="BF1126" s="67"/>
      <c r="BG1126" s="68"/>
      <c r="BI1126" s="69">
        <v>0</v>
      </c>
      <c r="BJ1126" s="70">
        <v>0</v>
      </c>
      <c r="BK1126" s="71">
        <v>0</v>
      </c>
      <c r="BL1126" s="71">
        <v>0</v>
      </c>
      <c r="BM1126" s="71">
        <v>0</v>
      </c>
      <c r="BN1126" s="72">
        <v>0</v>
      </c>
      <c r="BO1126" s="151" t="e">
        <f t="shared" si="69"/>
        <v>#DIV/0!</v>
      </c>
      <c r="BP1126" s="151" t="e">
        <f t="shared" si="70"/>
        <v>#DIV/0!</v>
      </c>
      <c r="BQ1126" s="71">
        <v>0</v>
      </c>
      <c r="BR1126" s="71">
        <v>0</v>
      </c>
      <c r="BS1126" s="71">
        <v>0</v>
      </c>
      <c r="BT1126" s="72">
        <v>0</v>
      </c>
      <c r="BU1126" s="73"/>
      <c r="BV1126" s="73"/>
    </row>
    <row r="1127" ht="30" customHeight="1" spans="1:75 16331:16349">
      <c r="A1127" s="55">
        <v>0</v>
      </c>
      <c r="B1127" s="56">
        <v>0</v>
      </c>
      <c r="C1127" s="57">
        <v>0</v>
      </c>
      <c r="D1127" s="74"/>
      <c r="E1127" s="74"/>
      <c r="F1127" s="59" t="e">
        <f>VLOOKUP(E1127,[1]库存!$B$1:$C$65536,2,FALSE)</f>
        <v>#N/A</v>
      </c>
      <c r="G1127" s="59" t="e">
        <v>#N/A</v>
      </c>
      <c r="H1127" s="74"/>
      <c r="I1127" s="74"/>
      <c r="J1127" s="81"/>
      <c r="K1127" s="61"/>
      <c r="L1127" s="62">
        <v>0</v>
      </c>
      <c r="M1127" s="63">
        <v>0</v>
      </c>
      <c r="N1127" s="64">
        <v>0</v>
      </c>
      <c r="O1127" s="62">
        <v>0</v>
      </c>
      <c r="P1127" s="65">
        <f t="shared" si="71"/>
        <v>0</v>
      </c>
      <c r="Q1127" s="66"/>
      <c r="R1127" s="66"/>
      <c r="S1127" s="66"/>
      <c r="T1127" s="66"/>
      <c r="U1127" s="66"/>
      <c r="V1127" s="66"/>
      <c r="W1127" s="66"/>
      <c r="X1127" s="66"/>
      <c r="Y1127" s="66"/>
      <c r="Z1127" s="66"/>
      <c r="AA1127" s="66"/>
      <c r="AB1127" s="66"/>
      <c r="AC1127" s="66"/>
      <c r="AD1127" s="66"/>
      <c r="AE1127" s="66"/>
      <c r="AF1127" s="66"/>
      <c r="AG1127" s="66"/>
      <c r="AH1127" s="66"/>
      <c r="AI1127" s="66"/>
      <c r="AJ1127" s="66"/>
      <c r="AK1127" s="66"/>
      <c r="AL1127" s="66"/>
      <c r="AM1127" s="66"/>
      <c r="AN1127" s="66"/>
      <c r="AO1127" s="66"/>
      <c r="AP1127" s="66"/>
      <c r="AQ1127" s="66"/>
      <c r="AR1127" s="66"/>
      <c r="AS1127" s="66"/>
      <c r="AT1127" s="66"/>
      <c r="AU1127" s="66"/>
      <c r="AV1127" s="66"/>
      <c r="AW1127" s="66"/>
      <c r="AX1127" s="66"/>
      <c r="AY1127" s="66"/>
      <c r="AZ1127" s="66"/>
      <c r="BA1127" s="66"/>
      <c r="BB1127" s="66"/>
      <c r="BC1127" s="66"/>
      <c r="BD1127" s="66"/>
      <c r="BE1127" s="67"/>
      <c r="BF1127" s="67"/>
      <c r="BG1127" s="68"/>
      <c r="BI1127" s="69">
        <v>0</v>
      </c>
      <c r="BJ1127" s="70">
        <v>0</v>
      </c>
      <c r="BK1127" s="71">
        <v>0</v>
      </c>
      <c r="BL1127" s="71">
        <v>0</v>
      </c>
      <c r="BM1127" s="71">
        <v>0</v>
      </c>
      <c r="BN1127" s="72">
        <v>0</v>
      </c>
      <c r="BO1127" s="151" t="e">
        <f t="shared" si="69"/>
        <v>#DIV/0!</v>
      </c>
      <c r="BP1127" s="151" t="e">
        <f t="shared" si="70"/>
        <v>#DIV/0!</v>
      </c>
      <c r="BQ1127" s="71">
        <v>0</v>
      </c>
      <c r="BR1127" s="71">
        <v>0</v>
      </c>
      <c r="BS1127" s="71">
        <v>0</v>
      </c>
      <c r="BT1127" s="72">
        <v>0</v>
      </c>
      <c r="BU1127" s="73"/>
      <c r="BV1127" s="73"/>
    </row>
    <row r="1128" ht="30" customHeight="1" spans="1:75 16331:16349">
      <c r="A1128" s="55" t="s">
        <v>246</v>
      </c>
      <c r="B1128" s="56" t="s">
        <v>1057</v>
      </c>
      <c r="C1128" s="57" t="s">
        <v>1072</v>
      </c>
      <c r="D1128" s="59" t="s">
        <v>1869</v>
      </c>
      <c r="E1128" s="59" t="s">
        <v>1889</v>
      </c>
      <c r="F1128" s="59" t="str">
        <f>VLOOKUP(E1128,[1]库存!$B$1:$C$65536,2,FALSE)</f>
        <v>GWM P05 DAB</v>
      </c>
      <c r="G1128" s="59" t="s">
        <v>1890</v>
      </c>
      <c r="H1128" s="59" t="s">
        <v>1891</v>
      </c>
      <c r="I1128" s="59" t="s">
        <v>1892</v>
      </c>
      <c r="J1128" s="80" t="s">
        <v>65</v>
      </c>
      <c r="K1128" s="61"/>
      <c r="L1128" s="62">
        <v>2</v>
      </c>
      <c r="M1128" s="63">
        <v>1050</v>
      </c>
      <c r="N1128" s="64">
        <v>8</v>
      </c>
      <c r="O1128" s="62">
        <v>2</v>
      </c>
      <c r="P1128" s="65">
        <f t="shared" si="71"/>
        <v>0</v>
      </c>
      <c r="Q1128" s="66"/>
      <c r="R1128" s="66"/>
      <c r="S1128" s="66"/>
      <c r="T1128" s="66"/>
      <c r="U1128" s="66"/>
      <c r="V1128" s="66"/>
      <c r="W1128" s="66"/>
      <c r="X1128" s="66"/>
      <c r="Y1128" s="66"/>
      <c r="Z1128" s="66"/>
      <c r="AA1128" s="66"/>
      <c r="AB1128" s="66"/>
      <c r="AC1128" s="66"/>
      <c r="AD1128" s="66"/>
      <c r="AE1128" s="66"/>
      <c r="AF1128" s="66"/>
      <c r="AG1128" s="66"/>
      <c r="AH1128" s="66"/>
      <c r="AI1128" s="66"/>
      <c r="AJ1128" s="66"/>
      <c r="AK1128" s="66"/>
      <c r="AL1128" s="66"/>
      <c r="AM1128" s="66"/>
      <c r="AN1128" s="66"/>
      <c r="AO1128" s="66"/>
      <c r="AP1128" s="66"/>
      <c r="AQ1128" s="66"/>
      <c r="AR1128" s="66"/>
      <c r="AS1128" s="66"/>
      <c r="AT1128" s="66"/>
      <c r="AU1128" s="66"/>
      <c r="AV1128" s="66"/>
      <c r="AW1128" s="66"/>
      <c r="AX1128" s="66"/>
      <c r="AY1128" s="66"/>
      <c r="AZ1128" s="66"/>
      <c r="BA1128" s="66"/>
      <c r="BB1128" s="66"/>
      <c r="BC1128" s="66"/>
      <c r="BD1128" s="66"/>
      <c r="BE1128" s="67"/>
      <c r="BF1128" s="67"/>
      <c r="BG1128" s="68"/>
      <c r="BI1128" s="69">
        <v>0</v>
      </c>
      <c r="BJ1128" s="70">
        <v>0</v>
      </c>
      <c r="BK1128" s="71">
        <v>0</v>
      </c>
      <c r="BL1128" s="71">
        <v>0</v>
      </c>
      <c r="BM1128" s="71">
        <v>0</v>
      </c>
      <c r="BN1128" s="72">
        <v>0</v>
      </c>
      <c r="BO1128" s="151" t="e">
        <f t="shared" si="69"/>
        <v>#DIV/0!</v>
      </c>
      <c r="BP1128" s="151" t="e">
        <f t="shared" si="70"/>
        <v>#DIV/0!</v>
      </c>
      <c r="BQ1128" s="71">
        <v>0</v>
      </c>
      <c r="BR1128" s="71">
        <v>0</v>
      </c>
      <c r="BS1128" s="71">
        <v>0</v>
      </c>
      <c r="BT1128" s="72">
        <v>0</v>
      </c>
      <c r="BU1128" s="73"/>
      <c r="BV1128" s="73"/>
    </row>
    <row r="1129" ht="30" customHeight="1" spans="1:75 16331:16349">
      <c r="A1129" s="55">
        <v>0</v>
      </c>
      <c r="B1129" s="56">
        <v>0</v>
      </c>
      <c r="C1129" s="57">
        <v>0</v>
      </c>
      <c r="D1129" s="74"/>
      <c r="E1129" s="74"/>
      <c r="F1129" s="59" t="e">
        <f>VLOOKUP(E1129,[1]库存!$B$1:$C$65536,2,FALSE)</f>
        <v>#N/A</v>
      </c>
      <c r="G1129" s="59" t="e">
        <v>#N/A</v>
      </c>
      <c r="H1129" s="74"/>
      <c r="I1129" s="74"/>
      <c r="J1129" s="81"/>
      <c r="K1129" s="61"/>
      <c r="L1129" s="62">
        <v>0</v>
      </c>
      <c r="M1129" s="63">
        <v>0</v>
      </c>
      <c r="N1129" s="64">
        <v>0</v>
      </c>
      <c r="O1129" s="62">
        <v>0</v>
      </c>
      <c r="P1129" s="65">
        <f t="shared" si="71"/>
        <v>0</v>
      </c>
      <c r="Q1129" s="66"/>
      <c r="R1129" s="66"/>
      <c r="S1129" s="66"/>
      <c r="T1129" s="66"/>
      <c r="U1129" s="66"/>
      <c r="V1129" s="66"/>
      <c r="W1129" s="66"/>
      <c r="X1129" s="66"/>
      <c r="Y1129" s="66"/>
      <c r="Z1129" s="66"/>
      <c r="AA1129" s="66"/>
      <c r="AB1129" s="66"/>
      <c r="AC1129" s="66"/>
      <c r="AD1129" s="66"/>
      <c r="AE1129" s="66"/>
      <c r="AF1129" s="66"/>
      <c r="AG1129" s="66"/>
      <c r="AH1129" s="66"/>
      <c r="AI1129" s="66"/>
      <c r="AJ1129" s="66"/>
      <c r="AK1129" s="66"/>
      <c r="AL1129" s="66"/>
      <c r="AM1129" s="66"/>
      <c r="AN1129" s="66"/>
      <c r="AO1129" s="66"/>
      <c r="AP1129" s="66"/>
      <c r="AQ1129" s="66"/>
      <c r="AR1129" s="66"/>
      <c r="AS1129" s="66"/>
      <c r="AT1129" s="66"/>
      <c r="AU1129" s="66"/>
      <c r="AV1129" s="66"/>
      <c r="AW1129" s="66"/>
      <c r="AX1129" s="66"/>
      <c r="AY1129" s="66"/>
      <c r="AZ1129" s="66"/>
      <c r="BA1129" s="66"/>
      <c r="BB1129" s="66"/>
      <c r="BC1129" s="66"/>
      <c r="BD1129" s="66"/>
      <c r="BE1129" s="67"/>
      <c r="BF1129" s="67"/>
      <c r="BG1129" s="68"/>
      <c r="BI1129" s="69">
        <v>0</v>
      </c>
      <c r="BJ1129" s="70">
        <v>0</v>
      </c>
      <c r="BK1129" s="71">
        <v>0</v>
      </c>
      <c r="BL1129" s="71">
        <v>0</v>
      </c>
      <c r="BM1129" s="71">
        <v>0</v>
      </c>
      <c r="BN1129" s="72">
        <v>0</v>
      </c>
      <c r="BO1129" s="151" t="e">
        <f t="shared" si="69"/>
        <v>#DIV/0!</v>
      </c>
      <c r="BP1129" s="151" t="e">
        <f t="shared" si="70"/>
        <v>#DIV/0!</v>
      </c>
      <c r="BQ1129" s="71">
        <v>0</v>
      </c>
      <c r="BR1129" s="71">
        <v>0</v>
      </c>
      <c r="BS1129" s="71">
        <v>0</v>
      </c>
      <c r="BT1129" s="72">
        <v>0</v>
      </c>
      <c r="BU1129" s="73"/>
      <c r="BV1129" s="73"/>
    </row>
    <row r="1130" s="1" customFormat="1" ht="30" customHeight="1" spans="1:75 16331:16349">
      <c r="A1130" s="110" t="s">
        <v>165</v>
      </c>
      <c r="B1130" s="111" t="s">
        <v>1057</v>
      </c>
      <c r="C1130" s="112" t="s">
        <v>1072</v>
      </c>
      <c r="D1130" s="113" t="s">
        <v>1869</v>
      </c>
      <c r="E1130" s="113" t="s">
        <v>1893</v>
      </c>
      <c r="F1130" s="113" t="str">
        <f>VLOOKUP(E1130,[1]库存!$B$1:$C$65536,2,FALSE)</f>
        <v>SX12 DAB B状态</v>
      </c>
      <c r="G1130" s="113" t="s">
        <v>1894</v>
      </c>
      <c r="H1130" s="113" t="s">
        <v>1895</v>
      </c>
      <c r="I1130" s="113" t="s">
        <v>1103</v>
      </c>
      <c r="J1130" s="60" t="s">
        <v>1896</v>
      </c>
      <c r="K1130" s="115"/>
      <c r="L1130" s="116">
        <v>2</v>
      </c>
      <c r="M1130" s="117">
        <v>1050</v>
      </c>
      <c r="N1130" s="114">
        <v>10</v>
      </c>
      <c r="O1130" s="116">
        <v>2</v>
      </c>
      <c r="P1130" s="65">
        <f t="shared" si="71"/>
        <v>0</v>
      </c>
      <c r="Q1130" s="67"/>
      <c r="R1130" s="67"/>
      <c r="S1130" s="67"/>
      <c r="T1130" s="67"/>
      <c r="U1130" s="67"/>
      <c r="V1130" s="67"/>
      <c r="W1130" s="67"/>
      <c r="X1130" s="67"/>
      <c r="Y1130" s="67"/>
      <c r="Z1130" s="67"/>
      <c r="AA1130" s="67"/>
      <c r="AB1130" s="67"/>
      <c r="AC1130" s="67"/>
      <c r="AD1130" s="67"/>
      <c r="AE1130" s="67"/>
      <c r="AF1130" s="67"/>
      <c r="AG1130" s="67"/>
      <c r="AH1130" s="67"/>
      <c r="AI1130" s="67"/>
      <c r="AJ1130" s="67"/>
      <c r="AK1130" s="67"/>
      <c r="AL1130" s="67"/>
      <c r="AM1130" s="67"/>
      <c r="AN1130" s="67"/>
      <c r="AO1130" s="67"/>
      <c r="AP1130" s="67"/>
      <c r="AQ1130" s="67"/>
      <c r="AR1130" s="67"/>
      <c r="AS1130" s="67"/>
      <c r="AT1130" s="67"/>
      <c r="AU1130" s="67"/>
      <c r="AV1130" s="67"/>
      <c r="AW1130" s="67"/>
      <c r="AX1130" s="67"/>
      <c r="AY1130" s="67"/>
      <c r="AZ1130" s="67"/>
      <c r="BA1130" s="67"/>
      <c r="BB1130" s="67"/>
      <c r="BC1130" s="67"/>
      <c r="BD1130" s="67"/>
      <c r="BE1130" s="67"/>
      <c r="BF1130" s="67"/>
      <c r="BG1130" s="118"/>
      <c r="BH1130" s="119"/>
      <c r="BI1130" s="120">
        <v>0</v>
      </c>
      <c r="BJ1130" s="121">
        <v>0</v>
      </c>
      <c r="BK1130" s="122">
        <v>0</v>
      </c>
      <c r="BL1130" s="122">
        <v>0</v>
      </c>
      <c r="BM1130" s="122">
        <v>0</v>
      </c>
      <c r="BN1130" s="123">
        <v>0</v>
      </c>
      <c r="BO1130" s="204" t="e">
        <f t="shared" si="69"/>
        <v>#DIV/0!</v>
      </c>
      <c r="BP1130" s="204" t="e">
        <f t="shared" si="70"/>
        <v>#DIV/0!</v>
      </c>
      <c r="BQ1130" s="122">
        <v>0</v>
      </c>
      <c r="BR1130" s="122">
        <v>0</v>
      </c>
      <c r="BS1130" s="122">
        <v>0</v>
      </c>
      <c r="BT1130" s="123">
        <v>0</v>
      </c>
      <c r="BU1130" s="124"/>
      <c r="BV1130" s="124"/>
      <c r="BW1130" s="125"/>
      <c r="XDC1130" s="126"/>
      <c r="XDD1130" s="126"/>
      <c r="XDE1130" s="126"/>
      <c r="XDF1130" s="126"/>
      <c r="XDG1130" s="126"/>
      <c r="XDH1130" s="126"/>
      <c r="XDI1130" s="126"/>
      <c r="XDJ1130" s="126"/>
      <c r="XDK1130" s="126"/>
      <c r="XDL1130" s="126"/>
      <c r="XDM1130" s="126"/>
      <c r="XDN1130" s="126"/>
      <c r="XDO1130" s="126"/>
      <c r="XDP1130" s="126"/>
      <c r="XDQ1130" s="126"/>
      <c r="XDR1130" s="126"/>
      <c r="XDS1130" s="126"/>
      <c r="XDT1130" s="126"/>
      <c r="XDU1130" s="126"/>
    </row>
    <row r="1131" s="1" customFormat="1" ht="30" customHeight="1" spans="1:75 16331:16349">
      <c r="A1131" s="110">
        <v>0</v>
      </c>
      <c r="B1131" s="111">
        <v>0</v>
      </c>
      <c r="C1131" s="112">
        <v>0</v>
      </c>
      <c r="D1131" s="127"/>
      <c r="E1131" s="127"/>
      <c r="F1131" s="113" t="e">
        <f>VLOOKUP(E1131,[1]库存!$B$1:$C$65536,2,FALSE)</f>
        <v>#N/A</v>
      </c>
      <c r="G1131" s="113" t="e">
        <v>#N/A</v>
      </c>
      <c r="H1131" s="127"/>
      <c r="I1131" s="127"/>
      <c r="J1131" s="75"/>
      <c r="K1131" s="115"/>
      <c r="L1131" s="116">
        <v>0</v>
      </c>
      <c r="M1131" s="117">
        <v>0</v>
      </c>
      <c r="N1131" s="114">
        <v>0</v>
      </c>
      <c r="O1131" s="116">
        <v>0</v>
      </c>
      <c r="P1131" s="65">
        <f t="shared" si="71"/>
        <v>0</v>
      </c>
      <c r="Q1131" s="67"/>
      <c r="R1131" s="67"/>
      <c r="S1131" s="67"/>
      <c r="T1131" s="67"/>
      <c r="U1131" s="67"/>
      <c r="V1131" s="67"/>
      <c r="W1131" s="67"/>
      <c r="X1131" s="67"/>
      <c r="Y1131" s="67"/>
      <c r="Z1131" s="67"/>
      <c r="AA1131" s="67"/>
      <c r="AB1131" s="67"/>
      <c r="AC1131" s="67"/>
      <c r="AD1131" s="67"/>
      <c r="AE1131" s="67"/>
      <c r="AF1131" s="67"/>
      <c r="AG1131" s="67"/>
      <c r="AH1131" s="67"/>
      <c r="AI1131" s="67"/>
      <c r="AJ1131" s="67"/>
      <c r="AK1131" s="67"/>
      <c r="AL1131" s="67"/>
      <c r="AM1131" s="67"/>
      <c r="AN1131" s="67"/>
      <c r="AO1131" s="67"/>
      <c r="AP1131" s="67"/>
      <c r="AQ1131" s="67"/>
      <c r="AR1131" s="67"/>
      <c r="AS1131" s="67"/>
      <c r="AT1131" s="67"/>
      <c r="AU1131" s="67"/>
      <c r="AV1131" s="67"/>
      <c r="AW1131" s="67"/>
      <c r="AX1131" s="67"/>
      <c r="AY1131" s="67"/>
      <c r="AZ1131" s="67"/>
      <c r="BA1131" s="67"/>
      <c r="BB1131" s="67"/>
      <c r="BC1131" s="67"/>
      <c r="BD1131" s="67"/>
      <c r="BE1131" s="67"/>
      <c r="BF1131" s="67"/>
      <c r="BG1131" s="118"/>
      <c r="BH1131" s="119"/>
      <c r="BI1131" s="120">
        <v>0</v>
      </c>
      <c r="BJ1131" s="121">
        <v>0</v>
      </c>
      <c r="BK1131" s="122">
        <v>0</v>
      </c>
      <c r="BL1131" s="122">
        <v>0</v>
      </c>
      <c r="BM1131" s="122">
        <v>0</v>
      </c>
      <c r="BN1131" s="123">
        <v>0</v>
      </c>
      <c r="BO1131" s="204" t="e">
        <f t="shared" si="69"/>
        <v>#DIV/0!</v>
      </c>
      <c r="BP1131" s="204" t="e">
        <f t="shared" si="70"/>
        <v>#DIV/0!</v>
      </c>
      <c r="BQ1131" s="122">
        <v>0</v>
      </c>
      <c r="BR1131" s="122">
        <v>0</v>
      </c>
      <c r="BS1131" s="122">
        <v>0</v>
      </c>
      <c r="BT1131" s="123">
        <v>0</v>
      </c>
      <c r="BU1131" s="124"/>
      <c r="BV1131" s="124"/>
      <c r="BW1131" s="125"/>
      <c r="XDC1131" s="126"/>
      <c r="XDD1131" s="126"/>
      <c r="XDE1131" s="126"/>
      <c r="XDF1131" s="126"/>
      <c r="XDG1131" s="126"/>
      <c r="XDH1131" s="126"/>
      <c r="XDI1131" s="126"/>
      <c r="XDJ1131" s="126"/>
      <c r="XDK1131" s="126"/>
      <c r="XDL1131" s="126"/>
      <c r="XDM1131" s="126"/>
      <c r="XDN1131" s="126"/>
      <c r="XDO1131" s="126"/>
      <c r="XDP1131" s="126"/>
      <c r="XDQ1131" s="126"/>
      <c r="XDR1131" s="126"/>
      <c r="XDS1131" s="126"/>
      <c r="XDT1131" s="126"/>
      <c r="XDU1131" s="126"/>
    </row>
    <row r="1132" ht="30" customHeight="1" spans="1:75 16331:16349">
      <c r="A1132" s="55" t="s">
        <v>165</v>
      </c>
      <c r="B1132" s="56" t="s">
        <v>1057</v>
      </c>
      <c r="C1132" s="57" t="s">
        <v>1072</v>
      </c>
      <c r="D1132" s="59" t="s">
        <v>1869</v>
      </c>
      <c r="E1132" s="59"/>
      <c r="F1132" s="59" t="e">
        <f>VLOOKUP(E1132,[1]库存!$B$1:$C$65536,2,FALSE)</f>
        <v>#N/A</v>
      </c>
      <c r="G1132" s="59" t="e">
        <v>#N/A</v>
      </c>
      <c r="H1132" s="59" t="s">
        <v>1897</v>
      </c>
      <c r="I1132" s="59" t="s">
        <v>1898</v>
      </c>
      <c r="J1132" s="63"/>
      <c r="K1132" s="61"/>
      <c r="L1132" s="62">
        <v>2</v>
      </c>
      <c r="M1132" s="63">
        <v>1050</v>
      </c>
      <c r="N1132" s="64">
        <v>10</v>
      </c>
      <c r="O1132" s="62">
        <v>2</v>
      </c>
      <c r="P1132" s="65">
        <f t="shared" si="71"/>
        <v>0</v>
      </c>
      <c r="Q1132" s="66"/>
      <c r="R1132" s="66"/>
      <c r="S1132" s="66"/>
      <c r="T1132" s="66"/>
      <c r="U1132" s="66"/>
      <c r="V1132" s="66"/>
      <c r="W1132" s="66"/>
      <c r="X1132" s="66"/>
      <c r="Y1132" s="66"/>
      <c r="Z1132" s="66"/>
      <c r="AA1132" s="66"/>
      <c r="AB1132" s="66"/>
      <c r="AC1132" s="66"/>
      <c r="AD1132" s="66"/>
      <c r="AE1132" s="66"/>
      <c r="AF1132" s="66"/>
      <c r="AG1132" s="66"/>
      <c r="AH1132" s="66"/>
      <c r="AI1132" s="66"/>
      <c r="AJ1132" s="66"/>
      <c r="AK1132" s="66"/>
      <c r="AL1132" s="66"/>
      <c r="AM1132" s="66"/>
      <c r="AN1132" s="66"/>
      <c r="AO1132" s="66"/>
      <c r="AP1132" s="66"/>
      <c r="AQ1132" s="66"/>
      <c r="AR1132" s="66"/>
      <c r="AS1132" s="66"/>
      <c r="AT1132" s="66"/>
      <c r="AU1132" s="66"/>
      <c r="AV1132" s="66"/>
      <c r="AW1132" s="66"/>
      <c r="AX1132" s="66"/>
      <c r="AY1132" s="66"/>
      <c r="AZ1132" s="66"/>
      <c r="BA1132" s="66"/>
      <c r="BB1132" s="66"/>
      <c r="BC1132" s="66"/>
      <c r="BD1132" s="66"/>
      <c r="BE1132" s="67"/>
      <c r="BF1132" s="67"/>
      <c r="BG1132" s="68"/>
      <c r="BI1132" s="69">
        <v>0</v>
      </c>
      <c r="BJ1132" s="70">
        <v>0</v>
      </c>
      <c r="BK1132" s="71">
        <v>0</v>
      </c>
      <c r="BL1132" s="71">
        <v>0</v>
      </c>
      <c r="BM1132" s="71">
        <v>0</v>
      </c>
      <c r="BN1132" s="72">
        <v>0</v>
      </c>
      <c r="BO1132" s="151" t="e">
        <f t="shared" si="69"/>
        <v>#DIV/0!</v>
      </c>
      <c r="BP1132" s="151" t="e">
        <f t="shared" si="70"/>
        <v>#DIV/0!</v>
      </c>
      <c r="BQ1132" s="71">
        <v>0</v>
      </c>
      <c r="BR1132" s="71">
        <v>0</v>
      </c>
      <c r="BS1132" s="71">
        <v>0</v>
      </c>
      <c r="BT1132" s="72">
        <v>0</v>
      </c>
      <c r="BU1132" s="73"/>
      <c r="BV1132" s="73"/>
    </row>
    <row r="1133" ht="30" customHeight="1" spans="1:75 16331:16349">
      <c r="A1133" s="55">
        <v>0</v>
      </c>
      <c r="B1133" s="56">
        <v>0</v>
      </c>
      <c r="C1133" s="57">
        <v>0</v>
      </c>
      <c r="D1133" s="74"/>
      <c r="E1133" s="74"/>
      <c r="F1133" s="59" t="e">
        <f>VLOOKUP(E1133,[1]库存!$B$1:$C$65536,2,FALSE)</f>
        <v>#N/A</v>
      </c>
      <c r="G1133" s="59" t="e">
        <v>#N/A</v>
      </c>
      <c r="H1133" s="74"/>
      <c r="I1133" s="74"/>
      <c r="J1133" s="87"/>
      <c r="K1133" s="61"/>
      <c r="L1133" s="62">
        <v>0</v>
      </c>
      <c r="M1133" s="63">
        <v>0</v>
      </c>
      <c r="N1133" s="64">
        <v>0</v>
      </c>
      <c r="O1133" s="62">
        <v>0</v>
      </c>
      <c r="P1133" s="65">
        <f t="shared" si="71"/>
        <v>0</v>
      </c>
      <c r="Q1133" s="66"/>
      <c r="R1133" s="66"/>
      <c r="S1133" s="66"/>
      <c r="T1133" s="66"/>
      <c r="U1133" s="66"/>
      <c r="V1133" s="66"/>
      <c r="W1133" s="66"/>
      <c r="X1133" s="66"/>
      <c r="Y1133" s="66"/>
      <c r="Z1133" s="66"/>
      <c r="AA1133" s="66"/>
      <c r="AB1133" s="66"/>
      <c r="AC1133" s="66"/>
      <c r="AD1133" s="66"/>
      <c r="AE1133" s="66"/>
      <c r="AF1133" s="66"/>
      <c r="AG1133" s="66"/>
      <c r="AH1133" s="66"/>
      <c r="AI1133" s="66"/>
      <c r="AJ1133" s="66"/>
      <c r="AK1133" s="66"/>
      <c r="AL1133" s="66"/>
      <c r="AM1133" s="66"/>
      <c r="AN1133" s="66"/>
      <c r="AO1133" s="66"/>
      <c r="AP1133" s="66"/>
      <c r="AQ1133" s="66"/>
      <c r="AR1133" s="66"/>
      <c r="AS1133" s="66"/>
      <c r="AT1133" s="66"/>
      <c r="AU1133" s="66"/>
      <c r="AV1133" s="66"/>
      <c r="AW1133" s="66"/>
      <c r="AX1133" s="66"/>
      <c r="AY1133" s="66"/>
      <c r="AZ1133" s="66"/>
      <c r="BA1133" s="66"/>
      <c r="BB1133" s="66"/>
      <c r="BC1133" s="66"/>
      <c r="BD1133" s="66"/>
      <c r="BE1133" s="67"/>
      <c r="BF1133" s="67"/>
      <c r="BG1133" s="68"/>
      <c r="BI1133" s="69">
        <v>0</v>
      </c>
      <c r="BJ1133" s="70">
        <v>0</v>
      </c>
      <c r="BK1133" s="71">
        <v>0</v>
      </c>
      <c r="BL1133" s="71">
        <v>0</v>
      </c>
      <c r="BM1133" s="71">
        <v>0</v>
      </c>
      <c r="BN1133" s="72">
        <v>0</v>
      </c>
      <c r="BO1133" s="151" t="e">
        <f t="shared" si="69"/>
        <v>#DIV/0!</v>
      </c>
      <c r="BP1133" s="151" t="e">
        <f t="shared" si="70"/>
        <v>#DIV/0!</v>
      </c>
      <c r="BQ1133" s="71">
        <v>0</v>
      </c>
      <c r="BR1133" s="71">
        <v>0</v>
      </c>
      <c r="BS1133" s="71">
        <v>0</v>
      </c>
      <c r="BT1133" s="72">
        <v>0</v>
      </c>
      <c r="BU1133" s="73"/>
      <c r="BV1133" s="73"/>
    </row>
    <row r="1134" ht="30" customHeight="1" spans="1:75 16331:16349">
      <c r="A1134" s="55">
        <v>0</v>
      </c>
      <c r="B1134" s="56">
        <v>0</v>
      </c>
      <c r="C1134" s="57">
        <v>0</v>
      </c>
      <c r="E1134" s="88"/>
      <c r="F1134" s="59" t="e">
        <f>VLOOKUP(E1134,[1]库存!$B$1:$C$65536,2,FALSE)</f>
        <v>#N/A</v>
      </c>
      <c r="G1134" s="59" t="e">
        <v>#N/A</v>
      </c>
      <c r="H1134" s="89"/>
      <c r="I1134" s="88"/>
      <c r="J1134" s="90"/>
      <c r="K1134" s="61"/>
      <c r="L1134" s="62">
        <v>0</v>
      </c>
      <c r="M1134" s="63">
        <v>0</v>
      </c>
      <c r="N1134" s="64">
        <v>0</v>
      </c>
      <c r="O1134" s="62">
        <v>0</v>
      </c>
      <c r="P1134" s="65">
        <f t="shared" si="71"/>
        <v>0</v>
      </c>
      <c r="Q1134" s="66"/>
      <c r="R1134" s="66"/>
      <c r="S1134" s="66"/>
      <c r="T1134" s="66"/>
      <c r="U1134" s="66"/>
      <c r="V1134" s="66"/>
      <c r="W1134" s="66"/>
      <c r="X1134" s="66"/>
      <c r="Y1134" s="66"/>
      <c r="Z1134" s="66"/>
      <c r="AA1134" s="66"/>
      <c r="AB1134" s="66"/>
      <c r="AC1134" s="66"/>
      <c r="AD1134" s="66"/>
      <c r="AE1134" s="66"/>
      <c r="AF1134" s="66"/>
      <c r="AG1134" s="66"/>
      <c r="AH1134" s="66"/>
      <c r="AI1134" s="66"/>
      <c r="AJ1134" s="66"/>
      <c r="AK1134" s="66"/>
      <c r="AL1134" s="66"/>
      <c r="AM1134" s="66"/>
      <c r="AN1134" s="66"/>
      <c r="AO1134" s="66"/>
      <c r="AP1134" s="66"/>
      <c r="AQ1134" s="66"/>
      <c r="AR1134" s="66"/>
      <c r="AS1134" s="66"/>
      <c r="AT1134" s="66"/>
      <c r="AU1134" s="66"/>
      <c r="AV1134" s="66"/>
      <c r="AW1134" s="66"/>
      <c r="AX1134" s="66"/>
      <c r="AY1134" s="66"/>
      <c r="AZ1134" s="66"/>
      <c r="BA1134" s="66"/>
      <c r="BB1134" s="66"/>
      <c r="BC1134" s="66"/>
      <c r="BD1134" s="66"/>
      <c r="BE1134" s="67"/>
      <c r="BF1134" s="67"/>
      <c r="BG1134" s="68"/>
      <c r="BI1134" s="69">
        <v>0</v>
      </c>
      <c r="BJ1134" s="70">
        <v>0</v>
      </c>
      <c r="BK1134" s="71">
        <v>0</v>
      </c>
      <c r="BL1134" s="71">
        <v>0</v>
      </c>
      <c r="BM1134" s="71">
        <v>0</v>
      </c>
      <c r="BN1134" s="72">
        <v>0</v>
      </c>
      <c r="BO1134" s="151" t="e">
        <f t="shared" si="69"/>
        <v>#DIV/0!</v>
      </c>
      <c r="BP1134" s="151" t="e">
        <f t="shared" si="70"/>
        <v>#DIV/0!</v>
      </c>
      <c r="BQ1134" s="71">
        <v>0</v>
      </c>
      <c r="BR1134" s="71">
        <v>0</v>
      </c>
      <c r="BS1134" s="71">
        <v>0</v>
      </c>
      <c r="BT1134" s="72">
        <v>0</v>
      </c>
      <c r="BU1134" s="73"/>
      <c r="BV1134" s="73"/>
    </row>
    <row r="1135" ht="30" customHeight="1" spans="1:75 16331:16349">
      <c r="A1135" s="55" t="s">
        <v>540</v>
      </c>
      <c r="B1135" s="56" t="s">
        <v>1057</v>
      </c>
      <c r="C1135" s="57" t="s">
        <v>1058</v>
      </c>
      <c r="D1135" s="59" t="s">
        <v>1899</v>
      </c>
      <c r="E1135" s="59" t="s">
        <v>1900</v>
      </c>
      <c r="F1135" s="59" t="str">
        <f>VLOOKUP(E1135,[1]库存!$B$1:$C$65536,2,FALSE)</f>
        <v>VW371 SAB LH</v>
      </c>
      <c r="G1135" s="59" t="s">
        <v>1901</v>
      </c>
      <c r="H1135" s="59" t="s">
        <v>1902</v>
      </c>
      <c r="I1135" s="59" t="s">
        <v>1903</v>
      </c>
      <c r="J1135" s="63"/>
      <c r="K1135" s="61"/>
      <c r="L1135" s="62">
        <v>2</v>
      </c>
      <c r="M1135" s="63">
        <v>1600</v>
      </c>
      <c r="N1135" s="64">
        <v>8</v>
      </c>
      <c r="O1135" s="62">
        <v>2</v>
      </c>
      <c r="P1135" s="65">
        <f t="shared" si="71"/>
        <v>0</v>
      </c>
      <c r="Q1135" s="66"/>
      <c r="R1135" s="66"/>
      <c r="S1135" s="66"/>
      <c r="T1135" s="66"/>
      <c r="U1135" s="66"/>
      <c r="V1135" s="66"/>
      <c r="W1135" s="66"/>
      <c r="X1135" s="66"/>
      <c r="Y1135" s="66"/>
      <c r="Z1135" s="66"/>
      <c r="AA1135" s="66"/>
      <c r="AB1135" s="66"/>
      <c r="AC1135" s="66"/>
      <c r="AD1135" s="66"/>
      <c r="AE1135" s="66"/>
      <c r="AF1135" s="66"/>
      <c r="AG1135" s="66"/>
      <c r="AH1135" s="66"/>
      <c r="AI1135" s="66"/>
      <c r="AJ1135" s="66"/>
      <c r="AK1135" s="66"/>
      <c r="AL1135" s="66"/>
      <c r="AM1135" s="66"/>
      <c r="AN1135" s="66"/>
      <c r="AO1135" s="66"/>
      <c r="AP1135" s="66"/>
      <c r="AQ1135" s="66"/>
      <c r="AR1135" s="66"/>
      <c r="AS1135" s="66"/>
      <c r="AT1135" s="66"/>
      <c r="AU1135" s="66"/>
      <c r="AV1135" s="66"/>
      <c r="AW1135" s="66"/>
      <c r="AX1135" s="66"/>
      <c r="AY1135" s="66"/>
      <c r="AZ1135" s="66"/>
      <c r="BA1135" s="66"/>
      <c r="BB1135" s="66"/>
      <c r="BC1135" s="66"/>
      <c r="BD1135" s="66"/>
      <c r="BE1135" s="67"/>
      <c r="BF1135" s="67"/>
      <c r="BG1135" s="68"/>
      <c r="BI1135" s="69">
        <v>0</v>
      </c>
      <c r="BJ1135" s="70">
        <v>0</v>
      </c>
      <c r="BK1135" s="71">
        <v>0</v>
      </c>
      <c r="BL1135" s="71">
        <v>0</v>
      </c>
      <c r="BM1135" s="71">
        <v>0</v>
      </c>
      <c r="BN1135" s="72">
        <v>0</v>
      </c>
      <c r="BO1135" s="151" t="e">
        <f t="shared" si="69"/>
        <v>#DIV/0!</v>
      </c>
      <c r="BP1135" s="151" t="e">
        <f t="shared" si="70"/>
        <v>#DIV/0!</v>
      </c>
      <c r="BQ1135" s="71">
        <v>0</v>
      </c>
      <c r="BR1135" s="71">
        <v>0</v>
      </c>
      <c r="BS1135" s="71">
        <v>0</v>
      </c>
      <c r="BT1135" s="72">
        <v>0</v>
      </c>
      <c r="BU1135" s="73"/>
      <c r="BV1135" s="73"/>
    </row>
    <row r="1136" ht="30" customHeight="1" spans="1:75 16331:16349">
      <c r="A1136" s="55">
        <v>0</v>
      </c>
      <c r="B1136" s="56">
        <v>0</v>
      </c>
      <c r="C1136" s="57">
        <v>0</v>
      </c>
      <c r="D1136" s="74"/>
      <c r="E1136" s="74"/>
      <c r="F1136" s="59" t="e">
        <f>VLOOKUP(E1136,[1]库存!$B$1:$C$65536,2,FALSE)</f>
        <v>#N/A</v>
      </c>
      <c r="G1136" s="59" t="e">
        <v>#N/A</v>
      </c>
      <c r="H1136" s="74"/>
      <c r="I1136" s="74"/>
      <c r="J1136" s="87"/>
      <c r="K1136" s="61"/>
      <c r="L1136" s="62">
        <v>0</v>
      </c>
      <c r="M1136" s="63">
        <v>0</v>
      </c>
      <c r="N1136" s="64">
        <v>0</v>
      </c>
      <c r="O1136" s="62">
        <v>0</v>
      </c>
      <c r="P1136" s="65">
        <f t="shared" si="71"/>
        <v>0</v>
      </c>
      <c r="Q1136" s="66"/>
      <c r="R1136" s="66"/>
      <c r="S1136" s="66"/>
      <c r="T1136" s="66"/>
      <c r="U1136" s="66"/>
      <c r="V1136" s="66"/>
      <c r="W1136" s="66"/>
      <c r="X1136" s="66"/>
      <c r="Y1136" s="66"/>
      <c r="Z1136" s="66"/>
      <c r="AA1136" s="66"/>
      <c r="AB1136" s="66"/>
      <c r="AC1136" s="66"/>
      <c r="AD1136" s="66"/>
      <c r="AE1136" s="66"/>
      <c r="AF1136" s="66"/>
      <c r="AG1136" s="66"/>
      <c r="AH1136" s="66"/>
      <c r="AI1136" s="66"/>
      <c r="AJ1136" s="66"/>
      <c r="AK1136" s="66"/>
      <c r="AL1136" s="66"/>
      <c r="AM1136" s="66"/>
      <c r="AN1136" s="66"/>
      <c r="AO1136" s="66"/>
      <c r="AP1136" s="66"/>
      <c r="AQ1136" s="66"/>
      <c r="AR1136" s="66"/>
      <c r="AS1136" s="66"/>
      <c r="AT1136" s="66"/>
      <c r="AU1136" s="66"/>
      <c r="AV1136" s="66"/>
      <c r="AW1136" s="66"/>
      <c r="AX1136" s="66"/>
      <c r="AY1136" s="66"/>
      <c r="AZ1136" s="66"/>
      <c r="BA1136" s="66"/>
      <c r="BB1136" s="66"/>
      <c r="BC1136" s="66"/>
      <c r="BD1136" s="66"/>
      <c r="BE1136" s="67"/>
      <c r="BF1136" s="67"/>
      <c r="BG1136" s="68"/>
      <c r="BI1136" s="69">
        <v>0</v>
      </c>
      <c r="BJ1136" s="70">
        <v>0</v>
      </c>
      <c r="BK1136" s="71">
        <v>0</v>
      </c>
      <c r="BL1136" s="71">
        <v>0</v>
      </c>
      <c r="BM1136" s="71">
        <v>0</v>
      </c>
      <c r="BN1136" s="72">
        <v>0</v>
      </c>
      <c r="BO1136" s="151" t="e">
        <f t="shared" si="69"/>
        <v>#DIV/0!</v>
      </c>
      <c r="BP1136" s="151" t="e">
        <f t="shared" si="70"/>
        <v>#DIV/0!</v>
      </c>
      <c r="BQ1136" s="71">
        <v>0</v>
      </c>
      <c r="BR1136" s="71">
        <v>0</v>
      </c>
      <c r="BS1136" s="71">
        <v>0</v>
      </c>
      <c r="BT1136" s="72">
        <v>0</v>
      </c>
      <c r="BU1136" s="73"/>
      <c r="BV1136" s="73"/>
    </row>
    <row r="1137" ht="30" customHeight="1" spans="1:74">
      <c r="A1137" s="55" t="s">
        <v>540</v>
      </c>
      <c r="B1137" s="56" t="s">
        <v>1057</v>
      </c>
      <c r="C1137" s="57" t="s">
        <v>1058</v>
      </c>
      <c r="D1137" s="59" t="s">
        <v>1899</v>
      </c>
      <c r="E1137" s="59" t="s">
        <v>1904</v>
      </c>
      <c r="F1137" s="59" t="str">
        <f>VLOOKUP(E1137,[1]库存!$B$1:$C$65536,2,FALSE)</f>
        <v>VW371 SAB RH</v>
      </c>
      <c r="G1137" s="59" t="s">
        <v>1905</v>
      </c>
      <c r="H1137" s="59" t="s">
        <v>1906</v>
      </c>
      <c r="I1137" s="59" t="s">
        <v>1903</v>
      </c>
      <c r="J1137" s="63"/>
      <c r="K1137" s="61"/>
      <c r="L1137" s="62">
        <v>2</v>
      </c>
      <c r="M1137" s="63">
        <v>1600</v>
      </c>
      <c r="N1137" s="64">
        <v>8</v>
      </c>
      <c r="O1137" s="62">
        <v>2</v>
      </c>
      <c r="P1137" s="65">
        <f t="shared" si="71"/>
        <v>0</v>
      </c>
      <c r="Q1137" s="66"/>
      <c r="R1137" s="66"/>
      <c r="S1137" s="66"/>
      <c r="T1137" s="66"/>
      <c r="U1137" s="66"/>
      <c r="V1137" s="66"/>
      <c r="W1137" s="66"/>
      <c r="X1137" s="66"/>
      <c r="Y1137" s="66"/>
      <c r="Z1137" s="66"/>
      <c r="AA1137" s="66"/>
      <c r="AB1137" s="66"/>
      <c r="AC1137" s="66"/>
      <c r="AD1137" s="66"/>
      <c r="AE1137" s="66"/>
      <c r="AF1137" s="66"/>
      <c r="AG1137" s="66"/>
      <c r="AH1137" s="66"/>
      <c r="AI1137" s="66"/>
      <c r="AJ1137" s="66"/>
      <c r="AK1137" s="66"/>
      <c r="AL1137" s="66"/>
      <c r="AM1137" s="66"/>
      <c r="AN1137" s="66"/>
      <c r="AO1137" s="66"/>
      <c r="AP1137" s="66"/>
      <c r="AQ1137" s="66"/>
      <c r="AR1137" s="66"/>
      <c r="AS1137" s="66"/>
      <c r="AT1137" s="66"/>
      <c r="AU1137" s="66"/>
      <c r="AV1137" s="66"/>
      <c r="AW1137" s="66"/>
      <c r="AX1137" s="66"/>
      <c r="AY1137" s="66"/>
      <c r="AZ1137" s="66"/>
      <c r="BA1137" s="66"/>
      <c r="BB1137" s="66"/>
      <c r="BC1137" s="66"/>
      <c r="BD1137" s="66"/>
      <c r="BE1137" s="67"/>
      <c r="BF1137" s="67"/>
      <c r="BG1137" s="68"/>
      <c r="BI1137" s="69">
        <v>0</v>
      </c>
      <c r="BJ1137" s="70">
        <v>0</v>
      </c>
      <c r="BK1137" s="71">
        <v>0</v>
      </c>
      <c r="BL1137" s="71">
        <v>0</v>
      </c>
      <c r="BM1137" s="71">
        <v>0</v>
      </c>
      <c r="BN1137" s="72">
        <v>0</v>
      </c>
      <c r="BO1137" s="151" t="e">
        <f t="shared" si="69"/>
        <v>#DIV/0!</v>
      </c>
      <c r="BP1137" s="151" t="e">
        <f t="shared" si="70"/>
        <v>#DIV/0!</v>
      </c>
      <c r="BQ1137" s="71">
        <v>0</v>
      </c>
      <c r="BR1137" s="71">
        <v>0</v>
      </c>
      <c r="BS1137" s="71">
        <v>0</v>
      </c>
      <c r="BT1137" s="72">
        <v>0</v>
      </c>
      <c r="BU1137" s="73"/>
      <c r="BV1137" s="73"/>
    </row>
    <row r="1138" ht="30" customHeight="1" spans="1:74">
      <c r="A1138" s="55">
        <v>0</v>
      </c>
      <c r="B1138" s="56">
        <v>0</v>
      </c>
      <c r="C1138" s="57">
        <v>0</v>
      </c>
      <c r="D1138" s="74"/>
      <c r="E1138" s="74"/>
      <c r="F1138" s="59" t="e">
        <f>VLOOKUP(E1138,[1]库存!$B$1:$C$65536,2,FALSE)</f>
        <v>#N/A</v>
      </c>
      <c r="G1138" s="59" t="e">
        <v>#N/A</v>
      </c>
      <c r="H1138" s="74"/>
      <c r="I1138" s="74"/>
      <c r="J1138" s="87"/>
      <c r="K1138" s="61"/>
      <c r="L1138" s="62">
        <v>0</v>
      </c>
      <c r="M1138" s="63">
        <v>0</v>
      </c>
      <c r="N1138" s="64">
        <v>0</v>
      </c>
      <c r="O1138" s="62">
        <v>0</v>
      </c>
      <c r="P1138" s="65">
        <f t="shared" si="71"/>
        <v>0</v>
      </c>
      <c r="Q1138" s="66"/>
      <c r="R1138" s="66"/>
      <c r="S1138" s="66"/>
      <c r="T1138" s="66"/>
      <c r="U1138" s="66"/>
      <c r="V1138" s="66"/>
      <c r="W1138" s="66"/>
      <c r="X1138" s="66"/>
      <c r="Y1138" s="66"/>
      <c r="Z1138" s="66"/>
      <c r="AA1138" s="66"/>
      <c r="AB1138" s="66"/>
      <c r="AC1138" s="66"/>
      <c r="AD1138" s="66"/>
      <c r="AE1138" s="66"/>
      <c r="AF1138" s="66"/>
      <c r="AG1138" s="66"/>
      <c r="AH1138" s="66"/>
      <c r="AI1138" s="66"/>
      <c r="AJ1138" s="66"/>
      <c r="AK1138" s="66"/>
      <c r="AL1138" s="66"/>
      <c r="AM1138" s="66"/>
      <c r="AN1138" s="66"/>
      <c r="AO1138" s="66"/>
      <c r="AP1138" s="66"/>
      <c r="AQ1138" s="66"/>
      <c r="AR1138" s="66"/>
      <c r="AS1138" s="66"/>
      <c r="AT1138" s="66"/>
      <c r="AU1138" s="66"/>
      <c r="AV1138" s="66"/>
      <c r="AW1138" s="66"/>
      <c r="AX1138" s="66"/>
      <c r="AY1138" s="66"/>
      <c r="AZ1138" s="66"/>
      <c r="BA1138" s="66"/>
      <c r="BB1138" s="66"/>
      <c r="BC1138" s="66"/>
      <c r="BD1138" s="66"/>
      <c r="BE1138" s="67"/>
      <c r="BF1138" s="67"/>
      <c r="BG1138" s="68"/>
      <c r="BI1138" s="69">
        <v>0</v>
      </c>
      <c r="BJ1138" s="70">
        <v>0</v>
      </c>
      <c r="BK1138" s="71">
        <v>0</v>
      </c>
      <c r="BL1138" s="71">
        <v>0</v>
      </c>
      <c r="BM1138" s="71">
        <v>0</v>
      </c>
      <c r="BN1138" s="72">
        <v>0</v>
      </c>
      <c r="BO1138" s="151" t="e">
        <f t="shared" si="69"/>
        <v>#DIV/0!</v>
      </c>
      <c r="BP1138" s="151" t="e">
        <f t="shared" si="70"/>
        <v>#DIV/0!</v>
      </c>
      <c r="BQ1138" s="71">
        <v>0</v>
      </c>
      <c r="BR1138" s="71">
        <v>0</v>
      </c>
      <c r="BS1138" s="71">
        <v>0</v>
      </c>
      <c r="BT1138" s="72">
        <v>0</v>
      </c>
      <c r="BU1138" s="73"/>
      <c r="BV1138" s="73"/>
    </row>
    <row r="1139" ht="30" customHeight="1" spans="1:74">
      <c r="A1139" s="55">
        <v>0</v>
      </c>
      <c r="B1139" s="56">
        <v>0</v>
      </c>
      <c r="C1139" s="57">
        <v>0</v>
      </c>
      <c r="E1139" s="88"/>
      <c r="F1139" s="59" t="e">
        <f>VLOOKUP(E1139,[1]库存!$B$1:$C$65536,2,FALSE)</f>
        <v>#N/A</v>
      </c>
      <c r="G1139" s="59" t="e">
        <v>#N/A</v>
      </c>
      <c r="H1139" s="89"/>
      <c r="I1139" s="88"/>
      <c r="J1139" s="90"/>
      <c r="K1139" s="61"/>
      <c r="L1139" s="62">
        <v>0</v>
      </c>
      <c r="M1139" s="63">
        <v>0</v>
      </c>
      <c r="N1139" s="64">
        <v>0</v>
      </c>
      <c r="O1139" s="62">
        <v>0</v>
      </c>
      <c r="P1139" s="65">
        <f t="shared" si="71"/>
        <v>0</v>
      </c>
      <c r="Q1139" s="66"/>
      <c r="R1139" s="66"/>
      <c r="S1139" s="66"/>
      <c r="T1139" s="66"/>
      <c r="U1139" s="66"/>
      <c r="V1139" s="66"/>
      <c r="W1139" s="66"/>
      <c r="X1139" s="66"/>
      <c r="Y1139" s="66"/>
      <c r="Z1139" s="66"/>
      <c r="AA1139" s="66"/>
      <c r="AB1139" s="66"/>
      <c r="AC1139" s="66"/>
      <c r="AD1139" s="66"/>
      <c r="AE1139" s="66"/>
      <c r="AF1139" s="66"/>
      <c r="AG1139" s="66"/>
      <c r="AH1139" s="66"/>
      <c r="AI1139" s="66"/>
      <c r="AJ1139" s="66"/>
      <c r="AK1139" s="66"/>
      <c r="AL1139" s="66"/>
      <c r="AM1139" s="66"/>
      <c r="AN1139" s="66"/>
      <c r="AO1139" s="66"/>
      <c r="AP1139" s="66"/>
      <c r="AQ1139" s="66"/>
      <c r="AR1139" s="66"/>
      <c r="AS1139" s="66"/>
      <c r="AT1139" s="66"/>
      <c r="AU1139" s="66"/>
      <c r="AV1139" s="66"/>
      <c r="AW1139" s="66"/>
      <c r="AX1139" s="66"/>
      <c r="AY1139" s="66"/>
      <c r="AZ1139" s="66"/>
      <c r="BA1139" s="66"/>
      <c r="BB1139" s="66"/>
      <c r="BC1139" s="66"/>
      <c r="BD1139" s="66"/>
      <c r="BE1139" s="67"/>
      <c r="BF1139" s="67"/>
      <c r="BG1139" s="68"/>
      <c r="BI1139" s="69">
        <v>0</v>
      </c>
      <c r="BJ1139" s="70">
        <v>0</v>
      </c>
      <c r="BK1139" s="71">
        <v>0</v>
      </c>
      <c r="BL1139" s="71">
        <v>0</v>
      </c>
      <c r="BM1139" s="71">
        <v>0</v>
      </c>
      <c r="BN1139" s="72">
        <v>0</v>
      </c>
      <c r="BO1139" s="151" t="e">
        <f t="shared" si="69"/>
        <v>#DIV/0!</v>
      </c>
      <c r="BP1139" s="151" t="e">
        <f t="shared" si="70"/>
        <v>#DIV/0!</v>
      </c>
      <c r="BQ1139" s="71">
        <v>0</v>
      </c>
      <c r="BR1139" s="71">
        <v>0</v>
      </c>
      <c r="BS1139" s="71">
        <v>0</v>
      </c>
      <c r="BT1139" s="72">
        <v>0</v>
      </c>
      <c r="BU1139" s="73"/>
      <c r="BV1139" s="73"/>
    </row>
    <row r="1140" ht="30" customHeight="1" spans="1:74">
      <c r="A1140" s="55" t="s">
        <v>165</v>
      </c>
      <c r="B1140" s="56" t="s">
        <v>1057</v>
      </c>
      <c r="C1140" s="57" t="s">
        <v>1072</v>
      </c>
      <c r="D1140" s="91" t="s">
        <v>1907</v>
      </c>
      <c r="E1140" s="91" t="s">
        <v>1908</v>
      </c>
      <c r="F1140" s="91" t="str">
        <f>VLOOKUP(E1140,[1]库存!$B$1:$C$65536,2,FALSE)</f>
        <v>CDX707 SS DAB</v>
      </c>
      <c r="G1140" s="91" t="s">
        <v>1909</v>
      </c>
      <c r="H1140" s="91" t="s">
        <v>1910</v>
      </c>
      <c r="I1140" s="91" t="s">
        <v>1911</v>
      </c>
      <c r="J1140" s="64"/>
      <c r="K1140" s="61"/>
      <c r="L1140" s="62">
        <v>2</v>
      </c>
      <c r="M1140" s="63">
        <v>900</v>
      </c>
      <c r="N1140" s="64">
        <v>15</v>
      </c>
      <c r="O1140" s="62">
        <v>2</v>
      </c>
      <c r="P1140" s="65">
        <f t="shared" si="71"/>
        <v>0</v>
      </c>
      <c r="Q1140" s="66"/>
      <c r="R1140" s="66"/>
      <c r="S1140" s="66"/>
      <c r="T1140" s="66"/>
      <c r="U1140" s="66"/>
      <c r="V1140" s="66"/>
      <c r="W1140" s="66"/>
      <c r="X1140" s="66"/>
      <c r="Y1140" s="66"/>
      <c r="Z1140" s="66"/>
      <c r="AA1140" s="66"/>
      <c r="AB1140" s="66"/>
      <c r="AC1140" s="66"/>
      <c r="AD1140" s="66"/>
      <c r="AE1140" s="66"/>
      <c r="AF1140" s="66"/>
      <c r="AG1140" s="66"/>
      <c r="AH1140" s="66"/>
      <c r="AI1140" s="66"/>
      <c r="AJ1140" s="66"/>
      <c r="AK1140" s="66"/>
      <c r="AL1140" s="66"/>
      <c r="AM1140" s="66"/>
      <c r="AN1140" s="66"/>
      <c r="AO1140" s="66"/>
      <c r="AP1140" s="66"/>
      <c r="AQ1140" s="66"/>
      <c r="AR1140" s="66"/>
      <c r="AS1140" s="66"/>
      <c r="AT1140" s="66"/>
      <c r="AU1140" s="66"/>
      <c r="AV1140" s="66"/>
      <c r="AW1140" s="66"/>
      <c r="AX1140" s="66"/>
      <c r="AY1140" s="66"/>
      <c r="AZ1140" s="66"/>
      <c r="BA1140" s="66"/>
      <c r="BB1140" s="66"/>
      <c r="BC1140" s="66"/>
      <c r="BD1140" s="66"/>
      <c r="BE1140" s="67"/>
      <c r="BF1140" s="67"/>
      <c r="BG1140" s="68"/>
      <c r="BI1140" s="69">
        <v>0</v>
      </c>
      <c r="BJ1140" s="70">
        <v>0</v>
      </c>
      <c r="BK1140" s="71">
        <v>0</v>
      </c>
      <c r="BL1140" s="71">
        <v>0</v>
      </c>
      <c r="BM1140" s="71">
        <v>0</v>
      </c>
      <c r="BN1140" s="72">
        <v>0</v>
      </c>
      <c r="BO1140" s="151" t="e">
        <f t="shared" si="69"/>
        <v>#DIV/0!</v>
      </c>
      <c r="BP1140" s="151" t="e">
        <f t="shared" si="70"/>
        <v>#DIV/0!</v>
      </c>
      <c r="BQ1140" s="71">
        <v>0</v>
      </c>
      <c r="BR1140" s="71">
        <v>0</v>
      </c>
      <c r="BS1140" s="71">
        <v>0</v>
      </c>
      <c r="BT1140" s="72">
        <v>0</v>
      </c>
      <c r="BU1140" s="73"/>
      <c r="BV1140" s="73"/>
    </row>
    <row r="1141" ht="30" customHeight="1" spans="1:74">
      <c r="A1141" s="55">
        <v>0</v>
      </c>
      <c r="B1141" s="56">
        <v>0</v>
      </c>
      <c r="C1141" s="57">
        <v>0</v>
      </c>
      <c r="D1141" s="92"/>
      <c r="E1141" s="92"/>
      <c r="F1141" s="91" t="e">
        <f>VLOOKUP(E1141,[1]库存!$B$1:$C$65536,2,FALSE)</f>
        <v>#N/A</v>
      </c>
      <c r="G1141" s="91" t="e">
        <v>#N/A</v>
      </c>
      <c r="H1141" s="92"/>
      <c r="I1141" s="92"/>
      <c r="J1141" s="93"/>
      <c r="K1141" s="61"/>
      <c r="L1141" s="62">
        <v>0</v>
      </c>
      <c r="M1141" s="63">
        <v>0</v>
      </c>
      <c r="N1141" s="64">
        <v>0</v>
      </c>
      <c r="O1141" s="62">
        <v>0</v>
      </c>
      <c r="P1141" s="65">
        <f t="shared" si="71"/>
        <v>0</v>
      </c>
      <c r="Q1141" s="66"/>
      <c r="R1141" s="66"/>
      <c r="S1141" s="66"/>
      <c r="T1141" s="66"/>
      <c r="U1141" s="66"/>
      <c r="V1141" s="66"/>
      <c r="W1141" s="66"/>
      <c r="X1141" s="66"/>
      <c r="Y1141" s="66"/>
      <c r="Z1141" s="66"/>
      <c r="AA1141" s="66"/>
      <c r="AB1141" s="66"/>
      <c r="AC1141" s="66"/>
      <c r="AD1141" s="66"/>
      <c r="AE1141" s="66"/>
      <c r="AF1141" s="66"/>
      <c r="AG1141" s="66"/>
      <c r="AH1141" s="66"/>
      <c r="AI1141" s="66"/>
      <c r="AJ1141" s="66"/>
      <c r="AK1141" s="66"/>
      <c r="AL1141" s="66"/>
      <c r="AM1141" s="66"/>
      <c r="AN1141" s="66"/>
      <c r="AO1141" s="66"/>
      <c r="AP1141" s="66"/>
      <c r="AQ1141" s="66"/>
      <c r="AR1141" s="66"/>
      <c r="AS1141" s="66"/>
      <c r="AT1141" s="66"/>
      <c r="AU1141" s="66"/>
      <c r="AV1141" s="66"/>
      <c r="AW1141" s="66"/>
      <c r="AX1141" s="66"/>
      <c r="AY1141" s="66"/>
      <c r="AZ1141" s="66"/>
      <c r="BA1141" s="66"/>
      <c r="BB1141" s="66"/>
      <c r="BC1141" s="66"/>
      <c r="BD1141" s="66"/>
      <c r="BE1141" s="67"/>
      <c r="BF1141" s="67"/>
      <c r="BG1141" s="68"/>
      <c r="BI1141" s="69">
        <v>0</v>
      </c>
      <c r="BJ1141" s="70">
        <v>0</v>
      </c>
      <c r="BK1141" s="71">
        <v>0</v>
      </c>
      <c r="BL1141" s="71">
        <v>0</v>
      </c>
      <c r="BM1141" s="71">
        <v>0</v>
      </c>
      <c r="BN1141" s="72">
        <v>0</v>
      </c>
      <c r="BO1141" s="151" t="e">
        <f t="shared" si="69"/>
        <v>#DIV/0!</v>
      </c>
      <c r="BP1141" s="151" t="e">
        <f t="shared" si="70"/>
        <v>#DIV/0!</v>
      </c>
      <c r="BQ1141" s="71">
        <v>0</v>
      </c>
      <c r="BR1141" s="71">
        <v>0</v>
      </c>
      <c r="BS1141" s="71">
        <v>0</v>
      </c>
      <c r="BT1141" s="72">
        <v>0</v>
      </c>
      <c r="BU1141" s="73"/>
      <c r="BV1141" s="73"/>
    </row>
    <row r="1142" ht="30" customHeight="1" spans="1:74">
      <c r="A1142" s="55" t="s">
        <v>165</v>
      </c>
      <c r="B1142" s="56" t="s">
        <v>1057</v>
      </c>
      <c r="C1142" s="57" t="s">
        <v>1072</v>
      </c>
      <c r="D1142" s="91" t="s">
        <v>1907</v>
      </c>
      <c r="E1142" s="91" t="s">
        <v>1912</v>
      </c>
      <c r="F1142" s="91" t="str">
        <f>VLOOKUP(E1142,[1]库存!$B$1:$C$65536,2,FALSE)</f>
        <v>CX483N DAB A状态</v>
      </c>
      <c r="G1142" s="91" t="s">
        <v>1913</v>
      </c>
      <c r="H1142" s="91" t="s">
        <v>1914</v>
      </c>
      <c r="I1142" s="91" t="s">
        <v>1915</v>
      </c>
      <c r="J1142" s="63"/>
      <c r="K1142" s="61"/>
      <c r="L1142" s="62">
        <v>2</v>
      </c>
      <c r="M1142" s="63">
        <v>900</v>
      </c>
      <c r="N1142" s="64">
        <v>16</v>
      </c>
      <c r="O1142" s="62">
        <v>2</v>
      </c>
      <c r="P1142" s="65">
        <f t="shared" si="71"/>
        <v>0</v>
      </c>
      <c r="Q1142" s="66"/>
      <c r="R1142" s="66"/>
      <c r="S1142" s="66"/>
      <c r="T1142" s="66"/>
      <c r="U1142" s="66"/>
      <c r="V1142" s="66"/>
      <c r="W1142" s="66"/>
      <c r="X1142" s="66"/>
      <c r="Y1142" s="66"/>
      <c r="Z1142" s="66"/>
      <c r="AA1142" s="66"/>
      <c r="AB1142" s="66"/>
      <c r="AC1142" s="66"/>
      <c r="AD1142" s="66"/>
      <c r="AE1142" s="66"/>
      <c r="AF1142" s="66"/>
      <c r="AG1142" s="66"/>
      <c r="AH1142" s="66"/>
      <c r="AI1142" s="66"/>
      <c r="AJ1142" s="66"/>
      <c r="AK1142" s="66"/>
      <c r="AL1142" s="66"/>
      <c r="AM1142" s="66"/>
      <c r="AN1142" s="66"/>
      <c r="AO1142" s="66"/>
      <c r="AP1142" s="66"/>
      <c r="AQ1142" s="66"/>
      <c r="AR1142" s="66"/>
      <c r="AS1142" s="66"/>
      <c r="AT1142" s="66"/>
      <c r="AU1142" s="66"/>
      <c r="AV1142" s="66"/>
      <c r="AW1142" s="66"/>
      <c r="AX1142" s="66"/>
      <c r="AY1142" s="66"/>
      <c r="AZ1142" s="66"/>
      <c r="BA1142" s="66"/>
      <c r="BB1142" s="66"/>
      <c r="BC1142" s="66"/>
      <c r="BD1142" s="66"/>
      <c r="BE1142" s="67"/>
      <c r="BF1142" s="67"/>
      <c r="BG1142" s="68"/>
      <c r="BI1142" s="69">
        <v>0</v>
      </c>
      <c r="BJ1142" s="70">
        <v>0</v>
      </c>
      <c r="BK1142" s="71">
        <v>0</v>
      </c>
      <c r="BL1142" s="71">
        <v>0</v>
      </c>
      <c r="BM1142" s="71">
        <v>0</v>
      </c>
      <c r="BN1142" s="72">
        <v>0</v>
      </c>
      <c r="BO1142" s="151" t="e">
        <f t="shared" si="69"/>
        <v>#DIV/0!</v>
      </c>
      <c r="BP1142" s="151" t="e">
        <f t="shared" si="70"/>
        <v>#DIV/0!</v>
      </c>
      <c r="BQ1142" s="71">
        <v>0</v>
      </c>
      <c r="BR1142" s="71">
        <v>0</v>
      </c>
      <c r="BS1142" s="71">
        <v>0</v>
      </c>
      <c r="BT1142" s="72">
        <v>0</v>
      </c>
      <c r="BU1142" s="73"/>
      <c r="BV1142" s="73"/>
    </row>
    <row r="1143" ht="30" customHeight="1" spans="1:74">
      <c r="A1143" s="55">
        <v>0</v>
      </c>
      <c r="B1143" s="56">
        <v>0</v>
      </c>
      <c r="C1143" s="57">
        <v>0</v>
      </c>
      <c r="D1143" s="92"/>
      <c r="E1143" s="92"/>
      <c r="F1143" s="91" t="e">
        <f>VLOOKUP(E1143,[1]库存!$B$1:$C$65536,2,FALSE)</f>
        <v>#N/A</v>
      </c>
      <c r="G1143" s="91" t="e">
        <v>#N/A</v>
      </c>
      <c r="H1143" s="92"/>
      <c r="I1143" s="92"/>
      <c r="J1143" s="87"/>
      <c r="K1143" s="61"/>
      <c r="L1143" s="62">
        <v>0</v>
      </c>
      <c r="M1143" s="63">
        <v>0</v>
      </c>
      <c r="N1143" s="64">
        <v>0</v>
      </c>
      <c r="O1143" s="62">
        <v>0</v>
      </c>
      <c r="P1143" s="65">
        <f t="shared" si="71"/>
        <v>0</v>
      </c>
      <c r="Q1143" s="66"/>
      <c r="R1143" s="66"/>
      <c r="S1143" s="66"/>
      <c r="T1143" s="66"/>
      <c r="U1143" s="66"/>
      <c r="V1143" s="66"/>
      <c r="W1143" s="66"/>
      <c r="X1143" s="66"/>
      <c r="Y1143" s="66"/>
      <c r="Z1143" s="66"/>
      <c r="AA1143" s="66"/>
      <c r="AB1143" s="66"/>
      <c r="AC1143" s="66"/>
      <c r="AD1143" s="66"/>
      <c r="AE1143" s="66"/>
      <c r="AF1143" s="66"/>
      <c r="AG1143" s="66"/>
      <c r="AH1143" s="66"/>
      <c r="AI1143" s="66"/>
      <c r="AJ1143" s="66"/>
      <c r="AK1143" s="66"/>
      <c r="AL1143" s="66"/>
      <c r="AM1143" s="66"/>
      <c r="AN1143" s="66"/>
      <c r="AO1143" s="66"/>
      <c r="AP1143" s="66"/>
      <c r="AQ1143" s="66"/>
      <c r="AR1143" s="66"/>
      <c r="AS1143" s="66"/>
      <c r="AT1143" s="66"/>
      <c r="AU1143" s="66"/>
      <c r="AV1143" s="66"/>
      <c r="AW1143" s="66"/>
      <c r="AX1143" s="66"/>
      <c r="AY1143" s="66"/>
      <c r="AZ1143" s="66"/>
      <c r="BA1143" s="66"/>
      <c r="BB1143" s="66"/>
      <c r="BC1143" s="66"/>
      <c r="BD1143" s="66"/>
      <c r="BE1143" s="67"/>
      <c r="BF1143" s="67"/>
      <c r="BG1143" s="68"/>
      <c r="BI1143" s="69">
        <v>0</v>
      </c>
      <c r="BJ1143" s="70">
        <v>0</v>
      </c>
      <c r="BK1143" s="71">
        <v>0</v>
      </c>
      <c r="BL1143" s="71">
        <v>0</v>
      </c>
      <c r="BM1143" s="71">
        <v>0</v>
      </c>
      <c r="BN1143" s="72">
        <v>0</v>
      </c>
      <c r="BO1143" s="151" t="e">
        <f t="shared" si="69"/>
        <v>#DIV/0!</v>
      </c>
      <c r="BP1143" s="151" t="e">
        <f t="shared" si="70"/>
        <v>#DIV/0!</v>
      </c>
      <c r="BQ1143" s="71">
        <v>0</v>
      </c>
      <c r="BR1143" s="71">
        <v>0</v>
      </c>
      <c r="BS1143" s="71">
        <v>0</v>
      </c>
      <c r="BT1143" s="72">
        <v>0</v>
      </c>
      <c r="BU1143" s="73"/>
      <c r="BV1143" s="73"/>
    </row>
    <row r="1144" ht="30" customHeight="1" spans="1:74">
      <c r="A1144" s="55">
        <v>0</v>
      </c>
      <c r="B1144" s="56">
        <v>0</v>
      </c>
      <c r="C1144" s="57">
        <v>0</v>
      </c>
      <c r="E1144" s="88"/>
      <c r="F1144" s="59" t="e">
        <f>VLOOKUP(E1144,[1]库存!$B$1:$C$65536,2,FALSE)</f>
        <v>#N/A</v>
      </c>
      <c r="G1144" s="59" t="e">
        <v>#N/A</v>
      </c>
      <c r="H1144" s="89"/>
      <c r="I1144" s="88"/>
      <c r="J1144" s="90"/>
      <c r="K1144" s="61"/>
      <c r="L1144" s="62">
        <v>0</v>
      </c>
      <c r="M1144" s="63">
        <v>0</v>
      </c>
      <c r="N1144" s="64">
        <v>0</v>
      </c>
      <c r="O1144" s="62">
        <v>0</v>
      </c>
      <c r="P1144" s="65">
        <f t="shared" si="71"/>
        <v>0</v>
      </c>
      <c r="Q1144" s="66"/>
      <c r="R1144" s="66"/>
      <c r="S1144" s="66"/>
      <c r="T1144" s="66"/>
      <c r="U1144" s="66"/>
      <c r="V1144" s="66"/>
      <c r="W1144" s="66"/>
      <c r="X1144" s="66"/>
      <c r="Y1144" s="66"/>
      <c r="Z1144" s="66"/>
      <c r="AA1144" s="66"/>
      <c r="AB1144" s="66"/>
      <c r="AC1144" s="66"/>
      <c r="AD1144" s="66"/>
      <c r="AE1144" s="66"/>
      <c r="AF1144" s="66"/>
      <c r="AG1144" s="66"/>
      <c r="AH1144" s="66"/>
      <c r="AI1144" s="66"/>
      <c r="AJ1144" s="66"/>
      <c r="AK1144" s="66"/>
      <c r="AL1144" s="66"/>
      <c r="AM1144" s="66"/>
      <c r="AN1144" s="66"/>
      <c r="AO1144" s="66"/>
      <c r="AP1144" s="66"/>
      <c r="AQ1144" s="66"/>
      <c r="AR1144" s="66"/>
      <c r="AS1144" s="66"/>
      <c r="AT1144" s="66"/>
      <c r="AU1144" s="66"/>
      <c r="AV1144" s="66"/>
      <c r="AW1144" s="66"/>
      <c r="AX1144" s="66"/>
      <c r="AY1144" s="66"/>
      <c r="AZ1144" s="66"/>
      <c r="BA1144" s="66"/>
      <c r="BB1144" s="66"/>
      <c r="BC1144" s="66"/>
      <c r="BD1144" s="66"/>
      <c r="BE1144" s="67"/>
      <c r="BF1144" s="67"/>
      <c r="BG1144" s="68"/>
      <c r="BI1144" s="69">
        <v>0</v>
      </c>
      <c r="BJ1144" s="70">
        <v>0</v>
      </c>
      <c r="BK1144" s="71">
        <v>0</v>
      </c>
      <c r="BL1144" s="71">
        <v>0</v>
      </c>
      <c r="BM1144" s="71">
        <v>0</v>
      </c>
      <c r="BN1144" s="72">
        <v>0</v>
      </c>
      <c r="BO1144" s="151" t="e">
        <f t="shared" si="69"/>
        <v>#DIV/0!</v>
      </c>
      <c r="BP1144" s="151" t="e">
        <f t="shared" si="70"/>
        <v>#DIV/0!</v>
      </c>
      <c r="BQ1144" s="71">
        <v>0</v>
      </c>
      <c r="BR1144" s="71">
        <v>0</v>
      </c>
      <c r="BS1144" s="71">
        <v>0</v>
      </c>
      <c r="BT1144" s="72">
        <v>0</v>
      </c>
      <c r="BU1144" s="73"/>
      <c r="BV1144" s="73"/>
    </row>
    <row r="1145" ht="30" customHeight="1" spans="1:74">
      <c r="A1145" s="55" t="s">
        <v>540</v>
      </c>
      <c r="B1145" s="56" t="s">
        <v>1057</v>
      </c>
      <c r="C1145" s="57" t="s">
        <v>1058</v>
      </c>
      <c r="D1145" s="91" t="s">
        <v>1916</v>
      </c>
      <c r="E1145" s="91" t="s">
        <v>1917</v>
      </c>
      <c r="F1145" s="91" t="str">
        <f>VLOOKUP(E1145,[1]库存!$B$1:$C$65536,2,FALSE)</f>
        <v>TOYOTA 312D KAB A状态</v>
      </c>
      <c r="G1145" s="91" t="s">
        <v>1918</v>
      </c>
      <c r="H1145" s="91" t="s">
        <v>1919</v>
      </c>
      <c r="I1145" s="91" t="s">
        <v>1920</v>
      </c>
      <c r="J1145" s="63"/>
      <c r="K1145" s="61"/>
      <c r="L1145" s="62">
        <v>2</v>
      </c>
      <c r="M1145" s="63">
        <v>750</v>
      </c>
      <c r="N1145" s="64">
        <v>13</v>
      </c>
      <c r="O1145" s="62">
        <v>2</v>
      </c>
      <c r="P1145" s="65">
        <f t="shared" si="71"/>
        <v>0</v>
      </c>
      <c r="Q1145" s="66"/>
      <c r="R1145" s="66"/>
      <c r="S1145" s="66"/>
      <c r="T1145" s="66"/>
      <c r="U1145" s="66"/>
      <c r="V1145" s="66"/>
      <c r="W1145" s="66"/>
      <c r="X1145" s="66"/>
      <c r="Y1145" s="66"/>
      <c r="Z1145" s="66"/>
      <c r="AA1145" s="66"/>
      <c r="AB1145" s="66"/>
      <c r="AC1145" s="66"/>
      <c r="AD1145" s="66"/>
      <c r="AE1145" s="66"/>
      <c r="AF1145" s="66"/>
      <c r="AG1145" s="66"/>
      <c r="AH1145" s="66"/>
      <c r="AI1145" s="66"/>
      <c r="AJ1145" s="66"/>
      <c r="AK1145" s="66"/>
      <c r="AL1145" s="66"/>
      <c r="AM1145" s="66"/>
      <c r="AN1145" s="66"/>
      <c r="AO1145" s="66"/>
      <c r="AP1145" s="66"/>
      <c r="AQ1145" s="66"/>
      <c r="AR1145" s="66"/>
      <c r="AS1145" s="66"/>
      <c r="AT1145" s="66"/>
      <c r="AU1145" s="66"/>
      <c r="AV1145" s="66"/>
      <c r="AW1145" s="66"/>
      <c r="AX1145" s="66"/>
      <c r="AY1145" s="66"/>
      <c r="AZ1145" s="66"/>
      <c r="BA1145" s="66"/>
      <c r="BB1145" s="66"/>
      <c r="BC1145" s="66"/>
      <c r="BD1145" s="66"/>
      <c r="BE1145" s="67"/>
      <c r="BF1145" s="67"/>
      <c r="BG1145" s="68"/>
      <c r="BI1145" s="69">
        <v>0</v>
      </c>
      <c r="BJ1145" s="70">
        <v>0</v>
      </c>
      <c r="BK1145" s="71">
        <v>0</v>
      </c>
      <c r="BL1145" s="71">
        <v>0</v>
      </c>
      <c r="BM1145" s="71">
        <v>0</v>
      </c>
      <c r="BN1145" s="72">
        <v>0</v>
      </c>
      <c r="BO1145" s="151" t="e">
        <f t="shared" si="69"/>
        <v>#DIV/0!</v>
      </c>
      <c r="BP1145" s="151" t="e">
        <f t="shared" si="70"/>
        <v>#DIV/0!</v>
      </c>
      <c r="BQ1145" s="71">
        <v>0</v>
      </c>
      <c r="BR1145" s="71">
        <v>0</v>
      </c>
      <c r="BS1145" s="71">
        <v>0</v>
      </c>
      <c r="BT1145" s="72">
        <v>0</v>
      </c>
      <c r="BU1145" s="73"/>
      <c r="BV1145" s="73"/>
    </row>
    <row r="1146" ht="30" customHeight="1" spans="1:74">
      <c r="A1146" s="55">
        <v>0</v>
      </c>
      <c r="B1146" s="56">
        <v>0</v>
      </c>
      <c r="C1146" s="57">
        <v>0</v>
      </c>
      <c r="D1146" s="92"/>
      <c r="E1146" s="92"/>
      <c r="F1146" s="91" t="e">
        <f>VLOOKUP(E1146,[1]库存!$B$1:$C$65536,2,FALSE)</f>
        <v>#N/A</v>
      </c>
      <c r="G1146" s="91" t="e">
        <v>#N/A</v>
      </c>
      <c r="H1146" s="92"/>
      <c r="I1146" s="92"/>
      <c r="J1146" s="87"/>
      <c r="K1146" s="61"/>
      <c r="L1146" s="62">
        <v>0</v>
      </c>
      <c r="M1146" s="63">
        <v>0</v>
      </c>
      <c r="N1146" s="64">
        <v>0</v>
      </c>
      <c r="O1146" s="62">
        <v>0</v>
      </c>
      <c r="P1146" s="65">
        <f t="shared" si="71"/>
        <v>0</v>
      </c>
      <c r="Q1146" s="66"/>
      <c r="R1146" s="66"/>
      <c r="S1146" s="66"/>
      <c r="T1146" s="66"/>
      <c r="U1146" s="66"/>
      <c r="V1146" s="66"/>
      <c r="W1146" s="66"/>
      <c r="X1146" s="66"/>
      <c r="Y1146" s="66"/>
      <c r="Z1146" s="66"/>
      <c r="AA1146" s="66"/>
      <c r="AB1146" s="66"/>
      <c r="AC1146" s="66"/>
      <c r="AD1146" s="66"/>
      <c r="AE1146" s="66"/>
      <c r="AF1146" s="66"/>
      <c r="AG1146" s="66"/>
      <c r="AH1146" s="66"/>
      <c r="AI1146" s="66"/>
      <c r="AJ1146" s="66"/>
      <c r="AK1146" s="66"/>
      <c r="AL1146" s="66"/>
      <c r="AM1146" s="66"/>
      <c r="AN1146" s="66"/>
      <c r="AO1146" s="66"/>
      <c r="AP1146" s="66"/>
      <c r="AQ1146" s="66"/>
      <c r="AR1146" s="66"/>
      <c r="AS1146" s="66"/>
      <c r="AT1146" s="66"/>
      <c r="AU1146" s="66"/>
      <c r="AV1146" s="66"/>
      <c r="AW1146" s="66"/>
      <c r="AX1146" s="66"/>
      <c r="AY1146" s="66"/>
      <c r="AZ1146" s="66"/>
      <c r="BA1146" s="66"/>
      <c r="BB1146" s="66"/>
      <c r="BC1146" s="66"/>
      <c r="BD1146" s="66"/>
      <c r="BE1146" s="67"/>
      <c r="BF1146" s="67"/>
      <c r="BG1146" s="68"/>
      <c r="BI1146" s="69">
        <v>0</v>
      </c>
      <c r="BJ1146" s="70">
        <v>0</v>
      </c>
      <c r="BK1146" s="71">
        <v>0</v>
      </c>
      <c r="BL1146" s="71">
        <v>0</v>
      </c>
      <c r="BM1146" s="71">
        <v>0</v>
      </c>
      <c r="BN1146" s="72">
        <v>0</v>
      </c>
      <c r="BO1146" s="151" t="e">
        <f t="shared" si="69"/>
        <v>#DIV/0!</v>
      </c>
      <c r="BP1146" s="151" t="e">
        <f t="shared" si="70"/>
        <v>#DIV/0!</v>
      </c>
      <c r="BQ1146" s="71">
        <v>0</v>
      </c>
      <c r="BR1146" s="71">
        <v>0</v>
      </c>
      <c r="BS1146" s="71">
        <v>0</v>
      </c>
      <c r="BT1146" s="72">
        <v>0</v>
      </c>
      <c r="BU1146" s="73"/>
      <c r="BV1146" s="73"/>
    </row>
    <row r="1147" ht="30" customHeight="1" spans="1:74">
      <c r="A1147" s="55">
        <v>0</v>
      </c>
      <c r="B1147" s="56">
        <v>0</v>
      </c>
      <c r="C1147" s="57">
        <v>0</v>
      </c>
      <c r="D1147" s="210"/>
      <c r="E1147" s="235"/>
      <c r="F1147" s="59" t="e">
        <f>VLOOKUP(E1147,[1]库存!$B$1:$C$65536,2,FALSE)</f>
        <v>#N/A</v>
      </c>
      <c r="G1147" s="59" t="e">
        <v>#N/A</v>
      </c>
      <c r="H1147" s="52"/>
      <c r="I1147" s="236"/>
      <c r="J1147" s="90"/>
      <c r="K1147" s="61"/>
      <c r="L1147" s="62">
        <v>0</v>
      </c>
      <c r="M1147" s="63">
        <v>0</v>
      </c>
      <c r="N1147" s="64">
        <v>0</v>
      </c>
      <c r="O1147" s="62">
        <v>0</v>
      </c>
      <c r="P1147" s="65">
        <f t="shared" si="71"/>
        <v>0</v>
      </c>
      <c r="Q1147" s="66"/>
      <c r="R1147" s="66"/>
      <c r="S1147" s="66"/>
      <c r="T1147" s="66"/>
      <c r="U1147" s="66"/>
      <c r="V1147" s="66"/>
      <c r="W1147" s="66"/>
      <c r="X1147" s="66"/>
      <c r="Y1147" s="66"/>
      <c r="Z1147" s="66"/>
      <c r="AA1147" s="66"/>
      <c r="AB1147" s="66"/>
      <c r="AC1147" s="66"/>
      <c r="AD1147" s="66"/>
      <c r="AE1147" s="66"/>
      <c r="AF1147" s="66"/>
      <c r="AG1147" s="66"/>
      <c r="AH1147" s="66"/>
      <c r="AI1147" s="66"/>
      <c r="AJ1147" s="66"/>
      <c r="AK1147" s="66"/>
      <c r="AL1147" s="66"/>
      <c r="AM1147" s="66"/>
      <c r="AN1147" s="66"/>
      <c r="AO1147" s="66"/>
      <c r="AP1147" s="66"/>
      <c r="AQ1147" s="66"/>
      <c r="AR1147" s="66"/>
      <c r="AS1147" s="66"/>
      <c r="AT1147" s="66"/>
      <c r="AU1147" s="66"/>
      <c r="AV1147" s="66"/>
      <c r="AW1147" s="66"/>
      <c r="AX1147" s="66"/>
      <c r="AY1147" s="66"/>
      <c r="AZ1147" s="66"/>
      <c r="BA1147" s="66"/>
      <c r="BB1147" s="66"/>
      <c r="BC1147" s="66"/>
      <c r="BD1147" s="66"/>
      <c r="BE1147" s="67"/>
      <c r="BF1147" s="67"/>
      <c r="BG1147" s="68"/>
      <c r="BI1147" s="69">
        <v>0</v>
      </c>
      <c r="BJ1147" s="70">
        <v>0</v>
      </c>
      <c r="BK1147" s="71">
        <v>0</v>
      </c>
      <c r="BL1147" s="71">
        <v>0</v>
      </c>
      <c r="BM1147" s="71">
        <v>0</v>
      </c>
      <c r="BN1147" s="72">
        <v>0</v>
      </c>
      <c r="BO1147" s="151" t="e">
        <f t="shared" si="69"/>
        <v>#DIV/0!</v>
      </c>
      <c r="BP1147" s="151" t="e">
        <f t="shared" si="70"/>
        <v>#DIV/0!</v>
      </c>
      <c r="BQ1147" s="71">
        <v>0</v>
      </c>
      <c r="BR1147" s="71">
        <v>0</v>
      </c>
      <c r="BS1147" s="71">
        <v>0</v>
      </c>
      <c r="BT1147" s="72">
        <v>0</v>
      </c>
      <c r="BU1147" s="73"/>
      <c r="BV1147" s="73"/>
    </row>
    <row r="1148" ht="30" customHeight="1" spans="1:74">
      <c r="A1148" s="55" t="s">
        <v>246</v>
      </c>
      <c r="B1148" s="56" t="s">
        <v>1057</v>
      </c>
      <c r="C1148" s="57" t="s">
        <v>1124</v>
      </c>
      <c r="D1148" s="59" t="s">
        <v>1921</v>
      </c>
      <c r="E1148" s="59" t="s">
        <v>1922</v>
      </c>
      <c r="F1148" s="59" t="str">
        <f>VLOOKUP(E1148,[1]库存!$B$1:$C$65536,2,FALSE)</f>
        <v>W02 PAB</v>
      </c>
      <c r="G1148" s="59" t="s">
        <v>1923</v>
      </c>
      <c r="H1148" s="59" t="s">
        <v>1924</v>
      </c>
      <c r="I1148" s="59" t="s">
        <v>415</v>
      </c>
      <c r="J1148" s="63"/>
      <c r="K1148" s="237"/>
      <c r="L1148" s="63">
        <v>2</v>
      </c>
      <c r="M1148" s="52">
        <v>1000</v>
      </c>
      <c r="N1148" s="114">
        <v>35</v>
      </c>
      <c r="O1148" s="62">
        <v>4</v>
      </c>
      <c r="P1148" s="65">
        <f t="shared" si="71"/>
        <v>0</v>
      </c>
      <c r="Q1148" s="66"/>
      <c r="R1148" s="66"/>
      <c r="S1148" s="66"/>
      <c r="T1148" s="66"/>
      <c r="U1148" s="66">
        <v>1000</v>
      </c>
      <c r="V1148" s="66"/>
      <c r="W1148" s="66" t="s">
        <v>471</v>
      </c>
      <c r="X1148" s="66"/>
      <c r="Y1148" s="66"/>
      <c r="Z1148" s="66"/>
      <c r="AA1148" s="66"/>
      <c r="AB1148" s="66"/>
      <c r="AC1148" s="66"/>
      <c r="AD1148" s="66"/>
      <c r="AE1148" s="66"/>
      <c r="AF1148" s="66"/>
      <c r="AG1148" s="66"/>
      <c r="AH1148" s="66"/>
      <c r="AI1148" s="66"/>
      <c r="AJ1148" s="66"/>
      <c r="AK1148" s="66"/>
      <c r="AL1148" s="66"/>
      <c r="AM1148" s="66"/>
      <c r="AN1148" s="66"/>
      <c r="AO1148" s="66"/>
      <c r="AP1148" s="66"/>
      <c r="AQ1148" s="66"/>
      <c r="AR1148" s="66"/>
      <c r="AS1148" s="66"/>
      <c r="AT1148" s="66"/>
      <c r="AU1148" s="66"/>
      <c r="AV1148" s="66"/>
      <c r="AW1148" s="66"/>
      <c r="AX1148" s="66"/>
      <c r="AY1148" s="66"/>
      <c r="AZ1148" s="66"/>
      <c r="BA1148" s="66"/>
      <c r="BB1148" s="66"/>
      <c r="BC1148" s="66"/>
      <c r="BD1148" s="66"/>
      <c r="BE1148" s="67"/>
      <c r="BF1148" s="67"/>
      <c r="BG1148" s="68"/>
      <c r="BI1148" s="69">
        <v>0</v>
      </c>
      <c r="BJ1148" s="70">
        <v>0</v>
      </c>
      <c r="BK1148" s="71">
        <v>0</v>
      </c>
      <c r="BL1148" s="71">
        <v>0</v>
      </c>
      <c r="BM1148" s="71">
        <v>0</v>
      </c>
      <c r="BN1148" s="72">
        <v>0</v>
      </c>
      <c r="BO1148" s="151" t="e">
        <f t="shared" si="69"/>
        <v>#DIV/0!</v>
      </c>
      <c r="BP1148" s="151" t="e">
        <f t="shared" si="70"/>
        <v>#DIV/0!</v>
      </c>
      <c r="BQ1148" s="71">
        <v>0</v>
      </c>
      <c r="BR1148" s="71">
        <v>0</v>
      </c>
      <c r="BS1148" s="71">
        <v>0</v>
      </c>
      <c r="BT1148" s="72">
        <v>0</v>
      </c>
      <c r="BU1148" s="73"/>
      <c r="BV1148" s="73"/>
    </row>
    <row r="1149" ht="30" customHeight="1" spans="1:74">
      <c r="A1149" s="55">
        <v>0</v>
      </c>
      <c r="B1149" s="56">
        <v>0</v>
      </c>
      <c r="C1149" s="57">
        <v>0</v>
      </c>
      <c r="D1149" s="74"/>
      <c r="E1149" s="74"/>
      <c r="F1149" s="59" t="e">
        <f>VLOOKUP(E1149,[1]库存!$B$1:$C$65536,2,FALSE)</f>
        <v>#N/A</v>
      </c>
      <c r="G1149" s="59" t="e">
        <v>#N/A</v>
      </c>
      <c r="H1149" s="74"/>
      <c r="I1149" s="74"/>
      <c r="J1149" s="87"/>
      <c r="K1149" s="160"/>
      <c r="L1149" s="87">
        <v>0</v>
      </c>
      <c r="M1149" s="52">
        <v>0</v>
      </c>
      <c r="N1149" s="64">
        <v>0</v>
      </c>
      <c r="O1149" s="62">
        <v>0</v>
      </c>
      <c r="P1149" s="65">
        <f t="shared" si="71"/>
        <v>0</v>
      </c>
      <c r="Q1149" s="66"/>
      <c r="R1149" s="66"/>
      <c r="S1149" s="66"/>
      <c r="T1149" s="66"/>
      <c r="U1149" s="66">
        <v>606</v>
      </c>
      <c r="V1149" s="66"/>
      <c r="W1149" s="66">
        <v>414</v>
      </c>
      <c r="X1149" s="66"/>
      <c r="Y1149" s="66"/>
      <c r="Z1149" s="66"/>
      <c r="AA1149" s="66"/>
      <c r="AB1149" s="66"/>
      <c r="AC1149" s="66"/>
      <c r="AD1149" s="66"/>
      <c r="AE1149" s="66"/>
      <c r="AF1149" s="66"/>
      <c r="AG1149" s="66"/>
      <c r="AH1149" s="66"/>
      <c r="AI1149" s="66"/>
      <c r="AJ1149" s="66"/>
      <c r="AK1149" s="66"/>
      <c r="AL1149" s="66"/>
      <c r="AM1149" s="66"/>
      <c r="AN1149" s="66"/>
      <c r="AO1149" s="66"/>
      <c r="AP1149" s="66"/>
      <c r="AQ1149" s="66"/>
      <c r="AR1149" s="66"/>
      <c r="AS1149" s="66"/>
      <c r="AT1149" s="66"/>
      <c r="AU1149" s="66"/>
      <c r="AV1149" s="66"/>
      <c r="AW1149" s="66"/>
      <c r="AX1149" s="66"/>
      <c r="AY1149" s="66"/>
      <c r="AZ1149" s="66"/>
      <c r="BA1149" s="66"/>
      <c r="BB1149" s="66"/>
      <c r="BC1149" s="66"/>
      <c r="BD1149" s="66"/>
      <c r="BE1149" s="67"/>
      <c r="BF1149" s="67"/>
      <c r="BG1149" s="68"/>
      <c r="BI1149" s="69">
        <v>0</v>
      </c>
      <c r="BJ1149" s="70">
        <v>0</v>
      </c>
      <c r="BK1149" s="71">
        <v>0</v>
      </c>
      <c r="BL1149" s="71">
        <v>0</v>
      </c>
      <c r="BM1149" s="71">
        <v>0</v>
      </c>
      <c r="BN1149" s="72">
        <v>0</v>
      </c>
      <c r="BO1149" s="151" t="e">
        <f t="shared" si="69"/>
        <v>#DIV/0!</v>
      </c>
      <c r="BP1149" s="151" t="e">
        <f t="shared" si="70"/>
        <v>#DIV/0!</v>
      </c>
      <c r="BQ1149" s="71">
        <v>0</v>
      </c>
      <c r="BR1149" s="71">
        <v>0</v>
      </c>
      <c r="BS1149" s="71">
        <v>0</v>
      </c>
      <c r="BT1149" s="72">
        <v>0</v>
      </c>
      <c r="BU1149" s="73"/>
      <c r="BV1149" s="73"/>
    </row>
    <row r="1150" ht="30" customHeight="1" spans="1:74">
      <c r="A1150" s="55" t="s">
        <v>165</v>
      </c>
      <c r="B1150" s="56" t="s">
        <v>1057</v>
      </c>
      <c r="C1150" s="57" t="s">
        <v>1124</v>
      </c>
      <c r="D1150" s="91" t="s">
        <v>1921</v>
      </c>
      <c r="E1150" s="91" t="s">
        <v>1925</v>
      </c>
      <c r="F1150" s="91" t="str">
        <f>VLOOKUP(E1150,[1]库存!$B$1:$C$65536,2,FALSE)</f>
        <v>NIO CETUS PAB A状态</v>
      </c>
      <c r="G1150" s="91" t="s">
        <v>1926</v>
      </c>
      <c r="H1150" s="91" t="s">
        <v>1927</v>
      </c>
      <c r="I1150" s="91" t="s">
        <v>415</v>
      </c>
      <c r="J1150" s="63"/>
      <c r="K1150" s="61"/>
      <c r="L1150" s="62">
        <v>2</v>
      </c>
      <c r="M1150" s="63">
        <v>800</v>
      </c>
      <c r="N1150" s="64">
        <v>25</v>
      </c>
      <c r="O1150" s="62">
        <v>3</v>
      </c>
      <c r="P1150" s="65">
        <f t="shared" si="71"/>
        <v>0</v>
      </c>
      <c r="Q1150" s="66">
        <v>1200</v>
      </c>
      <c r="R1150" s="66"/>
      <c r="S1150" s="66">
        <v>1200</v>
      </c>
      <c r="T1150" s="66"/>
      <c r="U1150" s="66"/>
      <c r="V1150" s="66"/>
      <c r="W1150" s="66"/>
      <c r="X1150" s="66"/>
      <c r="Y1150" s="66"/>
      <c r="Z1150" s="66"/>
      <c r="AA1150" s="66">
        <v>1200</v>
      </c>
      <c r="AB1150" s="66"/>
      <c r="AC1150" s="66">
        <v>1200</v>
      </c>
      <c r="AD1150" s="66"/>
      <c r="AE1150" s="66"/>
      <c r="AF1150" s="66"/>
      <c r="AG1150" s="66"/>
      <c r="AH1150" s="66"/>
      <c r="AI1150" s="66"/>
      <c r="AJ1150" s="66"/>
      <c r="AK1150" s="66"/>
      <c r="AL1150" s="66"/>
      <c r="AM1150" s="66"/>
      <c r="AN1150" s="66"/>
      <c r="AO1150" s="66"/>
      <c r="AP1150" s="66"/>
      <c r="AQ1150" s="66"/>
      <c r="AR1150" s="66"/>
      <c r="AS1150" s="66"/>
      <c r="AT1150" s="66"/>
      <c r="AU1150" s="66"/>
      <c r="AV1150" s="66"/>
      <c r="AW1150" s="66"/>
      <c r="AX1150" s="66"/>
      <c r="AY1150" s="66"/>
      <c r="AZ1150" s="66"/>
      <c r="BA1150" s="66"/>
      <c r="BB1150" s="66"/>
      <c r="BC1150" s="66"/>
      <c r="BD1150" s="66"/>
      <c r="BE1150" s="67"/>
      <c r="BF1150" s="67"/>
      <c r="BG1150" s="68"/>
      <c r="BI1150" s="69">
        <v>0</v>
      </c>
      <c r="BJ1150" s="70">
        <v>0</v>
      </c>
      <c r="BK1150" s="71">
        <v>0</v>
      </c>
      <c r="BL1150" s="71">
        <v>0</v>
      </c>
      <c r="BM1150" s="71">
        <v>0</v>
      </c>
      <c r="BN1150" s="72">
        <v>0</v>
      </c>
      <c r="BO1150" s="151" t="e">
        <f t="shared" si="69"/>
        <v>#DIV/0!</v>
      </c>
      <c r="BP1150" s="151" t="e">
        <f t="shared" si="70"/>
        <v>#DIV/0!</v>
      </c>
      <c r="BQ1150" s="71">
        <v>0</v>
      </c>
      <c r="BR1150" s="71">
        <v>0</v>
      </c>
      <c r="BS1150" s="71">
        <v>0</v>
      </c>
      <c r="BT1150" s="72">
        <v>0</v>
      </c>
      <c r="BU1150" s="73"/>
      <c r="BV1150" s="73"/>
    </row>
    <row r="1151" ht="30" customHeight="1" spans="1:74">
      <c r="A1151" s="55">
        <v>0</v>
      </c>
      <c r="B1151" s="56">
        <v>0</v>
      </c>
      <c r="C1151" s="57">
        <v>0</v>
      </c>
      <c r="D1151" s="92"/>
      <c r="E1151" s="92"/>
      <c r="F1151" s="91" t="e">
        <f>VLOOKUP(E1151,[1]库存!$B$1:$C$65536,2,FALSE)</f>
        <v>#N/A</v>
      </c>
      <c r="G1151" s="91" t="e">
        <v>#N/A</v>
      </c>
      <c r="H1151" s="92"/>
      <c r="I1151" s="92"/>
      <c r="J1151" s="87"/>
      <c r="K1151" s="61"/>
      <c r="L1151" s="62">
        <v>0</v>
      </c>
      <c r="M1151" s="63">
        <v>0</v>
      </c>
      <c r="N1151" s="64">
        <v>0</v>
      </c>
      <c r="O1151" s="62">
        <v>0</v>
      </c>
      <c r="P1151" s="65">
        <f t="shared" si="71"/>
        <v>0</v>
      </c>
      <c r="Q1151" s="66">
        <v>1005</v>
      </c>
      <c r="R1151" s="66"/>
      <c r="S1151" s="66">
        <v>1203</v>
      </c>
      <c r="T1151" s="66"/>
      <c r="U1151" s="66"/>
      <c r="V1151" s="66"/>
      <c r="W1151" s="66"/>
      <c r="X1151" s="66"/>
      <c r="Y1151" s="66"/>
      <c r="Z1151" s="66"/>
      <c r="AA1151" s="66">
        <v>942</v>
      </c>
      <c r="AB1151" s="66"/>
      <c r="AC1151" s="66">
        <v>1080</v>
      </c>
      <c r="AD1151" s="66"/>
      <c r="AE1151" s="66"/>
      <c r="AF1151" s="66"/>
      <c r="AG1151" s="66"/>
      <c r="AH1151" s="66"/>
      <c r="AI1151" s="66"/>
      <c r="AJ1151" s="66"/>
      <c r="AK1151" s="66"/>
      <c r="AL1151" s="66"/>
      <c r="AM1151" s="66"/>
      <c r="AN1151" s="66"/>
      <c r="AO1151" s="66"/>
      <c r="AP1151" s="66"/>
      <c r="AQ1151" s="66"/>
      <c r="AR1151" s="66"/>
      <c r="AS1151" s="66"/>
      <c r="AT1151" s="66"/>
      <c r="AU1151" s="66"/>
      <c r="AV1151" s="66"/>
      <c r="AW1151" s="66"/>
      <c r="AX1151" s="66"/>
      <c r="AY1151" s="66"/>
      <c r="AZ1151" s="66"/>
      <c r="BA1151" s="66"/>
      <c r="BB1151" s="66"/>
      <c r="BC1151" s="66"/>
      <c r="BD1151" s="66"/>
      <c r="BE1151" s="67"/>
      <c r="BF1151" s="67"/>
      <c r="BG1151" s="68"/>
      <c r="BI1151" s="69">
        <v>0</v>
      </c>
      <c r="BJ1151" s="70">
        <v>0</v>
      </c>
      <c r="BK1151" s="71">
        <v>0</v>
      </c>
      <c r="BL1151" s="71">
        <v>0</v>
      </c>
      <c r="BM1151" s="71">
        <v>0</v>
      </c>
      <c r="BN1151" s="72">
        <v>0</v>
      </c>
      <c r="BO1151" s="151" t="e">
        <f t="shared" si="69"/>
        <v>#DIV/0!</v>
      </c>
      <c r="BP1151" s="151" t="e">
        <f t="shared" si="70"/>
        <v>#DIV/0!</v>
      </c>
      <c r="BQ1151" s="71">
        <v>0</v>
      </c>
      <c r="BR1151" s="71">
        <v>0</v>
      </c>
      <c r="BS1151" s="71">
        <v>0</v>
      </c>
      <c r="BT1151" s="72">
        <v>0</v>
      </c>
      <c r="BU1151" s="73"/>
      <c r="BV1151" s="73"/>
    </row>
    <row r="1152" ht="30" customHeight="1" spans="1:74">
      <c r="A1152" s="55" t="s">
        <v>165</v>
      </c>
      <c r="B1152" s="56" t="s">
        <v>1057</v>
      </c>
      <c r="C1152" s="57" t="s">
        <v>1124</v>
      </c>
      <c r="D1152" s="59" t="s">
        <v>1921</v>
      </c>
      <c r="E1152" s="59" t="s">
        <v>1928</v>
      </c>
      <c r="F1152" s="59" t="str">
        <f>VLOOKUP(E1152,[1]库存!$B$1:$C$65536,2,FALSE)</f>
        <v>CX835 PAB</v>
      </c>
      <c r="G1152" s="59" t="s">
        <v>1929</v>
      </c>
      <c r="H1152" s="59" t="s">
        <v>1930</v>
      </c>
      <c r="I1152" s="59" t="s">
        <v>415</v>
      </c>
      <c r="J1152" s="80" t="s">
        <v>65</v>
      </c>
      <c r="K1152" s="61"/>
      <c r="L1152" s="62">
        <v>2</v>
      </c>
      <c r="M1152" s="63">
        <v>800</v>
      </c>
      <c r="N1152" s="64">
        <v>23</v>
      </c>
      <c r="O1152" s="62">
        <v>3</v>
      </c>
      <c r="P1152" s="65">
        <f t="shared" si="71"/>
        <v>0</v>
      </c>
      <c r="Q1152" s="66"/>
      <c r="R1152" s="66"/>
      <c r="S1152" s="66"/>
      <c r="T1152" s="66"/>
      <c r="U1152" s="66"/>
      <c r="V1152" s="66"/>
      <c r="W1152" s="66"/>
      <c r="X1152" s="66"/>
      <c r="Y1152" s="66"/>
      <c r="Z1152" s="66"/>
      <c r="AA1152" s="66"/>
      <c r="AB1152" s="66"/>
      <c r="AC1152" s="66"/>
      <c r="AD1152" s="66"/>
      <c r="AE1152" s="66"/>
      <c r="AF1152" s="66"/>
      <c r="AG1152" s="66"/>
      <c r="AH1152" s="66"/>
      <c r="AI1152" s="66"/>
      <c r="AJ1152" s="66"/>
      <c r="AK1152" s="66"/>
      <c r="AL1152" s="66"/>
      <c r="AM1152" s="66"/>
      <c r="AN1152" s="66"/>
      <c r="AO1152" s="66"/>
      <c r="AP1152" s="66"/>
      <c r="AQ1152" s="66"/>
      <c r="AR1152" s="66"/>
      <c r="AS1152" s="66"/>
      <c r="AT1152" s="66"/>
      <c r="AU1152" s="66"/>
      <c r="AV1152" s="66"/>
      <c r="AW1152" s="66"/>
      <c r="AX1152" s="66"/>
      <c r="AY1152" s="66"/>
      <c r="AZ1152" s="66"/>
      <c r="BA1152" s="66"/>
      <c r="BB1152" s="66"/>
      <c r="BC1152" s="66"/>
      <c r="BD1152" s="66"/>
      <c r="BE1152" s="67"/>
      <c r="BF1152" s="67"/>
      <c r="BG1152" s="68"/>
      <c r="BI1152" s="69">
        <v>0</v>
      </c>
      <c r="BJ1152" s="70">
        <v>0</v>
      </c>
      <c r="BK1152" s="71">
        <v>0</v>
      </c>
      <c r="BL1152" s="71">
        <v>0</v>
      </c>
      <c r="BM1152" s="71">
        <v>0</v>
      </c>
      <c r="BN1152" s="72">
        <v>0</v>
      </c>
      <c r="BO1152" s="151" t="e">
        <f t="shared" si="69"/>
        <v>#DIV/0!</v>
      </c>
      <c r="BP1152" s="151" t="e">
        <f t="shared" si="70"/>
        <v>#DIV/0!</v>
      </c>
      <c r="BQ1152" s="71">
        <v>0</v>
      </c>
      <c r="BR1152" s="71">
        <v>0</v>
      </c>
      <c r="BS1152" s="71">
        <v>0</v>
      </c>
      <c r="BT1152" s="72">
        <v>0</v>
      </c>
      <c r="BU1152" s="73"/>
      <c r="BV1152" s="73"/>
    </row>
    <row r="1153" ht="30" customHeight="1" spans="1:74">
      <c r="A1153" s="55">
        <v>0</v>
      </c>
      <c r="B1153" s="56">
        <v>0</v>
      </c>
      <c r="C1153" s="57">
        <v>0</v>
      </c>
      <c r="D1153" s="74"/>
      <c r="E1153" s="74"/>
      <c r="F1153" s="59" t="e">
        <f>VLOOKUP(E1153,[1]库存!$B$1:$C$65536,2,FALSE)</f>
        <v>#N/A</v>
      </c>
      <c r="G1153" s="59" t="e">
        <v>#N/A</v>
      </c>
      <c r="H1153" s="74"/>
      <c r="I1153" s="74"/>
      <c r="J1153" s="81"/>
      <c r="K1153" s="61"/>
      <c r="L1153" s="62">
        <v>0</v>
      </c>
      <c r="M1153" s="63">
        <v>0</v>
      </c>
      <c r="N1153" s="64">
        <v>0</v>
      </c>
      <c r="O1153" s="62">
        <v>0</v>
      </c>
      <c r="P1153" s="65">
        <f t="shared" si="71"/>
        <v>0</v>
      </c>
      <c r="Q1153" s="66"/>
      <c r="R1153" s="66"/>
      <c r="S1153" s="66"/>
      <c r="T1153" s="66"/>
      <c r="U1153" s="66"/>
      <c r="V1153" s="66"/>
      <c r="W1153" s="66"/>
      <c r="X1153" s="66"/>
      <c r="Y1153" s="66"/>
      <c r="Z1153" s="66"/>
      <c r="AA1153" s="66"/>
      <c r="AB1153" s="66"/>
      <c r="AC1153" s="66"/>
      <c r="AD1153" s="66"/>
      <c r="AE1153" s="66"/>
      <c r="AF1153" s="66"/>
      <c r="AG1153" s="66"/>
      <c r="AH1153" s="66"/>
      <c r="AI1153" s="66"/>
      <c r="AJ1153" s="66"/>
      <c r="AK1153" s="66"/>
      <c r="AL1153" s="66"/>
      <c r="AM1153" s="66"/>
      <c r="AN1153" s="66"/>
      <c r="AO1153" s="66"/>
      <c r="AP1153" s="66"/>
      <c r="AQ1153" s="66"/>
      <c r="AR1153" s="66"/>
      <c r="AS1153" s="66"/>
      <c r="AT1153" s="66"/>
      <c r="AU1153" s="66"/>
      <c r="AV1153" s="66"/>
      <c r="AW1153" s="66"/>
      <c r="AX1153" s="66"/>
      <c r="AY1153" s="66"/>
      <c r="AZ1153" s="66"/>
      <c r="BA1153" s="66"/>
      <c r="BB1153" s="66"/>
      <c r="BC1153" s="66"/>
      <c r="BD1153" s="66"/>
      <c r="BE1153" s="67"/>
      <c r="BF1153" s="67"/>
      <c r="BG1153" s="68"/>
      <c r="BI1153" s="69">
        <v>0</v>
      </c>
      <c r="BJ1153" s="70">
        <v>0</v>
      </c>
      <c r="BK1153" s="71">
        <v>0</v>
      </c>
      <c r="BL1153" s="71">
        <v>0</v>
      </c>
      <c r="BM1153" s="71">
        <v>0</v>
      </c>
      <c r="BN1153" s="72">
        <v>0</v>
      </c>
      <c r="BO1153" s="151" t="e">
        <f t="shared" si="69"/>
        <v>#DIV/0!</v>
      </c>
      <c r="BP1153" s="151" t="e">
        <f t="shared" si="70"/>
        <v>#DIV/0!</v>
      </c>
      <c r="BQ1153" s="71">
        <v>0</v>
      </c>
      <c r="BR1153" s="71">
        <v>0</v>
      </c>
      <c r="BS1153" s="71">
        <v>0</v>
      </c>
      <c r="BT1153" s="72">
        <v>0</v>
      </c>
      <c r="BU1153" s="73"/>
      <c r="BV1153" s="73"/>
    </row>
    <row r="1154" ht="30" customHeight="1" spans="1:74">
      <c r="A1154" s="55" t="s">
        <v>165</v>
      </c>
      <c r="B1154" s="56" t="s">
        <v>1057</v>
      </c>
      <c r="C1154" s="57" t="s">
        <v>1124</v>
      </c>
      <c r="D1154" s="59" t="s">
        <v>1931</v>
      </c>
      <c r="E1154" s="59"/>
      <c r="F1154" s="59" t="e">
        <f>VLOOKUP(E1154,[1]库存!$B$1:$C$65536,2,FALSE)</f>
        <v>#N/A</v>
      </c>
      <c r="G1154" s="59" t="e">
        <v>#N/A</v>
      </c>
      <c r="H1154" s="59" t="s">
        <v>1932</v>
      </c>
      <c r="I1154" s="59" t="s">
        <v>1933</v>
      </c>
      <c r="J1154" s="63"/>
      <c r="K1154" s="61"/>
      <c r="L1154" s="62">
        <v>2</v>
      </c>
      <c r="M1154" s="63">
        <v>800</v>
      </c>
      <c r="N1154" s="64">
        <v>23</v>
      </c>
      <c r="O1154" s="62">
        <v>3</v>
      </c>
      <c r="P1154" s="65">
        <f t="shared" si="71"/>
        <v>0</v>
      </c>
      <c r="Q1154" s="66"/>
      <c r="R1154" s="66"/>
      <c r="S1154" s="66"/>
      <c r="T1154" s="66"/>
      <c r="U1154" s="66"/>
      <c r="V1154" s="66"/>
      <c r="W1154" s="66"/>
      <c r="X1154" s="66"/>
      <c r="Y1154" s="66"/>
      <c r="Z1154" s="66"/>
      <c r="AA1154" s="66"/>
      <c r="AB1154" s="66"/>
      <c r="AC1154" s="66"/>
      <c r="AD1154" s="66"/>
      <c r="AE1154" s="66"/>
      <c r="AF1154" s="66"/>
      <c r="AG1154" s="66"/>
      <c r="AH1154" s="66"/>
      <c r="AI1154" s="234"/>
      <c r="AJ1154" s="66"/>
      <c r="AK1154" s="66"/>
      <c r="AL1154" s="66"/>
      <c r="AM1154" s="66"/>
      <c r="AN1154" s="66"/>
      <c r="AO1154" s="66"/>
      <c r="AP1154" s="66"/>
      <c r="AQ1154" s="66"/>
      <c r="AR1154" s="66"/>
      <c r="AS1154" s="66"/>
      <c r="AT1154" s="66"/>
      <c r="AU1154" s="66"/>
      <c r="AV1154" s="66"/>
      <c r="AW1154" s="66"/>
      <c r="AX1154" s="66"/>
      <c r="AY1154" s="66"/>
      <c r="AZ1154" s="66"/>
      <c r="BA1154" s="66"/>
      <c r="BB1154" s="66"/>
      <c r="BC1154" s="66"/>
      <c r="BD1154" s="66"/>
      <c r="BE1154" s="67"/>
      <c r="BF1154" s="67"/>
      <c r="BG1154" s="68"/>
      <c r="BI1154" s="69">
        <v>0</v>
      </c>
      <c r="BJ1154" s="70">
        <v>0</v>
      </c>
      <c r="BK1154" s="71">
        <v>0</v>
      </c>
      <c r="BL1154" s="71">
        <v>0</v>
      </c>
      <c r="BM1154" s="71">
        <v>0</v>
      </c>
      <c r="BN1154" s="72">
        <v>0</v>
      </c>
      <c r="BO1154" s="151" t="e">
        <f t="shared" si="69"/>
        <v>#DIV/0!</v>
      </c>
      <c r="BP1154" s="151" t="e">
        <f t="shared" si="70"/>
        <v>#DIV/0!</v>
      </c>
      <c r="BQ1154" s="71">
        <v>0</v>
      </c>
      <c r="BR1154" s="71">
        <v>0</v>
      </c>
      <c r="BS1154" s="71">
        <v>0</v>
      </c>
      <c r="BT1154" s="72">
        <v>0</v>
      </c>
      <c r="BU1154" s="73"/>
      <c r="BV1154" s="73"/>
    </row>
    <row r="1155" ht="30" customHeight="1" spans="1:74">
      <c r="A1155" s="55">
        <v>0</v>
      </c>
      <c r="B1155" s="56">
        <v>0</v>
      </c>
      <c r="C1155" s="57">
        <v>0</v>
      </c>
      <c r="D1155" s="74"/>
      <c r="E1155" s="74"/>
      <c r="F1155" s="59" t="e">
        <f>VLOOKUP(E1155,[1]库存!$B$1:$C$65536,2,FALSE)</f>
        <v>#N/A</v>
      </c>
      <c r="G1155" s="59" t="e">
        <v>#N/A</v>
      </c>
      <c r="H1155" s="74"/>
      <c r="I1155" s="74"/>
      <c r="J1155" s="87"/>
      <c r="K1155" s="61"/>
      <c r="L1155" s="62">
        <v>0</v>
      </c>
      <c r="M1155" s="63">
        <v>0</v>
      </c>
      <c r="N1155" s="64">
        <v>0</v>
      </c>
      <c r="O1155" s="62">
        <v>0</v>
      </c>
      <c r="P1155" s="65">
        <f t="shared" si="71"/>
        <v>0</v>
      </c>
      <c r="Q1155" s="66"/>
      <c r="R1155" s="66"/>
      <c r="S1155" s="66"/>
      <c r="T1155" s="66"/>
      <c r="U1155" s="66"/>
      <c r="V1155" s="66"/>
      <c r="W1155" s="66"/>
      <c r="X1155" s="66"/>
      <c r="Y1155" s="66"/>
      <c r="Z1155" s="66"/>
      <c r="AA1155" s="66"/>
      <c r="AB1155" s="66"/>
      <c r="AC1155" s="66"/>
      <c r="AD1155" s="66"/>
      <c r="AE1155" s="66"/>
      <c r="AF1155" s="66"/>
      <c r="AG1155" s="66"/>
      <c r="AH1155" s="66"/>
      <c r="AI1155" s="234"/>
      <c r="AJ1155" s="66"/>
      <c r="AK1155" s="66"/>
      <c r="AL1155" s="66"/>
      <c r="AM1155" s="66"/>
      <c r="AN1155" s="66"/>
      <c r="AO1155" s="66"/>
      <c r="AP1155" s="66"/>
      <c r="AQ1155" s="66"/>
      <c r="AR1155" s="66"/>
      <c r="AS1155" s="66"/>
      <c r="AT1155" s="66"/>
      <c r="AU1155" s="66"/>
      <c r="AV1155" s="66"/>
      <c r="AW1155" s="66"/>
      <c r="AX1155" s="66"/>
      <c r="AY1155" s="66"/>
      <c r="AZ1155" s="66"/>
      <c r="BA1155" s="66"/>
      <c r="BB1155" s="66"/>
      <c r="BC1155" s="66"/>
      <c r="BD1155" s="66"/>
      <c r="BE1155" s="67"/>
      <c r="BF1155" s="67"/>
      <c r="BG1155" s="68"/>
      <c r="BI1155" s="69">
        <v>0</v>
      </c>
      <c r="BJ1155" s="70">
        <v>0</v>
      </c>
      <c r="BK1155" s="71">
        <v>0</v>
      </c>
      <c r="BL1155" s="71">
        <v>0</v>
      </c>
      <c r="BM1155" s="71">
        <v>0</v>
      </c>
      <c r="BN1155" s="72">
        <v>0</v>
      </c>
      <c r="BO1155" s="151" t="e">
        <f t="shared" si="69"/>
        <v>#DIV/0!</v>
      </c>
      <c r="BP1155" s="151" t="e">
        <f t="shared" si="70"/>
        <v>#DIV/0!</v>
      </c>
      <c r="BQ1155" s="71">
        <v>0</v>
      </c>
      <c r="BR1155" s="71">
        <v>0</v>
      </c>
      <c r="BS1155" s="71">
        <v>0</v>
      </c>
      <c r="BT1155" s="72">
        <v>0</v>
      </c>
      <c r="BU1155" s="73"/>
      <c r="BV1155" s="73"/>
    </row>
    <row r="1156" ht="30" customHeight="1" spans="1:74">
      <c r="A1156" s="55" t="s">
        <v>165</v>
      </c>
      <c r="B1156" s="56" t="s">
        <v>1057</v>
      </c>
      <c r="C1156" s="57" t="s">
        <v>1124</v>
      </c>
      <c r="D1156" s="59" t="s">
        <v>1921</v>
      </c>
      <c r="E1156" s="59"/>
      <c r="F1156" s="59" t="e">
        <f>VLOOKUP(E1156,[1]库存!$B$1:$C$65536,2,FALSE)</f>
        <v>#N/A</v>
      </c>
      <c r="G1156" s="59" t="e">
        <v>#N/A</v>
      </c>
      <c r="H1156" s="59" t="s">
        <v>1934</v>
      </c>
      <c r="I1156" s="59" t="s">
        <v>1935</v>
      </c>
      <c r="J1156" s="63"/>
      <c r="K1156" s="61"/>
      <c r="L1156" s="62">
        <v>2</v>
      </c>
      <c r="M1156" s="63">
        <v>800</v>
      </c>
      <c r="N1156" s="64">
        <v>23</v>
      </c>
      <c r="O1156" s="62">
        <v>3</v>
      </c>
      <c r="P1156" s="65">
        <f t="shared" si="71"/>
        <v>0</v>
      </c>
      <c r="Q1156" s="66"/>
      <c r="R1156" s="66"/>
      <c r="S1156" s="66"/>
      <c r="T1156" s="66"/>
      <c r="U1156" s="66"/>
      <c r="V1156" s="66"/>
      <c r="W1156" s="66"/>
      <c r="X1156" s="66"/>
      <c r="Y1156" s="66"/>
      <c r="Z1156" s="66"/>
      <c r="AA1156" s="66"/>
      <c r="AB1156" s="66"/>
      <c r="AC1156" s="66"/>
      <c r="AD1156" s="66"/>
      <c r="AE1156" s="66"/>
      <c r="AF1156" s="66"/>
      <c r="AG1156" s="66"/>
      <c r="AH1156" s="66"/>
      <c r="AI1156" s="234"/>
      <c r="AJ1156" s="66"/>
      <c r="AK1156" s="66"/>
      <c r="AL1156" s="66"/>
      <c r="AM1156" s="66"/>
      <c r="AN1156" s="66"/>
      <c r="AO1156" s="66"/>
      <c r="AP1156" s="66"/>
      <c r="AQ1156" s="66"/>
      <c r="AR1156" s="66"/>
      <c r="AS1156" s="66"/>
      <c r="AT1156" s="66"/>
      <c r="AU1156" s="66"/>
      <c r="AV1156" s="66"/>
      <c r="AW1156" s="66"/>
      <c r="AX1156" s="66"/>
      <c r="AY1156" s="66"/>
      <c r="AZ1156" s="66"/>
      <c r="BA1156" s="66"/>
      <c r="BB1156" s="66"/>
      <c r="BC1156" s="66"/>
      <c r="BD1156" s="66"/>
      <c r="BE1156" s="67"/>
      <c r="BF1156" s="67"/>
      <c r="BG1156" s="68"/>
      <c r="BI1156" s="69">
        <v>0</v>
      </c>
      <c r="BJ1156" s="70">
        <v>0</v>
      </c>
      <c r="BK1156" s="71">
        <v>0</v>
      </c>
      <c r="BL1156" s="71">
        <v>0</v>
      </c>
      <c r="BM1156" s="71">
        <v>0</v>
      </c>
      <c r="BN1156" s="72">
        <v>0</v>
      </c>
      <c r="BO1156" s="151" t="e">
        <f t="shared" ref="BO1156:BO1173" si="72">(BK1156+BL1156)/BJ1156</f>
        <v>#DIV/0!</v>
      </c>
      <c r="BP1156" s="151" t="e">
        <f t="shared" ref="BP1156:BP1173" si="73">BM1156/BJ1156</f>
        <v>#DIV/0!</v>
      </c>
      <c r="BQ1156" s="71">
        <v>0</v>
      </c>
      <c r="BR1156" s="71">
        <v>0</v>
      </c>
      <c r="BS1156" s="71">
        <v>0</v>
      </c>
      <c r="BT1156" s="72">
        <v>0</v>
      </c>
      <c r="BU1156" s="73"/>
      <c r="BV1156" s="73"/>
    </row>
    <row r="1157" ht="30" customHeight="1" spans="1:74">
      <c r="A1157" s="55">
        <v>0</v>
      </c>
      <c r="B1157" s="56">
        <v>0</v>
      </c>
      <c r="C1157" s="57">
        <v>0</v>
      </c>
      <c r="D1157" s="74"/>
      <c r="E1157" s="74"/>
      <c r="F1157" s="59" t="e">
        <f>VLOOKUP(E1157,[1]库存!$B$1:$C$65536,2,FALSE)</f>
        <v>#N/A</v>
      </c>
      <c r="G1157" s="59" t="e">
        <v>#N/A</v>
      </c>
      <c r="H1157" s="74"/>
      <c r="I1157" s="74"/>
      <c r="J1157" s="87"/>
      <c r="K1157" s="61"/>
      <c r="L1157" s="62">
        <v>0</v>
      </c>
      <c r="M1157" s="63">
        <v>0</v>
      </c>
      <c r="N1157" s="64">
        <v>0</v>
      </c>
      <c r="O1157" s="62">
        <v>0</v>
      </c>
      <c r="P1157" s="65">
        <f t="shared" si="71"/>
        <v>0</v>
      </c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66"/>
      <c r="AI1157" s="66"/>
      <c r="AJ1157" s="66"/>
      <c r="AK1157" s="66"/>
      <c r="AL1157" s="66"/>
      <c r="AM1157" s="66"/>
      <c r="AN1157" s="66"/>
      <c r="AO1157" s="66"/>
      <c r="AP1157" s="66"/>
      <c r="AQ1157" s="66"/>
      <c r="AR1157" s="66"/>
      <c r="AS1157" s="66"/>
      <c r="AT1157" s="66"/>
      <c r="AU1157" s="66"/>
      <c r="AV1157" s="66"/>
      <c r="AW1157" s="66"/>
      <c r="AX1157" s="66"/>
      <c r="AY1157" s="66"/>
      <c r="AZ1157" s="66"/>
      <c r="BA1157" s="66"/>
      <c r="BB1157" s="66"/>
      <c r="BC1157" s="66"/>
      <c r="BD1157" s="66"/>
      <c r="BE1157" s="67"/>
      <c r="BF1157" s="67"/>
      <c r="BG1157" s="68"/>
      <c r="BI1157" s="69">
        <v>0</v>
      </c>
      <c r="BJ1157" s="70">
        <v>0</v>
      </c>
      <c r="BK1157" s="71">
        <v>0</v>
      </c>
      <c r="BL1157" s="71">
        <v>0</v>
      </c>
      <c r="BM1157" s="71">
        <v>0</v>
      </c>
      <c r="BN1157" s="72">
        <v>0</v>
      </c>
      <c r="BO1157" s="151" t="e">
        <f t="shared" si="72"/>
        <v>#DIV/0!</v>
      </c>
      <c r="BP1157" s="151" t="e">
        <f t="shared" si="73"/>
        <v>#DIV/0!</v>
      </c>
      <c r="BQ1157" s="71">
        <v>0</v>
      </c>
      <c r="BR1157" s="71">
        <v>0</v>
      </c>
      <c r="BS1157" s="71">
        <v>0</v>
      </c>
      <c r="BT1157" s="72">
        <v>0</v>
      </c>
      <c r="BU1157" s="73"/>
      <c r="BV1157" s="73"/>
    </row>
    <row r="1158" ht="30" customHeight="1" spans="1:74">
      <c r="A1158" s="55" t="s">
        <v>165</v>
      </c>
      <c r="B1158" s="56" t="s">
        <v>1057</v>
      </c>
      <c r="C1158" s="57" t="s">
        <v>1124</v>
      </c>
      <c r="D1158" s="59" t="s">
        <v>1931</v>
      </c>
      <c r="E1158" s="59"/>
      <c r="F1158" s="59" t="e">
        <f>VLOOKUP(E1158,[1]库存!$B$1:$C$65536,2,FALSE)</f>
        <v>#N/A</v>
      </c>
      <c r="G1158" s="59" t="e">
        <v>#N/A</v>
      </c>
      <c r="H1158" s="59" t="s">
        <v>1936</v>
      </c>
      <c r="I1158" s="59" t="s">
        <v>1937</v>
      </c>
      <c r="J1158" s="63"/>
      <c r="K1158" s="61"/>
      <c r="L1158" s="62">
        <v>2</v>
      </c>
      <c r="M1158" s="63">
        <v>800</v>
      </c>
      <c r="N1158" s="64">
        <v>23</v>
      </c>
      <c r="O1158" s="62">
        <v>3</v>
      </c>
      <c r="P1158" s="65">
        <f t="shared" ref="P1158:P1221" si="74">SUM(AG1158:AJ1158)</f>
        <v>0</v>
      </c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66"/>
      <c r="AI1158" s="66"/>
      <c r="AJ1158" s="66"/>
      <c r="AK1158" s="66"/>
      <c r="AL1158" s="66"/>
      <c r="AM1158" s="66"/>
      <c r="AN1158" s="66"/>
      <c r="AO1158" s="66"/>
      <c r="AP1158" s="66"/>
      <c r="AQ1158" s="66"/>
      <c r="AR1158" s="66"/>
      <c r="AS1158" s="66"/>
      <c r="AT1158" s="66"/>
      <c r="AU1158" s="66"/>
      <c r="AV1158" s="66"/>
      <c r="AW1158" s="66"/>
      <c r="AX1158" s="66"/>
      <c r="AY1158" s="66"/>
      <c r="AZ1158" s="66"/>
      <c r="BA1158" s="66"/>
      <c r="BB1158" s="66"/>
      <c r="BC1158" s="66"/>
      <c r="BD1158" s="66"/>
      <c r="BE1158" s="67"/>
      <c r="BF1158" s="67"/>
      <c r="BG1158" s="68"/>
      <c r="BI1158" s="69">
        <v>0</v>
      </c>
      <c r="BJ1158" s="70">
        <v>0</v>
      </c>
      <c r="BK1158" s="71">
        <v>0</v>
      </c>
      <c r="BL1158" s="71">
        <v>0</v>
      </c>
      <c r="BM1158" s="71">
        <v>0</v>
      </c>
      <c r="BN1158" s="72">
        <v>0</v>
      </c>
      <c r="BO1158" s="151" t="e">
        <f t="shared" si="72"/>
        <v>#DIV/0!</v>
      </c>
      <c r="BP1158" s="151" t="e">
        <f t="shared" si="73"/>
        <v>#DIV/0!</v>
      </c>
      <c r="BQ1158" s="71">
        <v>0</v>
      </c>
      <c r="BR1158" s="71">
        <v>0</v>
      </c>
      <c r="BS1158" s="71">
        <v>0</v>
      </c>
      <c r="BT1158" s="72">
        <v>0</v>
      </c>
      <c r="BU1158" s="73"/>
      <c r="BV1158" s="73"/>
    </row>
    <row r="1159" ht="30" customHeight="1" spans="1:74">
      <c r="A1159" s="55">
        <v>0</v>
      </c>
      <c r="B1159" s="56">
        <v>0</v>
      </c>
      <c r="C1159" s="57">
        <v>0</v>
      </c>
      <c r="D1159" s="74"/>
      <c r="E1159" s="74"/>
      <c r="F1159" s="59" t="e">
        <f>VLOOKUP(E1159,[1]库存!$B$1:$C$65536,2,FALSE)</f>
        <v>#N/A</v>
      </c>
      <c r="G1159" s="59" t="e">
        <v>#N/A</v>
      </c>
      <c r="H1159" s="74"/>
      <c r="I1159" s="74"/>
      <c r="J1159" s="87"/>
      <c r="K1159" s="61"/>
      <c r="L1159" s="62">
        <v>0</v>
      </c>
      <c r="M1159" s="63">
        <v>0</v>
      </c>
      <c r="N1159" s="64">
        <v>0</v>
      </c>
      <c r="O1159" s="62">
        <v>0</v>
      </c>
      <c r="P1159" s="65">
        <f t="shared" si="74"/>
        <v>0</v>
      </c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66"/>
      <c r="AI1159" s="66"/>
      <c r="AJ1159" s="66"/>
      <c r="AK1159" s="66"/>
      <c r="AL1159" s="66"/>
      <c r="AM1159" s="66"/>
      <c r="AN1159" s="66"/>
      <c r="AO1159" s="66"/>
      <c r="AP1159" s="66"/>
      <c r="AQ1159" s="66"/>
      <c r="AR1159" s="66"/>
      <c r="AS1159" s="66"/>
      <c r="AT1159" s="66"/>
      <c r="AU1159" s="66"/>
      <c r="AV1159" s="66"/>
      <c r="AW1159" s="66"/>
      <c r="AX1159" s="66"/>
      <c r="AY1159" s="66"/>
      <c r="AZ1159" s="66"/>
      <c r="BA1159" s="66"/>
      <c r="BB1159" s="66"/>
      <c r="BC1159" s="66"/>
      <c r="BD1159" s="66"/>
      <c r="BE1159" s="67"/>
      <c r="BF1159" s="67"/>
      <c r="BG1159" s="68"/>
      <c r="BI1159" s="69">
        <v>0</v>
      </c>
      <c r="BJ1159" s="70">
        <v>0</v>
      </c>
      <c r="BK1159" s="71">
        <v>0</v>
      </c>
      <c r="BL1159" s="71">
        <v>0</v>
      </c>
      <c r="BM1159" s="71">
        <v>0</v>
      </c>
      <c r="BN1159" s="72">
        <v>0</v>
      </c>
      <c r="BO1159" s="151" t="e">
        <f t="shared" si="72"/>
        <v>#DIV/0!</v>
      </c>
      <c r="BP1159" s="151" t="e">
        <f t="shared" si="73"/>
        <v>#DIV/0!</v>
      </c>
      <c r="BQ1159" s="71">
        <v>0</v>
      </c>
      <c r="BR1159" s="71">
        <v>0</v>
      </c>
      <c r="BS1159" s="71">
        <v>0</v>
      </c>
      <c r="BT1159" s="72">
        <v>0</v>
      </c>
      <c r="BU1159" s="73"/>
      <c r="BV1159" s="73"/>
    </row>
    <row r="1160" ht="30" customHeight="1" spans="1:74">
      <c r="A1160" s="55" t="s">
        <v>165</v>
      </c>
      <c r="B1160" s="56" t="s">
        <v>1057</v>
      </c>
      <c r="C1160" s="57" t="s">
        <v>1124</v>
      </c>
      <c r="D1160" s="59" t="s">
        <v>1921</v>
      </c>
      <c r="E1160" s="59"/>
      <c r="F1160" s="59" t="e">
        <f>VLOOKUP(E1160,[1]库存!$B$1:$C$65536,2,FALSE)</f>
        <v>#N/A</v>
      </c>
      <c r="G1160" s="59" t="e">
        <v>#N/A</v>
      </c>
      <c r="H1160" s="59" t="s">
        <v>1938</v>
      </c>
      <c r="I1160" s="59" t="s">
        <v>1937</v>
      </c>
      <c r="J1160" s="63"/>
      <c r="K1160" s="61"/>
      <c r="L1160" s="62">
        <v>2</v>
      </c>
      <c r="M1160" s="63">
        <v>800</v>
      </c>
      <c r="N1160" s="64">
        <v>23</v>
      </c>
      <c r="O1160" s="62">
        <v>3</v>
      </c>
      <c r="P1160" s="65">
        <f t="shared" si="74"/>
        <v>0</v>
      </c>
      <c r="Q1160" s="66"/>
      <c r="R1160" s="66"/>
      <c r="S1160" s="66"/>
      <c r="T1160" s="66"/>
      <c r="U1160" s="66"/>
      <c r="V1160" s="66"/>
      <c r="W1160" s="66"/>
      <c r="X1160" s="66"/>
      <c r="Y1160" s="66"/>
      <c r="Z1160" s="66"/>
      <c r="AA1160" s="66"/>
      <c r="AB1160" s="66"/>
      <c r="AC1160" s="66"/>
      <c r="AD1160" s="66"/>
      <c r="AE1160" s="66"/>
      <c r="AF1160" s="66"/>
      <c r="AG1160" s="66"/>
      <c r="AH1160" s="66"/>
      <c r="AI1160" s="66"/>
      <c r="AJ1160" s="66"/>
      <c r="AK1160" s="66"/>
      <c r="AL1160" s="66"/>
      <c r="AM1160" s="66"/>
      <c r="AN1160" s="66"/>
      <c r="AO1160" s="66"/>
      <c r="AP1160" s="66"/>
      <c r="AQ1160" s="66"/>
      <c r="AR1160" s="66"/>
      <c r="AS1160" s="66"/>
      <c r="AT1160" s="66"/>
      <c r="AU1160" s="66"/>
      <c r="AV1160" s="66"/>
      <c r="AW1160" s="66"/>
      <c r="AX1160" s="66"/>
      <c r="AY1160" s="66"/>
      <c r="AZ1160" s="66"/>
      <c r="BA1160" s="66"/>
      <c r="BB1160" s="66"/>
      <c r="BC1160" s="66"/>
      <c r="BD1160" s="66"/>
      <c r="BE1160" s="67"/>
      <c r="BF1160" s="67"/>
      <c r="BG1160" s="68"/>
      <c r="BI1160" s="69">
        <v>0</v>
      </c>
      <c r="BJ1160" s="70">
        <v>0</v>
      </c>
      <c r="BK1160" s="71">
        <v>0</v>
      </c>
      <c r="BL1160" s="71">
        <v>0</v>
      </c>
      <c r="BM1160" s="71">
        <v>0</v>
      </c>
      <c r="BN1160" s="72">
        <v>0</v>
      </c>
      <c r="BO1160" s="151" t="e">
        <f t="shared" si="72"/>
        <v>#DIV/0!</v>
      </c>
      <c r="BP1160" s="151" t="e">
        <f t="shared" si="73"/>
        <v>#DIV/0!</v>
      </c>
      <c r="BQ1160" s="71">
        <v>0</v>
      </c>
      <c r="BR1160" s="71">
        <v>0</v>
      </c>
      <c r="BS1160" s="71">
        <v>0</v>
      </c>
      <c r="BT1160" s="72">
        <v>0</v>
      </c>
      <c r="BU1160" s="73"/>
      <c r="BV1160" s="73"/>
    </row>
    <row r="1161" ht="30" customHeight="1" spans="1:74">
      <c r="A1161" s="55">
        <v>0</v>
      </c>
      <c r="B1161" s="56">
        <v>0</v>
      </c>
      <c r="C1161" s="57">
        <v>0</v>
      </c>
      <c r="D1161" s="74"/>
      <c r="E1161" s="74"/>
      <c r="F1161" s="59" t="e">
        <f>VLOOKUP(E1161,[1]库存!$B$1:$C$65536,2,FALSE)</f>
        <v>#N/A</v>
      </c>
      <c r="G1161" s="59" t="e">
        <v>#N/A</v>
      </c>
      <c r="H1161" s="74"/>
      <c r="I1161" s="74"/>
      <c r="J1161" s="87"/>
      <c r="K1161" s="61"/>
      <c r="L1161" s="62">
        <v>0</v>
      </c>
      <c r="M1161" s="63">
        <v>0</v>
      </c>
      <c r="N1161" s="64">
        <v>0</v>
      </c>
      <c r="O1161" s="62">
        <v>0</v>
      </c>
      <c r="P1161" s="65">
        <f t="shared" si="74"/>
        <v>0</v>
      </c>
      <c r="Q1161" s="66"/>
      <c r="R1161" s="66"/>
      <c r="S1161" s="66"/>
      <c r="T1161" s="66"/>
      <c r="U1161" s="66"/>
      <c r="V1161" s="66"/>
      <c r="W1161" s="66"/>
      <c r="X1161" s="66"/>
      <c r="Y1161" s="66"/>
      <c r="Z1161" s="66"/>
      <c r="AA1161" s="66"/>
      <c r="AB1161" s="66"/>
      <c r="AC1161" s="66"/>
      <c r="AD1161" s="66"/>
      <c r="AE1161" s="66"/>
      <c r="AF1161" s="66"/>
      <c r="AG1161" s="66"/>
      <c r="AH1161" s="66"/>
      <c r="AI1161" s="66"/>
      <c r="AJ1161" s="66"/>
      <c r="AK1161" s="66"/>
      <c r="AL1161" s="66"/>
      <c r="AM1161" s="66"/>
      <c r="AN1161" s="66"/>
      <c r="AO1161" s="66"/>
      <c r="AP1161" s="66"/>
      <c r="AQ1161" s="66"/>
      <c r="AR1161" s="66"/>
      <c r="AS1161" s="66"/>
      <c r="AT1161" s="66"/>
      <c r="AU1161" s="66"/>
      <c r="AV1161" s="66"/>
      <c r="AW1161" s="66"/>
      <c r="AX1161" s="66"/>
      <c r="AY1161" s="66"/>
      <c r="AZ1161" s="66"/>
      <c r="BA1161" s="66"/>
      <c r="BB1161" s="66"/>
      <c r="BC1161" s="66"/>
      <c r="BD1161" s="66"/>
      <c r="BE1161" s="67"/>
      <c r="BF1161" s="67"/>
      <c r="BG1161" s="68"/>
      <c r="BI1161" s="69">
        <v>0</v>
      </c>
      <c r="BJ1161" s="70">
        <v>0</v>
      </c>
      <c r="BK1161" s="71">
        <v>0</v>
      </c>
      <c r="BL1161" s="71">
        <v>0</v>
      </c>
      <c r="BM1161" s="71">
        <v>0</v>
      </c>
      <c r="BN1161" s="72">
        <v>0</v>
      </c>
      <c r="BO1161" s="151" t="e">
        <f t="shared" si="72"/>
        <v>#DIV/0!</v>
      </c>
      <c r="BP1161" s="151" t="e">
        <f t="shared" si="73"/>
        <v>#DIV/0!</v>
      </c>
      <c r="BQ1161" s="71">
        <v>0</v>
      </c>
      <c r="BR1161" s="71">
        <v>0</v>
      </c>
      <c r="BS1161" s="71">
        <v>0</v>
      </c>
      <c r="BT1161" s="72">
        <v>0</v>
      </c>
      <c r="BU1161" s="73"/>
      <c r="BV1161" s="73"/>
    </row>
    <row r="1162" ht="30" customHeight="1" spans="1:74">
      <c r="A1162" s="55" t="s">
        <v>165</v>
      </c>
      <c r="B1162" s="56" t="s">
        <v>1057</v>
      </c>
      <c r="C1162" s="57" t="s">
        <v>1124</v>
      </c>
      <c r="D1162" s="59" t="s">
        <v>1921</v>
      </c>
      <c r="E1162" s="59"/>
      <c r="F1162" s="59" t="e">
        <f>VLOOKUP(E1162,[1]库存!$B$1:$C$65536,2,FALSE)</f>
        <v>#N/A</v>
      </c>
      <c r="G1162" s="59" t="e">
        <v>#N/A</v>
      </c>
      <c r="H1162" s="59" t="s">
        <v>1939</v>
      </c>
      <c r="I1162" s="59" t="s">
        <v>1940</v>
      </c>
      <c r="J1162" s="63"/>
      <c r="K1162" s="61"/>
      <c r="L1162" s="62">
        <v>2</v>
      </c>
      <c r="M1162" s="63">
        <v>800</v>
      </c>
      <c r="N1162" s="64">
        <v>23</v>
      </c>
      <c r="O1162" s="62">
        <v>3</v>
      </c>
      <c r="P1162" s="65">
        <f t="shared" si="74"/>
        <v>0</v>
      </c>
      <c r="Q1162" s="66"/>
      <c r="R1162" s="66"/>
      <c r="S1162" s="66"/>
      <c r="T1162" s="66"/>
      <c r="U1162" s="66"/>
      <c r="V1162" s="66"/>
      <c r="W1162" s="66"/>
      <c r="X1162" s="66"/>
      <c r="Y1162" s="66"/>
      <c r="Z1162" s="66"/>
      <c r="AA1162" s="66"/>
      <c r="AB1162" s="66"/>
      <c r="AC1162" s="66"/>
      <c r="AD1162" s="66"/>
      <c r="AE1162" s="66"/>
      <c r="AF1162" s="66"/>
      <c r="AG1162" s="66"/>
      <c r="AH1162" s="66"/>
      <c r="AI1162" s="66"/>
      <c r="AJ1162" s="66"/>
      <c r="AK1162" s="66"/>
      <c r="AL1162" s="66"/>
      <c r="AM1162" s="66"/>
      <c r="AN1162" s="66"/>
      <c r="AO1162" s="66"/>
      <c r="AP1162" s="66"/>
      <c r="AQ1162" s="66"/>
      <c r="AR1162" s="66"/>
      <c r="AS1162" s="66"/>
      <c r="AT1162" s="66"/>
      <c r="AU1162" s="66"/>
      <c r="AV1162" s="66"/>
      <c r="AW1162" s="66"/>
      <c r="AX1162" s="66"/>
      <c r="AY1162" s="66"/>
      <c r="AZ1162" s="66"/>
      <c r="BA1162" s="66"/>
      <c r="BB1162" s="66"/>
      <c r="BC1162" s="66"/>
      <c r="BD1162" s="66"/>
      <c r="BE1162" s="67"/>
      <c r="BF1162" s="67"/>
      <c r="BG1162" s="68"/>
      <c r="BI1162" s="69">
        <v>0</v>
      </c>
      <c r="BJ1162" s="70">
        <v>0</v>
      </c>
      <c r="BK1162" s="71">
        <v>0</v>
      </c>
      <c r="BL1162" s="71">
        <v>0</v>
      </c>
      <c r="BM1162" s="71">
        <v>0</v>
      </c>
      <c r="BN1162" s="72">
        <v>0</v>
      </c>
      <c r="BO1162" s="151" t="e">
        <f t="shared" si="72"/>
        <v>#DIV/0!</v>
      </c>
      <c r="BP1162" s="151" t="e">
        <f t="shared" si="73"/>
        <v>#DIV/0!</v>
      </c>
      <c r="BQ1162" s="71">
        <v>0</v>
      </c>
      <c r="BR1162" s="71">
        <v>0</v>
      </c>
      <c r="BS1162" s="71">
        <v>0</v>
      </c>
      <c r="BT1162" s="72">
        <v>0</v>
      </c>
      <c r="BU1162" s="73"/>
      <c r="BV1162" s="73"/>
    </row>
    <row r="1163" ht="30" customHeight="1" spans="1:74">
      <c r="A1163" s="55">
        <v>0</v>
      </c>
      <c r="B1163" s="56">
        <v>0</v>
      </c>
      <c r="C1163" s="57">
        <v>0</v>
      </c>
      <c r="D1163" s="74"/>
      <c r="E1163" s="74"/>
      <c r="F1163" s="59" t="e">
        <f>VLOOKUP(E1163,[1]库存!$B$1:$C$65536,2,FALSE)</f>
        <v>#N/A</v>
      </c>
      <c r="G1163" s="59" t="e">
        <v>#N/A</v>
      </c>
      <c r="H1163" s="74"/>
      <c r="I1163" s="74"/>
      <c r="J1163" s="87"/>
      <c r="K1163" s="61"/>
      <c r="L1163" s="62">
        <v>0</v>
      </c>
      <c r="M1163" s="63">
        <v>0</v>
      </c>
      <c r="N1163" s="64">
        <v>0</v>
      </c>
      <c r="O1163" s="62">
        <v>0</v>
      </c>
      <c r="P1163" s="65">
        <f t="shared" si="74"/>
        <v>0</v>
      </c>
      <c r="Q1163" s="66"/>
      <c r="R1163" s="66"/>
      <c r="S1163" s="66"/>
      <c r="T1163" s="66"/>
      <c r="U1163" s="66"/>
      <c r="V1163" s="66"/>
      <c r="W1163" s="66"/>
      <c r="X1163" s="66"/>
      <c r="Y1163" s="66"/>
      <c r="Z1163" s="66"/>
      <c r="AA1163" s="66"/>
      <c r="AB1163" s="66"/>
      <c r="AC1163" s="66"/>
      <c r="AD1163" s="66"/>
      <c r="AE1163" s="66"/>
      <c r="AF1163" s="66"/>
      <c r="AG1163" s="66"/>
      <c r="AH1163" s="66"/>
      <c r="AI1163" s="66"/>
      <c r="AJ1163" s="66"/>
      <c r="AK1163" s="66"/>
      <c r="AL1163" s="66"/>
      <c r="AM1163" s="66"/>
      <c r="AN1163" s="66"/>
      <c r="AO1163" s="66"/>
      <c r="AP1163" s="66"/>
      <c r="AQ1163" s="66"/>
      <c r="AR1163" s="66"/>
      <c r="AS1163" s="66"/>
      <c r="AT1163" s="66"/>
      <c r="AU1163" s="66"/>
      <c r="AV1163" s="66"/>
      <c r="AW1163" s="66"/>
      <c r="AX1163" s="66"/>
      <c r="AY1163" s="66"/>
      <c r="AZ1163" s="66"/>
      <c r="BA1163" s="66"/>
      <c r="BB1163" s="66"/>
      <c r="BC1163" s="66"/>
      <c r="BD1163" s="66"/>
      <c r="BE1163" s="67"/>
      <c r="BF1163" s="67"/>
      <c r="BG1163" s="68"/>
      <c r="BI1163" s="69">
        <v>0</v>
      </c>
      <c r="BJ1163" s="70">
        <v>0</v>
      </c>
      <c r="BK1163" s="71">
        <v>0</v>
      </c>
      <c r="BL1163" s="71">
        <v>0</v>
      </c>
      <c r="BM1163" s="71">
        <v>0</v>
      </c>
      <c r="BN1163" s="72">
        <v>0</v>
      </c>
      <c r="BO1163" s="151" t="e">
        <f t="shared" si="72"/>
        <v>#DIV/0!</v>
      </c>
      <c r="BP1163" s="151" t="e">
        <f t="shared" si="73"/>
        <v>#DIV/0!</v>
      </c>
      <c r="BQ1163" s="71">
        <v>0</v>
      </c>
      <c r="BR1163" s="71">
        <v>0</v>
      </c>
      <c r="BS1163" s="71">
        <v>0</v>
      </c>
      <c r="BT1163" s="72">
        <v>0</v>
      </c>
      <c r="BU1163" s="73"/>
      <c r="BV1163" s="73"/>
    </row>
    <row r="1164" ht="30" customHeight="1" spans="1:74">
      <c r="A1164" s="55">
        <v>0</v>
      </c>
      <c r="B1164" s="56">
        <v>0</v>
      </c>
      <c r="C1164" s="57">
        <v>0</v>
      </c>
      <c r="D1164" s="210"/>
      <c r="E1164" s="88"/>
      <c r="F1164" s="59" t="e">
        <f>VLOOKUP(E1164,[1]库存!$B$1:$C$65536,2,FALSE)</f>
        <v>#N/A</v>
      </c>
      <c r="G1164" s="59" t="e">
        <v>#N/A</v>
      </c>
      <c r="H1164" s="238"/>
      <c r="I1164" s="239"/>
      <c r="J1164" s="90"/>
      <c r="K1164" s="61"/>
      <c r="L1164" s="62">
        <v>0</v>
      </c>
      <c r="M1164" s="63">
        <v>0</v>
      </c>
      <c r="N1164" s="64">
        <v>0</v>
      </c>
      <c r="O1164" s="62">
        <v>0</v>
      </c>
      <c r="P1164" s="65">
        <f t="shared" si="74"/>
        <v>0</v>
      </c>
      <c r="Q1164" s="66"/>
      <c r="R1164" s="66"/>
      <c r="S1164" s="66"/>
      <c r="T1164" s="66"/>
      <c r="U1164" s="66"/>
      <c r="V1164" s="66"/>
      <c r="W1164" s="66"/>
      <c r="X1164" s="66"/>
      <c r="Y1164" s="66"/>
      <c r="Z1164" s="66"/>
      <c r="AA1164" s="66"/>
      <c r="AB1164" s="66"/>
      <c r="AC1164" s="66"/>
      <c r="AD1164" s="66"/>
      <c r="AE1164" s="66"/>
      <c r="AF1164" s="66"/>
      <c r="AG1164" s="66"/>
      <c r="AH1164" s="66"/>
      <c r="AI1164" s="66"/>
      <c r="AJ1164" s="66"/>
      <c r="AK1164" s="66"/>
      <c r="AL1164" s="66"/>
      <c r="AM1164" s="66"/>
      <c r="AN1164" s="66"/>
      <c r="AO1164" s="66"/>
      <c r="AP1164" s="66"/>
      <c r="AQ1164" s="66"/>
      <c r="AR1164" s="66"/>
      <c r="AS1164" s="66"/>
      <c r="AT1164" s="66"/>
      <c r="AU1164" s="66"/>
      <c r="AV1164" s="66"/>
      <c r="AW1164" s="66"/>
      <c r="AX1164" s="66"/>
      <c r="AY1164" s="66"/>
      <c r="AZ1164" s="66"/>
      <c r="BA1164" s="66"/>
      <c r="BB1164" s="66"/>
      <c r="BC1164" s="66"/>
      <c r="BD1164" s="66"/>
      <c r="BE1164" s="67"/>
      <c r="BF1164" s="67"/>
      <c r="BG1164" s="68"/>
      <c r="BI1164" s="69">
        <v>0</v>
      </c>
      <c r="BJ1164" s="70">
        <v>0</v>
      </c>
      <c r="BK1164" s="71">
        <v>0</v>
      </c>
      <c r="BL1164" s="71">
        <v>0</v>
      </c>
      <c r="BM1164" s="71">
        <v>0</v>
      </c>
      <c r="BN1164" s="72">
        <v>0</v>
      </c>
      <c r="BO1164" s="151" t="e">
        <f t="shared" si="72"/>
        <v>#DIV/0!</v>
      </c>
      <c r="BP1164" s="151" t="e">
        <f t="shared" si="73"/>
        <v>#DIV/0!</v>
      </c>
      <c r="BQ1164" s="71">
        <v>0</v>
      </c>
      <c r="BR1164" s="71">
        <v>0</v>
      </c>
      <c r="BS1164" s="71">
        <v>0</v>
      </c>
      <c r="BT1164" s="72">
        <v>0</v>
      </c>
      <c r="BU1164" s="73"/>
      <c r="BV1164" s="73"/>
    </row>
    <row r="1165" ht="30" customHeight="1" spans="1:74">
      <c r="A1165" s="55" t="s">
        <v>246</v>
      </c>
      <c r="B1165" s="56" t="s">
        <v>1057</v>
      </c>
      <c r="C1165" s="57" t="s">
        <v>1058</v>
      </c>
      <c r="D1165" s="59" t="s">
        <v>1941</v>
      </c>
      <c r="E1165" s="59" t="s">
        <v>1942</v>
      </c>
      <c r="F1165" s="59" t="str">
        <f>VLOOKUP(E1165,[1]库存!$B$1:$C$65536,2,FALSE)</f>
        <v>GWM V71 DKAB A状态</v>
      </c>
      <c r="G1165" s="59" t="s">
        <v>1943</v>
      </c>
      <c r="H1165" s="59" t="s">
        <v>1944</v>
      </c>
      <c r="I1165" s="59" t="s">
        <v>1945</v>
      </c>
      <c r="J1165" s="63"/>
      <c r="K1165" s="61"/>
      <c r="L1165" s="62">
        <v>2</v>
      </c>
      <c r="M1165" s="63">
        <v>600</v>
      </c>
      <c r="N1165" s="64">
        <v>18</v>
      </c>
      <c r="O1165" s="62">
        <v>2</v>
      </c>
      <c r="P1165" s="65">
        <f t="shared" si="74"/>
        <v>0</v>
      </c>
      <c r="Q1165" s="66"/>
      <c r="R1165" s="66"/>
      <c r="S1165" s="66"/>
      <c r="T1165" s="66"/>
      <c r="U1165" s="66"/>
      <c r="V1165" s="66"/>
      <c r="W1165" s="66"/>
      <c r="X1165" s="66"/>
      <c r="Y1165" s="66"/>
      <c r="Z1165" s="66"/>
      <c r="AA1165" s="66"/>
      <c r="AB1165" s="66"/>
      <c r="AC1165" s="66"/>
      <c r="AD1165" s="66"/>
      <c r="AE1165" s="66"/>
      <c r="AF1165" s="66"/>
      <c r="AG1165" s="66"/>
      <c r="AH1165" s="66"/>
      <c r="AI1165" s="66"/>
      <c r="AJ1165" s="66"/>
      <c r="AK1165" s="66"/>
      <c r="AL1165" s="66"/>
      <c r="AM1165" s="66"/>
      <c r="AN1165" s="66"/>
      <c r="AO1165" s="66"/>
      <c r="AP1165" s="66"/>
      <c r="AQ1165" s="66"/>
      <c r="AR1165" s="66"/>
      <c r="AS1165" s="66"/>
      <c r="AT1165" s="66"/>
      <c r="AU1165" s="66"/>
      <c r="AV1165" s="66"/>
      <c r="AW1165" s="66"/>
      <c r="AX1165" s="66"/>
      <c r="AY1165" s="66"/>
      <c r="AZ1165" s="66"/>
      <c r="BA1165" s="66"/>
      <c r="BB1165" s="66"/>
      <c r="BC1165" s="66"/>
      <c r="BD1165" s="66"/>
      <c r="BE1165" s="67"/>
      <c r="BF1165" s="67"/>
      <c r="BG1165" s="68"/>
      <c r="BI1165" s="69">
        <v>0</v>
      </c>
      <c r="BJ1165" s="70">
        <v>0</v>
      </c>
      <c r="BK1165" s="71">
        <v>0</v>
      </c>
      <c r="BL1165" s="71">
        <v>0</v>
      </c>
      <c r="BM1165" s="71">
        <v>0</v>
      </c>
      <c r="BN1165" s="72">
        <v>0</v>
      </c>
      <c r="BO1165" s="151" t="e">
        <f t="shared" si="72"/>
        <v>#DIV/0!</v>
      </c>
      <c r="BP1165" s="151" t="e">
        <f t="shared" si="73"/>
        <v>#DIV/0!</v>
      </c>
      <c r="BQ1165" s="71">
        <v>0</v>
      </c>
      <c r="BR1165" s="71">
        <v>0</v>
      </c>
      <c r="BS1165" s="71">
        <v>0</v>
      </c>
      <c r="BT1165" s="72">
        <v>0</v>
      </c>
      <c r="BU1165" s="73"/>
      <c r="BV1165" s="73"/>
    </row>
    <row r="1166" ht="30" customHeight="1" spans="1:74">
      <c r="A1166" s="55">
        <v>0</v>
      </c>
      <c r="B1166" s="56">
        <v>0</v>
      </c>
      <c r="C1166" s="57">
        <v>0</v>
      </c>
      <c r="D1166" s="152"/>
      <c r="E1166" s="233"/>
      <c r="F1166" s="113" t="s">
        <v>1946</v>
      </c>
      <c r="G1166" s="113">
        <v>0</v>
      </c>
      <c r="H1166" s="233"/>
      <c r="I1166" s="152"/>
      <c r="J1166" s="87"/>
      <c r="K1166" s="61"/>
      <c r="L1166" s="62">
        <v>0</v>
      </c>
      <c r="M1166" s="63">
        <v>0</v>
      </c>
      <c r="N1166" s="64">
        <v>0</v>
      </c>
      <c r="O1166" s="62">
        <v>0</v>
      </c>
      <c r="P1166" s="65">
        <f t="shared" si="74"/>
        <v>0</v>
      </c>
      <c r="Q1166" s="66"/>
      <c r="R1166" s="66"/>
      <c r="S1166" s="66"/>
      <c r="T1166" s="66"/>
      <c r="U1166" s="66"/>
      <c r="V1166" s="66"/>
      <c r="W1166" s="66"/>
      <c r="X1166" s="66"/>
      <c r="Y1166" s="66"/>
      <c r="Z1166" s="66"/>
      <c r="AA1166" s="66"/>
      <c r="AB1166" s="66"/>
      <c r="AC1166" s="66"/>
      <c r="AD1166" s="66"/>
      <c r="AE1166" s="66"/>
      <c r="AF1166" s="66"/>
      <c r="AG1166" s="66"/>
      <c r="AH1166" s="66"/>
      <c r="AI1166" s="66"/>
      <c r="AJ1166" s="66"/>
      <c r="AK1166" s="66"/>
      <c r="AL1166" s="66"/>
      <c r="AM1166" s="66"/>
      <c r="AN1166" s="66"/>
      <c r="AO1166" s="66"/>
      <c r="AP1166" s="66"/>
      <c r="AQ1166" s="66"/>
      <c r="AR1166" s="66"/>
      <c r="AS1166" s="66"/>
      <c r="AT1166" s="66"/>
      <c r="AU1166" s="66"/>
      <c r="AV1166" s="66"/>
      <c r="AW1166" s="66"/>
      <c r="AX1166" s="66"/>
      <c r="AY1166" s="66"/>
      <c r="AZ1166" s="66"/>
      <c r="BA1166" s="66"/>
      <c r="BB1166" s="66"/>
      <c r="BC1166" s="66"/>
      <c r="BD1166" s="66"/>
      <c r="BE1166" s="67"/>
      <c r="BF1166" s="67"/>
      <c r="BG1166" s="68"/>
      <c r="BI1166" s="69">
        <v>0</v>
      </c>
      <c r="BJ1166" s="70">
        <v>0</v>
      </c>
      <c r="BK1166" s="71">
        <v>0</v>
      </c>
      <c r="BL1166" s="71">
        <v>0</v>
      </c>
      <c r="BM1166" s="71">
        <v>0</v>
      </c>
      <c r="BN1166" s="72">
        <v>0</v>
      </c>
      <c r="BO1166" s="151" t="e">
        <f t="shared" si="72"/>
        <v>#DIV/0!</v>
      </c>
      <c r="BP1166" s="151" t="e">
        <f t="shared" si="73"/>
        <v>#DIV/0!</v>
      </c>
      <c r="BQ1166" s="71">
        <v>0</v>
      </c>
      <c r="BR1166" s="71">
        <v>0</v>
      </c>
      <c r="BS1166" s="71">
        <v>0</v>
      </c>
      <c r="BT1166" s="72">
        <v>0</v>
      </c>
      <c r="BU1166" s="73"/>
      <c r="BV1166" s="73"/>
    </row>
    <row r="1167" ht="30" customHeight="1" spans="1:74">
      <c r="A1167" s="55" t="s">
        <v>165</v>
      </c>
      <c r="B1167" s="56" t="s">
        <v>1057</v>
      </c>
      <c r="C1167" s="57" t="s">
        <v>1058</v>
      </c>
      <c r="D1167" s="59" t="s">
        <v>1941</v>
      </c>
      <c r="E1167" s="59" t="s">
        <v>1947</v>
      </c>
      <c r="F1167" s="59" t="str">
        <f>VLOOKUP(E1167,[1]库存!$B$1:$C$65536,2,FALSE)</f>
        <v>FORD CD542 DKAB C状态</v>
      </c>
      <c r="G1167" s="59" t="s">
        <v>1948</v>
      </c>
      <c r="H1167" s="59" t="s">
        <v>1949</v>
      </c>
      <c r="I1167" s="59" t="s">
        <v>1950</v>
      </c>
      <c r="J1167" s="80" t="s">
        <v>65</v>
      </c>
      <c r="K1167" s="61"/>
      <c r="L1167" s="62">
        <v>2</v>
      </c>
      <c r="M1167" s="63">
        <v>600</v>
      </c>
      <c r="N1167" s="64">
        <v>18</v>
      </c>
      <c r="O1167" s="62">
        <v>2</v>
      </c>
      <c r="P1167" s="65">
        <f t="shared" si="74"/>
        <v>0</v>
      </c>
      <c r="Q1167" s="66"/>
      <c r="R1167" s="66"/>
      <c r="S1167" s="66"/>
      <c r="T1167" s="66"/>
      <c r="U1167" s="66"/>
      <c r="V1167" s="66"/>
      <c r="W1167" s="66"/>
      <c r="X1167" s="66"/>
      <c r="Y1167" s="66"/>
      <c r="Z1167" s="66"/>
      <c r="AA1167" s="66"/>
      <c r="AB1167" s="66"/>
      <c r="AC1167" s="66"/>
      <c r="AD1167" s="66"/>
      <c r="AE1167" s="66"/>
      <c r="AF1167" s="66"/>
      <c r="AG1167" s="66"/>
      <c r="AH1167" s="66"/>
      <c r="AI1167" s="66"/>
      <c r="AJ1167" s="66"/>
      <c r="AK1167" s="66"/>
      <c r="AL1167" s="66"/>
      <c r="AM1167" s="66"/>
      <c r="AN1167" s="66"/>
      <c r="AO1167" s="66"/>
      <c r="AP1167" s="66"/>
      <c r="AQ1167" s="66"/>
      <c r="AR1167" s="66"/>
      <c r="AS1167" s="66"/>
      <c r="AT1167" s="66"/>
      <c r="AU1167" s="66"/>
      <c r="AV1167" s="66"/>
      <c r="AW1167" s="66"/>
      <c r="AX1167" s="66"/>
      <c r="AY1167" s="66"/>
      <c r="AZ1167" s="66"/>
      <c r="BA1167" s="66"/>
      <c r="BB1167" s="66"/>
      <c r="BC1167" s="66"/>
      <c r="BD1167" s="66"/>
      <c r="BE1167" s="67"/>
      <c r="BF1167" s="67"/>
      <c r="BG1167" s="68"/>
      <c r="BI1167" s="69">
        <v>0</v>
      </c>
      <c r="BJ1167" s="70">
        <v>0</v>
      </c>
      <c r="BK1167" s="71">
        <v>0</v>
      </c>
      <c r="BL1167" s="71">
        <v>0</v>
      </c>
      <c r="BM1167" s="71">
        <v>0</v>
      </c>
      <c r="BN1167" s="72">
        <v>0</v>
      </c>
      <c r="BO1167" s="151" t="e">
        <f t="shared" si="72"/>
        <v>#DIV/0!</v>
      </c>
      <c r="BP1167" s="151" t="e">
        <f t="shared" si="73"/>
        <v>#DIV/0!</v>
      </c>
      <c r="BQ1167" s="71">
        <v>0</v>
      </c>
      <c r="BR1167" s="71">
        <v>0</v>
      </c>
      <c r="BS1167" s="71">
        <v>0</v>
      </c>
      <c r="BT1167" s="72">
        <v>0</v>
      </c>
      <c r="BU1167" s="73"/>
      <c r="BV1167" s="73"/>
    </row>
    <row r="1168" ht="30" customHeight="1" spans="1:74">
      <c r="A1168" s="55">
        <v>0</v>
      </c>
      <c r="B1168" s="56">
        <v>0</v>
      </c>
      <c r="C1168" s="57">
        <v>0</v>
      </c>
      <c r="D1168" s="74"/>
      <c r="E1168" s="74"/>
      <c r="F1168" s="59" t="e">
        <f>VLOOKUP(E1168,[1]库存!$B$1:$C$65536,2,FALSE)</f>
        <v>#N/A</v>
      </c>
      <c r="G1168" s="59" t="e">
        <v>#N/A</v>
      </c>
      <c r="H1168" s="74"/>
      <c r="I1168" s="74"/>
      <c r="J1168" s="81"/>
      <c r="K1168" s="61"/>
      <c r="L1168" s="62">
        <v>0</v>
      </c>
      <c r="M1168" s="63">
        <v>0</v>
      </c>
      <c r="N1168" s="64">
        <v>0</v>
      </c>
      <c r="O1168" s="62">
        <v>0</v>
      </c>
      <c r="P1168" s="65">
        <f t="shared" si="74"/>
        <v>0</v>
      </c>
      <c r="Q1168" s="66"/>
      <c r="R1168" s="66"/>
      <c r="S1168" s="66"/>
      <c r="T1168" s="66"/>
      <c r="U1168" s="66"/>
      <c r="V1168" s="66"/>
      <c r="W1168" s="66"/>
      <c r="X1168" s="66"/>
      <c r="Y1168" s="66"/>
      <c r="Z1168" s="66"/>
      <c r="AA1168" s="66"/>
      <c r="AB1168" s="66"/>
      <c r="AC1168" s="66"/>
      <c r="AD1168" s="66"/>
      <c r="AE1168" s="66"/>
      <c r="AF1168" s="66"/>
      <c r="AG1168" s="66"/>
      <c r="AH1168" s="66"/>
      <c r="AI1168" s="66"/>
      <c r="AJ1168" s="66"/>
      <c r="AK1168" s="66"/>
      <c r="AL1168" s="66"/>
      <c r="AM1168" s="66"/>
      <c r="AN1168" s="66"/>
      <c r="AO1168" s="66"/>
      <c r="AP1168" s="66"/>
      <c r="AQ1168" s="66"/>
      <c r="AR1168" s="66"/>
      <c r="AS1168" s="66"/>
      <c r="AT1168" s="66"/>
      <c r="AU1168" s="66"/>
      <c r="AV1168" s="66"/>
      <c r="AW1168" s="66"/>
      <c r="AX1168" s="66"/>
      <c r="AY1168" s="66"/>
      <c r="AZ1168" s="66"/>
      <c r="BA1168" s="66"/>
      <c r="BB1168" s="66"/>
      <c r="BC1168" s="66"/>
      <c r="BD1168" s="66"/>
      <c r="BE1168" s="67"/>
      <c r="BF1168" s="67"/>
      <c r="BG1168" s="68"/>
      <c r="BI1168" s="69">
        <v>0</v>
      </c>
      <c r="BJ1168" s="70">
        <v>0</v>
      </c>
      <c r="BK1168" s="71">
        <v>0</v>
      </c>
      <c r="BL1168" s="71">
        <v>0</v>
      </c>
      <c r="BM1168" s="71">
        <v>0</v>
      </c>
      <c r="BN1168" s="72">
        <v>0</v>
      </c>
      <c r="BO1168" s="151" t="e">
        <f t="shared" si="72"/>
        <v>#DIV/0!</v>
      </c>
      <c r="BP1168" s="151" t="e">
        <f t="shared" si="73"/>
        <v>#DIV/0!</v>
      </c>
      <c r="BQ1168" s="71">
        <v>0</v>
      </c>
      <c r="BR1168" s="71">
        <v>0</v>
      </c>
      <c r="BS1168" s="71">
        <v>0</v>
      </c>
      <c r="BT1168" s="72">
        <v>0</v>
      </c>
      <c r="BU1168" s="73"/>
      <c r="BV1168" s="73"/>
    </row>
    <row r="1169" ht="30" customHeight="1" spans="1:74">
      <c r="A1169" s="55" t="s">
        <v>165</v>
      </c>
      <c r="B1169" s="56" t="s">
        <v>1057</v>
      </c>
      <c r="C1169" s="57" t="s">
        <v>1058</v>
      </c>
      <c r="D1169" s="59" t="s">
        <v>1941</v>
      </c>
      <c r="E1169" s="59" t="s">
        <v>1951</v>
      </c>
      <c r="F1169" s="59" t="str">
        <f>VLOOKUP(E1169,[1]库存!$B$1:$C$65536,2,FALSE)</f>
        <v>U6 PKAB B状态</v>
      </c>
      <c r="G1169" s="59" t="s">
        <v>1952</v>
      </c>
      <c r="H1169" s="59" t="s">
        <v>1953</v>
      </c>
      <c r="I1169" s="59" t="s">
        <v>1954</v>
      </c>
      <c r="J1169" s="80" t="s">
        <v>65</v>
      </c>
      <c r="K1169" s="61"/>
      <c r="L1169" s="62">
        <v>2</v>
      </c>
      <c r="M1169" s="63">
        <v>600</v>
      </c>
      <c r="N1169" s="64">
        <v>18</v>
      </c>
      <c r="O1169" s="62">
        <v>2</v>
      </c>
      <c r="P1169" s="65">
        <f t="shared" si="74"/>
        <v>0</v>
      </c>
      <c r="Q1169" s="66"/>
      <c r="R1169" s="66"/>
      <c r="S1169" s="66"/>
      <c r="T1169" s="66"/>
      <c r="U1169" s="66"/>
      <c r="V1169" s="66"/>
      <c r="W1169" s="66"/>
      <c r="X1169" s="66"/>
      <c r="Y1169" s="66"/>
      <c r="Z1169" s="66"/>
      <c r="AA1169" s="66"/>
      <c r="AB1169" s="66"/>
      <c r="AC1169" s="66"/>
      <c r="AD1169" s="66"/>
      <c r="AE1169" s="66"/>
      <c r="AF1169" s="66"/>
      <c r="AG1169" s="66"/>
      <c r="AH1169" s="66"/>
      <c r="AI1169" s="66"/>
      <c r="AJ1169" s="66"/>
      <c r="AK1169" s="66"/>
      <c r="AL1169" s="66"/>
      <c r="AM1169" s="66"/>
      <c r="AN1169" s="66"/>
      <c r="AO1169" s="66"/>
      <c r="AP1169" s="66"/>
      <c r="AQ1169" s="66"/>
      <c r="AR1169" s="66"/>
      <c r="AS1169" s="66"/>
      <c r="AT1169" s="66"/>
      <c r="AU1169" s="66"/>
      <c r="AV1169" s="66"/>
      <c r="AW1169" s="66"/>
      <c r="AX1169" s="66"/>
      <c r="AY1169" s="66"/>
      <c r="AZ1169" s="66"/>
      <c r="BA1169" s="66"/>
      <c r="BB1169" s="66"/>
      <c r="BC1169" s="66"/>
      <c r="BD1169" s="66"/>
      <c r="BE1169" s="67"/>
      <c r="BF1169" s="67"/>
      <c r="BG1169" s="68"/>
      <c r="BI1169" s="69">
        <v>0</v>
      </c>
      <c r="BJ1169" s="70">
        <v>0</v>
      </c>
      <c r="BK1169" s="71">
        <v>0</v>
      </c>
      <c r="BL1169" s="71">
        <v>0</v>
      </c>
      <c r="BM1169" s="71">
        <v>0</v>
      </c>
      <c r="BN1169" s="72">
        <v>0</v>
      </c>
      <c r="BO1169" s="151" t="e">
        <f t="shared" si="72"/>
        <v>#DIV/0!</v>
      </c>
      <c r="BP1169" s="151" t="e">
        <f t="shared" si="73"/>
        <v>#DIV/0!</v>
      </c>
      <c r="BQ1169" s="71">
        <v>0</v>
      </c>
      <c r="BR1169" s="71">
        <v>0</v>
      </c>
      <c r="BS1169" s="71">
        <v>0</v>
      </c>
      <c r="BT1169" s="72">
        <v>0</v>
      </c>
      <c r="BU1169" s="73"/>
      <c r="BV1169" s="73"/>
    </row>
    <row r="1170" ht="30" customHeight="1" spans="1:74">
      <c r="A1170" s="55">
        <v>0</v>
      </c>
      <c r="B1170" s="56">
        <v>0</v>
      </c>
      <c r="C1170" s="57">
        <v>0</v>
      </c>
      <c r="D1170" s="74"/>
      <c r="E1170" s="74"/>
      <c r="F1170" s="59" t="e">
        <f>VLOOKUP(E1170,[1]库存!$B$1:$C$65536,2,FALSE)</f>
        <v>#N/A</v>
      </c>
      <c r="G1170" s="59" t="e">
        <v>#N/A</v>
      </c>
      <c r="H1170" s="74"/>
      <c r="I1170" s="74"/>
      <c r="J1170" s="81"/>
      <c r="K1170" s="61"/>
      <c r="L1170" s="62">
        <v>0</v>
      </c>
      <c r="M1170" s="63">
        <v>0</v>
      </c>
      <c r="N1170" s="64">
        <v>0</v>
      </c>
      <c r="O1170" s="62">
        <v>0</v>
      </c>
      <c r="P1170" s="65">
        <f t="shared" si="74"/>
        <v>0</v>
      </c>
      <c r="Q1170" s="66"/>
      <c r="R1170" s="66"/>
      <c r="S1170" s="66"/>
      <c r="T1170" s="66"/>
      <c r="U1170" s="66"/>
      <c r="V1170" s="66"/>
      <c r="W1170" s="66"/>
      <c r="X1170" s="66"/>
      <c r="Y1170" s="66"/>
      <c r="Z1170" s="66"/>
      <c r="AA1170" s="66"/>
      <c r="AB1170" s="66"/>
      <c r="AC1170" s="66"/>
      <c r="AD1170" s="66"/>
      <c r="AE1170" s="66"/>
      <c r="AF1170" s="66"/>
      <c r="AG1170" s="66"/>
      <c r="AH1170" s="66"/>
      <c r="AI1170" s="66"/>
      <c r="AJ1170" s="66"/>
      <c r="AK1170" s="66"/>
      <c r="AL1170" s="66"/>
      <c r="AM1170" s="66"/>
      <c r="AN1170" s="66"/>
      <c r="AO1170" s="66"/>
      <c r="AP1170" s="66"/>
      <c r="AQ1170" s="66"/>
      <c r="AR1170" s="66"/>
      <c r="AS1170" s="66"/>
      <c r="AT1170" s="66"/>
      <c r="AU1170" s="66"/>
      <c r="AV1170" s="66"/>
      <c r="AW1170" s="66"/>
      <c r="AX1170" s="66"/>
      <c r="AY1170" s="66"/>
      <c r="AZ1170" s="66"/>
      <c r="BA1170" s="66"/>
      <c r="BB1170" s="66"/>
      <c r="BC1170" s="66"/>
      <c r="BD1170" s="66"/>
      <c r="BE1170" s="67"/>
      <c r="BF1170" s="67"/>
      <c r="BG1170" s="68"/>
      <c r="BI1170" s="69">
        <v>0</v>
      </c>
      <c r="BJ1170" s="70">
        <v>0</v>
      </c>
      <c r="BK1170" s="71">
        <v>0</v>
      </c>
      <c r="BL1170" s="71">
        <v>0</v>
      </c>
      <c r="BM1170" s="71">
        <v>0</v>
      </c>
      <c r="BN1170" s="72">
        <v>0</v>
      </c>
      <c r="BO1170" s="151" t="e">
        <f t="shared" si="72"/>
        <v>#DIV/0!</v>
      </c>
      <c r="BP1170" s="151" t="e">
        <f t="shared" si="73"/>
        <v>#DIV/0!</v>
      </c>
      <c r="BQ1170" s="71">
        <v>0</v>
      </c>
      <c r="BR1170" s="71">
        <v>0</v>
      </c>
      <c r="BS1170" s="71">
        <v>0</v>
      </c>
      <c r="BT1170" s="72">
        <v>0</v>
      </c>
      <c r="BU1170" s="73"/>
      <c r="BV1170" s="73"/>
    </row>
    <row r="1171" ht="30" customHeight="1" spans="1:74">
      <c r="A1171" s="55" t="s">
        <v>165</v>
      </c>
      <c r="B1171" s="56" t="s">
        <v>1057</v>
      </c>
      <c r="C1171" s="57" t="s">
        <v>1058</v>
      </c>
      <c r="D1171" s="59" t="s">
        <v>1941</v>
      </c>
      <c r="E1171" s="59" t="s">
        <v>1955</v>
      </c>
      <c r="F1171" s="59" t="str">
        <f>VLOOKUP(E1171,[1]库存!$B$1:$C$65536,2,FALSE)</f>
        <v>U6 DKAB B状态</v>
      </c>
      <c r="G1171" s="59" t="s">
        <v>1956</v>
      </c>
      <c r="H1171" s="59" t="s">
        <v>1957</v>
      </c>
      <c r="I1171" s="59" t="s">
        <v>1954</v>
      </c>
      <c r="J1171" s="80" t="s">
        <v>65</v>
      </c>
      <c r="K1171" s="61"/>
      <c r="L1171" s="62">
        <v>2</v>
      </c>
      <c r="M1171" s="63">
        <v>600</v>
      </c>
      <c r="N1171" s="64">
        <v>18</v>
      </c>
      <c r="O1171" s="62">
        <v>2</v>
      </c>
      <c r="P1171" s="65">
        <f t="shared" si="74"/>
        <v>0</v>
      </c>
      <c r="Q1171" s="66"/>
      <c r="R1171" s="66"/>
      <c r="S1171" s="66"/>
      <c r="T1171" s="66"/>
      <c r="U1171" s="66"/>
      <c r="V1171" s="66"/>
      <c r="W1171" s="66"/>
      <c r="X1171" s="66"/>
      <c r="Y1171" s="66"/>
      <c r="Z1171" s="66"/>
      <c r="AA1171" s="66"/>
      <c r="AB1171" s="66"/>
      <c r="AC1171" s="66"/>
      <c r="AD1171" s="66"/>
      <c r="AE1171" s="66"/>
      <c r="AF1171" s="66"/>
      <c r="AG1171" s="66"/>
      <c r="AH1171" s="66"/>
      <c r="AI1171" s="66"/>
      <c r="AJ1171" s="66"/>
      <c r="AK1171" s="66"/>
      <c r="AL1171" s="66"/>
      <c r="AM1171" s="66"/>
      <c r="AN1171" s="66"/>
      <c r="AO1171" s="66"/>
      <c r="AP1171" s="66"/>
      <c r="AQ1171" s="66"/>
      <c r="AR1171" s="66"/>
      <c r="AS1171" s="66"/>
      <c r="AT1171" s="66"/>
      <c r="AU1171" s="66"/>
      <c r="AV1171" s="66"/>
      <c r="AW1171" s="66"/>
      <c r="AX1171" s="66"/>
      <c r="AY1171" s="66"/>
      <c r="AZ1171" s="66"/>
      <c r="BA1171" s="66"/>
      <c r="BB1171" s="66"/>
      <c r="BC1171" s="66"/>
      <c r="BD1171" s="66"/>
      <c r="BE1171" s="67"/>
      <c r="BF1171" s="67"/>
      <c r="BG1171" s="68"/>
      <c r="BI1171" s="69">
        <v>0</v>
      </c>
      <c r="BJ1171" s="70">
        <v>0</v>
      </c>
      <c r="BK1171" s="71">
        <v>0</v>
      </c>
      <c r="BL1171" s="71">
        <v>0</v>
      </c>
      <c r="BM1171" s="71">
        <v>0</v>
      </c>
      <c r="BN1171" s="72">
        <v>0</v>
      </c>
      <c r="BO1171" s="151" t="e">
        <f t="shared" si="72"/>
        <v>#DIV/0!</v>
      </c>
      <c r="BP1171" s="151" t="e">
        <f t="shared" si="73"/>
        <v>#DIV/0!</v>
      </c>
      <c r="BQ1171" s="71">
        <v>0</v>
      </c>
      <c r="BR1171" s="71">
        <v>0</v>
      </c>
      <c r="BS1171" s="71">
        <v>0</v>
      </c>
      <c r="BT1171" s="72">
        <v>0</v>
      </c>
      <c r="BU1171" s="73"/>
      <c r="BV1171" s="73"/>
    </row>
    <row r="1172" ht="30" customHeight="1" spans="1:74">
      <c r="A1172" s="55">
        <v>0</v>
      </c>
      <c r="B1172" s="56">
        <v>0</v>
      </c>
      <c r="C1172" s="57">
        <v>0</v>
      </c>
      <c r="D1172" s="74"/>
      <c r="E1172" s="74"/>
      <c r="F1172" s="59" t="e">
        <f>VLOOKUP(E1172,[1]库存!$B$1:$C$65536,2,FALSE)</f>
        <v>#N/A</v>
      </c>
      <c r="G1172" s="59" t="e">
        <v>#N/A</v>
      </c>
      <c r="H1172" s="74"/>
      <c r="I1172" s="74"/>
      <c r="J1172" s="81"/>
      <c r="K1172" s="61"/>
      <c r="L1172" s="62">
        <v>0</v>
      </c>
      <c r="M1172" s="63">
        <v>0</v>
      </c>
      <c r="N1172" s="64">
        <v>0</v>
      </c>
      <c r="O1172" s="62">
        <v>0</v>
      </c>
      <c r="P1172" s="65">
        <f t="shared" si="74"/>
        <v>0</v>
      </c>
      <c r="Q1172" s="66"/>
      <c r="R1172" s="66"/>
      <c r="S1172" s="66"/>
      <c r="T1172" s="66"/>
      <c r="U1172" s="66"/>
      <c r="V1172" s="66"/>
      <c r="W1172" s="66"/>
      <c r="X1172" s="66"/>
      <c r="Y1172" s="66"/>
      <c r="Z1172" s="66"/>
      <c r="AA1172" s="66"/>
      <c r="AB1172" s="66"/>
      <c r="AC1172" s="66"/>
      <c r="AD1172" s="66"/>
      <c r="AE1172" s="66"/>
      <c r="AF1172" s="66"/>
      <c r="AG1172" s="66"/>
      <c r="AH1172" s="66"/>
      <c r="AI1172" s="66"/>
      <c r="AJ1172" s="66"/>
      <c r="AK1172" s="66"/>
      <c r="AL1172" s="66"/>
      <c r="AM1172" s="66"/>
      <c r="AN1172" s="66"/>
      <c r="AO1172" s="66"/>
      <c r="AP1172" s="66"/>
      <c r="AQ1172" s="66"/>
      <c r="AR1172" s="66"/>
      <c r="AS1172" s="66"/>
      <c r="AT1172" s="66"/>
      <c r="AU1172" s="66"/>
      <c r="AV1172" s="66"/>
      <c r="AW1172" s="66"/>
      <c r="AX1172" s="66"/>
      <c r="AY1172" s="66"/>
      <c r="AZ1172" s="66"/>
      <c r="BA1172" s="66"/>
      <c r="BB1172" s="66"/>
      <c r="BC1172" s="66"/>
      <c r="BD1172" s="66"/>
      <c r="BE1172" s="67"/>
      <c r="BF1172" s="67"/>
      <c r="BG1172" s="68"/>
      <c r="BI1172" s="69">
        <v>0</v>
      </c>
      <c r="BJ1172" s="70">
        <v>0</v>
      </c>
      <c r="BK1172" s="71">
        <v>0</v>
      </c>
      <c r="BL1172" s="71">
        <v>0</v>
      </c>
      <c r="BM1172" s="71">
        <v>0</v>
      </c>
      <c r="BN1172" s="72">
        <v>0</v>
      </c>
      <c r="BO1172" s="151" t="e">
        <f t="shared" si="72"/>
        <v>#DIV/0!</v>
      </c>
      <c r="BP1172" s="151" t="e">
        <f t="shared" si="73"/>
        <v>#DIV/0!</v>
      </c>
      <c r="BQ1172" s="71">
        <v>0</v>
      </c>
      <c r="BR1172" s="71">
        <v>0</v>
      </c>
      <c r="BS1172" s="71">
        <v>0</v>
      </c>
      <c r="BT1172" s="72">
        <v>0</v>
      </c>
      <c r="BU1172" s="73"/>
      <c r="BV1172" s="73"/>
    </row>
    <row r="1173" ht="30" customHeight="1" spans="1:74">
      <c r="A1173" s="55">
        <v>0</v>
      </c>
      <c r="B1173" s="56">
        <v>0</v>
      </c>
      <c r="C1173" s="57">
        <v>0</v>
      </c>
      <c r="D1173" s="210"/>
      <c r="E1173" s="88"/>
      <c r="F1173" s="59" t="e">
        <f>VLOOKUP(E1173,[1]库存!$B$1:$C$65536,2,FALSE)</f>
        <v>#N/A</v>
      </c>
      <c r="G1173" s="59" t="e">
        <v>#N/A</v>
      </c>
      <c r="H1173" s="238"/>
      <c r="I1173" s="239"/>
      <c r="J1173" s="90"/>
      <c r="K1173" s="61"/>
      <c r="L1173" s="62">
        <v>0</v>
      </c>
      <c r="M1173" s="63">
        <v>0</v>
      </c>
      <c r="N1173" s="64">
        <v>0</v>
      </c>
      <c r="O1173" s="62">
        <v>0</v>
      </c>
      <c r="P1173" s="65">
        <f t="shared" si="74"/>
        <v>0</v>
      </c>
      <c r="Q1173" s="66"/>
      <c r="R1173" s="66"/>
      <c r="S1173" s="66"/>
      <c r="T1173" s="66"/>
      <c r="U1173" s="66"/>
      <c r="V1173" s="66"/>
      <c r="W1173" s="66"/>
      <c r="X1173" s="66"/>
      <c r="Y1173" s="66"/>
      <c r="Z1173" s="66"/>
      <c r="AA1173" s="66"/>
      <c r="AB1173" s="66"/>
      <c r="AC1173" s="66"/>
      <c r="AD1173" s="66"/>
      <c r="AE1173" s="66"/>
      <c r="AF1173" s="66"/>
      <c r="AG1173" s="66"/>
      <c r="AH1173" s="66"/>
      <c r="AI1173" s="66"/>
      <c r="AJ1173" s="66"/>
      <c r="AK1173" s="66"/>
      <c r="AL1173" s="66"/>
      <c r="AM1173" s="66"/>
      <c r="AN1173" s="66"/>
      <c r="AO1173" s="66"/>
      <c r="AP1173" s="66"/>
      <c r="AQ1173" s="66"/>
      <c r="AR1173" s="66"/>
      <c r="AS1173" s="66"/>
      <c r="AT1173" s="66"/>
      <c r="AU1173" s="66"/>
      <c r="AV1173" s="66"/>
      <c r="AW1173" s="66"/>
      <c r="AX1173" s="66"/>
      <c r="AY1173" s="66"/>
      <c r="AZ1173" s="66"/>
      <c r="BA1173" s="66"/>
      <c r="BB1173" s="66"/>
      <c r="BC1173" s="66"/>
      <c r="BD1173" s="66"/>
      <c r="BE1173" s="67"/>
      <c r="BF1173" s="67"/>
      <c r="BG1173" s="68"/>
      <c r="BI1173" s="69">
        <v>0</v>
      </c>
      <c r="BJ1173" s="70">
        <v>0</v>
      </c>
      <c r="BK1173" s="71">
        <v>0</v>
      </c>
      <c r="BL1173" s="71">
        <v>0</v>
      </c>
      <c r="BM1173" s="71">
        <v>0</v>
      </c>
      <c r="BN1173" s="72">
        <v>0</v>
      </c>
      <c r="BO1173" s="151" t="e">
        <f t="shared" si="72"/>
        <v>#DIV/0!</v>
      </c>
      <c r="BP1173" s="151" t="e">
        <f t="shared" si="73"/>
        <v>#DIV/0!</v>
      </c>
      <c r="BQ1173" s="71">
        <v>0</v>
      </c>
      <c r="BR1173" s="71">
        <v>0</v>
      </c>
      <c r="BS1173" s="71">
        <v>0</v>
      </c>
      <c r="BT1173" s="72">
        <v>0</v>
      </c>
      <c r="BU1173" s="73"/>
      <c r="BV1173" s="73"/>
    </row>
    <row r="1174" ht="30" customHeight="1" spans="1:74">
      <c r="A1174" s="55">
        <v>0</v>
      </c>
      <c r="B1174" s="56" t="s">
        <v>1057</v>
      </c>
      <c r="C1174" s="57" t="s">
        <v>1124</v>
      </c>
      <c r="D1174" s="59" t="s">
        <v>1958</v>
      </c>
      <c r="E1174" s="59"/>
      <c r="F1174" s="59" t="e">
        <f>VLOOKUP(E1174,[1]库存!$B$1:$C$65536,2,FALSE)</f>
        <v>#N/A</v>
      </c>
      <c r="G1174" s="59" t="e">
        <v>#N/A</v>
      </c>
      <c r="H1174" s="59" t="s">
        <v>263</v>
      </c>
      <c r="I1174" s="59" t="s">
        <v>170</v>
      </c>
      <c r="J1174" s="214" t="s">
        <v>1959</v>
      </c>
      <c r="K1174" s="61"/>
      <c r="L1174" s="62">
        <v>2</v>
      </c>
      <c r="M1174" s="63">
        <v>1200</v>
      </c>
      <c r="N1174" s="64">
        <v>14</v>
      </c>
      <c r="O1174" s="62">
        <v>2</v>
      </c>
      <c r="P1174" s="65">
        <f t="shared" si="74"/>
        <v>0</v>
      </c>
      <c r="Q1174" s="103"/>
      <c r="R1174" s="103"/>
      <c r="S1174" s="103"/>
      <c r="T1174" s="103"/>
      <c r="U1174" s="103"/>
      <c r="V1174" s="103"/>
      <c r="W1174" s="103"/>
      <c r="X1174" s="103"/>
      <c r="Y1174" s="103"/>
      <c r="Z1174" s="103"/>
      <c r="AA1174" s="103"/>
      <c r="AB1174" s="103"/>
      <c r="AC1174" s="103"/>
      <c r="AD1174" s="103"/>
      <c r="AE1174" s="103"/>
      <c r="AF1174" s="103"/>
      <c r="AG1174" s="103"/>
      <c r="AH1174" s="103"/>
      <c r="AI1174" s="103"/>
      <c r="AJ1174" s="103"/>
      <c r="AK1174" s="103"/>
      <c r="AL1174" s="103"/>
      <c r="AM1174" s="103"/>
      <c r="AN1174" s="103"/>
      <c r="AO1174" s="103"/>
      <c r="AP1174" s="103"/>
      <c r="AQ1174" s="103"/>
      <c r="AR1174" s="103"/>
      <c r="AS1174" s="103"/>
      <c r="AT1174" s="103"/>
      <c r="AU1174" s="103"/>
      <c r="AV1174" s="103"/>
      <c r="AW1174" s="103"/>
      <c r="AX1174" s="103"/>
      <c r="AY1174" s="103"/>
      <c r="AZ1174" s="103"/>
      <c r="BA1174" s="103"/>
      <c r="BB1174" s="103"/>
      <c r="BC1174" s="103"/>
      <c r="BD1174" s="103"/>
      <c r="BE1174" s="67"/>
      <c r="BF1174" s="67"/>
      <c r="BG1174" s="68"/>
      <c r="BI1174" s="69">
        <v>0</v>
      </c>
      <c r="BJ1174" s="70">
        <v>0</v>
      </c>
      <c r="BK1174" s="71">
        <v>0</v>
      </c>
      <c r="BL1174" s="71">
        <v>0</v>
      </c>
      <c r="BM1174" s="71">
        <v>0</v>
      </c>
      <c r="BN1174" s="72">
        <v>0</v>
      </c>
      <c r="BO1174" s="73"/>
      <c r="BP1174" s="73"/>
      <c r="BQ1174" s="71">
        <v>0</v>
      </c>
      <c r="BR1174" s="71">
        <v>0</v>
      </c>
      <c r="BS1174" s="71">
        <v>0</v>
      </c>
      <c r="BT1174" s="72">
        <v>0</v>
      </c>
      <c r="BU1174" s="73"/>
      <c r="BV1174" s="73"/>
    </row>
    <row r="1175" ht="30" customHeight="1" spans="1:74">
      <c r="A1175" s="55">
        <v>0</v>
      </c>
      <c r="B1175" s="56">
        <v>0</v>
      </c>
      <c r="C1175" s="57">
        <v>0</v>
      </c>
      <c r="D1175" s="74"/>
      <c r="E1175" s="74"/>
      <c r="F1175" s="59" t="e">
        <f>VLOOKUP(E1175,[1]库存!$B$1:$C$65536,2,FALSE)</f>
        <v>#N/A</v>
      </c>
      <c r="G1175" s="59" t="e">
        <v>#N/A</v>
      </c>
      <c r="H1175" s="74"/>
      <c r="I1175" s="74"/>
      <c r="J1175" s="214"/>
      <c r="K1175" s="61"/>
      <c r="L1175" s="62">
        <v>0</v>
      </c>
      <c r="M1175" s="63">
        <v>0</v>
      </c>
      <c r="N1175" s="64">
        <v>0</v>
      </c>
      <c r="O1175" s="62">
        <v>0</v>
      </c>
      <c r="P1175" s="65">
        <f t="shared" si="74"/>
        <v>0</v>
      </c>
      <c r="Q1175" s="66"/>
      <c r="R1175" s="66"/>
      <c r="S1175" s="66"/>
      <c r="T1175" s="66"/>
      <c r="U1175" s="66"/>
      <c r="V1175" s="66"/>
      <c r="W1175" s="66"/>
      <c r="X1175" s="66"/>
      <c r="Y1175" s="66"/>
      <c r="Z1175" s="66"/>
      <c r="AA1175" s="66"/>
      <c r="AB1175" s="66"/>
      <c r="AC1175" s="66"/>
      <c r="AD1175" s="66"/>
      <c r="AE1175" s="66"/>
      <c r="AF1175" s="66"/>
      <c r="AG1175" s="66"/>
      <c r="AH1175" s="66"/>
      <c r="AI1175" s="66"/>
      <c r="AJ1175" s="66"/>
      <c r="AK1175" s="66"/>
      <c r="AL1175" s="66"/>
      <c r="AM1175" s="66"/>
      <c r="AN1175" s="66"/>
      <c r="AO1175" s="66"/>
      <c r="AP1175" s="66"/>
      <c r="AQ1175" s="66"/>
      <c r="AR1175" s="66"/>
      <c r="AS1175" s="66"/>
      <c r="AT1175" s="66"/>
      <c r="AU1175" s="66"/>
      <c r="AV1175" s="66"/>
      <c r="AW1175" s="66"/>
      <c r="AX1175" s="66"/>
      <c r="AY1175" s="66"/>
      <c r="AZ1175" s="66"/>
      <c r="BA1175" s="66"/>
      <c r="BB1175" s="66"/>
      <c r="BC1175" s="66"/>
      <c r="BD1175" s="66"/>
      <c r="BE1175" s="67"/>
      <c r="BF1175" s="67"/>
      <c r="BG1175" s="68"/>
      <c r="BI1175" s="69">
        <v>0</v>
      </c>
      <c r="BJ1175" s="70">
        <v>0</v>
      </c>
      <c r="BK1175" s="71">
        <v>0</v>
      </c>
      <c r="BL1175" s="71">
        <v>0</v>
      </c>
      <c r="BM1175" s="71">
        <v>0</v>
      </c>
      <c r="BN1175" s="72">
        <v>0</v>
      </c>
      <c r="BO1175" s="73"/>
      <c r="BP1175" s="73"/>
      <c r="BQ1175" s="71">
        <v>0</v>
      </c>
      <c r="BR1175" s="71">
        <v>0</v>
      </c>
      <c r="BS1175" s="71">
        <v>0</v>
      </c>
      <c r="BT1175" s="72">
        <v>0</v>
      </c>
      <c r="BU1175" s="73"/>
      <c r="BV1175" s="73"/>
    </row>
    <row r="1176" ht="30" customHeight="1" spans="1:74">
      <c r="A1176" s="55" t="s">
        <v>246</v>
      </c>
      <c r="B1176" s="56" t="s">
        <v>1057</v>
      </c>
      <c r="C1176" s="57" t="s">
        <v>1124</v>
      </c>
      <c r="D1176" s="91" t="s">
        <v>1958</v>
      </c>
      <c r="E1176" s="91" t="s">
        <v>266</v>
      </c>
      <c r="F1176" s="91" t="str">
        <f>VLOOKUP(E1176,[1]库存!$B$1:$C$65536,2,FALSE)</f>
        <v>MX11 FSAB RH C状态</v>
      </c>
      <c r="G1176" s="91" t="s">
        <v>267</v>
      </c>
      <c r="H1176" s="91" t="s">
        <v>268</v>
      </c>
      <c r="I1176" s="91" t="s">
        <v>170</v>
      </c>
      <c r="J1176" s="214" t="s">
        <v>1959</v>
      </c>
      <c r="K1176" s="61"/>
      <c r="L1176" s="62">
        <v>2</v>
      </c>
      <c r="M1176" s="63">
        <v>1200</v>
      </c>
      <c r="N1176" s="64">
        <v>14</v>
      </c>
      <c r="O1176" s="62">
        <v>2</v>
      </c>
      <c r="P1176" s="65">
        <f t="shared" si="74"/>
        <v>0</v>
      </c>
      <c r="Q1176" s="103"/>
      <c r="R1176" s="66"/>
      <c r="S1176" s="103"/>
      <c r="T1176" s="66"/>
      <c r="U1176" s="103"/>
      <c r="V1176" s="66"/>
      <c r="W1176" s="103"/>
      <c r="X1176" s="66"/>
      <c r="Y1176" s="103"/>
      <c r="Z1176" s="66"/>
      <c r="AA1176" s="103"/>
      <c r="AB1176" s="66"/>
      <c r="AC1176" s="103"/>
      <c r="AD1176" s="66"/>
      <c r="AE1176" s="103"/>
      <c r="AF1176" s="66"/>
      <c r="AG1176" s="103"/>
      <c r="AH1176" s="66"/>
      <c r="AI1176" s="103"/>
      <c r="AJ1176" s="66"/>
      <c r="AK1176" s="103"/>
      <c r="AL1176" s="66"/>
      <c r="AM1176" s="103"/>
      <c r="AN1176" s="66"/>
      <c r="AO1176" s="103"/>
      <c r="AP1176" s="66"/>
      <c r="AQ1176" s="103"/>
      <c r="AR1176" s="66"/>
      <c r="AS1176" s="103"/>
      <c r="AT1176" s="66"/>
      <c r="AU1176" s="103"/>
      <c r="AV1176" s="66"/>
      <c r="AW1176" s="103"/>
      <c r="AX1176" s="66"/>
      <c r="AY1176" s="103"/>
      <c r="AZ1176" s="66"/>
      <c r="BA1176" s="103"/>
      <c r="BB1176" s="66"/>
      <c r="BC1176" s="103"/>
      <c r="BD1176" s="66"/>
      <c r="BE1176" s="67"/>
      <c r="BF1176" s="67"/>
      <c r="BG1176" s="68"/>
      <c r="BI1176" s="69">
        <v>0</v>
      </c>
      <c r="BJ1176" s="70">
        <v>0</v>
      </c>
      <c r="BK1176" s="71">
        <v>0</v>
      </c>
      <c r="BL1176" s="71">
        <v>0</v>
      </c>
      <c r="BM1176" s="71">
        <v>0</v>
      </c>
      <c r="BN1176" s="72">
        <v>0</v>
      </c>
      <c r="BO1176" s="73"/>
      <c r="BP1176" s="73"/>
      <c r="BQ1176" s="71">
        <v>0</v>
      </c>
      <c r="BR1176" s="71">
        <v>0</v>
      </c>
      <c r="BS1176" s="71">
        <v>0</v>
      </c>
      <c r="BT1176" s="72">
        <v>0</v>
      </c>
      <c r="BU1176" s="73"/>
      <c r="BV1176" s="73"/>
    </row>
    <row r="1177" ht="30" customHeight="1" spans="1:74">
      <c r="A1177" s="55">
        <v>0</v>
      </c>
      <c r="B1177" s="56">
        <v>0</v>
      </c>
      <c r="C1177" s="57">
        <v>0</v>
      </c>
      <c r="D1177" s="92"/>
      <c r="E1177" s="92"/>
      <c r="F1177" s="91" t="e">
        <f>VLOOKUP(E1177,[1]库存!$B$1:$C$65536,2,FALSE)</f>
        <v>#N/A</v>
      </c>
      <c r="G1177" s="91" t="e">
        <v>#N/A</v>
      </c>
      <c r="H1177" s="92"/>
      <c r="I1177" s="92"/>
      <c r="J1177" s="214"/>
      <c r="K1177" s="61"/>
      <c r="L1177" s="62">
        <v>0</v>
      </c>
      <c r="M1177" s="63">
        <v>0</v>
      </c>
      <c r="N1177" s="64">
        <v>0</v>
      </c>
      <c r="O1177" s="62">
        <v>0</v>
      </c>
      <c r="P1177" s="65">
        <f t="shared" si="74"/>
        <v>0</v>
      </c>
      <c r="Q1177" s="66"/>
      <c r="R1177" s="66"/>
      <c r="S1177" s="66"/>
      <c r="T1177" s="66"/>
      <c r="U1177" s="66"/>
      <c r="V1177" s="66"/>
      <c r="W1177" s="66"/>
      <c r="X1177" s="66"/>
      <c r="Y1177" s="66"/>
      <c r="Z1177" s="66"/>
      <c r="AA1177" s="66"/>
      <c r="AB1177" s="66"/>
      <c r="AC1177" s="66"/>
      <c r="AD1177" s="66"/>
      <c r="AE1177" s="66"/>
      <c r="AF1177" s="66"/>
      <c r="AG1177" s="66"/>
      <c r="AH1177" s="66"/>
      <c r="AI1177" s="66"/>
      <c r="AJ1177" s="66"/>
      <c r="AK1177" s="66"/>
      <c r="AL1177" s="66"/>
      <c r="AM1177" s="66"/>
      <c r="AN1177" s="66"/>
      <c r="AO1177" s="66"/>
      <c r="AP1177" s="66"/>
      <c r="AQ1177" s="66"/>
      <c r="AR1177" s="66"/>
      <c r="AS1177" s="66"/>
      <c r="AT1177" s="66"/>
      <c r="AU1177" s="66"/>
      <c r="AV1177" s="66"/>
      <c r="AW1177" s="66"/>
      <c r="AX1177" s="66"/>
      <c r="AY1177" s="66"/>
      <c r="AZ1177" s="66"/>
      <c r="BA1177" s="66"/>
      <c r="BB1177" s="66"/>
      <c r="BC1177" s="66"/>
      <c r="BD1177" s="66"/>
      <c r="BE1177" s="67"/>
      <c r="BF1177" s="67"/>
      <c r="BG1177" s="68"/>
      <c r="BI1177" s="69">
        <v>0</v>
      </c>
      <c r="BJ1177" s="70">
        <v>0</v>
      </c>
      <c r="BK1177" s="71">
        <v>0</v>
      </c>
      <c r="BL1177" s="71">
        <v>0</v>
      </c>
      <c r="BM1177" s="71">
        <v>0</v>
      </c>
      <c r="BN1177" s="72">
        <v>0</v>
      </c>
      <c r="BO1177" s="73"/>
      <c r="BP1177" s="73"/>
      <c r="BQ1177" s="71">
        <v>0</v>
      </c>
      <c r="BR1177" s="71">
        <v>0</v>
      </c>
      <c r="BS1177" s="71">
        <v>0</v>
      </c>
      <c r="BT1177" s="72">
        <v>0</v>
      </c>
      <c r="BU1177" s="73"/>
      <c r="BV1177" s="73"/>
    </row>
    <row r="1178" ht="30" customHeight="1" spans="1:74">
      <c r="A1178" s="55">
        <v>0</v>
      </c>
      <c r="B1178" s="56" t="s">
        <v>1057</v>
      </c>
      <c r="C1178" s="57" t="s">
        <v>1124</v>
      </c>
      <c r="D1178" s="59" t="s">
        <v>1958</v>
      </c>
      <c r="E1178" s="59" t="s">
        <v>1960</v>
      </c>
      <c r="F1178" s="59" t="e">
        <f>VLOOKUP(E1178,[1]库存!$B$1:$C$65536,2,FALSE)</f>
        <v>#N/A</v>
      </c>
      <c r="G1178" s="59" t="e">
        <v>#N/A</v>
      </c>
      <c r="H1178" s="59" t="s">
        <v>1961</v>
      </c>
      <c r="I1178" s="59" t="s">
        <v>1129</v>
      </c>
      <c r="J1178" s="60" t="s">
        <v>1962</v>
      </c>
      <c r="K1178" s="61"/>
      <c r="L1178" s="62">
        <v>4</v>
      </c>
      <c r="M1178" s="63">
        <v>900</v>
      </c>
      <c r="N1178" s="64">
        <v>35</v>
      </c>
      <c r="O1178" s="62">
        <v>4</v>
      </c>
      <c r="P1178" s="65">
        <f t="shared" si="74"/>
        <v>0</v>
      </c>
      <c r="Q1178" s="66"/>
      <c r="R1178" s="66"/>
      <c r="S1178" s="66"/>
      <c r="T1178" s="66"/>
      <c r="U1178" s="66"/>
      <c r="V1178" s="66"/>
      <c r="W1178" s="66"/>
      <c r="X1178" s="66"/>
      <c r="Y1178" s="66"/>
      <c r="Z1178" s="66"/>
      <c r="AA1178" s="66"/>
      <c r="AB1178" s="66"/>
      <c r="AC1178" s="66"/>
      <c r="AD1178" s="66"/>
      <c r="AE1178" s="66"/>
      <c r="AF1178" s="66"/>
      <c r="AG1178" s="66"/>
      <c r="AH1178" s="66"/>
      <c r="AI1178" s="66"/>
      <c r="AJ1178" s="66"/>
      <c r="AK1178" s="66"/>
      <c r="AL1178" s="66"/>
      <c r="AM1178" s="66"/>
      <c r="AN1178" s="66"/>
      <c r="AO1178" s="66"/>
      <c r="AP1178" s="66"/>
      <c r="AQ1178" s="66"/>
      <c r="AR1178" s="66"/>
      <c r="AS1178" s="66"/>
      <c r="AT1178" s="66"/>
      <c r="AU1178" s="66"/>
      <c r="AV1178" s="66"/>
      <c r="AW1178" s="66"/>
      <c r="AX1178" s="66"/>
      <c r="AY1178" s="66"/>
      <c r="AZ1178" s="66"/>
      <c r="BA1178" s="66"/>
      <c r="BB1178" s="66"/>
      <c r="BC1178" s="66"/>
      <c r="BD1178" s="66"/>
      <c r="BE1178" s="67"/>
      <c r="BF1178" s="67"/>
      <c r="BG1178" s="68"/>
      <c r="BI1178" s="69">
        <v>0</v>
      </c>
      <c r="BJ1178" s="70">
        <v>0</v>
      </c>
      <c r="BK1178" s="71">
        <v>0</v>
      </c>
      <c r="BL1178" s="71">
        <v>0</v>
      </c>
      <c r="BM1178" s="71">
        <v>0</v>
      </c>
      <c r="BN1178" s="72">
        <v>0</v>
      </c>
      <c r="BO1178" s="151" t="e">
        <f t="shared" ref="BO1178:BO1241" si="75">(BK1178+BL1178)/BJ1178</f>
        <v>#DIV/0!</v>
      </c>
      <c r="BP1178" s="151" t="e">
        <f t="shared" ref="BP1178:BP1241" si="76">BM1178/BJ1178</f>
        <v>#DIV/0!</v>
      </c>
      <c r="BQ1178" s="71">
        <v>0</v>
      </c>
      <c r="BR1178" s="71">
        <v>0</v>
      </c>
      <c r="BS1178" s="71">
        <v>0</v>
      </c>
      <c r="BT1178" s="72">
        <v>0</v>
      </c>
      <c r="BU1178" s="73"/>
      <c r="BV1178" s="73"/>
    </row>
    <row r="1179" ht="30" customHeight="1" spans="1:74">
      <c r="A1179" s="55">
        <v>0</v>
      </c>
      <c r="B1179" s="56">
        <v>0</v>
      </c>
      <c r="C1179" s="57">
        <v>0</v>
      </c>
      <c r="D1179" s="74"/>
      <c r="E1179" s="74"/>
      <c r="F1179" s="59" t="e">
        <f>VLOOKUP(E1179,[1]库存!$B$1:$C$65536,2,FALSE)</f>
        <v>#N/A</v>
      </c>
      <c r="G1179" s="59" t="e">
        <v>#N/A</v>
      </c>
      <c r="H1179" s="74"/>
      <c r="I1179" s="74"/>
      <c r="J1179" s="75"/>
      <c r="K1179" s="61"/>
      <c r="L1179" s="62">
        <v>0</v>
      </c>
      <c r="M1179" s="63">
        <v>0</v>
      </c>
      <c r="N1179" s="64">
        <v>0</v>
      </c>
      <c r="O1179" s="62">
        <v>0</v>
      </c>
      <c r="P1179" s="65">
        <f t="shared" si="74"/>
        <v>0</v>
      </c>
      <c r="Q1179" s="66"/>
      <c r="R1179" s="66"/>
      <c r="S1179" s="66"/>
      <c r="T1179" s="66"/>
      <c r="U1179" s="66"/>
      <c r="V1179" s="66"/>
      <c r="W1179" s="66"/>
      <c r="X1179" s="66"/>
      <c r="Y1179" s="66"/>
      <c r="Z1179" s="66"/>
      <c r="AA1179" s="66"/>
      <c r="AB1179" s="66"/>
      <c r="AC1179" s="66"/>
      <c r="AD1179" s="66"/>
      <c r="AE1179" s="66"/>
      <c r="AF1179" s="66"/>
      <c r="AG1179" s="66"/>
      <c r="AH1179" s="66"/>
      <c r="AI1179" s="66"/>
      <c r="AJ1179" s="66"/>
      <c r="AK1179" s="66"/>
      <c r="AL1179" s="66"/>
      <c r="AM1179" s="66"/>
      <c r="AN1179" s="66"/>
      <c r="AO1179" s="66"/>
      <c r="AP1179" s="66"/>
      <c r="AQ1179" s="66"/>
      <c r="AR1179" s="66"/>
      <c r="AS1179" s="66"/>
      <c r="AT1179" s="66"/>
      <c r="AU1179" s="66"/>
      <c r="AV1179" s="66"/>
      <c r="AW1179" s="66"/>
      <c r="AX1179" s="66"/>
      <c r="AY1179" s="66"/>
      <c r="AZ1179" s="66"/>
      <c r="BA1179" s="66"/>
      <c r="BB1179" s="66"/>
      <c r="BC1179" s="66"/>
      <c r="BD1179" s="66"/>
      <c r="BE1179" s="67"/>
      <c r="BF1179" s="67"/>
      <c r="BG1179" s="68"/>
      <c r="BI1179" s="69">
        <v>0</v>
      </c>
      <c r="BJ1179" s="70">
        <v>0</v>
      </c>
      <c r="BK1179" s="71">
        <v>0</v>
      </c>
      <c r="BL1179" s="71">
        <v>0</v>
      </c>
      <c r="BM1179" s="71">
        <v>0</v>
      </c>
      <c r="BN1179" s="72">
        <v>0</v>
      </c>
      <c r="BO1179" s="151" t="e">
        <f t="shared" si="75"/>
        <v>#DIV/0!</v>
      </c>
      <c r="BP1179" s="151" t="e">
        <f t="shared" si="76"/>
        <v>#DIV/0!</v>
      </c>
      <c r="BQ1179" s="71">
        <v>0</v>
      </c>
      <c r="BR1179" s="71">
        <v>0</v>
      </c>
      <c r="BS1179" s="71">
        <v>0</v>
      </c>
      <c r="BT1179" s="72">
        <v>0</v>
      </c>
      <c r="BU1179" s="73"/>
      <c r="BV1179" s="73"/>
    </row>
    <row r="1180" ht="30" customHeight="1" spans="1:74">
      <c r="A1180" s="55">
        <v>0</v>
      </c>
      <c r="B1180" s="56" t="s">
        <v>1057</v>
      </c>
      <c r="C1180" s="57" t="s">
        <v>1124</v>
      </c>
      <c r="D1180" s="59" t="s">
        <v>1958</v>
      </c>
      <c r="E1180" s="113" t="s">
        <v>1963</v>
      </c>
      <c r="F1180" s="59" t="e">
        <f>VLOOKUP(E1180,[1]库存!$B$1:$C$65536,2,FALSE)</f>
        <v>#N/A</v>
      </c>
      <c r="G1180" s="59" t="e">
        <v>#N/A</v>
      </c>
      <c r="H1180" s="113" t="s">
        <v>1964</v>
      </c>
      <c r="I1180" s="59" t="s">
        <v>1129</v>
      </c>
      <c r="J1180" s="77" t="s">
        <v>1965</v>
      </c>
      <c r="K1180" s="61"/>
      <c r="L1180" s="62">
        <v>4</v>
      </c>
      <c r="M1180" s="63">
        <v>900</v>
      </c>
      <c r="N1180" s="64">
        <v>35</v>
      </c>
      <c r="O1180" s="62">
        <v>4</v>
      </c>
      <c r="P1180" s="65">
        <f t="shared" si="74"/>
        <v>0</v>
      </c>
      <c r="Q1180" s="66"/>
      <c r="R1180" s="66"/>
      <c r="S1180" s="66"/>
      <c r="T1180" s="66"/>
      <c r="U1180" s="66"/>
      <c r="V1180" s="66"/>
      <c r="W1180" s="66"/>
      <c r="X1180" s="66"/>
      <c r="Y1180" s="66"/>
      <c r="Z1180" s="66"/>
      <c r="AA1180" s="66"/>
      <c r="AB1180" s="66"/>
      <c r="AC1180" s="66"/>
      <c r="AD1180" s="66"/>
      <c r="AE1180" s="66"/>
      <c r="AF1180" s="66"/>
      <c r="AG1180" s="66"/>
      <c r="AH1180" s="66"/>
      <c r="AI1180" s="66"/>
      <c r="AJ1180" s="66"/>
      <c r="AK1180" s="66"/>
      <c r="AL1180" s="66"/>
      <c r="AM1180" s="66"/>
      <c r="AN1180" s="66"/>
      <c r="AO1180" s="66"/>
      <c r="AP1180" s="66"/>
      <c r="AQ1180" s="66"/>
      <c r="AR1180" s="66"/>
      <c r="AS1180" s="66"/>
      <c r="AT1180" s="66"/>
      <c r="AU1180" s="66"/>
      <c r="AV1180" s="66"/>
      <c r="AW1180" s="66"/>
      <c r="AX1180" s="66"/>
      <c r="AY1180" s="66"/>
      <c r="AZ1180" s="66"/>
      <c r="BA1180" s="66"/>
      <c r="BB1180" s="66"/>
      <c r="BC1180" s="66"/>
      <c r="BD1180" s="66"/>
      <c r="BE1180" s="67"/>
      <c r="BF1180" s="67"/>
      <c r="BG1180" s="68"/>
      <c r="BI1180" s="69">
        <v>0</v>
      </c>
      <c r="BJ1180" s="70">
        <v>0</v>
      </c>
      <c r="BK1180" s="71">
        <v>0</v>
      </c>
      <c r="BL1180" s="71">
        <v>0</v>
      </c>
      <c r="BM1180" s="71">
        <v>0</v>
      </c>
      <c r="BN1180" s="72">
        <v>0</v>
      </c>
      <c r="BO1180" s="151" t="e">
        <f t="shared" si="75"/>
        <v>#DIV/0!</v>
      </c>
      <c r="BP1180" s="151" t="e">
        <f t="shared" si="76"/>
        <v>#DIV/0!</v>
      </c>
      <c r="BQ1180" s="71">
        <v>0</v>
      </c>
      <c r="BR1180" s="71">
        <v>0</v>
      </c>
      <c r="BS1180" s="71">
        <v>0</v>
      </c>
      <c r="BT1180" s="72">
        <v>0</v>
      </c>
      <c r="BU1180" s="73"/>
      <c r="BV1180" s="73"/>
    </row>
    <row r="1181" ht="30" customHeight="1" spans="1:74">
      <c r="A1181" s="55">
        <v>0</v>
      </c>
      <c r="B1181" s="56">
        <v>0</v>
      </c>
      <c r="C1181" s="57">
        <v>0</v>
      </c>
      <c r="D1181" s="74"/>
      <c r="E1181" s="127"/>
      <c r="F1181" s="59" t="e">
        <f>VLOOKUP(E1181,[1]库存!$B$1:$C$65536,2,FALSE)</f>
        <v>#N/A</v>
      </c>
      <c r="G1181" s="59" t="e">
        <v>#N/A</v>
      </c>
      <c r="H1181" s="127"/>
      <c r="I1181" s="74"/>
      <c r="J1181" s="79"/>
      <c r="K1181" s="61"/>
      <c r="L1181" s="62">
        <v>0</v>
      </c>
      <c r="M1181" s="63">
        <v>0</v>
      </c>
      <c r="N1181" s="64">
        <v>0</v>
      </c>
      <c r="O1181" s="62">
        <v>0</v>
      </c>
      <c r="P1181" s="65">
        <f t="shared" si="74"/>
        <v>0</v>
      </c>
      <c r="Q1181" s="66"/>
      <c r="R1181" s="66"/>
      <c r="S1181" s="66"/>
      <c r="T1181" s="66"/>
      <c r="U1181" s="66"/>
      <c r="V1181" s="66"/>
      <c r="W1181" s="66"/>
      <c r="X1181" s="66"/>
      <c r="Y1181" s="66"/>
      <c r="Z1181" s="66"/>
      <c r="AA1181" s="66"/>
      <c r="AB1181" s="66"/>
      <c r="AC1181" s="66"/>
      <c r="AD1181" s="66"/>
      <c r="AE1181" s="66"/>
      <c r="AF1181" s="66"/>
      <c r="AG1181" s="66"/>
      <c r="AH1181" s="66"/>
      <c r="AI1181" s="66"/>
      <c r="AJ1181" s="66"/>
      <c r="AK1181" s="66"/>
      <c r="AL1181" s="66"/>
      <c r="AM1181" s="66"/>
      <c r="AN1181" s="66"/>
      <c r="AO1181" s="66"/>
      <c r="AP1181" s="66"/>
      <c r="AQ1181" s="66"/>
      <c r="AR1181" s="66"/>
      <c r="AS1181" s="66"/>
      <c r="AT1181" s="66"/>
      <c r="AU1181" s="66"/>
      <c r="AV1181" s="66"/>
      <c r="AW1181" s="66"/>
      <c r="AX1181" s="66"/>
      <c r="AY1181" s="66"/>
      <c r="AZ1181" s="66"/>
      <c r="BA1181" s="66"/>
      <c r="BB1181" s="66"/>
      <c r="BC1181" s="66"/>
      <c r="BD1181" s="66"/>
      <c r="BE1181" s="67"/>
      <c r="BF1181" s="67"/>
      <c r="BG1181" s="68"/>
      <c r="BI1181" s="69">
        <v>0</v>
      </c>
      <c r="BJ1181" s="70">
        <v>0</v>
      </c>
      <c r="BK1181" s="71">
        <v>0</v>
      </c>
      <c r="BL1181" s="71">
        <v>0</v>
      </c>
      <c r="BM1181" s="71">
        <v>0</v>
      </c>
      <c r="BN1181" s="72">
        <v>0</v>
      </c>
      <c r="BO1181" s="151" t="e">
        <f t="shared" si="75"/>
        <v>#DIV/0!</v>
      </c>
      <c r="BP1181" s="151" t="e">
        <f t="shared" si="76"/>
        <v>#DIV/0!</v>
      </c>
      <c r="BQ1181" s="71">
        <v>0</v>
      </c>
      <c r="BR1181" s="71">
        <v>0</v>
      </c>
      <c r="BS1181" s="71">
        <v>0</v>
      </c>
      <c r="BT1181" s="72">
        <v>0</v>
      </c>
      <c r="BU1181" s="73"/>
      <c r="BV1181" s="73"/>
    </row>
    <row r="1182" ht="30" customHeight="1" spans="1:74">
      <c r="A1182" s="55">
        <v>0</v>
      </c>
      <c r="B1182" s="56">
        <v>0</v>
      </c>
      <c r="C1182" s="57">
        <v>0</v>
      </c>
      <c r="E1182" s="88"/>
      <c r="F1182" s="59" t="e">
        <f>VLOOKUP(E1182,[1]库存!$B$1:$C$65536,2,FALSE)</f>
        <v>#N/A</v>
      </c>
      <c r="G1182" s="59" t="e">
        <v>#N/A</v>
      </c>
      <c r="H1182" s="89"/>
      <c r="I1182" s="88"/>
      <c r="J1182" s="90"/>
      <c r="K1182" s="61"/>
      <c r="L1182" s="62">
        <v>0</v>
      </c>
      <c r="M1182" s="63">
        <v>0</v>
      </c>
      <c r="N1182" s="64">
        <v>0</v>
      </c>
      <c r="O1182" s="62">
        <v>0</v>
      </c>
      <c r="P1182" s="65">
        <f t="shared" si="74"/>
        <v>0</v>
      </c>
      <c r="Q1182" s="66"/>
      <c r="R1182" s="66"/>
      <c r="S1182" s="66"/>
      <c r="T1182" s="66"/>
      <c r="U1182" s="66"/>
      <c r="V1182" s="66"/>
      <c r="W1182" s="66"/>
      <c r="X1182" s="66"/>
      <c r="Y1182" s="66"/>
      <c r="Z1182" s="66"/>
      <c r="AA1182" s="66"/>
      <c r="AB1182" s="66"/>
      <c r="AC1182" s="66"/>
      <c r="AD1182" s="66"/>
      <c r="AE1182" s="66"/>
      <c r="AF1182" s="66"/>
      <c r="AG1182" s="66"/>
      <c r="AH1182" s="66"/>
      <c r="AI1182" s="66"/>
      <c r="AJ1182" s="66"/>
      <c r="AK1182" s="66"/>
      <c r="AL1182" s="66"/>
      <c r="AM1182" s="66"/>
      <c r="AN1182" s="66"/>
      <c r="AO1182" s="66"/>
      <c r="AP1182" s="66"/>
      <c r="AQ1182" s="66"/>
      <c r="AR1182" s="66"/>
      <c r="AS1182" s="66"/>
      <c r="AT1182" s="66"/>
      <c r="AU1182" s="66"/>
      <c r="AV1182" s="66"/>
      <c r="AW1182" s="66"/>
      <c r="AX1182" s="66"/>
      <c r="AY1182" s="66"/>
      <c r="AZ1182" s="66"/>
      <c r="BA1182" s="66"/>
      <c r="BB1182" s="66"/>
      <c r="BC1182" s="66"/>
      <c r="BD1182" s="66"/>
      <c r="BE1182" s="67"/>
      <c r="BF1182" s="67"/>
      <c r="BG1182" s="68"/>
      <c r="BI1182" s="69">
        <v>0</v>
      </c>
      <c r="BJ1182" s="70">
        <v>0</v>
      </c>
      <c r="BK1182" s="71">
        <v>0</v>
      </c>
      <c r="BL1182" s="71">
        <v>0</v>
      </c>
      <c r="BM1182" s="71">
        <v>0</v>
      </c>
      <c r="BN1182" s="72">
        <v>0</v>
      </c>
      <c r="BO1182" s="151" t="e">
        <f t="shared" si="75"/>
        <v>#DIV/0!</v>
      </c>
      <c r="BP1182" s="151" t="e">
        <f t="shared" si="76"/>
        <v>#DIV/0!</v>
      </c>
      <c r="BQ1182" s="71">
        <v>0</v>
      </c>
      <c r="BR1182" s="71">
        <v>0</v>
      </c>
      <c r="BS1182" s="71">
        <v>0</v>
      </c>
      <c r="BT1182" s="72">
        <v>0</v>
      </c>
      <c r="BU1182" s="73"/>
      <c r="BV1182" s="73"/>
    </row>
    <row r="1183" ht="30" customHeight="1" spans="1:74">
      <c r="A1183" s="55" t="s">
        <v>410</v>
      </c>
      <c r="B1183" s="56" t="s">
        <v>1057</v>
      </c>
      <c r="C1183" s="57" t="s">
        <v>1058</v>
      </c>
      <c r="D1183" s="91" t="s">
        <v>1966</v>
      </c>
      <c r="E1183" s="91" t="s">
        <v>1967</v>
      </c>
      <c r="F1183" s="91" t="str">
        <f>VLOOKUP(E1183,[1]库存!$B$1:$C$65536,2,FALSE)</f>
        <v>F1L FCAB</v>
      </c>
      <c r="G1183" s="91" t="s">
        <v>1968</v>
      </c>
      <c r="H1183" s="91" t="s">
        <v>1969</v>
      </c>
      <c r="I1183" s="91" t="s">
        <v>1970</v>
      </c>
      <c r="J1183" s="63" t="s">
        <v>1971</v>
      </c>
      <c r="K1183" s="61"/>
      <c r="L1183" s="62">
        <v>2</v>
      </c>
      <c r="M1183" s="63">
        <v>1000</v>
      </c>
      <c r="N1183" s="64">
        <v>17</v>
      </c>
      <c r="O1183" s="62">
        <v>3</v>
      </c>
      <c r="P1183" s="65">
        <f t="shared" si="74"/>
        <v>0</v>
      </c>
      <c r="Q1183" s="66"/>
      <c r="R1183" s="66"/>
      <c r="S1183" s="66"/>
      <c r="T1183" s="66"/>
      <c r="U1183" s="66"/>
      <c r="V1183" s="66"/>
      <c r="W1183" s="66"/>
      <c r="X1183" s="66"/>
      <c r="Y1183" s="66"/>
      <c r="Z1183" s="66"/>
      <c r="AA1183" s="66"/>
      <c r="AB1183" s="66"/>
      <c r="AC1183" s="66"/>
      <c r="AD1183" s="66"/>
      <c r="AE1183" s="66"/>
      <c r="AF1183" s="66"/>
      <c r="AG1183" s="66"/>
      <c r="AH1183" s="66"/>
      <c r="AI1183" s="66"/>
      <c r="AJ1183" s="66"/>
      <c r="AK1183" s="66"/>
      <c r="AL1183" s="66"/>
      <c r="AM1183" s="66"/>
      <c r="AN1183" s="66"/>
      <c r="AO1183" s="66"/>
      <c r="AP1183" s="66"/>
      <c r="AQ1183" s="66"/>
      <c r="AR1183" s="66"/>
      <c r="AS1183" s="66"/>
      <c r="AT1183" s="66"/>
      <c r="AU1183" s="66"/>
      <c r="AV1183" s="66"/>
      <c r="AW1183" s="66"/>
      <c r="AX1183" s="66"/>
      <c r="AY1183" s="66"/>
      <c r="AZ1183" s="66"/>
      <c r="BA1183" s="66"/>
      <c r="BB1183" s="66"/>
      <c r="BC1183" s="66"/>
      <c r="BD1183" s="66"/>
      <c r="BE1183" s="67"/>
      <c r="BF1183" s="67"/>
      <c r="BG1183" s="68"/>
      <c r="BI1183" s="69">
        <v>0</v>
      </c>
      <c r="BJ1183" s="70">
        <v>0</v>
      </c>
      <c r="BK1183" s="71">
        <v>0</v>
      </c>
      <c r="BL1183" s="71">
        <v>0</v>
      </c>
      <c r="BM1183" s="71">
        <v>0</v>
      </c>
      <c r="BN1183" s="72">
        <v>0</v>
      </c>
      <c r="BO1183" s="151" t="e">
        <f t="shared" si="75"/>
        <v>#DIV/0!</v>
      </c>
      <c r="BP1183" s="151" t="e">
        <f t="shared" si="76"/>
        <v>#DIV/0!</v>
      </c>
      <c r="BQ1183" s="71">
        <v>0</v>
      </c>
      <c r="BR1183" s="71">
        <v>0</v>
      </c>
      <c r="BS1183" s="71">
        <v>0</v>
      </c>
      <c r="BT1183" s="72">
        <v>0</v>
      </c>
      <c r="BU1183" s="73"/>
      <c r="BV1183" s="73"/>
    </row>
    <row r="1184" ht="30" customHeight="1" spans="1:74">
      <c r="A1184" s="55">
        <v>0</v>
      </c>
      <c r="B1184" s="56">
        <v>0</v>
      </c>
      <c r="C1184" s="57">
        <v>0</v>
      </c>
      <c r="D1184" s="92"/>
      <c r="E1184" s="92"/>
      <c r="F1184" s="91" t="e">
        <f>VLOOKUP(E1184,[1]库存!$B$1:$C$65536,2,FALSE)</f>
        <v>#N/A</v>
      </c>
      <c r="G1184" s="91" t="e">
        <v>#N/A</v>
      </c>
      <c r="H1184" s="92"/>
      <c r="I1184" s="92"/>
      <c r="J1184" s="87"/>
      <c r="K1184" s="61"/>
      <c r="L1184" s="62">
        <v>0</v>
      </c>
      <c r="M1184" s="63">
        <v>0</v>
      </c>
      <c r="N1184" s="64">
        <v>0</v>
      </c>
      <c r="O1184" s="62">
        <v>0</v>
      </c>
      <c r="P1184" s="65">
        <f t="shared" si="74"/>
        <v>0</v>
      </c>
      <c r="Q1184" s="66"/>
      <c r="R1184" s="66"/>
      <c r="S1184" s="66"/>
      <c r="T1184" s="66"/>
      <c r="U1184" s="66"/>
      <c r="V1184" s="66"/>
      <c r="W1184" s="66"/>
      <c r="X1184" s="66"/>
      <c r="Y1184" s="66"/>
      <c r="Z1184" s="66"/>
      <c r="AA1184" s="66"/>
      <c r="AB1184" s="66"/>
      <c r="AC1184" s="66"/>
      <c r="AD1184" s="66"/>
      <c r="AE1184" s="66"/>
      <c r="AF1184" s="66"/>
      <c r="AG1184" s="66"/>
      <c r="AH1184" s="66"/>
      <c r="AI1184" s="66"/>
      <c r="AJ1184" s="66"/>
      <c r="AK1184" s="66"/>
      <c r="AL1184" s="66"/>
      <c r="AM1184" s="66"/>
      <c r="AN1184" s="66"/>
      <c r="AO1184" s="66"/>
      <c r="AP1184" s="66"/>
      <c r="AQ1184" s="66"/>
      <c r="AR1184" s="66"/>
      <c r="AS1184" s="66"/>
      <c r="AT1184" s="66"/>
      <c r="AU1184" s="66"/>
      <c r="AV1184" s="66"/>
      <c r="AW1184" s="66"/>
      <c r="AX1184" s="66"/>
      <c r="AY1184" s="66"/>
      <c r="AZ1184" s="66"/>
      <c r="BA1184" s="66"/>
      <c r="BB1184" s="66"/>
      <c r="BC1184" s="66"/>
      <c r="BD1184" s="66"/>
      <c r="BE1184" s="67"/>
      <c r="BF1184" s="67"/>
      <c r="BG1184" s="68"/>
      <c r="BI1184" s="69">
        <v>0</v>
      </c>
      <c r="BJ1184" s="70">
        <v>0</v>
      </c>
      <c r="BK1184" s="71">
        <v>0</v>
      </c>
      <c r="BL1184" s="71">
        <v>0</v>
      </c>
      <c r="BM1184" s="71">
        <v>0</v>
      </c>
      <c r="BN1184" s="72">
        <v>0</v>
      </c>
      <c r="BO1184" s="151" t="e">
        <f t="shared" si="75"/>
        <v>#DIV/0!</v>
      </c>
      <c r="BP1184" s="151" t="e">
        <f t="shared" si="76"/>
        <v>#DIV/0!</v>
      </c>
      <c r="BQ1184" s="71">
        <v>0</v>
      </c>
      <c r="BR1184" s="71">
        <v>0</v>
      </c>
      <c r="BS1184" s="71">
        <v>0</v>
      </c>
      <c r="BT1184" s="72">
        <v>0</v>
      </c>
      <c r="BU1184" s="73"/>
      <c r="BV1184" s="73"/>
    </row>
    <row r="1185" ht="30" customHeight="1" spans="1:74">
      <c r="A1185" s="55" t="s">
        <v>165</v>
      </c>
      <c r="B1185" s="56" t="s">
        <v>1057</v>
      </c>
      <c r="C1185" s="57" t="s">
        <v>1058</v>
      </c>
      <c r="D1185" s="91" t="s">
        <v>1966</v>
      </c>
      <c r="E1185" s="91" t="s">
        <v>1972</v>
      </c>
      <c r="F1185" s="91" t="str">
        <f>VLOOKUP(E1185,[1]库存!$B$1:$C$65536,2,FALSE)</f>
        <v>E02 FCA LH</v>
      </c>
      <c r="G1185" s="91" t="s">
        <v>1973</v>
      </c>
      <c r="H1185" s="91" t="s">
        <v>1974</v>
      </c>
      <c r="I1185" s="91" t="s">
        <v>1975</v>
      </c>
      <c r="J1185" s="63"/>
      <c r="K1185" s="61"/>
      <c r="L1185" s="62">
        <v>2</v>
      </c>
      <c r="M1185" s="63">
        <v>1000</v>
      </c>
      <c r="N1185" s="64">
        <v>18</v>
      </c>
      <c r="O1185" s="62">
        <v>3</v>
      </c>
      <c r="P1185" s="65">
        <f t="shared" si="74"/>
        <v>0</v>
      </c>
      <c r="Q1185" s="66">
        <v>1400</v>
      </c>
      <c r="R1185" s="66"/>
      <c r="S1185" s="66"/>
      <c r="T1185" s="66"/>
      <c r="U1185" s="66"/>
      <c r="V1185" s="66"/>
      <c r="W1185" s="66"/>
      <c r="X1185" s="66"/>
      <c r="Y1185" s="66"/>
      <c r="Z1185" s="66"/>
      <c r="AA1185" s="66" t="s">
        <v>1568</v>
      </c>
      <c r="AB1185" s="66"/>
      <c r="AC1185" s="66">
        <v>1400</v>
      </c>
      <c r="AD1185" s="66"/>
      <c r="AE1185" s="66"/>
      <c r="AF1185" s="66"/>
      <c r="AG1185" s="66"/>
      <c r="AH1185" s="66"/>
      <c r="AI1185" s="66"/>
      <c r="AJ1185" s="66"/>
      <c r="AK1185" s="66"/>
      <c r="AL1185" s="66"/>
      <c r="AM1185" s="66"/>
      <c r="AN1185" s="66"/>
      <c r="AO1185" s="66"/>
      <c r="AP1185" s="66"/>
      <c r="AQ1185" s="66"/>
      <c r="AR1185" s="66"/>
      <c r="AS1185" s="66"/>
      <c r="AT1185" s="66"/>
      <c r="AU1185" s="66"/>
      <c r="AV1185" s="66"/>
      <c r="AW1185" s="66"/>
      <c r="AX1185" s="66"/>
      <c r="AY1185" s="66"/>
      <c r="AZ1185" s="66"/>
      <c r="BA1185" s="66"/>
      <c r="BB1185" s="66"/>
      <c r="BC1185" s="66"/>
      <c r="BD1185" s="66"/>
      <c r="BE1185" s="67"/>
      <c r="BF1185" s="67"/>
      <c r="BG1185" s="68"/>
      <c r="BI1185" s="69">
        <v>0</v>
      </c>
      <c r="BJ1185" s="70">
        <v>0</v>
      </c>
      <c r="BK1185" s="71">
        <v>0</v>
      </c>
      <c r="BL1185" s="71">
        <v>0</v>
      </c>
      <c r="BM1185" s="71">
        <v>0</v>
      </c>
      <c r="BN1185" s="72">
        <v>0</v>
      </c>
      <c r="BO1185" s="151" t="e">
        <f t="shared" si="75"/>
        <v>#DIV/0!</v>
      </c>
      <c r="BP1185" s="151" t="e">
        <f t="shared" si="76"/>
        <v>#DIV/0!</v>
      </c>
      <c r="BQ1185" s="71">
        <v>0</v>
      </c>
      <c r="BR1185" s="71">
        <v>0</v>
      </c>
      <c r="BS1185" s="71">
        <v>0</v>
      </c>
      <c r="BT1185" s="72">
        <v>0</v>
      </c>
      <c r="BU1185" s="73"/>
      <c r="BV1185" s="73"/>
    </row>
    <row r="1186" ht="30" customHeight="1" spans="1:74">
      <c r="A1186" s="55">
        <v>0</v>
      </c>
      <c r="B1186" s="56">
        <v>0</v>
      </c>
      <c r="C1186" s="57">
        <v>0</v>
      </c>
      <c r="D1186" s="92"/>
      <c r="E1186" s="92"/>
      <c r="F1186" s="91" t="e">
        <f>VLOOKUP(E1186,[1]库存!$B$1:$C$65536,2,FALSE)</f>
        <v>#N/A</v>
      </c>
      <c r="G1186" s="91" t="e">
        <v>#N/A</v>
      </c>
      <c r="H1186" s="92"/>
      <c r="I1186" s="92"/>
      <c r="J1186" s="87"/>
      <c r="K1186" s="61"/>
      <c r="L1186" s="62">
        <v>0</v>
      </c>
      <c r="M1186" s="63">
        <v>0</v>
      </c>
      <c r="N1186" s="64">
        <v>0</v>
      </c>
      <c r="O1186" s="62">
        <v>0</v>
      </c>
      <c r="P1186" s="65">
        <f t="shared" si="74"/>
        <v>0</v>
      </c>
      <c r="Q1186" s="66">
        <v>1316</v>
      </c>
      <c r="R1186" s="66"/>
      <c r="S1186" s="66"/>
      <c r="T1186" s="66"/>
      <c r="U1186" s="66"/>
      <c r="V1186" s="66"/>
      <c r="W1186" s="66"/>
      <c r="X1186" s="66"/>
      <c r="Y1186" s="66"/>
      <c r="Z1186" s="66"/>
      <c r="AA1186" s="66">
        <v>1160</v>
      </c>
      <c r="AB1186" s="66"/>
      <c r="AC1186" s="66">
        <v>1390</v>
      </c>
      <c r="AD1186" s="66"/>
      <c r="AE1186" s="66"/>
      <c r="AF1186" s="66"/>
      <c r="AG1186" s="66"/>
      <c r="AH1186" s="66"/>
      <c r="AI1186" s="66"/>
      <c r="AJ1186" s="66"/>
      <c r="AK1186" s="66"/>
      <c r="AL1186" s="66"/>
      <c r="AM1186" s="66"/>
      <c r="AN1186" s="66"/>
      <c r="AO1186" s="66"/>
      <c r="AP1186" s="66"/>
      <c r="AQ1186" s="66"/>
      <c r="AR1186" s="66"/>
      <c r="AS1186" s="66"/>
      <c r="AT1186" s="66"/>
      <c r="AU1186" s="66"/>
      <c r="AV1186" s="66"/>
      <c r="AW1186" s="66"/>
      <c r="AX1186" s="66"/>
      <c r="AY1186" s="66"/>
      <c r="AZ1186" s="66"/>
      <c r="BA1186" s="66"/>
      <c r="BB1186" s="66"/>
      <c r="BC1186" s="66"/>
      <c r="BD1186" s="66"/>
      <c r="BE1186" s="67"/>
      <c r="BF1186" s="67"/>
      <c r="BG1186" s="68"/>
      <c r="BI1186" s="69">
        <v>0</v>
      </c>
      <c r="BJ1186" s="70">
        <v>0</v>
      </c>
      <c r="BK1186" s="71">
        <v>0</v>
      </c>
      <c r="BL1186" s="71">
        <v>0</v>
      </c>
      <c r="BM1186" s="71">
        <v>0</v>
      </c>
      <c r="BN1186" s="72">
        <v>0</v>
      </c>
      <c r="BO1186" s="151" t="e">
        <f t="shared" si="75"/>
        <v>#DIV/0!</v>
      </c>
      <c r="BP1186" s="151" t="e">
        <f t="shared" si="76"/>
        <v>#DIV/0!</v>
      </c>
      <c r="BQ1186" s="71">
        <v>0</v>
      </c>
      <c r="BR1186" s="71">
        <v>0</v>
      </c>
      <c r="BS1186" s="71">
        <v>0</v>
      </c>
      <c r="BT1186" s="72">
        <v>0</v>
      </c>
      <c r="BU1186" s="73"/>
      <c r="BV1186" s="73"/>
    </row>
    <row r="1187" ht="30" customHeight="1" spans="1:74">
      <c r="A1187" s="55" t="s">
        <v>165</v>
      </c>
      <c r="B1187" s="56" t="s">
        <v>1057</v>
      </c>
      <c r="C1187" s="57" t="s">
        <v>1058</v>
      </c>
      <c r="D1187" s="59" t="s">
        <v>1966</v>
      </c>
      <c r="E1187" s="59" t="s">
        <v>1976</v>
      </c>
      <c r="F1187" s="59" t="str">
        <f>VLOOKUP(E1187,[1]库存!$B$1:$C$65536,2,FALSE)</f>
        <v>E02 FCA RH</v>
      </c>
      <c r="G1187" s="59" t="s">
        <v>1977</v>
      </c>
      <c r="H1187" s="59" t="s">
        <v>1978</v>
      </c>
      <c r="I1187" s="59" t="s">
        <v>1975</v>
      </c>
      <c r="J1187" s="80" t="s">
        <v>65</v>
      </c>
      <c r="K1187" s="61"/>
      <c r="L1187" s="62">
        <v>2</v>
      </c>
      <c r="M1187" s="63">
        <v>1000</v>
      </c>
      <c r="N1187" s="64">
        <v>18</v>
      </c>
      <c r="O1187" s="62">
        <v>3</v>
      </c>
      <c r="P1187" s="65">
        <f t="shared" si="74"/>
        <v>0</v>
      </c>
      <c r="Q1187" s="66"/>
      <c r="R1187" s="66"/>
      <c r="S1187" s="66">
        <v>1250</v>
      </c>
      <c r="T1187" s="66"/>
      <c r="U1187" s="66">
        <v>1250</v>
      </c>
      <c r="V1187" s="66"/>
      <c r="W1187" s="66" t="s">
        <v>471</v>
      </c>
      <c r="X1187" s="66"/>
      <c r="Y1187" s="66"/>
      <c r="Z1187" s="66"/>
      <c r="AA1187" s="66"/>
      <c r="AB1187" s="66"/>
      <c r="AC1187" s="66"/>
      <c r="AD1187" s="66"/>
      <c r="AE1187" s="66"/>
      <c r="AF1187" s="66"/>
      <c r="AG1187" s="66"/>
      <c r="AH1187" s="66"/>
      <c r="AI1187" s="66"/>
      <c r="AJ1187" s="66"/>
      <c r="AK1187" s="66"/>
      <c r="AL1187" s="66"/>
      <c r="AM1187" s="66"/>
      <c r="AN1187" s="66"/>
      <c r="AO1187" s="66"/>
      <c r="AP1187" s="66"/>
      <c r="AQ1187" s="66"/>
      <c r="AR1187" s="66"/>
      <c r="AS1187" s="66"/>
      <c r="AT1187" s="66"/>
      <c r="AU1187" s="66"/>
      <c r="AV1187" s="66"/>
      <c r="AW1187" s="66"/>
      <c r="AX1187" s="66"/>
      <c r="AY1187" s="66"/>
      <c r="AZ1187" s="66"/>
      <c r="BA1187" s="66"/>
      <c r="BB1187" s="66"/>
      <c r="BC1187" s="66"/>
      <c r="BD1187" s="66"/>
      <c r="BE1187" s="67"/>
      <c r="BF1187" s="67"/>
      <c r="BG1187" s="68"/>
      <c r="BI1187" s="69">
        <v>0</v>
      </c>
      <c r="BJ1187" s="70">
        <v>0</v>
      </c>
      <c r="BK1187" s="71">
        <v>0</v>
      </c>
      <c r="BL1187" s="71">
        <v>0</v>
      </c>
      <c r="BM1187" s="71">
        <v>0</v>
      </c>
      <c r="BN1187" s="72">
        <v>0</v>
      </c>
      <c r="BO1187" s="151" t="e">
        <f t="shared" si="75"/>
        <v>#DIV/0!</v>
      </c>
      <c r="BP1187" s="151" t="e">
        <f t="shared" si="76"/>
        <v>#DIV/0!</v>
      </c>
      <c r="BQ1187" s="71">
        <v>0</v>
      </c>
      <c r="BR1187" s="71">
        <v>0</v>
      </c>
      <c r="BS1187" s="71">
        <v>0</v>
      </c>
      <c r="BT1187" s="72">
        <v>0</v>
      </c>
      <c r="BU1187" s="73"/>
      <c r="BV1187" s="73"/>
    </row>
    <row r="1188" ht="30" customHeight="1" spans="1:74">
      <c r="A1188" s="55">
        <v>0</v>
      </c>
      <c r="B1188" s="56">
        <v>0</v>
      </c>
      <c r="C1188" s="57">
        <v>0</v>
      </c>
      <c r="D1188" s="74"/>
      <c r="E1188" s="74"/>
      <c r="F1188" s="59" t="e">
        <f>VLOOKUP(E1188,[1]库存!$B$1:$C$65536,2,FALSE)</f>
        <v>#N/A</v>
      </c>
      <c r="G1188" s="59" t="e">
        <v>#N/A</v>
      </c>
      <c r="H1188" s="74"/>
      <c r="I1188" s="74"/>
      <c r="J1188" s="81"/>
      <c r="K1188" s="61"/>
      <c r="L1188" s="62">
        <v>0</v>
      </c>
      <c r="M1188" s="63">
        <v>0</v>
      </c>
      <c r="N1188" s="64">
        <v>0</v>
      </c>
      <c r="O1188" s="62">
        <v>0</v>
      </c>
      <c r="P1188" s="65">
        <f t="shared" si="74"/>
        <v>0</v>
      </c>
      <c r="Q1188" s="66"/>
      <c r="R1188" s="66"/>
      <c r="S1188" s="66">
        <v>1121</v>
      </c>
      <c r="T1188" s="66"/>
      <c r="U1188" s="66">
        <v>1195</v>
      </c>
      <c r="V1188" s="66"/>
      <c r="W1188" s="66">
        <v>423</v>
      </c>
      <c r="X1188" s="66"/>
      <c r="Y1188" s="66"/>
      <c r="Z1188" s="66"/>
      <c r="AA1188" s="66"/>
      <c r="AB1188" s="66"/>
      <c r="AC1188" s="66"/>
      <c r="AD1188" s="66"/>
      <c r="AE1188" s="66"/>
      <c r="AF1188" s="66"/>
      <c r="AG1188" s="66"/>
      <c r="AH1188" s="66"/>
      <c r="AI1188" s="66"/>
      <c r="AJ1188" s="66"/>
      <c r="AK1188" s="66"/>
      <c r="AL1188" s="66"/>
      <c r="AM1188" s="66"/>
      <c r="AN1188" s="66"/>
      <c r="AO1188" s="66"/>
      <c r="AP1188" s="66"/>
      <c r="AQ1188" s="66"/>
      <c r="AR1188" s="66"/>
      <c r="AS1188" s="66"/>
      <c r="AT1188" s="66"/>
      <c r="AU1188" s="66"/>
      <c r="AV1188" s="66"/>
      <c r="AW1188" s="66"/>
      <c r="AX1188" s="66"/>
      <c r="AY1188" s="66"/>
      <c r="AZ1188" s="66"/>
      <c r="BA1188" s="66"/>
      <c r="BB1188" s="66"/>
      <c r="BC1188" s="66"/>
      <c r="BD1188" s="66"/>
      <c r="BE1188" s="67"/>
      <c r="BF1188" s="67"/>
      <c r="BG1188" s="68"/>
      <c r="BI1188" s="69">
        <v>0</v>
      </c>
      <c r="BJ1188" s="70">
        <v>0</v>
      </c>
      <c r="BK1188" s="71">
        <v>0</v>
      </c>
      <c r="BL1188" s="71">
        <v>0</v>
      </c>
      <c r="BM1188" s="71">
        <v>0</v>
      </c>
      <c r="BN1188" s="72">
        <v>0</v>
      </c>
      <c r="BO1188" s="151" t="e">
        <f t="shared" si="75"/>
        <v>#DIV/0!</v>
      </c>
      <c r="BP1188" s="151" t="e">
        <f t="shared" si="76"/>
        <v>#DIV/0!</v>
      </c>
      <c r="BQ1188" s="71">
        <v>0</v>
      </c>
      <c r="BR1188" s="71">
        <v>0</v>
      </c>
      <c r="BS1188" s="71">
        <v>0</v>
      </c>
      <c r="BT1188" s="72">
        <v>0</v>
      </c>
      <c r="BU1188" s="73"/>
      <c r="BV1188" s="73"/>
    </row>
    <row r="1189" ht="30" customHeight="1" spans="1:74">
      <c r="A1189" s="55">
        <v>0</v>
      </c>
      <c r="B1189" s="56">
        <v>0</v>
      </c>
      <c r="C1189" s="57">
        <v>0</v>
      </c>
      <c r="E1189" s="88"/>
      <c r="F1189" s="59" t="e">
        <f>VLOOKUP(E1189,[1]库存!$B$1:$C$65536,2,FALSE)</f>
        <v>#N/A</v>
      </c>
      <c r="G1189" s="59" t="e">
        <v>#N/A</v>
      </c>
      <c r="H1189" s="89"/>
      <c r="I1189" s="88"/>
      <c r="J1189" s="90"/>
      <c r="K1189" s="61"/>
      <c r="L1189" s="62">
        <v>0</v>
      </c>
      <c r="M1189" s="63">
        <v>0</v>
      </c>
      <c r="N1189" s="64">
        <v>0</v>
      </c>
      <c r="O1189" s="62">
        <v>0</v>
      </c>
      <c r="P1189" s="65">
        <f t="shared" si="74"/>
        <v>0</v>
      </c>
      <c r="Q1189" s="66"/>
      <c r="R1189" s="66"/>
      <c r="S1189" s="66"/>
      <c r="T1189" s="66"/>
      <c r="U1189" s="66"/>
      <c r="V1189" s="66"/>
      <c r="W1189" s="66"/>
      <c r="X1189" s="66"/>
      <c r="Y1189" s="66"/>
      <c r="Z1189" s="66"/>
      <c r="AA1189" s="66"/>
      <c r="AB1189" s="66"/>
      <c r="AC1189" s="66"/>
      <c r="AD1189" s="66"/>
      <c r="AE1189" s="66"/>
      <c r="AF1189" s="66"/>
      <c r="AG1189" s="66"/>
      <c r="AH1189" s="66"/>
      <c r="AI1189" s="66"/>
      <c r="AJ1189" s="66"/>
      <c r="AK1189" s="66"/>
      <c r="AL1189" s="66"/>
      <c r="AM1189" s="66"/>
      <c r="AN1189" s="66"/>
      <c r="AO1189" s="66"/>
      <c r="AP1189" s="66"/>
      <c r="AQ1189" s="66"/>
      <c r="AR1189" s="66"/>
      <c r="AS1189" s="66"/>
      <c r="AT1189" s="66"/>
      <c r="AU1189" s="66"/>
      <c r="AV1189" s="66"/>
      <c r="AW1189" s="66"/>
      <c r="AX1189" s="66"/>
      <c r="AY1189" s="66"/>
      <c r="AZ1189" s="66"/>
      <c r="BA1189" s="66"/>
      <c r="BB1189" s="66"/>
      <c r="BC1189" s="66"/>
      <c r="BD1189" s="66"/>
      <c r="BE1189" s="67"/>
      <c r="BF1189" s="67"/>
      <c r="BG1189" s="68"/>
      <c r="BI1189" s="69">
        <v>0</v>
      </c>
      <c r="BJ1189" s="70">
        <v>0</v>
      </c>
      <c r="BK1189" s="71">
        <v>0</v>
      </c>
      <c r="BL1189" s="71">
        <v>0</v>
      </c>
      <c r="BM1189" s="71">
        <v>0</v>
      </c>
      <c r="BN1189" s="72">
        <v>0</v>
      </c>
      <c r="BO1189" s="151" t="e">
        <f t="shared" si="75"/>
        <v>#DIV/0!</v>
      </c>
      <c r="BP1189" s="151" t="e">
        <f t="shared" si="76"/>
        <v>#DIV/0!</v>
      </c>
      <c r="BQ1189" s="71">
        <v>0</v>
      </c>
      <c r="BR1189" s="71">
        <v>0</v>
      </c>
      <c r="BS1189" s="71">
        <v>0</v>
      </c>
      <c r="BT1189" s="72">
        <v>0</v>
      </c>
      <c r="BU1189" s="73"/>
      <c r="BV1189" s="73"/>
    </row>
    <row r="1190" ht="30" customHeight="1" spans="1:74">
      <c r="A1190" s="55" t="s">
        <v>165</v>
      </c>
      <c r="B1190" s="56" t="s">
        <v>1057</v>
      </c>
      <c r="C1190" s="57" t="s">
        <v>1058</v>
      </c>
      <c r="D1190" s="59" t="s">
        <v>1979</v>
      </c>
      <c r="E1190" s="59" t="s">
        <v>1980</v>
      </c>
      <c r="F1190" s="59" t="str">
        <f>VLOOKUP(E1190,[1]库存!$B$1:$C$65536,2,FALSE)</f>
        <v>FORD CX835 KAB A状态</v>
      </c>
      <c r="G1190" s="59" t="s">
        <v>1981</v>
      </c>
      <c r="H1190" s="59" t="s">
        <v>1982</v>
      </c>
      <c r="I1190" s="59" t="s">
        <v>1983</v>
      </c>
      <c r="J1190" s="94"/>
      <c r="K1190" s="61"/>
      <c r="L1190" s="62">
        <v>2</v>
      </c>
      <c r="M1190" s="63">
        <v>1000</v>
      </c>
      <c r="N1190" s="64">
        <v>21</v>
      </c>
      <c r="O1190" s="62">
        <v>3</v>
      </c>
      <c r="P1190" s="65">
        <f t="shared" si="74"/>
        <v>0</v>
      </c>
      <c r="Q1190" s="66"/>
      <c r="R1190" s="66"/>
      <c r="S1190" s="66"/>
      <c r="T1190" s="66"/>
      <c r="U1190" s="66"/>
      <c r="V1190" s="66"/>
      <c r="W1190" s="66"/>
      <c r="X1190" s="66"/>
      <c r="Y1190" s="66"/>
      <c r="Z1190" s="66"/>
      <c r="AA1190" s="66"/>
      <c r="AB1190" s="66"/>
      <c r="AC1190" s="66"/>
      <c r="AD1190" s="66"/>
      <c r="AE1190" s="66"/>
      <c r="AF1190" s="66"/>
      <c r="AG1190" s="66"/>
      <c r="AH1190" s="66"/>
      <c r="AI1190" s="66"/>
      <c r="AJ1190" s="66"/>
      <c r="AK1190" s="66"/>
      <c r="AL1190" s="66"/>
      <c r="AM1190" s="66"/>
      <c r="AN1190" s="66"/>
      <c r="AO1190" s="66"/>
      <c r="AP1190" s="66"/>
      <c r="AQ1190" s="66"/>
      <c r="AR1190" s="66"/>
      <c r="AS1190" s="66"/>
      <c r="AT1190" s="66"/>
      <c r="AU1190" s="66"/>
      <c r="AV1190" s="66"/>
      <c r="AW1190" s="66"/>
      <c r="AX1190" s="66"/>
      <c r="AY1190" s="66"/>
      <c r="AZ1190" s="66"/>
      <c r="BA1190" s="66"/>
      <c r="BB1190" s="66"/>
      <c r="BC1190" s="66"/>
      <c r="BD1190" s="66"/>
      <c r="BE1190" s="67"/>
      <c r="BF1190" s="67"/>
      <c r="BG1190" s="68"/>
      <c r="BI1190" s="69">
        <v>0</v>
      </c>
      <c r="BJ1190" s="70">
        <v>0</v>
      </c>
      <c r="BK1190" s="71">
        <v>0</v>
      </c>
      <c r="BL1190" s="71">
        <v>0</v>
      </c>
      <c r="BM1190" s="71">
        <v>0</v>
      </c>
      <c r="BN1190" s="72">
        <v>0</v>
      </c>
      <c r="BO1190" s="151" t="e">
        <f t="shared" si="75"/>
        <v>#DIV/0!</v>
      </c>
      <c r="BP1190" s="151" t="e">
        <f t="shared" si="76"/>
        <v>#DIV/0!</v>
      </c>
      <c r="BQ1190" s="71">
        <v>0</v>
      </c>
      <c r="BR1190" s="71">
        <v>0</v>
      </c>
      <c r="BS1190" s="71">
        <v>0</v>
      </c>
      <c r="BT1190" s="72">
        <v>0</v>
      </c>
      <c r="BU1190" s="73"/>
      <c r="BV1190" s="73"/>
    </row>
    <row r="1191" ht="30" customHeight="1" spans="1:74">
      <c r="A1191" s="55">
        <v>0</v>
      </c>
      <c r="B1191" s="56">
        <v>0</v>
      </c>
      <c r="C1191" s="57">
        <v>0</v>
      </c>
      <c r="D1191" s="74"/>
      <c r="E1191" s="74"/>
      <c r="F1191" s="59" t="e">
        <f>VLOOKUP(E1191,[1]库存!$B$1:$C$65536,2,FALSE)</f>
        <v>#N/A</v>
      </c>
      <c r="G1191" s="59" t="e">
        <v>#N/A</v>
      </c>
      <c r="H1191" s="74"/>
      <c r="I1191" s="74"/>
      <c r="J1191" s="95"/>
      <c r="K1191" s="61"/>
      <c r="L1191" s="62">
        <v>0</v>
      </c>
      <c r="M1191" s="63">
        <v>0</v>
      </c>
      <c r="N1191" s="64">
        <v>0</v>
      </c>
      <c r="O1191" s="62">
        <v>0</v>
      </c>
      <c r="P1191" s="65">
        <f t="shared" si="74"/>
        <v>0</v>
      </c>
      <c r="Q1191" s="66"/>
      <c r="R1191" s="66"/>
      <c r="S1191" s="66"/>
      <c r="T1191" s="66"/>
      <c r="U1191" s="66"/>
      <c r="V1191" s="66"/>
      <c r="W1191" s="66"/>
      <c r="X1191" s="66"/>
      <c r="Y1191" s="66"/>
      <c r="Z1191" s="66"/>
      <c r="AA1191" s="66"/>
      <c r="AB1191" s="66"/>
      <c r="AC1191" s="66"/>
      <c r="AD1191" s="66"/>
      <c r="AE1191" s="66"/>
      <c r="AF1191" s="66"/>
      <c r="AG1191" s="66"/>
      <c r="AH1191" s="66"/>
      <c r="AI1191" s="66"/>
      <c r="AJ1191" s="66"/>
      <c r="AK1191" s="66"/>
      <c r="AL1191" s="66"/>
      <c r="AM1191" s="66"/>
      <c r="AN1191" s="66"/>
      <c r="AO1191" s="66"/>
      <c r="AP1191" s="66"/>
      <c r="AQ1191" s="66"/>
      <c r="AR1191" s="66"/>
      <c r="AS1191" s="66"/>
      <c r="AT1191" s="66"/>
      <c r="AU1191" s="66"/>
      <c r="AV1191" s="66"/>
      <c r="AW1191" s="66"/>
      <c r="AX1191" s="66"/>
      <c r="AY1191" s="66"/>
      <c r="AZ1191" s="66"/>
      <c r="BA1191" s="66"/>
      <c r="BB1191" s="66"/>
      <c r="BC1191" s="66"/>
      <c r="BD1191" s="66"/>
      <c r="BE1191" s="67"/>
      <c r="BF1191" s="67"/>
      <c r="BG1191" s="68"/>
      <c r="BI1191" s="69">
        <v>0</v>
      </c>
      <c r="BJ1191" s="70">
        <v>0</v>
      </c>
      <c r="BK1191" s="71">
        <v>0</v>
      </c>
      <c r="BL1191" s="71">
        <v>0</v>
      </c>
      <c r="BM1191" s="71">
        <v>0</v>
      </c>
      <c r="BN1191" s="72">
        <v>0</v>
      </c>
      <c r="BO1191" s="151" t="e">
        <f t="shared" si="75"/>
        <v>#DIV/0!</v>
      </c>
      <c r="BP1191" s="151" t="e">
        <f t="shared" si="76"/>
        <v>#DIV/0!</v>
      </c>
      <c r="BQ1191" s="71">
        <v>0</v>
      </c>
      <c r="BR1191" s="71">
        <v>0</v>
      </c>
      <c r="BS1191" s="71">
        <v>0</v>
      </c>
      <c r="BT1191" s="72">
        <v>0</v>
      </c>
      <c r="BU1191" s="73"/>
      <c r="BV1191" s="73"/>
    </row>
    <row r="1192" ht="30" customHeight="1" spans="1:74">
      <c r="A1192" s="55">
        <v>0</v>
      </c>
      <c r="B1192" s="56">
        <v>0</v>
      </c>
      <c r="C1192" s="57">
        <v>0</v>
      </c>
      <c r="E1192" s="88"/>
      <c r="F1192" s="59" t="e">
        <f>VLOOKUP(E1192,[1]库存!$B$1:$C$65536,2,FALSE)</f>
        <v>#N/A</v>
      </c>
      <c r="G1192" s="59" t="e">
        <v>#N/A</v>
      </c>
      <c r="H1192" s="89"/>
      <c r="I1192" s="88"/>
      <c r="J1192" s="90"/>
      <c r="K1192" s="61"/>
      <c r="L1192" s="62">
        <v>0</v>
      </c>
      <c r="M1192" s="63">
        <v>0</v>
      </c>
      <c r="N1192" s="64">
        <v>0</v>
      </c>
      <c r="O1192" s="62">
        <v>0</v>
      </c>
      <c r="P1192" s="65">
        <f t="shared" si="74"/>
        <v>0</v>
      </c>
      <c r="Q1192" s="66"/>
      <c r="R1192" s="66"/>
      <c r="S1192" s="66"/>
      <c r="T1192" s="66"/>
      <c r="U1192" s="66"/>
      <c r="V1192" s="66"/>
      <c r="W1192" s="66"/>
      <c r="X1192" s="66"/>
      <c r="Y1192" s="66"/>
      <c r="Z1192" s="66"/>
      <c r="AA1192" s="66"/>
      <c r="AB1192" s="66"/>
      <c r="AC1192" s="66"/>
      <c r="AD1192" s="66"/>
      <c r="AE1192" s="66"/>
      <c r="AF1192" s="66"/>
      <c r="AG1192" s="66"/>
      <c r="AH1192" s="66"/>
      <c r="AI1192" s="66"/>
      <c r="AJ1192" s="66"/>
      <c r="AK1192" s="66"/>
      <c r="AL1192" s="66"/>
      <c r="AM1192" s="66"/>
      <c r="AN1192" s="66"/>
      <c r="AO1192" s="66"/>
      <c r="AP1192" s="66"/>
      <c r="AQ1192" s="66"/>
      <c r="AR1192" s="66"/>
      <c r="AS1192" s="66"/>
      <c r="AT1192" s="66"/>
      <c r="AU1192" s="66"/>
      <c r="AV1192" s="66"/>
      <c r="AW1192" s="66"/>
      <c r="AX1192" s="66"/>
      <c r="AY1192" s="66"/>
      <c r="AZ1192" s="66"/>
      <c r="BA1192" s="66"/>
      <c r="BB1192" s="66"/>
      <c r="BC1192" s="66"/>
      <c r="BD1192" s="66"/>
      <c r="BE1192" s="67"/>
      <c r="BF1192" s="67"/>
      <c r="BG1192" s="68"/>
      <c r="BI1192" s="69">
        <v>0</v>
      </c>
      <c r="BJ1192" s="70">
        <v>0</v>
      </c>
      <c r="BK1192" s="71">
        <v>0</v>
      </c>
      <c r="BL1192" s="71">
        <v>0</v>
      </c>
      <c r="BM1192" s="71">
        <v>0</v>
      </c>
      <c r="BN1192" s="72">
        <v>0</v>
      </c>
      <c r="BO1192" s="151" t="e">
        <f t="shared" si="75"/>
        <v>#DIV/0!</v>
      </c>
      <c r="BP1192" s="151" t="e">
        <f t="shared" si="76"/>
        <v>#DIV/0!</v>
      </c>
      <c r="BQ1192" s="71">
        <v>0</v>
      </c>
      <c r="BR1192" s="71">
        <v>0</v>
      </c>
      <c r="BS1192" s="71">
        <v>0</v>
      </c>
      <c r="BT1192" s="72">
        <v>0</v>
      </c>
      <c r="BU1192" s="73"/>
      <c r="BV1192" s="73"/>
    </row>
    <row r="1193" ht="30" customHeight="1" spans="1:74">
      <c r="A1193" s="55" t="s">
        <v>96</v>
      </c>
      <c r="B1193" s="56" t="s">
        <v>1057</v>
      </c>
      <c r="C1193" s="57" t="s">
        <v>1324</v>
      </c>
      <c r="D1193" s="91" t="s">
        <v>1984</v>
      </c>
      <c r="E1193" s="91" t="s">
        <v>1985</v>
      </c>
      <c r="F1193" s="91" t="str">
        <f>VLOOKUP(E1193,[1]库存!$B$1:$C$65536,2,FALSE)</f>
        <v>IM S31L RSAB LH</v>
      </c>
      <c r="G1193" s="91" t="s">
        <v>1986</v>
      </c>
      <c r="H1193" s="91" t="s">
        <v>1987</v>
      </c>
      <c r="I1193" s="91" t="s">
        <v>1988</v>
      </c>
      <c r="J1193" s="63"/>
      <c r="K1193" s="61"/>
      <c r="L1193" s="62">
        <v>2</v>
      </c>
      <c r="M1193" s="63">
        <v>1600</v>
      </c>
      <c r="N1193" s="64">
        <v>11</v>
      </c>
      <c r="O1193" s="62">
        <v>2</v>
      </c>
      <c r="P1193" s="65">
        <f t="shared" si="74"/>
        <v>0</v>
      </c>
      <c r="Q1193" s="66"/>
      <c r="R1193" s="66"/>
      <c r="S1193" s="66"/>
      <c r="T1193" s="66"/>
      <c r="U1193" s="66"/>
      <c r="V1193" s="66"/>
      <c r="W1193" s="66"/>
      <c r="X1193" s="66"/>
      <c r="Y1193" s="66"/>
      <c r="Z1193" s="66"/>
      <c r="AA1193" s="66"/>
      <c r="AB1193" s="66"/>
      <c r="AC1193" s="66"/>
      <c r="AD1193" s="66"/>
      <c r="AE1193" s="66"/>
      <c r="AF1193" s="66"/>
      <c r="AG1193" s="66"/>
      <c r="AH1193" s="66"/>
      <c r="AI1193" s="66"/>
      <c r="AJ1193" s="66"/>
      <c r="AK1193" s="66"/>
      <c r="AL1193" s="66"/>
      <c r="AM1193" s="66"/>
      <c r="AN1193" s="66"/>
      <c r="AO1193" s="66"/>
      <c r="AP1193" s="66"/>
      <c r="AQ1193" s="66"/>
      <c r="AR1193" s="66"/>
      <c r="AS1193" s="66"/>
      <c r="AT1193" s="66"/>
      <c r="AU1193" s="66"/>
      <c r="AV1193" s="66"/>
      <c r="AW1193" s="66"/>
      <c r="AX1193" s="66"/>
      <c r="AY1193" s="66"/>
      <c r="AZ1193" s="66"/>
      <c r="BA1193" s="66"/>
      <c r="BB1193" s="66"/>
      <c r="BC1193" s="66"/>
      <c r="BD1193" s="66"/>
      <c r="BE1193" s="67"/>
      <c r="BF1193" s="67"/>
      <c r="BG1193" s="68"/>
      <c r="BI1193" s="69">
        <v>0</v>
      </c>
      <c r="BJ1193" s="70">
        <v>0</v>
      </c>
      <c r="BK1193" s="71">
        <v>0</v>
      </c>
      <c r="BL1193" s="71">
        <v>0</v>
      </c>
      <c r="BM1193" s="71">
        <v>0</v>
      </c>
      <c r="BN1193" s="72">
        <v>0</v>
      </c>
      <c r="BO1193" s="151" t="e">
        <f t="shared" si="75"/>
        <v>#DIV/0!</v>
      </c>
      <c r="BP1193" s="151" t="e">
        <f t="shared" si="76"/>
        <v>#DIV/0!</v>
      </c>
      <c r="BQ1193" s="71">
        <v>0</v>
      </c>
      <c r="BR1193" s="71">
        <v>0</v>
      </c>
      <c r="BS1193" s="71">
        <v>0</v>
      </c>
      <c r="BT1193" s="72">
        <v>0</v>
      </c>
      <c r="BU1193" s="73"/>
      <c r="BV1193" s="73"/>
    </row>
    <row r="1194" ht="30" customHeight="1" spans="1:74">
      <c r="A1194" s="55">
        <v>0</v>
      </c>
      <c r="B1194" s="56">
        <v>0</v>
      </c>
      <c r="C1194" s="57">
        <v>0</v>
      </c>
      <c r="D1194" s="92"/>
      <c r="E1194" s="92"/>
      <c r="F1194" s="91" t="e">
        <f>VLOOKUP(E1194,[1]库存!$B$1:$C$65536,2,FALSE)</f>
        <v>#N/A</v>
      </c>
      <c r="G1194" s="91" t="e">
        <v>#N/A</v>
      </c>
      <c r="H1194" s="92"/>
      <c r="I1194" s="92"/>
      <c r="J1194" s="87"/>
      <c r="K1194" s="61"/>
      <c r="L1194" s="62">
        <v>0</v>
      </c>
      <c r="M1194" s="63">
        <v>0</v>
      </c>
      <c r="N1194" s="64">
        <v>0</v>
      </c>
      <c r="O1194" s="62">
        <v>0</v>
      </c>
      <c r="P1194" s="65">
        <f t="shared" si="74"/>
        <v>0</v>
      </c>
      <c r="Q1194" s="66"/>
      <c r="R1194" s="66"/>
      <c r="S1194" s="66"/>
      <c r="T1194" s="66"/>
      <c r="U1194" s="66"/>
      <c r="V1194" s="66"/>
      <c r="W1194" s="66"/>
      <c r="X1194" s="66"/>
      <c r="Y1194" s="66"/>
      <c r="Z1194" s="66"/>
      <c r="AA1194" s="66"/>
      <c r="AB1194" s="66"/>
      <c r="AC1194" s="66"/>
      <c r="AD1194" s="66"/>
      <c r="AE1194" s="66"/>
      <c r="AF1194" s="66"/>
      <c r="AG1194" s="66"/>
      <c r="AH1194" s="66"/>
      <c r="AI1194" s="66"/>
      <c r="AJ1194" s="66"/>
      <c r="AK1194" s="66"/>
      <c r="AL1194" s="66"/>
      <c r="AM1194" s="66"/>
      <c r="AN1194" s="66"/>
      <c r="AO1194" s="66"/>
      <c r="AP1194" s="66"/>
      <c r="AQ1194" s="66"/>
      <c r="AR1194" s="66"/>
      <c r="AS1194" s="66"/>
      <c r="AT1194" s="66"/>
      <c r="AU1194" s="66"/>
      <c r="AV1194" s="66"/>
      <c r="AW1194" s="66"/>
      <c r="AX1194" s="66"/>
      <c r="AY1194" s="66"/>
      <c r="AZ1194" s="66"/>
      <c r="BA1194" s="66"/>
      <c r="BB1194" s="66"/>
      <c r="BC1194" s="66"/>
      <c r="BD1194" s="66"/>
      <c r="BE1194" s="67"/>
      <c r="BF1194" s="67"/>
      <c r="BG1194" s="68"/>
      <c r="BI1194" s="69">
        <v>0</v>
      </c>
      <c r="BJ1194" s="70">
        <v>0</v>
      </c>
      <c r="BK1194" s="71">
        <v>0</v>
      </c>
      <c r="BL1194" s="71">
        <v>0</v>
      </c>
      <c r="BM1194" s="71">
        <v>0</v>
      </c>
      <c r="BN1194" s="72">
        <v>0</v>
      </c>
      <c r="BO1194" s="151" t="e">
        <f t="shared" si="75"/>
        <v>#DIV/0!</v>
      </c>
      <c r="BP1194" s="151" t="e">
        <f t="shared" si="76"/>
        <v>#DIV/0!</v>
      </c>
      <c r="BQ1194" s="71">
        <v>0</v>
      </c>
      <c r="BR1194" s="71">
        <v>0</v>
      </c>
      <c r="BS1194" s="71">
        <v>0</v>
      </c>
      <c r="BT1194" s="72">
        <v>0</v>
      </c>
      <c r="BU1194" s="73"/>
      <c r="BV1194" s="73"/>
    </row>
    <row r="1195" ht="30" customHeight="1" spans="1:74">
      <c r="A1195" s="55" t="s">
        <v>96</v>
      </c>
      <c r="B1195" s="56" t="s">
        <v>1057</v>
      </c>
      <c r="C1195" s="57" t="s">
        <v>1324</v>
      </c>
      <c r="D1195" s="91" t="s">
        <v>1984</v>
      </c>
      <c r="E1195" s="91" t="s">
        <v>1989</v>
      </c>
      <c r="F1195" s="91" t="str">
        <f>VLOOKUP(E1195,[1]库存!$B$1:$C$65536,2,FALSE)</f>
        <v>IM S31L RSAB RH</v>
      </c>
      <c r="G1195" s="91" t="s">
        <v>1990</v>
      </c>
      <c r="H1195" s="91" t="s">
        <v>1991</v>
      </c>
      <c r="I1195" s="91" t="s">
        <v>1988</v>
      </c>
      <c r="J1195" s="63"/>
      <c r="K1195" s="61"/>
      <c r="L1195" s="62">
        <v>2</v>
      </c>
      <c r="M1195" s="63">
        <v>1600</v>
      </c>
      <c r="N1195" s="64">
        <v>11</v>
      </c>
      <c r="O1195" s="62">
        <v>2</v>
      </c>
      <c r="P1195" s="65">
        <f t="shared" si="74"/>
        <v>0</v>
      </c>
      <c r="Q1195" s="66"/>
      <c r="R1195" s="66"/>
      <c r="S1195" s="66"/>
      <c r="T1195" s="66"/>
      <c r="U1195" s="66"/>
      <c r="V1195" s="66"/>
      <c r="W1195" s="66"/>
      <c r="X1195" s="66"/>
      <c r="Y1195" s="66"/>
      <c r="Z1195" s="66"/>
      <c r="AA1195" s="66"/>
      <c r="AB1195" s="66"/>
      <c r="AC1195" s="66"/>
      <c r="AD1195" s="66"/>
      <c r="AE1195" s="66"/>
      <c r="AF1195" s="66"/>
      <c r="AG1195" s="66"/>
      <c r="AH1195" s="66"/>
      <c r="AI1195" s="66"/>
      <c r="AJ1195" s="66"/>
      <c r="AK1195" s="66"/>
      <c r="AL1195" s="66"/>
      <c r="AM1195" s="66"/>
      <c r="AN1195" s="66"/>
      <c r="AO1195" s="66"/>
      <c r="AP1195" s="66"/>
      <c r="AQ1195" s="66"/>
      <c r="AR1195" s="66"/>
      <c r="AS1195" s="66"/>
      <c r="AT1195" s="66"/>
      <c r="AU1195" s="66"/>
      <c r="AV1195" s="66"/>
      <c r="AW1195" s="66"/>
      <c r="AX1195" s="66"/>
      <c r="AY1195" s="66"/>
      <c r="AZ1195" s="66"/>
      <c r="BA1195" s="66"/>
      <c r="BB1195" s="66"/>
      <c r="BC1195" s="66"/>
      <c r="BD1195" s="66"/>
      <c r="BE1195" s="67"/>
      <c r="BF1195" s="67"/>
      <c r="BG1195" s="68"/>
      <c r="BI1195" s="69">
        <v>0</v>
      </c>
      <c r="BJ1195" s="70">
        <v>0</v>
      </c>
      <c r="BK1195" s="71">
        <v>0</v>
      </c>
      <c r="BL1195" s="71">
        <v>0</v>
      </c>
      <c r="BM1195" s="71">
        <v>0</v>
      </c>
      <c r="BN1195" s="72">
        <v>0</v>
      </c>
      <c r="BO1195" s="151" t="e">
        <f t="shared" si="75"/>
        <v>#DIV/0!</v>
      </c>
      <c r="BP1195" s="151" t="e">
        <f t="shared" si="76"/>
        <v>#DIV/0!</v>
      </c>
      <c r="BQ1195" s="71">
        <v>0</v>
      </c>
      <c r="BR1195" s="71">
        <v>0</v>
      </c>
      <c r="BS1195" s="71">
        <v>0</v>
      </c>
      <c r="BT1195" s="72">
        <v>0</v>
      </c>
      <c r="BU1195" s="73"/>
      <c r="BV1195" s="73"/>
    </row>
    <row r="1196" ht="30" customHeight="1" spans="1:74">
      <c r="A1196" s="55">
        <v>0</v>
      </c>
      <c r="B1196" s="56">
        <v>0</v>
      </c>
      <c r="C1196" s="57">
        <v>0</v>
      </c>
      <c r="D1196" s="92"/>
      <c r="E1196" s="92"/>
      <c r="F1196" s="91" t="e">
        <f>VLOOKUP(E1196,[1]库存!$B$1:$C$65536,2,FALSE)</f>
        <v>#N/A</v>
      </c>
      <c r="G1196" s="91" t="e">
        <v>#N/A</v>
      </c>
      <c r="H1196" s="92"/>
      <c r="I1196" s="92"/>
      <c r="J1196" s="87"/>
      <c r="K1196" s="61"/>
      <c r="L1196" s="62">
        <v>0</v>
      </c>
      <c r="M1196" s="63">
        <v>0</v>
      </c>
      <c r="N1196" s="64">
        <v>0</v>
      </c>
      <c r="O1196" s="62">
        <v>0</v>
      </c>
      <c r="P1196" s="65">
        <f t="shared" si="74"/>
        <v>0</v>
      </c>
      <c r="Q1196" s="66"/>
      <c r="R1196" s="66"/>
      <c r="S1196" s="66"/>
      <c r="T1196" s="66"/>
      <c r="U1196" s="66"/>
      <c r="V1196" s="66"/>
      <c r="W1196" s="66"/>
      <c r="X1196" s="66"/>
      <c r="Y1196" s="66"/>
      <c r="Z1196" s="66"/>
      <c r="AA1196" s="66"/>
      <c r="AB1196" s="66"/>
      <c r="AC1196" s="66"/>
      <c r="AD1196" s="66"/>
      <c r="AE1196" s="66"/>
      <c r="AF1196" s="66"/>
      <c r="AG1196" s="66"/>
      <c r="AH1196" s="66"/>
      <c r="AI1196" s="66"/>
      <c r="AJ1196" s="66"/>
      <c r="AK1196" s="66"/>
      <c r="AL1196" s="66"/>
      <c r="AM1196" s="66"/>
      <c r="AN1196" s="66"/>
      <c r="AO1196" s="66"/>
      <c r="AP1196" s="66"/>
      <c r="AQ1196" s="66"/>
      <c r="AR1196" s="66"/>
      <c r="AS1196" s="66"/>
      <c r="AT1196" s="66"/>
      <c r="AU1196" s="66"/>
      <c r="AV1196" s="66"/>
      <c r="AW1196" s="66"/>
      <c r="AX1196" s="66"/>
      <c r="AY1196" s="66"/>
      <c r="AZ1196" s="66"/>
      <c r="BA1196" s="66"/>
      <c r="BB1196" s="66"/>
      <c r="BC1196" s="66"/>
      <c r="BD1196" s="66"/>
      <c r="BE1196" s="67"/>
      <c r="BF1196" s="67"/>
      <c r="BG1196" s="68"/>
      <c r="BI1196" s="69">
        <v>0</v>
      </c>
      <c r="BJ1196" s="70">
        <v>0</v>
      </c>
      <c r="BK1196" s="71">
        <v>0</v>
      </c>
      <c r="BL1196" s="71">
        <v>0</v>
      </c>
      <c r="BM1196" s="71">
        <v>0</v>
      </c>
      <c r="BN1196" s="72">
        <v>0</v>
      </c>
      <c r="BO1196" s="151" t="e">
        <f t="shared" si="75"/>
        <v>#DIV/0!</v>
      </c>
      <c r="BP1196" s="151" t="e">
        <f t="shared" si="76"/>
        <v>#DIV/0!</v>
      </c>
      <c r="BQ1196" s="71">
        <v>0</v>
      </c>
      <c r="BR1196" s="71">
        <v>0</v>
      </c>
      <c r="BS1196" s="71">
        <v>0</v>
      </c>
      <c r="BT1196" s="72">
        <v>0</v>
      </c>
      <c r="BU1196" s="73"/>
      <c r="BV1196" s="73"/>
    </row>
    <row r="1197" ht="30" customHeight="1" spans="1:74">
      <c r="A1197" s="55" t="s">
        <v>96</v>
      </c>
      <c r="B1197" s="56" t="s">
        <v>1057</v>
      </c>
      <c r="C1197" s="57" t="s">
        <v>1324</v>
      </c>
      <c r="D1197" s="59" t="s">
        <v>1984</v>
      </c>
      <c r="E1197" s="59" t="s">
        <v>1992</v>
      </c>
      <c r="F1197" s="59" t="str">
        <f>VLOOKUP(E1197,[1]库存!$B$1:$C$65536,2,FALSE)</f>
        <v>GEELY HS11-P SAB LH</v>
      </c>
      <c r="G1197" s="59" t="s">
        <v>1993</v>
      </c>
      <c r="H1197" s="59" t="s">
        <v>1994</v>
      </c>
      <c r="I1197" s="59" t="s">
        <v>1995</v>
      </c>
      <c r="J1197" s="63"/>
      <c r="K1197" s="61"/>
      <c r="L1197" s="62">
        <v>2</v>
      </c>
      <c r="M1197" s="63">
        <v>1250</v>
      </c>
      <c r="N1197" s="64">
        <v>12</v>
      </c>
      <c r="O1197" s="62">
        <v>2</v>
      </c>
      <c r="P1197" s="65">
        <f t="shared" si="74"/>
        <v>0</v>
      </c>
      <c r="Q1197" s="66"/>
      <c r="R1197" s="66"/>
      <c r="S1197" s="66"/>
      <c r="T1197" s="66"/>
      <c r="U1197" s="66"/>
      <c r="V1197" s="66"/>
      <c r="W1197" s="66"/>
      <c r="X1197" s="66"/>
      <c r="Y1197" s="66"/>
      <c r="Z1197" s="66"/>
      <c r="AA1197" s="66"/>
      <c r="AB1197" s="66"/>
      <c r="AC1197" s="66"/>
      <c r="AD1197" s="66"/>
      <c r="AE1197" s="66"/>
      <c r="AF1197" s="66"/>
      <c r="AG1197" s="66"/>
      <c r="AH1197" s="66"/>
      <c r="AI1197" s="66"/>
      <c r="AJ1197" s="66"/>
      <c r="AK1197" s="66"/>
      <c r="AL1197" s="66"/>
      <c r="AM1197" s="66"/>
      <c r="AN1197" s="66"/>
      <c r="AO1197" s="66"/>
      <c r="AP1197" s="66"/>
      <c r="AQ1197" s="66"/>
      <c r="AR1197" s="66"/>
      <c r="AS1197" s="66"/>
      <c r="AT1197" s="66"/>
      <c r="AU1197" s="66"/>
      <c r="AV1197" s="66"/>
      <c r="AW1197" s="66"/>
      <c r="AX1197" s="66"/>
      <c r="AY1197" s="66"/>
      <c r="AZ1197" s="66"/>
      <c r="BA1197" s="66"/>
      <c r="BB1197" s="66"/>
      <c r="BC1197" s="66"/>
      <c r="BD1197" s="66"/>
      <c r="BE1197" s="67"/>
      <c r="BF1197" s="67"/>
      <c r="BG1197" s="68"/>
      <c r="BI1197" s="69">
        <v>0</v>
      </c>
      <c r="BJ1197" s="70">
        <v>0</v>
      </c>
      <c r="BK1197" s="71">
        <v>0</v>
      </c>
      <c r="BL1197" s="71">
        <v>0</v>
      </c>
      <c r="BM1197" s="71">
        <v>0</v>
      </c>
      <c r="BN1197" s="72">
        <v>0</v>
      </c>
      <c r="BO1197" s="151" t="e">
        <f t="shared" si="75"/>
        <v>#DIV/0!</v>
      </c>
      <c r="BP1197" s="151" t="e">
        <f t="shared" si="76"/>
        <v>#DIV/0!</v>
      </c>
      <c r="BQ1197" s="71">
        <v>0</v>
      </c>
      <c r="BR1197" s="71">
        <v>0</v>
      </c>
      <c r="BS1197" s="71">
        <v>0</v>
      </c>
      <c r="BT1197" s="72">
        <v>0</v>
      </c>
      <c r="BU1197" s="73"/>
      <c r="BV1197" s="73"/>
    </row>
    <row r="1198" ht="30" customHeight="1" spans="1:74">
      <c r="A1198" s="55">
        <v>0</v>
      </c>
      <c r="B1198" s="56">
        <v>0</v>
      </c>
      <c r="C1198" s="57">
        <v>0</v>
      </c>
      <c r="D1198" s="74"/>
      <c r="E1198" s="74"/>
      <c r="F1198" s="59" t="e">
        <f>VLOOKUP(E1198,[1]库存!$B$1:$C$65536,2,FALSE)</f>
        <v>#N/A</v>
      </c>
      <c r="G1198" s="59" t="e">
        <v>#N/A</v>
      </c>
      <c r="H1198" s="74"/>
      <c r="I1198" s="74"/>
      <c r="J1198" s="87"/>
      <c r="K1198" s="61"/>
      <c r="L1198" s="62">
        <v>0</v>
      </c>
      <c r="M1198" s="63">
        <v>0</v>
      </c>
      <c r="N1198" s="64">
        <v>0</v>
      </c>
      <c r="O1198" s="62">
        <v>0</v>
      </c>
      <c r="P1198" s="65">
        <f t="shared" si="74"/>
        <v>0</v>
      </c>
      <c r="Q1198" s="66"/>
      <c r="R1198" s="66"/>
      <c r="S1198" s="66"/>
      <c r="T1198" s="66"/>
      <c r="U1198" s="66"/>
      <c r="V1198" s="66"/>
      <c r="W1198" s="66"/>
      <c r="X1198" s="66"/>
      <c r="Y1198" s="66"/>
      <c r="Z1198" s="66"/>
      <c r="AA1198" s="66"/>
      <c r="AB1198" s="66"/>
      <c r="AC1198" s="66"/>
      <c r="AD1198" s="66"/>
      <c r="AE1198" s="66"/>
      <c r="AF1198" s="66"/>
      <c r="AG1198" s="66"/>
      <c r="AH1198" s="66"/>
      <c r="AI1198" s="66"/>
      <c r="AJ1198" s="66"/>
      <c r="AK1198" s="66"/>
      <c r="AL1198" s="66"/>
      <c r="AM1198" s="66"/>
      <c r="AN1198" s="66"/>
      <c r="AO1198" s="66"/>
      <c r="AP1198" s="66"/>
      <c r="AQ1198" s="66"/>
      <c r="AR1198" s="66"/>
      <c r="AS1198" s="66"/>
      <c r="AT1198" s="66"/>
      <c r="AU1198" s="66"/>
      <c r="AV1198" s="66"/>
      <c r="AW1198" s="66"/>
      <c r="AX1198" s="66"/>
      <c r="AY1198" s="66"/>
      <c r="AZ1198" s="66"/>
      <c r="BA1198" s="66"/>
      <c r="BB1198" s="66"/>
      <c r="BC1198" s="66"/>
      <c r="BD1198" s="66"/>
      <c r="BE1198" s="67"/>
      <c r="BF1198" s="67"/>
      <c r="BG1198" s="68"/>
      <c r="BI1198" s="69">
        <v>0</v>
      </c>
      <c r="BJ1198" s="70">
        <v>0</v>
      </c>
      <c r="BK1198" s="71">
        <v>0</v>
      </c>
      <c r="BL1198" s="71">
        <v>0</v>
      </c>
      <c r="BM1198" s="71">
        <v>0</v>
      </c>
      <c r="BN1198" s="72">
        <v>0</v>
      </c>
      <c r="BO1198" s="151" t="e">
        <f t="shared" si="75"/>
        <v>#DIV/0!</v>
      </c>
      <c r="BP1198" s="151" t="e">
        <f t="shared" si="76"/>
        <v>#DIV/0!</v>
      </c>
      <c r="BQ1198" s="71">
        <v>0</v>
      </c>
      <c r="BR1198" s="71">
        <v>0</v>
      </c>
      <c r="BS1198" s="71">
        <v>0</v>
      </c>
      <c r="BT1198" s="72">
        <v>0</v>
      </c>
      <c r="BU1198" s="73"/>
      <c r="BV1198" s="73"/>
    </row>
    <row r="1199" ht="30" customHeight="1" spans="1:74">
      <c r="A1199" s="55" t="s">
        <v>96</v>
      </c>
      <c r="B1199" s="56" t="s">
        <v>1057</v>
      </c>
      <c r="C1199" s="57" t="s">
        <v>1324</v>
      </c>
      <c r="D1199" s="59" t="s">
        <v>1984</v>
      </c>
      <c r="E1199" s="59" t="s">
        <v>1996</v>
      </c>
      <c r="F1199" s="59" t="str">
        <f>VLOOKUP(E1199,[1]库存!$B$1:$C$65536,2,FALSE)</f>
        <v>GEELY HS11-P SAB RH</v>
      </c>
      <c r="G1199" s="59" t="s">
        <v>1997</v>
      </c>
      <c r="H1199" s="59" t="s">
        <v>1998</v>
      </c>
      <c r="I1199" s="59" t="s">
        <v>1995</v>
      </c>
      <c r="J1199" s="63"/>
      <c r="K1199" s="61"/>
      <c r="L1199" s="62">
        <v>2</v>
      </c>
      <c r="M1199" s="63">
        <v>1250</v>
      </c>
      <c r="N1199" s="64">
        <v>12</v>
      </c>
      <c r="O1199" s="62">
        <v>2</v>
      </c>
      <c r="P1199" s="65">
        <f t="shared" si="74"/>
        <v>0</v>
      </c>
      <c r="Q1199" s="66"/>
      <c r="R1199" s="66"/>
      <c r="S1199" s="66"/>
      <c r="T1199" s="66"/>
      <c r="U1199" s="66"/>
      <c r="V1199" s="66"/>
      <c r="W1199" s="66"/>
      <c r="X1199" s="66"/>
      <c r="Y1199" s="66"/>
      <c r="Z1199" s="66"/>
      <c r="AA1199" s="66"/>
      <c r="AB1199" s="66"/>
      <c r="AC1199" s="66"/>
      <c r="AD1199" s="66"/>
      <c r="AE1199" s="66"/>
      <c r="AF1199" s="66"/>
      <c r="AG1199" s="66"/>
      <c r="AH1199" s="66"/>
      <c r="AI1199" s="66"/>
      <c r="AJ1199" s="66"/>
      <c r="AK1199" s="66"/>
      <c r="AL1199" s="66"/>
      <c r="AM1199" s="66"/>
      <c r="AN1199" s="66"/>
      <c r="AO1199" s="66"/>
      <c r="AP1199" s="66"/>
      <c r="AQ1199" s="66"/>
      <c r="AR1199" s="66"/>
      <c r="AS1199" s="66"/>
      <c r="AT1199" s="66"/>
      <c r="AU1199" s="66"/>
      <c r="AV1199" s="66"/>
      <c r="AW1199" s="66"/>
      <c r="AX1199" s="66"/>
      <c r="AY1199" s="66"/>
      <c r="AZ1199" s="66"/>
      <c r="BA1199" s="66"/>
      <c r="BB1199" s="66"/>
      <c r="BC1199" s="66"/>
      <c r="BD1199" s="66"/>
      <c r="BE1199" s="67"/>
      <c r="BF1199" s="67"/>
      <c r="BG1199" s="68"/>
      <c r="BI1199" s="69">
        <v>0</v>
      </c>
      <c r="BJ1199" s="70">
        <v>0</v>
      </c>
      <c r="BK1199" s="71">
        <v>0</v>
      </c>
      <c r="BL1199" s="71">
        <v>0</v>
      </c>
      <c r="BM1199" s="71">
        <v>0</v>
      </c>
      <c r="BN1199" s="72">
        <v>0</v>
      </c>
      <c r="BO1199" s="151" t="e">
        <f t="shared" si="75"/>
        <v>#DIV/0!</v>
      </c>
      <c r="BP1199" s="151" t="e">
        <f t="shared" si="76"/>
        <v>#DIV/0!</v>
      </c>
      <c r="BQ1199" s="71">
        <v>0</v>
      </c>
      <c r="BR1199" s="71">
        <v>0</v>
      </c>
      <c r="BS1199" s="71">
        <v>0</v>
      </c>
      <c r="BT1199" s="72">
        <v>0</v>
      </c>
      <c r="BU1199" s="73"/>
      <c r="BV1199" s="73"/>
    </row>
    <row r="1200" ht="30" customHeight="1" spans="1:74">
      <c r="A1200" s="55">
        <v>0</v>
      </c>
      <c r="B1200" s="56">
        <v>0</v>
      </c>
      <c r="C1200" s="57">
        <v>0</v>
      </c>
      <c r="D1200" s="74"/>
      <c r="E1200" s="74"/>
      <c r="F1200" s="59" t="e">
        <f>VLOOKUP(E1200,[1]库存!$B$1:$C$65536,2,FALSE)</f>
        <v>#N/A</v>
      </c>
      <c r="G1200" s="59" t="e">
        <v>#N/A</v>
      </c>
      <c r="H1200" s="74"/>
      <c r="I1200" s="74"/>
      <c r="J1200" s="87"/>
      <c r="K1200" s="61"/>
      <c r="L1200" s="62">
        <v>0</v>
      </c>
      <c r="M1200" s="63">
        <v>0</v>
      </c>
      <c r="N1200" s="64">
        <v>0</v>
      </c>
      <c r="O1200" s="62">
        <v>0</v>
      </c>
      <c r="P1200" s="65">
        <f t="shared" si="74"/>
        <v>0</v>
      </c>
      <c r="Q1200" s="66"/>
      <c r="R1200" s="66"/>
      <c r="S1200" s="66"/>
      <c r="T1200" s="66"/>
      <c r="U1200" s="66"/>
      <c r="V1200" s="66"/>
      <c r="W1200" s="66"/>
      <c r="X1200" s="66"/>
      <c r="Y1200" s="66"/>
      <c r="Z1200" s="66"/>
      <c r="AA1200" s="66"/>
      <c r="AB1200" s="66"/>
      <c r="AC1200" s="66"/>
      <c r="AD1200" s="66"/>
      <c r="AE1200" s="66"/>
      <c r="AF1200" s="66"/>
      <c r="AG1200" s="66"/>
      <c r="AH1200" s="66"/>
      <c r="AI1200" s="66"/>
      <c r="AJ1200" s="66"/>
      <c r="AK1200" s="66"/>
      <c r="AL1200" s="66"/>
      <c r="AM1200" s="66"/>
      <c r="AN1200" s="66"/>
      <c r="AO1200" s="66"/>
      <c r="AP1200" s="66"/>
      <c r="AQ1200" s="66"/>
      <c r="AR1200" s="66"/>
      <c r="AS1200" s="66"/>
      <c r="AT1200" s="66"/>
      <c r="AU1200" s="66"/>
      <c r="AV1200" s="66"/>
      <c r="AW1200" s="66"/>
      <c r="AX1200" s="66"/>
      <c r="AY1200" s="66"/>
      <c r="AZ1200" s="66"/>
      <c r="BA1200" s="66"/>
      <c r="BB1200" s="66"/>
      <c r="BC1200" s="66"/>
      <c r="BD1200" s="66"/>
      <c r="BE1200" s="67"/>
      <c r="BF1200" s="67"/>
      <c r="BG1200" s="68"/>
      <c r="BI1200" s="69">
        <v>0</v>
      </c>
      <c r="BJ1200" s="70">
        <v>0</v>
      </c>
      <c r="BK1200" s="71">
        <v>0</v>
      </c>
      <c r="BL1200" s="71">
        <v>0</v>
      </c>
      <c r="BM1200" s="71">
        <v>0</v>
      </c>
      <c r="BN1200" s="72">
        <v>0</v>
      </c>
      <c r="BO1200" s="151" t="e">
        <f t="shared" si="75"/>
        <v>#DIV/0!</v>
      </c>
      <c r="BP1200" s="151" t="e">
        <f t="shared" si="76"/>
        <v>#DIV/0!</v>
      </c>
      <c r="BQ1200" s="71">
        <v>0</v>
      </c>
      <c r="BR1200" s="71">
        <v>0</v>
      </c>
      <c r="BS1200" s="71">
        <v>0</v>
      </c>
      <c r="BT1200" s="72">
        <v>0</v>
      </c>
      <c r="BU1200" s="73"/>
      <c r="BV1200" s="73"/>
    </row>
    <row r="1201" ht="30" customHeight="1" spans="1:74">
      <c r="A1201" s="55" t="s">
        <v>96</v>
      </c>
      <c r="B1201" s="56" t="s">
        <v>1057</v>
      </c>
      <c r="C1201" s="57" t="s">
        <v>1324</v>
      </c>
      <c r="D1201" s="59" t="s">
        <v>1984</v>
      </c>
      <c r="E1201" s="59" t="s">
        <v>1999</v>
      </c>
      <c r="F1201" s="59" t="str">
        <f>VLOOKUP(E1201,[1]库存!$B$1:$C$65536,2,FALSE)</f>
        <v>JH-C RSAB LH</v>
      </c>
      <c r="G1201" s="59" t="s">
        <v>2000</v>
      </c>
      <c r="H1201" s="59" t="s">
        <v>2001</v>
      </c>
      <c r="I1201" s="59" t="s">
        <v>2002</v>
      </c>
      <c r="J1201" s="63"/>
      <c r="K1201" s="61"/>
      <c r="L1201" s="62">
        <v>2</v>
      </c>
      <c r="M1201" s="63">
        <v>2000</v>
      </c>
      <c r="N1201" s="64">
        <v>8</v>
      </c>
      <c r="O1201" s="62">
        <v>2</v>
      </c>
      <c r="P1201" s="65">
        <f t="shared" si="74"/>
        <v>0</v>
      </c>
      <c r="Q1201" s="66"/>
      <c r="R1201" s="66"/>
      <c r="S1201" s="66"/>
      <c r="T1201" s="66"/>
      <c r="U1201" s="66"/>
      <c r="V1201" s="66"/>
      <c r="W1201" s="66"/>
      <c r="X1201" s="66"/>
      <c r="Y1201" s="66"/>
      <c r="Z1201" s="66"/>
      <c r="AA1201" s="66">
        <v>900</v>
      </c>
      <c r="AB1201" s="66"/>
      <c r="AC1201" s="66"/>
      <c r="AD1201" s="66"/>
      <c r="AE1201" s="66"/>
      <c r="AF1201" s="66"/>
      <c r="AG1201" s="66"/>
      <c r="AH1201" s="66"/>
      <c r="AI1201" s="66"/>
      <c r="AJ1201" s="66"/>
      <c r="AK1201" s="66"/>
      <c r="AL1201" s="66"/>
      <c r="AM1201" s="66"/>
      <c r="AN1201" s="66"/>
      <c r="AO1201" s="66"/>
      <c r="AP1201" s="66"/>
      <c r="AQ1201" s="66"/>
      <c r="AR1201" s="66"/>
      <c r="AS1201" s="66"/>
      <c r="AT1201" s="66"/>
      <c r="AU1201" s="66"/>
      <c r="AV1201" s="66"/>
      <c r="AW1201" s="66"/>
      <c r="AX1201" s="66"/>
      <c r="AY1201" s="66"/>
      <c r="AZ1201" s="66"/>
      <c r="BA1201" s="66"/>
      <c r="BB1201" s="66"/>
      <c r="BC1201" s="66"/>
      <c r="BD1201" s="66"/>
      <c r="BE1201" s="67"/>
      <c r="BF1201" s="67"/>
      <c r="BG1201" s="68"/>
      <c r="BI1201" s="69">
        <v>0</v>
      </c>
      <c r="BJ1201" s="70">
        <v>0</v>
      </c>
      <c r="BK1201" s="71">
        <v>0</v>
      </c>
      <c r="BL1201" s="71">
        <v>0</v>
      </c>
      <c r="BM1201" s="71">
        <v>0</v>
      </c>
      <c r="BN1201" s="72">
        <v>0</v>
      </c>
      <c r="BO1201" s="151" t="e">
        <f t="shared" si="75"/>
        <v>#DIV/0!</v>
      </c>
      <c r="BP1201" s="151" t="e">
        <f t="shared" si="76"/>
        <v>#DIV/0!</v>
      </c>
      <c r="BQ1201" s="71">
        <v>0</v>
      </c>
      <c r="BR1201" s="71">
        <v>0</v>
      </c>
      <c r="BS1201" s="71">
        <v>0</v>
      </c>
      <c r="BT1201" s="72">
        <v>0</v>
      </c>
      <c r="BU1201" s="73"/>
      <c r="BV1201" s="73"/>
    </row>
    <row r="1202" ht="30" customHeight="1" spans="1:74">
      <c r="A1202" s="55">
        <v>0</v>
      </c>
      <c r="B1202" s="56">
        <v>0</v>
      </c>
      <c r="C1202" s="57">
        <v>0</v>
      </c>
      <c r="D1202" s="74"/>
      <c r="E1202" s="74"/>
      <c r="F1202" s="59" t="e">
        <f>VLOOKUP(E1202,[1]库存!$B$1:$C$65536,2,FALSE)</f>
        <v>#N/A</v>
      </c>
      <c r="G1202" s="59" t="e">
        <v>#N/A</v>
      </c>
      <c r="H1202" s="74"/>
      <c r="I1202" s="74"/>
      <c r="J1202" s="87"/>
      <c r="K1202" s="61"/>
      <c r="L1202" s="62">
        <v>0</v>
      </c>
      <c r="M1202" s="63">
        <v>0</v>
      </c>
      <c r="N1202" s="64">
        <v>0</v>
      </c>
      <c r="O1202" s="62">
        <v>0</v>
      </c>
      <c r="P1202" s="65">
        <f t="shared" si="74"/>
        <v>0</v>
      </c>
      <c r="Q1202" s="66"/>
      <c r="R1202" s="66"/>
      <c r="S1202" s="66"/>
      <c r="T1202" s="66"/>
      <c r="U1202" s="66"/>
      <c r="V1202" s="66"/>
      <c r="W1202" s="66"/>
      <c r="X1202" s="66"/>
      <c r="Y1202" s="66"/>
      <c r="Z1202" s="66"/>
      <c r="AA1202" s="66">
        <v>900</v>
      </c>
      <c r="AB1202" s="66"/>
      <c r="AC1202" s="66"/>
      <c r="AD1202" s="66"/>
      <c r="AE1202" s="66"/>
      <c r="AF1202" s="66"/>
      <c r="AG1202" s="66"/>
      <c r="AH1202" s="66"/>
      <c r="AI1202" s="66"/>
      <c r="AJ1202" s="66"/>
      <c r="AK1202" s="66"/>
      <c r="AL1202" s="66"/>
      <c r="AM1202" s="66"/>
      <c r="AN1202" s="66"/>
      <c r="AO1202" s="66"/>
      <c r="AP1202" s="66"/>
      <c r="AQ1202" s="66"/>
      <c r="AR1202" s="66"/>
      <c r="AS1202" s="66"/>
      <c r="AT1202" s="66"/>
      <c r="AU1202" s="66"/>
      <c r="AV1202" s="66"/>
      <c r="AW1202" s="66"/>
      <c r="AX1202" s="66"/>
      <c r="AY1202" s="66"/>
      <c r="AZ1202" s="66"/>
      <c r="BA1202" s="66"/>
      <c r="BB1202" s="66"/>
      <c r="BC1202" s="66"/>
      <c r="BD1202" s="66"/>
      <c r="BE1202" s="67"/>
      <c r="BF1202" s="67"/>
      <c r="BG1202" s="68"/>
      <c r="BI1202" s="69">
        <v>0</v>
      </c>
      <c r="BJ1202" s="70">
        <v>0</v>
      </c>
      <c r="BK1202" s="71">
        <v>0</v>
      </c>
      <c r="BL1202" s="71">
        <v>0</v>
      </c>
      <c r="BM1202" s="71">
        <v>0</v>
      </c>
      <c r="BN1202" s="72">
        <v>0</v>
      </c>
      <c r="BO1202" s="151" t="e">
        <f t="shared" si="75"/>
        <v>#DIV/0!</v>
      </c>
      <c r="BP1202" s="151" t="e">
        <f t="shared" si="76"/>
        <v>#DIV/0!</v>
      </c>
      <c r="BQ1202" s="71">
        <v>0</v>
      </c>
      <c r="BR1202" s="71">
        <v>0</v>
      </c>
      <c r="BS1202" s="71">
        <v>0</v>
      </c>
      <c r="BT1202" s="72">
        <v>0</v>
      </c>
      <c r="BU1202" s="73"/>
      <c r="BV1202" s="73"/>
    </row>
    <row r="1203" ht="30" customHeight="1" spans="1:74">
      <c r="A1203" s="55" t="s">
        <v>96</v>
      </c>
      <c r="B1203" s="56" t="s">
        <v>1057</v>
      </c>
      <c r="C1203" s="57" t="s">
        <v>1324</v>
      </c>
      <c r="D1203" s="59" t="s">
        <v>1984</v>
      </c>
      <c r="E1203" s="59" t="s">
        <v>2003</v>
      </c>
      <c r="F1203" s="59" t="str">
        <f>VLOOKUP(E1203,[1]库存!$B$1:$C$65536,2,FALSE)</f>
        <v>JH-C RSAB RH</v>
      </c>
      <c r="G1203" s="59" t="s">
        <v>2004</v>
      </c>
      <c r="H1203" s="59" t="s">
        <v>2005</v>
      </c>
      <c r="I1203" s="59" t="s">
        <v>2002</v>
      </c>
      <c r="J1203" s="63"/>
      <c r="K1203" s="61"/>
      <c r="L1203" s="62">
        <v>2</v>
      </c>
      <c r="M1203" s="63">
        <v>2000</v>
      </c>
      <c r="N1203" s="64">
        <v>8</v>
      </c>
      <c r="O1203" s="62">
        <v>2</v>
      </c>
      <c r="P1203" s="65">
        <f t="shared" si="74"/>
        <v>0</v>
      </c>
      <c r="Q1203" s="66"/>
      <c r="R1203" s="66"/>
      <c r="S1203" s="66"/>
      <c r="T1203" s="66"/>
      <c r="U1203" s="66"/>
      <c r="V1203" s="66"/>
      <c r="W1203" s="66"/>
      <c r="X1203" s="66"/>
      <c r="Y1203" s="66"/>
      <c r="Z1203" s="66"/>
      <c r="AA1203" s="66">
        <v>900</v>
      </c>
      <c r="AB1203" s="66"/>
      <c r="AC1203" s="66"/>
      <c r="AD1203" s="66"/>
      <c r="AE1203" s="66"/>
      <c r="AF1203" s="66"/>
      <c r="AG1203" s="66"/>
      <c r="AH1203" s="66"/>
      <c r="AI1203" s="66"/>
      <c r="AJ1203" s="66"/>
      <c r="AK1203" s="66"/>
      <c r="AL1203" s="66"/>
      <c r="AM1203" s="66"/>
      <c r="AN1203" s="66"/>
      <c r="AO1203" s="66"/>
      <c r="AP1203" s="66"/>
      <c r="AQ1203" s="66"/>
      <c r="AR1203" s="66"/>
      <c r="AS1203" s="66"/>
      <c r="AT1203" s="66"/>
      <c r="AU1203" s="66"/>
      <c r="AV1203" s="66"/>
      <c r="AW1203" s="66"/>
      <c r="AX1203" s="66"/>
      <c r="AY1203" s="66"/>
      <c r="AZ1203" s="66"/>
      <c r="BA1203" s="66"/>
      <c r="BB1203" s="66"/>
      <c r="BC1203" s="66"/>
      <c r="BD1203" s="66"/>
      <c r="BE1203" s="67"/>
      <c r="BF1203" s="67"/>
      <c r="BG1203" s="68"/>
      <c r="BI1203" s="69">
        <v>0</v>
      </c>
      <c r="BJ1203" s="70">
        <v>0</v>
      </c>
      <c r="BK1203" s="71">
        <v>0</v>
      </c>
      <c r="BL1203" s="71">
        <v>0</v>
      </c>
      <c r="BM1203" s="71">
        <v>0</v>
      </c>
      <c r="BN1203" s="72">
        <v>0</v>
      </c>
      <c r="BO1203" s="151" t="e">
        <f t="shared" si="75"/>
        <v>#DIV/0!</v>
      </c>
      <c r="BP1203" s="151" t="e">
        <f t="shared" si="76"/>
        <v>#DIV/0!</v>
      </c>
      <c r="BQ1203" s="71">
        <v>0</v>
      </c>
      <c r="BR1203" s="71">
        <v>0</v>
      </c>
      <c r="BS1203" s="71">
        <v>0</v>
      </c>
      <c r="BT1203" s="72">
        <v>0</v>
      </c>
      <c r="BU1203" s="73"/>
      <c r="BV1203" s="73"/>
    </row>
    <row r="1204" ht="30" customHeight="1" spans="1:74">
      <c r="A1204" s="55">
        <v>0</v>
      </c>
      <c r="B1204" s="56">
        <v>0</v>
      </c>
      <c r="C1204" s="57">
        <v>0</v>
      </c>
      <c r="D1204" s="74"/>
      <c r="E1204" s="74"/>
      <c r="F1204" s="59" t="e">
        <f>VLOOKUP(E1204,[1]库存!$B$1:$C$65536,2,FALSE)</f>
        <v>#N/A</v>
      </c>
      <c r="G1204" s="59" t="e">
        <v>#N/A</v>
      </c>
      <c r="H1204" s="74"/>
      <c r="I1204" s="74"/>
      <c r="J1204" s="87"/>
      <c r="K1204" s="61"/>
      <c r="L1204" s="62">
        <v>0</v>
      </c>
      <c r="M1204" s="63">
        <v>0</v>
      </c>
      <c r="N1204" s="64">
        <v>0</v>
      </c>
      <c r="O1204" s="62">
        <v>0</v>
      </c>
      <c r="P1204" s="65">
        <f t="shared" si="74"/>
        <v>0</v>
      </c>
      <c r="Q1204" s="66"/>
      <c r="R1204" s="66"/>
      <c r="S1204" s="66"/>
      <c r="T1204" s="66"/>
      <c r="U1204" s="66"/>
      <c r="V1204" s="66"/>
      <c r="W1204" s="66"/>
      <c r="X1204" s="66"/>
      <c r="Y1204" s="66"/>
      <c r="Z1204" s="66"/>
      <c r="AA1204" s="66">
        <v>956</v>
      </c>
      <c r="AB1204" s="66"/>
      <c r="AC1204" s="66"/>
      <c r="AD1204" s="66"/>
      <c r="AE1204" s="66"/>
      <c r="AF1204" s="66"/>
      <c r="AG1204" s="66"/>
      <c r="AH1204" s="66"/>
      <c r="AI1204" s="66"/>
      <c r="AJ1204" s="66"/>
      <c r="AK1204" s="66"/>
      <c r="AL1204" s="66"/>
      <c r="AM1204" s="66"/>
      <c r="AN1204" s="66"/>
      <c r="AO1204" s="66"/>
      <c r="AP1204" s="66"/>
      <c r="AQ1204" s="66"/>
      <c r="AR1204" s="66"/>
      <c r="AS1204" s="66"/>
      <c r="AT1204" s="66"/>
      <c r="AU1204" s="66"/>
      <c r="AV1204" s="66"/>
      <c r="AW1204" s="66"/>
      <c r="AX1204" s="66"/>
      <c r="AY1204" s="66"/>
      <c r="AZ1204" s="66"/>
      <c r="BA1204" s="66"/>
      <c r="BB1204" s="66"/>
      <c r="BC1204" s="66"/>
      <c r="BD1204" s="66"/>
      <c r="BE1204" s="67"/>
      <c r="BF1204" s="67"/>
      <c r="BG1204" s="68"/>
      <c r="BI1204" s="69">
        <v>0</v>
      </c>
      <c r="BJ1204" s="70">
        <v>0</v>
      </c>
      <c r="BK1204" s="71">
        <v>0</v>
      </c>
      <c r="BL1204" s="71">
        <v>0</v>
      </c>
      <c r="BM1204" s="71">
        <v>0</v>
      </c>
      <c r="BN1204" s="72">
        <v>0</v>
      </c>
      <c r="BO1204" s="151" t="e">
        <f t="shared" si="75"/>
        <v>#DIV/0!</v>
      </c>
      <c r="BP1204" s="151" t="e">
        <f t="shared" si="76"/>
        <v>#DIV/0!</v>
      </c>
      <c r="BQ1204" s="71">
        <v>0</v>
      </c>
      <c r="BR1204" s="71">
        <v>0</v>
      </c>
      <c r="BS1204" s="71">
        <v>0</v>
      </c>
      <c r="BT1204" s="72">
        <v>0</v>
      </c>
      <c r="BU1204" s="73"/>
      <c r="BV1204" s="73"/>
    </row>
    <row r="1205" ht="30" customHeight="1" spans="1:74">
      <c r="A1205" s="55" t="s">
        <v>96</v>
      </c>
      <c r="B1205" s="56" t="s">
        <v>1057</v>
      </c>
      <c r="C1205" s="57" t="s">
        <v>1324</v>
      </c>
      <c r="D1205" s="59" t="s">
        <v>1984</v>
      </c>
      <c r="E1205" s="59" t="s">
        <v>2006</v>
      </c>
      <c r="F1205" s="59" t="str">
        <f>VLOOKUP(E1205,[1]库存!$B$1:$C$65536,2,FALSE)</f>
        <v>SGMW F510S SAB-国内 LH</v>
      </c>
      <c r="G1205" s="59" t="s">
        <v>2007</v>
      </c>
      <c r="H1205" s="59" t="s">
        <v>2008</v>
      </c>
      <c r="I1205" s="59" t="s">
        <v>1778</v>
      </c>
      <c r="J1205" s="63"/>
      <c r="K1205" s="61"/>
      <c r="L1205" s="62">
        <v>2</v>
      </c>
      <c r="M1205" s="63">
        <v>1600</v>
      </c>
      <c r="N1205" s="64">
        <v>10</v>
      </c>
      <c r="O1205" s="62">
        <v>2</v>
      </c>
      <c r="P1205" s="65">
        <f t="shared" si="74"/>
        <v>0</v>
      </c>
      <c r="Q1205" s="66"/>
      <c r="R1205" s="66"/>
      <c r="S1205" s="66"/>
      <c r="T1205" s="66"/>
      <c r="U1205" s="66"/>
      <c r="V1205" s="66"/>
      <c r="W1205" s="66"/>
      <c r="X1205" s="66"/>
      <c r="Y1205" s="66"/>
      <c r="Z1205" s="66"/>
      <c r="AA1205" s="66"/>
      <c r="AB1205" s="66"/>
      <c r="AC1205" s="66"/>
      <c r="AD1205" s="66"/>
      <c r="AE1205" s="66"/>
      <c r="AF1205" s="66"/>
      <c r="AG1205" s="66"/>
      <c r="AH1205" s="66"/>
      <c r="AI1205" s="66"/>
      <c r="AJ1205" s="66"/>
      <c r="AK1205" s="66"/>
      <c r="AL1205" s="66"/>
      <c r="AM1205" s="66"/>
      <c r="AN1205" s="66"/>
      <c r="AO1205" s="66"/>
      <c r="AP1205" s="66"/>
      <c r="AQ1205" s="66"/>
      <c r="AR1205" s="66"/>
      <c r="AS1205" s="66"/>
      <c r="AT1205" s="66"/>
      <c r="AU1205" s="66"/>
      <c r="AV1205" s="66"/>
      <c r="AW1205" s="66"/>
      <c r="AX1205" s="66"/>
      <c r="AY1205" s="66"/>
      <c r="AZ1205" s="66"/>
      <c r="BA1205" s="66"/>
      <c r="BB1205" s="66"/>
      <c r="BC1205" s="66"/>
      <c r="BD1205" s="66"/>
      <c r="BE1205" s="67"/>
      <c r="BF1205" s="67"/>
      <c r="BG1205" s="68"/>
      <c r="BI1205" s="69">
        <v>0</v>
      </c>
      <c r="BJ1205" s="70">
        <v>0</v>
      </c>
      <c r="BK1205" s="71">
        <v>0</v>
      </c>
      <c r="BL1205" s="71">
        <v>0</v>
      </c>
      <c r="BM1205" s="71">
        <v>0</v>
      </c>
      <c r="BN1205" s="72">
        <v>0</v>
      </c>
      <c r="BO1205" s="151" t="e">
        <f t="shared" si="75"/>
        <v>#DIV/0!</v>
      </c>
      <c r="BP1205" s="151" t="e">
        <f t="shared" si="76"/>
        <v>#DIV/0!</v>
      </c>
      <c r="BQ1205" s="71">
        <v>0</v>
      </c>
      <c r="BR1205" s="71">
        <v>0</v>
      </c>
      <c r="BS1205" s="71">
        <v>0</v>
      </c>
      <c r="BT1205" s="72">
        <v>0</v>
      </c>
      <c r="BU1205" s="73"/>
      <c r="BV1205" s="73"/>
    </row>
    <row r="1206" ht="30" customHeight="1" spans="1:74">
      <c r="A1206" s="55">
        <v>0</v>
      </c>
      <c r="B1206" s="56">
        <v>0</v>
      </c>
      <c r="C1206" s="57">
        <v>0</v>
      </c>
      <c r="D1206" s="74"/>
      <c r="E1206" s="74"/>
      <c r="F1206" s="59" t="e">
        <f>VLOOKUP(E1206,[1]库存!$B$1:$C$65536,2,FALSE)</f>
        <v>#N/A</v>
      </c>
      <c r="G1206" s="59" t="e">
        <v>#N/A</v>
      </c>
      <c r="H1206" s="74"/>
      <c r="I1206" s="74"/>
      <c r="J1206" s="87"/>
      <c r="K1206" s="61"/>
      <c r="L1206" s="62">
        <v>0</v>
      </c>
      <c r="M1206" s="63">
        <v>0</v>
      </c>
      <c r="N1206" s="64">
        <v>0</v>
      </c>
      <c r="O1206" s="62">
        <v>0</v>
      </c>
      <c r="P1206" s="65">
        <f t="shared" si="74"/>
        <v>0</v>
      </c>
      <c r="Q1206" s="66"/>
      <c r="R1206" s="66"/>
      <c r="S1206" s="66"/>
      <c r="T1206" s="66"/>
      <c r="U1206" s="66"/>
      <c r="V1206" s="66"/>
      <c r="W1206" s="66"/>
      <c r="X1206" s="66"/>
      <c r="Y1206" s="66"/>
      <c r="Z1206" s="66"/>
      <c r="AA1206" s="66"/>
      <c r="AB1206" s="66"/>
      <c r="AC1206" s="66"/>
      <c r="AD1206" s="66"/>
      <c r="AE1206" s="66"/>
      <c r="AF1206" s="66"/>
      <c r="AG1206" s="66"/>
      <c r="AH1206" s="66"/>
      <c r="AI1206" s="66"/>
      <c r="AJ1206" s="66"/>
      <c r="AK1206" s="66"/>
      <c r="AL1206" s="66"/>
      <c r="AM1206" s="66"/>
      <c r="AN1206" s="66"/>
      <c r="AO1206" s="66"/>
      <c r="AP1206" s="66"/>
      <c r="AQ1206" s="66"/>
      <c r="AR1206" s="66"/>
      <c r="AS1206" s="66"/>
      <c r="AT1206" s="66"/>
      <c r="AU1206" s="66"/>
      <c r="AV1206" s="66"/>
      <c r="AW1206" s="66"/>
      <c r="AX1206" s="66"/>
      <c r="AY1206" s="66"/>
      <c r="AZ1206" s="66"/>
      <c r="BA1206" s="66"/>
      <c r="BB1206" s="66"/>
      <c r="BC1206" s="66"/>
      <c r="BD1206" s="66"/>
      <c r="BE1206" s="67"/>
      <c r="BF1206" s="67"/>
      <c r="BG1206" s="68"/>
      <c r="BI1206" s="69">
        <v>0</v>
      </c>
      <c r="BJ1206" s="70">
        <v>0</v>
      </c>
      <c r="BK1206" s="71">
        <v>0</v>
      </c>
      <c r="BL1206" s="71">
        <v>0</v>
      </c>
      <c r="BM1206" s="71">
        <v>0</v>
      </c>
      <c r="BN1206" s="72">
        <v>0</v>
      </c>
      <c r="BO1206" s="151" t="e">
        <f t="shared" si="75"/>
        <v>#DIV/0!</v>
      </c>
      <c r="BP1206" s="151" t="e">
        <f t="shared" si="76"/>
        <v>#DIV/0!</v>
      </c>
      <c r="BQ1206" s="71">
        <v>0</v>
      </c>
      <c r="BR1206" s="71">
        <v>0</v>
      </c>
      <c r="BS1206" s="71">
        <v>0</v>
      </c>
      <c r="BT1206" s="72">
        <v>0</v>
      </c>
      <c r="BU1206" s="73"/>
      <c r="BV1206" s="73"/>
    </row>
    <row r="1207" ht="30" customHeight="1" spans="1:74">
      <c r="A1207" s="55" t="s">
        <v>96</v>
      </c>
      <c r="B1207" s="56" t="s">
        <v>1057</v>
      </c>
      <c r="C1207" s="57" t="s">
        <v>1324</v>
      </c>
      <c r="D1207" s="59" t="s">
        <v>1984</v>
      </c>
      <c r="E1207" s="59" t="s">
        <v>2009</v>
      </c>
      <c r="F1207" s="59" t="str">
        <f>VLOOKUP(E1207,[1]库存!$B$1:$C$65536,2,FALSE)</f>
        <v>SGMW F510S SAB-国内 RH</v>
      </c>
      <c r="G1207" s="59" t="s">
        <v>2010</v>
      </c>
      <c r="H1207" s="59" t="s">
        <v>2011</v>
      </c>
      <c r="I1207" s="59" t="s">
        <v>1778</v>
      </c>
      <c r="J1207" s="63"/>
      <c r="K1207" s="61"/>
      <c r="L1207" s="62">
        <v>2</v>
      </c>
      <c r="M1207" s="63">
        <v>1600</v>
      </c>
      <c r="N1207" s="64">
        <v>10</v>
      </c>
      <c r="O1207" s="62">
        <v>2</v>
      </c>
      <c r="P1207" s="65">
        <f t="shared" si="74"/>
        <v>0</v>
      </c>
      <c r="Q1207" s="66"/>
      <c r="R1207" s="66"/>
      <c r="S1207" s="66"/>
      <c r="T1207" s="66"/>
      <c r="U1207" s="66"/>
      <c r="V1207" s="66"/>
      <c r="W1207" s="66"/>
      <c r="X1207" s="66"/>
      <c r="Y1207" s="66"/>
      <c r="Z1207" s="66"/>
      <c r="AA1207" s="66"/>
      <c r="AB1207" s="66"/>
      <c r="AC1207" s="66"/>
      <c r="AD1207" s="66"/>
      <c r="AE1207" s="66"/>
      <c r="AF1207" s="66"/>
      <c r="AG1207" s="66"/>
      <c r="AH1207" s="66"/>
      <c r="AI1207" s="66"/>
      <c r="AJ1207" s="66"/>
      <c r="AK1207" s="66"/>
      <c r="AL1207" s="66"/>
      <c r="AM1207" s="66"/>
      <c r="AN1207" s="66"/>
      <c r="AO1207" s="66"/>
      <c r="AP1207" s="66"/>
      <c r="AQ1207" s="66"/>
      <c r="AR1207" s="66"/>
      <c r="AS1207" s="66"/>
      <c r="AT1207" s="66"/>
      <c r="AU1207" s="66"/>
      <c r="AV1207" s="66"/>
      <c r="AW1207" s="66"/>
      <c r="AX1207" s="66"/>
      <c r="AY1207" s="66"/>
      <c r="AZ1207" s="66"/>
      <c r="BA1207" s="66"/>
      <c r="BB1207" s="66"/>
      <c r="BC1207" s="66"/>
      <c r="BD1207" s="66"/>
      <c r="BE1207" s="67"/>
      <c r="BF1207" s="67"/>
      <c r="BG1207" s="68"/>
      <c r="BI1207" s="69">
        <v>0</v>
      </c>
      <c r="BJ1207" s="70">
        <v>0</v>
      </c>
      <c r="BK1207" s="71">
        <v>0</v>
      </c>
      <c r="BL1207" s="71">
        <v>0</v>
      </c>
      <c r="BM1207" s="71">
        <v>0</v>
      </c>
      <c r="BN1207" s="72">
        <v>0</v>
      </c>
      <c r="BO1207" s="151" t="e">
        <f t="shared" si="75"/>
        <v>#DIV/0!</v>
      </c>
      <c r="BP1207" s="151" t="e">
        <f t="shared" si="76"/>
        <v>#DIV/0!</v>
      </c>
      <c r="BQ1207" s="71">
        <v>0</v>
      </c>
      <c r="BR1207" s="71">
        <v>0</v>
      </c>
      <c r="BS1207" s="71">
        <v>0</v>
      </c>
      <c r="BT1207" s="72">
        <v>0</v>
      </c>
      <c r="BU1207" s="73"/>
      <c r="BV1207" s="73"/>
    </row>
    <row r="1208" ht="30" customHeight="1" spans="1:74">
      <c r="A1208" s="55">
        <v>0</v>
      </c>
      <c r="B1208" s="56">
        <v>0</v>
      </c>
      <c r="C1208" s="57">
        <v>0</v>
      </c>
      <c r="D1208" s="74"/>
      <c r="E1208" s="74"/>
      <c r="F1208" s="59" t="e">
        <f>VLOOKUP(E1208,[1]库存!$B$1:$C$65536,2,FALSE)</f>
        <v>#N/A</v>
      </c>
      <c r="G1208" s="59" t="e">
        <v>#N/A</v>
      </c>
      <c r="H1208" s="74"/>
      <c r="I1208" s="74"/>
      <c r="J1208" s="87"/>
      <c r="K1208" s="61"/>
      <c r="L1208" s="62">
        <v>0</v>
      </c>
      <c r="M1208" s="63">
        <v>0</v>
      </c>
      <c r="N1208" s="64">
        <v>0</v>
      </c>
      <c r="O1208" s="62">
        <v>0</v>
      </c>
      <c r="P1208" s="65">
        <f t="shared" si="74"/>
        <v>0</v>
      </c>
      <c r="Q1208" s="66"/>
      <c r="R1208" s="66"/>
      <c r="S1208" s="66"/>
      <c r="T1208" s="66"/>
      <c r="U1208" s="66"/>
      <c r="V1208" s="66"/>
      <c r="W1208" s="66"/>
      <c r="X1208" s="66"/>
      <c r="Y1208" s="66"/>
      <c r="Z1208" s="66"/>
      <c r="AA1208" s="66"/>
      <c r="AB1208" s="66"/>
      <c r="AC1208" s="66"/>
      <c r="AD1208" s="66"/>
      <c r="AE1208" s="66"/>
      <c r="AF1208" s="66"/>
      <c r="AG1208" s="66"/>
      <c r="AH1208" s="66"/>
      <c r="AI1208" s="66"/>
      <c r="AJ1208" s="66"/>
      <c r="AK1208" s="66"/>
      <c r="AL1208" s="66"/>
      <c r="AM1208" s="66"/>
      <c r="AN1208" s="66"/>
      <c r="AO1208" s="66"/>
      <c r="AP1208" s="66"/>
      <c r="AQ1208" s="66"/>
      <c r="AR1208" s="66"/>
      <c r="AS1208" s="66"/>
      <c r="AT1208" s="66"/>
      <c r="AU1208" s="66"/>
      <c r="AV1208" s="66"/>
      <c r="AW1208" s="66"/>
      <c r="AX1208" s="66"/>
      <c r="AY1208" s="66"/>
      <c r="AZ1208" s="66"/>
      <c r="BA1208" s="66"/>
      <c r="BB1208" s="66"/>
      <c r="BC1208" s="66"/>
      <c r="BD1208" s="66"/>
      <c r="BE1208" s="67"/>
      <c r="BF1208" s="67"/>
      <c r="BG1208" s="68"/>
      <c r="BI1208" s="69">
        <v>0</v>
      </c>
      <c r="BJ1208" s="70">
        <v>0</v>
      </c>
      <c r="BK1208" s="71">
        <v>0</v>
      </c>
      <c r="BL1208" s="71">
        <v>0</v>
      </c>
      <c r="BM1208" s="71">
        <v>0</v>
      </c>
      <c r="BN1208" s="72">
        <v>0</v>
      </c>
      <c r="BO1208" s="151" t="e">
        <f t="shared" si="75"/>
        <v>#DIV/0!</v>
      </c>
      <c r="BP1208" s="151" t="e">
        <f t="shared" si="76"/>
        <v>#DIV/0!</v>
      </c>
      <c r="BQ1208" s="71">
        <v>0</v>
      </c>
      <c r="BR1208" s="71">
        <v>0</v>
      </c>
      <c r="BS1208" s="71">
        <v>0</v>
      </c>
      <c r="BT1208" s="72">
        <v>0</v>
      </c>
      <c r="BU1208" s="73"/>
      <c r="BV1208" s="73"/>
    </row>
    <row r="1209" ht="30" customHeight="1" spans="1:74">
      <c r="A1209" s="55">
        <v>0</v>
      </c>
      <c r="B1209" s="56" t="s">
        <v>1057</v>
      </c>
      <c r="C1209" s="57" t="s">
        <v>1324</v>
      </c>
      <c r="D1209" s="59" t="s">
        <v>1984</v>
      </c>
      <c r="E1209" s="59"/>
      <c r="F1209" s="59" t="e">
        <f>VLOOKUP(E1209,[1]库存!$B$1:$C$65536,2,FALSE)</f>
        <v>#N/A</v>
      </c>
      <c r="G1209" s="59" t="e">
        <v>#N/A</v>
      </c>
      <c r="H1209" s="59" t="s">
        <v>2012</v>
      </c>
      <c r="I1209" s="59" t="s">
        <v>2013</v>
      </c>
      <c r="J1209" s="63"/>
      <c r="K1209" s="61"/>
      <c r="L1209" s="62">
        <v>2</v>
      </c>
      <c r="M1209" s="63">
        <v>1600</v>
      </c>
      <c r="N1209" s="64">
        <v>11</v>
      </c>
      <c r="O1209" s="62">
        <v>2</v>
      </c>
      <c r="P1209" s="65">
        <f t="shared" si="74"/>
        <v>0</v>
      </c>
      <c r="Q1209" s="66"/>
      <c r="R1209" s="66"/>
      <c r="S1209" s="66"/>
      <c r="T1209" s="66"/>
      <c r="U1209" s="66"/>
      <c r="V1209" s="66"/>
      <c r="W1209" s="66"/>
      <c r="X1209" s="66"/>
      <c r="Y1209" s="66"/>
      <c r="Z1209" s="66"/>
      <c r="AA1209" s="66"/>
      <c r="AB1209" s="66"/>
      <c r="AC1209" s="66"/>
      <c r="AD1209" s="66"/>
      <c r="AE1209" s="66"/>
      <c r="AF1209" s="66"/>
      <c r="AG1209" s="66"/>
      <c r="AH1209" s="66"/>
      <c r="AI1209" s="66"/>
      <c r="AJ1209" s="66"/>
      <c r="AK1209" s="66"/>
      <c r="AL1209" s="66"/>
      <c r="AM1209" s="66"/>
      <c r="AN1209" s="66"/>
      <c r="AO1209" s="66"/>
      <c r="AP1209" s="66"/>
      <c r="AQ1209" s="66"/>
      <c r="AR1209" s="66"/>
      <c r="AS1209" s="66"/>
      <c r="AT1209" s="66"/>
      <c r="AU1209" s="66"/>
      <c r="AV1209" s="66"/>
      <c r="AW1209" s="66"/>
      <c r="AX1209" s="66"/>
      <c r="AY1209" s="66"/>
      <c r="AZ1209" s="66"/>
      <c r="BA1209" s="66"/>
      <c r="BB1209" s="66"/>
      <c r="BC1209" s="66"/>
      <c r="BD1209" s="66"/>
      <c r="BE1209" s="67"/>
      <c r="BF1209" s="67"/>
      <c r="BG1209" s="68"/>
      <c r="BI1209" s="69">
        <v>0</v>
      </c>
      <c r="BJ1209" s="70">
        <v>0</v>
      </c>
      <c r="BK1209" s="71">
        <v>0</v>
      </c>
      <c r="BL1209" s="71">
        <v>0</v>
      </c>
      <c r="BM1209" s="71">
        <v>0</v>
      </c>
      <c r="BN1209" s="72">
        <v>0</v>
      </c>
      <c r="BO1209" s="151" t="e">
        <f t="shared" si="75"/>
        <v>#DIV/0!</v>
      </c>
      <c r="BP1209" s="151" t="e">
        <f t="shared" si="76"/>
        <v>#DIV/0!</v>
      </c>
      <c r="BQ1209" s="71">
        <v>0</v>
      </c>
      <c r="BR1209" s="71">
        <v>0</v>
      </c>
      <c r="BS1209" s="71">
        <v>0</v>
      </c>
      <c r="BT1209" s="72">
        <v>0</v>
      </c>
      <c r="BU1209" s="73"/>
      <c r="BV1209" s="73"/>
    </row>
    <row r="1210" ht="30" customHeight="1" spans="1:74">
      <c r="A1210" s="55">
        <v>0</v>
      </c>
      <c r="B1210" s="56">
        <v>0</v>
      </c>
      <c r="C1210" s="57">
        <v>0</v>
      </c>
      <c r="D1210" s="74"/>
      <c r="E1210" s="74"/>
      <c r="F1210" s="59" t="e">
        <f>VLOOKUP(E1210,[1]库存!$B$1:$C$65536,2,FALSE)</f>
        <v>#N/A</v>
      </c>
      <c r="G1210" s="59" t="e">
        <v>#N/A</v>
      </c>
      <c r="H1210" s="74"/>
      <c r="I1210" s="74"/>
      <c r="J1210" s="87"/>
      <c r="K1210" s="61"/>
      <c r="L1210" s="62">
        <v>0</v>
      </c>
      <c r="M1210" s="63">
        <v>0</v>
      </c>
      <c r="N1210" s="64">
        <v>0</v>
      </c>
      <c r="O1210" s="62">
        <v>0</v>
      </c>
      <c r="P1210" s="65">
        <f t="shared" si="74"/>
        <v>0</v>
      </c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66"/>
      <c r="AI1210" s="66"/>
      <c r="AJ1210" s="66"/>
      <c r="AK1210" s="66"/>
      <c r="AL1210" s="66"/>
      <c r="AM1210" s="66"/>
      <c r="AN1210" s="66"/>
      <c r="AO1210" s="66"/>
      <c r="AP1210" s="66"/>
      <c r="AQ1210" s="66"/>
      <c r="AR1210" s="66"/>
      <c r="AS1210" s="66"/>
      <c r="AT1210" s="66"/>
      <c r="AU1210" s="66"/>
      <c r="AV1210" s="66"/>
      <c r="AW1210" s="66"/>
      <c r="AX1210" s="66"/>
      <c r="AY1210" s="66"/>
      <c r="AZ1210" s="66"/>
      <c r="BA1210" s="66"/>
      <c r="BB1210" s="66"/>
      <c r="BC1210" s="66"/>
      <c r="BD1210" s="66"/>
      <c r="BE1210" s="67"/>
      <c r="BF1210" s="67"/>
      <c r="BG1210" s="68"/>
      <c r="BI1210" s="69">
        <v>0</v>
      </c>
      <c r="BJ1210" s="70">
        <v>0</v>
      </c>
      <c r="BK1210" s="71">
        <v>0</v>
      </c>
      <c r="BL1210" s="71">
        <v>0</v>
      </c>
      <c r="BM1210" s="71">
        <v>0</v>
      </c>
      <c r="BN1210" s="72">
        <v>0</v>
      </c>
      <c r="BO1210" s="151" t="e">
        <f t="shared" si="75"/>
        <v>#DIV/0!</v>
      </c>
      <c r="BP1210" s="151" t="e">
        <f t="shared" si="76"/>
        <v>#DIV/0!</v>
      </c>
      <c r="BQ1210" s="71">
        <v>0</v>
      </c>
      <c r="BR1210" s="71">
        <v>0</v>
      </c>
      <c r="BS1210" s="71">
        <v>0</v>
      </c>
      <c r="BT1210" s="72">
        <v>0</v>
      </c>
      <c r="BU1210" s="73"/>
      <c r="BV1210" s="73"/>
    </row>
    <row r="1211" ht="30" customHeight="1" spans="1:74">
      <c r="A1211" s="55">
        <v>0</v>
      </c>
      <c r="B1211" s="56" t="s">
        <v>1057</v>
      </c>
      <c r="C1211" s="57" t="s">
        <v>1324</v>
      </c>
      <c r="D1211" s="59" t="s">
        <v>1984</v>
      </c>
      <c r="E1211" s="59"/>
      <c r="F1211" s="59" t="e">
        <f>VLOOKUP(E1211,[1]库存!$B$1:$C$65536,2,FALSE)</f>
        <v>#N/A</v>
      </c>
      <c r="G1211" s="59" t="e">
        <v>#N/A</v>
      </c>
      <c r="H1211" s="59" t="s">
        <v>2014</v>
      </c>
      <c r="I1211" s="59" t="s">
        <v>2015</v>
      </c>
      <c r="J1211" s="63"/>
      <c r="K1211" s="61"/>
      <c r="L1211" s="62">
        <v>2</v>
      </c>
      <c r="M1211" s="63">
        <v>1600</v>
      </c>
      <c r="N1211" s="64">
        <v>11</v>
      </c>
      <c r="O1211" s="62">
        <v>2</v>
      </c>
      <c r="P1211" s="65">
        <f t="shared" si="74"/>
        <v>0</v>
      </c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66"/>
      <c r="AI1211" s="66"/>
      <c r="AJ1211" s="66"/>
      <c r="AK1211" s="66"/>
      <c r="AL1211" s="66"/>
      <c r="AM1211" s="66"/>
      <c r="AN1211" s="66"/>
      <c r="AO1211" s="66"/>
      <c r="AP1211" s="66"/>
      <c r="AQ1211" s="66"/>
      <c r="AR1211" s="66"/>
      <c r="AS1211" s="66"/>
      <c r="AT1211" s="66"/>
      <c r="AU1211" s="66"/>
      <c r="AV1211" s="66"/>
      <c r="AW1211" s="66"/>
      <c r="AX1211" s="66"/>
      <c r="AY1211" s="66"/>
      <c r="AZ1211" s="66"/>
      <c r="BA1211" s="66"/>
      <c r="BB1211" s="66"/>
      <c r="BC1211" s="66"/>
      <c r="BD1211" s="66"/>
      <c r="BE1211" s="67"/>
      <c r="BF1211" s="67"/>
      <c r="BG1211" s="68"/>
      <c r="BI1211" s="69">
        <v>0</v>
      </c>
      <c r="BJ1211" s="70">
        <v>0</v>
      </c>
      <c r="BK1211" s="71">
        <v>0</v>
      </c>
      <c r="BL1211" s="71">
        <v>0</v>
      </c>
      <c r="BM1211" s="71">
        <v>0</v>
      </c>
      <c r="BN1211" s="72">
        <v>0</v>
      </c>
      <c r="BO1211" s="151" t="e">
        <f t="shared" si="75"/>
        <v>#DIV/0!</v>
      </c>
      <c r="BP1211" s="151" t="e">
        <f t="shared" si="76"/>
        <v>#DIV/0!</v>
      </c>
      <c r="BQ1211" s="71">
        <v>0</v>
      </c>
      <c r="BR1211" s="71">
        <v>0</v>
      </c>
      <c r="BS1211" s="71">
        <v>0</v>
      </c>
      <c r="BT1211" s="72">
        <v>0</v>
      </c>
      <c r="BU1211" s="73"/>
      <c r="BV1211" s="73"/>
    </row>
    <row r="1212" ht="30" customHeight="1" spans="1:74">
      <c r="A1212" s="55">
        <v>0</v>
      </c>
      <c r="B1212" s="56">
        <v>0</v>
      </c>
      <c r="C1212" s="57">
        <v>0</v>
      </c>
      <c r="D1212" s="74"/>
      <c r="E1212" s="74"/>
      <c r="F1212" s="59" t="e">
        <f>VLOOKUP(E1212,[1]库存!$B$1:$C$65536,2,FALSE)</f>
        <v>#N/A</v>
      </c>
      <c r="G1212" s="59" t="e">
        <v>#N/A</v>
      </c>
      <c r="H1212" s="74"/>
      <c r="I1212" s="74"/>
      <c r="J1212" s="87"/>
      <c r="K1212" s="61"/>
      <c r="L1212" s="62">
        <v>0</v>
      </c>
      <c r="M1212" s="63">
        <v>0</v>
      </c>
      <c r="N1212" s="64">
        <v>0</v>
      </c>
      <c r="O1212" s="62">
        <v>0</v>
      </c>
      <c r="P1212" s="65">
        <f t="shared" si="74"/>
        <v>0</v>
      </c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66"/>
      <c r="AI1212" s="66"/>
      <c r="AJ1212" s="66"/>
      <c r="AK1212" s="66"/>
      <c r="AL1212" s="66"/>
      <c r="AM1212" s="66"/>
      <c r="AN1212" s="66"/>
      <c r="AO1212" s="66"/>
      <c r="AP1212" s="66"/>
      <c r="AQ1212" s="66"/>
      <c r="AR1212" s="66"/>
      <c r="AS1212" s="66"/>
      <c r="AT1212" s="66"/>
      <c r="AU1212" s="66"/>
      <c r="AV1212" s="66"/>
      <c r="AW1212" s="66"/>
      <c r="AX1212" s="66"/>
      <c r="AY1212" s="66"/>
      <c r="AZ1212" s="66"/>
      <c r="BA1212" s="66"/>
      <c r="BB1212" s="66"/>
      <c r="BC1212" s="66"/>
      <c r="BD1212" s="66"/>
      <c r="BE1212" s="67"/>
      <c r="BF1212" s="67"/>
      <c r="BG1212" s="68"/>
      <c r="BI1212" s="69">
        <v>0</v>
      </c>
      <c r="BJ1212" s="70">
        <v>0</v>
      </c>
      <c r="BK1212" s="71">
        <v>0</v>
      </c>
      <c r="BL1212" s="71">
        <v>0</v>
      </c>
      <c r="BM1212" s="71">
        <v>0</v>
      </c>
      <c r="BN1212" s="72">
        <v>0</v>
      </c>
      <c r="BO1212" s="151" t="e">
        <f t="shared" si="75"/>
        <v>#DIV/0!</v>
      </c>
      <c r="BP1212" s="151" t="e">
        <f t="shared" si="76"/>
        <v>#DIV/0!</v>
      </c>
      <c r="BQ1212" s="71">
        <v>0</v>
      </c>
      <c r="BR1212" s="71">
        <v>0</v>
      </c>
      <c r="BS1212" s="71">
        <v>0</v>
      </c>
      <c r="BT1212" s="72">
        <v>0</v>
      </c>
      <c r="BU1212" s="73"/>
      <c r="BV1212" s="73"/>
    </row>
    <row r="1213" ht="30" customHeight="1" spans="1:74">
      <c r="A1213" s="55">
        <v>0</v>
      </c>
      <c r="B1213" s="56" t="s">
        <v>1057</v>
      </c>
      <c r="C1213" s="57" t="s">
        <v>1324</v>
      </c>
      <c r="D1213" s="59" t="s">
        <v>1984</v>
      </c>
      <c r="E1213" s="59"/>
      <c r="F1213" s="59" t="e">
        <f>VLOOKUP(E1213,[1]库存!$B$1:$C$65536,2,FALSE)</f>
        <v>#N/A</v>
      </c>
      <c r="G1213" s="59" t="e">
        <v>#N/A</v>
      </c>
      <c r="H1213" s="59" t="s">
        <v>2016</v>
      </c>
      <c r="I1213" s="59" t="s">
        <v>2017</v>
      </c>
      <c r="J1213" s="63"/>
      <c r="K1213" s="61"/>
      <c r="L1213" s="62">
        <v>2</v>
      </c>
      <c r="M1213" s="63">
        <v>1600</v>
      </c>
      <c r="N1213" s="64">
        <v>11</v>
      </c>
      <c r="O1213" s="62">
        <v>2</v>
      </c>
      <c r="P1213" s="65">
        <f t="shared" si="74"/>
        <v>0</v>
      </c>
      <c r="Q1213" s="66"/>
      <c r="R1213" s="66"/>
      <c r="S1213" s="66"/>
      <c r="T1213" s="66"/>
      <c r="U1213" s="66"/>
      <c r="V1213" s="66"/>
      <c r="W1213" s="66"/>
      <c r="X1213" s="66"/>
      <c r="Y1213" s="66"/>
      <c r="Z1213" s="66"/>
      <c r="AA1213" s="66"/>
      <c r="AB1213" s="66"/>
      <c r="AC1213" s="66"/>
      <c r="AD1213" s="66"/>
      <c r="AE1213" s="66"/>
      <c r="AF1213" s="66"/>
      <c r="AG1213" s="66"/>
      <c r="AH1213" s="66"/>
      <c r="AI1213" s="66"/>
      <c r="AJ1213" s="66"/>
      <c r="AK1213" s="66"/>
      <c r="AL1213" s="66"/>
      <c r="AM1213" s="66"/>
      <c r="AN1213" s="66"/>
      <c r="AO1213" s="66"/>
      <c r="AP1213" s="66"/>
      <c r="AQ1213" s="66"/>
      <c r="AR1213" s="66"/>
      <c r="AS1213" s="66"/>
      <c r="AT1213" s="66"/>
      <c r="AU1213" s="66"/>
      <c r="AV1213" s="66"/>
      <c r="AW1213" s="66"/>
      <c r="AX1213" s="66"/>
      <c r="AY1213" s="66"/>
      <c r="AZ1213" s="66"/>
      <c r="BA1213" s="66"/>
      <c r="BB1213" s="66"/>
      <c r="BC1213" s="66"/>
      <c r="BD1213" s="66"/>
      <c r="BE1213" s="67"/>
      <c r="BF1213" s="67"/>
      <c r="BG1213" s="68"/>
      <c r="BI1213" s="69">
        <v>0</v>
      </c>
      <c r="BJ1213" s="70">
        <v>0</v>
      </c>
      <c r="BK1213" s="71">
        <v>0</v>
      </c>
      <c r="BL1213" s="71">
        <v>0</v>
      </c>
      <c r="BM1213" s="71">
        <v>0</v>
      </c>
      <c r="BN1213" s="72">
        <v>0</v>
      </c>
      <c r="BO1213" s="151" t="e">
        <f t="shared" si="75"/>
        <v>#DIV/0!</v>
      </c>
      <c r="BP1213" s="151" t="e">
        <f t="shared" si="76"/>
        <v>#DIV/0!</v>
      </c>
      <c r="BQ1213" s="71">
        <v>0</v>
      </c>
      <c r="BR1213" s="71">
        <v>0</v>
      </c>
      <c r="BS1213" s="71">
        <v>0</v>
      </c>
      <c r="BT1213" s="72">
        <v>0</v>
      </c>
      <c r="BU1213" s="73"/>
      <c r="BV1213" s="73"/>
    </row>
    <row r="1214" ht="30" customHeight="1" spans="1:74">
      <c r="A1214" s="55">
        <v>0</v>
      </c>
      <c r="B1214" s="56">
        <v>0</v>
      </c>
      <c r="C1214" s="57">
        <v>0</v>
      </c>
      <c r="D1214" s="74"/>
      <c r="E1214" s="74"/>
      <c r="F1214" s="59" t="e">
        <f>VLOOKUP(E1214,[1]库存!$B$1:$C$65536,2,FALSE)</f>
        <v>#N/A</v>
      </c>
      <c r="G1214" s="59" t="e">
        <v>#N/A</v>
      </c>
      <c r="H1214" s="74"/>
      <c r="I1214" s="74"/>
      <c r="J1214" s="87"/>
      <c r="K1214" s="61"/>
      <c r="L1214" s="62">
        <v>0</v>
      </c>
      <c r="M1214" s="63">
        <v>0</v>
      </c>
      <c r="N1214" s="64">
        <v>0</v>
      </c>
      <c r="O1214" s="62">
        <v>0</v>
      </c>
      <c r="P1214" s="65">
        <f t="shared" si="74"/>
        <v>0</v>
      </c>
      <c r="Q1214" s="66"/>
      <c r="R1214" s="66"/>
      <c r="S1214" s="66"/>
      <c r="T1214" s="66"/>
      <c r="U1214" s="66"/>
      <c r="V1214" s="66"/>
      <c r="W1214" s="66"/>
      <c r="X1214" s="66"/>
      <c r="Y1214" s="66"/>
      <c r="Z1214" s="66"/>
      <c r="AA1214" s="66"/>
      <c r="AB1214" s="66"/>
      <c r="AC1214" s="66"/>
      <c r="AD1214" s="66"/>
      <c r="AE1214" s="66"/>
      <c r="AF1214" s="66"/>
      <c r="AG1214" s="66"/>
      <c r="AH1214" s="66"/>
      <c r="AI1214" s="66"/>
      <c r="AJ1214" s="66"/>
      <c r="AK1214" s="66"/>
      <c r="AL1214" s="66"/>
      <c r="AM1214" s="66"/>
      <c r="AN1214" s="66"/>
      <c r="AO1214" s="66"/>
      <c r="AP1214" s="66"/>
      <c r="AQ1214" s="66"/>
      <c r="AR1214" s="66"/>
      <c r="AS1214" s="66"/>
      <c r="AT1214" s="66"/>
      <c r="AU1214" s="66"/>
      <c r="AV1214" s="66"/>
      <c r="AW1214" s="66"/>
      <c r="AX1214" s="66"/>
      <c r="AY1214" s="66"/>
      <c r="AZ1214" s="66"/>
      <c r="BA1214" s="66"/>
      <c r="BB1214" s="66"/>
      <c r="BC1214" s="66"/>
      <c r="BD1214" s="66"/>
      <c r="BE1214" s="67"/>
      <c r="BF1214" s="67"/>
      <c r="BG1214" s="68"/>
      <c r="BI1214" s="69">
        <v>0</v>
      </c>
      <c r="BJ1214" s="70">
        <v>0</v>
      </c>
      <c r="BK1214" s="71">
        <v>0</v>
      </c>
      <c r="BL1214" s="71">
        <v>0</v>
      </c>
      <c r="BM1214" s="71">
        <v>0</v>
      </c>
      <c r="BN1214" s="72">
        <v>0</v>
      </c>
      <c r="BO1214" s="151" t="e">
        <f t="shared" si="75"/>
        <v>#DIV/0!</v>
      </c>
      <c r="BP1214" s="151" t="e">
        <f t="shared" si="76"/>
        <v>#DIV/0!</v>
      </c>
      <c r="BQ1214" s="71">
        <v>0</v>
      </c>
      <c r="BR1214" s="71">
        <v>0</v>
      </c>
      <c r="BS1214" s="71">
        <v>0</v>
      </c>
      <c r="BT1214" s="72">
        <v>0</v>
      </c>
      <c r="BU1214" s="73"/>
      <c r="BV1214" s="73"/>
    </row>
    <row r="1215" ht="30" customHeight="1" spans="1:74">
      <c r="A1215" s="55">
        <v>0</v>
      </c>
      <c r="B1215" s="56" t="s">
        <v>1057</v>
      </c>
      <c r="C1215" s="57" t="s">
        <v>1324</v>
      </c>
      <c r="D1215" s="59" t="s">
        <v>1984</v>
      </c>
      <c r="E1215" s="59"/>
      <c r="F1215" s="59" t="e">
        <f>VLOOKUP(E1215,[1]库存!$B$1:$C$65536,2,FALSE)</f>
        <v>#N/A</v>
      </c>
      <c r="G1215" s="59" t="e">
        <v>#N/A</v>
      </c>
      <c r="H1215" s="59" t="s">
        <v>2018</v>
      </c>
      <c r="I1215" s="59" t="s">
        <v>2019</v>
      </c>
      <c r="J1215" s="63"/>
      <c r="K1215" s="61"/>
      <c r="L1215" s="62">
        <v>2</v>
      </c>
      <c r="M1215" s="63">
        <v>1600</v>
      </c>
      <c r="N1215" s="64">
        <v>11</v>
      </c>
      <c r="O1215" s="62">
        <v>2</v>
      </c>
      <c r="P1215" s="65">
        <f t="shared" si="74"/>
        <v>0</v>
      </c>
      <c r="Q1215" s="66"/>
      <c r="R1215" s="66"/>
      <c r="S1215" s="66"/>
      <c r="T1215" s="66"/>
      <c r="U1215" s="66"/>
      <c r="V1215" s="66"/>
      <c r="W1215" s="66"/>
      <c r="X1215" s="66"/>
      <c r="Y1215" s="66"/>
      <c r="Z1215" s="66"/>
      <c r="AA1215" s="66"/>
      <c r="AB1215" s="66"/>
      <c r="AC1215" s="66"/>
      <c r="AD1215" s="66"/>
      <c r="AE1215" s="66"/>
      <c r="AF1215" s="66"/>
      <c r="AG1215" s="66"/>
      <c r="AH1215" s="66"/>
      <c r="AI1215" s="66"/>
      <c r="AJ1215" s="66"/>
      <c r="AK1215" s="66"/>
      <c r="AL1215" s="66"/>
      <c r="AM1215" s="66"/>
      <c r="AN1215" s="66"/>
      <c r="AO1215" s="66"/>
      <c r="AP1215" s="66"/>
      <c r="AQ1215" s="66"/>
      <c r="AR1215" s="66"/>
      <c r="AS1215" s="66"/>
      <c r="AT1215" s="66"/>
      <c r="AU1215" s="66"/>
      <c r="AV1215" s="66"/>
      <c r="AW1215" s="66"/>
      <c r="AX1215" s="66"/>
      <c r="AY1215" s="66"/>
      <c r="AZ1215" s="66"/>
      <c r="BA1215" s="66"/>
      <c r="BB1215" s="66"/>
      <c r="BC1215" s="66"/>
      <c r="BD1215" s="66"/>
      <c r="BE1215" s="67"/>
      <c r="BF1215" s="67"/>
      <c r="BG1215" s="68"/>
      <c r="BI1215" s="69">
        <v>0</v>
      </c>
      <c r="BJ1215" s="70">
        <v>0</v>
      </c>
      <c r="BK1215" s="71">
        <v>0</v>
      </c>
      <c r="BL1215" s="71">
        <v>0</v>
      </c>
      <c r="BM1215" s="71">
        <v>0</v>
      </c>
      <c r="BN1215" s="72">
        <v>0</v>
      </c>
      <c r="BO1215" s="151" t="e">
        <f t="shared" si="75"/>
        <v>#DIV/0!</v>
      </c>
      <c r="BP1215" s="151" t="e">
        <f t="shared" si="76"/>
        <v>#DIV/0!</v>
      </c>
      <c r="BQ1215" s="71">
        <v>0</v>
      </c>
      <c r="BR1215" s="71">
        <v>0</v>
      </c>
      <c r="BS1215" s="71">
        <v>0</v>
      </c>
      <c r="BT1215" s="72">
        <v>0</v>
      </c>
      <c r="BU1215" s="73"/>
      <c r="BV1215" s="73"/>
    </row>
    <row r="1216" ht="30" customHeight="1" spans="1:74">
      <c r="A1216" s="55">
        <v>0</v>
      </c>
      <c r="B1216" s="56">
        <v>0</v>
      </c>
      <c r="C1216" s="57">
        <v>0</v>
      </c>
      <c r="D1216" s="74"/>
      <c r="E1216" s="74"/>
      <c r="F1216" s="59" t="e">
        <f>VLOOKUP(E1216,[1]库存!$B$1:$C$65536,2,FALSE)</f>
        <v>#N/A</v>
      </c>
      <c r="G1216" s="59" t="e">
        <v>#N/A</v>
      </c>
      <c r="H1216" s="74"/>
      <c r="I1216" s="74"/>
      <c r="J1216" s="87"/>
      <c r="K1216" s="61"/>
      <c r="L1216" s="62">
        <v>0</v>
      </c>
      <c r="M1216" s="63">
        <v>0</v>
      </c>
      <c r="N1216" s="64">
        <v>0</v>
      </c>
      <c r="O1216" s="62">
        <v>0</v>
      </c>
      <c r="P1216" s="65">
        <f t="shared" si="74"/>
        <v>0</v>
      </c>
      <c r="Q1216" s="66"/>
      <c r="R1216" s="66"/>
      <c r="S1216" s="66"/>
      <c r="T1216" s="66"/>
      <c r="U1216" s="66"/>
      <c r="V1216" s="66"/>
      <c r="W1216" s="66"/>
      <c r="X1216" s="66"/>
      <c r="Y1216" s="66"/>
      <c r="Z1216" s="66"/>
      <c r="AA1216" s="66"/>
      <c r="AB1216" s="66"/>
      <c r="AC1216" s="66"/>
      <c r="AD1216" s="66"/>
      <c r="AE1216" s="66"/>
      <c r="AF1216" s="66"/>
      <c r="AG1216" s="66"/>
      <c r="AH1216" s="66"/>
      <c r="AI1216" s="66"/>
      <c r="AJ1216" s="66"/>
      <c r="AK1216" s="66"/>
      <c r="AL1216" s="66"/>
      <c r="AM1216" s="66"/>
      <c r="AN1216" s="66"/>
      <c r="AO1216" s="66"/>
      <c r="AP1216" s="66"/>
      <c r="AQ1216" s="66"/>
      <c r="AR1216" s="66"/>
      <c r="AS1216" s="66"/>
      <c r="AT1216" s="66"/>
      <c r="AU1216" s="66"/>
      <c r="AV1216" s="66"/>
      <c r="AW1216" s="66"/>
      <c r="AX1216" s="66"/>
      <c r="AY1216" s="66"/>
      <c r="AZ1216" s="66"/>
      <c r="BA1216" s="66"/>
      <c r="BB1216" s="66"/>
      <c r="BC1216" s="66"/>
      <c r="BD1216" s="66"/>
      <c r="BE1216" s="67"/>
      <c r="BF1216" s="67"/>
      <c r="BG1216" s="68"/>
      <c r="BI1216" s="69">
        <v>0</v>
      </c>
      <c r="BJ1216" s="70">
        <v>0</v>
      </c>
      <c r="BK1216" s="71">
        <v>0</v>
      </c>
      <c r="BL1216" s="71">
        <v>0</v>
      </c>
      <c r="BM1216" s="71">
        <v>0</v>
      </c>
      <c r="BN1216" s="72">
        <v>0</v>
      </c>
      <c r="BO1216" s="151" t="e">
        <f t="shared" si="75"/>
        <v>#DIV/0!</v>
      </c>
      <c r="BP1216" s="151" t="e">
        <f t="shared" si="76"/>
        <v>#DIV/0!</v>
      </c>
      <c r="BQ1216" s="71">
        <v>0</v>
      </c>
      <c r="BR1216" s="71">
        <v>0</v>
      </c>
      <c r="BS1216" s="71">
        <v>0</v>
      </c>
      <c r="BT1216" s="72">
        <v>0</v>
      </c>
      <c r="BU1216" s="73"/>
      <c r="BV1216" s="73"/>
    </row>
    <row r="1217" ht="30" customHeight="1" spans="1:75 16331:16349">
      <c r="A1217" s="55">
        <v>0</v>
      </c>
      <c r="B1217" s="56">
        <v>0</v>
      </c>
      <c r="C1217" s="57">
        <v>0</v>
      </c>
      <c r="E1217" s="88"/>
      <c r="F1217" s="59" t="e">
        <f>VLOOKUP(E1217,[1]库存!$B$1:$C$65536,2,FALSE)</f>
        <v>#N/A</v>
      </c>
      <c r="G1217" s="59" t="e">
        <v>#N/A</v>
      </c>
      <c r="H1217" s="89"/>
      <c r="I1217" s="88"/>
      <c r="J1217" s="90"/>
      <c r="K1217" s="61"/>
      <c r="L1217" s="62">
        <v>0</v>
      </c>
      <c r="M1217" s="63">
        <v>0</v>
      </c>
      <c r="N1217" s="64">
        <v>0</v>
      </c>
      <c r="O1217" s="62">
        <v>0</v>
      </c>
      <c r="P1217" s="65">
        <f t="shared" si="74"/>
        <v>0</v>
      </c>
      <c r="Q1217" s="66"/>
      <c r="R1217" s="66"/>
      <c r="S1217" s="66"/>
      <c r="T1217" s="66"/>
      <c r="U1217" s="66"/>
      <c r="V1217" s="66"/>
      <c r="W1217" s="66"/>
      <c r="X1217" s="66"/>
      <c r="Y1217" s="66"/>
      <c r="Z1217" s="66"/>
      <c r="AA1217" s="66"/>
      <c r="AB1217" s="66"/>
      <c r="AC1217" s="66"/>
      <c r="AD1217" s="66"/>
      <c r="AE1217" s="66"/>
      <c r="AF1217" s="66"/>
      <c r="AG1217" s="66"/>
      <c r="AH1217" s="66"/>
      <c r="AI1217" s="66"/>
      <c r="AJ1217" s="66"/>
      <c r="AK1217" s="66"/>
      <c r="AL1217" s="66"/>
      <c r="AM1217" s="66"/>
      <c r="AN1217" s="66"/>
      <c r="AO1217" s="66"/>
      <c r="AP1217" s="66"/>
      <c r="AQ1217" s="66"/>
      <c r="AR1217" s="66"/>
      <c r="AS1217" s="66"/>
      <c r="AT1217" s="66"/>
      <c r="AU1217" s="66"/>
      <c r="AV1217" s="66"/>
      <c r="AW1217" s="66"/>
      <c r="AX1217" s="66"/>
      <c r="AY1217" s="66"/>
      <c r="AZ1217" s="66"/>
      <c r="BA1217" s="66"/>
      <c r="BB1217" s="66"/>
      <c r="BC1217" s="66"/>
      <c r="BD1217" s="66"/>
      <c r="BE1217" s="67"/>
      <c r="BF1217" s="67"/>
      <c r="BG1217" s="68"/>
      <c r="BI1217" s="69">
        <v>0</v>
      </c>
      <c r="BJ1217" s="70">
        <v>0</v>
      </c>
      <c r="BK1217" s="71">
        <v>0</v>
      </c>
      <c r="BL1217" s="71">
        <v>0</v>
      </c>
      <c r="BM1217" s="71">
        <v>0</v>
      </c>
      <c r="BN1217" s="72">
        <v>0</v>
      </c>
      <c r="BO1217" s="151" t="e">
        <f t="shared" si="75"/>
        <v>#DIV/0!</v>
      </c>
      <c r="BP1217" s="151" t="e">
        <f t="shared" si="76"/>
        <v>#DIV/0!</v>
      </c>
      <c r="BQ1217" s="71">
        <v>0</v>
      </c>
      <c r="BR1217" s="71">
        <v>0</v>
      </c>
      <c r="BS1217" s="71">
        <v>0</v>
      </c>
      <c r="BT1217" s="72">
        <v>0</v>
      </c>
      <c r="BU1217" s="73"/>
      <c r="BV1217" s="73"/>
    </row>
    <row r="1218" ht="30" customHeight="1" spans="1:75 16331:16349">
      <c r="A1218" s="55" t="s">
        <v>41</v>
      </c>
      <c r="B1218" s="56" t="s">
        <v>1057</v>
      </c>
      <c r="C1218" s="57" t="s">
        <v>1324</v>
      </c>
      <c r="D1218" s="91" t="s">
        <v>2020</v>
      </c>
      <c r="E1218" s="91" t="s">
        <v>2021</v>
      </c>
      <c r="F1218" s="91" t="str">
        <f>VLOOKUP(E1218,[1]库存!$B$1:$C$65536,2,FALSE)</f>
        <v>AUDI C8 SAB LH</v>
      </c>
      <c r="G1218" s="91" t="s">
        <v>2022</v>
      </c>
      <c r="H1218" s="91" t="s">
        <v>2023</v>
      </c>
      <c r="I1218" s="91" t="s">
        <v>2024</v>
      </c>
      <c r="J1218" s="63"/>
      <c r="K1218" s="61"/>
      <c r="L1218" s="62">
        <v>2</v>
      </c>
      <c r="M1218" s="63">
        <v>1450</v>
      </c>
      <c r="N1218" s="64">
        <v>14</v>
      </c>
      <c r="O1218" s="62">
        <v>2</v>
      </c>
      <c r="P1218" s="65">
        <f t="shared" si="74"/>
        <v>0</v>
      </c>
      <c r="Q1218" s="66">
        <v>1800</v>
      </c>
      <c r="R1218" s="66"/>
      <c r="S1218" s="66" t="s">
        <v>2025</v>
      </c>
      <c r="T1218" s="66"/>
      <c r="U1218" s="66"/>
      <c r="V1218" s="66"/>
      <c r="W1218" s="66"/>
      <c r="X1218" s="66"/>
      <c r="Y1218" s="66"/>
      <c r="Z1218" s="66"/>
      <c r="AA1218" s="66"/>
      <c r="AB1218" s="66"/>
      <c r="AC1218" s="66"/>
      <c r="AD1218" s="66"/>
      <c r="AE1218" s="66"/>
      <c r="AF1218" s="66"/>
      <c r="AG1218" s="66"/>
      <c r="AH1218" s="66"/>
      <c r="AI1218" s="66"/>
      <c r="AJ1218" s="66"/>
      <c r="AK1218" s="66"/>
      <c r="AL1218" s="66"/>
      <c r="AM1218" s="66"/>
      <c r="AN1218" s="66"/>
      <c r="AO1218" s="66"/>
      <c r="AP1218" s="66"/>
      <c r="AQ1218" s="66"/>
      <c r="AR1218" s="66"/>
      <c r="AS1218" s="66"/>
      <c r="AT1218" s="66"/>
      <c r="AU1218" s="66"/>
      <c r="AV1218" s="66"/>
      <c r="AW1218" s="66"/>
      <c r="AX1218" s="66"/>
      <c r="AY1218" s="66"/>
      <c r="AZ1218" s="66"/>
      <c r="BA1218" s="66"/>
      <c r="BB1218" s="66"/>
      <c r="BC1218" s="66"/>
      <c r="BD1218" s="66"/>
      <c r="BE1218" s="67"/>
      <c r="BF1218" s="67"/>
      <c r="BG1218" s="68"/>
      <c r="BI1218" s="69">
        <v>0</v>
      </c>
      <c r="BJ1218" s="70">
        <v>0</v>
      </c>
      <c r="BK1218" s="71">
        <v>0</v>
      </c>
      <c r="BL1218" s="71">
        <v>0</v>
      </c>
      <c r="BM1218" s="71">
        <v>0</v>
      </c>
      <c r="BN1218" s="72">
        <v>0</v>
      </c>
      <c r="BO1218" s="151" t="e">
        <f t="shared" si="75"/>
        <v>#DIV/0!</v>
      </c>
      <c r="BP1218" s="151" t="e">
        <f t="shared" si="76"/>
        <v>#DIV/0!</v>
      </c>
      <c r="BQ1218" s="71">
        <v>0</v>
      </c>
      <c r="BR1218" s="71">
        <v>0</v>
      </c>
      <c r="BS1218" s="71">
        <v>0</v>
      </c>
      <c r="BT1218" s="72">
        <v>0</v>
      </c>
      <c r="BU1218" s="73"/>
      <c r="BV1218" s="73"/>
    </row>
    <row r="1219" ht="30" customHeight="1" spans="1:75 16331:16349">
      <c r="A1219" s="55">
        <v>0</v>
      </c>
      <c r="B1219" s="56">
        <v>0</v>
      </c>
      <c r="C1219" s="57">
        <v>0</v>
      </c>
      <c r="D1219" s="92"/>
      <c r="E1219" s="92"/>
      <c r="F1219" s="91" t="e">
        <f>VLOOKUP(E1219,[1]库存!$B$1:$C$65536,2,FALSE)</f>
        <v>#N/A</v>
      </c>
      <c r="G1219" s="91" t="e">
        <v>#N/A</v>
      </c>
      <c r="H1219" s="92"/>
      <c r="I1219" s="92"/>
      <c r="J1219" s="87"/>
      <c r="K1219" s="61"/>
      <c r="L1219" s="62">
        <v>0</v>
      </c>
      <c r="M1219" s="63">
        <v>0</v>
      </c>
      <c r="N1219" s="64">
        <v>0</v>
      </c>
      <c r="O1219" s="62">
        <v>0</v>
      </c>
      <c r="P1219" s="65">
        <f t="shared" si="74"/>
        <v>0</v>
      </c>
      <c r="Q1219" s="66">
        <v>1274</v>
      </c>
      <c r="R1219" s="66"/>
      <c r="S1219" s="66">
        <v>538</v>
      </c>
      <c r="T1219" s="66"/>
      <c r="U1219" s="66"/>
      <c r="V1219" s="66"/>
      <c r="W1219" s="66"/>
      <c r="X1219" s="66"/>
      <c r="Y1219" s="66"/>
      <c r="Z1219" s="66"/>
      <c r="AA1219" s="66"/>
      <c r="AB1219" s="66"/>
      <c r="AC1219" s="66"/>
      <c r="AD1219" s="66"/>
      <c r="AE1219" s="66"/>
      <c r="AF1219" s="66"/>
      <c r="AG1219" s="66"/>
      <c r="AH1219" s="66"/>
      <c r="AI1219" s="66"/>
      <c r="AJ1219" s="66"/>
      <c r="AK1219" s="66"/>
      <c r="AL1219" s="66"/>
      <c r="AM1219" s="66"/>
      <c r="AN1219" s="66"/>
      <c r="AO1219" s="66"/>
      <c r="AP1219" s="66"/>
      <c r="AQ1219" s="66"/>
      <c r="AR1219" s="66"/>
      <c r="AS1219" s="66"/>
      <c r="AT1219" s="66"/>
      <c r="AU1219" s="66"/>
      <c r="AV1219" s="66"/>
      <c r="AW1219" s="66"/>
      <c r="AX1219" s="66"/>
      <c r="AY1219" s="66"/>
      <c r="AZ1219" s="66"/>
      <c r="BA1219" s="66"/>
      <c r="BB1219" s="66"/>
      <c r="BC1219" s="66"/>
      <c r="BD1219" s="66"/>
      <c r="BE1219" s="67"/>
      <c r="BF1219" s="67"/>
      <c r="BG1219" s="68"/>
      <c r="BI1219" s="69">
        <v>0</v>
      </c>
      <c r="BJ1219" s="70">
        <v>0</v>
      </c>
      <c r="BK1219" s="71">
        <v>0</v>
      </c>
      <c r="BL1219" s="71">
        <v>0</v>
      </c>
      <c r="BM1219" s="71">
        <v>0</v>
      </c>
      <c r="BN1219" s="72">
        <v>0</v>
      </c>
      <c r="BO1219" s="151" t="e">
        <f t="shared" si="75"/>
        <v>#DIV/0!</v>
      </c>
      <c r="BP1219" s="151" t="e">
        <f t="shared" si="76"/>
        <v>#DIV/0!</v>
      </c>
      <c r="BQ1219" s="71">
        <v>0</v>
      </c>
      <c r="BR1219" s="71">
        <v>0</v>
      </c>
      <c r="BS1219" s="71">
        <v>0</v>
      </c>
      <c r="BT1219" s="72">
        <v>0</v>
      </c>
      <c r="BU1219" s="73"/>
      <c r="BV1219" s="73"/>
    </row>
    <row r="1220" ht="30" customHeight="1" spans="1:75 16331:16349">
      <c r="A1220" s="55" t="s">
        <v>41</v>
      </c>
      <c r="B1220" s="56" t="s">
        <v>1057</v>
      </c>
      <c r="C1220" s="57" t="s">
        <v>1324</v>
      </c>
      <c r="D1220" s="91" t="s">
        <v>2020</v>
      </c>
      <c r="E1220" s="91" t="s">
        <v>2026</v>
      </c>
      <c r="F1220" s="91" t="str">
        <f>VLOOKUP(E1220,[1]库存!$B$1:$C$65536,2,FALSE)</f>
        <v>AUDI C8 SAB RH</v>
      </c>
      <c r="G1220" s="91" t="s">
        <v>2027</v>
      </c>
      <c r="H1220" s="91" t="s">
        <v>2028</v>
      </c>
      <c r="I1220" s="91" t="s">
        <v>2024</v>
      </c>
      <c r="J1220" s="63"/>
      <c r="K1220" s="61"/>
      <c r="L1220" s="62">
        <v>2</v>
      </c>
      <c r="M1220" s="63">
        <v>1450</v>
      </c>
      <c r="N1220" s="64">
        <v>14</v>
      </c>
      <c r="O1220" s="62">
        <v>2</v>
      </c>
      <c r="P1220" s="65">
        <f t="shared" si="74"/>
        <v>0</v>
      </c>
      <c r="Q1220" s="66">
        <v>10</v>
      </c>
      <c r="R1220" s="66"/>
      <c r="S1220" s="66"/>
      <c r="T1220" s="66"/>
      <c r="U1220" s="66"/>
      <c r="V1220" s="66"/>
      <c r="W1220" s="66"/>
      <c r="X1220" s="66"/>
      <c r="Y1220" s="66"/>
      <c r="Z1220" s="66"/>
      <c r="AA1220" s="66"/>
      <c r="AB1220" s="66"/>
      <c r="AC1220" s="66"/>
      <c r="AD1220" s="66"/>
      <c r="AE1220" s="66"/>
      <c r="AF1220" s="66"/>
      <c r="AG1220" s="66"/>
      <c r="AH1220" s="66"/>
      <c r="AI1220" s="66"/>
      <c r="AJ1220" s="66"/>
      <c r="AK1220" s="66"/>
      <c r="AL1220" s="66"/>
      <c r="AM1220" s="66"/>
      <c r="AN1220" s="66"/>
      <c r="AO1220" s="66"/>
      <c r="AP1220" s="66"/>
      <c r="AQ1220" s="66"/>
      <c r="AR1220" s="66"/>
      <c r="AS1220" s="66"/>
      <c r="AT1220" s="66"/>
      <c r="AU1220" s="66"/>
      <c r="AV1220" s="66"/>
      <c r="AW1220" s="66"/>
      <c r="AX1220" s="66"/>
      <c r="AY1220" s="66"/>
      <c r="AZ1220" s="66"/>
      <c r="BA1220" s="66"/>
      <c r="BB1220" s="66"/>
      <c r="BC1220" s="66"/>
      <c r="BD1220" s="66"/>
      <c r="BE1220" s="67"/>
      <c r="BF1220" s="67"/>
      <c r="BG1220" s="68"/>
      <c r="BI1220" s="69">
        <v>0</v>
      </c>
      <c r="BJ1220" s="70">
        <v>0</v>
      </c>
      <c r="BK1220" s="71">
        <v>0</v>
      </c>
      <c r="BL1220" s="71">
        <v>0</v>
      </c>
      <c r="BM1220" s="71">
        <v>0</v>
      </c>
      <c r="BN1220" s="72">
        <v>0</v>
      </c>
      <c r="BO1220" s="151" t="e">
        <f t="shared" si="75"/>
        <v>#DIV/0!</v>
      </c>
      <c r="BP1220" s="151" t="e">
        <f t="shared" si="76"/>
        <v>#DIV/0!</v>
      </c>
      <c r="BQ1220" s="71">
        <v>0</v>
      </c>
      <c r="BR1220" s="71">
        <v>0</v>
      </c>
      <c r="BS1220" s="71">
        <v>0</v>
      </c>
      <c r="BT1220" s="72">
        <v>0</v>
      </c>
      <c r="BU1220" s="73"/>
      <c r="BV1220" s="73"/>
    </row>
    <row r="1221" ht="30" customHeight="1" spans="1:75 16331:16349">
      <c r="A1221" s="55">
        <v>0</v>
      </c>
      <c r="B1221" s="56">
        <v>0</v>
      </c>
      <c r="C1221" s="57">
        <v>0</v>
      </c>
      <c r="D1221" s="92"/>
      <c r="E1221" s="92"/>
      <c r="F1221" s="91" t="e">
        <f>VLOOKUP(E1221,[1]库存!$B$1:$C$65536,2,FALSE)</f>
        <v>#N/A</v>
      </c>
      <c r="G1221" s="91" t="e">
        <v>#N/A</v>
      </c>
      <c r="H1221" s="92"/>
      <c r="I1221" s="92"/>
      <c r="J1221" s="87"/>
      <c r="K1221" s="61"/>
      <c r="L1221" s="62">
        <v>0</v>
      </c>
      <c r="M1221" s="63">
        <v>0</v>
      </c>
      <c r="N1221" s="64">
        <v>0</v>
      </c>
      <c r="O1221" s="62">
        <v>0</v>
      </c>
      <c r="P1221" s="65">
        <f t="shared" si="74"/>
        <v>0</v>
      </c>
      <c r="Q1221" s="66">
        <v>410</v>
      </c>
      <c r="R1221" s="66"/>
      <c r="S1221" s="66"/>
      <c r="T1221" s="66"/>
      <c r="U1221" s="66"/>
      <c r="V1221" s="66"/>
      <c r="W1221" s="66"/>
      <c r="X1221" s="66"/>
      <c r="Y1221" s="66"/>
      <c r="Z1221" s="66"/>
      <c r="AA1221" s="66"/>
      <c r="AB1221" s="66"/>
      <c r="AC1221" s="66"/>
      <c r="AD1221" s="66"/>
      <c r="AE1221" s="66"/>
      <c r="AF1221" s="66"/>
      <c r="AG1221" s="66"/>
      <c r="AH1221" s="66"/>
      <c r="AI1221" s="66"/>
      <c r="AJ1221" s="66"/>
      <c r="AK1221" s="66"/>
      <c r="AL1221" s="66"/>
      <c r="AM1221" s="66"/>
      <c r="AN1221" s="66"/>
      <c r="AO1221" s="66"/>
      <c r="AP1221" s="66"/>
      <c r="AQ1221" s="66"/>
      <c r="AR1221" s="66"/>
      <c r="AS1221" s="66"/>
      <c r="AT1221" s="66"/>
      <c r="AU1221" s="66"/>
      <c r="AV1221" s="66"/>
      <c r="AW1221" s="66"/>
      <c r="AX1221" s="66"/>
      <c r="AY1221" s="66"/>
      <c r="AZ1221" s="66"/>
      <c r="BA1221" s="66"/>
      <c r="BB1221" s="66"/>
      <c r="BC1221" s="66"/>
      <c r="BD1221" s="66"/>
      <c r="BE1221" s="67"/>
      <c r="BF1221" s="67"/>
      <c r="BG1221" s="68"/>
      <c r="BI1221" s="69">
        <v>0</v>
      </c>
      <c r="BJ1221" s="70">
        <v>0</v>
      </c>
      <c r="BK1221" s="71">
        <v>0</v>
      </c>
      <c r="BL1221" s="71">
        <v>0</v>
      </c>
      <c r="BM1221" s="71">
        <v>0</v>
      </c>
      <c r="BN1221" s="72">
        <v>0</v>
      </c>
      <c r="BO1221" s="151" t="e">
        <f t="shared" si="75"/>
        <v>#DIV/0!</v>
      </c>
      <c r="BP1221" s="151" t="e">
        <f t="shared" si="76"/>
        <v>#DIV/0!</v>
      </c>
      <c r="BQ1221" s="71">
        <v>0</v>
      </c>
      <c r="BR1221" s="71">
        <v>0</v>
      </c>
      <c r="BS1221" s="71">
        <v>0</v>
      </c>
      <c r="BT1221" s="72">
        <v>0</v>
      </c>
      <c r="BU1221" s="73"/>
      <c r="BV1221" s="73"/>
    </row>
    <row r="1222" ht="30" customHeight="1" spans="1:75 16331:16349">
      <c r="A1222" s="55" t="s">
        <v>41</v>
      </c>
      <c r="B1222" s="56" t="s">
        <v>1057</v>
      </c>
      <c r="C1222" s="57" t="s">
        <v>1324</v>
      </c>
      <c r="D1222" s="59" t="s">
        <v>2020</v>
      </c>
      <c r="E1222" s="141" t="s">
        <v>2029</v>
      </c>
      <c r="F1222" s="141" t="str">
        <f>VLOOKUP(E1222,[1]库存!$B$1:$C$65536,2,FALSE)</f>
        <v>ES8 SAB LH（埃）</v>
      </c>
      <c r="G1222" s="141" t="s">
        <v>2030</v>
      </c>
      <c r="H1222" s="141" t="s">
        <v>2031</v>
      </c>
      <c r="I1222" s="141" t="s">
        <v>1647</v>
      </c>
      <c r="J1222" s="82"/>
      <c r="K1222" s="61"/>
      <c r="L1222" s="62">
        <v>2</v>
      </c>
      <c r="M1222" s="63">
        <v>1150</v>
      </c>
      <c r="N1222" s="64">
        <v>14</v>
      </c>
      <c r="O1222" s="62">
        <v>2</v>
      </c>
      <c r="P1222" s="65">
        <f t="shared" ref="P1222:P1285" si="77">SUM(AG1222:AJ1222)</f>
        <v>0</v>
      </c>
      <c r="Q1222" s="66"/>
      <c r="R1222" s="66"/>
      <c r="S1222" s="66"/>
      <c r="T1222" s="66"/>
      <c r="U1222" s="66"/>
      <c r="V1222" s="66"/>
      <c r="W1222" s="66"/>
      <c r="X1222" s="66"/>
      <c r="Y1222" s="66"/>
      <c r="Z1222" s="66"/>
      <c r="AA1222" s="66"/>
      <c r="AB1222" s="66"/>
      <c r="AC1222" s="66"/>
      <c r="AD1222" s="66"/>
      <c r="AE1222" s="66"/>
      <c r="AF1222" s="66"/>
      <c r="AG1222" s="66"/>
      <c r="AH1222" s="66"/>
      <c r="AI1222" s="66"/>
      <c r="AJ1222" s="66"/>
      <c r="AK1222" s="66"/>
      <c r="AL1222" s="66"/>
      <c r="AM1222" s="66"/>
      <c r="AN1222" s="66"/>
      <c r="AO1222" s="66"/>
      <c r="AP1222" s="66"/>
      <c r="AQ1222" s="66"/>
      <c r="AR1222" s="66"/>
      <c r="AS1222" s="66"/>
      <c r="AT1222" s="66"/>
      <c r="AU1222" s="66"/>
      <c r="AV1222" s="66"/>
      <c r="AW1222" s="66"/>
      <c r="AX1222" s="66"/>
      <c r="AY1222" s="66"/>
      <c r="AZ1222" s="66"/>
      <c r="BA1222" s="66"/>
      <c r="BB1222" s="66"/>
      <c r="BC1222" s="66"/>
      <c r="BD1222" s="66"/>
      <c r="BE1222" s="67"/>
      <c r="BF1222" s="67"/>
      <c r="BG1222" s="68"/>
      <c r="BI1222" s="69">
        <v>0</v>
      </c>
      <c r="BJ1222" s="70">
        <v>0</v>
      </c>
      <c r="BK1222" s="71">
        <v>0</v>
      </c>
      <c r="BL1222" s="71">
        <v>0</v>
      </c>
      <c r="BM1222" s="71">
        <v>0</v>
      </c>
      <c r="BN1222" s="72">
        <v>0</v>
      </c>
      <c r="BO1222" s="151" t="e">
        <f t="shared" si="75"/>
        <v>#DIV/0!</v>
      </c>
      <c r="BP1222" s="151" t="e">
        <f t="shared" si="76"/>
        <v>#DIV/0!</v>
      </c>
      <c r="BQ1222" s="71">
        <v>0</v>
      </c>
      <c r="BR1222" s="71">
        <v>0</v>
      </c>
      <c r="BS1222" s="71">
        <v>0</v>
      </c>
      <c r="BT1222" s="72">
        <v>0</v>
      </c>
      <c r="BU1222" s="73"/>
      <c r="BV1222" s="73"/>
    </row>
    <row r="1223" ht="30" customHeight="1" spans="1:75 16331:16349">
      <c r="A1223" s="55">
        <v>0</v>
      </c>
      <c r="B1223" s="56">
        <v>0</v>
      </c>
      <c r="C1223" s="57">
        <v>0</v>
      </c>
      <c r="D1223" s="74"/>
      <c r="E1223" s="161"/>
      <c r="F1223" s="141" t="e">
        <f>VLOOKUP(E1223,[1]库存!$B$1:$C$65536,2,FALSE)</f>
        <v>#N/A</v>
      </c>
      <c r="G1223" s="141" t="e">
        <v>#N/A</v>
      </c>
      <c r="H1223" s="161"/>
      <c r="I1223" s="161"/>
      <c r="J1223" s="83"/>
      <c r="K1223" s="61"/>
      <c r="L1223" s="62">
        <v>0</v>
      </c>
      <c r="M1223" s="63">
        <v>0</v>
      </c>
      <c r="N1223" s="64">
        <v>0</v>
      </c>
      <c r="O1223" s="62">
        <v>0</v>
      </c>
      <c r="P1223" s="65">
        <f t="shared" si="77"/>
        <v>0</v>
      </c>
      <c r="Q1223" s="66"/>
      <c r="R1223" s="66"/>
      <c r="S1223" s="66"/>
      <c r="T1223" s="66"/>
      <c r="U1223" s="66"/>
      <c r="V1223" s="66"/>
      <c r="W1223" s="66"/>
      <c r="X1223" s="66"/>
      <c r="Y1223" s="66"/>
      <c r="Z1223" s="66"/>
      <c r="AA1223" s="66"/>
      <c r="AB1223" s="66"/>
      <c r="AC1223" s="66"/>
      <c r="AD1223" s="66"/>
      <c r="AE1223" s="66"/>
      <c r="AF1223" s="66"/>
      <c r="AG1223" s="66"/>
      <c r="AH1223" s="66"/>
      <c r="AI1223" s="66"/>
      <c r="AJ1223" s="66"/>
      <c r="AK1223" s="66"/>
      <c r="AL1223" s="66"/>
      <c r="AM1223" s="66"/>
      <c r="AN1223" s="66"/>
      <c r="AO1223" s="66"/>
      <c r="AP1223" s="66"/>
      <c r="AQ1223" s="66"/>
      <c r="AR1223" s="66"/>
      <c r="AS1223" s="66"/>
      <c r="AT1223" s="66"/>
      <c r="AU1223" s="66"/>
      <c r="AV1223" s="66"/>
      <c r="AW1223" s="66"/>
      <c r="AX1223" s="66"/>
      <c r="AY1223" s="66"/>
      <c r="AZ1223" s="66"/>
      <c r="BA1223" s="66"/>
      <c r="BB1223" s="66"/>
      <c r="BC1223" s="66"/>
      <c r="BD1223" s="66"/>
      <c r="BE1223" s="67"/>
      <c r="BF1223" s="67"/>
      <c r="BG1223" s="68"/>
      <c r="BI1223" s="69">
        <v>0</v>
      </c>
      <c r="BJ1223" s="70">
        <v>0</v>
      </c>
      <c r="BK1223" s="71">
        <v>0</v>
      </c>
      <c r="BL1223" s="71">
        <v>0</v>
      </c>
      <c r="BM1223" s="71">
        <v>0</v>
      </c>
      <c r="BN1223" s="72">
        <v>0</v>
      </c>
      <c r="BO1223" s="151" t="e">
        <f t="shared" si="75"/>
        <v>#DIV/0!</v>
      </c>
      <c r="BP1223" s="151" t="e">
        <f t="shared" si="76"/>
        <v>#DIV/0!</v>
      </c>
      <c r="BQ1223" s="71">
        <v>0</v>
      </c>
      <c r="BR1223" s="71">
        <v>0</v>
      </c>
      <c r="BS1223" s="71">
        <v>0</v>
      </c>
      <c r="BT1223" s="72">
        <v>0</v>
      </c>
      <c r="BU1223" s="73"/>
      <c r="BV1223" s="73"/>
    </row>
    <row r="1224" ht="30" customHeight="1" spans="1:75 16331:16349">
      <c r="A1224" s="55" t="s">
        <v>41</v>
      </c>
      <c r="B1224" s="56" t="s">
        <v>1057</v>
      </c>
      <c r="C1224" s="57" t="s">
        <v>1324</v>
      </c>
      <c r="D1224" s="59" t="s">
        <v>2020</v>
      </c>
      <c r="E1224" s="141" t="s">
        <v>2032</v>
      </c>
      <c r="F1224" s="141" t="str">
        <f>VLOOKUP(E1224,[1]库存!$B$1:$C$65536,2,FALSE)</f>
        <v>ES8 SAB RH（埃）</v>
      </c>
      <c r="G1224" s="141" t="s">
        <v>2033</v>
      </c>
      <c r="H1224" s="141" t="s">
        <v>2034</v>
      </c>
      <c r="I1224" s="141" t="s">
        <v>1647</v>
      </c>
      <c r="J1224" s="82"/>
      <c r="K1224" s="61"/>
      <c r="L1224" s="62">
        <v>2</v>
      </c>
      <c r="M1224" s="63">
        <v>1150</v>
      </c>
      <c r="N1224" s="64">
        <v>14</v>
      </c>
      <c r="O1224" s="62">
        <v>2</v>
      </c>
      <c r="P1224" s="65">
        <f t="shared" si="77"/>
        <v>0</v>
      </c>
      <c r="Q1224" s="66"/>
      <c r="R1224" s="66"/>
      <c r="S1224" s="66"/>
      <c r="T1224" s="66"/>
      <c r="U1224" s="66"/>
      <c r="V1224" s="66"/>
      <c r="W1224" s="66"/>
      <c r="X1224" s="66"/>
      <c r="Y1224" s="66"/>
      <c r="Z1224" s="66"/>
      <c r="AA1224" s="66"/>
      <c r="AB1224" s="66"/>
      <c r="AC1224" s="66"/>
      <c r="AD1224" s="66"/>
      <c r="AE1224" s="66"/>
      <c r="AF1224" s="66"/>
      <c r="AG1224" s="66"/>
      <c r="AH1224" s="66"/>
      <c r="AI1224" s="66"/>
      <c r="AJ1224" s="66"/>
      <c r="AK1224" s="66"/>
      <c r="AL1224" s="66"/>
      <c r="AM1224" s="66"/>
      <c r="AN1224" s="66"/>
      <c r="AO1224" s="66"/>
      <c r="AP1224" s="66"/>
      <c r="AQ1224" s="66"/>
      <c r="AR1224" s="66"/>
      <c r="AS1224" s="66"/>
      <c r="AT1224" s="66"/>
      <c r="AU1224" s="66"/>
      <c r="AV1224" s="66"/>
      <c r="AW1224" s="66"/>
      <c r="AX1224" s="66"/>
      <c r="AY1224" s="66"/>
      <c r="AZ1224" s="66"/>
      <c r="BA1224" s="66"/>
      <c r="BB1224" s="66"/>
      <c r="BC1224" s="66"/>
      <c r="BD1224" s="66"/>
      <c r="BE1224" s="67"/>
      <c r="BF1224" s="67"/>
      <c r="BG1224" s="68"/>
      <c r="BI1224" s="69">
        <v>0</v>
      </c>
      <c r="BJ1224" s="70">
        <v>0</v>
      </c>
      <c r="BK1224" s="71">
        <v>0</v>
      </c>
      <c r="BL1224" s="71">
        <v>0</v>
      </c>
      <c r="BM1224" s="71">
        <v>0</v>
      </c>
      <c r="BN1224" s="72">
        <v>0</v>
      </c>
      <c r="BO1224" s="151" t="e">
        <f t="shared" si="75"/>
        <v>#DIV/0!</v>
      </c>
      <c r="BP1224" s="151" t="e">
        <f t="shared" si="76"/>
        <v>#DIV/0!</v>
      </c>
      <c r="BQ1224" s="71">
        <v>0</v>
      </c>
      <c r="BR1224" s="71">
        <v>0</v>
      </c>
      <c r="BS1224" s="71">
        <v>0</v>
      </c>
      <c r="BT1224" s="72">
        <v>0</v>
      </c>
      <c r="BU1224" s="73"/>
      <c r="BV1224" s="73"/>
    </row>
    <row r="1225" ht="30" customHeight="1" spans="1:75 16331:16349">
      <c r="A1225" s="55">
        <v>0</v>
      </c>
      <c r="B1225" s="56">
        <v>0</v>
      </c>
      <c r="C1225" s="57">
        <v>0</v>
      </c>
      <c r="D1225" s="74"/>
      <c r="E1225" s="161"/>
      <c r="F1225" s="141" t="e">
        <f>VLOOKUP(E1225,[1]库存!$B$1:$C$65536,2,FALSE)</f>
        <v>#N/A</v>
      </c>
      <c r="G1225" s="141" t="e">
        <v>#N/A</v>
      </c>
      <c r="H1225" s="161"/>
      <c r="I1225" s="161"/>
      <c r="J1225" s="83"/>
      <c r="K1225" s="61"/>
      <c r="L1225" s="62">
        <v>0</v>
      </c>
      <c r="M1225" s="63">
        <v>0</v>
      </c>
      <c r="N1225" s="64">
        <v>0</v>
      </c>
      <c r="O1225" s="62">
        <v>0</v>
      </c>
      <c r="P1225" s="65">
        <f t="shared" si="77"/>
        <v>0</v>
      </c>
      <c r="Q1225" s="66"/>
      <c r="R1225" s="66"/>
      <c r="S1225" s="66"/>
      <c r="T1225" s="66"/>
      <c r="U1225" s="66"/>
      <c r="V1225" s="66"/>
      <c r="W1225" s="66"/>
      <c r="X1225" s="66"/>
      <c r="Y1225" s="66"/>
      <c r="Z1225" s="66"/>
      <c r="AA1225" s="66"/>
      <c r="AB1225" s="66"/>
      <c r="AC1225" s="66"/>
      <c r="AD1225" s="66"/>
      <c r="AE1225" s="66"/>
      <c r="AF1225" s="66"/>
      <c r="AG1225" s="66"/>
      <c r="AH1225" s="66"/>
      <c r="AI1225" s="66"/>
      <c r="AJ1225" s="66"/>
      <c r="AK1225" s="66"/>
      <c r="AL1225" s="66"/>
      <c r="AM1225" s="66"/>
      <c r="AN1225" s="66"/>
      <c r="AO1225" s="66"/>
      <c r="AP1225" s="66"/>
      <c r="AQ1225" s="66"/>
      <c r="AR1225" s="66"/>
      <c r="AS1225" s="66"/>
      <c r="AT1225" s="66"/>
      <c r="AU1225" s="66"/>
      <c r="AV1225" s="66"/>
      <c r="AW1225" s="66"/>
      <c r="AX1225" s="66"/>
      <c r="AY1225" s="66"/>
      <c r="AZ1225" s="66"/>
      <c r="BA1225" s="66"/>
      <c r="BB1225" s="66"/>
      <c r="BC1225" s="66"/>
      <c r="BD1225" s="66"/>
      <c r="BE1225" s="67"/>
      <c r="BF1225" s="67"/>
      <c r="BG1225" s="68"/>
      <c r="BI1225" s="69">
        <v>0</v>
      </c>
      <c r="BJ1225" s="70">
        <v>0</v>
      </c>
      <c r="BK1225" s="71">
        <v>0</v>
      </c>
      <c r="BL1225" s="71">
        <v>0</v>
      </c>
      <c r="BM1225" s="71">
        <v>0</v>
      </c>
      <c r="BN1225" s="72">
        <v>0</v>
      </c>
      <c r="BO1225" s="151" t="e">
        <f t="shared" si="75"/>
        <v>#DIV/0!</v>
      </c>
      <c r="BP1225" s="151" t="e">
        <f t="shared" si="76"/>
        <v>#DIV/0!</v>
      </c>
      <c r="BQ1225" s="71">
        <v>0</v>
      </c>
      <c r="BR1225" s="71">
        <v>0</v>
      </c>
      <c r="BS1225" s="71">
        <v>0</v>
      </c>
      <c r="BT1225" s="72">
        <v>0</v>
      </c>
      <c r="BU1225" s="73"/>
      <c r="BV1225" s="73"/>
    </row>
    <row r="1226" ht="30" customHeight="1" spans="1:75 16331:16349">
      <c r="A1226" s="55">
        <v>0</v>
      </c>
      <c r="B1226" s="56">
        <v>0</v>
      </c>
      <c r="C1226" s="57">
        <v>0</v>
      </c>
      <c r="E1226" s="88"/>
      <c r="F1226" s="59" t="e">
        <f>VLOOKUP(E1226,[1]库存!$B$1:$C$65536,2,FALSE)</f>
        <v>#N/A</v>
      </c>
      <c r="G1226" s="59" t="e">
        <v>#N/A</v>
      </c>
      <c r="H1226" s="89"/>
      <c r="I1226" s="88"/>
      <c r="J1226" s="90"/>
      <c r="K1226" s="61"/>
      <c r="L1226" s="62">
        <v>0</v>
      </c>
      <c r="M1226" s="63">
        <v>0</v>
      </c>
      <c r="N1226" s="64">
        <v>0</v>
      </c>
      <c r="O1226" s="62">
        <v>0</v>
      </c>
      <c r="P1226" s="65">
        <f t="shared" si="77"/>
        <v>0</v>
      </c>
      <c r="Q1226" s="66"/>
      <c r="R1226" s="66"/>
      <c r="S1226" s="66"/>
      <c r="T1226" s="66"/>
      <c r="U1226" s="66"/>
      <c r="V1226" s="66"/>
      <c r="W1226" s="66"/>
      <c r="X1226" s="66"/>
      <c r="Y1226" s="66"/>
      <c r="Z1226" s="66"/>
      <c r="AA1226" s="66"/>
      <c r="AB1226" s="66"/>
      <c r="AC1226" s="66"/>
      <c r="AD1226" s="66"/>
      <c r="AE1226" s="66"/>
      <c r="AF1226" s="66"/>
      <c r="AG1226" s="66"/>
      <c r="AH1226" s="66"/>
      <c r="AI1226" s="66"/>
      <c r="AJ1226" s="66"/>
      <c r="AK1226" s="66"/>
      <c r="AL1226" s="66"/>
      <c r="AM1226" s="66"/>
      <c r="AN1226" s="66"/>
      <c r="AO1226" s="66"/>
      <c r="AP1226" s="66"/>
      <c r="AQ1226" s="66"/>
      <c r="AR1226" s="66"/>
      <c r="AS1226" s="66"/>
      <c r="AT1226" s="66"/>
      <c r="AU1226" s="66"/>
      <c r="AV1226" s="66"/>
      <c r="AW1226" s="66"/>
      <c r="AX1226" s="66"/>
      <c r="AY1226" s="66"/>
      <c r="AZ1226" s="66"/>
      <c r="BA1226" s="66"/>
      <c r="BB1226" s="66"/>
      <c r="BC1226" s="66"/>
      <c r="BD1226" s="66"/>
      <c r="BE1226" s="67"/>
      <c r="BF1226" s="67"/>
      <c r="BG1226" s="68"/>
      <c r="BI1226" s="69">
        <v>0</v>
      </c>
      <c r="BJ1226" s="70">
        <v>0</v>
      </c>
      <c r="BK1226" s="71">
        <v>0</v>
      </c>
      <c r="BL1226" s="71">
        <v>0</v>
      </c>
      <c r="BM1226" s="71">
        <v>0</v>
      </c>
      <c r="BN1226" s="72">
        <v>0</v>
      </c>
      <c r="BO1226" s="151" t="e">
        <f t="shared" si="75"/>
        <v>#DIV/0!</v>
      </c>
      <c r="BP1226" s="151" t="e">
        <f t="shared" si="76"/>
        <v>#DIV/0!</v>
      </c>
      <c r="BQ1226" s="71">
        <v>0</v>
      </c>
      <c r="BR1226" s="71">
        <v>0</v>
      </c>
      <c r="BS1226" s="71">
        <v>0</v>
      </c>
      <c r="BT1226" s="72">
        <v>0</v>
      </c>
      <c r="BU1226" s="73"/>
      <c r="BV1226" s="73"/>
    </row>
    <row r="1227" ht="30" customHeight="1" spans="1:75 16331:16349">
      <c r="A1227" s="55" t="s">
        <v>41</v>
      </c>
      <c r="B1227" s="56" t="s">
        <v>1057</v>
      </c>
      <c r="C1227" s="57" t="s">
        <v>1324</v>
      </c>
      <c r="D1227" s="91" t="s">
        <v>2035</v>
      </c>
      <c r="E1227" s="91" t="s">
        <v>2036</v>
      </c>
      <c r="F1227" s="91" t="str">
        <f>VLOOKUP(E1227,[1]库存!$B$1:$C$65536,2,FALSE)</f>
        <v>GEELY VF11 FSAB LH（埃）</v>
      </c>
      <c r="G1227" s="91" t="s">
        <v>2037</v>
      </c>
      <c r="H1227" s="91" t="s">
        <v>2038</v>
      </c>
      <c r="I1227" s="91" t="s">
        <v>2039</v>
      </c>
      <c r="J1227" s="64"/>
      <c r="K1227" s="61"/>
      <c r="L1227" s="62">
        <v>2</v>
      </c>
      <c r="M1227" s="63">
        <v>1200</v>
      </c>
      <c r="N1227" s="64">
        <v>13</v>
      </c>
      <c r="O1227" s="62">
        <v>2</v>
      </c>
      <c r="P1227" s="65">
        <f t="shared" si="77"/>
        <v>0</v>
      </c>
      <c r="Q1227" s="103"/>
      <c r="R1227" s="66"/>
      <c r="S1227" s="103"/>
      <c r="T1227" s="66"/>
      <c r="U1227" s="103"/>
      <c r="V1227" s="66"/>
      <c r="W1227" s="103"/>
      <c r="X1227" s="66"/>
      <c r="Y1227" s="103"/>
      <c r="Z1227" s="66"/>
      <c r="AA1227" s="103"/>
      <c r="AB1227" s="66"/>
      <c r="AC1227" s="103"/>
      <c r="AD1227" s="66"/>
      <c r="AE1227" s="103"/>
      <c r="AF1227" s="66"/>
      <c r="AG1227" s="103"/>
      <c r="AH1227" s="66"/>
      <c r="AI1227" s="103"/>
      <c r="AJ1227" s="66"/>
      <c r="AK1227" s="103"/>
      <c r="AL1227" s="66"/>
      <c r="AM1227" s="103"/>
      <c r="AN1227" s="66"/>
      <c r="AO1227" s="103"/>
      <c r="AP1227" s="66"/>
      <c r="AQ1227" s="103"/>
      <c r="AR1227" s="66"/>
      <c r="AS1227" s="103"/>
      <c r="AT1227" s="66"/>
      <c r="AU1227" s="103"/>
      <c r="AV1227" s="66"/>
      <c r="AW1227" s="103"/>
      <c r="AX1227" s="66"/>
      <c r="AY1227" s="103"/>
      <c r="AZ1227" s="66"/>
      <c r="BA1227" s="103"/>
      <c r="BB1227" s="66"/>
      <c r="BC1227" s="103"/>
      <c r="BD1227" s="66"/>
      <c r="BE1227" s="105"/>
      <c r="BF1227" s="67"/>
      <c r="BG1227" s="68"/>
      <c r="BI1227" s="69">
        <v>0</v>
      </c>
      <c r="BJ1227" s="70">
        <v>0</v>
      </c>
      <c r="BK1227" s="71">
        <v>0</v>
      </c>
      <c r="BL1227" s="71">
        <v>0</v>
      </c>
      <c r="BM1227" s="71">
        <v>0</v>
      </c>
      <c r="BN1227" s="72">
        <v>0</v>
      </c>
      <c r="BO1227" s="151" t="e">
        <f t="shared" si="75"/>
        <v>#DIV/0!</v>
      </c>
      <c r="BP1227" s="151" t="e">
        <f t="shared" si="76"/>
        <v>#DIV/0!</v>
      </c>
      <c r="BQ1227" s="71">
        <v>0</v>
      </c>
      <c r="BR1227" s="71">
        <v>0</v>
      </c>
      <c r="BS1227" s="71">
        <v>0</v>
      </c>
      <c r="BT1227" s="72">
        <v>0</v>
      </c>
      <c r="BU1227" s="73"/>
      <c r="BV1227" s="73"/>
    </row>
    <row r="1228" ht="30" customHeight="1" spans="1:75 16331:16349">
      <c r="A1228" s="55">
        <v>0</v>
      </c>
      <c r="B1228" s="56">
        <v>0</v>
      </c>
      <c r="C1228" s="57">
        <v>0</v>
      </c>
      <c r="D1228" s="92"/>
      <c r="E1228" s="92"/>
      <c r="F1228" s="91" t="e">
        <f>VLOOKUP(E1228,[1]库存!$B$1:$C$65536,2,FALSE)</f>
        <v>#N/A</v>
      </c>
      <c r="G1228" s="91" t="e">
        <v>#N/A</v>
      </c>
      <c r="H1228" s="92"/>
      <c r="I1228" s="92"/>
      <c r="J1228" s="93"/>
      <c r="K1228" s="61"/>
      <c r="L1228" s="62">
        <v>0</v>
      </c>
      <c r="M1228" s="63">
        <v>0</v>
      </c>
      <c r="N1228" s="64">
        <v>0</v>
      </c>
      <c r="O1228" s="62">
        <v>0</v>
      </c>
      <c r="P1228" s="65">
        <f t="shared" si="77"/>
        <v>0</v>
      </c>
      <c r="Q1228" s="66"/>
      <c r="R1228" s="66"/>
      <c r="S1228" s="66"/>
      <c r="T1228" s="66"/>
      <c r="U1228" s="66"/>
      <c r="V1228" s="66"/>
      <c r="W1228" s="66"/>
      <c r="X1228" s="66"/>
      <c r="Y1228" s="66"/>
      <c r="Z1228" s="66"/>
      <c r="AA1228" s="66"/>
      <c r="AB1228" s="66"/>
      <c r="AC1228" s="66"/>
      <c r="AD1228" s="66"/>
      <c r="AE1228" s="66"/>
      <c r="AF1228" s="66"/>
      <c r="AG1228" s="66"/>
      <c r="AH1228" s="66"/>
      <c r="AI1228" s="66"/>
      <c r="AJ1228" s="66"/>
      <c r="AK1228" s="66"/>
      <c r="AL1228" s="66"/>
      <c r="AM1228" s="66"/>
      <c r="AN1228" s="66"/>
      <c r="AO1228" s="66"/>
      <c r="AP1228" s="66"/>
      <c r="AQ1228" s="66"/>
      <c r="AR1228" s="66"/>
      <c r="AS1228" s="66"/>
      <c r="AT1228" s="66"/>
      <c r="AU1228" s="66"/>
      <c r="AV1228" s="66"/>
      <c r="AW1228" s="66"/>
      <c r="AX1228" s="66"/>
      <c r="AY1228" s="66"/>
      <c r="AZ1228" s="66"/>
      <c r="BA1228" s="66"/>
      <c r="BB1228" s="66"/>
      <c r="BC1228" s="66"/>
      <c r="BD1228" s="66"/>
      <c r="BE1228" s="67"/>
      <c r="BF1228" s="67"/>
      <c r="BG1228" s="68"/>
      <c r="BI1228" s="69">
        <v>0</v>
      </c>
      <c r="BJ1228" s="70">
        <v>0</v>
      </c>
      <c r="BK1228" s="71">
        <v>0</v>
      </c>
      <c r="BL1228" s="71">
        <v>0</v>
      </c>
      <c r="BM1228" s="71">
        <v>0</v>
      </c>
      <c r="BN1228" s="72">
        <v>0</v>
      </c>
      <c r="BO1228" s="151" t="e">
        <f t="shared" si="75"/>
        <v>#DIV/0!</v>
      </c>
      <c r="BP1228" s="151" t="e">
        <f t="shared" si="76"/>
        <v>#DIV/0!</v>
      </c>
      <c r="BQ1228" s="71">
        <v>0</v>
      </c>
      <c r="BR1228" s="71">
        <v>0</v>
      </c>
      <c r="BS1228" s="71">
        <v>0</v>
      </c>
      <c r="BT1228" s="72">
        <v>0</v>
      </c>
      <c r="BU1228" s="73"/>
      <c r="BV1228" s="73"/>
    </row>
    <row r="1229" ht="30" customHeight="1" spans="1:75 16331:16349">
      <c r="A1229" s="55" t="s">
        <v>41</v>
      </c>
      <c r="B1229" s="56" t="s">
        <v>1057</v>
      </c>
      <c r="C1229" s="57" t="s">
        <v>1324</v>
      </c>
      <c r="D1229" s="91" t="s">
        <v>2035</v>
      </c>
      <c r="E1229" s="91" t="s">
        <v>2040</v>
      </c>
      <c r="F1229" s="91" t="str">
        <f>VLOOKUP(E1229,[1]库存!$B$1:$C$65536,2,FALSE)</f>
        <v>GEELY VF11 FSAB RH（埃）</v>
      </c>
      <c r="G1229" s="91" t="s">
        <v>2041</v>
      </c>
      <c r="H1229" s="91" t="s">
        <v>2042</v>
      </c>
      <c r="I1229" s="91" t="s">
        <v>2039</v>
      </c>
      <c r="J1229" s="64"/>
      <c r="K1229" s="61"/>
      <c r="L1229" s="62">
        <v>2</v>
      </c>
      <c r="M1229" s="63">
        <v>1200</v>
      </c>
      <c r="N1229" s="64">
        <v>13</v>
      </c>
      <c r="O1229" s="62">
        <v>2</v>
      </c>
      <c r="P1229" s="65">
        <f t="shared" si="77"/>
        <v>0</v>
      </c>
      <c r="Q1229" s="103"/>
      <c r="R1229" s="66"/>
      <c r="S1229" s="103"/>
      <c r="T1229" s="66"/>
      <c r="U1229" s="103"/>
      <c r="V1229" s="66"/>
      <c r="W1229" s="103"/>
      <c r="X1229" s="66"/>
      <c r="Y1229" s="103"/>
      <c r="Z1229" s="66"/>
      <c r="AA1229" s="103"/>
      <c r="AB1229" s="66"/>
      <c r="AC1229" s="103"/>
      <c r="AD1229" s="66"/>
      <c r="AE1229" s="103"/>
      <c r="AF1229" s="66"/>
      <c r="AG1229" s="103"/>
      <c r="AH1229" s="66"/>
      <c r="AI1229" s="103"/>
      <c r="AJ1229" s="66"/>
      <c r="AK1229" s="103"/>
      <c r="AL1229" s="66"/>
      <c r="AM1229" s="103"/>
      <c r="AN1229" s="66"/>
      <c r="AO1229" s="103"/>
      <c r="AP1229" s="66"/>
      <c r="AQ1229" s="103"/>
      <c r="AR1229" s="66"/>
      <c r="AS1229" s="103"/>
      <c r="AT1229" s="66"/>
      <c r="AU1229" s="103"/>
      <c r="AV1229" s="66"/>
      <c r="AW1229" s="103"/>
      <c r="AX1229" s="66"/>
      <c r="AY1229" s="103"/>
      <c r="AZ1229" s="66"/>
      <c r="BA1229" s="103"/>
      <c r="BB1229" s="66"/>
      <c r="BC1229" s="103"/>
      <c r="BD1229" s="66"/>
      <c r="BE1229" s="67"/>
      <c r="BF1229" s="67"/>
      <c r="BG1229" s="68"/>
      <c r="BI1229" s="69">
        <v>0</v>
      </c>
      <c r="BJ1229" s="70">
        <v>0</v>
      </c>
      <c r="BK1229" s="71">
        <v>0</v>
      </c>
      <c r="BL1229" s="71">
        <v>0</v>
      </c>
      <c r="BM1229" s="71">
        <v>0</v>
      </c>
      <c r="BN1229" s="72">
        <v>0</v>
      </c>
      <c r="BO1229" s="151" t="e">
        <f t="shared" si="75"/>
        <v>#DIV/0!</v>
      </c>
      <c r="BP1229" s="151" t="e">
        <f t="shared" si="76"/>
        <v>#DIV/0!</v>
      </c>
      <c r="BQ1229" s="71">
        <v>0</v>
      </c>
      <c r="BR1229" s="71">
        <v>0</v>
      </c>
      <c r="BS1229" s="71">
        <v>0</v>
      </c>
      <c r="BT1229" s="72">
        <v>0</v>
      </c>
      <c r="BU1229" s="73"/>
      <c r="BV1229" s="73"/>
    </row>
    <row r="1230" ht="30" customHeight="1" spans="1:75 16331:16349">
      <c r="A1230" s="55">
        <v>0</v>
      </c>
      <c r="B1230" s="56">
        <v>0</v>
      </c>
      <c r="C1230" s="57">
        <v>0</v>
      </c>
      <c r="D1230" s="92"/>
      <c r="E1230" s="92"/>
      <c r="F1230" s="91" t="e">
        <f>VLOOKUP(E1230,[1]库存!$B$1:$C$65536,2,FALSE)</f>
        <v>#N/A</v>
      </c>
      <c r="G1230" s="91" t="e">
        <v>#N/A</v>
      </c>
      <c r="H1230" s="92"/>
      <c r="I1230" s="92"/>
      <c r="J1230" s="93"/>
      <c r="K1230" s="61"/>
      <c r="L1230" s="62">
        <v>0</v>
      </c>
      <c r="M1230" s="63">
        <v>0</v>
      </c>
      <c r="N1230" s="64">
        <v>0</v>
      </c>
      <c r="O1230" s="62">
        <v>0</v>
      </c>
      <c r="P1230" s="65">
        <f t="shared" si="77"/>
        <v>0</v>
      </c>
      <c r="Q1230" s="66"/>
      <c r="R1230" s="66"/>
      <c r="S1230" s="66"/>
      <c r="T1230" s="66"/>
      <c r="U1230" s="66"/>
      <c r="V1230" s="66"/>
      <c r="W1230" s="66"/>
      <c r="X1230" s="66"/>
      <c r="Y1230" s="66"/>
      <c r="Z1230" s="66"/>
      <c r="AA1230" s="66"/>
      <c r="AB1230" s="66"/>
      <c r="AC1230" s="66"/>
      <c r="AD1230" s="66"/>
      <c r="AE1230" s="66"/>
      <c r="AF1230" s="66"/>
      <c r="AG1230" s="66"/>
      <c r="AH1230" s="66"/>
      <c r="AI1230" s="66"/>
      <c r="AJ1230" s="66"/>
      <c r="AK1230" s="66"/>
      <c r="AL1230" s="66"/>
      <c r="AM1230" s="66"/>
      <c r="AN1230" s="66"/>
      <c r="AO1230" s="66"/>
      <c r="AP1230" s="66"/>
      <c r="AQ1230" s="66"/>
      <c r="AR1230" s="66"/>
      <c r="AS1230" s="66"/>
      <c r="AT1230" s="66"/>
      <c r="AU1230" s="66"/>
      <c r="AV1230" s="66"/>
      <c r="AW1230" s="66"/>
      <c r="AX1230" s="66"/>
      <c r="AY1230" s="66"/>
      <c r="AZ1230" s="66"/>
      <c r="BA1230" s="66"/>
      <c r="BB1230" s="66"/>
      <c r="BC1230" s="66"/>
      <c r="BD1230" s="66"/>
      <c r="BE1230" s="67"/>
      <c r="BF1230" s="67"/>
      <c r="BG1230" s="68"/>
      <c r="BI1230" s="69">
        <v>0</v>
      </c>
      <c r="BJ1230" s="70">
        <v>0</v>
      </c>
      <c r="BK1230" s="71">
        <v>0</v>
      </c>
      <c r="BL1230" s="71">
        <v>0</v>
      </c>
      <c r="BM1230" s="71">
        <v>0</v>
      </c>
      <c r="BN1230" s="72">
        <v>0</v>
      </c>
      <c r="BO1230" s="151" t="e">
        <f t="shared" si="75"/>
        <v>#DIV/0!</v>
      </c>
      <c r="BP1230" s="151" t="e">
        <f t="shared" si="76"/>
        <v>#DIV/0!</v>
      </c>
      <c r="BQ1230" s="71">
        <v>0</v>
      </c>
      <c r="BR1230" s="71">
        <v>0</v>
      </c>
      <c r="BS1230" s="71">
        <v>0</v>
      </c>
      <c r="BT1230" s="72">
        <v>0</v>
      </c>
      <c r="BU1230" s="73"/>
      <c r="BV1230" s="73"/>
    </row>
    <row r="1231" s="1" customFormat="1" ht="30" customHeight="1" spans="1:75 16331:16349">
      <c r="A1231" s="110" t="s">
        <v>41</v>
      </c>
      <c r="B1231" s="111" t="s">
        <v>1057</v>
      </c>
      <c r="C1231" s="112" t="s">
        <v>1324</v>
      </c>
      <c r="D1231" s="113" t="s">
        <v>2035</v>
      </c>
      <c r="E1231" s="113" t="s">
        <v>2043</v>
      </c>
      <c r="F1231" s="113" t="str">
        <f>VLOOKUP(E1231,[1]库存!$B$1:$C$65536,2,FALSE)</f>
        <v>GEELY FS12 SAB LH A状态</v>
      </c>
      <c r="G1231" s="113" t="s">
        <v>2044</v>
      </c>
      <c r="H1231" s="113" t="s">
        <v>2045</v>
      </c>
      <c r="I1231" s="113" t="s">
        <v>2046</v>
      </c>
      <c r="J1231" s="240" t="s">
        <v>2047</v>
      </c>
      <c r="K1231" s="115"/>
      <c r="L1231" s="116">
        <v>2</v>
      </c>
      <c r="M1231" s="117">
        <v>1200</v>
      </c>
      <c r="N1231" s="114">
        <v>13</v>
      </c>
      <c r="O1231" s="116">
        <v>2</v>
      </c>
      <c r="P1231" s="65">
        <f t="shared" si="77"/>
        <v>0</v>
      </c>
      <c r="Q1231" s="105"/>
      <c r="R1231" s="67"/>
      <c r="S1231" s="105"/>
      <c r="T1231" s="67"/>
      <c r="U1231" s="105"/>
      <c r="V1231" s="67"/>
      <c r="W1231" s="105"/>
      <c r="X1231" s="67"/>
      <c r="Y1231" s="105"/>
      <c r="Z1231" s="67"/>
      <c r="AA1231" s="105"/>
      <c r="AB1231" s="67"/>
      <c r="AC1231" s="105"/>
      <c r="AD1231" s="67"/>
      <c r="AE1231" s="105"/>
      <c r="AF1231" s="67"/>
      <c r="AG1231" s="105"/>
      <c r="AH1231" s="67"/>
      <c r="AI1231" s="105"/>
      <c r="AJ1231" s="67"/>
      <c r="AK1231" s="105"/>
      <c r="AL1231" s="67"/>
      <c r="AM1231" s="105"/>
      <c r="AN1231" s="67"/>
      <c r="AO1231" s="105"/>
      <c r="AP1231" s="67"/>
      <c r="AQ1231" s="105"/>
      <c r="AR1231" s="67"/>
      <c r="AS1231" s="105"/>
      <c r="AT1231" s="67"/>
      <c r="AU1231" s="105"/>
      <c r="AV1231" s="67"/>
      <c r="AW1231" s="105"/>
      <c r="AX1231" s="67"/>
      <c r="AY1231" s="105"/>
      <c r="AZ1231" s="67"/>
      <c r="BA1231" s="105"/>
      <c r="BB1231" s="67"/>
      <c r="BC1231" s="105"/>
      <c r="BD1231" s="67"/>
      <c r="BE1231" s="105"/>
      <c r="BF1231" s="67"/>
      <c r="BG1231" s="118"/>
      <c r="BH1231" s="119"/>
      <c r="BI1231" s="120">
        <v>0</v>
      </c>
      <c r="BJ1231" s="121">
        <v>0</v>
      </c>
      <c r="BK1231" s="122">
        <v>0</v>
      </c>
      <c r="BL1231" s="122">
        <v>0</v>
      </c>
      <c r="BM1231" s="122">
        <v>0</v>
      </c>
      <c r="BN1231" s="123">
        <v>0</v>
      </c>
      <c r="BO1231" s="204" t="e">
        <f t="shared" si="75"/>
        <v>#DIV/0!</v>
      </c>
      <c r="BP1231" s="204" t="e">
        <f t="shared" si="76"/>
        <v>#DIV/0!</v>
      </c>
      <c r="BQ1231" s="122">
        <v>0</v>
      </c>
      <c r="BR1231" s="122">
        <v>0</v>
      </c>
      <c r="BS1231" s="122">
        <v>0</v>
      </c>
      <c r="BT1231" s="123">
        <v>0</v>
      </c>
      <c r="BU1231" s="124"/>
      <c r="BV1231" s="124"/>
      <c r="BW1231" s="125"/>
      <c r="XDC1231" s="126"/>
      <c r="XDD1231" s="126"/>
      <c r="XDE1231" s="126"/>
      <c r="XDF1231" s="126"/>
      <c r="XDG1231" s="126"/>
      <c r="XDH1231" s="126"/>
      <c r="XDI1231" s="126"/>
      <c r="XDJ1231" s="126"/>
      <c r="XDK1231" s="126"/>
      <c r="XDL1231" s="126"/>
      <c r="XDM1231" s="126"/>
      <c r="XDN1231" s="126"/>
      <c r="XDO1231" s="126"/>
      <c r="XDP1231" s="126"/>
      <c r="XDQ1231" s="126"/>
      <c r="XDR1231" s="126"/>
      <c r="XDS1231" s="126"/>
      <c r="XDT1231" s="126"/>
      <c r="XDU1231" s="126"/>
    </row>
    <row r="1232" s="1" customFormat="1" ht="30" customHeight="1" spans="1:75 16331:16349">
      <c r="A1232" s="110">
        <v>0</v>
      </c>
      <c r="B1232" s="111">
        <v>0</v>
      </c>
      <c r="C1232" s="112">
        <v>0</v>
      </c>
      <c r="D1232" s="127"/>
      <c r="E1232" s="127"/>
      <c r="F1232" s="113" t="e">
        <f>VLOOKUP(E1232,[1]库存!$B$1:$C$65536,2,FALSE)</f>
        <v>#N/A</v>
      </c>
      <c r="G1232" s="113" t="e">
        <v>#N/A</v>
      </c>
      <c r="H1232" s="127"/>
      <c r="I1232" s="127"/>
      <c r="J1232" s="241"/>
      <c r="K1232" s="115"/>
      <c r="L1232" s="116">
        <v>0</v>
      </c>
      <c r="M1232" s="117">
        <v>0</v>
      </c>
      <c r="N1232" s="114">
        <v>0</v>
      </c>
      <c r="O1232" s="116">
        <v>0</v>
      </c>
      <c r="P1232" s="65">
        <f t="shared" si="77"/>
        <v>0</v>
      </c>
      <c r="Q1232" s="105"/>
      <c r="R1232" s="67"/>
      <c r="S1232" s="105"/>
      <c r="T1232" s="67"/>
      <c r="U1232" s="105"/>
      <c r="V1232" s="67"/>
      <c r="W1232" s="105"/>
      <c r="X1232" s="67"/>
      <c r="Y1232" s="105"/>
      <c r="Z1232" s="67"/>
      <c r="AA1232" s="105"/>
      <c r="AB1232" s="67"/>
      <c r="AC1232" s="105"/>
      <c r="AD1232" s="67"/>
      <c r="AE1232" s="105"/>
      <c r="AF1232" s="67"/>
      <c r="AG1232" s="105"/>
      <c r="AH1232" s="67"/>
      <c r="AI1232" s="105"/>
      <c r="AJ1232" s="67"/>
      <c r="AK1232" s="105"/>
      <c r="AL1232" s="67"/>
      <c r="AM1232" s="105"/>
      <c r="AN1232" s="67"/>
      <c r="AO1232" s="105"/>
      <c r="AP1232" s="67"/>
      <c r="AQ1232" s="105"/>
      <c r="AR1232" s="67"/>
      <c r="AS1232" s="105"/>
      <c r="AT1232" s="67"/>
      <c r="AU1232" s="105"/>
      <c r="AV1232" s="67"/>
      <c r="AW1232" s="105"/>
      <c r="AX1232" s="67"/>
      <c r="AY1232" s="105"/>
      <c r="AZ1232" s="67"/>
      <c r="BA1232" s="105"/>
      <c r="BB1232" s="67"/>
      <c r="BC1232" s="105"/>
      <c r="BD1232" s="67"/>
      <c r="BE1232" s="105"/>
      <c r="BF1232" s="67"/>
      <c r="BG1232" s="118"/>
      <c r="BH1232" s="119"/>
      <c r="BI1232" s="120">
        <v>0</v>
      </c>
      <c r="BJ1232" s="121">
        <v>0</v>
      </c>
      <c r="BK1232" s="122">
        <v>0</v>
      </c>
      <c r="BL1232" s="122">
        <v>0</v>
      </c>
      <c r="BM1232" s="122">
        <v>0</v>
      </c>
      <c r="BN1232" s="123">
        <v>0</v>
      </c>
      <c r="BO1232" s="204" t="e">
        <f t="shared" si="75"/>
        <v>#DIV/0!</v>
      </c>
      <c r="BP1232" s="204" t="e">
        <f t="shared" si="76"/>
        <v>#DIV/0!</v>
      </c>
      <c r="BQ1232" s="122">
        <v>0</v>
      </c>
      <c r="BR1232" s="122">
        <v>0</v>
      </c>
      <c r="BS1232" s="122">
        <v>0</v>
      </c>
      <c r="BT1232" s="123">
        <v>0</v>
      </c>
      <c r="BU1232" s="124"/>
      <c r="BV1232" s="124"/>
      <c r="BW1232" s="125"/>
      <c r="XDC1232" s="126"/>
      <c r="XDD1232" s="126"/>
      <c r="XDE1232" s="126"/>
      <c r="XDF1232" s="126"/>
      <c r="XDG1232" s="126"/>
      <c r="XDH1232" s="126"/>
      <c r="XDI1232" s="126"/>
      <c r="XDJ1232" s="126"/>
      <c r="XDK1232" s="126"/>
      <c r="XDL1232" s="126"/>
      <c r="XDM1232" s="126"/>
      <c r="XDN1232" s="126"/>
      <c r="XDO1232" s="126"/>
      <c r="XDP1232" s="126"/>
      <c r="XDQ1232" s="126"/>
      <c r="XDR1232" s="126"/>
      <c r="XDS1232" s="126"/>
      <c r="XDT1232" s="126"/>
      <c r="XDU1232" s="126"/>
    </row>
    <row r="1233" s="1" customFormat="1" ht="30" customHeight="1" spans="1:75 16331:16349">
      <c r="A1233" s="110" t="s">
        <v>41</v>
      </c>
      <c r="B1233" s="111" t="s">
        <v>1057</v>
      </c>
      <c r="C1233" s="112" t="s">
        <v>1324</v>
      </c>
      <c r="D1233" s="113" t="s">
        <v>2035</v>
      </c>
      <c r="E1233" s="113" t="s">
        <v>2048</v>
      </c>
      <c r="F1233" s="113" t="str">
        <f>VLOOKUP(E1233,[1]库存!$B$1:$C$65536,2,FALSE)</f>
        <v>GEELY FS12 SAB RH A状态</v>
      </c>
      <c r="G1233" s="113" t="s">
        <v>2049</v>
      </c>
      <c r="H1233" s="113" t="s">
        <v>2050</v>
      </c>
      <c r="I1233" s="113" t="s">
        <v>2046</v>
      </c>
      <c r="J1233" s="241"/>
      <c r="K1233" s="115"/>
      <c r="L1233" s="116">
        <v>2</v>
      </c>
      <c r="M1233" s="117">
        <v>1200</v>
      </c>
      <c r="N1233" s="114">
        <v>13</v>
      </c>
      <c r="O1233" s="116">
        <v>2</v>
      </c>
      <c r="P1233" s="65">
        <f t="shared" si="77"/>
        <v>0</v>
      </c>
      <c r="Q1233" s="105"/>
      <c r="R1233" s="67"/>
      <c r="S1233" s="105"/>
      <c r="T1233" s="67"/>
      <c r="U1233" s="105"/>
      <c r="V1233" s="67"/>
      <c r="W1233" s="105"/>
      <c r="X1233" s="67"/>
      <c r="Y1233" s="105"/>
      <c r="Z1233" s="67"/>
      <c r="AA1233" s="105"/>
      <c r="AB1233" s="67"/>
      <c r="AC1233" s="105"/>
      <c r="AD1233" s="67"/>
      <c r="AE1233" s="105"/>
      <c r="AF1233" s="67"/>
      <c r="AG1233" s="105"/>
      <c r="AH1233" s="67"/>
      <c r="AI1233" s="105"/>
      <c r="AJ1233" s="67"/>
      <c r="AK1233" s="105"/>
      <c r="AL1233" s="67"/>
      <c r="AM1233" s="105"/>
      <c r="AN1233" s="67"/>
      <c r="AO1233" s="105"/>
      <c r="AP1233" s="67"/>
      <c r="AQ1233" s="105"/>
      <c r="AR1233" s="67"/>
      <c r="AS1233" s="105"/>
      <c r="AT1233" s="67"/>
      <c r="AU1233" s="105"/>
      <c r="AV1233" s="67"/>
      <c r="AW1233" s="105"/>
      <c r="AX1233" s="67"/>
      <c r="AY1233" s="105"/>
      <c r="AZ1233" s="67"/>
      <c r="BA1233" s="105"/>
      <c r="BB1233" s="67"/>
      <c r="BC1233" s="105"/>
      <c r="BD1233" s="67"/>
      <c r="BE1233" s="105"/>
      <c r="BF1233" s="67"/>
      <c r="BG1233" s="118"/>
      <c r="BH1233" s="119"/>
      <c r="BI1233" s="120">
        <v>0</v>
      </c>
      <c r="BJ1233" s="121">
        <v>0</v>
      </c>
      <c r="BK1233" s="122">
        <v>0</v>
      </c>
      <c r="BL1233" s="122">
        <v>0</v>
      </c>
      <c r="BM1233" s="122">
        <v>0</v>
      </c>
      <c r="BN1233" s="123">
        <v>0</v>
      </c>
      <c r="BO1233" s="204" t="e">
        <f t="shared" si="75"/>
        <v>#DIV/0!</v>
      </c>
      <c r="BP1233" s="204" t="e">
        <f t="shared" si="76"/>
        <v>#DIV/0!</v>
      </c>
      <c r="BQ1233" s="122">
        <v>0</v>
      </c>
      <c r="BR1233" s="122">
        <v>0</v>
      </c>
      <c r="BS1233" s="122">
        <v>0</v>
      </c>
      <c r="BT1233" s="123">
        <v>0</v>
      </c>
      <c r="BU1233" s="124"/>
      <c r="BV1233" s="124"/>
      <c r="BW1233" s="125"/>
      <c r="XDC1233" s="126"/>
      <c r="XDD1233" s="126"/>
      <c r="XDE1233" s="126"/>
      <c r="XDF1233" s="126"/>
      <c r="XDG1233" s="126"/>
      <c r="XDH1233" s="126"/>
      <c r="XDI1233" s="126"/>
      <c r="XDJ1233" s="126"/>
      <c r="XDK1233" s="126"/>
      <c r="XDL1233" s="126"/>
      <c r="XDM1233" s="126"/>
      <c r="XDN1233" s="126"/>
      <c r="XDO1233" s="126"/>
      <c r="XDP1233" s="126"/>
      <c r="XDQ1233" s="126"/>
      <c r="XDR1233" s="126"/>
      <c r="XDS1233" s="126"/>
      <c r="XDT1233" s="126"/>
      <c r="XDU1233" s="126"/>
    </row>
    <row r="1234" s="1" customFormat="1" ht="30" customHeight="1" spans="1:75 16331:16349">
      <c r="A1234" s="110">
        <v>0</v>
      </c>
      <c r="B1234" s="111">
        <v>0</v>
      </c>
      <c r="C1234" s="112">
        <v>0</v>
      </c>
      <c r="D1234" s="127"/>
      <c r="E1234" s="127"/>
      <c r="F1234" s="113" t="e">
        <f>VLOOKUP(E1234,[1]库存!$B$1:$C$65536,2,FALSE)</f>
        <v>#N/A</v>
      </c>
      <c r="G1234" s="113" t="e">
        <v>#N/A</v>
      </c>
      <c r="H1234" s="127"/>
      <c r="I1234" s="127"/>
      <c r="J1234" s="241"/>
      <c r="K1234" s="115"/>
      <c r="L1234" s="116">
        <v>0</v>
      </c>
      <c r="M1234" s="117">
        <v>0</v>
      </c>
      <c r="N1234" s="114">
        <v>0</v>
      </c>
      <c r="O1234" s="116">
        <v>0</v>
      </c>
      <c r="P1234" s="65">
        <f t="shared" si="77"/>
        <v>0</v>
      </c>
      <c r="Q1234" s="105"/>
      <c r="R1234" s="67"/>
      <c r="S1234" s="105"/>
      <c r="T1234" s="67"/>
      <c r="U1234" s="105"/>
      <c r="V1234" s="67"/>
      <c r="W1234" s="105"/>
      <c r="X1234" s="67"/>
      <c r="Y1234" s="105"/>
      <c r="Z1234" s="67"/>
      <c r="AA1234" s="105"/>
      <c r="AB1234" s="67"/>
      <c r="AC1234" s="105"/>
      <c r="AD1234" s="67"/>
      <c r="AE1234" s="105"/>
      <c r="AF1234" s="67"/>
      <c r="AG1234" s="105"/>
      <c r="AH1234" s="67"/>
      <c r="AI1234" s="105"/>
      <c r="AJ1234" s="67"/>
      <c r="AK1234" s="105"/>
      <c r="AL1234" s="67"/>
      <c r="AM1234" s="105"/>
      <c r="AN1234" s="67"/>
      <c r="AO1234" s="105"/>
      <c r="AP1234" s="67"/>
      <c r="AQ1234" s="105"/>
      <c r="AR1234" s="67"/>
      <c r="AS1234" s="105"/>
      <c r="AT1234" s="67"/>
      <c r="AU1234" s="105"/>
      <c r="AV1234" s="67"/>
      <c r="AW1234" s="105"/>
      <c r="AX1234" s="67"/>
      <c r="AY1234" s="105"/>
      <c r="AZ1234" s="67"/>
      <c r="BA1234" s="105"/>
      <c r="BB1234" s="67"/>
      <c r="BC1234" s="105"/>
      <c r="BD1234" s="67"/>
      <c r="BE1234" s="105"/>
      <c r="BF1234" s="67"/>
      <c r="BG1234" s="118"/>
      <c r="BH1234" s="119"/>
      <c r="BI1234" s="120">
        <v>0</v>
      </c>
      <c r="BJ1234" s="121">
        <v>0</v>
      </c>
      <c r="BK1234" s="122">
        <v>0</v>
      </c>
      <c r="BL1234" s="122">
        <v>0</v>
      </c>
      <c r="BM1234" s="122">
        <v>0</v>
      </c>
      <c r="BN1234" s="123">
        <v>0</v>
      </c>
      <c r="BO1234" s="204" t="e">
        <f t="shared" si="75"/>
        <v>#DIV/0!</v>
      </c>
      <c r="BP1234" s="204" t="e">
        <f t="shared" si="76"/>
        <v>#DIV/0!</v>
      </c>
      <c r="BQ1234" s="122">
        <v>0</v>
      </c>
      <c r="BR1234" s="122">
        <v>0</v>
      </c>
      <c r="BS1234" s="122">
        <v>0</v>
      </c>
      <c r="BT1234" s="123">
        <v>0</v>
      </c>
      <c r="BU1234" s="124"/>
      <c r="BV1234" s="124"/>
      <c r="BW1234" s="125"/>
      <c r="XDC1234" s="126"/>
      <c r="XDD1234" s="126"/>
      <c r="XDE1234" s="126"/>
      <c r="XDF1234" s="126"/>
      <c r="XDG1234" s="126"/>
      <c r="XDH1234" s="126"/>
      <c r="XDI1234" s="126"/>
      <c r="XDJ1234" s="126"/>
      <c r="XDK1234" s="126"/>
      <c r="XDL1234" s="126"/>
      <c r="XDM1234" s="126"/>
      <c r="XDN1234" s="126"/>
      <c r="XDO1234" s="126"/>
      <c r="XDP1234" s="126"/>
      <c r="XDQ1234" s="126"/>
      <c r="XDR1234" s="126"/>
      <c r="XDS1234" s="126"/>
      <c r="XDT1234" s="126"/>
      <c r="XDU1234" s="126"/>
    </row>
    <row r="1235" ht="30" customHeight="1" spans="1:75 16331:16349">
      <c r="A1235" s="55" t="s">
        <v>41</v>
      </c>
      <c r="B1235" s="56" t="s">
        <v>1057</v>
      </c>
      <c r="C1235" s="57" t="s">
        <v>1324</v>
      </c>
      <c r="D1235" s="141" t="s">
        <v>2035</v>
      </c>
      <c r="E1235" s="141" t="s">
        <v>2051</v>
      </c>
      <c r="F1235" s="141" t="str">
        <f>VLOOKUP(E1235,[1]库存!$B$1:$C$65536,2,FALSE)</f>
        <v>FE-6 SAB LH（埃）</v>
      </c>
      <c r="G1235" s="141" t="s">
        <v>2052</v>
      </c>
      <c r="H1235" s="141" t="s">
        <v>2053</v>
      </c>
      <c r="I1235" s="59" t="s">
        <v>2054</v>
      </c>
      <c r="J1235" s="80" t="s">
        <v>65</v>
      </c>
      <c r="K1235" s="61"/>
      <c r="L1235" s="62">
        <v>2</v>
      </c>
      <c r="M1235" s="63">
        <v>1200</v>
      </c>
      <c r="N1235" s="64">
        <v>13</v>
      </c>
      <c r="O1235" s="62">
        <v>2</v>
      </c>
      <c r="P1235" s="65">
        <f t="shared" si="77"/>
        <v>0</v>
      </c>
      <c r="Q1235" s="66"/>
      <c r="R1235" s="66"/>
      <c r="S1235" s="66"/>
      <c r="T1235" s="66"/>
      <c r="U1235" s="66"/>
      <c r="V1235" s="66"/>
      <c r="W1235" s="66"/>
      <c r="X1235" s="66"/>
      <c r="Y1235" s="66"/>
      <c r="Z1235" s="66"/>
      <c r="AA1235" s="66"/>
      <c r="AB1235" s="66"/>
      <c r="AC1235" s="66"/>
      <c r="AD1235" s="66"/>
      <c r="AE1235" s="66"/>
      <c r="AF1235" s="66"/>
      <c r="AG1235" s="66"/>
      <c r="AH1235" s="66"/>
      <c r="AI1235" s="66"/>
      <c r="AJ1235" s="66"/>
      <c r="AK1235" s="66"/>
      <c r="AL1235" s="66"/>
      <c r="AM1235" s="66"/>
      <c r="AN1235" s="66"/>
      <c r="AO1235" s="66"/>
      <c r="AP1235" s="66"/>
      <c r="AQ1235" s="66"/>
      <c r="AR1235" s="66"/>
      <c r="AS1235" s="66"/>
      <c r="AT1235" s="66"/>
      <c r="AU1235" s="66"/>
      <c r="AV1235" s="66"/>
      <c r="AW1235" s="66"/>
      <c r="AX1235" s="66"/>
      <c r="AY1235" s="66"/>
      <c r="AZ1235" s="66"/>
      <c r="BA1235" s="66"/>
      <c r="BB1235" s="66"/>
      <c r="BC1235" s="66"/>
      <c r="BD1235" s="66"/>
      <c r="BE1235" s="67"/>
      <c r="BF1235" s="67"/>
      <c r="BG1235" s="68"/>
      <c r="BI1235" s="69">
        <v>0</v>
      </c>
      <c r="BJ1235" s="70">
        <v>0</v>
      </c>
      <c r="BK1235" s="71">
        <v>0</v>
      </c>
      <c r="BL1235" s="71">
        <v>0</v>
      </c>
      <c r="BM1235" s="71">
        <v>0</v>
      </c>
      <c r="BN1235" s="72">
        <v>0</v>
      </c>
      <c r="BO1235" s="151" t="e">
        <f t="shared" si="75"/>
        <v>#DIV/0!</v>
      </c>
      <c r="BP1235" s="151" t="e">
        <f t="shared" si="76"/>
        <v>#DIV/0!</v>
      </c>
      <c r="BQ1235" s="71">
        <v>0</v>
      </c>
      <c r="BR1235" s="71">
        <v>0</v>
      </c>
      <c r="BS1235" s="71">
        <v>0</v>
      </c>
      <c r="BT1235" s="72">
        <v>0</v>
      </c>
      <c r="BU1235" s="73"/>
      <c r="BV1235" s="73"/>
    </row>
    <row r="1236" ht="30" customHeight="1" spans="1:75 16331:16349">
      <c r="A1236" s="55">
        <v>0</v>
      </c>
      <c r="B1236" s="56">
        <v>0</v>
      </c>
      <c r="C1236" s="57">
        <v>0</v>
      </c>
      <c r="D1236" s="161"/>
      <c r="E1236" s="161"/>
      <c r="F1236" s="141" t="e">
        <f>VLOOKUP(E1236,[1]库存!$B$1:$C$65536,2,FALSE)</f>
        <v>#N/A</v>
      </c>
      <c r="G1236" s="141" t="e">
        <v>#N/A</v>
      </c>
      <c r="H1236" s="161"/>
      <c r="I1236" s="74"/>
      <c r="J1236" s="81"/>
      <c r="K1236" s="61"/>
      <c r="L1236" s="62">
        <v>0</v>
      </c>
      <c r="M1236" s="63">
        <v>0</v>
      </c>
      <c r="N1236" s="64">
        <v>0</v>
      </c>
      <c r="O1236" s="62">
        <v>0</v>
      </c>
      <c r="P1236" s="65">
        <f t="shared" si="77"/>
        <v>0</v>
      </c>
      <c r="Q1236" s="66"/>
      <c r="R1236" s="66"/>
      <c r="S1236" s="66"/>
      <c r="T1236" s="66"/>
      <c r="U1236" s="66"/>
      <c r="V1236" s="66"/>
      <c r="W1236" s="66"/>
      <c r="X1236" s="66"/>
      <c r="Y1236" s="66"/>
      <c r="Z1236" s="66"/>
      <c r="AA1236" s="66"/>
      <c r="AB1236" s="66"/>
      <c r="AC1236" s="66"/>
      <c r="AD1236" s="66"/>
      <c r="AE1236" s="66"/>
      <c r="AF1236" s="66"/>
      <c r="AG1236" s="66"/>
      <c r="AH1236" s="66"/>
      <c r="AI1236" s="66"/>
      <c r="AJ1236" s="66"/>
      <c r="AK1236" s="66"/>
      <c r="AL1236" s="66"/>
      <c r="AM1236" s="66"/>
      <c r="AN1236" s="66"/>
      <c r="AO1236" s="66"/>
      <c r="AP1236" s="66"/>
      <c r="AQ1236" s="66"/>
      <c r="AR1236" s="66"/>
      <c r="AS1236" s="66"/>
      <c r="AT1236" s="66"/>
      <c r="AU1236" s="66"/>
      <c r="AV1236" s="66"/>
      <c r="AW1236" s="66"/>
      <c r="AX1236" s="66"/>
      <c r="AY1236" s="66"/>
      <c r="AZ1236" s="66"/>
      <c r="BA1236" s="66"/>
      <c r="BB1236" s="66"/>
      <c r="BC1236" s="66"/>
      <c r="BD1236" s="66"/>
      <c r="BE1236" s="67"/>
      <c r="BF1236" s="67"/>
      <c r="BG1236" s="68"/>
      <c r="BI1236" s="69">
        <v>0</v>
      </c>
      <c r="BJ1236" s="70">
        <v>0</v>
      </c>
      <c r="BK1236" s="71">
        <v>0</v>
      </c>
      <c r="BL1236" s="71">
        <v>0</v>
      </c>
      <c r="BM1236" s="71">
        <v>0</v>
      </c>
      <c r="BN1236" s="72">
        <v>0</v>
      </c>
      <c r="BO1236" s="151" t="e">
        <f t="shared" si="75"/>
        <v>#DIV/0!</v>
      </c>
      <c r="BP1236" s="151" t="e">
        <f t="shared" si="76"/>
        <v>#DIV/0!</v>
      </c>
      <c r="BQ1236" s="71">
        <v>0</v>
      </c>
      <c r="BR1236" s="71">
        <v>0</v>
      </c>
      <c r="BS1236" s="71">
        <v>0</v>
      </c>
      <c r="BT1236" s="72">
        <v>0</v>
      </c>
      <c r="BU1236" s="73"/>
      <c r="BV1236" s="73"/>
    </row>
    <row r="1237" ht="30" customHeight="1" spans="1:75 16331:16349">
      <c r="A1237" s="55" t="s">
        <v>41</v>
      </c>
      <c r="B1237" s="56" t="s">
        <v>1057</v>
      </c>
      <c r="C1237" s="57" t="s">
        <v>1324</v>
      </c>
      <c r="D1237" s="141" t="s">
        <v>2035</v>
      </c>
      <c r="E1237" s="141" t="s">
        <v>2055</v>
      </c>
      <c r="F1237" s="141" t="str">
        <f>VLOOKUP(E1237,[1]库存!$B$1:$C$65536,2,FALSE)</f>
        <v>FE-6 SAB RH（埃）</v>
      </c>
      <c r="G1237" s="141" t="s">
        <v>2056</v>
      </c>
      <c r="H1237" s="141" t="s">
        <v>2057</v>
      </c>
      <c r="I1237" s="59" t="s">
        <v>2054</v>
      </c>
      <c r="J1237" s="80" t="s">
        <v>65</v>
      </c>
      <c r="K1237" s="61"/>
      <c r="L1237" s="62">
        <v>2</v>
      </c>
      <c r="M1237" s="63">
        <v>1200</v>
      </c>
      <c r="N1237" s="64">
        <v>13</v>
      </c>
      <c r="O1237" s="62">
        <v>2</v>
      </c>
      <c r="P1237" s="65">
        <f t="shared" si="77"/>
        <v>0</v>
      </c>
      <c r="Q1237" s="66"/>
      <c r="R1237" s="66"/>
      <c r="S1237" s="66"/>
      <c r="T1237" s="66"/>
      <c r="U1237" s="66"/>
      <c r="V1237" s="66"/>
      <c r="W1237" s="66"/>
      <c r="X1237" s="66"/>
      <c r="Y1237" s="66"/>
      <c r="Z1237" s="66"/>
      <c r="AA1237" s="66"/>
      <c r="AB1237" s="66"/>
      <c r="AC1237" s="66"/>
      <c r="AD1237" s="66"/>
      <c r="AE1237" s="66"/>
      <c r="AF1237" s="66"/>
      <c r="AG1237" s="66"/>
      <c r="AH1237" s="66"/>
      <c r="AI1237" s="66"/>
      <c r="AJ1237" s="66"/>
      <c r="AK1237" s="66"/>
      <c r="AL1237" s="66"/>
      <c r="AM1237" s="66"/>
      <c r="AN1237" s="66"/>
      <c r="AO1237" s="66"/>
      <c r="AP1237" s="66"/>
      <c r="AQ1237" s="66"/>
      <c r="AR1237" s="66"/>
      <c r="AS1237" s="66"/>
      <c r="AT1237" s="66"/>
      <c r="AU1237" s="66"/>
      <c r="AV1237" s="66"/>
      <c r="AW1237" s="66"/>
      <c r="AX1237" s="66"/>
      <c r="AY1237" s="66"/>
      <c r="AZ1237" s="66"/>
      <c r="BA1237" s="66"/>
      <c r="BB1237" s="66"/>
      <c r="BC1237" s="66"/>
      <c r="BD1237" s="66"/>
      <c r="BE1237" s="67"/>
      <c r="BF1237" s="67"/>
      <c r="BG1237" s="68"/>
      <c r="BI1237" s="69">
        <v>0</v>
      </c>
      <c r="BJ1237" s="70">
        <v>0</v>
      </c>
      <c r="BK1237" s="71">
        <v>0</v>
      </c>
      <c r="BL1237" s="71">
        <v>0</v>
      </c>
      <c r="BM1237" s="71">
        <v>0</v>
      </c>
      <c r="BN1237" s="72">
        <v>0</v>
      </c>
      <c r="BO1237" s="151" t="e">
        <f t="shared" si="75"/>
        <v>#DIV/0!</v>
      </c>
      <c r="BP1237" s="151" t="e">
        <f t="shared" si="76"/>
        <v>#DIV/0!</v>
      </c>
      <c r="BQ1237" s="71">
        <v>0</v>
      </c>
      <c r="BR1237" s="71">
        <v>0</v>
      </c>
      <c r="BS1237" s="71">
        <v>0</v>
      </c>
      <c r="BT1237" s="72">
        <v>0</v>
      </c>
      <c r="BU1237" s="73"/>
      <c r="BV1237" s="73"/>
    </row>
    <row r="1238" ht="30" customHeight="1" spans="1:75 16331:16349">
      <c r="A1238" s="55">
        <v>0</v>
      </c>
      <c r="B1238" s="56">
        <v>0</v>
      </c>
      <c r="C1238" s="57">
        <v>0</v>
      </c>
      <c r="D1238" s="161"/>
      <c r="E1238" s="161"/>
      <c r="F1238" s="141" t="e">
        <f>VLOOKUP(E1238,[1]库存!$B$1:$C$65536,2,FALSE)</f>
        <v>#N/A</v>
      </c>
      <c r="G1238" s="141" t="e">
        <v>#N/A</v>
      </c>
      <c r="H1238" s="161"/>
      <c r="I1238" s="74"/>
      <c r="J1238" s="81"/>
      <c r="K1238" s="61"/>
      <c r="L1238" s="62">
        <v>0</v>
      </c>
      <c r="M1238" s="63">
        <v>0</v>
      </c>
      <c r="N1238" s="64">
        <v>0</v>
      </c>
      <c r="O1238" s="62">
        <v>0</v>
      </c>
      <c r="P1238" s="65">
        <f t="shared" si="77"/>
        <v>0</v>
      </c>
      <c r="Q1238" s="66"/>
      <c r="R1238" s="66"/>
      <c r="S1238" s="66"/>
      <c r="T1238" s="66"/>
      <c r="U1238" s="66"/>
      <c r="V1238" s="66"/>
      <c r="W1238" s="66"/>
      <c r="X1238" s="66"/>
      <c r="Y1238" s="66"/>
      <c r="Z1238" s="66"/>
      <c r="AA1238" s="66"/>
      <c r="AB1238" s="66"/>
      <c r="AC1238" s="66"/>
      <c r="AD1238" s="66"/>
      <c r="AE1238" s="66"/>
      <c r="AF1238" s="66"/>
      <c r="AG1238" s="66"/>
      <c r="AH1238" s="66"/>
      <c r="AI1238" s="66"/>
      <c r="AJ1238" s="66"/>
      <c r="AK1238" s="66"/>
      <c r="AL1238" s="66"/>
      <c r="AM1238" s="66"/>
      <c r="AN1238" s="66"/>
      <c r="AO1238" s="66"/>
      <c r="AP1238" s="66"/>
      <c r="AQ1238" s="66"/>
      <c r="AR1238" s="66"/>
      <c r="AS1238" s="66"/>
      <c r="AT1238" s="66"/>
      <c r="AU1238" s="66"/>
      <c r="AV1238" s="66"/>
      <c r="AW1238" s="66"/>
      <c r="AX1238" s="66"/>
      <c r="AY1238" s="66"/>
      <c r="AZ1238" s="66"/>
      <c r="BA1238" s="66"/>
      <c r="BB1238" s="66"/>
      <c r="BC1238" s="66"/>
      <c r="BD1238" s="66"/>
      <c r="BE1238" s="67"/>
      <c r="BF1238" s="67"/>
      <c r="BG1238" s="68"/>
      <c r="BI1238" s="69">
        <v>0</v>
      </c>
      <c r="BJ1238" s="70">
        <v>0</v>
      </c>
      <c r="BK1238" s="71">
        <v>0</v>
      </c>
      <c r="BL1238" s="71">
        <v>0</v>
      </c>
      <c r="BM1238" s="71">
        <v>0</v>
      </c>
      <c r="BN1238" s="72">
        <v>0</v>
      </c>
      <c r="BO1238" s="151" t="e">
        <f t="shared" si="75"/>
        <v>#DIV/0!</v>
      </c>
      <c r="BP1238" s="151" t="e">
        <f t="shared" si="76"/>
        <v>#DIV/0!</v>
      </c>
      <c r="BQ1238" s="71">
        <v>0</v>
      </c>
      <c r="BR1238" s="71">
        <v>0</v>
      </c>
      <c r="BS1238" s="71">
        <v>0</v>
      </c>
      <c r="BT1238" s="72">
        <v>0</v>
      </c>
      <c r="BU1238" s="73"/>
      <c r="BV1238" s="73"/>
    </row>
    <row r="1239" ht="30" customHeight="1" spans="1:75 16331:16349">
      <c r="A1239" s="55">
        <v>0</v>
      </c>
      <c r="B1239" s="56">
        <v>0</v>
      </c>
      <c r="C1239" s="57">
        <v>0</v>
      </c>
      <c r="D1239" s="210"/>
      <c r="E1239" s="88"/>
      <c r="F1239" s="59" t="e">
        <f>VLOOKUP(E1239,[1]库存!$B$1:$C$65536,2,FALSE)</f>
        <v>#N/A</v>
      </c>
      <c r="G1239" s="59" t="e">
        <v>#N/A</v>
      </c>
      <c r="H1239" s="89"/>
      <c r="I1239" s="88"/>
      <c r="J1239" s="90"/>
      <c r="K1239" s="61"/>
      <c r="L1239" s="62">
        <v>0</v>
      </c>
      <c r="M1239" s="63">
        <v>0</v>
      </c>
      <c r="N1239" s="64">
        <v>0</v>
      </c>
      <c r="O1239" s="62">
        <v>0</v>
      </c>
      <c r="P1239" s="65">
        <f t="shared" si="77"/>
        <v>0</v>
      </c>
      <c r="Q1239" s="66"/>
      <c r="R1239" s="66"/>
      <c r="S1239" s="66"/>
      <c r="T1239" s="66"/>
      <c r="U1239" s="66"/>
      <c r="V1239" s="66"/>
      <c r="W1239" s="66"/>
      <c r="X1239" s="66"/>
      <c r="Y1239" s="66"/>
      <c r="Z1239" s="66"/>
      <c r="AA1239" s="66"/>
      <c r="AB1239" s="66"/>
      <c r="AC1239" s="66"/>
      <c r="AD1239" s="66"/>
      <c r="AE1239" s="66"/>
      <c r="AF1239" s="66"/>
      <c r="AG1239" s="66"/>
      <c r="AH1239" s="66"/>
      <c r="AI1239" s="66"/>
      <c r="AJ1239" s="66"/>
      <c r="AK1239" s="66"/>
      <c r="AL1239" s="66"/>
      <c r="AM1239" s="66"/>
      <c r="AN1239" s="66"/>
      <c r="AO1239" s="66"/>
      <c r="AP1239" s="66"/>
      <c r="AQ1239" s="66"/>
      <c r="AR1239" s="66"/>
      <c r="AS1239" s="66"/>
      <c r="AT1239" s="66"/>
      <c r="AU1239" s="66"/>
      <c r="AV1239" s="66"/>
      <c r="AW1239" s="66"/>
      <c r="AX1239" s="66"/>
      <c r="AY1239" s="66"/>
      <c r="AZ1239" s="66"/>
      <c r="BA1239" s="66"/>
      <c r="BB1239" s="66"/>
      <c r="BC1239" s="66"/>
      <c r="BD1239" s="66"/>
      <c r="BE1239" s="67"/>
      <c r="BF1239" s="67"/>
      <c r="BG1239" s="68"/>
      <c r="BI1239" s="69">
        <v>0</v>
      </c>
      <c r="BJ1239" s="70">
        <v>0</v>
      </c>
      <c r="BK1239" s="71">
        <v>0</v>
      </c>
      <c r="BL1239" s="71">
        <v>0</v>
      </c>
      <c r="BM1239" s="71">
        <v>0</v>
      </c>
      <c r="BN1239" s="72">
        <v>0</v>
      </c>
      <c r="BO1239" s="151" t="e">
        <f t="shared" si="75"/>
        <v>#DIV/0!</v>
      </c>
      <c r="BP1239" s="151" t="e">
        <f t="shared" si="76"/>
        <v>#DIV/0!</v>
      </c>
      <c r="BQ1239" s="71">
        <v>0</v>
      </c>
      <c r="BR1239" s="71">
        <v>0</v>
      </c>
      <c r="BS1239" s="71">
        <v>0</v>
      </c>
      <c r="BT1239" s="72">
        <v>0</v>
      </c>
      <c r="BU1239" s="73"/>
      <c r="BV1239" s="73"/>
    </row>
    <row r="1240" ht="30" customHeight="1" spans="1:75 16331:16349">
      <c r="A1240" s="55" t="s">
        <v>41</v>
      </c>
      <c r="B1240" s="56" t="s">
        <v>1057</v>
      </c>
      <c r="C1240" s="57" t="s">
        <v>1324</v>
      </c>
      <c r="D1240" s="91" t="s">
        <v>2058</v>
      </c>
      <c r="E1240" s="91" t="s">
        <v>2059</v>
      </c>
      <c r="F1240" s="91" t="str">
        <f>VLOOKUP(E1240,[1]库存!$B$1:$C$65536,2,FALSE)</f>
        <v>NL-3BSAB气袋总成 左侧 A状态</v>
      </c>
      <c r="G1240" s="91" t="s">
        <v>2060</v>
      </c>
      <c r="H1240" s="91" t="s">
        <v>2061</v>
      </c>
      <c r="I1240" s="91" t="s">
        <v>2039</v>
      </c>
      <c r="J1240" s="64"/>
      <c r="K1240" s="61"/>
      <c r="L1240" s="62">
        <v>2</v>
      </c>
      <c r="M1240" s="63">
        <v>1200</v>
      </c>
      <c r="N1240" s="64">
        <v>14</v>
      </c>
      <c r="O1240" s="62">
        <v>2</v>
      </c>
      <c r="P1240" s="65">
        <f t="shared" si="77"/>
        <v>0</v>
      </c>
      <c r="Q1240" s="66"/>
      <c r="R1240" s="66"/>
      <c r="S1240" s="66"/>
      <c r="T1240" s="66"/>
      <c r="U1240" s="66"/>
      <c r="V1240" s="66"/>
      <c r="W1240" s="66"/>
      <c r="X1240" s="66"/>
      <c r="Y1240" s="66"/>
      <c r="Z1240" s="66"/>
      <c r="AA1240" s="66"/>
      <c r="AB1240" s="66"/>
      <c r="AC1240" s="66"/>
      <c r="AD1240" s="66"/>
      <c r="AE1240" s="66"/>
      <c r="AF1240" s="66"/>
      <c r="AG1240" s="66"/>
      <c r="AH1240" s="66"/>
      <c r="AI1240" s="66"/>
      <c r="AJ1240" s="66"/>
      <c r="AK1240" s="66"/>
      <c r="AL1240" s="66"/>
      <c r="AM1240" s="66"/>
      <c r="AN1240" s="66"/>
      <c r="AO1240" s="66"/>
      <c r="AP1240" s="66"/>
      <c r="AQ1240" s="66"/>
      <c r="AR1240" s="66"/>
      <c r="AS1240" s="66"/>
      <c r="AT1240" s="66"/>
      <c r="AU1240" s="66"/>
      <c r="AV1240" s="66"/>
      <c r="AW1240" s="66"/>
      <c r="AX1240" s="66"/>
      <c r="AY1240" s="66"/>
      <c r="AZ1240" s="66"/>
      <c r="BA1240" s="66"/>
      <c r="BB1240" s="66"/>
      <c r="BC1240" s="66"/>
      <c r="BD1240" s="66"/>
      <c r="BE1240" s="67"/>
      <c r="BF1240" s="67"/>
      <c r="BG1240" s="68"/>
      <c r="BI1240" s="69">
        <v>0</v>
      </c>
      <c r="BJ1240" s="70">
        <v>0</v>
      </c>
      <c r="BK1240" s="71">
        <v>0</v>
      </c>
      <c r="BL1240" s="71">
        <v>0</v>
      </c>
      <c r="BM1240" s="71">
        <v>0</v>
      </c>
      <c r="BN1240" s="72">
        <v>0</v>
      </c>
      <c r="BO1240" s="151" t="e">
        <f t="shared" si="75"/>
        <v>#DIV/0!</v>
      </c>
      <c r="BP1240" s="151" t="e">
        <f t="shared" si="76"/>
        <v>#DIV/0!</v>
      </c>
      <c r="BQ1240" s="71">
        <v>0</v>
      </c>
      <c r="BR1240" s="71">
        <v>0</v>
      </c>
      <c r="BS1240" s="71">
        <v>0</v>
      </c>
      <c r="BT1240" s="72">
        <v>0</v>
      </c>
      <c r="BU1240" s="73"/>
      <c r="BV1240" s="73"/>
    </row>
    <row r="1241" ht="30" customHeight="1" spans="1:75 16331:16349">
      <c r="A1241" s="55">
        <v>0</v>
      </c>
      <c r="B1241" s="56">
        <v>0</v>
      </c>
      <c r="C1241" s="57">
        <v>0</v>
      </c>
      <c r="D1241" s="92"/>
      <c r="E1241" s="92"/>
      <c r="F1241" s="91" t="e">
        <f>VLOOKUP(E1241,[1]库存!$B$1:$C$65536,2,FALSE)</f>
        <v>#N/A</v>
      </c>
      <c r="G1241" s="91" t="e">
        <v>#N/A</v>
      </c>
      <c r="H1241" s="92"/>
      <c r="I1241" s="92"/>
      <c r="J1241" s="93"/>
      <c r="K1241" s="61"/>
      <c r="L1241" s="62">
        <v>0</v>
      </c>
      <c r="M1241" s="63">
        <v>0</v>
      </c>
      <c r="N1241" s="64">
        <v>0</v>
      </c>
      <c r="O1241" s="62">
        <v>0</v>
      </c>
      <c r="P1241" s="65">
        <f t="shared" si="77"/>
        <v>0</v>
      </c>
      <c r="Q1241" s="66"/>
      <c r="R1241" s="66"/>
      <c r="S1241" s="66"/>
      <c r="T1241" s="66"/>
      <c r="U1241" s="66"/>
      <c r="V1241" s="66"/>
      <c r="W1241" s="66"/>
      <c r="X1241" s="66"/>
      <c r="Y1241" s="66"/>
      <c r="Z1241" s="66"/>
      <c r="AA1241" s="66"/>
      <c r="AB1241" s="66"/>
      <c r="AC1241" s="66"/>
      <c r="AD1241" s="66"/>
      <c r="AE1241" s="66"/>
      <c r="AF1241" s="66"/>
      <c r="AG1241" s="66"/>
      <c r="AH1241" s="66"/>
      <c r="AI1241" s="66"/>
      <c r="AJ1241" s="66"/>
      <c r="AK1241" s="66"/>
      <c r="AL1241" s="66"/>
      <c r="AM1241" s="66"/>
      <c r="AN1241" s="66"/>
      <c r="AO1241" s="66"/>
      <c r="AP1241" s="66"/>
      <c r="AQ1241" s="66"/>
      <c r="AR1241" s="66"/>
      <c r="AS1241" s="66"/>
      <c r="AT1241" s="66"/>
      <c r="AU1241" s="66"/>
      <c r="AV1241" s="66"/>
      <c r="AW1241" s="66"/>
      <c r="AX1241" s="66"/>
      <c r="AY1241" s="66"/>
      <c r="AZ1241" s="66"/>
      <c r="BA1241" s="66"/>
      <c r="BB1241" s="66"/>
      <c r="BC1241" s="66"/>
      <c r="BD1241" s="66"/>
      <c r="BE1241" s="67"/>
      <c r="BF1241" s="67"/>
      <c r="BG1241" s="68"/>
      <c r="BI1241" s="69">
        <v>0</v>
      </c>
      <c r="BJ1241" s="70">
        <v>0</v>
      </c>
      <c r="BK1241" s="71">
        <v>0</v>
      </c>
      <c r="BL1241" s="71">
        <v>0</v>
      </c>
      <c r="BM1241" s="71">
        <v>0</v>
      </c>
      <c r="BN1241" s="72">
        <v>0</v>
      </c>
      <c r="BO1241" s="151" t="e">
        <f t="shared" si="75"/>
        <v>#DIV/0!</v>
      </c>
      <c r="BP1241" s="151" t="e">
        <f t="shared" si="76"/>
        <v>#DIV/0!</v>
      </c>
      <c r="BQ1241" s="71">
        <v>0</v>
      </c>
      <c r="BR1241" s="71">
        <v>0</v>
      </c>
      <c r="BS1241" s="71">
        <v>0</v>
      </c>
      <c r="BT1241" s="72">
        <v>0</v>
      </c>
      <c r="BU1241" s="73"/>
      <c r="BV1241" s="73"/>
    </row>
    <row r="1242" ht="30" customHeight="1" spans="1:75 16331:16349">
      <c r="A1242" s="55" t="s">
        <v>41</v>
      </c>
      <c r="B1242" s="56" t="s">
        <v>1057</v>
      </c>
      <c r="C1242" s="57" t="s">
        <v>1324</v>
      </c>
      <c r="D1242" s="91" t="s">
        <v>2058</v>
      </c>
      <c r="E1242" s="91" t="s">
        <v>2062</v>
      </c>
      <c r="F1242" s="91" t="str">
        <f>VLOOKUP(E1242,[1]库存!$B$1:$C$65536,2,FALSE)</f>
        <v>NL-3BSAB气袋总成 右侧 A状态</v>
      </c>
      <c r="G1242" s="91" t="s">
        <v>2063</v>
      </c>
      <c r="H1242" s="91" t="s">
        <v>2064</v>
      </c>
      <c r="I1242" s="91" t="s">
        <v>2039</v>
      </c>
      <c r="J1242" s="64"/>
      <c r="K1242" s="61"/>
      <c r="L1242" s="62">
        <v>2</v>
      </c>
      <c r="M1242" s="63">
        <v>1200</v>
      </c>
      <c r="N1242" s="64">
        <v>14</v>
      </c>
      <c r="O1242" s="62">
        <v>2</v>
      </c>
      <c r="P1242" s="65">
        <f t="shared" si="77"/>
        <v>0</v>
      </c>
      <c r="Q1242" s="66"/>
      <c r="R1242" s="66"/>
      <c r="S1242" s="66"/>
      <c r="T1242" s="66"/>
      <c r="U1242" s="66"/>
      <c r="V1242" s="66"/>
      <c r="W1242" s="66"/>
      <c r="X1242" s="66"/>
      <c r="Y1242" s="66"/>
      <c r="Z1242" s="66"/>
      <c r="AA1242" s="66"/>
      <c r="AB1242" s="66"/>
      <c r="AC1242" s="66"/>
      <c r="AD1242" s="66"/>
      <c r="AE1242" s="66"/>
      <c r="AF1242" s="66"/>
      <c r="AG1242" s="66"/>
      <c r="AH1242" s="66"/>
      <c r="AI1242" s="66"/>
      <c r="AJ1242" s="66"/>
      <c r="AK1242" s="66"/>
      <c r="AL1242" s="66"/>
      <c r="AM1242" s="66"/>
      <c r="AN1242" s="66"/>
      <c r="AO1242" s="66"/>
      <c r="AP1242" s="66"/>
      <c r="AQ1242" s="66"/>
      <c r="AR1242" s="66"/>
      <c r="AS1242" s="66"/>
      <c r="AT1242" s="66"/>
      <c r="AU1242" s="66"/>
      <c r="AV1242" s="66"/>
      <c r="AW1242" s="66"/>
      <c r="AX1242" s="66"/>
      <c r="AY1242" s="66"/>
      <c r="AZ1242" s="66"/>
      <c r="BA1242" s="66"/>
      <c r="BB1242" s="66"/>
      <c r="BC1242" s="66"/>
      <c r="BD1242" s="66"/>
      <c r="BE1242" s="67"/>
      <c r="BF1242" s="67"/>
      <c r="BG1242" s="68"/>
      <c r="BI1242" s="69">
        <v>0</v>
      </c>
      <c r="BJ1242" s="70">
        <v>0</v>
      </c>
      <c r="BK1242" s="71">
        <v>0</v>
      </c>
      <c r="BL1242" s="71">
        <v>0</v>
      </c>
      <c r="BM1242" s="71">
        <v>0</v>
      </c>
      <c r="BN1242" s="72">
        <v>0</v>
      </c>
      <c r="BO1242" s="151" t="e">
        <f t="shared" ref="BO1242:BO1305" si="78">(BK1242+BL1242)/BJ1242</f>
        <v>#DIV/0!</v>
      </c>
      <c r="BP1242" s="151" t="e">
        <f t="shared" ref="BP1242:BP1305" si="79">BM1242/BJ1242</f>
        <v>#DIV/0!</v>
      </c>
      <c r="BQ1242" s="71">
        <v>0</v>
      </c>
      <c r="BR1242" s="71">
        <v>0</v>
      </c>
      <c r="BS1242" s="71">
        <v>0</v>
      </c>
      <c r="BT1242" s="72">
        <v>0</v>
      </c>
      <c r="BU1242" s="73"/>
      <c r="BV1242" s="73"/>
    </row>
    <row r="1243" ht="30" customHeight="1" spans="1:75 16331:16349">
      <c r="A1243" s="55">
        <v>0</v>
      </c>
      <c r="B1243" s="56">
        <v>0</v>
      </c>
      <c r="C1243" s="57">
        <v>0</v>
      </c>
      <c r="D1243" s="92"/>
      <c r="E1243" s="92"/>
      <c r="F1243" s="91" t="e">
        <f>VLOOKUP(E1243,[1]库存!$B$1:$C$65536,2,FALSE)</f>
        <v>#N/A</v>
      </c>
      <c r="G1243" s="91" t="e">
        <v>#N/A</v>
      </c>
      <c r="H1243" s="92"/>
      <c r="I1243" s="92"/>
      <c r="J1243" s="93"/>
      <c r="K1243" s="61"/>
      <c r="L1243" s="62">
        <v>0</v>
      </c>
      <c r="M1243" s="63">
        <v>0</v>
      </c>
      <c r="N1243" s="64">
        <v>0</v>
      </c>
      <c r="O1243" s="62">
        <v>0</v>
      </c>
      <c r="P1243" s="65">
        <f t="shared" si="77"/>
        <v>0</v>
      </c>
      <c r="Q1243" s="66"/>
      <c r="R1243" s="66"/>
      <c r="S1243" s="66"/>
      <c r="T1243" s="66"/>
      <c r="U1243" s="66"/>
      <c r="V1243" s="66"/>
      <c r="W1243" s="66"/>
      <c r="X1243" s="66"/>
      <c r="Y1243" s="66"/>
      <c r="Z1243" s="66"/>
      <c r="AA1243" s="66"/>
      <c r="AB1243" s="66"/>
      <c r="AC1243" s="66"/>
      <c r="AD1243" s="66"/>
      <c r="AE1243" s="66"/>
      <c r="AF1243" s="66"/>
      <c r="AG1243" s="66"/>
      <c r="AH1243" s="66"/>
      <c r="AI1243" s="66"/>
      <c r="AJ1243" s="66"/>
      <c r="AK1243" s="66"/>
      <c r="AL1243" s="66"/>
      <c r="AM1243" s="66"/>
      <c r="AN1243" s="66"/>
      <c r="AO1243" s="66"/>
      <c r="AP1243" s="66"/>
      <c r="AQ1243" s="66"/>
      <c r="AR1243" s="66"/>
      <c r="AS1243" s="66"/>
      <c r="AT1243" s="66"/>
      <c r="AU1243" s="66"/>
      <c r="AV1243" s="66"/>
      <c r="AW1243" s="66"/>
      <c r="AX1243" s="66"/>
      <c r="AY1243" s="66"/>
      <c r="AZ1243" s="66"/>
      <c r="BA1243" s="66"/>
      <c r="BB1243" s="66"/>
      <c r="BC1243" s="66"/>
      <c r="BD1243" s="66"/>
      <c r="BE1243" s="67"/>
      <c r="BF1243" s="67"/>
      <c r="BG1243" s="68"/>
      <c r="BI1243" s="69">
        <v>0</v>
      </c>
      <c r="BJ1243" s="70">
        <v>0</v>
      </c>
      <c r="BK1243" s="71">
        <v>0</v>
      </c>
      <c r="BL1243" s="71">
        <v>0</v>
      </c>
      <c r="BM1243" s="71">
        <v>0</v>
      </c>
      <c r="BN1243" s="72">
        <v>0</v>
      </c>
      <c r="BO1243" s="151" t="e">
        <f t="shared" si="78"/>
        <v>#DIV/0!</v>
      </c>
      <c r="BP1243" s="151" t="e">
        <f t="shared" si="79"/>
        <v>#DIV/0!</v>
      </c>
      <c r="BQ1243" s="71">
        <v>0</v>
      </c>
      <c r="BR1243" s="71">
        <v>0</v>
      </c>
      <c r="BS1243" s="71">
        <v>0</v>
      </c>
      <c r="BT1243" s="72">
        <v>0</v>
      </c>
      <c r="BU1243" s="73"/>
      <c r="BV1243" s="73"/>
    </row>
    <row r="1244" ht="30" customHeight="1" spans="1:75 16331:16349">
      <c r="A1244" s="55" t="s">
        <v>41</v>
      </c>
      <c r="B1244" s="56" t="s">
        <v>1057</v>
      </c>
      <c r="C1244" s="57" t="s">
        <v>1324</v>
      </c>
      <c r="D1244" s="59" t="s">
        <v>2058</v>
      </c>
      <c r="E1244" s="59" t="s">
        <v>2065</v>
      </c>
      <c r="F1244" s="59" t="str">
        <f>VLOOKUP(E1244,[1]库存!$B$1:$C$65536,2,FALSE)</f>
        <v>M31T SAB LH(INVISTA面料)</v>
      </c>
      <c r="G1244" s="59" t="s">
        <v>2066</v>
      </c>
      <c r="H1244" s="59" t="s">
        <v>2067</v>
      </c>
      <c r="I1244" s="59" t="s">
        <v>2068</v>
      </c>
      <c r="J1244" s="80" t="s">
        <v>65</v>
      </c>
      <c r="K1244" s="61"/>
      <c r="L1244" s="62">
        <v>2</v>
      </c>
      <c r="M1244" s="63">
        <v>1100</v>
      </c>
      <c r="N1244" s="64">
        <v>13</v>
      </c>
      <c r="O1244" s="62">
        <v>2</v>
      </c>
      <c r="P1244" s="65">
        <f t="shared" si="77"/>
        <v>0</v>
      </c>
      <c r="Q1244" s="66"/>
      <c r="R1244" s="66"/>
      <c r="S1244" s="66"/>
      <c r="T1244" s="66"/>
      <c r="U1244" s="66"/>
      <c r="V1244" s="66"/>
      <c r="W1244" s="66"/>
      <c r="X1244" s="66"/>
      <c r="Y1244" s="66"/>
      <c r="Z1244" s="66"/>
      <c r="AA1244" s="66"/>
      <c r="AB1244" s="66"/>
      <c r="AC1244" s="66"/>
      <c r="AD1244" s="66"/>
      <c r="AE1244" s="66"/>
      <c r="AF1244" s="66"/>
      <c r="AG1244" s="66"/>
      <c r="AH1244" s="66"/>
      <c r="AI1244" s="66"/>
      <c r="AJ1244" s="66"/>
      <c r="AK1244" s="66"/>
      <c r="AL1244" s="66"/>
      <c r="AM1244" s="66"/>
      <c r="AN1244" s="66"/>
      <c r="AO1244" s="66"/>
      <c r="AP1244" s="66"/>
      <c r="AQ1244" s="66"/>
      <c r="AR1244" s="66"/>
      <c r="AS1244" s="66"/>
      <c r="AT1244" s="66"/>
      <c r="AU1244" s="66"/>
      <c r="AV1244" s="66"/>
      <c r="AW1244" s="66"/>
      <c r="AX1244" s="66"/>
      <c r="AY1244" s="66"/>
      <c r="AZ1244" s="66"/>
      <c r="BA1244" s="66"/>
      <c r="BB1244" s="66"/>
      <c r="BC1244" s="66"/>
      <c r="BD1244" s="66"/>
      <c r="BE1244" s="67"/>
      <c r="BF1244" s="67"/>
      <c r="BG1244" s="68"/>
      <c r="BI1244" s="69">
        <v>0</v>
      </c>
      <c r="BJ1244" s="70">
        <v>0</v>
      </c>
      <c r="BK1244" s="71">
        <v>0</v>
      </c>
      <c r="BL1244" s="71">
        <v>0</v>
      </c>
      <c r="BM1244" s="71">
        <v>0</v>
      </c>
      <c r="BN1244" s="72">
        <v>0</v>
      </c>
      <c r="BO1244" s="151" t="e">
        <f t="shared" si="78"/>
        <v>#DIV/0!</v>
      </c>
      <c r="BP1244" s="151" t="e">
        <f t="shared" si="79"/>
        <v>#DIV/0!</v>
      </c>
      <c r="BQ1244" s="71">
        <v>0</v>
      </c>
      <c r="BR1244" s="71">
        <v>0</v>
      </c>
      <c r="BS1244" s="71">
        <v>0</v>
      </c>
      <c r="BT1244" s="72">
        <v>0</v>
      </c>
      <c r="BU1244" s="73"/>
      <c r="BV1244" s="73"/>
    </row>
    <row r="1245" ht="30" customHeight="1" spans="1:75 16331:16349">
      <c r="A1245" s="55">
        <v>0</v>
      </c>
      <c r="B1245" s="56">
        <v>0</v>
      </c>
      <c r="C1245" s="57">
        <v>0</v>
      </c>
      <c r="D1245" s="74"/>
      <c r="E1245" s="74"/>
      <c r="F1245" s="59" t="e">
        <f>VLOOKUP(E1245,[1]库存!$B$1:$C$65536,2,FALSE)</f>
        <v>#N/A</v>
      </c>
      <c r="G1245" s="59" t="e">
        <v>#N/A</v>
      </c>
      <c r="H1245" s="74"/>
      <c r="I1245" s="74"/>
      <c r="J1245" s="81"/>
      <c r="K1245" s="61"/>
      <c r="L1245" s="62">
        <v>0</v>
      </c>
      <c r="M1245" s="63">
        <v>0</v>
      </c>
      <c r="N1245" s="64">
        <v>0</v>
      </c>
      <c r="O1245" s="62">
        <v>0</v>
      </c>
      <c r="P1245" s="65">
        <f t="shared" si="77"/>
        <v>0</v>
      </c>
      <c r="Q1245" s="66"/>
      <c r="R1245" s="66"/>
      <c r="S1245" s="66"/>
      <c r="T1245" s="66"/>
      <c r="U1245" s="66"/>
      <c r="V1245" s="66"/>
      <c r="W1245" s="66"/>
      <c r="X1245" s="66"/>
      <c r="Y1245" s="66"/>
      <c r="Z1245" s="66"/>
      <c r="AA1245" s="66"/>
      <c r="AB1245" s="66"/>
      <c r="AC1245" s="66"/>
      <c r="AD1245" s="66"/>
      <c r="AE1245" s="66"/>
      <c r="AF1245" s="66"/>
      <c r="AG1245" s="66"/>
      <c r="AH1245" s="66"/>
      <c r="AI1245" s="66"/>
      <c r="AJ1245" s="66"/>
      <c r="AK1245" s="66"/>
      <c r="AL1245" s="66"/>
      <c r="AM1245" s="66"/>
      <c r="AN1245" s="66"/>
      <c r="AO1245" s="66"/>
      <c r="AP1245" s="66"/>
      <c r="AQ1245" s="66"/>
      <c r="AR1245" s="66"/>
      <c r="AS1245" s="66"/>
      <c r="AT1245" s="66"/>
      <c r="AU1245" s="66"/>
      <c r="AV1245" s="66"/>
      <c r="AW1245" s="66"/>
      <c r="AX1245" s="66"/>
      <c r="AY1245" s="66"/>
      <c r="AZ1245" s="66"/>
      <c r="BA1245" s="66"/>
      <c r="BB1245" s="66"/>
      <c r="BC1245" s="66"/>
      <c r="BD1245" s="66"/>
      <c r="BE1245" s="67"/>
      <c r="BF1245" s="67"/>
      <c r="BG1245" s="68"/>
      <c r="BI1245" s="69">
        <v>0</v>
      </c>
      <c r="BJ1245" s="70">
        <v>0</v>
      </c>
      <c r="BK1245" s="71">
        <v>0</v>
      </c>
      <c r="BL1245" s="71">
        <v>0</v>
      </c>
      <c r="BM1245" s="71">
        <v>0</v>
      </c>
      <c r="BN1245" s="72">
        <v>0</v>
      </c>
      <c r="BO1245" s="151" t="e">
        <f t="shared" si="78"/>
        <v>#DIV/0!</v>
      </c>
      <c r="BP1245" s="151" t="e">
        <f t="shared" si="79"/>
        <v>#DIV/0!</v>
      </c>
      <c r="BQ1245" s="71">
        <v>0</v>
      </c>
      <c r="BR1245" s="71">
        <v>0</v>
      </c>
      <c r="BS1245" s="71">
        <v>0</v>
      </c>
      <c r="BT1245" s="72">
        <v>0</v>
      </c>
      <c r="BU1245" s="73"/>
      <c r="BV1245" s="73"/>
    </row>
    <row r="1246" ht="30" customHeight="1" spans="1:75 16331:16349">
      <c r="A1246" s="55" t="s">
        <v>41</v>
      </c>
      <c r="B1246" s="56" t="s">
        <v>1057</v>
      </c>
      <c r="C1246" s="57" t="s">
        <v>1324</v>
      </c>
      <c r="D1246" s="59" t="s">
        <v>2058</v>
      </c>
      <c r="E1246" s="59" t="s">
        <v>2069</v>
      </c>
      <c r="F1246" s="59" t="str">
        <f>VLOOKUP(E1246,[1]库存!$B$1:$C$65536,2,FALSE)</f>
        <v>M31T SAB RH(INVISTA面料)</v>
      </c>
      <c r="G1246" s="59" t="s">
        <v>2070</v>
      </c>
      <c r="H1246" s="59" t="s">
        <v>2071</v>
      </c>
      <c r="I1246" s="59" t="s">
        <v>2068</v>
      </c>
      <c r="J1246" s="80" t="s">
        <v>65</v>
      </c>
      <c r="K1246" s="61"/>
      <c r="L1246" s="62">
        <v>2</v>
      </c>
      <c r="M1246" s="63">
        <v>1100</v>
      </c>
      <c r="N1246" s="64">
        <v>13</v>
      </c>
      <c r="O1246" s="62">
        <v>2</v>
      </c>
      <c r="P1246" s="65">
        <f t="shared" si="77"/>
        <v>0</v>
      </c>
      <c r="Q1246" s="66"/>
      <c r="R1246" s="66"/>
      <c r="S1246" s="66"/>
      <c r="T1246" s="66"/>
      <c r="U1246" s="66"/>
      <c r="V1246" s="66"/>
      <c r="W1246" s="66"/>
      <c r="X1246" s="66"/>
      <c r="Y1246" s="66"/>
      <c r="Z1246" s="66"/>
      <c r="AA1246" s="66"/>
      <c r="AB1246" s="66"/>
      <c r="AC1246" s="66"/>
      <c r="AD1246" s="66"/>
      <c r="AE1246" s="66"/>
      <c r="AF1246" s="66"/>
      <c r="AG1246" s="66"/>
      <c r="AH1246" s="66"/>
      <c r="AI1246" s="66"/>
      <c r="AJ1246" s="66"/>
      <c r="AK1246" s="66"/>
      <c r="AL1246" s="66"/>
      <c r="AM1246" s="66"/>
      <c r="AN1246" s="66"/>
      <c r="AO1246" s="66"/>
      <c r="AP1246" s="66"/>
      <c r="AQ1246" s="66"/>
      <c r="AR1246" s="66"/>
      <c r="AS1246" s="66"/>
      <c r="AT1246" s="66"/>
      <c r="AU1246" s="66"/>
      <c r="AV1246" s="66"/>
      <c r="AW1246" s="66"/>
      <c r="AX1246" s="66"/>
      <c r="AY1246" s="66"/>
      <c r="AZ1246" s="66"/>
      <c r="BA1246" s="66"/>
      <c r="BB1246" s="66"/>
      <c r="BC1246" s="66"/>
      <c r="BD1246" s="66"/>
      <c r="BE1246" s="67"/>
      <c r="BF1246" s="67"/>
      <c r="BG1246" s="68"/>
      <c r="BI1246" s="69">
        <v>0</v>
      </c>
      <c r="BJ1246" s="70">
        <v>0</v>
      </c>
      <c r="BK1246" s="71">
        <v>0</v>
      </c>
      <c r="BL1246" s="71">
        <v>0</v>
      </c>
      <c r="BM1246" s="71">
        <v>0</v>
      </c>
      <c r="BN1246" s="72">
        <v>0</v>
      </c>
      <c r="BO1246" s="151" t="e">
        <f t="shared" si="78"/>
        <v>#DIV/0!</v>
      </c>
      <c r="BP1246" s="151" t="e">
        <f t="shared" si="79"/>
        <v>#DIV/0!</v>
      </c>
      <c r="BQ1246" s="71">
        <v>0</v>
      </c>
      <c r="BR1246" s="71">
        <v>0</v>
      </c>
      <c r="BS1246" s="71">
        <v>0</v>
      </c>
      <c r="BT1246" s="72">
        <v>0</v>
      </c>
      <c r="BU1246" s="73"/>
      <c r="BV1246" s="73"/>
    </row>
    <row r="1247" ht="30" customHeight="1" spans="1:75 16331:16349">
      <c r="A1247" s="55">
        <v>0</v>
      </c>
      <c r="B1247" s="56">
        <v>0</v>
      </c>
      <c r="C1247" s="57">
        <v>0</v>
      </c>
      <c r="D1247" s="74"/>
      <c r="E1247" s="74"/>
      <c r="F1247" s="59" t="e">
        <f>VLOOKUP(E1247,[1]库存!$B$1:$C$65536,2,FALSE)</f>
        <v>#N/A</v>
      </c>
      <c r="G1247" s="59" t="e">
        <v>#N/A</v>
      </c>
      <c r="H1247" s="74"/>
      <c r="I1247" s="74"/>
      <c r="J1247" s="81"/>
      <c r="K1247" s="61"/>
      <c r="L1247" s="62">
        <v>0</v>
      </c>
      <c r="M1247" s="63">
        <v>0</v>
      </c>
      <c r="N1247" s="64">
        <v>0</v>
      </c>
      <c r="O1247" s="62">
        <v>0</v>
      </c>
      <c r="P1247" s="65">
        <f t="shared" si="77"/>
        <v>0</v>
      </c>
      <c r="Q1247" s="66"/>
      <c r="R1247" s="66"/>
      <c r="S1247" s="66"/>
      <c r="T1247" s="66"/>
      <c r="U1247" s="66"/>
      <c r="V1247" s="66"/>
      <c r="W1247" s="66"/>
      <c r="X1247" s="66"/>
      <c r="Y1247" s="66"/>
      <c r="Z1247" s="66"/>
      <c r="AA1247" s="66"/>
      <c r="AB1247" s="66"/>
      <c r="AC1247" s="66"/>
      <c r="AD1247" s="66"/>
      <c r="AE1247" s="66"/>
      <c r="AF1247" s="66"/>
      <c r="AG1247" s="66"/>
      <c r="AH1247" s="66"/>
      <c r="AI1247" s="66"/>
      <c r="AJ1247" s="66"/>
      <c r="AK1247" s="66"/>
      <c r="AL1247" s="66"/>
      <c r="AM1247" s="66"/>
      <c r="AN1247" s="66"/>
      <c r="AO1247" s="66"/>
      <c r="AP1247" s="66"/>
      <c r="AQ1247" s="66"/>
      <c r="AR1247" s="66"/>
      <c r="AS1247" s="66"/>
      <c r="AT1247" s="66"/>
      <c r="AU1247" s="66"/>
      <c r="AV1247" s="66"/>
      <c r="AW1247" s="66"/>
      <c r="AX1247" s="66"/>
      <c r="AY1247" s="66"/>
      <c r="AZ1247" s="66"/>
      <c r="BA1247" s="66"/>
      <c r="BB1247" s="66"/>
      <c r="BC1247" s="66"/>
      <c r="BD1247" s="66"/>
      <c r="BE1247" s="67"/>
      <c r="BF1247" s="67"/>
      <c r="BG1247" s="68"/>
      <c r="BI1247" s="69">
        <v>0</v>
      </c>
      <c r="BJ1247" s="70">
        <v>0</v>
      </c>
      <c r="BK1247" s="71">
        <v>0</v>
      </c>
      <c r="BL1247" s="71">
        <v>0</v>
      </c>
      <c r="BM1247" s="71">
        <v>0</v>
      </c>
      <c r="BN1247" s="72">
        <v>0</v>
      </c>
      <c r="BO1247" s="151" t="e">
        <f t="shared" si="78"/>
        <v>#DIV/0!</v>
      </c>
      <c r="BP1247" s="151" t="e">
        <f t="shared" si="79"/>
        <v>#DIV/0!</v>
      </c>
      <c r="BQ1247" s="71">
        <v>0</v>
      </c>
      <c r="BR1247" s="71">
        <v>0</v>
      </c>
      <c r="BS1247" s="71">
        <v>0</v>
      </c>
      <c r="BT1247" s="72">
        <v>0</v>
      </c>
      <c r="BU1247" s="73"/>
      <c r="BV1247" s="73"/>
    </row>
    <row r="1248" s="1" customFormat="1" ht="30" customHeight="1" spans="1:75 16331:16349">
      <c r="A1248" s="110" t="s">
        <v>41</v>
      </c>
      <c r="B1248" s="111" t="s">
        <v>1057</v>
      </c>
      <c r="C1248" s="112" t="s">
        <v>1324</v>
      </c>
      <c r="D1248" s="113" t="s">
        <v>2058</v>
      </c>
      <c r="E1248" s="113" t="s">
        <v>2072</v>
      </c>
      <c r="F1248" s="113" t="str">
        <f>VLOOKUP(E1248,[1]库存!$B$1:$C$65536,2,FALSE)</f>
        <v>FE-5A SAB LH（埃）</v>
      </c>
      <c r="G1248" s="113" t="s">
        <v>2073</v>
      </c>
      <c r="H1248" s="113" t="s">
        <v>2074</v>
      </c>
      <c r="I1248" s="113" t="s">
        <v>2075</v>
      </c>
      <c r="J1248" s="220" t="s">
        <v>2076</v>
      </c>
      <c r="K1248" s="115"/>
      <c r="L1248" s="116">
        <v>2</v>
      </c>
      <c r="M1248" s="117">
        <v>1350</v>
      </c>
      <c r="N1248" s="114">
        <v>14</v>
      </c>
      <c r="O1248" s="116">
        <v>2</v>
      </c>
      <c r="P1248" s="65">
        <f t="shared" si="77"/>
        <v>0</v>
      </c>
      <c r="Q1248" s="67"/>
      <c r="R1248" s="67"/>
      <c r="S1248" s="67"/>
      <c r="T1248" s="67"/>
      <c r="U1248" s="67"/>
      <c r="V1248" s="67"/>
      <c r="W1248" s="67"/>
      <c r="X1248" s="67"/>
      <c r="Y1248" s="67"/>
      <c r="Z1248" s="67"/>
      <c r="AA1248" s="67"/>
      <c r="AB1248" s="67"/>
      <c r="AC1248" s="67"/>
      <c r="AD1248" s="67"/>
      <c r="AE1248" s="67"/>
      <c r="AF1248" s="67"/>
      <c r="AG1248" s="67"/>
      <c r="AH1248" s="67"/>
      <c r="AI1248" s="67"/>
      <c r="AJ1248" s="67"/>
      <c r="AK1248" s="67"/>
      <c r="AL1248" s="67"/>
      <c r="AM1248" s="67"/>
      <c r="AN1248" s="67"/>
      <c r="AO1248" s="67"/>
      <c r="AP1248" s="67"/>
      <c r="AQ1248" s="67"/>
      <c r="AR1248" s="67"/>
      <c r="AS1248" s="67"/>
      <c r="AT1248" s="67"/>
      <c r="AU1248" s="67"/>
      <c r="AV1248" s="67"/>
      <c r="AW1248" s="67"/>
      <c r="AX1248" s="67"/>
      <c r="AY1248" s="67"/>
      <c r="AZ1248" s="67"/>
      <c r="BA1248" s="67"/>
      <c r="BB1248" s="67"/>
      <c r="BC1248" s="67"/>
      <c r="BD1248" s="67"/>
      <c r="BE1248" s="67"/>
      <c r="BF1248" s="67"/>
      <c r="BG1248" s="118"/>
      <c r="BH1248" s="119"/>
      <c r="BI1248" s="120">
        <v>0</v>
      </c>
      <c r="BJ1248" s="121">
        <v>0</v>
      </c>
      <c r="BK1248" s="122">
        <v>0</v>
      </c>
      <c r="BL1248" s="122">
        <v>0</v>
      </c>
      <c r="BM1248" s="122">
        <v>0</v>
      </c>
      <c r="BN1248" s="123">
        <v>0</v>
      </c>
      <c r="BO1248" s="204" t="e">
        <f t="shared" si="78"/>
        <v>#DIV/0!</v>
      </c>
      <c r="BP1248" s="204" t="e">
        <f t="shared" si="79"/>
        <v>#DIV/0!</v>
      </c>
      <c r="BQ1248" s="122">
        <v>0</v>
      </c>
      <c r="BR1248" s="122">
        <v>0</v>
      </c>
      <c r="BS1248" s="122">
        <v>0</v>
      </c>
      <c r="BT1248" s="123">
        <v>0</v>
      </c>
      <c r="BU1248" s="124"/>
      <c r="BV1248" s="124"/>
      <c r="BW1248" s="125"/>
      <c r="XDC1248" s="126"/>
      <c r="XDD1248" s="126"/>
      <c r="XDE1248" s="126"/>
      <c r="XDF1248" s="126"/>
      <c r="XDG1248" s="126"/>
      <c r="XDH1248" s="126"/>
      <c r="XDI1248" s="126"/>
      <c r="XDJ1248" s="126"/>
      <c r="XDK1248" s="126"/>
      <c r="XDL1248" s="126"/>
      <c r="XDM1248" s="126"/>
      <c r="XDN1248" s="126"/>
      <c r="XDO1248" s="126"/>
      <c r="XDP1248" s="126"/>
      <c r="XDQ1248" s="126"/>
      <c r="XDR1248" s="126"/>
      <c r="XDS1248" s="126"/>
      <c r="XDT1248" s="126"/>
      <c r="XDU1248" s="126"/>
    </row>
    <row r="1249" s="1" customFormat="1" ht="30" customHeight="1" spans="1:75 16331:16349">
      <c r="A1249" s="110">
        <v>0</v>
      </c>
      <c r="B1249" s="111">
        <v>0</v>
      </c>
      <c r="C1249" s="112">
        <v>0</v>
      </c>
      <c r="D1249" s="127"/>
      <c r="E1249" s="127"/>
      <c r="F1249" s="113" t="e">
        <f>VLOOKUP(E1249,[1]库存!$B$1:$C$65536,2,FALSE)</f>
        <v>#N/A</v>
      </c>
      <c r="G1249" s="113" t="e">
        <v>#N/A</v>
      </c>
      <c r="H1249" s="127"/>
      <c r="I1249" s="127"/>
      <c r="J1249" s="221"/>
      <c r="K1249" s="115"/>
      <c r="L1249" s="116">
        <v>0</v>
      </c>
      <c r="M1249" s="117">
        <v>0</v>
      </c>
      <c r="N1249" s="114">
        <v>0</v>
      </c>
      <c r="O1249" s="116">
        <v>0</v>
      </c>
      <c r="P1249" s="65">
        <f t="shared" si="77"/>
        <v>0</v>
      </c>
      <c r="Q1249" s="67"/>
      <c r="R1249" s="67"/>
      <c r="S1249" s="67"/>
      <c r="T1249" s="67"/>
      <c r="U1249" s="67"/>
      <c r="V1249" s="67"/>
      <c r="W1249" s="67"/>
      <c r="X1249" s="67"/>
      <c r="Y1249" s="67"/>
      <c r="Z1249" s="67"/>
      <c r="AA1249" s="67"/>
      <c r="AB1249" s="67"/>
      <c r="AC1249" s="67"/>
      <c r="AD1249" s="67"/>
      <c r="AE1249" s="67"/>
      <c r="AF1249" s="67"/>
      <c r="AG1249" s="67"/>
      <c r="AH1249" s="67"/>
      <c r="AI1249" s="67"/>
      <c r="AJ1249" s="67"/>
      <c r="AK1249" s="67"/>
      <c r="AL1249" s="67"/>
      <c r="AM1249" s="67"/>
      <c r="AN1249" s="67"/>
      <c r="AO1249" s="67"/>
      <c r="AP1249" s="67"/>
      <c r="AQ1249" s="67"/>
      <c r="AR1249" s="67"/>
      <c r="AS1249" s="67"/>
      <c r="AT1249" s="67"/>
      <c r="AU1249" s="67"/>
      <c r="AV1249" s="67"/>
      <c r="AW1249" s="67"/>
      <c r="AX1249" s="67"/>
      <c r="AY1249" s="67"/>
      <c r="AZ1249" s="67"/>
      <c r="BA1249" s="67"/>
      <c r="BB1249" s="67"/>
      <c r="BC1249" s="67"/>
      <c r="BD1249" s="67"/>
      <c r="BE1249" s="67"/>
      <c r="BF1249" s="67"/>
      <c r="BG1249" s="118"/>
      <c r="BH1249" s="119"/>
      <c r="BI1249" s="120">
        <v>0</v>
      </c>
      <c r="BJ1249" s="121">
        <v>0</v>
      </c>
      <c r="BK1249" s="122">
        <v>0</v>
      </c>
      <c r="BL1249" s="122">
        <v>0</v>
      </c>
      <c r="BM1249" s="122">
        <v>0</v>
      </c>
      <c r="BN1249" s="123">
        <v>0</v>
      </c>
      <c r="BO1249" s="204" t="e">
        <f t="shared" si="78"/>
        <v>#DIV/0!</v>
      </c>
      <c r="BP1249" s="204" t="e">
        <f t="shared" si="79"/>
        <v>#DIV/0!</v>
      </c>
      <c r="BQ1249" s="122">
        <v>0</v>
      </c>
      <c r="BR1249" s="122">
        <v>0</v>
      </c>
      <c r="BS1249" s="122">
        <v>0</v>
      </c>
      <c r="BT1249" s="123">
        <v>0</v>
      </c>
      <c r="BU1249" s="124"/>
      <c r="BV1249" s="124"/>
      <c r="BW1249" s="125"/>
      <c r="XDC1249" s="126"/>
      <c r="XDD1249" s="126"/>
      <c r="XDE1249" s="126"/>
      <c r="XDF1249" s="126"/>
      <c r="XDG1249" s="126"/>
      <c r="XDH1249" s="126"/>
      <c r="XDI1249" s="126"/>
      <c r="XDJ1249" s="126"/>
      <c r="XDK1249" s="126"/>
      <c r="XDL1249" s="126"/>
      <c r="XDM1249" s="126"/>
      <c r="XDN1249" s="126"/>
      <c r="XDO1249" s="126"/>
      <c r="XDP1249" s="126"/>
      <c r="XDQ1249" s="126"/>
      <c r="XDR1249" s="126"/>
      <c r="XDS1249" s="126"/>
      <c r="XDT1249" s="126"/>
      <c r="XDU1249" s="126"/>
    </row>
    <row r="1250" s="1" customFormat="1" ht="30" customHeight="1" spans="1:75 16331:16349">
      <c r="A1250" s="110" t="s">
        <v>41</v>
      </c>
      <c r="B1250" s="111" t="s">
        <v>1057</v>
      </c>
      <c r="C1250" s="112" t="s">
        <v>1324</v>
      </c>
      <c r="D1250" s="113" t="s">
        <v>2058</v>
      </c>
      <c r="E1250" s="113" t="s">
        <v>2077</v>
      </c>
      <c r="F1250" s="113" t="str">
        <f>VLOOKUP(E1250,[1]库存!$B$1:$C$65536,2,FALSE)</f>
        <v>FE-5A SAB RH（埃）</v>
      </c>
      <c r="G1250" s="113" t="s">
        <v>2078</v>
      </c>
      <c r="H1250" s="113" t="s">
        <v>2079</v>
      </c>
      <c r="I1250" s="113" t="s">
        <v>2075</v>
      </c>
      <c r="J1250" s="220" t="s">
        <v>2076</v>
      </c>
      <c r="K1250" s="115"/>
      <c r="L1250" s="116">
        <v>2</v>
      </c>
      <c r="M1250" s="117">
        <v>1350</v>
      </c>
      <c r="N1250" s="114">
        <v>14</v>
      </c>
      <c r="O1250" s="116">
        <v>2</v>
      </c>
      <c r="P1250" s="65">
        <f t="shared" si="77"/>
        <v>0</v>
      </c>
      <c r="Q1250" s="67"/>
      <c r="R1250" s="67"/>
      <c r="S1250" s="67"/>
      <c r="T1250" s="67"/>
      <c r="U1250" s="67"/>
      <c r="V1250" s="67"/>
      <c r="W1250" s="67"/>
      <c r="X1250" s="67"/>
      <c r="Y1250" s="67"/>
      <c r="Z1250" s="67"/>
      <c r="AA1250" s="67"/>
      <c r="AB1250" s="67"/>
      <c r="AC1250" s="67"/>
      <c r="AD1250" s="67"/>
      <c r="AE1250" s="67"/>
      <c r="AF1250" s="67"/>
      <c r="AG1250" s="67"/>
      <c r="AH1250" s="67"/>
      <c r="AI1250" s="67"/>
      <c r="AJ1250" s="67"/>
      <c r="AK1250" s="67"/>
      <c r="AL1250" s="67"/>
      <c r="AM1250" s="67"/>
      <c r="AN1250" s="67"/>
      <c r="AO1250" s="67"/>
      <c r="AP1250" s="67"/>
      <c r="AQ1250" s="67"/>
      <c r="AR1250" s="67"/>
      <c r="AS1250" s="67"/>
      <c r="AT1250" s="67"/>
      <c r="AU1250" s="67"/>
      <c r="AV1250" s="67"/>
      <c r="AW1250" s="67"/>
      <c r="AX1250" s="67"/>
      <c r="AY1250" s="67"/>
      <c r="AZ1250" s="67"/>
      <c r="BA1250" s="67"/>
      <c r="BB1250" s="67"/>
      <c r="BC1250" s="67"/>
      <c r="BD1250" s="67"/>
      <c r="BE1250" s="67"/>
      <c r="BF1250" s="67"/>
      <c r="BG1250" s="118"/>
      <c r="BH1250" s="119"/>
      <c r="BI1250" s="120">
        <v>0</v>
      </c>
      <c r="BJ1250" s="121">
        <v>0</v>
      </c>
      <c r="BK1250" s="122">
        <v>0</v>
      </c>
      <c r="BL1250" s="122">
        <v>0</v>
      </c>
      <c r="BM1250" s="122">
        <v>0</v>
      </c>
      <c r="BN1250" s="123">
        <v>0</v>
      </c>
      <c r="BO1250" s="204" t="e">
        <f t="shared" si="78"/>
        <v>#DIV/0!</v>
      </c>
      <c r="BP1250" s="204" t="e">
        <f t="shared" si="79"/>
        <v>#DIV/0!</v>
      </c>
      <c r="BQ1250" s="122">
        <v>0</v>
      </c>
      <c r="BR1250" s="122">
        <v>0</v>
      </c>
      <c r="BS1250" s="122">
        <v>0</v>
      </c>
      <c r="BT1250" s="123">
        <v>0</v>
      </c>
      <c r="BU1250" s="124"/>
      <c r="BV1250" s="124"/>
      <c r="BW1250" s="125"/>
      <c r="XDC1250" s="126"/>
      <c r="XDD1250" s="126"/>
      <c r="XDE1250" s="126"/>
      <c r="XDF1250" s="126"/>
      <c r="XDG1250" s="126"/>
      <c r="XDH1250" s="126"/>
      <c r="XDI1250" s="126"/>
      <c r="XDJ1250" s="126"/>
      <c r="XDK1250" s="126"/>
      <c r="XDL1250" s="126"/>
      <c r="XDM1250" s="126"/>
      <c r="XDN1250" s="126"/>
      <c r="XDO1250" s="126"/>
      <c r="XDP1250" s="126"/>
      <c r="XDQ1250" s="126"/>
      <c r="XDR1250" s="126"/>
      <c r="XDS1250" s="126"/>
      <c r="XDT1250" s="126"/>
      <c r="XDU1250" s="126"/>
    </row>
    <row r="1251" s="1" customFormat="1" ht="30" customHeight="1" spans="1:75 16331:16349">
      <c r="A1251" s="110">
        <v>0</v>
      </c>
      <c r="B1251" s="111">
        <v>0</v>
      </c>
      <c r="C1251" s="112">
        <v>0</v>
      </c>
      <c r="D1251" s="127"/>
      <c r="E1251" s="127"/>
      <c r="F1251" s="113" t="e">
        <f>VLOOKUP(E1251,[1]库存!$B$1:$C$65536,2,FALSE)</f>
        <v>#N/A</v>
      </c>
      <c r="G1251" s="113" t="e">
        <v>#N/A</v>
      </c>
      <c r="H1251" s="127"/>
      <c r="I1251" s="127"/>
      <c r="J1251" s="221"/>
      <c r="K1251" s="115"/>
      <c r="L1251" s="116">
        <v>0</v>
      </c>
      <c r="M1251" s="117">
        <v>0</v>
      </c>
      <c r="N1251" s="114">
        <v>0</v>
      </c>
      <c r="O1251" s="116">
        <v>0</v>
      </c>
      <c r="P1251" s="65">
        <f t="shared" si="77"/>
        <v>0</v>
      </c>
      <c r="Q1251" s="67"/>
      <c r="R1251" s="67"/>
      <c r="S1251" s="67"/>
      <c r="T1251" s="67"/>
      <c r="U1251" s="67"/>
      <c r="V1251" s="67"/>
      <c r="W1251" s="67"/>
      <c r="X1251" s="67"/>
      <c r="Y1251" s="67"/>
      <c r="Z1251" s="67"/>
      <c r="AA1251" s="67"/>
      <c r="AB1251" s="67"/>
      <c r="AC1251" s="67"/>
      <c r="AD1251" s="67"/>
      <c r="AE1251" s="67"/>
      <c r="AF1251" s="67"/>
      <c r="AG1251" s="67"/>
      <c r="AH1251" s="67"/>
      <c r="AI1251" s="67"/>
      <c r="AJ1251" s="67"/>
      <c r="AK1251" s="67"/>
      <c r="AL1251" s="67"/>
      <c r="AM1251" s="67"/>
      <c r="AN1251" s="67"/>
      <c r="AO1251" s="67"/>
      <c r="AP1251" s="67"/>
      <c r="AQ1251" s="67"/>
      <c r="AR1251" s="67"/>
      <c r="AS1251" s="67"/>
      <c r="AT1251" s="67"/>
      <c r="AU1251" s="67"/>
      <c r="AV1251" s="67"/>
      <c r="AW1251" s="67"/>
      <c r="AX1251" s="67"/>
      <c r="AY1251" s="67"/>
      <c r="AZ1251" s="67"/>
      <c r="BA1251" s="67"/>
      <c r="BB1251" s="67"/>
      <c r="BC1251" s="67"/>
      <c r="BD1251" s="67"/>
      <c r="BE1251" s="67"/>
      <c r="BF1251" s="67"/>
      <c r="BG1251" s="118"/>
      <c r="BH1251" s="119"/>
      <c r="BI1251" s="120">
        <v>0</v>
      </c>
      <c r="BJ1251" s="121">
        <v>0</v>
      </c>
      <c r="BK1251" s="122">
        <v>0</v>
      </c>
      <c r="BL1251" s="122">
        <v>0</v>
      </c>
      <c r="BM1251" s="122">
        <v>0</v>
      </c>
      <c r="BN1251" s="123">
        <v>0</v>
      </c>
      <c r="BO1251" s="204" t="e">
        <f t="shared" si="78"/>
        <v>#DIV/0!</v>
      </c>
      <c r="BP1251" s="204" t="e">
        <f t="shared" si="79"/>
        <v>#DIV/0!</v>
      </c>
      <c r="BQ1251" s="122">
        <v>0</v>
      </c>
      <c r="BR1251" s="122">
        <v>0</v>
      </c>
      <c r="BS1251" s="122">
        <v>0</v>
      </c>
      <c r="BT1251" s="123">
        <v>0</v>
      </c>
      <c r="BU1251" s="124"/>
      <c r="BV1251" s="124"/>
      <c r="BW1251" s="125"/>
      <c r="XDC1251" s="126"/>
      <c r="XDD1251" s="126"/>
      <c r="XDE1251" s="126"/>
      <c r="XDF1251" s="126"/>
      <c r="XDG1251" s="126"/>
      <c r="XDH1251" s="126"/>
      <c r="XDI1251" s="126"/>
      <c r="XDJ1251" s="126"/>
      <c r="XDK1251" s="126"/>
      <c r="XDL1251" s="126"/>
      <c r="XDM1251" s="126"/>
      <c r="XDN1251" s="126"/>
      <c r="XDO1251" s="126"/>
      <c r="XDP1251" s="126"/>
      <c r="XDQ1251" s="126"/>
      <c r="XDR1251" s="126"/>
      <c r="XDS1251" s="126"/>
      <c r="XDT1251" s="126"/>
      <c r="XDU1251" s="126"/>
    </row>
    <row r="1252" ht="30" customHeight="1" spans="1:75 16331:16349">
      <c r="A1252" s="55">
        <v>0</v>
      </c>
      <c r="B1252" s="56">
        <v>0</v>
      </c>
      <c r="C1252" s="57">
        <v>0</v>
      </c>
      <c r="D1252" s="210"/>
      <c r="E1252" s="88"/>
      <c r="F1252" s="59" t="e">
        <f>VLOOKUP(E1252,[1]库存!$B$1:$C$65536,2,FALSE)</f>
        <v>#N/A</v>
      </c>
      <c r="G1252" s="59" t="e">
        <v>#N/A</v>
      </c>
      <c r="H1252" s="89"/>
      <c r="I1252" s="88"/>
      <c r="J1252" s="90"/>
      <c r="K1252" s="61"/>
      <c r="L1252" s="62">
        <v>0</v>
      </c>
      <c r="M1252" s="63">
        <v>0</v>
      </c>
      <c r="N1252" s="64">
        <v>0</v>
      </c>
      <c r="O1252" s="62">
        <v>0</v>
      </c>
      <c r="P1252" s="65">
        <f t="shared" si="77"/>
        <v>0</v>
      </c>
      <c r="Q1252" s="66"/>
      <c r="R1252" s="66"/>
      <c r="S1252" s="66"/>
      <c r="T1252" s="66"/>
      <c r="U1252" s="66"/>
      <c r="V1252" s="66"/>
      <c r="W1252" s="66"/>
      <c r="X1252" s="66"/>
      <c r="Y1252" s="66"/>
      <c r="Z1252" s="66"/>
      <c r="AA1252" s="66"/>
      <c r="AB1252" s="66"/>
      <c r="AC1252" s="66"/>
      <c r="AD1252" s="66"/>
      <c r="AE1252" s="66"/>
      <c r="AF1252" s="66"/>
      <c r="AG1252" s="66"/>
      <c r="AH1252" s="66"/>
      <c r="AI1252" s="66"/>
      <c r="AJ1252" s="66"/>
      <c r="AK1252" s="66"/>
      <c r="AL1252" s="66"/>
      <c r="AM1252" s="66"/>
      <c r="AN1252" s="66"/>
      <c r="AO1252" s="66"/>
      <c r="AP1252" s="66"/>
      <c r="AQ1252" s="66"/>
      <c r="AR1252" s="66"/>
      <c r="AS1252" s="66"/>
      <c r="AT1252" s="66"/>
      <c r="AU1252" s="66"/>
      <c r="AV1252" s="66"/>
      <c r="AW1252" s="66"/>
      <c r="AX1252" s="66"/>
      <c r="AY1252" s="66"/>
      <c r="AZ1252" s="66"/>
      <c r="BA1252" s="66"/>
      <c r="BB1252" s="66"/>
      <c r="BC1252" s="66"/>
      <c r="BD1252" s="66"/>
      <c r="BE1252" s="67"/>
      <c r="BF1252" s="67"/>
      <c r="BG1252" s="68"/>
      <c r="BI1252" s="69">
        <v>0</v>
      </c>
      <c r="BJ1252" s="70">
        <v>0</v>
      </c>
      <c r="BK1252" s="71">
        <v>0</v>
      </c>
      <c r="BL1252" s="71">
        <v>0</v>
      </c>
      <c r="BM1252" s="71">
        <v>0</v>
      </c>
      <c r="BN1252" s="72">
        <v>0</v>
      </c>
      <c r="BO1252" s="151" t="e">
        <f t="shared" si="78"/>
        <v>#DIV/0!</v>
      </c>
      <c r="BP1252" s="151" t="e">
        <f t="shared" si="79"/>
        <v>#DIV/0!</v>
      </c>
      <c r="BQ1252" s="71">
        <v>0</v>
      </c>
      <c r="BR1252" s="71">
        <v>0</v>
      </c>
      <c r="BS1252" s="71">
        <v>0</v>
      </c>
      <c r="BT1252" s="72">
        <v>0</v>
      </c>
      <c r="BU1252" s="73"/>
      <c r="BV1252" s="73"/>
    </row>
    <row r="1253" ht="30" customHeight="1" spans="1:75 16331:16349">
      <c r="A1253" s="55" t="s">
        <v>96</v>
      </c>
      <c r="B1253" s="56" t="s">
        <v>1057</v>
      </c>
      <c r="C1253" s="57" t="s">
        <v>1324</v>
      </c>
      <c r="D1253" s="91" t="s">
        <v>2080</v>
      </c>
      <c r="E1253" s="91" t="s">
        <v>2081</v>
      </c>
      <c r="F1253" s="91" t="str">
        <f>VLOOKUP(E1253,[1]库存!$B$1:$C$65536,2,FALSE)</f>
        <v>SVW NMS NF SAB LH</v>
      </c>
      <c r="G1253" s="91" t="s">
        <v>2082</v>
      </c>
      <c r="H1253" s="91" t="s">
        <v>2083</v>
      </c>
      <c r="I1253" s="91" t="s">
        <v>2084</v>
      </c>
      <c r="J1253" s="63"/>
      <c r="K1253" s="61"/>
      <c r="L1253" s="62">
        <v>2</v>
      </c>
      <c r="M1253" s="63">
        <v>1600</v>
      </c>
      <c r="N1253" s="64">
        <v>13</v>
      </c>
      <c r="O1253" s="62">
        <v>2</v>
      </c>
      <c r="P1253" s="65">
        <f t="shared" si="77"/>
        <v>0</v>
      </c>
      <c r="Q1253" s="66"/>
      <c r="R1253" s="66"/>
      <c r="S1253" s="66"/>
      <c r="T1253" s="66"/>
      <c r="U1253" s="66"/>
      <c r="V1253" s="66"/>
      <c r="W1253" s="66"/>
      <c r="X1253" s="66"/>
      <c r="Y1253" s="66"/>
      <c r="Z1253" s="66"/>
      <c r="AA1253" s="66"/>
      <c r="AB1253" s="66"/>
      <c r="AC1253" s="66"/>
      <c r="AD1253" s="66"/>
      <c r="AE1253" s="66"/>
      <c r="AF1253" s="66"/>
      <c r="AG1253" s="66"/>
      <c r="AH1253" s="66"/>
      <c r="AI1253" s="66"/>
      <c r="AJ1253" s="66"/>
      <c r="AK1253" s="66"/>
      <c r="AL1253" s="66"/>
      <c r="AM1253" s="66"/>
      <c r="AN1253" s="66"/>
      <c r="AO1253" s="66"/>
      <c r="AP1253" s="66"/>
      <c r="AQ1253" s="66"/>
      <c r="AR1253" s="66"/>
      <c r="AS1253" s="66"/>
      <c r="AT1253" s="66"/>
      <c r="AU1253" s="66"/>
      <c r="AV1253" s="66"/>
      <c r="AW1253" s="66"/>
      <c r="AX1253" s="66"/>
      <c r="AY1253" s="66"/>
      <c r="AZ1253" s="66"/>
      <c r="BA1253" s="66"/>
      <c r="BB1253" s="66"/>
      <c r="BC1253" s="66"/>
      <c r="BD1253" s="66"/>
      <c r="BE1253" s="67"/>
      <c r="BF1253" s="67"/>
      <c r="BG1253" s="68"/>
      <c r="BI1253" s="69">
        <v>0</v>
      </c>
      <c r="BJ1253" s="70">
        <v>0</v>
      </c>
      <c r="BK1253" s="71">
        <v>0</v>
      </c>
      <c r="BL1253" s="71">
        <v>0</v>
      </c>
      <c r="BM1253" s="71">
        <v>0</v>
      </c>
      <c r="BN1253" s="72">
        <v>0</v>
      </c>
      <c r="BO1253" s="151" t="e">
        <f t="shared" si="78"/>
        <v>#DIV/0!</v>
      </c>
      <c r="BP1253" s="151" t="e">
        <f t="shared" si="79"/>
        <v>#DIV/0!</v>
      </c>
      <c r="BQ1253" s="71">
        <v>0</v>
      </c>
      <c r="BR1253" s="71">
        <v>0</v>
      </c>
      <c r="BS1253" s="71">
        <v>0</v>
      </c>
      <c r="BT1253" s="72">
        <v>0</v>
      </c>
      <c r="BU1253" s="73"/>
      <c r="BV1253" s="73"/>
    </row>
    <row r="1254" ht="30" customHeight="1" spans="1:75 16331:16349">
      <c r="A1254" s="55">
        <v>0</v>
      </c>
      <c r="B1254" s="56">
        <v>0</v>
      </c>
      <c r="C1254" s="57">
        <v>0</v>
      </c>
      <c r="D1254" s="92"/>
      <c r="E1254" s="92"/>
      <c r="F1254" s="91" t="e">
        <f>VLOOKUP(E1254,[1]库存!$B$1:$C$65536,2,FALSE)</f>
        <v>#N/A</v>
      </c>
      <c r="G1254" s="91" t="e">
        <v>#N/A</v>
      </c>
      <c r="H1254" s="92"/>
      <c r="I1254" s="92"/>
      <c r="J1254" s="87"/>
      <c r="K1254" s="61"/>
      <c r="L1254" s="62">
        <v>0</v>
      </c>
      <c r="M1254" s="63">
        <v>0</v>
      </c>
      <c r="N1254" s="64">
        <v>0</v>
      </c>
      <c r="O1254" s="62">
        <v>0</v>
      </c>
      <c r="P1254" s="65">
        <f t="shared" si="77"/>
        <v>0</v>
      </c>
      <c r="Q1254" s="66"/>
      <c r="R1254" s="66"/>
      <c r="S1254" s="66"/>
      <c r="T1254" s="66"/>
      <c r="U1254" s="66"/>
      <c r="V1254" s="66"/>
      <c r="W1254" s="66"/>
      <c r="X1254" s="66"/>
      <c r="Y1254" s="66"/>
      <c r="Z1254" s="66"/>
      <c r="AA1254" s="66"/>
      <c r="AB1254" s="66"/>
      <c r="AC1254" s="66"/>
      <c r="AD1254" s="66"/>
      <c r="AE1254" s="66"/>
      <c r="AF1254" s="66"/>
      <c r="AG1254" s="66"/>
      <c r="AH1254" s="66"/>
      <c r="AI1254" s="66"/>
      <c r="AJ1254" s="66"/>
      <c r="AK1254" s="66"/>
      <c r="AL1254" s="66"/>
      <c r="AM1254" s="66"/>
      <c r="AN1254" s="66"/>
      <c r="AO1254" s="66"/>
      <c r="AP1254" s="66"/>
      <c r="AQ1254" s="66"/>
      <c r="AR1254" s="66"/>
      <c r="AS1254" s="66"/>
      <c r="AT1254" s="66"/>
      <c r="AU1254" s="66"/>
      <c r="AV1254" s="66"/>
      <c r="AW1254" s="66"/>
      <c r="AX1254" s="66"/>
      <c r="AY1254" s="66"/>
      <c r="AZ1254" s="66"/>
      <c r="BA1254" s="66"/>
      <c r="BB1254" s="66"/>
      <c r="BC1254" s="66"/>
      <c r="BD1254" s="66"/>
      <c r="BE1254" s="67"/>
      <c r="BF1254" s="67"/>
      <c r="BG1254" s="68"/>
      <c r="BI1254" s="69">
        <v>0</v>
      </c>
      <c r="BJ1254" s="70">
        <v>0</v>
      </c>
      <c r="BK1254" s="71">
        <v>0</v>
      </c>
      <c r="BL1254" s="71">
        <v>0</v>
      </c>
      <c r="BM1254" s="71">
        <v>0</v>
      </c>
      <c r="BN1254" s="72">
        <v>0</v>
      </c>
      <c r="BO1254" s="151" t="e">
        <f t="shared" si="78"/>
        <v>#DIV/0!</v>
      </c>
      <c r="BP1254" s="151" t="e">
        <f t="shared" si="79"/>
        <v>#DIV/0!</v>
      </c>
      <c r="BQ1254" s="71">
        <v>0</v>
      </c>
      <c r="BR1254" s="71">
        <v>0</v>
      </c>
      <c r="BS1254" s="71">
        <v>0</v>
      </c>
      <c r="BT1254" s="72">
        <v>0</v>
      </c>
      <c r="BU1254" s="73"/>
      <c r="BV1254" s="73"/>
    </row>
    <row r="1255" ht="30" customHeight="1" spans="1:75 16331:16349">
      <c r="A1255" s="55" t="s">
        <v>96</v>
      </c>
      <c r="B1255" s="56" t="s">
        <v>1057</v>
      </c>
      <c r="C1255" s="57" t="s">
        <v>1324</v>
      </c>
      <c r="D1255" s="91" t="s">
        <v>2080</v>
      </c>
      <c r="E1255" s="91" t="s">
        <v>2085</v>
      </c>
      <c r="F1255" s="91" t="str">
        <f>VLOOKUP(E1255,[1]库存!$B$1:$C$65536,2,FALSE)</f>
        <v>SVW NMS NF SAB RH</v>
      </c>
      <c r="G1255" s="91" t="s">
        <v>2086</v>
      </c>
      <c r="H1255" s="91" t="s">
        <v>2087</v>
      </c>
      <c r="I1255" s="91" t="s">
        <v>2084</v>
      </c>
      <c r="J1255" s="63"/>
      <c r="K1255" s="61"/>
      <c r="L1255" s="62">
        <v>2</v>
      </c>
      <c r="M1255" s="63">
        <v>1600</v>
      </c>
      <c r="N1255" s="64">
        <v>13</v>
      </c>
      <c r="O1255" s="62">
        <v>2</v>
      </c>
      <c r="P1255" s="65">
        <f t="shared" si="77"/>
        <v>0</v>
      </c>
      <c r="Q1255" s="66"/>
      <c r="R1255" s="66"/>
      <c r="S1255" s="66"/>
      <c r="T1255" s="66"/>
      <c r="U1255" s="66"/>
      <c r="V1255" s="66"/>
      <c r="W1255" s="66"/>
      <c r="X1255" s="66"/>
      <c r="Y1255" s="66"/>
      <c r="Z1255" s="66"/>
      <c r="AA1255" s="66"/>
      <c r="AB1255" s="66"/>
      <c r="AC1255" s="66"/>
      <c r="AD1255" s="66"/>
      <c r="AE1255" s="66"/>
      <c r="AF1255" s="66"/>
      <c r="AG1255" s="66"/>
      <c r="AH1255" s="66"/>
      <c r="AI1255" s="66"/>
      <c r="AJ1255" s="66"/>
      <c r="AK1255" s="66"/>
      <c r="AL1255" s="66"/>
      <c r="AM1255" s="66"/>
      <c r="AN1255" s="66"/>
      <c r="AO1255" s="66"/>
      <c r="AP1255" s="66"/>
      <c r="AQ1255" s="66"/>
      <c r="AR1255" s="66"/>
      <c r="AS1255" s="66"/>
      <c r="AT1255" s="66"/>
      <c r="AU1255" s="66"/>
      <c r="AV1255" s="66"/>
      <c r="AW1255" s="66"/>
      <c r="AX1255" s="66"/>
      <c r="AY1255" s="66"/>
      <c r="AZ1255" s="66"/>
      <c r="BA1255" s="66"/>
      <c r="BB1255" s="66"/>
      <c r="BC1255" s="66"/>
      <c r="BD1255" s="66"/>
      <c r="BE1255" s="67"/>
      <c r="BF1255" s="67"/>
      <c r="BG1255" s="68"/>
      <c r="BI1255" s="69">
        <v>0</v>
      </c>
      <c r="BJ1255" s="70">
        <v>0</v>
      </c>
      <c r="BK1255" s="71">
        <v>0</v>
      </c>
      <c r="BL1255" s="71">
        <v>0</v>
      </c>
      <c r="BM1255" s="71">
        <v>0</v>
      </c>
      <c r="BN1255" s="72">
        <v>0</v>
      </c>
      <c r="BO1255" s="151" t="e">
        <f t="shared" si="78"/>
        <v>#DIV/0!</v>
      </c>
      <c r="BP1255" s="151" t="e">
        <f t="shared" si="79"/>
        <v>#DIV/0!</v>
      </c>
      <c r="BQ1255" s="71">
        <v>0</v>
      </c>
      <c r="BR1255" s="71">
        <v>0</v>
      </c>
      <c r="BS1255" s="71">
        <v>0</v>
      </c>
      <c r="BT1255" s="72">
        <v>0</v>
      </c>
      <c r="BU1255" s="73"/>
      <c r="BV1255" s="73"/>
    </row>
    <row r="1256" ht="30" customHeight="1" spans="1:75 16331:16349">
      <c r="A1256" s="55">
        <v>0</v>
      </c>
      <c r="B1256" s="56">
        <v>0</v>
      </c>
      <c r="C1256" s="57">
        <v>0</v>
      </c>
      <c r="D1256" s="92"/>
      <c r="E1256" s="92"/>
      <c r="F1256" s="91" t="e">
        <f>VLOOKUP(E1256,[1]库存!$B$1:$C$65536,2,FALSE)</f>
        <v>#N/A</v>
      </c>
      <c r="G1256" s="91" t="e">
        <v>#N/A</v>
      </c>
      <c r="H1256" s="92"/>
      <c r="I1256" s="92"/>
      <c r="J1256" s="87"/>
      <c r="K1256" s="61"/>
      <c r="L1256" s="62">
        <v>0</v>
      </c>
      <c r="M1256" s="63">
        <v>0</v>
      </c>
      <c r="N1256" s="64">
        <v>0</v>
      </c>
      <c r="O1256" s="62">
        <v>0</v>
      </c>
      <c r="P1256" s="65">
        <f t="shared" si="77"/>
        <v>0</v>
      </c>
      <c r="Q1256" s="66"/>
      <c r="R1256" s="66"/>
      <c r="S1256" s="66"/>
      <c r="T1256" s="66"/>
      <c r="U1256" s="66"/>
      <c r="V1256" s="66"/>
      <c r="W1256" s="66"/>
      <c r="X1256" s="66"/>
      <c r="Y1256" s="66"/>
      <c r="Z1256" s="66"/>
      <c r="AA1256" s="66"/>
      <c r="AB1256" s="66"/>
      <c r="AC1256" s="66"/>
      <c r="AD1256" s="66"/>
      <c r="AE1256" s="66"/>
      <c r="AF1256" s="66"/>
      <c r="AG1256" s="66"/>
      <c r="AH1256" s="66"/>
      <c r="AI1256" s="66"/>
      <c r="AJ1256" s="66"/>
      <c r="AK1256" s="66"/>
      <c r="AL1256" s="66"/>
      <c r="AM1256" s="66"/>
      <c r="AN1256" s="66"/>
      <c r="AO1256" s="66"/>
      <c r="AP1256" s="66"/>
      <c r="AQ1256" s="66"/>
      <c r="AR1256" s="66"/>
      <c r="AS1256" s="66"/>
      <c r="AT1256" s="66"/>
      <c r="AU1256" s="66"/>
      <c r="AV1256" s="66"/>
      <c r="AW1256" s="66"/>
      <c r="AX1256" s="66"/>
      <c r="AY1256" s="66"/>
      <c r="AZ1256" s="66"/>
      <c r="BA1256" s="66"/>
      <c r="BB1256" s="66"/>
      <c r="BC1256" s="66"/>
      <c r="BD1256" s="66"/>
      <c r="BE1256" s="67"/>
      <c r="BF1256" s="67"/>
      <c r="BG1256" s="68"/>
      <c r="BI1256" s="69">
        <v>0</v>
      </c>
      <c r="BJ1256" s="70">
        <v>0</v>
      </c>
      <c r="BK1256" s="71">
        <v>0</v>
      </c>
      <c r="BL1256" s="71">
        <v>0</v>
      </c>
      <c r="BM1256" s="71">
        <v>0</v>
      </c>
      <c r="BN1256" s="72">
        <v>0</v>
      </c>
      <c r="BO1256" s="151" t="e">
        <f t="shared" si="78"/>
        <v>#DIV/0!</v>
      </c>
      <c r="BP1256" s="151" t="e">
        <f t="shared" si="79"/>
        <v>#DIV/0!</v>
      </c>
      <c r="BQ1256" s="71">
        <v>0</v>
      </c>
      <c r="BR1256" s="71">
        <v>0</v>
      </c>
      <c r="BS1256" s="71">
        <v>0</v>
      </c>
      <c r="BT1256" s="72">
        <v>0</v>
      </c>
      <c r="BU1256" s="73"/>
      <c r="BV1256" s="73"/>
    </row>
    <row r="1257" s="1" customFormat="1" ht="30" customHeight="1" spans="1:75 16331:16349">
      <c r="A1257" s="110">
        <v>0</v>
      </c>
      <c r="B1257" s="111" t="s">
        <v>1057</v>
      </c>
      <c r="C1257" s="112" t="s">
        <v>1324</v>
      </c>
      <c r="D1257" s="113" t="s">
        <v>2080</v>
      </c>
      <c r="E1257" s="113" t="s">
        <v>2088</v>
      </c>
      <c r="F1257" s="113" t="str">
        <f>VLOOKUP(E1257,[1]库存!$B$1:$C$65536,2,FALSE)</f>
        <v>SVW VW421 1CS SAB LH</v>
      </c>
      <c r="G1257" s="113" t="s">
        <v>2089</v>
      </c>
      <c r="H1257" s="113" t="s">
        <v>2090</v>
      </c>
      <c r="I1257" s="113" t="s">
        <v>2084</v>
      </c>
      <c r="J1257" s="117" t="s">
        <v>1896</v>
      </c>
      <c r="K1257" s="115"/>
      <c r="L1257" s="116">
        <v>2</v>
      </c>
      <c r="M1257" s="117">
        <v>1500</v>
      </c>
      <c r="N1257" s="114">
        <v>13</v>
      </c>
      <c r="O1257" s="116">
        <v>2</v>
      </c>
      <c r="P1257" s="65">
        <f t="shared" si="77"/>
        <v>0</v>
      </c>
      <c r="Q1257" s="67"/>
      <c r="R1257" s="67"/>
      <c r="S1257" s="67"/>
      <c r="T1257" s="67"/>
      <c r="U1257" s="67"/>
      <c r="V1257" s="67"/>
      <c r="W1257" s="67"/>
      <c r="X1257" s="67"/>
      <c r="Y1257" s="67"/>
      <c r="Z1257" s="67"/>
      <c r="AA1257" s="67"/>
      <c r="AB1257" s="67"/>
      <c r="AC1257" s="67"/>
      <c r="AD1257" s="67"/>
      <c r="AE1257" s="67"/>
      <c r="AF1257" s="67"/>
      <c r="AG1257" s="67"/>
      <c r="AH1257" s="67"/>
      <c r="AI1257" s="67"/>
      <c r="AJ1257" s="67"/>
      <c r="AK1257" s="67"/>
      <c r="AL1257" s="67"/>
      <c r="AM1257" s="67"/>
      <c r="AN1257" s="67"/>
      <c r="AO1257" s="67"/>
      <c r="AP1257" s="67"/>
      <c r="AQ1257" s="67"/>
      <c r="AR1257" s="67"/>
      <c r="AS1257" s="67"/>
      <c r="AT1257" s="67"/>
      <c r="AU1257" s="67"/>
      <c r="AV1257" s="67"/>
      <c r="AW1257" s="67"/>
      <c r="AX1257" s="67"/>
      <c r="AY1257" s="67"/>
      <c r="AZ1257" s="67"/>
      <c r="BA1257" s="67"/>
      <c r="BB1257" s="67"/>
      <c r="BC1257" s="67"/>
      <c r="BD1257" s="67"/>
      <c r="BE1257" s="67"/>
      <c r="BF1257" s="67"/>
      <c r="BG1257" s="118"/>
      <c r="BH1257" s="119"/>
      <c r="BI1257" s="120">
        <v>0</v>
      </c>
      <c r="BJ1257" s="121">
        <v>0</v>
      </c>
      <c r="BK1257" s="122">
        <v>0</v>
      </c>
      <c r="BL1257" s="122">
        <v>0</v>
      </c>
      <c r="BM1257" s="122">
        <v>0</v>
      </c>
      <c r="BN1257" s="123">
        <v>0</v>
      </c>
      <c r="BO1257" s="204" t="e">
        <f t="shared" si="78"/>
        <v>#DIV/0!</v>
      </c>
      <c r="BP1257" s="204" t="e">
        <f t="shared" si="79"/>
        <v>#DIV/0!</v>
      </c>
      <c r="BQ1257" s="122">
        <v>0</v>
      </c>
      <c r="BR1257" s="122">
        <v>0</v>
      </c>
      <c r="BS1257" s="122">
        <v>0</v>
      </c>
      <c r="BT1257" s="123">
        <v>0</v>
      </c>
      <c r="BU1257" s="124"/>
      <c r="BV1257" s="124"/>
      <c r="BW1257" s="125"/>
      <c r="XDC1257" s="126"/>
      <c r="XDD1257" s="126"/>
      <c r="XDE1257" s="126"/>
      <c r="XDF1257" s="126"/>
      <c r="XDG1257" s="126"/>
      <c r="XDH1257" s="126"/>
      <c r="XDI1257" s="126"/>
      <c r="XDJ1257" s="126"/>
      <c r="XDK1257" s="126"/>
      <c r="XDL1257" s="126"/>
      <c r="XDM1257" s="126"/>
      <c r="XDN1257" s="126"/>
      <c r="XDO1257" s="126"/>
      <c r="XDP1257" s="126"/>
      <c r="XDQ1257" s="126"/>
      <c r="XDR1257" s="126"/>
      <c r="XDS1257" s="126"/>
      <c r="XDT1257" s="126"/>
      <c r="XDU1257" s="126"/>
    </row>
    <row r="1258" s="1" customFormat="1" ht="30" customHeight="1" spans="1:75 16331:16349">
      <c r="A1258" s="110">
        <v>0</v>
      </c>
      <c r="B1258" s="111">
        <v>0</v>
      </c>
      <c r="C1258" s="112">
        <v>0</v>
      </c>
      <c r="D1258" s="127"/>
      <c r="E1258" s="127"/>
      <c r="F1258" s="113" t="e">
        <f>VLOOKUP(E1258,[1]库存!$B$1:$C$65536,2,FALSE)</f>
        <v>#N/A</v>
      </c>
      <c r="G1258" s="113" t="e">
        <v>#N/A</v>
      </c>
      <c r="H1258" s="127"/>
      <c r="I1258" s="127"/>
      <c r="J1258" s="162"/>
      <c r="K1258" s="115"/>
      <c r="L1258" s="116">
        <v>0</v>
      </c>
      <c r="M1258" s="117">
        <v>0</v>
      </c>
      <c r="N1258" s="114">
        <v>0</v>
      </c>
      <c r="O1258" s="116">
        <v>0</v>
      </c>
      <c r="P1258" s="65">
        <f t="shared" si="77"/>
        <v>0</v>
      </c>
      <c r="Q1258" s="67"/>
      <c r="R1258" s="67"/>
      <c r="S1258" s="67"/>
      <c r="T1258" s="67"/>
      <c r="U1258" s="67"/>
      <c r="V1258" s="67"/>
      <c r="W1258" s="67"/>
      <c r="X1258" s="67"/>
      <c r="Y1258" s="67"/>
      <c r="Z1258" s="67"/>
      <c r="AA1258" s="67"/>
      <c r="AB1258" s="67"/>
      <c r="AC1258" s="67"/>
      <c r="AD1258" s="67"/>
      <c r="AE1258" s="67"/>
      <c r="AF1258" s="67"/>
      <c r="AG1258" s="67"/>
      <c r="AH1258" s="67"/>
      <c r="AI1258" s="67"/>
      <c r="AJ1258" s="67"/>
      <c r="AK1258" s="67"/>
      <c r="AL1258" s="67"/>
      <c r="AM1258" s="67"/>
      <c r="AN1258" s="67"/>
      <c r="AO1258" s="67"/>
      <c r="AP1258" s="67"/>
      <c r="AQ1258" s="67"/>
      <c r="AR1258" s="67"/>
      <c r="AS1258" s="67"/>
      <c r="AT1258" s="67"/>
      <c r="AU1258" s="67"/>
      <c r="AV1258" s="67"/>
      <c r="AW1258" s="67"/>
      <c r="AX1258" s="67"/>
      <c r="AY1258" s="67"/>
      <c r="AZ1258" s="67"/>
      <c r="BA1258" s="67"/>
      <c r="BB1258" s="67"/>
      <c r="BC1258" s="67"/>
      <c r="BD1258" s="67"/>
      <c r="BE1258" s="67"/>
      <c r="BF1258" s="67"/>
      <c r="BG1258" s="118"/>
      <c r="BH1258" s="119"/>
      <c r="BI1258" s="120">
        <v>0</v>
      </c>
      <c r="BJ1258" s="121">
        <v>0</v>
      </c>
      <c r="BK1258" s="122">
        <v>0</v>
      </c>
      <c r="BL1258" s="122">
        <v>0</v>
      </c>
      <c r="BM1258" s="122">
        <v>0</v>
      </c>
      <c r="BN1258" s="123">
        <v>0</v>
      </c>
      <c r="BO1258" s="204" t="e">
        <f t="shared" si="78"/>
        <v>#DIV/0!</v>
      </c>
      <c r="BP1258" s="204" t="e">
        <f t="shared" si="79"/>
        <v>#DIV/0!</v>
      </c>
      <c r="BQ1258" s="122">
        <v>0</v>
      </c>
      <c r="BR1258" s="122">
        <v>0</v>
      </c>
      <c r="BS1258" s="122">
        <v>0</v>
      </c>
      <c r="BT1258" s="123">
        <v>0</v>
      </c>
      <c r="BU1258" s="124"/>
      <c r="BV1258" s="124"/>
      <c r="BW1258" s="125"/>
      <c r="XDC1258" s="126"/>
      <c r="XDD1258" s="126"/>
      <c r="XDE1258" s="126"/>
      <c r="XDF1258" s="126"/>
      <c r="XDG1258" s="126"/>
      <c r="XDH1258" s="126"/>
      <c r="XDI1258" s="126"/>
      <c r="XDJ1258" s="126"/>
      <c r="XDK1258" s="126"/>
      <c r="XDL1258" s="126"/>
      <c r="XDM1258" s="126"/>
      <c r="XDN1258" s="126"/>
      <c r="XDO1258" s="126"/>
      <c r="XDP1258" s="126"/>
      <c r="XDQ1258" s="126"/>
      <c r="XDR1258" s="126"/>
      <c r="XDS1258" s="126"/>
      <c r="XDT1258" s="126"/>
      <c r="XDU1258" s="126"/>
    </row>
    <row r="1259" s="1" customFormat="1" ht="30" customHeight="1" spans="1:75 16331:16349">
      <c r="A1259" s="110">
        <v>0</v>
      </c>
      <c r="B1259" s="111" t="s">
        <v>1057</v>
      </c>
      <c r="C1259" s="112" t="s">
        <v>1324</v>
      </c>
      <c r="D1259" s="113" t="s">
        <v>2080</v>
      </c>
      <c r="E1259" s="113" t="s">
        <v>2091</v>
      </c>
      <c r="F1259" s="113" t="str">
        <f>VLOOKUP(E1259,[1]库存!$B$1:$C$65536,2,FALSE)</f>
        <v>SVW VW421 1CS SAB RH</v>
      </c>
      <c r="G1259" s="113" t="s">
        <v>2092</v>
      </c>
      <c r="H1259" s="113" t="s">
        <v>2093</v>
      </c>
      <c r="I1259" s="113" t="s">
        <v>2084</v>
      </c>
      <c r="J1259" s="117" t="s">
        <v>1896</v>
      </c>
      <c r="K1259" s="115"/>
      <c r="L1259" s="116">
        <v>2</v>
      </c>
      <c r="M1259" s="117">
        <v>1500</v>
      </c>
      <c r="N1259" s="114">
        <v>13</v>
      </c>
      <c r="O1259" s="116">
        <v>2</v>
      </c>
      <c r="P1259" s="65">
        <f t="shared" si="77"/>
        <v>0</v>
      </c>
      <c r="Q1259" s="67"/>
      <c r="R1259" s="67"/>
      <c r="S1259" s="67"/>
      <c r="T1259" s="67"/>
      <c r="U1259" s="67"/>
      <c r="V1259" s="67"/>
      <c r="W1259" s="67"/>
      <c r="X1259" s="67"/>
      <c r="Y1259" s="67"/>
      <c r="Z1259" s="67"/>
      <c r="AA1259" s="67"/>
      <c r="AB1259" s="67"/>
      <c r="AC1259" s="67"/>
      <c r="AD1259" s="67"/>
      <c r="AE1259" s="67"/>
      <c r="AF1259" s="67"/>
      <c r="AG1259" s="67"/>
      <c r="AH1259" s="67"/>
      <c r="AI1259" s="67"/>
      <c r="AJ1259" s="67"/>
      <c r="AK1259" s="67"/>
      <c r="AL1259" s="67"/>
      <c r="AM1259" s="67"/>
      <c r="AN1259" s="67"/>
      <c r="AO1259" s="67"/>
      <c r="AP1259" s="67"/>
      <c r="AQ1259" s="67"/>
      <c r="AR1259" s="67"/>
      <c r="AS1259" s="67"/>
      <c r="AT1259" s="67"/>
      <c r="AU1259" s="67"/>
      <c r="AV1259" s="67"/>
      <c r="AW1259" s="67"/>
      <c r="AX1259" s="67"/>
      <c r="AY1259" s="67"/>
      <c r="AZ1259" s="67"/>
      <c r="BA1259" s="67"/>
      <c r="BB1259" s="67"/>
      <c r="BC1259" s="67"/>
      <c r="BD1259" s="67"/>
      <c r="BE1259" s="67"/>
      <c r="BF1259" s="67"/>
      <c r="BG1259" s="118"/>
      <c r="BH1259" s="119"/>
      <c r="BI1259" s="120">
        <v>0</v>
      </c>
      <c r="BJ1259" s="121">
        <v>0</v>
      </c>
      <c r="BK1259" s="122">
        <v>0</v>
      </c>
      <c r="BL1259" s="122">
        <v>0</v>
      </c>
      <c r="BM1259" s="122">
        <v>0</v>
      </c>
      <c r="BN1259" s="123">
        <v>0</v>
      </c>
      <c r="BO1259" s="204" t="e">
        <f t="shared" si="78"/>
        <v>#DIV/0!</v>
      </c>
      <c r="BP1259" s="204" t="e">
        <f t="shared" si="79"/>
        <v>#DIV/0!</v>
      </c>
      <c r="BQ1259" s="122">
        <v>0</v>
      </c>
      <c r="BR1259" s="122">
        <v>0</v>
      </c>
      <c r="BS1259" s="122">
        <v>0</v>
      </c>
      <c r="BT1259" s="123">
        <v>0</v>
      </c>
      <c r="BU1259" s="124"/>
      <c r="BV1259" s="124"/>
      <c r="BW1259" s="125"/>
      <c r="XDC1259" s="126"/>
      <c r="XDD1259" s="126"/>
      <c r="XDE1259" s="126"/>
      <c r="XDF1259" s="126"/>
      <c r="XDG1259" s="126"/>
      <c r="XDH1259" s="126"/>
      <c r="XDI1259" s="126"/>
      <c r="XDJ1259" s="126"/>
      <c r="XDK1259" s="126"/>
      <c r="XDL1259" s="126"/>
      <c r="XDM1259" s="126"/>
      <c r="XDN1259" s="126"/>
      <c r="XDO1259" s="126"/>
      <c r="XDP1259" s="126"/>
      <c r="XDQ1259" s="126"/>
      <c r="XDR1259" s="126"/>
      <c r="XDS1259" s="126"/>
      <c r="XDT1259" s="126"/>
      <c r="XDU1259" s="126"/>
    </row>
    <row r="1260" s="1" customFormat="1" ht="30" customHeight="1" spans="1:75 16331:16349">
      <c r="A1260" s="110">
        <v>0</v>
      </c>
      <c r="B1260" s="111">
        <v>0</v>
      </c>
      <c r="C1260" s="112">
        <v>0</v>
      </c>
      <c r="D1260" s="127"/>
      <c r="E1260" s="127"/>
      <c r="F1260" s="113" t="e">
        <f>VLOOKUP(E1260,[1]库存!$B$1:$C$65536,2,FALSE)</f>
        <v>#N/A</v>
      </c>
      <c r="G1260" s="113" t="e">
        <v>#N/A</v>
      </c>
      <c r="H1260" s="127"/>
      <c r="I1260" s="127"/>
      <c r="J1260" s="162"/>
      <c r="K1260" s="115"/>
      <c r="L1260" s="116">
        <v>0</v>
      </c>
      <c r="M1260" s="117">
        <v>0</v>
      </c>
      <c r="N1260" s="114">
        <v>0</v>
      </c>
      <c r="O1260" s="116">
        <v>0</v>
      </c>
      <c r="P1260" s="65">
        <f t="shared" si="77"/>
        <v>0</v>
      </c>
      <c r="Q1260" s="67"/>
      <c r="R1260" s="67"/>
      <c r="S1260" s="67"/>
      <c r="T1260" s="67"/>
      <c r="U1260" s="67"/>
      <c r="V1260" s="67"/>
      <c r="W1260" s="67"/>
      <c r="X1260" s="67"/>
      <c r="Y1260" s="67"/>
      <c r="Z1260" s="67"/>
      <c r="AA1260" s="67"/>
      <c r="AB1260" s="67"/>
      <c r="AC1260" s="67"/>
      <c r="AD1260" s="67"/>
      <c r="AE1260" s="67"/>
      <c r="AF1260" s="67"/>
      <c r="AG1260" s="67"/>
      <c r="AH1260" s="67"/>
      <c r="AI1260" s="67"/>
      <c r="AJ1260" s="67"/>
      <c r="AK1260" s="67"/>
      <c r="AL1260" s="67"/>
      <c r="AM1260" s="67"/>
      <c r="AN1260" s="67"/>
      <c r="AO1260" s="67"/>
      <c r="AP1260" s="67"/>
      <c r="AQ1260" s="67"/>
      <c r="AR1260" s="67"/>
      <c r="AS1260" s="67"/>
      <c r="AT1260" s="67"/>
      <c r="AU1260" s="67"/>
      <c r="AV1260" s="67"/>
      <c r="AW1260" s="67"/>
      <c r="AX1260" s="67"/>
      <c r="AY1260" s="67"/>
      <c r="AZ1260" s="67"/>
      <c r="BA1260" s="67"/>
      <c r="BB1260" s="67"/>
      <c r="BC1260" s="67"/>
      <c r="BD1260" s="67"/>
      <c r="BE1260" s="67"/>
      <c r="BF1260" s="67"/>
      <c r="BG1260" s="118"/>
      <c r="BH1260" s="119"/>
      <c r="BI1260" s="120">
        <v>0</v>
      </c>
      <c r="BJ1260" s="121">
        <v>0</v>
      </c>
      <c r="BK1260" s="122">
        <v>0</v>
      </c>
      <c r="BL1260" s="122">
        <v>0</v>
      </c>
      <c r="BM1260" s="122">
        <v>0</v>
      </c>
      <c r="BN1260" s="123">
        <v>0</v>
      </c>
      <c r="BO1260" s="204" t="e">
        <f t="shared" si="78"/>
        <v>#DIV/0!</v>
      </c>
      <c r="BP1260" s="204" t="e">
        <f t="shared" si="79"/>
        <v>#DIV/0!</v>
      </c>
      <c r="BQ1260" s="122">
        <v>0</v>
      </c>
      <c r="BR1260" s="122">
        <v>0</v>
      </c>
      <c r="BS1260" s="122">
        <v>0</v>
      </c>
      <c r="BT1260" s="123">
        <v>0</v>
      </c>
      <c r="BU1260" s="124"/>
      <c r="BV1260" s="124"/>
      <c r="BW1260" s="125"/>
      <c r="XDC1260" s="126"/>
      <c r="XDD1260" s="126"/>
      <c r="XDE1260" s="126"/>
      <c r="XDF1260" s="126"/>
      <c r="XDG1260" s="126"/>
      <c r="XDH1260" s="126"/>
      <c r="XDI1260" s="126"/>
      <c r="XDJ1260" s="126"/>
      <c r="XDK1260" s="126"/>
      <c r="XDL1260" s="126"/>
      <c r="XDM1260" s="126"/>
      <c r="XDN1260" s="126"/>
      <c r="XDO1260" s="126"/>
      <c r="XDP1260" s="126"/>
      <c r="XDQ1260" s="126"/>
      <c r="XDR1260" s="126"/>
      <c r="XDS1260" s="126"/>
      <c r="XDT1260" s="126"/>
      <c r="XDU1260" s="126"/>
    </row>
    <row r="1261" ht="30" customHeight="1" spans="1:75 16331:16349">
      <c r="A1261" s="55">
        <v>0</v>
      </c>
      <c r="B1261" s="56">
        <v>0</v>
      </c>
      <c r="C1261" s="57">
        <v>0</v>
      </c>
      <c r="D1261" s="210"/>
      <c r="E1261" s="88"/>
      <c r="F1261" s="59" t="e">
        <f>VLOOKUP(E1261,[1]库存!$B$1:$C$65536,2,FALSE)</f>
        <v>#N/A</v>
      </c>
      <c r="G1261" s="59" t="e">
        <v>#N/A</v>
      </c>
      <c r="H1261" s="89"/>
      <c r="I1261" s="88"/>
      <c r="J1261" s="90"/>
      <c r="K1261" s="61"/>
      <c r="L1261" s="62">
        <v>0</v>
      </c>
      <c r="M1261" s="63">
        <v>0</v>
      </c>
      <c r="N1261" s="64">
        <v>0</v>
      </c>
      <c r="O1261" s="62">
        <v>0</v>
      </c>
      <c r="P1261" s="65">
        <f t="shared" si="77"/>
        <v>0</v>
      </c>
      <c r="Q1261" s="66"/>
      <c r="R1261" s="66"/>
      <c r="S1261" s="66"/>
      <c r="T1261" s="66"/>
      <c r="U1261" s="66"/>
      <c r="V1261" s="66"/>
      <c r="W1261" s="66"/>
      <c r="X1261" s="66"/>
      <c r="Y1261" s="66"/>
      <c r="Z1261" s="66"/>
      <c r="AA1261" s="66"/>
      <c r="AB1261" s="66"/>
      <c r="AC1261" s="66"/>
      <c r="AD1261" s="66"/>
      <c r="AE1261" s="66"/>
      <c r="AF1261" s="66"/>
      <c r="AG1261" s="66"/>
      <c r="AH1261" s="66"/>
      <c r="AI1261" s="66"/>
      <c r="AJ1261" s="66"/>
      <c r="AK1261" s="66"/>
      <c r="AL1261" s="66"/>
      <c r="AM1261" s="66"/>
      <c r="AN1261" s="66"/>
      <c r="AO1261" s="66"/>
      <c r="AP1261" s="66"/>
      <c r="AQ1261" s="66"/>
      <c r="AR1261" s="66"/>
      <c r="AS1261" s="66"/>
      <c r="AT1261" s="66"/>
      <c r="AU1261" s="66"/>
      <c r="AV1261" s="66"/>
      <c r="AW1261" s="66"/>
      <c r="AX1261" s="66"/>
      <c r="AY1261" s="66"/>
      <c r="AZ1261" s="66"/>
      <c r="BA1261" s="66"/>
      <c r="BB1261" s="66"/>
      <c r="BC1261" s="66"/>
      <c r="BD1261" s="66"/>
      <c r="BE1261" s="67"/>
      <c r="BF1261" s="67"/>
      <c r="BG1261" s="68"/>
      <c r="BI1261" s="69">
        <v>0</v>
      </c>
      <c r="BJ1261" s="70">
        <v>0</v>
      </c>
      <c r="BK1261" s="71">
        <v>0</v>
      </c>
      <c r="BL1261" s="71">
        <v>0</v>
      </c>
      <c r="BM1261" s="71">
        <v>0</v>
      </c>
      <c r="BN1261" s="72">
        <v>0</v>
      </c>
      <c r="BO1261" s="151" t="e">
        <f t="shared" si="78"/>
        <v>#DIV/0!</v>
      </c>
      <c r="BP1261" s="151" t="e">
        <f t="shared" si="79"/>
        <v>#DIV/0!</v>
      </c>
      <c r="BQ1261" s="71">
        <v>0</v>
      </c>
      <c r="BR1261" s="71">
        <v>0</v>
      </c>
      <c r="BS1261" s="71">
        <v>0</v>
      </c>
      <c r="BT1261" s="72">
        <v>0</v>
      </c>
      <c r="BU1261" s="73"/>
      <c r="BV1261" s="73"/>
    </row>
    <row r="1262" ht="30" customHeight="1" spans="1:75 16331:16349">
      <c r="A1262" s="55" t="s">
        <v>41</v>
      </c>
      <c r="B1262" s="56" t="s">
        <v>1057</v>
      </c>
      <c r="C1262" s="57" t="s">
        <v>1324</v>
      </c>
      <c r="D1262" s="59" t="s">
        <v>2094</v>
      </c>
      <c r="E1262" s="59" t="s">
        <v>2095</v>
      </c>
      <c r="F1262" s="59" t="str">
        <f>VLOOKUP(E1262,[1]库存!$B$1:$C$65536,2,FALSE)</f>
        <v>CFMA J53R SAB LH B状态</v>
      </c>
      <c r="G1262" s="59" t="s">
        <v>2096</v>
      </c>
      <c r="H1262" s="59" t="s">
        <v>2097</v>
      </c>
      <c r="I1262" s="59" t="s">
        <v>2098</v>
      </c>
      <c r="J1262" s="63"/>
      <c r="K1262" s="61"/>
      <c r="L1262" s="62">
        <v>2</v>
      </c>
      <c r="M1262" s="63">
        <v>1400</v>
      </c>
      <c r="N1262" s="64">
        <v>14</v>
      </c>
      <c r="O1262" s="62">
        <v>2</v>
      </c>
      <c r="P1262" s="65">
        <f t="shared" si="77"/>
        <v>0</v>
      </c>
      <c r="Q1262" s="66"/>
      <c r="R1262" s="66"/>
      <c r="S1262" s="66"/>
      <c r="T1262" s="66"/>
      <c r="U1262" s="66">
        <v>1200</v>
      </c>
      <c r="V1262" s="66"/>
      <c r="W1262" s="66"/>
      <c r="X1262" s="66"/>
      <c r="Y1262" s="66"/>
      <c r="Z1262" s="66"/>
      <c r="AA1262" s="66">
        <v>1600</v>
      </c>
      <c r="AB1262" s="66"/>
      <c r="AC1262" s="66">
        <v>1600</v>
      </c>
      <c r="AD1262" s="66"/>
      <c r="AE1262" s="66"/>
      <c r="AF1262" s="66"/>
      <c r="AG1262" s="66"/>
      <c r="AH1262" s="66"/>
      <c r="AI1262" s="66"/>
      <c r="AJ1262" s="66"/>
      <c r="AK1262" s="66"/>
      <c r="AL1262" s="66"/>
      <c r="AM1262" s="66"/>
      <c r="AN1262" s="66"/>
      <c r="AO1262" s="66"/>
      <c r="AP1262" s="66"/>
      <c r="AQ1262" s="66"/>
      <c r="AR1262" s="66"/>
      <c r="AS1262" s="66"/>
      <c r="AT1262" s="66"/>
      <c r="AU1262" s="66"/>
      <c r="AV1262" s="66"/>
      <c r="AW1262" s="66"/>
      <c r="AX1262" s="66"/>
      <c r="AY1262" s="66"/>
      <c r="AZ1262" s="66"/>
      <c r="BA1262" s="66"/>
      <c r="BB1262" s="66"/>
      <c r="BC1262" s="66"/>
      <c r="BD1262" s="66"/>
      <c r="BE1262" s="67"/>
      <c r="BF1262" s="67"/>
      <c r="BG1262" s="68"/>
      <c r="BI1262" s="69">
        <v>0</v>
      </c>
      <c r="BJ1262" s="70">
        <v>0</v>
      </c>
      <c r="BK1262" s="71">
        <v>0</v>
      </c>
      <c r="BL1262" s="71">
        <v>0</v>
      </c>
      <c r="BM1262" s="71">
        <v>0</v>
      </c>
      <c r="BN1262" s="72">
        <v>0</v>
      </c>
      <c r="BO1262" s="151" t="e">
        <f t="shared" si="78"/>
        <v>#DIV/0!</v>
      </c>
      <c r="BP1262" s="151" t="e">
        <f t="shared" si="79"/>
        <v>#DIV/0!</v>
      </c>
      <c r="BQ1262" s="71">
        <v>0</v>
      </c>
      <c r="BR1262" s="71">
        <v>0</v>
      </c>
      <c r="BS1262" s="71">
        <v>0</v>
      </c>
      <c r="BT1262" s="72">
        <v>0</v>
      </c>
      <c r="BU1262" s="73"/>
      <c r="BV1262" s="73"/>
    </row>
    <row r="1263" ht="30" customHeight="1" spans="1:75 16331:16349">
      <c r="A1263" s="55">
        <v>0</v>
      </c>
      <c r="B1263" s="56">
        <v>0</v>
      </c>
      <c r="C1263" s="57">
        <v>0</v>
      </c>
      <c r="D1263" s="74"/>
      <c r="E1263" s="74"/>
      <c r="F1263" s="59" t="e">
        <f>VLOOKUP(E1263,[1]库存!$B$1:$C$65536,2,FALSE)</f>
        <v>#N/A</v>
      </c>
      <c r="G1263" s="59" t="e">
        <v>#N/A</v>
      </c>
      <c r="H1263" s="74"/>
      <c r="I1263" s="74"/>
      <c r="J1263" s="87"/>
      <c r="K1263" s="61"/>
      <c r="L1263" s="62">
        <v>0</v>
      </c>
      <c r="M1263" s="63">
        <v>0</v>
      </c>
      <c r="N1263" s="64">
        <v>0</v>
      </c>
      <c r="O1263" s="62">
        <v>0</v>
      </c>
      <c r="P1263" s="65">
        <f t="shared" si="77"/>
        <v>0</v>
      </c>
      <c r="Q1263" s="66"/>
      <c r="R1263" s="66"/>
      <c r="S1263" s="66"/>
      <c r="T1263" s="66"/>
      <c r="U1263" s="66">
        <v>1175</v>
      </c>
      <c r="V1263" s="66"/>
      <c r="W1263" s="66"/>
      <c r="X1263" s="66"/>
      <c r="Y1263" s="66"/>
      <c r="Z1263" s="66"/>
      <c r="AA1263" s="66">
        <v>1615</v>
      </c>
      <c r="AB1263" s="66"/>
      <c r="AC1263" s="66">
        <v>1623</v>
      </c>
      <c r="AD1263" s="66"/>
      <c r="AE1263" s="66"/>
      <c r="AF1263" s="66"/>
      <c r="AG1263" s="66"/>
      <c r="AH1263" s="66"/>
      <c r="AI1263" s="66"/>
      <c r="AJ1263" s="66"/>
      <c r="AK1263" s="66"/>
      <c r="AL1263" s="66"/>
      <c r="AM1263" s="66"/>
      <c r="AN1263" s="66"/>
      <c r="AO1263" s="66"/>
      <c r="AP1263" s="66"/>
      <c r="AQ1263" s="66"/>
      <c r="AR1263" s="66"/>
      <c r="AS1263" s="66"/>
      <c r="AT1263" s="66"/>
      <c r="AU1263" s="66"/>
      <c r="AV1263" s="66"/>
      <c r="AW1263" s="66"/>
      <c r="AX1263" s="66"/>
      <c r="AY1263" s="66"/>
      <c r="AZ1263" s="66"/>
      <c r="BA1263" s="66"/>
      <c r="BB1263" s="66"/>
      <c r="BC1263" s="66"/>
      <c r="BD1263" s="66"/>
      <c r="BE1263" s="67"/>
      <c r="BF1263" s="67"/>
      <c r="BG1263" s="68"/>
      <c r="BI1263" s="69">
        <v>0</v>
      </c>
      <c r="BJ1263" s="70">
        <v>0</v>
      </c>
      <c r="BK1263" s="71">
        <v>0</v>
      </c>
      <c r="BL1263" s="71">
        <v>0</v>
      </c>
      <c r="BM1263" s="71">
        <v>0</v>
      </c>
      <c r="BN1263" s="72">
        <v>0</v>
      </c>
      <c r="BO1263" s="151" t="e">
        <f t="shared" si="78"/>
        <v>#DIV/0!</v>
      </c>
      <c r="BP1263" s="151" t="e">
        <f t="shared" si="79"/>
        <v>#DIV/0!</v>
      </c>
      <c r="BQ1263" s="71">
        <v>0</v>
      </c>
      <c r="BR1263" s="71">
        <v>0</v>
      </c>
      <c r="BS1263" s="71">
        <v>0</v>
      </c>
      <c r="BT1263" s="72">
        <v>0</v>
      </c>
      <c r="BU1263" s="73"/>
      <c r="BV1263" s="73"/>
    </row>
    <row r="1264" ht="30" customHeight="1" spans="1:75 16331:16349">
      <c r="A1264" s="55" t="s">
        <v>41</v>
      </c>
      <c r="B1264" s="56" t="s">
        <v>1057</v>
      </c>
      <c r="C1264" s="57" t="s">
        <v>1324</v>
      </c>
      <c r="D1264" s="59" t="s">
        <v>2094</v>
      </c>
      <c r="E1264" s="59" t="s">
        <v>2099</v>
      </c>
      <c r="F1264" s="59" t="str">
        <f>VLOOKUP(E1264,[1]库存!$B$1:$C$65536,2,FALSE)</f>
        <v>CFMA J53R SAB RH B状态</v>
      </c>
      <c r="G1264" s="59" t="s">
        <v>2100</v>
      </c>
      <c r="H1264" s="59" t="s">
        <v>2101</v>
      </c>
      <c r="I1264" s="59" t="s">
        <v>2098</v>
      </c>
      <c r="J1264" s="63"/>
      <c r="K1264" s="61"/>
      <c r="L1264" s="62">
        <v>2</v>
      </c>
      <c r="M1264" s="63">
        <v>1400</v>
      </c>
      <c r="N1264" s="64">
        <v>14</v>
      </c>
      <c r="O1264" s="62">
        <v>2</v>
      </c>
      <c r="P1264" s="65">
        <f t="shared" si="77"/>
        <v>0</v>
      </c>
      <c r="Q1264" s="66"/>
      <c r="R1264" s="66"/>
      <c r="S1264" s="66">
        <v>1300</v>
      </c>
      <c r="T1264" s="66"/>
      <c r="U1264" s="66">
        <v>10</v>
      </c>
      <c r="V1264" s="66"/>
      <c r="W1264" s="66"/>
      <c r="X1264" s="66"/>
      <c r="Y1264" s="66"/>
      <c r="Z1264" s="66"/>
      <c r="AA1264" s="66"/>
      <c r="AB1264" s="66"/>
      <c r="AC1264" s="66"/>
      <c r="AD1264" s="66"/>
      <c r="AE1264" s="66"/>
      <c r="AF1264" s="66"/>
      <c r="AG1264" s="66"/>
      <c r="AH1264" s="66"/>
      <c r="AI1264" s="66"/>
      <c r="AJ1264" s="66"/>
      <c r="AK1264" s="66"/>
      <c r="AL1264" s="66"/>
      <c r="AM1264" s="66"/>
      <c r="AN1264" s="66"/>
      <c r="AO1264" s="66"/>
      <c r="AP1264" s="66"/>
      <c r="AQ1264" s="66"/>
      <c r="AR1264" s="66"/>
      <c r="AS1264" s="66"/>
      <c r="AT1264" s="66"/>
      <c r="AU1264" s="66"/>
      <c r="AV1264" s="66"/>
      <c r="AW1264" s="66"/>
      <c r="AX1264" s="66"/>
      <c r="AY1264" s="66"/>
      <c r="AZ1264" s="66"/>
      <c r="BA1264" s="66"/>
      <c r="BB1264" s="66"/>
      <c r="BC1264" s="66"/>
      <c r="BD1264" s="66"/>
      <c r="BE1264" s="67"/>
      <c r="BF1264" s="67"/>
      <c r="BG1264" s="68"/>
      <c r="BI1264" s="69">
        <v>0</v>
      </c>
      <c r="BJ1264" s="70">
        <v>0</v>
      </c>
      <c r="BK1264" s="71">
        <v>0</v>
      </c>
      <c r="BL1264" s="71">
        <v>0</v>
      </c>
      <c r="BM1264" s="71">
        <v>0</v>
      </c>
      <c r="BN1264" s="72">
        <v>0</v>
      </c>
      <c r="BO1264" s="151" t="e">
        <f t="shared" si="78"/>
        <v>#DIV/0!</v>
      </c>
      <c r="BP1264" s="151" t="e">
        <f t="shared" si="79"/>
        <v>#DIV/0!</v>
      </c>
      <c r="BQ1264" s="71">
        <v>0</v>
      </c>
      <c r="BR1264" s="71">
        <v>0</v>
      </c>
      <c r="BS1264" s="71">
        <v>0</v>
      </c>
      <c r="BT1264" s="72">
        <v>0</v>
      </c>
      <c r="BU1264" s="73"/>
      <c r="BV1264" s="73"/>
    </row>
    <row r="1265" ht="30" customHeight="1" spans="1:74">
      <c r="A1265" s="55">
        <v>0</v>
      </c>
      <c r="B1265" s="56">
        <v>0</v>
      </c>
      <c r="C1265" s="57">
        <v>0</v>
      </c>
      <c r="D1265" s="74"/>
      <c r="E1265" s="74"/>
      <c r="F1265" s="59" t="e">
        <f>VLOOKUP(E1265,[1]库存!$B$1:$C$65536,2,FALSE)</f>
        <v>#N/A</v>
      </c>
      <c r="G1265" s="59" t="e">
        <v>#N/A</v>
      </c>
      <c r="H1265" s="74"/>
      <c r="I1265" s="74"/>
      <c r="J1265" s="87"/>
      <c r="K1265" s="61"/>
      <c r="L1265" s="62">
        <v>0</v>
      </c>
      <c r="M1265" s="63">
        <v>0</v>
      </c>
      <c r="N1265" s="64">
        <v>0</v>
      </c>
      <c r="O1265" s="62">
        <v>0</v>
      </c>
      <c r="P1265" s="65">
        <f t="shared" si="77"/>
        <v>0</v>
      </c>
      <c r="Q1265" s="66"/>
      <c r="R1265" s="66"/>
      <c r="S1265" s="66">
        <v>1063</v>
      </c>
      <c r="T1265" s="66"/>
      <c r="U1265" s="66">
        <v>278</v>
      </c>
      <c r="V1265" s="66"/>
      <c r="W1265" s="66"/>
      <c r="X1265" s="66"/>
      <c r="Y1265" s="66"/>
      <c r="Z1265" s="66"/>
      <c r="AA1265" s="66"/>
      <c r="AB1265" s="66"/>
      <c r="AC1265" s="66"/>
      <c r="AD1265" s="66"/>
      <c r="AE1265" s="66"/>
      <c r="AF1265" s="66"/>
      <c r="AG1265" s="66"/>
      <c r="AH1265" s="66"/>
      <c r="AI1265" s="66"/>
      <c r="AJ1265" s="66"/>
      <c r="AK1265" s="66"/>
      <c r="AL1265" s="66"/>
      <c r="AM1265" s="66"/>
      <c r="AN1265" s="66"/>
      <c r="AO1265" s="66"/>
      <c r="AP1265" s="66"/>
      <c r="AQ1265" s="66"/>
      <c r="AR1265" s="66"/>
      <c r="AS1265" s="66"/>
      <c r="AT1265" s="66"/>
      <c r="AU1265" s="66"/>
      <c r="AV1265" s="66"/>
      <c r="AW1265" s="66"/>
      <c r="AX1265" s="66"/>
      <c r="AY1265" s="66"/>
      <c r="AZ1265" s="66"/>
      <c r="BA1265" s="66"/>
      <c r="BB1265" s="66"/>
      <c r="BC1265" s="66"/>
      <c r="BD1265" s="66"/>
      <c r="BE1265" s="67"/>
      <c r="BF1265" s="67"/>
      <c r="BG1265" s="68"/>
      <c r="BI1265" s="69">
        <v>0</v>
      </c>
      <c r="BJ1265" s="70">
        <v>0</v>
      </c>
      <c r="BK1265" s="71">
        <v>0</v>
      </c>
      <c r="BL1265" s="71">
        <v>0</v>
      </c>
      <c r="BM1265" s="71">
        <v>0</v>
      </c>
      <c r="BN1265" s="72">
        <v>0</v>
      </c>
      <c r="BO1265" s="151" t="e">
        <f t="shared" si="78"/>
        <v>#DIV/0!</v>
      </c>
      <c r="BP1265" s="151" t="e">
        <f t="shared" si="79"/>
        <v>#DIV/0!</v>
      </c>
      <c r="BQ1265" s="71">
        <v>0</v>
      </c>
      <c r="BR1265" s="71">
        <v>0</v>
      </c>
      <c r="BS1265" s="71">
        <v>0</v>
      </c>
      <c r="BT1265" s="72">
        <v>0</v>
      </c>
      <c r="BU1265" s="73"/>
      <c r="BV1265" s="73"/>
    </row>
    <row r="1266" ht="30" customHeight="1" spans="1:74">
      <c r="A1266" s="55" t="s">
        <v>96</v>
      </c>
      <c r="B1266" s="56" t="s">
        <v>1057</v>
      </c>
      <c r="C1266" s="57" t="s">
        <v>1324</v>
      </c>
      <c r="D1266" s="59" t="s">
        <v>2094</v>
      </c>
      <c r="E1266" s="59" t="s">
        <v>2102</v>
      </c>
      <c r="F1266" s="59" t="str">
        <f>VLOOKUP(E1266,[1]库存!$B$1:$C$65536,2,FALSE)</f>
        <v>SGMW F710C FSAB LH</v>
      </c>
      <c r="G1266" s="59" t="s">
        <v>2103</v>
      </c>
      <c r="H1266" s="59" t="s">
        <v>2104</v>
      </c>
      <c r="I1266" s="59" t="s">
        <v>1778</v>
      </c>
      <c r="J1266" s="60" t="s">
        <v>65</v>
      </c>
      <c r="K1266" s="61"/>
      <c r="L1266" s="62">
        <v>2</v>
      </c>
      <c r="M1266" s="63">
        <v>1400</v>
      </c>
      <c r="N1266" s="64">
        <v>14</v>
      </c>
      <c r="O1266" s="62">
        <v>2</v>
      </c>
      <c r="P1266" s="65">
        <f t="shared" si="77"/>
        <v>0</v>
      </c>
      <c r="Q1266" s="66">
        <v>1800</v>
      </c>
      <c r="R1266" s="66"/>
      <c r="S1266" s="66" t="s">
        <v>471</v>
      </c>
      <c r="T1266" s="66"/>
      <c r="U1266" s="66"/>
      <c r="V1266" s="66"/>
      <c r="W1266" s="66"/>
      <c r="X1266" s="66"/>
      <c r="Y1266" s="66"/>
      <c r="Z1266" s="66"/>
      <c r="AA1266" s="66"/>
      <c r="AB1266" s="66"/>
      <c r="AC1266" s="66"/>
      <c r="AD1266" s="66"/>
      <c r="AE1266" s="66"/>
      <c r="AF1266" s="66"/>
      <c r="AG1266" s="66"/>
      <c r="AH1266" s="66"/>
      <c r="AI1266" s="66"/>
      <c r="AJ1266" s="66"/>
      <c r="AK1266" s="66"/>
      <c r="AL1266" s="66"/>
      <c r="AM1266" s="66"/>
      <c r="AN1266" s="66"/>
      <c r="AO1266" s="66"/>
      <c r="AP1266" s="66"/>
      <c r="AQ1266" s="66"/>
      <c r="AR1266" s="66"/>
      <c r="AS1266" s="66"/>
      <c r="AT1266" s="66"/>
      <c r="AU1266" s="66"/>
      <c r="AV1266" s="66"/>
      <c r="AW1266" s="66"/>
      <c r="AX1266" s="66"/>
      <c r="AY1266" s="66"/>
      <c r="AZ1266" s="66"/>
      <c r="BA1266" s="66"/>
      <c r="BB1266" s="66"/>
      <c r="BC1266" s="66"/>
      <c r="BD1266" s="66"/>
      <c r="BE1266" s="67"/>
      <c r="BF1266" s="67"/>
      <c r="BG1266" s="68"/>
      <c r="BI1266" s="69">
        <v>0</v>
      </c>
      <c r="BJ1266" s="70">
        <v>0</v>
      </c>
      <c r="BK1266" s="71">
        <v>0</v>
      </c>
      <c r="BL1266" s="71">
        <v>0</v>
      </c>
      <c r="BM1266" s="71">
        <v>0</v>
      </c>
      <c r="BN1266" s="72">
        <v>0</v>
      </c>
      <c r="BO1266" s="151" t="e">
        <f t="shared" si="78"/>
        <v>#DIV/0!</v>
      </c>
      <c r="BP1266" s="151" t="e">
        <f t="shared" si="79"/>
        <v>#DIV/0!</v>
      </c>
      <c r="BQ1266" s="71">
        <v>0</v>
      </c>
      <c r="BR1266" s="71">
        <v>0</v>
      </c>
      <c r="BS1266" s="71">
        <v>0</v>
      </c>
      <c r="BT1266" s="72">
        <v>0</v>
      </c>
      <c r="BU1266" s="73"/>
      <c r="BV1266" s="73"/>
    </row>
    <row r="1267" ht="30" customHeight="1" spans="1:74">
      <c r="A1267" s="55">
        <v>0</v>
      </c>
      <c r="B1267" s="56">
        <v>0</v>
      </c>
      <c r="C1267" s="57">
        <v>0</v>
      </c>
      <c r="D1267" s="74"/>
      <c r="E1267" s="74"/>
      <c r="F1267" s="59" t="e">
        <f>VLOOKUP(E1267,[1]库存!$B$1:$C$65536,2,FALSE)</f>
        <v>#N/A</v>
      </c>
      <c r="G1267" s="59" t="e">
        <v>#N/A</v>
      </c>
      <c r="H1267" s="74"/>
      <c r="I1267" s="74"/>
      <c r="J1267" s="75"/>
      <c r="K1267" s="61"/>
      <c r="L1267" s="62">
        <v>0</v>
      </c>
      <c r="M1267" s="63">
        <v>0</v>
      </c>
      <c r="N1267" s="64">
        <v>0</v>
      </c>
      <c r="O1267" s="62">
        <v>0</v>
      </c>
      <c r="P1267" s="65">
        <f t="shared" si="77"/>
        <v>0</v>
      </c>
      <c r="Q1267" s="66">
        <v>1812</v>
      </c>
      <c r="R1267" s="66"/>
      <c r="S1267" s="66">
        <v>418</v>
      </c>
      <c r="T1267" s="66"/>
      <c r="U1267" s="66"/>
      <c r="V1267" s="66"/>
      <c r="W1267" s="66"/>
      <c r="X1267" s="66"/>
      <c r="Y1267" s="66"/>
      <c r="Z1267" s="66"/>
      <c r="AA1267" s="66"/>
      <c r="AB1267" s="66"/>
      <c r="AC1267" s="66"/>
      <c r="AD1267" s="66"/>
      <c r="AE1267" s="66"/>
      <c r="AF1267" s="66"/>
      <c r="AG1267" s="66"/>
      <c r="AH1267" s="66"/>
      <c r="AI1267" s="66"/>
      <c r="AJ1267" s="66"/>
      <c r="AK1267" s="66"/>
      <c r="AL1267" s="66"/>
      <c r="AM1267" s="66"/>
      <c r="AN1267" s="66"/>
      <c r="AO1267" s="66"/>
      <c r="AP1267" s="66"/>
      <c r="AQ1267" s="66"/>
      <c r="AR1267" s="66"/>
      <c r="AS1267" s="66"/>
      <c r="AT1267" s="66"/>
      <c r="AU1267" s="66"/>
      <c r="AV1267" s="66"/>
      <c r="AW1267" s="66"/>
      <c r="AX1267" s="66"/>
      <c r="AY1267" s="66"/>
      <c r="AZ1267" s="66"/>
      <c r="BA1267" s="66"/>
      <c r="BB1267" s="66"/>
      <c r="BC1267" s="66"/>
      <c r="BD1267" s="66"/>
      <c r="BE1267" s="67"/>
      <c r="BF1267" s="67"/>
      <c r="BG1267" s="68"/>
      <c r="BI1267" s="69">
        <v>0</v>
      </c>
      <c r="BJ1267" s="70">
        <v>0</v>
      </c>
      <c r="BK1267" s="71">
        <v>0</v>
      </c>
      <c r="BL1267" s="71">
        <v>0</v>
      </c>
      <c r="BM1267" s="71">
        <v>0</v>
      </c>
      <c r="BN1267" s="72">
        <v>0</v>
      </c>
      <c r="BO1267" s="151" t="e">
        <f t="shared" si="78"/>
        <v>#DIV/0!</v>
      </c>
      <c r="BP1267" s="151" t="e">
        <f t="shared" si="79"/>
        <v>#DIV/0!</v>
      </c>
      <c r="BQ1267" s="71">
        <v>0</v>
      </c>
      <c r="BR1267" s="71">
        <v>0</v>
      </c>
      <c r="BS1267" s="71">
        <v>0</v>
      </c>
      <c r="BT1267" s="72">
        <v>0</v>
      </c>
      <c r="BU1267" s="73"/>
      <c r="BV1267" s="73"/>
    </row>
    <row r="1268" ht="30" customHeight="1" spans="1:74">
      <c r="A1268" s="55" t="s">
        <v>96</v>
      </c>
      <c r="B1268" s="56" t="s">
        <v>1057</v>
      </c>
      <c r="C1268" s="57" t="s">
        <v>1324</v>
      </c>
      <c r="D1268" s="59" t="s">
        <v>2094</v>
      </c>
      <c r="E1268" s="59" t="s">
        <v>2105</v>
      </c>
      <c r="F1268" s="59" t="str">
        <f>VLOOKUP(E1268,[1]库存!$B$1:$C$65536,2,FALSE)</f>
        <v>SGMW F710C FSAB RH</v>
      </c>
      <c r="G1268" s="59" t="s">
        <v>2106</v>
      </c>
      <c r="H1268" s="59" t="s">
        <v>2107</v>
      </c>
      <c r="I1268" s="59" t="s">
        <v>1778</v>
      </c>
      <c r="J1268" s="60" t="s">
        <v>65</v>
      </c>
      <c r="K1268" s="61"/>
      <c r="L1268" s="62">
        <v>2</v>
      </c>
      <c r="M1268" s="63">
        <v>1400</v>
      </c>
      <c r="N1268" s="64">
        <v>14</v>
      </c>
      <c r="O1268" s="62">
        <v>2</v>
      </c>
      <c r="P1268" s="65">
        <f t="shared" si="77"/>
        <v>0</v>
      </c>
      <c r="Q1268" s="66"/>
      <c r="R1268" s="66"/>
      <c r="S1268" s="66"/>
      <c r="T1268" s="66"/>
      <c r="U1268" s="66"/>
      <c r="V1268" s="66"/>
      <c r="W1268" s="66"/>
      <c r="X1268" s="66"/>
      <c r="Y1268" s="66"/>
      <c r="Z1268" s="66"/>
      <c r="AA1268" s="66"/>
      <c r="AB1268" s="66"/>
      <c r="AC1268" s="66"/>
      <c r="AD1268" s="66"/>
      <c r="AE1268" s="66"/>
      <c r="AF1268" s="66"/>
      <c r="AG1268" s="66"/>
      <c r="AH1268" s="66"/>
      <c r="AI1268" s="66"/>
      <c r="AJ1268" s="66"/>
      <c r="AK1268" s="66"/>
      <c r="AL1268" s="66"/>
      <c r="AM1268" s="66"/>
      <c r="AN1268" s="66"/>
      <c r="AO1268" s="66"/>
      <c r="AP1268" s="66"/>
      <c r="AQ1268" s="66"/>
      <c r="AR1268" s="66"/>
      <c r="AS1268" s="66"/>
      <c r="AT1268" s="66"/>
      <c r="AU1268" s="66"/>
      <c r="AV1268" s="66"/>
      <c r="AW1268" s="66"/>
      <c r="AX1268" s="66"/>
      <c r="AY1268" s="66"/>
      <c r="AZ1268" s="66"/>
      <c r="BA1268" s="66"/>
      <c r="BB1268" s="66"/>
      <c r="BC1268" s="66"/>
      <c r="BD1268" s="66"/>
      <c r="BE1268" s="67"/>
      <c r="BF1268" s="67"/>
      <c r="BG1268" s="68"/>
      <c r="BI1268" s="69">
        <v>0</v>
      </c>
      <c r="BJ1268" s="70">
        <v>0</v>
      </c>
      <c r="BK1268" s="71">
        <v>0</v>
      </c>
      <c r="BL1268" s="71">
        <v>0</v>
      </c>
      <c r="BM1268" s="71">
        <v>0</v>
      </c>
      <c r="BN1268" s="72">
        <v>0</v>
      </c>
      <c r="BO1268" s="151" t="e">
        <f t="shared" si="78"/>
        <v>#DIV/0!</v>
      </c>
      <c r="BP1268" s="151" t="e">
        <f t="shared" si="79"/>
        <v>#DIV/0!</v>
      </c>
      <c r="BQ1268" s="71">
        <v>0</v>
      </c>
      <c r="BR1268" s="71">
        <v>0</v>
      </c>
      <c r="BS1268" s="71">
        <v>0</v>
      </c>
      <c r="BT1268" s="72">
        <v>0</v>
      </c>
      <c r="BU1268" s="73"/>
      <c r="BV1268" s="73"/>
    </row>
    <row r="1269" ht="30" customHeight="1" spans="1:74">
      <c r="A1269" s="55">
        <v>0</v>
      </c>
      <c r="B1269" s="56">
        <v>0</v>
      </c>
      <c r="C1269" s="57">
        <v>0</v>
      </c>
      <c r="D1269" s="74"/>
      <c r="E1269" s="74"/>
      <c r="F1269" s="59" t="e">
        <f>VLOOKUP(E1269,[1]库存!$B$1:$C$65536,2,FALSE)</f>
        <v>#N/A</v>
      </c>
      <c r="G1269" s="59" t="e">
        <v>#N/A</v>
      </c>
      <c r="H1269" s="74"/>
      <c r="I1269" s="74"/>
      <c r="J1269" s="75"/>
      <c r="K1269" s="61"/>
      <c r="L1269" s="62">
        <v>0</v>
      </c>
      <c r="M1269" s="63">
        <v>0</v>
      </c>
      <c r="N1269" s="64">
        <v>0</v>
      </c>
      <c r="O1269" s="62">
        <v>0</v>
      </c>
      <c r="P1269" s="65">
        <f t="shared" si="77"/>
        <v>0</v>
      </c>
      <c r="Q1269" s="66"/>
      <c r="R1269" s="66"/>
      <c r="S1269" s="66"/>
      <c r="T1269" s="66"/>
      <c r="U1269" s="66"/>
      <c r="V1269" s="66"/>
      <c r="W1269" s="66"/>
      <c r="X1269" s="66"/>
      <c r="Y1269" s="66"/>
      <c r="Z1269" s="66"/>
      <c r="AA1269" s="66"/>
      <c r="AB1269" s="66"/>
      <c r="AC1269" s="66"/>
      <c r="AD1269" s="66"/>
      <c r="AE1269" s="66"/>
      <c r="AF1269" s="66"/>
      <c r="AG1269" s="66"/>
      <c r="AH1269" s="66"/>
      <c r="AI1269" s="66"/>
      <c r="AJ1269" s="66"/>
      <c r="AK1269" s="66"/>
      <c r="AL1269" s="66"/>
      <c r="AM1269" s="66"/>
      <c r="AN1269" s="66"/>
      <c r="AO1269" s="66"/>
      <c r="AP1269" s="66"/>
      <c r="AQ1269" s="66"/>
      <c r="AR1269" s="66"/>
      <c r="AS1269" s="66"/>
      <c r="AT1269" s="66"/>
      <c r="AU1269" s="66"/>
      <c r="AV1269" s="66"/>
      <c r="AW1269" s="66"/>
      <c r="AX1269" s="66"/>
      <c r="AY1269" s="66"/>
      <c r="AZ1269" s="66"/>
      <c r="BA1269" s="66"/>
      <c r="BB1269" s="66"/>
      <c r="BC1269" s="66"/>
      <c r="BD1269" s="66"/>
      <c r="BE1269" s="67"/>
      <c r="BF1269" s="67"/>
      <c r="BG1269" s="68"/>
      <c r="BI1269" s="69">
        <v>0</v>
      </c>
      <c r="BJ1269" s="70">
        <v>0</v>
      </c>
      <c r="BK1269" s="71">
        <v>0</v>
      </c>
      <c r="BL1269" s="71">
        <v>0</v>
      </c>
      <c r="BM1269" s="71">
        <v>0</v>
      </c>
      <c r="BN1269" s="72">
        <v>0</v>
      </c>
      <c r="BO1269" s="151" t="e">
        <f t="shared" si="78"/>
        <v>#DIV/0!</v>
      </c>
      <c r="BP1269" s="151" t="e">
        <f t="shared" si="79"/>
        <v>#DIV/0!</v>
      </c>
      <c r="BQ1269" s="71">
        <v>0</v>
      </c>
      <c r="BR1269" s="71">
        <v>0</v>
      </c>
      <c r="BS1269" s="71">
        <v>0</v>
      </c>
      <c r="BT1269" s="72">
        <v>0</v>
      </c>
      <c r="BU1269" s="73"/>
      <c r="BV1269" s="73"/>
    </row>
    <row r="1270" ht="30" customHeight="1" spans="1:74">
      <c r="A1270" s="55" t="s">
        <v>96</v>
      </c>
      <c r="B1270" s="56" t="s">
        <v>1057</v>
      </c>
      <c r="C1270" s="57" t="s">
        <v>1324</v>
      </c>
      <c r="D1270" s="59" t="s">
        <v>2094</v>
      </c>
      <c r="E1270" s="59" t="s">
        <v>2013</v>
      </c>
      <c r="F1270" s="59" t="str">
        <f>VLOOKUP(E1270,[1]库存!$B$1:$C$65536,2,FALSE)</f>
        <v>BYD UG FSAB LH</v>
      </c>
      <c r="G1270" s="59" t="s">
        <v>2108</v>
      </c>
      <c r="H1270" s="59" t="s">
        <v>2109</v>
      </c>
      <c r="I1270" s="59" t="s">
        <v>2110</v>
      </c>
      <c r="J1270" s="63"/>
      <c r="K1270" s="61"/>
      <c r="L1270" s="62">
        <v>2</v>
      </c>
      <c r="M1270" s="63">
        <v>1400</v>
      </c>
      <c r="N1270" s="64">
        <v>14</v>
      </c>
      <c r="O1270" s="62">
        <v>2</v>
      </c>
      <c r="P1270" s="65">
        <f t="shared" si="77"/>
        <v>0</v>
      </c>
      <c r="Q1270" s="66"/>
      <c r="R1270" s="103"/>
      <c r="S1270" s="66"/>
      <c r="T1270" s="103"/>
      <c r="U1270" s="66"/>
      <c r="V1270" s="103"/>
      <c r="W1270" s="66"/>
      <c r="X1270" s="103"/>
      <c r="Y1270" s="66"/>
      <c r="Z1270" s="103"/>
      <c r="AA1270" s="66"/>
      <c r="AB1270" s="103"/>
      <c r="AC1270" s="66"/>
      <c r="AD1270" s="103"/>
      <c r="AE1270" s="66"/>
      <c r="AF1270" s="103"/>
      <c r="AG1270" s="66"/>
      <c r="AH1270" s="103"/>
      <c r="AI1270" s="66"/>
      <c r="AJ1270" s="103"/>
      <c r="AK1270" s="66"/>
      <c r="AL1270" s="103"/>
      <c r="AM1270" s="66"/>
      <c r="AN1270" s="103"/>
      <c r="AO1270" s="66"/>
      <c r="AP1270" s="103"/>
      <c r="AQ1270" s="66"/>
      <c r="AR1270" s="103"/>
      <c r="AS1270" s="66"/>
      <c r="AT1270" s="103"/>
      <c r="AU1270" s="66"/>
      <c r="AV1270" s="103"/>
      <c r="AW1270" s="66"/>
      <c r="AX1270" s="103"/>
      <c r="AY1270" s="66"/>
      <c r="AZ1270" s="103"/>
      <c r="BA1270" s="66"/>
      <c r="BB1270" s="103"/>
      <c r="BC1270" s="66"/>
      <c r="BD1270" s="103"/>
      <c r="BE1270" s="67"/>
      <c r="BF1270" s="67"/>
      <c r="BG1270" s="68"/>
      <c r="BI1270" s="69">
        <v>0</v>
      </c>
      <c r="BJ1270" s="70">
        <v>0</v>
      </c>
      <c r="BK1270" s="71">
        <v>0</v>
      </c>
      <c r="BL1270" s="71">
        <v>0</v>
      </c>
      <c r="BM1270" s="71">
        <v>0</v>
      </c>
      <c r="BN1270" s="72">
        <v>0</v>
      </c>
      <c r="BO1270" s="151" t="e">
        <f t="shared" si="78"/>
        <v>#DIV/0!</v>
      </c>
      <c r="BP1270" s="151" t="e">
        <f t="shared" si="79"/>
        <v>#DIV/0!</v>
      </c>
      <c r="BQ1270" s="71">
        <v>0</v>
      </c>
      <c r="BR1270" s="71">
        <v>0</v>
      </c>
      <c r="BS1270" s="71">
        <v>0</v>
      </c>
      <c r="BT1270" s="72">
        <v>0</v>
      </c>
      <c r="BU1270" s="73"/>
      <c r="BV1270" s="73"/>
    </row>
    <row r="1271" ht="30" customHeight="1" spans="1:74">
      <c r="A1271" s="55">
        <v>0</v>
      </c>
      <c r="B1271" s="56">
        <v>0</v>
      </c>
      <c r="C1271" s="57">
        <v>0</v>
      </c>
      <c r="D1271" s="74"/>
      <c r="E1271" s="74"/>
      <c r="F1271" s="59" t="e">
        <f>VLOOKUP(E1271,[1]库存!$B$1:$C$65536,2,FALSE)</f>
        <v>#N/A</v>
      </c>
      <c r="G1271" s="59" t="e">
        <v>#N/A</v>
      </c>
      <c r="H1271" s="74"/>
      <c r="I1271" s="74"/>
      <c r="J1271" s="87"/>
      <c r="K1271" s="61"/>
      <c r="L1271" s="62">
        <v>0</v>
      </c>
      <c r="M1271" s="63">
        <v>0</v>
      </c>
      <c r="N1271" s="64">
        <v>0</v>
      </c>
      <c r="O1271" s="62">
        <v>0</v>
      </c>
      <c r="P1271" s="65">
        <f t="shared" si="77"/>
        <v>0</v>
      </c>
      <c r="Q1271" s="66"/>
      <c r="R1271" s="66"/>
      <c r="S1271" s="66"/>
      <c r="T1271" s="66"/>
      <c r="U1271" s="66"/>
      <c r="V1271" s="66"/>
      <c r="W1271" s="66"/>
      <c r="X1271" s="66"/>
      <c r="Y1271" s="66"/>
      <c r="Z1271" s="66"/>
      <c r="AA1271" s="66"/>
      <c r="AB1271" s="66"/>
      <c r="AC1271" s="66"/>
      <c r="AD1271" s="66"/>
      <c r="AE1271" s="66"/>
      <c r="AF1271" s="66"/>
      <c r="AG1271" s="66"/>
      <c r="AH1271" s="66"/>
      <c r="AI1271" s="66"/>
      <c r="AJ1271" s="66"/>
      <c r="AK1271" s="66"/>
      <c r="AL1271" s="66"/>
      <c r="AM1271" s="66"/>
      <c r="AN1271" s="66"/>
      <c r="AO1271" s="66"/>
      <c r="AP1271" s="66"/>
      <c r="AQ1271" s="66"/>
      <c r="AR1271" s="66"/>
      <c r="AS1271" s="66"/>
      <c r="AT1271" s="66"/>
      <c r="AU1271" s="66"/>
      <c r="AV1271" s="66"/>
      <c r="AW1271" s="66"/>
      <c r="AX1271" s="66"/>
      <c r="AY1271" s="66"/>
      <c r="AZ1271" s="66"/>
      <c r="BA1271" s="66"/>
      <c r="BB1271" s="66"/>
      <c r="BC1271" s="66"/>
      <c r="BD1271" s="66"/>
      <c r="BE1271" s="67"/>
      <c r="BF1271" s="67"/>
      <c r="BG1271" s="68"/>
      <c r="BI1271" s="69">
        <v>0</v>
      </c>
      <c r="BJ1271" s="70">
        <v>0</v>
      </c>
      <c r="BK1271" s="71">
        <v>0</v>
      </c>
      <c r="BL1271" s="71">
        <v>0</v>
      </c>
      <c r="BM1271" s="71">
        <v>0</v>
      </c>
      <c r="BN1271" s="72">
        <v>0</v>
      </c>
      <c r="BO1271" s="151" t="e">
        <f t="shared" si="78"/>
        <v>#DIV/0!</v>
      </c>
      <c r="BP1271" s="151" t="e">
        <f t="shared" si="79"/>
        <v>#DIV/0!</v>
      </c>
      <c r="BQ1271" s="71">
        <v>0</v>
      </c>
      <c r="BR1271" s="71">
        <v>0</v>
      </c>
      <c r="BS1271" s="71">
        <v>0</v>
      </c>
      <c r="BT1271" s="72">
        <v>0</v>
      </c>
      <c r="BU1271" s="73"/>
      <c r="BV1271" s="73"/>
    </row>
    <row r="1272" ht="30" customHeight="1" spans="1:74">
      <c r="A1272" s="55" t="s">
        <v>96</v>
      </c>
      <c r="B1272" s="56" t="s">
        <v>1057</v>
      </c>
      <c r="C1272" s="57" t="s">
        <v>1324</v>
      </c>
      <c r="D1272" s="59" t="s">
        <v>2094</v>
      </c>
      <c r="E1272" s="59" t="s">
        <v>2015</v>
      </c>
      <c r="F1272" s="59" t="str">
        <f>VLOOKUP(E1272,[1]库存!$B$1:$C$65536,2,FALSE)</f>
        <v>BYD UG FSAB RH</v>
      </c>
      <c r="G1272" s="59" t="s">
        <v>2111</v>
      </c>
      <c r="H1272" s="59" t="s">
        <v>2112</v>
      </c>
      <c r="I1272" s="59" t="s">
        <v>2110</v>
      </c>
      <c r="J1272" s="63"/>
      <c r="K1272" s="61"/>
      <c r="L1272" s="62">
        <v>2</v>
      </c>
      <c r="M1272" s="63">
        <v>1400</v>
      </c>
      <c r="N1272" s="64">
        <v>14</v>
      </c>
      <c r="O1272" s="62">
        <v>2</v>
      </c>
      <c r="P1272" s="65">
        <f t="shared" si="77"/>
        <v>0</v>
      </c>
      <c r="Q1272" s="66"/>
      <c r="R1272" s="103"/>
      <c r="S1272" s="66"/>
      <c r="T1272" s="103"/>
      <c r="U1272" s="66"/>
      <c r="V1272" s="103"/>
      <c r="W1272" s="66"/>
      <c r="X1272" s="103"/>
      <c r="Y1272" s="66"/>
      <c r="Z1272" s="103"/>
      <c r="AA1272" s="66"/>
      <c r="AB1272" s="103"/>
      <c r="AC1272" s="66"/>
      <c r="AD1272" s="103"/>
      <c r="AE1272" s="66"/>
      <c r="AF1272" s="103"/>
      <c r="AG1272" s="66"/>
      <c r="AH1272" s="103"/>
      <c r="AI1272" s="66"/>
      <c r="AJ1272" s="103"/>
      <c r="AK1272" s="66"/>
      <c r="AL1272" s="103"/>
      <c r="AM1272" s="66"/>
      <c r="AN1272" s="103"/>
      <c r="AO1272" s="66"/>
      <c r="AP1272" s="103"/>
      <c r="AQ1272" s="66"/>
      <c r="AR1272" s="103"/>
      <c r="AS1272" s="66"/>
      <c r="AT1272" s="103"/>
      <c r="AU1272" s="66"/>
      <c r="AV1272" s="103"/>
      <c r="AW1272" s="66"/>
      <c r="AX1272" s="103"/>
      <c r="AY1272" s="66"/>
      <c r="AZ1272" s="103"/>
      <c r="BA1272" s="66"/>
      <c r="BB1272" s="103"/>
      <c r="BC1272" s="66"/>
      <c r="BD1272" s="103"/>
      <c r="BE1272" s="67"/>
      <c r="BF1272" s="67"/>
      <c r="BG1272" s="68"/>
      <c r="BI1272" s="69">
        <v>0</v>
      </c>
      <c r="BJ1272" s="70">
        <v>0</v>
      </c>
      <c r="BK1272" s="71">
        <v>0</v>
      </c>
      <c r="BL1272" s="71">
        <v>0</v>
      </c>
      <c r="BM1272" s="71">
        <v>0</v>
      </c>
      <c r="BN1272" s="72">
        <v>0</v>
      </c>
      <c r="BO1272" s="151" t="e">
        <f t="shared" si="78"/>
        <v>#DIV/0!</v>
      </c>
      <c r="BP1272" s="151" t="e">
        <f t="shared" si="79"/>
        <v>#DIV/0!</v>
      </c>
      <c r="BQ1272" s="71">
        <v>0</v>
      </c>
      <c r="BR1272" s="71">
        <v>0</v>
      </c>
      <c r="BS1272" s="71">
        <v>0</v>
      </c>
      <c r="BT1272" s="72">
        <v>0</v>
      </c>
      <c r="BU1272" s="73"/>
      <c r="BV1272" s="73"/>
    </row>
    <row r="1273" ht="30" customHeight="1" spans="1:74">
      <c r="A1273" s="55">
        <v>0</v>
      </c>
      <c r="B1273" s="56">
        <v>0</v>
      </c>
      <c r="C1273" s="57">
        <v>0</v>
      </c>
      <c r="D1273" s="74"/>
      <c r="E1273" s="74"/>
      <c r="F1273" s="59" t="e">
        <f>VLOOKUP(E1273,[1]库存!$B$1:$C$65536,2,FALSE)</f>
        <v>#N/A</v>
      </c>
      <c r="G1273" s="59" t="e">
        <v>#N/A</v>
      </c>
      <c r="H1273" s="74"/>
      <c r="I1273" s="74"/>
      <c r="J1273" s="87"/>
      <c r="K1273" s="61"/>
      <c r="L1273" s="62">
        <v>0</v>
      </c>
      <c r="M1273" s="63">
        <v>0</v>
      </c>
      <c r="N1273" s="64">
        <v>0</v>
      </c>
      <c r="O1273" s="62">
        <v>0</v>
      </c>
      <c r="P1273" s="65">
        <f t="shared" si="77"/>
        <v>0</v>
      </c>
      <c r="Q1273" s="66"/>
      <c r="R1273" s="66"/>
      <c r="S1273" s="66"/>
      <c r="T1273" s="66"/>
      <c r="U1273" s="66"/>
      <c r="V1273" s="66"/>
      <c r="W1273" s="66"/>
      <c r="X1273" s="66"/>
      <c r="Y1273" s="66"/>
      <c r="Z1273" s="66"/>
      <c r="AA1273" s="66"/>
      <c r="AB1273" s="66"/>
      <c r="AC1273" s="66"/>
      <c r="AD1273" s="66"/>
      <c r="AE1273" s="66"/>
      <c r="AF1273" s="66"/>
      <c r="AG1273" s="66"/>
      <c r="AH1273" s="66"/>
      <c r="AI1273" s="66"/>
      <c r="AJ1273" s="66"/>
      <c r="AK1273" s="66"/>
      <c r="AL1273" s="66"/>
      <c r="AM1273" s="66"/>
      <c r="AN1273" s="66"/>
      <c r="AO1273" s="66"/>
      <c r="AP1273" s="66"/>
      <c r="AQ1273" s="66"/>
      <c r="AR1273" s="66"/>
      <c r="AS1273" s="66"/>
      <c r="AT1273" s="66"/>
      <c r="AU1273" s="66"/>
      <c r="AV1273" s="66"/>
      <c r="AW1273" s="66"/>
      <c r="AX1273" s="66"/>
      <c r="AY1273" s="66"/>
      <c r="AZ1273" s="66"/>
      <c r="BA1273" s="66"/>
      <c r="BB1273" s="66"/>
      <c r="BC1273" s="66"/>
      <c r="BD1273" s="66"/>
      <c r="BE1273" s="67"/>
      <c r="BF1273" s="67"/>
      <c r="BG1273" s="68"/>
      <c r="BI1273" s="69">
        <v>0</v>
      </c>
      <c r="BJ1273" s="70">
        <v>0</v>
      </c>
      <c r="BK1273" s="71">
        <v>0</v>
      </c>
      <c r="BL1273" s="71">
        <v>0</v>
      </c>
      <c r="BM1273" s="71">
        <v>0</v>
      </c>
      <c r="BN1273" s="72">
        <v>0</v>
      </c>
      <c r="BO1273" s="151" t="e">
        <f t="shared" si="78"/>
        <v>#DIV/0!</v>
      </c>
      <c r="BP1273" s="151" t="e">
        <f t="shared" si="79"/>
        <v>#DIV/0!</v>
      </c>
      <c r="BQ1273" s="71">
        <v>0</v>
      </c>
      <c r="BR1273" s="71">
        <v>0</v>
      </c>
      <c r="BS1273" s="71">
        <v>0</v>
      </c>
      <c r="BT1273" s="72">
        <v>0</v>
      </c>
      <c r="BU1273" s="73"/>
      <c r="BV1273" s="73"/>
    </row>
    <row r="1274" ht="30" customHeight="1" spans="1:74">
      <c r="A1274" s="55" t="s">
        <v>96</v>
      </c>
      <c r="B1274" s="56" t="s">
        <v>1057</v>
      </c>
      <c r="C1274" s="57" t="s">
        <v>1324</v>
      </c>
      <c r="D1274" s="59" t="s">
        <v>2094</v>
      </c>
      <c r="E1274" s="59" t="s">
        <v>2113</v>
      </c>
      <c r="F1274" s="59" t="str">
        <f>VLOOKUP(E1274,[1]库存!$B$1:$C$65536,2,FALSE)</f>
        <v>SGMW F710C RSAB LH</v>
      </c>
      <c r="G1274" s="59" t="s">
        <v>2114</v>
      </c>
      <c r="H1274" s="59" t="s">
        <v>2115</v>
      </c>
      <c r="I1274" s="59" t="s">
        <v>1778</v>
      </c>
      <c r="J1274" s="60" t="s">
        <v>65</v>
      </c>
      <c r="K1274" s="61"/>
      <c r="L1274" s="62">
        <v>2</v>
      </c>
      <c r="M1274" s="63">
        <v>1400</v>
      </c>
      <c r="N1274" s="64">
        <v>14</v>
      </c>
      <c r="O1274" s="62">
        <v>2</v>
      </c>
      <c r="P1274" s="65">
        <f t="shared" si="77"/>
        <v>0</v>
      </c>
      <c r="Q1274" s="66"/>
      <c r="R1274" s="66"/>
      <c r="S1274" s="66"/>
      <c r="T1274" s="66"/>
      <c r="U1274" s="66"/>
      <c r="V1274" s="66"/>
      <c r="W1274" s="66"/>
      <c r="X1274" s="66"/>
      <c r="Y1274" s="66"/>
      <c r="Z1274" s="66"/>
      <c r="AA1274" s="66"/>
      <c r="AB1274" s="66"/>
      <c r="AC1274" s="66"/>
      <c r="AD1274" s="66"/>
      <c r="AE1274" s="66"/>
      <c r="AF1274" s="66"/>
      <c r="AG1274" s="66"/>
      <c r="AH1274" s="66"/>
      <c r="AI1274" s="66"/>
      <c r="AJ1274" s="66"/>
      <c r="AK1274" s="66"/>
      <c r="AL1274" s="66"/>
      <c r="AM1274" s="66"/>
      <c r="AN1274" s="66"/>
      <c r="AO1274" s="66"/>
      <c r="AP1274" s="66"/>
      <c r="AQ1274" s="66"/>
      <c r="AR1274" s="66"/>
      <c r="AS1274" s="66"/>
      <c r="AT1274" s="66"/>
      <c r="AU1274" s="66"/>
      <c r="AV1274" s="66"/>
      <c r="AW1274" s="66"/>
      <c r="AX1274" s="66"/>
      <c r="AY1274" s="66"/>
      <c r="AZ1274" s="66"/>
      <c r="BA1274" s="66"/>
      <c r="BB1274" s="66"/>
      <c r="BC1274" s="66"/>
      <c r="BD1274" s="66"/>
      <c r="BE1274" s="67"/>
      <c r="BF1274" s="67"/>
      <c r="BG1274" s="68"/>
      <c r="BI1274" s="69">
        <v>0</v>
      </c>
      <c r="BJ1274" s="70">
        <v>0</v>
      </c>
      <c r="BK1274" s="71">
        <v>0</v>
      </c>
      <c r="BL1274" s="71">
        <v>0</v>
      </c>
      <c r="BM1274" s="71">
        <v>0</v>
      </c>
      <c r="BN1274" s="72">
        <v>0</v>
      </c>
      <c r="BO1274" s="151" t="e">
        <f t="shared" si="78"/>
        <v>#DIV/0!</v>
      </c>
      <c r="BP1274" s="151" t="e">
        <f t="shared" si="79"/>
        <v>#DIV/0!</v>
      </c>
      <c r="BQ1274" s="71">
        <v>0</v>
      </c>
      <c r="BR1274" s="71">
        <v>0</v>
      </c>
      <c r="BS1274" s="71">
        <v>0</v>
      </c>
      <c r="BT1274" s="72">
        <v>0</v>
      </c>
      <c r="BU1274" s="73"/>
      <c r="BV1274" s="73"/>
    </row>
    <row r="1275" ht="30" customHeight="1" spans="1:74">
      <c r="A1275" s="55">
        <v>0</v>
      </c>
      <c r="B1275" s="56">
        <v>0</v>
      </c>
      <c r="C1275" s="57">
        <v>0</v>
      </c>
      <c r="D1275" s="74"/>
      <c r="E1275" s="74"/>
      <c r="F1275" s="59" t="e">
        <f>VLOOKUP(E1275,[1]库存!$B$1:$C$65536,2,FALSE)</f>
        <v>#N/A</v>
      </c>
      <c r="G1275" s="59" t="e">
        <v>#N/A</v>
      </c>
      <c r="H1275" s="74"/>
      <c r="I1275" s="74"/>
      <c r="J1275" s="75"/>
      <c r="K1275" s="61"/>
      <c r="L1275" s="62">
        <v>0</v>
      </c>
      <c r="M1275" s="63">
        <v>0</v>
      </c>
      <c r="N1275" s="64">
        <v>0</v>
      </c>
      <c r="O1275" s="62">
        <v>0</v>
      </c>
      <c r="P1275" s="65">
        <f t="shared" si="77"/>
        <v>0</v>
      </c>
      <c r="Q1275" s="66"/>
      <c r="R1275" s="66"/>
      <c r="S1275" s="66"/>
      <c r="T1275" s="66"/>
      <c r="U1275" s="66"/>
      <c r="V1275" s="66"/>
      <c r="W1275" s="66"/>
      <c r="X1275" s="66"/>
      <c r="Y1275" s="66"/>
      <c r="Z1275" s="66"/>
      <c r="AA1275" s="66"/>
      <c r="AB1275" s="66"/>
      <c r="AC1275" s="66"/>
      <c r="AD1275" s="66"/>
      <c r="AE1275" s="66"/>
      <c r="AF1275" s="66"/>
      <c r="AG1275" s="66"/>
      <c r="AH1275" s="66"/>
      <c r="AI1275" s="66"/>
      <c r="AJ1275" s="66"/>
      <c r="AK1275" s="66"/>
      <c r="AL1275" s="66"/>
      <c r="AM1275" s="66"/>
      <c r="AN1275" s="66"/>
      <c r="AO1275" s="66"/>
      <c r="AP1275" s="66"/>
      <c r="AQ1275" s="66"/>
      <c r="AR1275" s="66"/>
      <c r="AS1275" s="66"/>
      <c r="AT1275" s="66"/>
      <c r="AU1275" s="66"/>
      <c r="AV1275" s="66"/>
      <c r="AW1275" s="66"/>
      <c r="AX1275" s="66"/>
      <c r="AY1275" s="66"/>
      <c r="AZ1275" s="66"/>
      <c r="BA1275" s="66"/>
      <c r="BB1275" s="66"/>
      <c r="BC1275" s="66"/>
      <c r="BD1275" s="66"/>
      <c r="BE1275" s="67"/>
      <c r="BF1275" s="67"/>
      <c r="BG1275" s="68"/>
      <c r="BI1275" s="69">
        <v>0</v>
      </c>
      <c r="BJ1275" s="70">
        <v>0</v>
      </c>
      <c r="BK1275" s="71">
        <v>0</v>
      </c>
      <c r="BL1275" s="71">
        <v>0</v>
      </c>
      <c r="BM1275" s="71">
        <v>0</v>
      </c>
      <c r="BN1275" s="72">
        <v>0</v>
      </c>
      <c r="BO1275" s="151" t="e">
        <f t="shared" si="78"/>
        <v>#DIV/0!</v>
      </c>
      <c r="BP1275" s="151" t="e">
        <f t="shared" si="79"/>
        <v>#DIV/0!</v>
      </c>
      <c r="BQ1275" s="71">
        <v>0</v>
      </c>
      <c r="BR1275" s="71">
        <v>0</v>
      </c>
      <c r="BS1275" s="71">
        <v>0</v>
      </c>
      <c r="BT1275" s="72">
        <v>0</v>
      </c>
      <c r="BU1275" s="73"/>
      <c r="BV1275" s="73"/>
    </row>
    <row r="1276" ht="30" customHeight="1" spans="1:74">
      <c r="A1276" s="55" t="s">
        <v>96</v>
      </c>
      <c r="B1276" s="56" t="s">
        <v>1057</v>
      </c>
      <c r="C1276" s="57" t="s">
        <v>1324</v>
      </c>
      <c r="D1276" s="59" t="s">
        <v>2094</v>
      </c>
      <c r="E1276" s="59" t="s">
        <v>2116</v>
      </c>
      <c r="F1276" s="59" t="str">
        <f>VLOOKUP(E1276,[1]库存!$B$1:$C$65536,2,FALSE)</f>
        <v>SGMW F710C RSAB RH</v>
      </c>
      <c r="G1276" s="59" t="s">
        <v>2117</v>
      </c>
      <c r="H1276" s="59" t="s">
        <v>2118</v>
      </c>
      <c r="I1276" s="59" t="s">
        <v>1778</v>
      </c>
      <c r="J1276" s="60" t="s">
        <v>65</v>
      </c>
      <c r="K1276" s="61"/>
      <c r="L1276" s="62">
        <v>2</v>
      </c>
      <c r="M1276" s="63">
        <v>1400</v>
      </c>
      <c r="N1276" s="64">
        <v>14</v>
      </c>
      <c r="O1276" s="62">
        <v>2</v>
      </c>
      <c r="P1276" s="65">
        <f t="shared" si="77"/>
        <v>0</v>
      </c>
      <c r="Q1276" s="66"/>
      <c r="R1276" s="66"/>
      <c r="S1276" s="66"/>
      <c r="T1276" s="66"/>
      <c r="U1276" s="66"/>
      <c r="V1276" s="66"/>
      <c r="W1276" s="66"/>
      <c r="X1276" s="66"/>
      <c r="Y1276" s="66"/>
      <c r="Z1276" s="66"/>
      <c r="AA1276" s="66"/>
      <c r="AB1276" s="66"/>
      <c r="AC1276" s="66"/>
      <c r="AD1276" s="66"/>
      <c r="AE1276" s="66"/>
      <c r="AF1276" s="66"/>
      <c r="AG1276" s="66"/>
      <c r="AH1276" s="66"/>
      <c r="AI1276" s="66"/>
      <c r="AJ1276" s="66"/>
      <c r="AK1276" s="66"/>
      <c r="AL1276" s="66"/>
      <c r="AM1276" s="66"/>
      <c r="AN1276" s="66"/>
      <c r="AO1276" s="66"/>
      <c r="AP1276" s="66"/>
      <c r="AQ1276" s="66"/>
      <c r="AR1276" s="66"/>
      <c r="AS1276" s="66"/>
      <c r="AT1276" s="66"/>
      <c r="AU1276" s="66"/>
      <c r="AV1276" s="66"/>
      <c r="AW1276" s="66"/>
      <c r="AX1276" s="66"/>
      <c r="AY1276" s="66"/>
      <c r="AZ1276" s="66"/>
      <c r="BA1276" s="66"/>
      <c r="BB1276" s="66"/>
      <c r="BC1276" s="66"/>
      <c r="BD1276" s="66"/>
      <c r="BE1276" s="67"/>
      <c r="BF1276" s="67"/>
      <c r="BG1276" s="68"/>
      <c r="BI1276" s="69">
        <v>0</v>
      </c>
      <c r="BJ1276" s="70">
        <v>0</v>
      </c>
      <c r="BK1276" s="71">
        <v>0</v>
      </c>
      <c r="BL1276" s="71">
        <v>0</v>
      </c>
      <c r="BM1276" s="71">
        <v>0</v>
      </c>
      <c r="BN1276" s="72">
        <v>0</v>
      </c>
      <c r="BO1276" s="151" t="e">
        <f t="shared" si="78"/>
        <v>#DIV/0!</v>
      </c>
      <c r="BP1276" s="151" t="e">
        <f t="shared" si="79"/>
        <v>#DIV/0!</v>
      </c>
      <c r="BQ1276" s="71">
        <v>0</v>
      </c>
      <c r="BR1276" s="71">
        <v>0</v>
      </c>
      <c r="BS1276" s="71">
        <v>0</v>
      </c>
      <c r="BT1276" s="72">
        <v>0</v>
      </c>
      <c r="BU1276" s="73"/>
      <c r="BV1276" s="73"/>
    </row>
    <row r="1277" ht="30" customHeight="1" spans="1:74">
      <c r="A1277" s="55">
        <v>0</v>
      </c>
      <c r="B1277" s="56">
        <v>0</v>
      </c>
      <c r="C1277" s="57">
        <v>0</v>
      </c>
      <c r="D1277" s="74"/>
      <c r="E1277" s="74"/>
      <c r="F1277" s="59" t="e">
        <f>VLOOKUP(E1277,[1]库存!$B$1:$C$65536,2,FALSE)</f>
        <v>#N/A</v>
      </c>
      <c r="G1277" s="59" t="e">
        <v>#N/A</v>
      </c>
      <c r="H1277" s="74"/>
      <c r="I1277" s="74"/>
      <c r="J1277" s="75"/>
      <c r="K1277" s="61"/>
      <c r="L1277" s="62">
        <v>0</v>
      </c>
      <c r="M1277" s="63">
        <v>0</v>
      </c>
      <c r="N1277" s="64">
        <v>0</v>
      </c>
      <c r="O1277" s="62">
        <v>0</v>
      </c>
      <c r="P1277" s="65">
        <f t="shared" si="77"/>
        <v>0</v>
      </c>
      <c r="Q1277" s="66"/>
      <c r="R1277" s="66"/>
      <c r="S1277" s="66"/>
      <c r="T1277" s="66"/>
      <c r="U1277" s="66"/>
      <c r="V1277" s="66"/>
      <c r="W1277" s="66"/>
      <c r="X1277" s="66"/>
      <c r="Y1277" s="66"/>
      <c r="Z1277" s="66"/>
      <c r="AA1277" s="66"/>
      <c r="AB1277" s="66"/>
      <c r="AC1277" s="66"/>
      <c r="AD1277" s="66"/>
      <c r="AE1277" s="66"/>
      <c r="AF1277" s="66"/>
      <c r="AG1277" s="66"/>
      <c r="AH1277" s="66"/>
      <c r="AI1277" s="66"/>
      <c r="AJ1277" s="66"/>
      <c r="AK1277" s="66"/>
      <c r="AL1277" s="66"/>
      <c r="AM1277" s="66"/>
      <c r="AN1277" s="66"/>
      <c r="AO1277" s="66"/>
      <c r="AP1277" s="66"/>
      <c r="AQ1277" s="66"/>
      <c r="AR1277" s="66"/>
      <c r="AS1277" s="66"/>
      <c r="AT1277" s="66"/>
      <c r="AU1277" s="66"/>
      <c r="AV1277" s="66"/>
      <c r="AW1277" s="66"/>
      <c r="AX1277" s="66"/>
      <c r="AY1277" s="66"/>
      <c r="AZ1277" s="66"/>
      <c r="BA1277" s="66"/>
      <c r="BB1277" s="66"/>
      <c r="BC1277" s="66"/>
      <c r="BD1277" s="66"/>
      <c r="BE1277" s="67"/>
      <c r="BF1277" s="67"/>
      <c r="BG1277" s="68"/>
      <c r="BI1277" s="69">
        <v>0</v>
      </c>
      <c r="BJ1277" s="70">
        <v>0</v>
      </c>
      <c r="BK1277" s="71">
        <v>0</v>
      </c>
      <c r="BL1277" s="71">
        <v>0</v>
      </c>
      <c r="BM1277" s="71">
        <v>0</v>
      </c>
      <c r="BN1277" s="72">
        <v>0</v>
      </c>
      <c r="BO1277" s="151" t="e">
        <f t="shared" si="78"/>
        <v>#DIV/0!</v>
      </c>
      <c r="BP1277" s="151" t="e">
        <f t="shared" si="79"/>
        <v>#DIV/0!</v>
      </c>
      <c r="BQ1277" s="71">
        <v>0</v>
      </c>
      <c r="BR1277" s="71">
        <v>0</v>
      </c>
      <c r="BS1277" s="71">
        <v>0</v>
      </c>
      <c r="BT1277" s="72">
        <v>0</v>
      </c>
      <c r="BU1277" s="73"/>
      <c r="BV1277" s="73"/>
    </row>
    <row r="1278" ht="30" customHeight="1" spans="1:74">
      <c r="A1278" s="55">
        <v>0</v>
      </c>
      <c r="B1278" s="56" t="s">
        <v>1057</v>
      </c>
      <c r="C1278" s="57" t="s">
        <v>1324</v>
      </c>
      <c r="D1278" s="59" t="s">
        <v>2094</v>
      </c>
      <c r="E1278" s="59"/>
      <c r="F1278" s="59" t="e">
        <f>VLOOKUP(E1278,[1]库存!$B$1:$C$65536,2,FALSE)</f>
        <v>#N/A</v>
      </c>
      <c r="G1278" s="59" t="e">
        <v>#N/A</v>
      </c>
      <c r="H1278" s="59" t="s">
        <v>2119</v>
      </c>
      <c r="I1278" s="59" t="s">
        <v>2102</v>
      </c>
      <c r="J1278" s="94"/>
      <c r="K1278" s="61"/>
      <c r="L1278" s="62">
        <v>2</v>
      </c>
      <c r="M1278" s="63">
        <v>1400</v>
      </c>
      <c r="N1278" s="64">
        <v>14</v>
      </c>
      <c r="O1278" s="62">
        <v>2</v>
      </c>
      <c r="P1278" s="65">
        <f t="shared" si="77"/>
        <v>0</v>
      </c>
      <c r="Q1278" s="66"/>
      <c r="R1278" s="66"/>
      <c r="S1278" s="66"/>
      <c r="T1278" s="66"/>
      <c r="U1278" s="66"/>
      <c r="V1278" s="66"/>
      <c r="W1278" s="66"/>
      <c r="X1278" s="66"/>
      <c r="Y1278" s="66"/>
      <c r="Z1278" s="66"/>
      <c r="AA1278" s="66"/>
      <c r="AB1278" s="66"/>
      <c r="AC1278" s="66"/>
      <c r="AD1278" s="66"/>
      <c r="AE1278" s="66"/>
      <c r="AF1278" s="66"/>
      <c r="AG1278" s="66"/>
      <c r="AH1278" s="66"/>
      <c r="AI1278" s="66"/>
      <c r="AJ1278" s="66"/>
      <c r="AK1278" s="66"/>
      <c r="AL1278" s="66"/>
      <c r="AM1278" s="66"/>
      <c r="AN1278" s="66"/>
      <c r="AO1278" s="66"/>
      <c r="AP1278" s="66"/>
      <c r="AQ1278" s="66"/>
      <c r="AR1278" s="66"/>
      <c r="AS1278" s="66"/>
      <c r="AT1278" s="66"/>
      <c r="AU1278" s="66"/>
      <c r="AV1278" s="66"/>
      <c r="AW1278" s="66"/>
      <c r="AX1278" s="66"/>
      <c r="AY1278" s="66"/>
      <c r="AZ1278" s="66"/>
      <c r="BA1278" s="66"/>
      <c r="BB1278" s="66"/>
      <c r="BC1278" s="66"/>
      <c r="BD1278" s="66"/>
      <c r="BE1278" s="67"/>
      <c r="BF1278" s="67"/>
      <c r="BG1278" s="68"/>
      <c r="BI1278" s="69">
        <v>0</v>
      </c>
      <c r="BJ1278" s="70">
        <v>0</v>
      </c>
      <c r="BK1278" s="71">
        <v>0</v>
      </c>
      <c r="BL1278" s="71">
        <v>0</v>
      </c>
      <c r="BM1278" s="71">
        <v>0</v>
      </c>
      <c r="BN1278" s="72">
        <v>0</v>
      </c>
      <c r="BO1278" s="151" t="e">
        <f t="shared" si="78"/>
        <v>#DIV/0!</v>
      </c>
      <c r="BP1278" s="151" t="e">
        <f t="shared" si="79"/>
        <v>#DIV/0!</v>
      </c>
      <c r="BQ1278" s="71">
        <v>0</v>
      </c>
      <c r="BR1278" s="71">
        <v>0</v>
      </c>
      <c r="BS1278" s="71">
        <v>0</v>
      </c>
      <c r="BT1278" s="72">
        <v>0</v>
      </c>
      <c r="BU1278" s="73"/>
      <c r="BV1278" s="73"/>
    </row>
    <row r="1279" ht="30" customHeight="1" spans="1:74">
      <c r="A1279" s="55">
        <v>0</v>
      </c>
      <c r="B1279" s="56">
        <v>0</v>
      </c>
      <c r="C1279" s="57">
        <v>0</v>
      </c>
      <c r="D1279" s="74"/>
      <c r="E1279" s="74"/>
      <c r="F1279" s="59" t="e">
        <f>VLOOKUP(E1279,[1]库存!$B$1:$C$65536,2,FALSE)</f>
        <v>#N/A</v>
      </c>
      <c r="G1279" s="59" t="e">
        <v>#N/A</v>
      </c>
      <c r="H1279" s="74"/>
      <c r="I1279" s="74"/>
      <c r="J1279" s="95"/>
      <c r="K1279" s="61"/>
      <c r="L1279" s="62">
        <v>0</v>
      </c>
      <c r="M1279" s="63">
        <v>0</v>
      </c>
      <c r="N1279" s="64">
        <v>0</v>
      </c>
      <c r="O1279" s="62">
        <v>0</v>
      </c>
      <c r="P1279" s="65">
        <f t="shared" si="77"/>
        <v>0</v>
      </c>
      <c r="Q1279" s="66"/>
      <c r="R1279" s="66"/>
      <c r="S1279" s="66"/>
      <c r="T1279" s="66"/>
      <c r="U1279" s="66"/>
      <c r="V1279" s="66"/>
      <c r="W1279" s="66"/>
      <c r="X1279" s="66"/>
      <c r="Y1279" s="66"/>
      <c r="Z1279" s="66"/>
      <c r="AA1279" s="66"/>
      <c r="AB1279" s="66"/>
      <c r="AC1279" s="66"/>
      <c r="AD1279" s="66"/>
      <c r="AE1279" s="66"/>
      <c r="AF1279" s="66"/>
      <c r="AG1279" s="66"/>
      <c r="AH1279" s="66"/>
      <c r="AI1279" s="66"/>
      <c r="AJ1279" s="66"/>
      <c r="AK1279" s="66"/>
      <c r="AL1279" s="66"/>
      <c r="AM1279" s="66"/>
      <c r="AN1279" s="66"/>
      <c r="AO1279" s="66"/>
      <c r="AP1279" s="66"/>
      <c r="AQ1279" s="66"/>
      <c r="AR1279" s="66"/>
      <c r="AS1279" s="66"/>
      <c r="AT1279" s="66"/>
      <c r="AU1279" s="66"/>
      <c r="AV1279" s="66"/>
      <c r="AW1279" s="66"/>
      <c r="AX1279" s="66"/>
      <c r="AY1279" s="66"/>
      <c r="AZ1279" s="66"/>
      <c r="BA1279" s="66"/>
      <c r="BB1279" s="66"/>
      <c r="BC1279" s="66"/>
      <c r="BD1279" s="66"/>
      <c r="BE1279" s="67"/>
      <c r="BF1279" s="67"/>
      <c r="BG1279" s="68"/>
      <c r="BI1279" s="69">
        <v>0</v>
      </c>
      <c r="BJ1279" s="70">
        <v>0</v>
      </c>
      <c r="BK1279" s="71">
        <v>0</v>
      </c>
      <c r="BL1279" s="71">
        <v>0</v>
      </c>
      <c r="BM1279" s="71">
        <v>0</v>
      </c>
      <c r="BN1279" s="72">
        <v>0</v>
      </c>
      <c r="BO1279" s="151" t="e">
        <f t="shared" si="78"/>
        <v>#DIV/0!</v>
      </c>
      <c r="BP1279" s="151" t="e">
        <f t="shared" si="79"/>
        <v>#DIV/0!</v>
      </c>
      <c r="BQ1279" s="71">
        <v>0</v>
      </c>
      <c r="BR1279" s="71">
        <v>0</v>
      </c>
      <c r="BS1279" s="71">
        <v>0</v>
      </c>
      <c r="BT1279" s="72">
        <v>0</v>
      </c>
      <c r="BU1279" s="73"/>
      <c r="BV1279" s="73"/>
    </row>
    <row r="1280" ht="30" customHeight="1" spans="1:74">
      <c r="A1280" s="55">
        <v>0</v>
      </c>
      <c r="B1280" s="56" t="s">
        <v>1057</v>
      </c>
      <c r="C1280" s="57" t="s">
        <v>1324</v>
      </c>
      <c r="D1280" s="59" t="s">
        <v>2094</v>
      </c>
      <c r="E1280" s="59"/>
      <c r="F1280" s="59" t="e">
        <f>VLOOKUP(E1280,[1]库存!$B$1:$C$65536,2,FALSE)</f>
        <v>#N/A</v>
      </c>
      <c r="G1280" s="59" t="e">
        <v>#N/A</v>
      </c>
      <c r="H1280" s="59" t="s">
        <v>2120</v>
      </c>
      <c r="I1280" s="59" t="s">
        <v>2105</v>
      </c>
      <c r="J1280" s="94"/>
      <c r="K1280" s="61"/>
      <c r="L1280" s="62">
        <v>2</v>
      </c>
      <c r="M1280" s="63">
        <v>1400</v>
      </c>
      <c r="N1280" s="64">
        <v>14</v>
      </c>
      <c r="O1280" s="62">
        <v>2</v>
      </c>
      <c r="P1280" s="65">
        <f t="shared" si="77"/>
        <v>0</v>
      </c>
      <c r="Q1280" s="66"/>
      <c r="R1280" s="66"/>
      <c r="S1280" s="66"/>
      <c r="T1280" s="66"/>
      <c r="U1280" s="66"/>
      <c r="V1280" s="66"/>
      <c r="W1280" s="66"/>
      <c r="X1280" s="66"/>
      <c r="Y1280" s="66"/>
      <c r="Z1280" s="66"/>
      <c r="AA1280" s="66"/>
      <c r="AB1280" s="66"/>
      <c r="AC1280" s="66"/>
      <c r="AD1280" s="66"/>
      <c r="AE1280" s="66"/>
      <c r="AF1280" s="66"/>
      <c r="AG1280" s="66"/>
      <c r="AH1280" s="66"/>
      <c r="AI1280" s="66"/>
      <c r="AJ1280" s="66"/>
      <c r="AK1280" s="66"/>
      <c r="AL1280" s="66"/>
      <c r="AM1280" s="66"/>
      <c r="AN1280" s="66"/>
      <c r="AO1280" s="66"/>
      <c r="AP1280" s="66"/>
      <c r="AQ1280" s="66"/>
      <c r="AR1280" s="66"/>
      <c r="AS1280" s="66"/>
      <c r="AT1280" s="66"/>
      <c r="AU1280" s="66"/>
      <c r="AV1280" s="66"/>
      <c r="AW1280" s="66"/>
      <c r="AX1280" s="66"/>
      <c r="AY1280" s="66"/>
      <c r="AZ1280" s="66"/>
      <c r="BA1280" s="66"/>
      <c r="BB1280" s="66"/>
      <c r="BC1280" s="66"/>
      <c r="BD1280" s="66"/>
      <c r="BE1280" s="67"/>
      <c r="BF1280" s="67"/>
      <c r="BG1280" s="68"/>
      <c r="BI1280" s="69">
        <v>0</v>
      </c>
      <c r="BJ1280" s="70">
        <v>0</v>
      </c>
      <c r="BK1280" s="71">
        <v>0</v>
      </c>
      <c r="BL1280" s="71">
        <v>0</v>
      </c>
      <c r="BM1280" s="71">
        <v>0</v>
      </c>
      <c r="BN1280" s="72">
        <v>0</v>
      </c>
      <c r="BO1280" s="151" t="e">
        <f t="shared" si="78"/>
        <v>#DIV/0!</v>
      </c>
      <c r="BP1280" s="151" t="e">
        <f t="shared" si="79"/>
        <v>#DIV/0!</v>
      </c>
      <c r="BQ1280" s="71">
        <v>0</v>
      </c>
      <c r="BR1280" s="71">
        <v>0</v>
      </c>
      <c r="BS1280" s="71">
        <v>0</v>
      </c>
      <c r="BT1280" s="72">
        <v>0</v>
      </c>
      <c r="BU1280" s="73"/>
      <c r="BV1280" s="73"/>
    </row>
    <row r="1281" ht="30" customHeight="1" spans="1:74">
      <c r="A1281" s="55">
        <v>0</v>
      </c>
      <c r="B1281" s="56">
        <v>0</v>
      </c>
      <c r="C1281" s="57">
        <v>0</v>
      </c>
      <c r="D1281" s="74"/>
      <c r="E1281" s="74"/>
      <c r="F1281" s="59" t="e">
        <f>VLOOKUP(E1281,[1]库存!$B$1:$C$65536,2,FALSE)</f>
        <v>#N/A</v>
      </c>
      <c r="G1281" s="59" t="e">
        <v>#N/A</v>
      </c>
      <c r="H1281" s="74"/>
      <c r="I1281" s="74"/>
      <c r="J1281" s="95"/>
      <c r="K1281" s="61"/>
      <c r="L1281" s="62">
        <v>0</v>
      </c>
      <c r="M1281" s="63">
        <v>0</v>
      </c>
      <c r="N1281" s="64">
        <v>0</v>
      </c>
      <c r="O1281" s="62">
        <v>0</v>
      </c>
      <c r="P1281" s="65">
        <f t="shared" si="77"/>
        <v>0</v>
      </c>
      <c r="Q1281" s="66"/>
      <c r="R1281" s="66"/>
      <c r="S1281" s="66"/>
      <c r="T1281" s="66"/>
      <c r="U1281" s="66"/>
      <c r="V1281" s="66"/>
      <c r="W1281" s="66"/>
      <c r="X1281" s="66"/>
      <c r="Y1281" s="66"/>
      <c r="Z1281" s="66"/>
      <c r="AA1281" s="66"/>
      <c r="AB1281" s="66"/>
      <c r="AC1281" s="66"/>
      <c r="AD1281" s="66"/>
      <c r="AE1281" s="66"/>
      <c r="AF1281" s="66"/>
      <c r="AG1281" s="66"/>
      <c r="AH1281" s="66"/>
      <c r="AI1281" s="66"/>
      <c r="AJ1281" s="66"/>
      <c r="AK1281" s="66"/>
      <c r="AL1281" s="66"/>
      <c r="AM1281" s="66"/>
      <c r="AN1281" s="66"/>
      <c r="AO1281" s="66"/>
      <c r="AP1281" s="66"/>
      <c r="AQ1281" s="66"/>
      <c r="AR1281" s="66"/>
      <c r="AS1281" s="66"/>
      <c r="AT1281" s="66"/>
      <c r="AU1281" s="66"/>
      <c r="AV1281" s="66"/>
      <c r="AW1281" s="66"/>
      <c r="AX1281" s="66"/>
      <c r="AY1281" s="66"/>
      <c r="AZ1281" s="66"/>
      <c r="BA1281" s="66"/>
      <c r="BB1281" s="66"/>
      <c r="BC1281" s="66"/>
      <c r="BD1281" s="66"/>
      <c r="BE1281" s="67"/>
      <c r="BF1281" s="67"/>
      <c r="BG1281" s="68"/>
      <c r="BI1281" s="69">
        <v>0</v>
      </c>
      <c r="BJ1281" s="70">
        <v>0</v>
      </c>
      <c r="BK1281" s="71">
        <v>0</v>
      </c>
      <c r="BL1281" s="71">
        <v>0</v>
      </c>
      <c r="BM1281" s="71">
        <v>0</v>
      </c>
      <c r="BN1281" s="72">
        <v>0</v>
      </c>
      <c r="BO1281" s="151" t="e">
        <f t="shared" si="78"/>
        <v>#DIV/0!</v>
      </c>
      <c r="BP1281" s="151" t="e">
        <f t="shared" si="79"/>
        <v>#DIV/0!</v>
      </c>
      <c r="BQ1281" s="71">
        <v>0</v>
      </c>
      <c r="BR1281" s="71">
        <v>0</v>
      </c>
      <c r="BS1281" s="71">
        <v>0</v>
      </c>
      <c r="BT1281" s="72">
        <v>0</v>
      </c>
      <c r="BU1281" s="73"/>
      <c r="BV1281" s="73"/>
    </row>
    <row r="1282" ht="30" customHeight="1" spans="1:74">
      <c r="A1282" s="55">
        <v>0</v>
      </c>
      <c r="B1282" s="56">
        <v>0</v>
      </c>
      <c r="C1282" s="57">
        <v>0</v>
      </c>
      <c r="D1282" s="210"/>
      <c r="E1282" s="88"/>
      <c r="F1282" s="59" t="e">
        <f>VLOOKUP(E1282,[1]库存!$B$1:$C$65536,2,FALSE)</f>
        <v>#N/A</v>
      </c>
      <c r="G1282" s="59" t="e">
        <v>#N/A</v>
      </c>
      <c r="H1282" s="89"/>
      <c r="I1282" s="88"/>
      <c r="J1282" s="90"/>
      <c r="K1282" s="61"/>
      <c r="L1282" s="62">
        <v>0</v>
      </c>
      <c r="M1282" s="63">
        <v>0</v>
      </c>
      <c r="N1282" s="64">
        <v>0</v>
      </c>
      <c r="O1282" s="62">
        <v>0</v>
      </c>
      <c r="P1282" s="65">
        <f t="shared" si="77"/>
        <v>0</v>
      </c>
      <c r="Q1282" s="66"/>
      <c r="R1282" s="66"/>
      <c r="S1282" s="66"/>
      <c r="T1282" s="66"/>
      <c r="U1282" s="66"/>
      <c r="V1282" s="66"/>
      <c r="W1282" s="66"/>
      <c r="X1282" s="66"/>
      <c r="Y1282" s="66"/>
      <c r="Z1282" s="66"/>
      <c r="AA1282" s="66"/>
      <c r="AB1282" s="66"/>
      <c r="AC1282" s="66"/>
      <c r="AD1282" s="66"/>
      <c r="AE1282" s="66"/>
      <c r="AF1282" s="66"/>
      <c r="AG1282" s="66"/>
      <c r="AH1282" s="66"/>
      <c r="AI1282" s="66"/>
      <c r="AJ1282" s="66"/>
      <c r="AK1282" s="66"/>
      <c r="AL1282" s="66"/>
      <c r="AM1282" s="66"/>
      <c r="AN1282" s="66"/>
      <c r="AO1282" s="66"/>
      <c r="AP1282" s="66"/>
      <c r="AQ1282" s="66"/>
      <c r="AR1282" s="66"/>
      <c r="AS1282" s="66"/>
      <c r="AT1282" s="66"/>
      <c r="AU1282" s="66"/>
      <c r="AV1282" s="66"/>
      <c r="AW1282" s="66"/>
      <c r="AX1282" s="66"/>
      <c r="AY1282" s="66"/>
      <c r="AZ1282" s="66"/>
      <c r="BA1282" s="66"/>
      <c r="BB1282" s="66"/>
      <c r="BC1282" s="66"/>
      <c r="BD1282" s="66"/>
      <c r="BE1282" s="67"/>
      <c r="BF1282" s="67"/>
      <c r="BG1282" s="68"/>
      <c r="BI1282" s="69">
        <v>0</v>
      </c>
      <c r="BJ1282" s="70">
        <v>0</v>
      </c>
      <c r="BK1282" s="71">
        <v>0</v>
      </c>
      <c r="BL1282" s="71">
        <v>0</v>
      </c>
      <c r="BM1282" s="71">
        <v>0</v>
      </c>
      <c r="BN1282" s="72">
        <v>0</v>
      </c>
      <c r="BO1282" s="151" t="e">
        <f t="shared" si="78"/>
        <v>#DIV/0!</v>
      </c>
      <c r="BP1282" s="151" t="e">
        <f t="shared" si="79"/>
        <v>#DIV/0!</v>
      </c>
      <c r="BQ1282" s="71">
        <v>0</v>
      </c>
      <c r="BR1282" s="71">
        <v>0</v>
      </c>
      <c r="BS1282" s="71">
        <v>0</v>
      </c>
      <c r="BT1282" s="72">
        <v>0</v>
      </c>
      <c r="BU1282" s="73"/>
      <c r="BV1282" s="73"/>
    </row>
    <row r="1283" ht="30" customHeight="1" spans="1:74">
      <c r="A1283" s="55" t="s">
        <v>96</v>
      </c>
      <c r="B1283" s="56" t="s">
        <v>1057</v>
      </c>
      <c r="C1283" s="57" t="s">
        <v>1324</v>
      </c>
      <c r="D1283" s="59" t="s">
        <v>2121</v>
      </c>
      <c r="E1283" s="59" t="s">
        <v>2122</v>
      </c>
      <c r="F1283" s="59" t="str">
        <f>VLOOKUP(E1283,[1]库存!$B$1:$C$65536,2,FALSE)</f>
        <v>SAIC IP32 SAB LH</v>
      </c>
      <c r="G1283" s="59" t="s">
        <v>2123</v>
      </c>
      <c r="H1283" s="59" t="s">
        <v>2124</v>
      </c>
      <c r="I1283" s="59" t="s">
        <v>2125</v>
      </c>
      <c r="J1283" s="165" t="s">
        <v>2126</v>
      </c>
      <c r="K1283" s="61"/>
      <c r="L1283" s="62">
        <v>2</v>
      </c>
      <c r="M1283" s="63">
        <v>1200</v>
      </c>
      <c r="N1283" s="64">
        <v>13</v>
      </c>
      <c r="O1283" s="62">
        <v>2</v>
      </c>
      <c r="P1283" s="65">
        <f t="shared" si="77"/>
        <v>0</v>
      </c>
      <c r="Q1283" s="66"/>
      <c r="R1283" s="66"/>
      <c r="S1283" s="66"/>
      <c r="T1283" s="66"/>
      <c r="U1283" s="66"/>
      <c r="V1283" s="66"/>
      <c r="W1283" s="66"/>
      <c r="X1283" s="66"/>
      <c r="Y1283" s="66"/>
      <c r="Z1283" s="66"/>
      <c r="AA1283" s="66"/>
      <c r="AB1283" s="66"/>
      <c r="AC1283" s="66"/>
      <c r="AD1283" s="66"/>
      <c r="AE1283" s="66"/>
      <c r="AF1283" s="66"/>
      <c r="AG1283" s="66"/>
      <c r="AH1283" s="66"/>
      <c r="AI1283" s="66"/>
      <c r="AJ1283" s="66"/>
      <c r="AK1283" s="66"/>
      <c r="AL1283" s="66"/>
      <c r="AM1283" s="66"/>
      <c r="AN1283" s="66"/>
      <c r="AO1283" s="66"/>
      <c r="AP1283" s="66"/>
      <c r="AQ1283" s="66"/>
      <c r="AR1283" s="66"/>
      <c r="AS1283" s="66"/>
      <c r="AT1283" s="66"/>
      <c r="AU1283" s="66"/>
      <c r="AV1283" s="66"/>
      <c r="AW1283" s="66"/>
      <c r="AX1283" s="66"/>
      <c r="AY1283" s="66"/>
      <c r="AZ1283" s="66"/>
      <c r="BA1283" s="66"/>
      <c r="BB1283" s="66"/>
      <c r="BC1283" s="66"/>
      <c r="BD1283" s="66"/>
      <c r="BE1283" s="67"/>
      <c r="BF1283" s="67"/>
      <c r="BG1283" s="68"/>
      <c r="BI1283" s="69">
        <v>0</v>
      </c>
      <c r="BJ1283" s="70">
        <v>0</v>
      </c>
      <c r="BK1283" s="71">
        <v>0</v>
      </c>
      <c r="BL1283" s="71">
        <v>0</v>
      </c>
      <c r="BM1283" s="71">
        <v>0</v>
      </c>
      <c r="BN1283" s="72">
        <v>0</v>
      </c>
      <c r="BO1283" s="151" t="e">
        <f t="shared" si="78"/>
        <v>#DIV/0!</v>
      </c>
      <c r="BP1283" s="151" t="e">
        <f t="shared" si="79"/>
        <v>#DIV/0!</v>
      </c>
      <c r="BQ1283" s="71">
        <v>0</v>
      </c>
      <c r="BR1283" s="71">
        <v>0</v>
      </c>
      <c r="BS1283" s="71">
        <v>0</v>
      </c>
      <c r="BT1283" s="72">
        <v>0</v>
      </c>
      <c r="BU1283" s="73"/>
      <c r="BV1283" s="73"/>
    </row>
    <row r="1284" ht="30" customHeight="1" spans="1:74">
      <c r="A1284" s="55">
        <v>0</v>
      </c>
      <c r="B1284" s="56">
        <v>0</v>
      </c>
      <c r="C1284" s="57">
        <v>0</v>
      </c>
      <c r="D1284" s="74"/>
      <c r="E1284" s="74"/>
      <c r="F1284" s="59" t="e">
        <f>VLOOKUP(E1284,[1]库存!$B$1:$C$65536,2,FALSE)</f>
        <v>#N/A</v>
      </c>
      <c r="G1284" s="59" t="e">
        <v>#N/A</v>
      </c>
      <c r="H1284" s="74"/>
      <c r="I1284" s="74"/>
      <c r="J1284" s="166"/>
      <c r="K1284" s="61"/>
      <c r="L1284" s="62">
        <v>0</v>
      </c>
      <c r="M1284" s="63">
        <v>0</v>
      </c>
      <c r="N1284" s="64">
        <v>0</v>
      </c>
      <c r="O1284" s="62">
        <v>0</v>
      </c>
      <c r="P1284" s="65">
        <f t="shared" si="77"/>
        <v>0</v>
      </c>
      <c r="Q1284" s="66"/>
      <c r="R1284" s="66"/>
      <c r="S1284" s="66"/>
      <c r="T1284" s="66"/>
      <c r="U1284" s="66"/>
      <c r="V1284" s="66"/>
      <c r="W1284" s="66"/>
      <c r="X1284" s="66"/>
      <c r="Y1284" s="66"/>
      <c r="Z1284" s="66"/>
      <c r="AA1284" s="66"/>
      <c r="AB1284" s="66"/>
      <c r="AC1284" s="66"/>
      <c r="AD1284" s="66"/>
      <c r="AE1284" s="66"/>
      <c r="AF1284" s="66"/>
      <c r="AG1284" s="66"/>
      <c r="AH1284" s="66"/>
      <c r="AI1284" s="66"/>
      <c r="AJ1284" s="66"/>
      <c r="AK1284" s="66"/>
      <c r="AL1284" s="66"/>
      <c r="AM1284" s="66"/>
      <c r="AN1284" s="66"/>
      <c r="AO1284" s="66"/>
      <c r="AP1284" s="66"/>
      <c r="AQ1284" s="66"/>
      <c r="AR1284" s="66"/>
      <c r="AS1284" s="66"/>
      <c r="AT1284" s="66"/>
      <c r="AU1284" s="66"/>
      <c r="AV1284" s="66"/>
      <c r="AW1284" s="66"/>
      <c r="AX1284" s="66"/>
      <c r="AY1284" s="66"/>
      <c r="AZ1284" s="66"/>
      <c r="BA1284" s="66"/>
      <c r="BB1284" s="66"/>
      <c r="BC1284" s="66"/>
      <c r="BD1284" s="66"/>
      <c r="BE1284" s="67"/>
      <c r="BF1284" s="67"/>
      <c r="BG1284" s="68"/>
      <c r="BI1284" s="69">
        <v>0</v>
      </c>
      <c r="BJ1284" s="70">
        <v>0</v>
      </c>
      <c r="BK1284" s="71">
        <v>0</v>
      </c>
      <c r="BL1284" s="71">
        <v>0</v>
      </c>
      <c r="BM1284" s="71">
        <v>0</v>
      </c>
      <c r="BN1284" s="72">
        <v>0</v>
      </c>
      <c r="BO1284" s="151" t="e">
        <f t="shared" si="78"/>
        <v>#DIV/0!</v>
      </c>
      <c r="BP1284" s="151" t="e">
        <f t="shared" si="79"/>
        <v>#DIV/0!</v>
      </c>
      <c r="BQ1284" s="71">
        <v>0</v>
      </c>
      <c r="BR1284" s="71">
        <v>0</v>
      </c>
      <c r="BS1284" s="71">
        <v>0</v>
      </c>
      <c r="BT1284" s="72">
        <v>0</v>
      </c>
      <c r="BU1284" s="73"/>
      <c r="BV1284" s="73"/>
    </row>
    <row r="1285" ht="30" customHeight="1" spans="1:74">
      <c r="A1285" s="55" t="s">
        <v>96</v>
      </c>
      <c r="B1285" s="56" t="s">
        <v>1057</v>
      </c>
      <c r="C1285" s="57" t="s">
        <v>1324</v>
      </c>
      <c r="D1285" s="59" t="s">
        <v>2121</v>
      </c>
      <c r="E1285" s="59" t="s">
        <v>2127</v>
      </c>
      <c r="F1285" s="59" t="str">
        <f>VLOOKUP(E1285,[1]库存!$B$1:$C$65536,2,FALSE)</f>
        <v>SAIC IP32 SAB RH</v>
      </c>
      <c r="G1285" s="59" t="s">
        <v>2128</v>
      </c>
      <c r="H1285" s="59" t="s">
        <v>2129</v>
      </c>
      <c r="I1285" s="59" t="s">
        <v>2125</v>
      </c>
      <c r="J1285" s="166"/>
      <c r="K1285" s="61"/>
      <c r="L1285" s="62">
        <v>2</v>
      </c>
      <c r="M1285" s="63">
        <v>1200</v>
      </c>
      <c r="N1285" s="64">
        <v>13</v>
      </c>
      <c r="O1285" s="62">
        <v>2</v>
      </c>
      <c r="P1285" s="65">
        <f t="shared" si="77"/>
        <v>0</v>
      </c>
      <c r="Q1285" s="66"/>
      <c r="R1285" s="66"/>
      <c r="S1285" s="66"/>
      <c r="T1285" s="66"/>
      <c r="U1285" s="66"/>
      <c r="V1285" s="66"/>
      <c r="W1285" s="66"/>
      <c r="X1285" s="66"/>
      <c r="Y1285" s="66"/>
      <c r="Z1285" s="66"/>
      <c r="AA1285" s="66"/>
      <c r="AB1285" s="66"/>
      <c r="AC1285" s="66"/>
      <c r="AD1285" s="66"/>
      <c r="AE1285" s="66"/>
      <c r="AF1285" s="66"/>
      <c r="AG1285" s="66"/>
      <c r="AH1285" s="66"/>
      <c r="AI1285" s="66"/>
      <c r="AJ1285" s="66"/>
      <c r="AK1285" s="66"/>
      <c r="AL1285" s="66"/>
      <c r="AM1285" s="66"/>
      <c r="AN1285" s="66"/>
      <c r="AO1285" s="66"/>
      <c r="AP1285" s="66"/>
      <c r="AQ1285" s="66"/>
      <c r="AR1285" s="66"/>
      <c r="AS1285" s="66"/>
      <c r="AT1285" s="66"/>
      <c r="AU1285" s="66"/>
      <c r="AV1285" s="66"/>
      <c r="AW1285" s="66"/>
      <c r="AX1285" s="66"/>
      <c r="AY1285" s="66"/>
      <c r="AZ1285" s="66"/>
      <c r="BA1285" s="66"/>
      <c r="BB1285" s="66"/>
      <c r="BC1285" s="66"/>
      <c r="BD1285" s="66"/>
      <c r="BE1285" s="67"/>
      <c r="BF1285" s="67"/>
      <c r="BG1285" s="68"/>
      <c r="BI1285" s="69">
        <v>0</v>
      </c>
      <c r="BJ1285" s="70">
        <v>0</v>
      </c>
      <c r="BK1285" s="71">
        <v>0</v>
      </c>
      <c r="BL1285" s="71">
        <v>0</v>
      </c>
      <c r="BM1285" s="71">
        <v>0</v>
      </c>
      <c r="BN1285" s="72">
        <v>0</v>
      </c>
      <c r="BO1285" s="151" t="e">
        <f t="shared" si="78"/>
        <v>#DIV/0!</v>
      </c>
      <c r="BP1285" s="151" t="e">
        <f t="shared" si="79"/>
        <v>#DIV/0!</v>
      </c>
      <c r="BQ1285" s="71">
        <v>0</v>
      </c>
      <c r="BR1285" s="71">
        <v>0</v>
      </c>
      <c r="BS1285" s="71">
        <v>0</v>
      </c>
      <c r="BT1285" s="72">
        <v>0</v>
      </c>
      <c r="BU1285" s="73"/>
      <c r="BV1285" s="73"/>
    </row>
    <row r="1286" ht="30" customHeight="1" spans="1:74">
      <c r="A1286" s="55">
        <v>0</v>
      </c>
      <c r="B1286" s="56">
        <v>0</v>
      </c>
      <c r="C1286" s="57">
        <v>0</v>
      </c>
      <c r="D1286" s="74"/>
      <c r="E1286" s="74"/>
      <c r="F1286" s="59" t="e">
        <f>VLOOKUP(E1286,[1]库存!$B$1:$C$65536,2,FALSE)</f>
        <v>#N/A</v>
      </c>
      <c r="G1286" s="59" t="e">
        <v>#N/A</v>
      </c>
      <c r="H1286" s="74"/>
      <c r="I1286" s="74"/>
      <c r="J1286" s="166"/>
      <c r="K1286" s="61"/>
      <c r="L1286" s="62">
        <v>0</v>
      </c>
      <c r="M1286" s="63">
        <v>0</v>
      </c>
      <c r="N1286" s="64">
        <v>0</v>
      </c>
      <c r="O1286" s="62">
        <v>0</v>
      </c>
      <c r="P1286" s="65">
        <f t="shared" ref="P1286:P1349" si="80">SUM(AG1286:AJ1286)</f>
        <v>0</v>
      </c>
      <c r="Q1286" s="66"/>
      <c r="R1286" s="66"/>
      <c r="S1286" s="66"/>
      <c r="T1286" s="66"/>
      <c r="U1286" s="66"/>
      <c r="V1286" s="66"/>
      <c r="W1286" s="66"/>
      <c r="X1286" s="66"/>
      <c r="Y1286" s="66"/>
      <c r="Z1286" s="66"/>
      <c r="AA1286" s="66"/>
      <c r="AB1286" s="66"/>
      <c r="AC1286" s="66"/>
      <c r="AD1286" s="66"/>
      <c r="AE1286" s="66"/>
      <c r="AF1286" s="66"/>
      <c r="AG1286" s="66"/>
      <c r="AH1286" s="66"/>
      <c r="AI1286" s="66"/>
      <c r="AJ1286" s="66"/>
      <c r="AK1286" s="66"/>
      <c r="AL1286" s="66"/>
      <c r="AM1286" s="66"/>
      <c r="AN1286" s="66"/>
      <c r="AO1286" s="66"/>
      <c r="AP1286" s="66"/>
      <c r="AQ1286" s="66"/>
      <c r="AR1286" s="66"/>
      <c r="AS1286" s="66"/>
      <c r="AT1286" s="66"/>
      <c r="AU1286" s="66"/>
      <c r="AV1286" s="66"/>
      <c r="AW1286" s="66"/>
      <c r="AX1286" s="66"/>
      <c r="AY1286" s="66"/>
      <c r="AZ1286" s="66"/>
      <c r="BA1286" s="66"/>
      <c r="BB1286" s="66"/>
      <c r="BC1286" s="66"/>
      <c r="BD1286" s="66"/>
      <c r="BE1286" s="67"/>
      <c r="BF1286" s="67"/>
      <c r="BG1286" s="68"/>
      <c r="BI1286" s="69">
        <v>0</v>
      </c>
      <c r="BJ1286" s="70">
        <v>0</v>
      </c>
      <c r="BK1286" s="71">
        <v>0</v>
      </c>
      <c r="BL1286" s="71">
        <v>0</v>
      </c>
      <c r="BM1286" s="71">
        <v>0</v>
      </c>
      <c r="BN1286" s="72">
        <v>0</v>
      </c>
      <c r="BO1286" s="151" t="e">
        <f t="shared" si="78"/>
        <v>#DIV/0!</v>
      </c>
      <c r="BP1286" s="151" t="e">
        <f t="shared" si="79"/>
        <v>#DIV/0!</v>
      </c>
      <c r="BQ1286" s="71">
        <v>0</v>
      </c>
      <c r="BR1286" s="71">
        <v>0</v>
      </c>
      <c r="BS1286" s="71">
        <v>0</v>
      </c>
      <c r="BT1286" s="72">
        <v>0</v>
      </c>
      <c r="BU1286" s="73"/>
      <c r="BV1286" s="73"/>
    </row>
    <row r="1287" ht="30" customHeight="1" spans="1:74">
      <c r="A1287" s="55">
        <v>0</v>
      </c>
      <c r="B1287" s="56">
        <v>0</v>
      </c>
      <c r="C1287" s="57">
        <v>0</v>
      </c>
      <c r="D1287" s="210"/>
      <c r="E1287" s="88"/>
      <c r="F1287" s="59" t="e">
        <f>VLOOKUP(E1287,[1]库存!$B$1:$C$65536,2,FALSE)</f>
        <v>#N/A</v>
      </c>
      <c r="G1287" s="59" t="e">
        <v>#N/A</v>
      </c>
      <c r="H1287" s="89"/>
      <c r="I1287" s="88"/>
      <c r="J1287" s="90"/>
      <c r="K1287" s="61"/>
      <c r="L1287" s="62">
        <v>0</v>
      </c>
      <c r="M1287" s="63">
        <v>0</v>
      </c>
      <c r="N1287" s="64">
        <v>0</v>
      </c>
      <c r="O1287" s="62">
        <v>0</v>
      </c>
      <c r="P1287" s="65">
        <f t="shared" si="80"/>
        <v>0</v>
      </c>
      <c r="Q1287" s="66"/>
      <c r="R1287" s="66"/>
      <c r="S1287" s="66"/>
      <c r="T1287" s="66"/>
      <c r="U1287" s="66"/>
      <c r="V1287" s="66"/>
      <c r="W1287" s="66"/>
      <c r="X1287" s="66"/>
      <c r="Y1287" s="66"/>
      <c r="Z1287" s="66"/>
      <c r="AA1287" s="66"/>
      <c r="AB1287" s="66"/>
      <c r="AC1287" s="66"/>
      <c r="AD1287" s="66"/>
      <c r="AE1287" s="66"/>
      <c r="AF1287" s="66"/>
      <c r="AG1287" s="66"/>
      <c r="AH1287" s="66"/>
      <c r="AI1287" s="66"/>
      <c r="AJ1287" s="66"/>
      <c r="AK1287" s="66"/>
      <c r="AL1287" s="66"/>
      <c r="AM1287" s="66"/>
      <c r="AN1287" s="66"/>
      <c r="AO1287" s="66"/>
      <c r="AP1287" s="66"/>
      <c r="AQ1287" s="66"/>
      <c r="AR1287" s="66"/>
      <c r="AS1287" s="66"/>
      <c r="AT1287" s="66"/>
      <c r="AU1287" s="66"/>
      <c r="AV1287" s="66"/>
      <c r="AW1287" s="66"/>
      <c r="AX1287" s="66"/>
      <c r="AY1287" s="66"/>
      <c r="AZ1287" s="66"/>
      <c r="BA1287" s="66"/>
      <c r="BB1287" s="66"/>
      <c r="BC1287" s="66"/>
      <c r="BD1287" s="66"/>
      <c r="BE1287" s="67"/>
      <c r="BF1287" s="67"/>
      <c r="BG1287" s="68"/>
      <c r="BI1287" s="69">
        <v>0</v>
      </c>
      <c r="BJ1287" s="70">
        <v>0</v>
      </c>
      <c r="BK1287" s="71">
        <v>0</v>
      </c>
      <c r="BL1287" s="71">
        <v>0</v>
      </c>
      <c r="BM1287" s="71">
        <v>0</v>
      </c>
      <c r="BN1287" s="72">
        <v>0</v>
      </c>
      <c r="BO1287" s="151" t="e">
        <f t="shared" si="78"/>
        <v>#DIV/0!</v>
      </c>
      <c r="BP1287" s="151" t="e">
        <f t="shared" si="79"/>
        <v>#DIV/0!</v>
      </c>
      <c r="BQ1287" s="71">
        <v>0</v>
      </c>
      <c r="BR1287" s="71">
        <v>0</v>
      </c>
      <c r="BS1287" s="71">
        <v>0</v>
      </c>
      <c r="BT1287" s="72">
        <v>0</v>
      </c>
      <c r="BU1287" s="73"/>
      <c r="BV1287" s="73"/>
    </row>
    <row r="1288" ht="30" customHeight="1" spans="1:74">
      <c r="A1288" s="55" t="s">
        <v>41</v>
      </c>
      <c r="B1288" s="56" t="s">
        <v>1057</v>
      </c>
      <c r="C1288" s="57" t="s">
        <v>1324</v>
      </c>
      <c r="D1288" s="59" t="s">
        <v>2130</v>
      </c>
      <c r="E1288" s="59" t="s">
        <v>2131</v>
      </c>
      <c r="F1288" s="59" t="str">
        <f>VLOOKUP(E1288,[1]库存!$B$1:$C$65536,2,FALSE)</f>
        <v>MAZDA J59R SAB LH</v>
      </c>
      <c r="G1288" s="59" t="s">
        <v>2132</v>
      </c>
      <c r="H1288" s="59" t="s">
        <v>2133</v>
      </c>
      <c r="I1288" s="59" t="s">
        <v>2134</v>
      </c>
      <c r="J1288" s="63"/>
      <c r="K1288" s="61"/>
      <c r="L1288" s="62">
        <v>2</v>
      </c>
      <c r="M1288" s="63">
        <v>1050</v>
      </c>
      <c r="N1288" s="64">
        <v>23</v>
      </c>
      <c r="O1288" s="62">
        <v>2</v>
      </c>
      <c r="P1288" s="65">
        <f t="shared" si="80"/>
        <v>0</v>
      </c>
      <c r="Q1288" s="66"/>
      <c r="R1288" s="66"/>
      <c r="S1288" s="66"/>
      <c r="T1288" s="66"/>
      <c r="U1288" s="66"/>
      <c r="V1288" s="66"/>
      <c r="W1288" s="66"/>
      <c r="X1288" s="66"/>
      <c r="Y1288" s="66"/>
      <c r="Z1288" s="66"/>
      <c r="AA1288" s="66"/>
      <c r="AB1288" s="66"/>
      <c r="AC1288" s="66"/>
      <c r="AD1288" s="66"/>
      <c r="AE1288" s="66"/>
      <c r="AF1288" s="66"/>
      <c r="AG1288" s="66"/>
      <c r="AH1288" s="66"/>
      <c r="AI1288" s="66"/>
      <c r="AJ1288" s="66"/>
      <c r="AK1288" s="66"/>
      <c r="AL1288" s="66"/>
      <c r="AM1288" s="66"/>
      <c r="AN1288" s="66"/>
      <c r="AO1288" s="66"/>
      <c r="AP1288" s="66"/>
      <c r="AQ1288" s="66"/>
      <c r="AR1288" s="66"/>
      <c r="AS1288" s="66"/>
      <c r="AT1288" s="66"/>
      <c r="AU1288" s="66"/>
      <c r="AV1288" s="66"/>
      <c r="AW1288" s="66"/>
      <c r="AX1288" s="66"/>
      <c r="AY1288" s="66"/>
      <c r="AZ1288" s="66"/>
      <c r="BA1288" s="66"/>
      <c r="BB1288" s="66"/>
      <c r="BC1288" s="66"/>
      <c r="BD1288" s="66"/>
      <c r="BE1288" s="67"/>
      <c r="BF1288" s="67"/>
      <c r="BG1288" s="68"/>
      <c r="BI1288" s="69">
        <v>0</v>
      </c>
      <c r="BJ1288" s="70">
        <v>0</v>
      </c>
      <c r="BK1288" s="71">
        <v>0</v>
      </c>
      <c r="BL1288" s="71">
        <v>0</v>
      </c>
      <c r="BM1288" s="71">
        <v>0</v>
      </c>
      <c r="BN1288" s="72">
        <v>0</v>
      </c>
      <c r="BO1288" s="151" t="e">
        <f t="shared" si="78"/>
        <v>#DIV/0!</v>
      </c>
      <c r="BP1288" s="151" t="e">
        <f t="shared" si="79"/>
        <v>#DIV/0!</v>
      </c>
      <c r="BQ1288" s="71">
        <v>0</v>
      </c>
      <c r="BR1288" s="71">
        <v>0</v>
      </c>
      <c r="BS1288" s="71">
        <v>0</v>
      </c>
      <c r="BT1288" s="72">
        <v>0</v>
      </c>
      <c r="BU1288" s="73"/>
      <c r="BV1288" s="73"/>
    </row>
    <row r="1289" ht="30" customHeight="1" spans="1:74">
      <c r="A1289" s="55">
        <v>0</v>
      </c>
      <c r="B1289" s="56">
        <v>0</v>
      </c>
      <c r="C1289" s="57">
        <v>0</v>
      </c>
      <c r="D1289" s="74"/>
      <c r="E1289" s="74"/>
      <c r="F1289" s="59" t="e">
        <f>VLOOKUP(E1289,[1]库存!$B$1:$C$65536,2,FALSE)</f>
        <v>#N/A</v>
      </c>
      <c r="G1289" s="59" t="e">
        <v>#N/A</v>
      </c>
      <c r="H1289" s="74"/>
      <c r="I1289" s="74"/>
      <c r="J1289" s="87"/>
      <c r="K1289" s="61"/>
      <c r="L1289" s="62">
        <v>0</v>
      </c>
      <c r="M1289" s="63">
        <v>0</v>
      </c>
      <c r="N1289" s="64">
        <v>0</v>
      </c>
      <c r="O1289" s="62">
        <v>0</v>
      </c>
      <c r="P1289" s="65">
        <f t="shared" si="80"/>
        <v>0</v>
      </c>
      <c r="Q1289" s="66"/>
      <c r="R1289" s="66"/>
      <c r="S1289" s="66"/>
      <c r="T1289" s="66"/>
      <c r="U1289" s="66"/>
      <c r="V1289" s="66"/>
      <c r="W1289" s="66"/>
      <c r="X1289" s="66"/>
      <c r="Y1289" s="66"/>
      <c r="Z1289" s="66"/>
      <c r="AA1289" s="66"/>
      <c r="AB1289" s="66"/>
      <c r="AC1289" s="66"/>
      <c r="AD1289" s="66"/>
      <c r="AE1289" s="66"/>
      <c r="AF1289" s="66"/>
      <c r="AG1289" s="66"/>
      <c r="AH1289" s="66"/>
      <c r="AI1289" s="66"/>
      <c r="AJ1289" s="66"/>
      <c r="AK1289" s="66"/>
      <c r="AL1289" s="66"/>
      <c r="AM1289" s="66"/>
      <c r="AN1289" s="66"/>
      <c r="AO1289" s="66"/>
      <c r="AP1289" s="66"/>
      <c r="AQ1289" s="66"/>
      <c r="AR1289" s="66"/>
      <c r="AS1289" s="66"/>
      <c r="AT1289" s="66"/>
      <c r="AU1289" s="66"/>
      <c r="AV1289" s="66"/>
      <c r="AW1289" s="66"/>
      <c r="AX1289" s="66"/>
      <c r="AY1289" s="66"/>
      <c r="AZ1289" s="66"/>
      <c r="BA1289" s="66"/>
      <c r="BB1289" s="66"/>
      <c r="BC1289" s="66"/>
      <c r="BD1289" s="66"/>
      <c r="BE1289" s="67"/>
      <c r="BF1289" s="67"/>
      <c r="BG1289" s="68"/>
      <c r="BI1289" s="69">
        <v>0</v>
      </c>
      <c r="BJ1289" s="70">
        <v>0</v>
      </c>
      <c r="BK1289" s="71">
        <v>0</v>
      </c>
      <c r="BL1289" s="71">
        <v>0</v>
      </c>
      <c r="BM1289" s="71">
        <v>0</v>
      </c>
      <c r="BN1289" s="72">
        <v>0</v>
      </c>
      <c r="BO1289" s="151" t="e">
        <f t="shared" si="78"/>
        <v>#DIV/0!</v>
      </c>
      <c r="BP1289" s="151" t="e">
        <f t="shared" si="79"/>
        <v>#DIV/0!</v>
      </c>
      <c r="BQ1289" s="71">
        <v>0</v>
      </c>
      <c r="BR1289" s="71">
        <v>0</v>
      </c>
      <c r="BS1289" s="71">
        <v>0</v>
      </c>
      <c r="BT1289" s="72">
        <v>0</v>
      </c>
      <c r="BU1289" s="73"/>
      <c r="BV1289" s="73"/>
    </row>
    <row r="1290" ht="30" customHeight="1" spans="1:74">
      <c r="A1290" s="55" t="s">
        <v>41</v>
      </c>
      <c r="B1290" s="56" t="s">
        <v>1057</v>
      </c>
      <c r="C1290" s="57" t="s">
        <v>1324</v>
      </c>
      <c r="D1290" s="59" t="s">
        <v>2130</v>
      </c>
      <c r="E1290" s="59" t="s">
        <v>2135</v>
      </c>
      <c r="F1290" s="59" t="str">
        <f>VLOOKUP(E1290,[1]库存!$B$1:$C$65536,2,FALSE)</f>
        <v>MAZDA J59R SAB RH</v>
      </c>
      <c r="G1290" s="59" t="s">
        <v>2136</v>
      </c>
      <c r="H1290" s="59" t="s">
        <v>2137</v>
      </c>
      <c r="I1290" s="59" t="s">
        <v>2134</v>
      </c>
      <c r="J1290" s="63"/>
      <c r="K1290" s="61"/>
      <c r="L1290" s="62">
        <v>2</v>
      </c>
      <c r="M1290" s="63">
        <v>1050</v>
      </c>
      <c r="N1290" s="64">
        <v>23</v>
      </c>
      <c r="O1290" s="62">
        <v>2</v>
      </c>
      <c r="P1290" s="65">
        <f t="shared" si="80"/>
        <v>0</v>
      </c>
      <c r="Q1290" s="66"/>
      <c r="R1290" s="66"/>
      <c r="S1290" s="66"/>
      <c r="T1290" s="66"/>
      <c r="U1290" s="66"/>
      <c r="V1290" s="66"/>
      <c r="W1290" s="66"/>
      <c r="X1290" s="66"/>
      <c r="Y1290" s="66"/>
      <c r="Z1290" s="66"/>
      <c r="AA1290" s="66"/>
      <c r="AB1290" s="66"/>
      <c r="AC1290" s="66"/>
      <c r="AD1290" s="66"/>
      <c r="AE1290" s="66"/>
      <c r="AF1290" s="66"/>
      <c r="AG1290" s="66"/>
      <c r="AH1290" s="66"/>
      <c r="AI1290" s="66"/>
      <c r="AJ1290" s="66"/>
      <c r="AK1290" s="66"/>
      <c r="AL1290" s="66"/>
      <c r="AM1290" s="66"/>
      <c r="AN1290" s="66"/>
      <c r="AO1290" s="66"/>
      <c r="AP1290" s="66"/>
      <c r="AQ1290" s="66"/>
      <c r="AR1290" s="66"/>
      <c r="AS1290" s="66"/>
      <c r="AT1290" s="66"/>
      <c r="AU1290" s="66"/>
      <c r="AV1290" s="66"/>
      <c r="AW1290" s="66"/>
      <c r="AX1290" s="66"/>
      <c r="AY1290" s="66"/>
      <c r="AZ1290" s="66"/>
      <c r="BA1290" s="66"/>
      <c r="BB1290" s="66"/>
      <c r="BC1290" s="66"/>
      <c r="BD1290" s="66"/>
      <c r="BE1290" s="67"/>
      <c r="BF1290" s="67"/>
      <c r="BG1290" s="68"/>
      <c r="BI1290" s="69">
        <v>0</v>
      </c>
      <c r="BJ1290" s="70">
        <v>0</v>
      </c>
      <c r="BK1290" s="71">
        <v>0</v>
      </c>
      <c r="BL1290" s="71">
        <v>0</v>
      </c>
      <c r="BM1290" s="71">
        <v>0</v>
      </c>
      <c r="BN1290" s="72">
        <v>0</v>
      </c>
      <c r="BO1290" s="151" t="e">
        <f t="shared" si="78"/>
        <v>#DIV/0!</v>
      </c>
      <c r="BP1290" s="151" t="e">
        <f t="shared" si="79"/>
        <v>#DIV/0!</v>
      </c>
      <c r="BQ1290" s="71">
        <v>0</v>
      </c>
      <c r="BR1290" s="71">
        <v>0</v>
      </c>
      <c r="BS1290" s="71">
        <v>0</v>
      </c>
      <c r="BT1290" s="72">
        <v>0</v>
      </c>
      <c r="BU1290" s="73"/>
      <c r="BV1290" s="73"/>
    </row>
    <row r="1291" ht="30" customHeight="1" spans="1:74">
      <c r="A1291" s="55">
        <v>0</v>
      </c>
      <c r="B1291" s="56">
        <v>0</v>
      </c>
      <c r="C1291" s="57">
        <v>0</v>
      </c>
      <c r="D1291" s="74"/>
      <c r="E1291" s="74"/>
      <c r="F1291" s="59" t="e">
        <f>VLOOKUP(E1291,[1]库存!$B$1:$C$65536,2,FALSE)</f>
        <v>#N/A</v>
      </c>
      <c r="G1291" s="59" t="e">
        <v>#N/A</v>
      </c>
      <c r="H1291" s="74"/>
      <c r="I1291" s="74"/>
      <c r="J1291" s="87"/>
      <c r="K1291" s="61"/>
      <c r="L1291" s="62">
        <v>0</v>
      </c>
      <c r="M1291" s="63">
        <v>0</v>
      </c>
      <c r="N1291" s="64">
        <v>0</v>
      </c>
      <c r="O1291" s="62">
        <v>0</v>
      </c>
      <c r="P1291" s="65">
        <f t="shared" si="80"/>
        <v>0</v>
      </c>
      <c r="R1291" s="66"/>
      <c r="T1291" s="66"/>
      <c r="V1291" s="66"/>
      <c r="X1291" s="66"/>
      <c r="Z1291" s="66"/>
      <c r="AB1291" s="66"/>
      <c r="AD1291" s="66"/>
      <c r="AF1291" s="66"/>
      <c r="AH1291" s="66"/>
      <c r="AJ1291" s="66"/>
      <c r="AL1291" s="66"/>
      <c r="AN1291" s="66"/>
      <c r="AP1291" s="66"/>
      <c r="AR1291" s="66"/>
      <c r="AT1291" s="66"/>
      <c r="AV1291" s="66"/>
      <c r="AX1291" s="66"/>
      <c r="AZ1291" s="66"/>
      <c r="BB1291" s="66"/>
      <c r="BD1291" s="66"/>
      <c r="BF1291" s="67"/>
      <c r="BG1291" s="68"/>
      <c r="BI1291" s="69">
        <v>0</v>
      </c>
      <c r="BJ1291" s="70">
        <v>0</v>
      </c>
      <c r="BK1291" s="71">
        <v>0</v>
      </c>
      <c r="BL1291" s="71">
        <v>0</v>
      </c>
      <c r="BM1291" s="71">
        <v>0</v>
      </c>
      <c r="BN1291" s="72">
        <v>0</v>
      </c>
      <c r="BO1291" s="151" t="e">
        <f t="shared" si="78"/>
        <v>#DIV/0!</v>
      </c>
      <c r="BP1291" s="151" t="e">
        <f t="shared" si="79"/>
        <v>#DIV/0!</v>
      </c>
      <c r="BQ1291" s="71">
        <v>0</v>
      </c>
      <c r="BR1291" s="71">
        <v>0</v>
      </c>
      <c r="BS1291" s="71">
        <v>0</v>
      </c>
      <c r="BT1291" s="72">
        <v>0</v>
      </c>
      <c r="BU1291" s="73"/>
      <c r="BV1291" s="73"/>
    </row>
    <row r="1292" ht="30" customHeight="1" spans="1:74">
      <c r="A1292" s="55">
        <v>0</v>
      </c>
      <c r="B1292" s="56" t="s">
        <v>1057</v>
      </c>
      <c r="C1292" s="57" t="s">
        <v>1324</v>
      </c>
      <c r="D1292" s="113" t="s">
        <v>2130</v>
      </c>
      <c r="E1292" s="113" t="s">
        <v>2138</v>
      </c>
      <c r="F1292" s="59" t="e">
        <f>VLOOKUP(E1292,[1]库存!$B$1:$C$65536,2,FALSE)</f>
        <v>#N/A</v>
      </c>
      <c r="G1292" s="59" t="e">
        <v>#N/A</v>
      </c>
      <c r="H1292" s="59" t="s">
        <v>2139</v>
      </c>
      <c r="I1292" s="59" t="s">
        <v>2140</v>
      </c>
      <c r="J1292" s="82" t="s">
        <v>80</v>
      </c>
      <c r="K1292" s="61"/>
      <c r="L1292" s="62">
        <v>2</v>
      </c>
      <c r="M1292" s="63">
        <v>1050</v>
      </c>
      <c r="N1292" s="64">
        <v>23</v>
      </c>
      <c r="O1292" s="62">
        <v>2</v>
      </c>
      <c r="P1292" s="65">
        <f t="shared" si="80"/>
        <v>0</v>
      </c>
      <c r="Q1292" s="66"/>
      <c r="R1292" s="66"/>
      <c r="S1292" s="66"/>
      <c r="T1292" s="66"/>
      <c r="U1292" s="66"/>
      <c r="V1292" s="66"/>
      <c r="W1292" s="66"/>
      <c r="X1292" s="66"/>
      <c r="Y1292" s="66"/>
      <c r="Z1292" s="66"/>
      <c r="AA1292" s="66"/>
      <c r="AB1292" s="66"/>
      <c r="AC1292" s="66"/>
      <c r="AD1292" s="66"/>
      <c r="AE1292" s="66"/>
      <c r="AF1292" s="66"/>
      <c r="AG1292" s="66"/>
      <c r="AH1292" s="66"/>
      <c r="AI1292" s="66"/>
      <c r="AJ1292" s="66"/>
      <c r="AK1292" s="66"/>
      <c r="AL1292" s="66"/>
      <c r="AM1292" s="66"/>
      <c r="AN1292" s="66"/>
      <c r="AO1292" s="66"/>
      <c r="AP1292" s="66"/>
      <c r="AQ1292" s="66"/>
      <c r="AR1292" s="66"/>
      <c r="AS1292" s="66"/>
      <c r="AT1292" s="66"/>
      <c r="AU1292" s="66"/>
      <c r="AV1292" s="66"/>
      <c r="AW1292" s="66"/>
      <c r="AX1292" s="66"/>
      <c r="AY1292" s="66"/>
      <c r="AZ1292" s="66"/>
      <c r="BA1292" s="66"/>
      <c r="BB1292" s="66"/>
      <c r="BC1292" s="66"/>
      <c r="BD1292" s="66"/>
      <c r="BE1292" s="67"/>
      <c r="BF1292" s="67"/>
      <c r="BG1292" s="68"/>
      <c r="BI1292" s="69">
        <v>0</v>
      </c>
      <c r="BJ1292" s="70">
        <v>0</v>
      </c>
      <c r="BK1292" s="71">
        <v>0</v>
      </c>
      <c r="BL1292" s="71">
        <v>0</v>
      </c>
      <c r="BM1292" s="71">
        <v>0</v>
      </c>
      <c r="BN1292" s="72">
        <v>0</v>
      </c>
      <c r="BO1292" s="151" t="e">
        <f t="shared" si="78"/>
        <v>#DIV/0!</v>
      </c>
      <c r="BP1292" s="151" t="e">
        <f t="shared" si="79"/>
        <v>#DIV/0!</v>
      </c>
      <c r="BQ1292" s="71">
        <v>0</v>
      </c>
      <c r="BR1292" s="71">
        <v>0</v>
      </c>
      <c r="BS1292" s="71">
        <v>0</v>
      </c>
      <c r="BT1292" s="72">
        <v>0</v>
      </c>
      <c r="BU1292" s="73"/>
      <c r="BV1292" s="73"/>
    </row>
    <row r="1293" ht="30" customHeight="1" spans="1:74">
      <c r="A1293" s="55">
        <v>0</v>
      </c>
      <c r="B1293" s="56">
        <v>0</v>
      </c>
      <c r="C1293" s="57">
        <v>0</v>
      </c>
      <c r="D1293" s="127"/>
      <c r="E1293" s="127"/>
      <c r="F1293" s="59" t="e">
        <f>VLOOKUP(E1293,[1]库存!$B$1:$C$65536,2,FALSE)</f>
        <v>#N/A</v>
      </c>
      <c r="G1293" s="59" t="e">
        <v>#N/A</v>
      </c>
      <c r="H1293" s="74"/>
      <c r="I1293" s="74"/>
      <c r="J1293" s="83"/>
      <c r="K1293" s="61"/>
      <c r="L1293" s="62">
        <v>0</v>
      </c>
      <c r="M1293" s="63">
        <v>0</v>
      </c>
      <c r="N1293" s="64">
        <v>0</v>
      </c>
      <c r="O1293" s="62">
        <v>0</v>
      </c>
      <c r="P1293" s="65">
        <f t="shared" si="80"/>
        <v>0</v>
      </c>
      <c r="Q1293" s="66"/>
      <c r="R1293" s="66"/>
      <c r="S1293" s="66"/>
      <c r="T1293" s="66"/>
      <c r="U1293" s="66"/>
      <c r="V1293" s="66"/>
      <c r="W1293" s="66"/>
      <c r="X1293" s="66"/>
      <c r="Y1293" s="66"/>
      <c r="Z1293" s="66"/>
      <c r="AA1293" s="66"/>
      <c r="AB1293" s="66"/>
      <c r="AC1293" s="66"/>
      <c r="AD1293" s="66"/>
      <c r="AE1293" s="66"/>
      <c r="AF1293" s="66"/>
      <c r="AG1293" s="66"/>
      <c r="AH1293" s="66"/>
      <c r="AI1293" s="66"/>
      <c r="AJ1293" s="66"/>
      <c r="AK1293" s="66"/>
      <c r="AL1293" s="66"/>
      <c r="AM1293" s="66"/>
      <c r="AN1293" s="66"/>
      <c r="AO1293" s="66"/>
      <c r="AP1293" s="66"/>
      <c r="AQ1293" s="66"/>
      <c r="AR1293" s="66"/>
      <c r="AS1293" s="66"/>
      <c r="AT1293" s="66"/>
      <c r="AU1293" s="66"/>
      <c r="AV1293" s="66"/>
      <c r="AW1293" s="66"/>
      <c r="AX1293" s="66"/>
      <c r="AY1293" s="66"/>
      <c r="AZ1293" s="66"/>
      <c r="BA1293" s="66"/>
      <c r="BB1293" s="66"/>
      <c r="BC1293" s="66"/>
      <c r="BD1293" s="66"/>
      <c r="BE1293" s="67"/>
      <c r="BF1293" s="67"/>
      <c r="BG1293" s="68"/>
      <c r="BI1293" s="69">
        <v>0</v>
      </c>
      <c r="BJ1293" s="70">
        <v>0</v>
      </c>
      <c r="BK1293" s="71">
        <v>0</v>
      </c>
      <c r="BL1293" s="71">
        <v>0</v>
      </c>
      <c r="BM1293" s="71">
        <v>0</v>
      </c>
      <c r="BN1293" s="72">
        <v>0</v>
      </c>
      <c r="BO1293" s="151" t="e">
        <f t="shared" si="78"/>
        <v>#DIV/0!</v>
      </c>
      <c r="BP1293" s="151" t="e">
        <f t="shared" si="79"/>
        <v>#DIV/0!</v>
      </c>
      <c r="BQ1293" s="71">
        <v>0</v>
      </c>
      <c r="BR1293" s="71">
        <v>0</v>
      </c>
      <c r="BS1293" s="71">
        <v>0</v>
      </c>
      <c r="BT1293" s="72">
        <v>0</v>
      </c>
      <c r="BU1293" s="73"/>
      <c r="BV1293" s="73"/>
    </row>
    <row r="1294" ht="30" customHeight="1" spans="1:74">
      <c r="A1294" s="55">
        <v>0</v>
      </c>
      <c r="B1294" s="56" t="s">
        <v>1057</v>
      </c>
      <c r="C1294" s="57" t="s">
        <v>1324</v>
      </c>
      <c r="D1294" s="113" t="s">
        <v>2130</v>
      </c>
      <c r="E1294" s="113" t="s">
        <v>2141</v>
      </c>
      <c r="F1294" s="59" t="e">
        <f>VLOOKUP(E1294,[1]库存!$B$1:$C$65536,2,FALSE)</f>
        <v>#N/A</v>
      </c>
      <c r="G1294" s="59" t="e">
        <v>#N/A</v>
      </c>
      <c r="H1294" s="59" t="s">
        <v>2142</v>
      </c>
      <c r="I1294" s="59" t="s">
        <v>2140</v>
      </c>
      <c r="J1294" s="82" t="s">
        <v>80</v>
      </c>
      <c r="K1294" s="61"/>
      <c r="L1294" s="62">
        <v>2</v>
      </c>
      <c r="M1294" s="63">
        <v>1050</v>
      </c>
      <c r="N1294" s="64">
        <v>23</v>
      </c>
      <c r="O1294" s="62">
        <v>2</v>
      </c>
      <c r="P1294" s="65">
        <f t="shared" si="80"/>
        <v>0</v>
      </c>
      <c r="Q1294" s="66"/>
      <c r="R1294" s="66"/>
      <c r="S1294" s="66"/>
      <c r="T1294" s="66"/>
      <c r="U1294" s="66"/>
      <c r="V1294" s="66"/>
      <c r="W1294" s="66"/>
      <c r="X1294" s="66"/>
      <c r="Y1294" s="66"/>
      <c r="Z1294" s="66"/>
      <c r="AA1294" s="66"/>
      <c r="AB1294" s="66"/>
      <c r="AC1294" s="66"/>
      <c r="AD1294" s="66"/>
      <c r="AE1294" s="66"/>
      <c r="AF1294" s="66"/>
      <c r="AG1294" s="66"/>
      <c r="AH1294" s="66"/>
      <c r="AI1294" s="66"/>
      <c r="AJ1294" s="66"/>
      <c r="AK1294" s="66"/>
      <c r="AL1294" s="66"/>
      <c r="AM1294" s="66"/>
      <c r="AN1294" s="66"/>
      <c r="AO1294" s="66"/>
      <c r="AP1294" s="66"/>
      <c r="AQ1294" s="66"/>
      <c r="AR1294" s="66"/>
      <c r="AS1294" s="66"/>
      <c r="AT1294" s="66"/>
      <c r="AU1294" s="66"/>
      <c r="AV1294" s="66"/>
      <c r="AW1294" s="66"/>
      <c r="AX1294" s="66"/>
      <c r="AY1294" s="66"/>
      <c r="AZ1294" s="66"/>
      <c r="BA1294" s="66"/>
      <c r="BB1294" s="66"/>
      <c r="BC1294" s="66"/>
      <c r="BD1294" s="66"/>
      <c r="BE1294" s="67"/>
      <c r="BF1294" s="67"/>
      <c r="BG1294" s="68"/>
      <c r="BI1294" s="69">
        <v>0</v>
      </c>
      <c r="BJ1294" s="70">
        <v>0</v>
      </c>
      <c r="BK1294" s="71">
        <v>0</v>
      </c>
      <c r="BL1294" s="71">
        <v>0</v>
      </c>
      <c r="BM1294" s="71">
        <v>0</v>
      </c>
      <c r="BN1294" s="72">
        <v>0</v>
      </c>
      <c r="BO1294" s="151" t="e">
        <f t="shared" si="78"/>
        <v>#DIV/0!</v>
      </c>
      <c r="BP1294" s="151" t="e">
        <f t="shared" si="79"/>
        <v>#DIV/0!</v>
      </c>
      <c r="BQ1294" s="71">
        <v>0</v>
      </c>
      <c r="BR1294" s="71">
        <v>0</v>
      </c>
      <c r="BS1294" s="71">
        <v>0</v>
      </c>
      <c r="BT1294" s="72">
        <v>0</v>
      </c>
      <c r="BU1294" s="73"/>
      <c r="BV1294" s="73"/>
    </row>
    <row r="1295" ht="30" customHeight="1" spans="1:74">
      <c r="A1295" s="55">
        <v>0</v>
      </c>
      <c r="B1295" s="56">
        <v>0</v>
      </c>
      <c r="C1295" s="57">
        <v>0</v>
      </c>
      <c r="D1295" s="127"/>
      <c r="E1295" s="127"/>
      <c r="F1295" s="59" t="e">
        <f>VLOOKUP(E1295,[1]库存!$B$1:$C$65536,2,FALSE)</f>
        <v>#N/A</v>
      </c>
      <c r="G1295" s="59" t="e">
        <v>#N/A</v>
      </c>
      <c r="H1295" s="74"/>
      <c r="I1295" s="74"/>
      <c r="J1295" s="83"/>
      <c r="K1295" s="61"/>
      <c r="L1295" s="62">
        <v>0</v>
      </c>
      <c r="M1295" s="63">
        <v>0</v>
      </c>
      <c r="N1295" s="64">
        <v>0</v>
      </c>
      <c r="O1295" s="62">
        <v>0</v>
      </c>
      <c r="P1295" s="65">
        <f t="shared" si="80"/>
        <v>0</v>
      </c>
      <c r="Q1295" s="66"/>
      <c r="R1295" s="66"/>
      <c r="S1295" s="66"/>
      <c r="T1295" s="66"/>
      <c r="U1295" s="66"/>
      <c r="V1295" s="66"/>
      <c r="W1295" s="66"/>
      <c r="X1295" s="66"/>
      <c r="Y1295" s="66"/>
      <c r="Z1295" s="66"/>
      <c r="AA1295" s="66"/>
      <c r="AB1295" s="66"/>
      <c r="AC1295" s="66"/>
      <c r="AD1295" s="66"/>
      <c r="AE1295" s="66"/>
      <c r="AF1295" s="66"/>
      <c r="AG1295" s="66"/>
      <c r="AH1295" s="66"/>
      <c r="AI1295" s="66"/>
      <c r="AJ1295" s="66"/>
      <c r="AK1295" s="66"/>
      <c r="AL1295" s="66"/>
      <c r="AM1295" s="66"/>
      <c r="AN1295" s="66"/>
      <c r="AO1295" s="66"/>
      <c r="AP1295" s="66"/>
      <c r="AQ1295" s="66"/>
      <c r="AR1295" s="66"/>
      <c r="AS1295" s="66"/>
      <c r="AT1295" s="66"/>
      <c r="AU1295" s="66"/>
      <c r="AV1295" s="66"/>
      <c r="AW1295" s="66"/>
      <c r="AX1295" s="66"/>
      <c r="AY1295" s="66"/>
      <c r="AZ1295" s="66"/>
      <c r="BA1295" s="66"/>
      <c r="BB1295" s="66"/>
      <c r="BC1295" s="66"/>
      <c r="BD1295" s="66"/>
      <c r="BE1295" s="67"/>
      <c r="BF1295" s="67"/>
      <c r="BG1295" s="68"/>
      <c r="BI1295" s="69">
        <v>0</v>
      </c>
      <c r="BJ1295" s="70">
        <v>0</v>
      </c>
      <c r="BK1295" s="71">
        <v>0</v>
      </c>
      <c r="BL1295" s="71">
        <v>0</v>
      </c>
      <c r="BM1295" s="71">
        <v>0</v>
      </c>
      <c r="BN1295" s="72">
        <v>0</v>
      </c>
      <c r="BO1295" s="151" t="e">
        <f t="shared" si="78"/>
        <v>#DIV/0!</v>
      </c>
      <c r="BP1295" s="151" t="e">
        <f t="shared" si="79"/>
        <v>#DIV/0!</v>
      </c>
      <c r="BQ1295" s="71">
        <v>0</v>
      </c>
      <c r="BR1295" s="71">
        <v>0</v>
      </c>
      <c r="BS1295" s="71">
        <v>0</v>
      </c>
      <c r="BT1295" s="72">
        <v>0</v>
      </c>
      <c r="BU1295" s="73"/>
      <c r="BV1295" s="73"/>
    </row>
    <row r="1296" ht="30" customHeight="1" spans="1:74">
      <c r="A1296" s="55">
        <v>0</v>
      </c>
      <c r="B1296" s="56">
        <v>0</v>
      </c>
      <c r="C1296" s="57">
        <v>0</v>
      </c>
      <c r="D1296" s="210"/>
      <c r="E1296" s="88"/>
      <c r="F1296" s="59" t="e">
        <f>VLOOKUP(E1296,[1]库存!$B$1:$C$65536,2,FALSE)</f>
        <v>#N/A</v>
      </c>
      <c r="G1296" s="59" t="e">
        <v>#N/A</v>
      </c>
      <c r="H1296" s="89"/>
      <c r="I1296" s="88"/>
      <c r="J1296" s="90"/>
      <c r="K1296" s="61"/>
      <c r="L1296" s="62">
        <v>0</v>
      </c>
      <c r="M1296" s="63">
        <v>0</v>
      </c>
      <c r="N1296" s="64">
        <v>0</v>
      </c>
      <c r="O1296" s="62">
        <v>0</v>
      </c>
      <c r="P1296" s="65">
        <f t="shared" si="80"/>
        <v>0</v>
      </c>
      <c r="Q1296" s="66"/>
      <c r="R1296" s="66"/>
      <c r="S1296" s="66"/>
      <c r="T1296" s="66"/>
      <c r="U1296" s="66"/>
      <c r="V1296" s="66"/>
      <c r="W1296" s="66"/>
      <c r="X1296" s="66"/>
      <c r="Y1296" s="66"/>
      <c r="Z1296" s="66"/>
      <c r="AA1296" s="66"/>
      <c r="AB1296" s="66"/>
      <c r="AC1296" s="66"/>
      <c r="AD1296" s="66"/>
      <c r="AE1296" s="66"/>
      <c r="AF1296" s="66"/>
      <c r="AG1296" s="66"/>
      <c r="AH1296" s="66"/>
      <c r="AI1296" s="66"/>
      <c r="AJ1296" s="66"/>
      <c r="AK1296" s="66"/>
      <c r="AL1296" s="66"/>
      <c r="AM1296" s="66"/>
      <c r="AN1296" s="66"/>
      <c r="AO1296" s="66"/>
      <c r="AP1296" s="66"/>
      <c r="AQ1296" s="66"/>
      <c r="AR1296" s="66"/>
      <c r="AS1296" s="66"/>
      <c r="AT1296" s="66"/>
      <c r="AU1296" s="66"/>
      <c r="AV1296" s="66"/>
      <c r="AW1296" s="66"/>
      <c r="AX1296" s="66"/>
      <c r="AY1296" s="66"/>
      <c r="AZ1296" s="66"/>
      <c r="BA1296" s="66"/>
      <c r="BB1296" s="66"/>
      <c r="BC1296" s="66"/>
      <c r="BD1296" s="66"/>
      <c r="BE1296" s="67"/>
      <c r="BF1296" s="67"/>
      <c r="BG1296" s="68"/>
      <c r="BI1296" s="69">
        <v>0</v>
      </c>
      <c r="BJ1296" s="70">
        <v>0</v>
      </c>
      <c r="BK1296" s="71">
        <v>0</v>
      </c>
      <c r="BL1296" s="71">
        <v>0</v>
      </c>
      <c r="BM1296" s="71">
        <v>0</v>
      </c>
      <c r="BN1296" s="72">
        <v>0</v>
      </c>
      <c r="BO1296" s="151" t="e">
        <f t="shared" si="78"/>
        <v>#DIV/0!</v>
      </c>
      <c r="BP1296" s="151" t="e">
        <f t="shared" si="79"/>
        <v>#DIV/0!</v>
      </c>
      <c r="BQ1296" s="71">
        <v>0</v>
      </c>
      <c r="BR1296" s="71">
        <v>0</v>
      </c>
      <c r="BS1296" s="71">
        <v>0</v>
      </c>
      <c r="BT1296" s="72">
        <v>0</v>
      </c>
      <c r="BU1296" s="73"/>
      <c r="BV1296" s="73"/>
    </row>
    <row r="1297" ht="30" customHeight="1" spans="1:75 16331:16349">
      <c r="A1297" s="55" t="s">
        <v>96</v>
      </c>
      <c r="B1297" s="56" t="s">
        <v>1057</v>
      </c>
      <c r="C1297" s="57" t="s">
        <v>1072</v>
      </c>
      <c r="D1297" s="59" t="s">
        <v>2143</v>
      </c>
      <c r="E1297" s="59" t="s">
        <v>2144</v>
      </c>
      <c r="F1297" s="59" t="str">
        <f>VLOOKUP(E1297,[1]库存!$B$1:$C$65536,2,FALSE)</f>
        <v>GM GEM JBSC DAB A状态</v>
      </c>
      <c r="G1297" s="59" t="s">
        <v>2145</v>
      </c>
      <c r="H1297" s="59" t="s">
        <v>2146</v>
      </c>
      <c r="I1297" s="59" t="s">
        <v>2147</v>
      </c>
      <c r="J1297" s="80" t="s">
        <v>65</v>
      </c>
      <c r="K1297" s="61"/>
      <c r="L1297" s="62">
        <v>2</v>
      </c>
      <c r="M1297" s="63">
        <v>1100</v>
      </c>
      <c r="N1297" s="64">
        <v>8</v>
      </c>
      <c r="O1297" s="62">
        <v>2</v>
      </c>
      <c r="P1297" s="65">
        <f t="shared" si="80"/>
        <v>0</v>
      </c>
      <c r="Q1297" s="66"/>
      <c r="R1297" s="66"/>
      <c r="S1297" s="66"/>
      <c r="T1297" s="66"/>
      <c r="U1297" s="66"/>
      <c r="V1297" s="66"/>
      <c r="W1297" s="66"/>
      <c r="X1297" s="66"/>
      <c r="Y1297" s="66"/>
      <c r="Z1297" s="66"/>
      <c r="AA1297" s="66"/>
      <c r="AB1297" s="66"/>
      <c r="AC1297" s="66"/>
      <c r="AD1297" s="66"/>
      <c r="AE1297" s="66"/>
      <c r="AF1297" s="66"/>
      <c r="AG1297" s="66"/>
      <c r="AH1297" s="66"/>
      <c r="AI1297" s="66"/>
      <c r="AJ1297" s="66"/>
      <c r="AK1297" s="66"/>
      <c r="AL1297" s="66"/>
      <c r="AM1297" s="66"/>
      <c r="AN1297" s="66"/>
      <c r="AO1297" s="66"/>
      <c r="AP1297" s="66"/>
      <c r="AQ1297" s="66"/>
      <c r="AR1297" s="66"/>
      <c r="AS1297" s="66"/>
      <c r="AT1297" s="66"/>
      <c r="AU1297" s="66"/>
      <c r="AV1297" s="66"/>
      <c r="AW1297" s="66"/>
      <c r="AX1297" s="66"/>
      <c r="AY1297" s="66"/>
      <c r="AZ1297" s="66"/>
      <c r="BA1297" s="66"/>
      <c r="BB1297" s="66"/>
      <c r="BC1297" s="66"/>
      <c r="BD1297" s="66"/>
      <c r="BE1297" s="67"/>
      <c r="BF1297" s="67"/>
      <c r="BG1297" s="68"/>
      <c r="BI1297" s="69">
        <v>0</v>
      </c>
      <c r="BJ1297" s="70">
        <v>0</v>
      </c>
      <c r="BK1297" s="71">
        <v>0</v>
      </c>
      <c r="BL1297" s="71">
        <v>0</v>
      </c>
      <c r="BM1297" s="71">
        <v>0</v>
      </c>
      <c r="BN1297" s="72">
        <v>0</v>
      </c>
      <c r="BO1297" s="151" t="e">
        <f t="shared" si="78"/>
        <v>#DIV/0!</v>
      </c>
      <c r="BP1297" s="151" t="e">
        <f t="shared" si="79"/>
        <v>#DIV/0!</v>
      </c>
      <c r="BQ1297" s="71">
        <v>0</v>
      </c>
      <c r="BR1297" s="71">
        <v>0</v>
      </c>
      <c r="BS1297" s="71">
        <v>0</v>
      </c>
      <c r="BT1297" s="72">
        <v>0</v>
      </c>
      <c r="BU1297" s="73"/>
      <c r="BV1297" s="73"/>
    </row>
    <row r="1298" ht="30" customHeight="1" spans="1:75 16331:16349">
      <c r="A1298" s="55">
        <v>0</v>
      </c>
      <c r="B1298" s="56">
        <v>0</v>
      </c>
      <c r="C1298" s="57">
        <v>0</v>
      </c>
      <c r="D1298" s="74"/>
      <c r="E1298" s="74"/>
      <c r="F1298" s="59" t="e">
        <f>VLOOKUP(E1298,[1]库存!$B$1:$C$65536,2,FALSE)</f>
        <v>#N/A</v>
      </c>
      <c r="G1298" s="59" t="e">
        <v>#N/A</v>
      </c>
      <c r="H1298" s="74"/>
      <c r="I1298" s="74"/>
      <c r="J1298" s="81"/>
      <c r="K1298" s="61"/>
      <c r="L1298" s="62">
        <v>0</v>
      </c>
      <c r="M1298" s="63">
        <v>0</v>
      </c>
      <c r="N1298" s="64">
        <v>0</v>
      </c>
      <c r="O1298" s="62">
        <v>0</v>
      </c>
      <c r="P1298" s="65">
        <f t="shared" si="80"/>
        <v>0</v>
      </c>
      <c r="Q1298" s="66"/>
      <c r="R1298" s="66"/>
      <c r="S1298" s="66"/>
      <c r="T1298" s="66"/>
      <c r="U1298" s="66"/>
      <c r="V1298" s="66"/>
      <c r="W1298" s="66"/>
      <c r="X1298" s="66"/>
      <c r="Y1298" s="66"/>
      <c r="Z1298" s="66"/>
      <c r="AA1298" s="66"/>
      <c r="AB1298" s="66"/>
      <c r="AC1298" s="66"/>
      <c r="AD1298" s="66"/>
      <c r="AE1298" s="66"/>
      <c r="AF1298" s="66"/>
      <c r="AG1298" s="66"/>
      <c r="AH1298" s="66"/>
      <c r="AI1298" s="66"/>
      <c r="AJ1298" s="66"/>
      <c r="AK1298" s="66"/>
      <c r="AL1298" s="66"/>
      <c r="AM1298" s="66"/>
      <c r="AN1298" s="66"/>
      <c r="AO1298" s="66"/>
      <c r="AP1298" s="66"/>
      <c r="AQ1298" s="66"/>
      <c r="AR1298" s="66"/>
      <c r="AS1298" s="66"/>
      <c r="AT1298" s="66"/>
      <c r="AU1298" s="66"/>
      <c r="AV1298" s="66"/>
      <c r="AW1298" s="66"/>
      <c r="AX1298" s="66"/>
      <c r="AY1298" s="66"/>
      <c r="AZ1298" s="66"/>
      <c r="BA1298" s="66"/>
      <c r="BB1298" s="66"/>
      <c r="BC1298" s="66"/>
      <c r="BD1298" s="66"/>
      <c r="BE1298" s="67"/>
      <c r="BF1298" s="67"/>
      <c r="BG1298" s="68"/>
      <c r="BI1298" s="69">
        <v>0</v>
      </c>
      <c r="BJ1298" s="70">
        <v>0</v>
      </c>
      <c r="BK1298" s="71">
        <v>0</v>
      </c>
      <c r="BL1298" s="71">
        <v>0</v>
      </c>
      <c r="BM1298" s="71">
        <v>0</v>
      </c>
      <c r="BN1298" s="72">
        <v>0</v>
      </c>
      <c r="BO1298" s="151" t="e">
        <f t="shared" si="78"/>
        <v>#DIV/0!</v>
      </c>
      <c r="BP1298" s="151" t="e">
        <f t="shared" si="79"/>
        <v>#DIV/0!</v>
      </c>
      <c r="BQ1298" s="71">
        <v>0</v>
      </c>
      <c r="BR1298" s="71">
        <v>0</v>
      </c>
      <c r="BS1298" s="71">
        <v>0</v>
      </c>
      <c r="BT1298" s="72">
        <v>0</v>
      </c>
      <c r="BU1298" s="73"/>
      <c r="BV1298" s="73"/>
    </row>
    <row r="1299" ht="30" customHeight="1" spans="1:75 16331:16349">
      <c r="A1299" s="55">
        <v>0</v>
      </c>
      <c r="B1299" s="56">
        <v>0</v>
      </c>
      <c r="C1299" s="57">
        <v>0</v>
      </c>
      <c r="D1299" s="210"/>
      <c r="E1299" s="88"/>
      <c r="F1299" s="59" t="e">
        <f>VLOOKUP(E1299,[1]库存!$B$1:$C$65536,2,FALSE)</f>
        <v>#N/A</v>
      </c>
      <c r="G1299" s="59" t="e">
        <v>#N/A</v>
      </c>
      <c r="H1299" s="89"/>
      <c r="I1299" s="88"/>
      <c r="J1299" s="90"/>
      <c r="K1299" s="61"/>
      <c r="L1299" s="62">
        <v>0</v>
      </c>
      <c r="M1299" s="63">
        <v>0</v>
      </c>
      <c r="N1299" s="64">
        <v>0</v>
      </c>
      <c r="O1299" s="62">
        <v>0</v>
      </c>
      <c r="P1299" s="65">
        <f t="shared" si="80"/>
        <v>0</v>
      </c>
      <c r="Q1299" s="66"/>
      <c r="R1299" s="66"/>
      <c r="S1299" s="66"/>
      <c r="T1299" s="66"/>
      <c r="U1299" s="66"/>
      <c r="V1299" s="66"/>
      <c r="W1299" s="66"/>
      <c r="X1299" s="66"/>
      <c r="Y1299" s="66"/>
      <c r="Z1299" s="66"/>
      <c r="AA1299" s="66"/>
      <c r="AB1299" s="66"/>
      <c r="AC1299" s="66"/>
      <c r="AD1299" s="66"/>
      <c r="AE1299" s="66"/>
      <c r="AF1299" s="66"/>
      <c r="AG1299" s="66"/>
      <c r="AH1299" s="66"/>
      <c r="AI1299" s="66"/>
      <c r="AJ1299" s="66"/>
      <c r="AK1299" s="66"/>
      <c r="AL1299" s="66"/>
      <c r="AM1299" s="66"/>
      <c r="AN1299" s="66"/>
      <c r="AO1299" s="66"/>
      <c r="AP1299" s="66"/>
      <c r="AQ1299" s="66"/>
      <c r="AR1299" s="66"/>
      <c r="AS1299" s="66"/>
      <c r="AT1299" s="66"/>
      <c r="AU1299" s="66"/>
      <c r="AV1299" s="66"/>
      <c r="AW1299" s="66"/>
      <c r="AX1299" s="66"/>
      <c r="AY1299" s="66"/>
      <c r="AZ1299" s="66"/>
      <c r="BA1299" s="66"/>
      <c r="BB1299" s="66"/>
      <c r="BC1299" s="66"/>
      <c r="BD1299" s="66"/>
      <c r="BE1299" s="67"/>
      <c r="BF1299" s="67"/>
      <c r="BG1299" s="68"/>
      <c r="BI1299" s="69">
        <v>0</v>
      </c>
      <c r="BJ1299" s="70">
        <v>0</v>
      </c>
      <c r="BK1299" s="71">
        <v>0</v>
      </c>
      <c r="BL1299" s="71">
        <v>0</v>
      </c>
      <c r="BM1299" s="71">
        <v>0</v>
      </c>
      <c r="BN1299" s="72">
        <v>0</v>
      </c>
      <c r="BO1299" s="151" t="e">
        <f t="shared" si="78"/>
        <v>#DIV/0!</v>
      </c>
      <c r="BP1299" s="151" t="e">
        <f t="shared" si="79"/>
        <v>#DIV/0!</v>
      </c>
      <c r="BQ1299" s="71">
        <v>0</v>
      </c>
      <c r="BR1299" s="71">
        <v>0</v>
      </c>
      <c r="BS1299" s="71">
        <v>0</v>
      </c>
      <c r="BT1299" s="72">
        <v>0</v>
      </c>
      <c r="BU1299" s="73"/>
      <c r="BV1299" s="73"/>
    </row>
    <row r="1300" ht="30" customHeight="1" spans="1:75 16331:16349">
      <c r="A1300" s="55" t="s">
        <v>96</v>
      </c>
      <c r="B1300" s="56" t="s">
        <v>1057</v>
      </c>
      <c r="C1300" s="57" t="s">
        <v>1072</v>
      </c>
      <c r="D1300" s="59" t="s">
        <v>2148</v>
      </c>
      <c r="E1300" s="59" t="s">
        <v>2149</v>
      </c>
      <c r="F1300" s="59" t="str">
        <f>VLOOKUP(E1300,[1]库存!$B$1:$C$65536,2,FALSE)</f>
        <v>SAIC IP32 DAB A状态</v>
      </c>
      <c r="G1300" s="59" t="s">
        <v>2150</v>
      </c>
      <c r="H1300" s="59" t="s">
        <v>2151</v>
      </c>
      <c r="I1300" s="59" t="s">
        <v>2152</v>
      </c>
      <c r="J1300" s="63"/>
      <c r="K1300" s="61"/>
      <c r="L1300" s="62">
        <v>2</v>
      </c>
      <c r="M1300" s="63">
        <v>1500</v>
      </c>
      <c r="N1300" s="64">
        <v>6</v>
      </c>
      <c r="O1300" s="62">
        <v>2</v>
      </c>
      <c r="P1300" s="65">
        <f t="shared" si="80"/>
        <v>0</v>
      </c>
      <c r="Q1300" s="66"/>
      <c r="R1300" s="66"/>
      <c r="S1300" s="66"/>
      <c r="T1300" s="66"/>
      <c r="U1300" s="66"/>
      <c r="V1300" s="66"/>
      <c r="W1300" s="66"/>
      <c r="X1300" s="66"/>
      <c r="Y1300" s="66"/>
      <c r="Z1300" s="66"/>
      <c r="AA1300" s="66"/>
      <c r="AB1300" s="66"/>
      <c r="AC1300" s="66"/>
      <c r="AD1300" s="66"/>
      <c r="AE1300" s="66"/>
      <c r="AF1300" s="66"/>
      <c r="AG1300" s="66"/>
      <c r="AH1300" s="66"/>
      <c r="AI1300" s="66"/>
      <c r="AJ1300" s="66"/>
      <c r="AK1300" s="66"/>
      <c r="AL1300" s="66"/>
      <c r="AM1300" s="66"/>
      <c r="AN1300" s="66"/>
      <c r="AO1300" s="66"/>
      <c r="AP1300" s="66"/>
      <c r="AQ1300" s="66"/>
      <c r="AR1300" s="66"/>
      <c r="AS1300" s="66"/>
      <c r="AT1300" s="66"/>
      <c r="AU1300" s="66"/>
      <c r="AV1300" s="66"/>
      <c r="AW1300" s="66"/>
      <c r="AX1300" s="66"/>
      <c r="AY1300" s="66"/>
      <c r="AZ1300" s="66"/>
      <c r="BA1300" s="66"/>
      <c r="BB1300" s="66"/>
      <c r="BC1300" s="66"/>
      <c r="BD1300" s="66"/>
      <c r="BE1300" s="67"/>
      <c r="BF1300" s="67"/>
      <c r="BG1300" s="68"/>
      <c r="BI1300" s="69">
        <v>0</v>
      </c>
      <c r="BJ1300" s="70">
        <v>0</v>
      </c>
      <c r="BK1300" s="71">
        <v>0</v>
      </c>
      <c r="BL1300" s="71">
        <v>0</v>
      </c>
      <c r="BM1300" s="71">
        <v>0</v>
      </c>
      <c r="BN1300" s="72">
        <v>0</v>
      </c>
      <c r="BO1300" s="151" t="e">
        <f t="shared" si="78"/>
        <v>#DIV/0!</v>
      </c>
      <c r="BP1300" s="151" t="e">
        <f t="shared" si="79"/>
        <v>#DIV/0!</v>
      </c>
      <c r="BQ1300" s="71">
        <v>0</v>
      </c>
      <c r="BR1300" s="71">
        <v>0</v>
      </c>
      <c r="BS1300" s="71">
        <v>0</v>
      </c>
      <c r="BT1300" s="72">
        <v>0</v>
      </c>
      <c r="BU1300" s="73"/>
      <c r="BV1300" s="73"/>
    </row>
    <row r="1301" ht="30" customHeight="1" spans="1:75 16331:16349">
      <c r="A1301" s="55">
        <v>0</v>
      </c>
      <c r="B1301" s="56">
        <v>0</v>
      </c>
      <c r="C1301" s="57">
        <v>0</v>
      </c>
      <c r="D1301" s="74"/>
      <c r="E1301" s="74"/>
      <c r="F1301" s="59" t="e">
        <f>VLOOKUP(E1301,[1]库存!$B$1:$C$65536,2,FALSE)</f>
        <v>#N/A</v>
      </c>
      <c r="G1301" s="59" t="e">
        <v>#N/A</v>
      </c>
      <c r="H1301" s="74"/>
      <c r="I1301" s="74"/>
      <c r="J1301" s="87"/>
      <c r="K1301" s="61"/>
      <c r="L1301" s="62">
        <v>0</v>
      </c>
      <c r="M1301" s="63">
        <v>0</v>
      </c>
      <c r="N1301" s="64">
        <v>0</v>
      </c>
      <c r="O1301" s="62">
        <v>0</v>
      </c>
      <c r="P1301" s="65">
        <f t="shared" si="80"/>
        <v>0</v>
      </c>
      <c r="Q1301" s="66"/>
      <c r="R1301" s="66"/>
      <c r="S1301" s="66"/>
      <c r="T1301" s="66"/>
      <c r="U1301" s="66"/>
      <c r="V1301" s="66"/>
      <c r="W1301" s="66"/>
      <c r="X1301" s="66"/>
      <c r="Y1301" s="66"/>
      <c r="Z1301" s="66"/>
      <c r="AA1301" s="66"/>
      <c r="AB1301" s="66"/>
      <c r="AC1301" s="66"/>
      <c r="AD1301" s="66"/>
      <c r="AE1301" s="66"/>
      <c r="AF1301" s="66"/>
      <c r="AG1301" s="66"/>
      <c r="AH1301" s="66"/>
      <c r="AI1301" s="66"/>
      <c r="AJ1301" s="66"/>
      <c r="AK1301" s="66"/>
      <c r="AL1301" s="66"/>
      <c r="AM1301" s="66"/>
      <c r="AN1301" s="66"/>
      <c r="AO1301" s="66"/>
      <c r="AP1301" s="66"/>
      <c r="AQ1301" s="66"/>
      <c r="AR1301" s="66"/>
      <c r="AS1301" s="66"/>
      <c r="AT1301" s="66"/>
      <c r="AU1301" s="66"/>
      <c r="AV1301" s="66"/>
      <c r="AW1301" s="66"/>
      <c r="AX1301" s="66"/>
      <c r="AY1301" s="66"/>
      <c r="AZ1301" s="66"/>
      <c r="BA1301" s="66"/>
      <c r="BB1301" s="66"/>
      <c r="BC1301" s="66"/>
      <c r="BD1301" s="66"/>
      <c r="BE1301" s="67"/>
      <c r="BF1301" s="67"/>
      <c r="BG1301" s="68"/>
      <c r="BI1301" s="69">
        <v>0</v>
      </c>
      <c r="BJ1301" s="70">
        <v>0</v>
      </c>
      <c r="BK1301" s="71">
        <v>0</v>
      </c>
      <c r="BL1301" s="71">
        <v>0</v>
      </c>
      <c r="BM1301" s="71">
        <v>0</v>
      </c>
      <c r="BN1301" s="72">
        <v>0</v>
      </c>
      <c r="BO1301" s="151" t="e">
        <f t="shared" si="78"/>
        <v>#DIV/0!</v>
      </c>
      <c r="BP1301" s="151" t="e">
        <f t="shared" si="79"/>
        <v>#DIV/0!</v>
      </c>
      <c r="BQ1301" s="71">
        <v>0</v>
      </c>
      <c r="BR1301" s="71">
        <v>0</v>
      </c>
      <c r="BS1301" s="71">
        <v>0</v>
      </c>
      <c r="BT1301" s="72">
        <v>0</v>
      </c>
      <c r="BU1301" s="73"/>
      <c r="BV1301" s="73"/>
    </row>
    <row r="1302" ht="30" customHeight="1" spans="1:75 16331:16349">
      <c r="A1302" s="55">
        <v>0</v>
      </c>
      <c r="B1302" s="56">
        <v>0</v>
      </c>
      <c r="C1302" s="57">
        <v>0</v>
      </c>
      <c r="D1302" s="59" t="s">
        <v>2148</v>
      </c>
      <c r="E1302" s="59"/>
      <c r="F1302" s="59" t="e">
        <f>VLOOKUP(E1302,[1]库存!$B$1:$C$65536,2,FALSE)</f>
        <v>#N/A</v>
      </c>
      <c r="G1302" s="59" t="e">
        <v>#N/A</v>
      </c>
      <c r="H1302" s="59" t="s">
        <v>2153</v>
      </c>
      <c r="I1302" s="59" t="s">
        <v>2154</v>
      </c>
      <c r="J1302" s="63"/>
      <c r="K1302" s="61"/>
      <c r="L1302" s="62">
        <v>0</v>
      </c>
      <c r="M1302" s="63">
        <v>0</v>
      </c>
      <c r="N1302" s="64">
        <v>0</v>
      </c>
      <c r="O1302" s="62">
        <v>0</v>
      </c>
      <c r="P1302" s="65">
        <f t="shared" si="80"/>
        <v>0</v>
      </c>
      <c r="Q1302" s="66"/>
      <c r="R1302" s="66"/>
      <c r="S1302" s="66"/>
      <c r="T1302" s="66"/>
      <c r="U1302" s="66"/>
      <c r="V1302" s="66"/>
      <c r="W1302" s="66"/>
      <c r="X1302" s="66"/>
      <c r="Y1302" s="66"/>
      <c r="Z1302" s="66"/>
      <c r="AA1302" s="66"/>
      <c r="AB1302" s="66"/>
      <c r="AC1302" s="66"/>
      <c r="AD1302" s="66"/>
      <c r="AE1302" s="66"/>
      <c r="AF1302" s="66"/>
      <c r="AG1302" s="66"/>
      <c r="AH1302" s="66"/>
      <c r="AI1302" s="66"/>
      <c r="AJ1302" s="66"/>
      <c r="AK1302" s="66"/>
      <c r="AL1302" s="66"/>
      <c r="AM1302" s="66"/>
      <c r="AN1302" s="66"/>
      <c r="AO1302" s="66"/>
      <c r="AP1302" s="66"/>
      <c r="AQ1302" s="66"/>
      <c r="AR1302" s="66"/>
      <c r="AS1302" s="66"/>
      <c r="AT1302" s="66"/>
      <c r="AU1302" s="66"/>
      <c r="AV1302" s="66"/>
      <c r="AW1302" s="66"/>
      <c r="AX1302" s="66"/>
      <c r="AY1302" s="66"/>
      <c r="AZ1302" s="66"/>
      <c r="BA1302" s="66"/>
      <c r="BB1302" s="66"/>
      <c r="BC1302" s="66"/>
      <c r="BD1302" s="66"/>
      <c r="BE1302" s="67"/>
      <c r="BF1302" s="67"/>
      <c r="BG1302" s="68"/>
      <c r="BI1302" s="69">
        <v>0</v>
      </c>
      <c r="BJ1302" s="70">
        <v>0</v>
      </c>
      <c r="BK1302" s="71">
        <v>0</v>
      </c>
      <c r="BL1302" s="71">
        <v>0</v>
      </c>
      <c r="BM1302" s="71">
        <v>0</v>
      </c>
      <c r="BN1302" s="72">
        <v>0</v>
      </c>
      <c r="BO1302" s="151" t="e">
        <f t="shared" si="78"/>
        <v>#DIV/0!</v>
      </c>
      <c r="BP1302" s="151" t="e">
        <f t="shared" si="79"/>
        <v>#DIV/0!</v>
      </c>
      <c r="BQ1302" s="71">
        <v>0</v>
      </c>
      <c r="BR1302" s="71">
        <v>0</v>
      </c>
      <c r="BS1302" s="71">
        <v>0</v>
      </c>
      <c r="BT1302" s="72">
        <v>0</v>
      </c>
      <c r="BU1302" s="73"/>
      <c r="BV1302" s="73"/>
    </row>
    <row r="1303" ht="30" customHeight="1" spans="1:75 16331:16349">
      <c r="A1303" s="55">
        <v>0</v>
      </c>
      <c r="B1303" s="56">
        <v>0</v>
      </c>
      <c r="C1303" s="57">
        <v>0</v>
      </c>
      <c r="D1303" s="74"/>
      <c r="E1303" s="74"/>
      <c r="F1303" s="59" t="e">
        <f>VLOOKUP(E1303,[1]库存!$B$1:$C$65536,2,FALSE)</f>
        <v>#N/A</v>
      </c>
      <c r="G1303" s="59" t="e">
        <v>#N/A</v>
      </c>
      <c r="H1303" s="74"/>
      <c r="I1303" s="74"/>
      <c r="J1303" s="87"/>
      <c r="K1303" s="61"/>
      <c r="L1303" s="62">
        <v>0</v>
      </c>
      <c r="M1303" s="63">
        <v>0</v>
      </c>
      <c r="N1303" s="64">
        <v>0</v>
      </c>
      <c r="O1303" s="62">
        <v>0</v>
      </c>
      <c r="P1303" s="65">
        <f t="shared" si="80"/>
        <v>0</v>
      </c>
      <c r="Q1303" s="66"/>
      <c r="R1303" s="66"/>
      <c r="S1303" s="66"/>
      <c r="T1303" s="66"/>
      <c r="U1303" s="66"/>
      <c r="V1303" s="66"/>
      <c r="W1303" s="66"/>
      <c r="X1303" s="66"/>
      <c r="Y1303" s="66"/>
      <c r="Z1303" s="66"/>
      <c r="AA1303" s="66"/>
      <c r="AB1303" s="66"/>
      <c r="AC1303" s="66"/>
      <c r="AD1303" s="66"/>
      <c r="AE1303" s="66"/>
      <c r="AF1303" s="66"/>
      <c r="AG1303" s="66"/>
      <c r="AH1303" s="66"/>
      <c r="AI1303" s="66"/>
      <c r="AJ1303" s="66"/>
      <c r="AK1303" s="66"/>
      <c r="AL1303" s="66"/>
      <c r="AM1303" s="66"/>
      <c r="AN1303" s="66"/>
      <c r="AO1303" s="66"/>
      <c r="AP1303" s="66"/>
      <c r="AQ1303" s="66"/>
      <c r="AR1303" s="66"/>
      <c r="AS1303" s="66"/>
      <c r="AT1303" s="66"/>
      <c r="AU1303" s="66"/>
      <c r="AV1303" s="66"/>
      <c r="AW1303" s="66"/>
      <c r="AX1303" s="66"/>
      <c r="AY1303" s="66"/>
      <c r="AZ1303" s="66"/>
      <c r="BA1303" s="66"/>
      <c r="BB1303" s="66"/>
      <c r="BC1303" s="66"/>
      <c r="BD1303" s="66"/>
      <c r="BE1303" s="67"/>
      <c r="BF1303" s="67"/>
      <c r="BG1303" s="68"/>
      <c r="BI1303" s="69">
        <v>0</v>
      </c>
      <c r="BJ1303" s="70">
        <v>0</v>
      </c>
      <c r="BK1303" s="71">
        <v>0</v>
      </c>
      <c r="BL1303" s="71">
        <v>0</v>
      </c>
      <c r="BM1303" s="71">
        <v>0</v>
      </c>
      <c r="BN1303" s="72">
        <v>0</v>
      </c>
      <c r="BO1303" s="151" t="e">
        <f t="shared" si="78"/>
        <v>#DIV/0!</v>
      </c>
      <c r="BP1303" s="151" t="e">
        <f t="shared" si="79"/>
        <v>#DIV/0!</v>
      </c>
      <c r="BQ1303" s="71">
        <v>0</v>
      </c>
      <c r="BR1303" s="71">
        <v>0</v>
      </c>
      <c r="BS1303" s="71">
        <v>0</v>
      </c>
      <c r="BT1303" s="72">
        <v>0</v>
      </c>
      <c r="BU1303" s="73"/>
      <c r="BV1303" s="73"/>
    </row>
    <row r="1304" ht="30" customHeight="1" spans="1:75 16331:16349">
      <c r="A1304" s="55">
        <v>0</v>
      </c>
      <c r="B1304" s="56">
        <v>0</v>
      </c>
      <c r="C1304" s="57">
        <v>0</v>
      </c>
      <c r="D1304" s="59" t="s">
        <v>2148</v>
      </c>
      <c r="E1304" s="59"/>
      <c r="F1304" s="59" t="e">
        <f>VLOOKUP(E1304,[1]库存!$B$1:$C$65536,2,FALSE)</f>
        <v>#N/A</v>
      </c>
      <c r="G1304" s="59" t="e">
        <v>#N/A</v>
      </c>
      <c r="H1304" s="59" t="s">
        <v>2155</v>
      </c>
      <c r="I1304" s="59" t="s">
        <v>2156</v>
      </c>
      <c r="J1304" s="63"/>
      <c r="K1304" s="61"/>
      <c r="L1304" s="62">
        <v>0</v>
      </c>
      <c r="M1304" s="63">
        <v>0</v>
      </c>
      <c r="N1304" s="64">
        <v>0</v>
      </c>
      <c r="O1304" s="62">
        <v>0</v>
      </c>
      <c r="P1304" s="65">
        <f t="shared" si="80"/>
        <v>0</v>
      </c>
      <c r="Q1304" s="66"/>
      <c r="R1304" s="66"/>
      <c r="S1304" s="66"/>
      <c r="T1304" s="66"/>
      <c r="U1304" s="66"/>
      <c r="V1304" s="66"/>
      <c r="W1304" s="66"/>
      <c r="X1304" s="66"/>
      <c r="Y1304" s="66"/>
      <c r="Z1304" s="66"/>
      <c r="AA1304" s="66"/>
      <c r="AB1304" s="66"/>
      <c r="AC1304" s="66"/>
      <c r="AD1304" s="66"/>
      <c r="AE1304" s="66"/>
      <c r="AF1304" s="66"/>
      <c r="AG1304" s="66"/>
      <c r="AH1304" s="66"/>
      <c r="AI1304" s="66"/>
      <c r="AJ1304" s="66"/>
      <c r="AK1304" s="66"/>
      <c r="AL1304" s="66"/>
      <c r="AM1304" s="66"/>
      <c r="AN1304" s="66"/>
      <c r="AO1304" s="66"/>
      <c r="AP1304" s="66"/>
      <c r="AQ1304" s="66"/>
      <c r="AR1304" s="66"/>
      <c r="AS1304" s="66"/>
      <c r="AT1304" s="66"/>
      <c r="AU1304" s="66"/>
      <c r="AV1304" s="66"/>
      <c r="AW1304" s="66"/>
      <c r="AX1304" s="66"/>
      <c r="AY1304" s="66"/>
      <c r="AZ1304" s="66"/>
      <c r="BA1304" s="66"/>
      <c r="BB1304" s="66"/>
      <c r="BC1304" s="66"/>
      <c r="BD1304" s="66"/>
      <c r="BE1304" s="67"/>
      <c r="BF1304" s="67"/>
      <c r="BG1304" s="68"/>
      <c r="BI1304" s="69">
        <v>0</v>
      </c>
      <c r="BJ1304" s="70">
        <v>0</v>
      </c>
      <c r="BK1304" s="71">
        <v>0</v>
      </c>
      <c r="BL1304" s="71">
        <v>0</v>
      </c>
      <c r="BM1304" s="71">
        <v>0</v>
      </c>
      <c r="BN1304" s="72">
        <v>0</v>
      </c>
      <c r="BO1304" s="151" t="e">
        <f t="shared" si="78"/>
        <v>#DIV/0!</v>
      </c>
      <c r="BP1304" s="151" t="e">
        <f t="shared" si="79"/>
        <v>#DIV/0!</v>
      </c>
      <c r="BQ1304" s="71">
        <v>0</v>
      </c>
      <c r="BR1304" s="71">
        <v>0</v>
      </c>
      <c r="BS1304" s="71">
        <v>0</v>
      </c>
      <c r="BT1304" s="72">
        <v>0</v>
      </c>
      <c r="BU1304" s="73"/>
      <c r="BV1304" s="73"/>
    </row>
    <row r="1305" ht="30" customHeight="1" spans="1:75 16331:16349">
      <c r="A1305" s="55">
        <v>0</v>
      </c>
      <c r="B1305" s="56">
        <v>0</v>
      </c>
      <c r="C1305" s="57">
        <v>0</v>
      </c>
      <c r="D1305" s="74"/>
      <c r="E1305" s="74"/>
      <c r="F1305" s="59" t="e">
        <f>VLOOKUP(E1305,[1]库存!$B$1:$C$65536,2,FALSE)</f>
        <v>#N/A</v>
      </c>
      <c r="G1305" s="59" t="e">
        <v>#N/A</v>
      </c>
      <c r="H1305" s="74"/>
      <c r="I1305" s="74"/>
      <c r="J1305" s="87"/>
      <c r="K1305" s="61"/>
      <c r="L1305" s="62">
        <v>0</v>
      </c>
      <c r="M1305" s="63">
        <v>0</v>
      </c>
      <c r="N1305" s="64">
        <v>0</v>
      </c>
      <c r="O1305" s="62">
        <v>0</v>
      </c>
      <c r="P1305" s="65">
        <f t="shared" si="80"/>
        <v>0</v>
      </c>
      <c r="Q1305" s="66"/>
      <c r="R1305" s="66"/>
      <c r="S1305" s="66"/>
      <c r="T1305" s="66"/>
      <c r="U1305" s="66"/>
      <c r="V1305" s="66"/>
      <c r="W1305" s="66"/>
      <c r="X1305" s="66"/>
      <c r="Y1305" s="66"/>
      <c r="Z1305" s="66"/>
      <c r="AA1305" s="66"/>
      <c r="AB1305" s="66"/>
      <c r="AC1305" s="66"/>
      <c r="AD1305" s="66"/>
      <c r="AE1305" s="66"/>
      <c r="AF1305" s="66"/>
      <c r="AG1305" s="66"/>
      <c r="AH1305" s="66"/>
      <c r="AI1305" s="66"/>
      <c r="AJ1305" s="66"/>
      <c r="AK1305" s="66"/>
      <c r="AL1305" s="66"/>
      <c r="AM1305" s="66"/>
      <c r="AN1305" s="66"/>
      <c r="AO1305" s="66"/>
      <c r="AP1305" s="66"/>
      <c r="AQ1305" s="66"/>
      <c r="AR1305" s="66"/>
      <c r="AS1305" s="66"/>
      <c r="AT1305" s="66"/>
      <c r="AU1305" s="66"/>
      <c r="AV1305" s="66"/>
      <c r="AW1305" s="66"/>
      <c r="AX1305" s="66"/>
      <c r="AY1305" s="66"/>
      <c r="AZ1305" s="66"/>
      <c r="BA1305" s="66"/>
      <c r="BB1305" s="66"/>
      <c r="BC1305" s="66"/>
      <c r="BD1305" s="66"/>
      <c r="BE1305" s="67"/>
      <c r="BF1305" s="67"/>
      <c r="BG1305" s="68"/>
      <c r="BI1305" s="69">
        <v>0</v>
      </c>
      <c r="BJ1305" s="70">
        <v>0</v>
      </c>
      <c r="BK1305" s="71">
        <v>0</v>
      </c>
      <c r="BL1305" s="71">
        <v>0</v>
      </c>
      <c r="BM1305" s="71">
        <v>0</v>
      </c>
      <c r="BN1305" s="72">
        <v>0</v>
      </c>
      <c r="BO1305" s="151" t="e">
        <f t="shared" si="78"/>
        <v>#DIV/0!</v>
      </c>
      <c r="BP1305" s="151" t="e">
        <f t="shared" si="79"/>
        <v>#DIV/0!</v>
      </c>
      <c r="BQ1305" s="71">
        <v>0</v>
      </c>
      <c r="BR1305" s="71">
        <v>0</v>
      </c>
      <c r="BS1305" s="71">
        <v>0</v>
      </c>
      <c r="BT1305" s="72">
        <v>0</v>
      </c>
      <c r="BU1305" s="73"/>
      <c r="BV1305" s="73"/>
    </row>
    <row r="1306" ht="30" customHeight="1" spans="1:75 16331:16349">
      <c r="A1306" s="55">
        <v>0</v>
      </c>
      <c r="B1306" s="56">
        <v>0</v>
      </c>
      <c r="C1306" s="57">
        <v>0</v>
      </c>
      <c r="D1306" s="59" t="s">
        <v>2148</v>
      </c>
      <c r="E1306" s="59"/>
      <c r="F1306" s="59" t="e">
        <f>VLOOKUP(E1306,[1]库存!$B$1:$C$65536,2,FALSE)</f>
        <v>#N/A</v>
      </c>
      <c r="G1306" s="59" t="e">
        <v>#N/A</v>
      </c>
      <c r="H1306" s="59" t="s">
        <v>2157</v>
      </c>
      <c r="I1306" s="59" t="s">
        <v>2158</v>
      </c>
      <c r="J1306" s="63"/>
      <c r="K1306" s="61"/>
      <c r="L1306" s="62">
        <v>0</v>
      </c>
      <c r="M1306" s="63">
        <v>0</v>
      </c>
      <c r="N1306" s="64">
        <v>0</v>
      </c>
      <c r="O1306" s="62">
        <v>0</v>
      </c>
      <c r="P1306" s="65">
        <f t="shared" si="80"/>
        <v>0</v>
      </c>
      <c r="Q1306" s="66"/>
      <c r="R1306" s="66"/>
      <c r="S1306" s="66"/>
      <c r="T1306" s="66"/>
      <c r="U1306" s="66"/>
      <c r="V1306" s="66"/>
      <c r="W1306" s="66"/>
      <c r="X1306" s="66"/>
      <c r="Y1306" s="66"/>
      <c r="Z1306" s="66"/>
      <c r="AA1306" s="66"/>
      <c r="AB1306" s="66"/>
      <c r="AC1306" s="66"/>
      <c r="AD1306" s="66"/>
      <c r="AE1306" s="66"/>
      <c r="AF1306" s="66"/>
      <c r="AG1306" s="66"/>
      <c r="AH1306" s="66"/>
      <c r="AI1306" s="66"/>
      <c r="AJ1306" s="66"/>
      <c r="AK1306" s="66"/>
      <c r="AL1306" s="66"/>
      <c r="AM1306" s="66"/>
      <c r="AN1306" s="66"/>
      <c r="AO1306" s="66"/>
      <c r="AP1306" s="66"/>
      <c r="AQ1306" s="66"/>
      <c r="AR1306" s="66"/>
      <c r="AS1306" s="66"/>
      <c r="AT1306" s="66"/>
      <c r="AU1306" s="66"/>
      <c r="AV1306" s="66"/>
      <c r="AW1306" s="66"/>
      <c r="AX1306" s="66"/>
      <c r="AY1306" s="66"/>
      <c r="AZ1306" s="66"/>
      <c r="BA1306" s="66"/>
      <c r="BB1306" s="66"/>
      <c r="BC1306" s="66"/>
      <c r="BD1306" s="66"/>
      <c r="BE1306" s="67"/>
      <c r="BF1306" s="67"/>
      <c r="BG1306" s="68"/>
      <c r="BI1306" s="69">
        <v>0</v>
      </c>
      <c r="BJ1306" s="70">
        <v>0</v>
      </c>
      <c r="BK1306" s="71">
        <v>0</v>
      </c>
      <c r="BL1306" s="71">
        <v>0</v>
      </c>
      <c r="BM1306" s="71">
        <v>0</v>
      </c>
      <c r="BN1306" s="72">
        <v>0</v>
      </c>
      <c r="BO1306" s="151" t="e">
        <f t="shared" ref="BO1306:BO1369" si="81">(BK1306+BL1306)/BJ1306</f>
        <v>#DIV/0!</v>
      </c>
      <c r="BP1306" s="151" t="e">
        <f t="shared" ref="BP1306:BP1369" si="82">BM1306/BJ1306</f>
        <v>#DIV/0!</v>
      </c>
      <c r="BQ1306" s="71">
        <v>0</v>
      </c>
      <c r="BR1306" s="71">
        <v>0</v>
      </c>
      <c r="BS1306" s="71">
        <v>0</v>
      </c>
      <c r="BT1306" s="72">
        <v>0</v>
      </c>
      <c r="BU1306" s="73"/>
      <c r="BV1306" s="73"/>
    </row>
    <row r="1307" ht="30" customHeight="1" spans="1:75 16331:16349">
      <c r="A1307" s="55">
        <v>0</v>
      </c>
      <c r="B1307" s="56">
        <v>0</v>
      </c>
      <c r="C1307" s="57">
        <v>0</v>
      </c>
      <c r="D1307" s="74"/>
      <c r="E1307" s="74"/>
      <c r="F1307" s="59" t="e">
        <f>VLOOKUP(E1307,[1]库存!$B$1:$C$65536,2,FALSE)</f>
        <v>#N/A</v>
      </c>
      <c r="G1307" s="59" t="e">
        <v>#N/A</v>
      </c>
      <c r="H1307" s="74"/>
      <c r="I1307" s="74"/>
      <c r="J1307" s="87"/>
      <c r="K1307" s="61"/>
      <c r="L1307" s="62">
        <v>0</v>
      </c>
      <c r="M1307" s="63">
        <v>0</v>
      </c>
      <c r="N1307" s="64">
        <v>0</v>
      </c>
      <c r="O1307" s="62">
        <v>0</v>
      </c>
      <c r="P1307" s="65">
        <f t="shared" si="80"/>
        <v>0</v>
      </c>
      <c r="Q1307" s="66"/>
      <c r="R1307" s="66"/>
      <c r="S1307" s="66"/>
      <c r="T1307" s="66"/>
      <c r="U1307" s="66"/>
      <c r="V1307" s="66"/>
      <c r="W1307" s="66"/>
      <c r="X1307" s="66"/>
      <c r="Y1307" s="66"/>
      <c r="Z1307" s="66"/>
      <c r="AA1307" s="66"/>
      <c r="AB1307" s="66"/>
      <c r="AC1307" s="66"/>
      <c r="AD1307" s="66"/>
      <c r="AE1307" s="66"/>
      <c r="AF1307" s="66"/>
      <c r="AG1307" s="66"/>
      <c r="AH1307" s="66"/>
      <c r="AI1307" s="66"/>
      <c r="AJ1307" s="66"/>
      <c r="AK1307" s="66"/>
      <c r="AL1307" s="66"/>
      <c r="AM1307" s="66"/>
      <c r="AN1307" s="66"/>
      <c r="AO1307" s="66"/>
      <c r="AP1307" s="66"/>
      <c r="AQ1307" s="66"/>
      <c r="AR1307" s="66"/>
      <c r="AS1307" s="66"/>
      <c r="AT1307" s="66"/>
      <c r="AU1307" s="66"/>
      <c r="AV1307" s="66"/>
      <c r="AW1307" s="66"/>
      <c r="AX1307" s="66"/>
      <c r="AY1307" s="66"/>
      <c r="AZ1307" s="66"/>
      <c r="BA1307" s="66"/>
      <c r="BB1307" s="66"/>
      <c r="BC1307" s="66"/>
      <c r="BD1307" s="66"/>
      <c r="BE1307" s="67"/>
      <c r="BF1307" s="67"/>
      <c r="BG1307" s="68"/>
      <c r="BI1307" s="69">
        <v>0</v>
      </c>
      <c r="BJ1307" s="70">
        <v>0</v>
      </c>
      <c r="BK1307" s="71">
        <v>0</v>
      </c>
      <c r="BL1307" s="71">
        <v>0</v>
      </c>
      <c r="BM1307" s="71">
        <v>0</v>
      </c>
      <c r="BN1307" s="72">
        <v>0</v>
      </c>
      <c r="BO1307" s="151" t="e">
        <f t="shared" si="81"/>
        <v>#DIV/0!</v>
      </c>
      <c r="BP1307" s="151" t="e">
        <f t="shared" si="82"/>
        <v>#DIV/0!</v>
      </c>
      <c r="BQ1307" s="71">
        <v>0</v>
      </c>
      <c r="BR1307" s="71">
        <v>0</v>
      </c>
      <c r="BS1307" s="71">
        <v>0</v>
      </c>
      <c r="BT1307" s="72">
        <v>0</v>
      </c>
      <c r="BU1307" s="73"/>
      <c r="BV1307" s="73"/>
    </row>
    <row r="1308" ht="30" customHeight="1" spans="1:75 16331:16349">
      <c r="A1308" s="55">
        <v>0</v>
      </c>
      <c r="B1308" s="56">
        <v>0</v>
      </c>
      <c r="C1308" s="57">
        <v>0</v>
      </c>
      <c r="D1308" s="59" t="s">
        <v>2148</v>
      </c>
      <c r="E1308" s="59"/>
      <c r="F1308" s="59" t="e">
        <f>VLOOKUP(E1308,[1]库存!$B$1:$C$65536,2,FALSE)</f>
        <v>#N/A</v>
      </c>
      <c r="G1308" s="59" t="e">
        <v>#N/A</v>
      </c>
      <c r="H1308" s="59" t="s">
        <v>2159</v>
      </c>
      <c r="I1308" s="59" t="s">
        <v>2158</v>
      </c>
      <c r="J1308" s="63"/>
      <c r="K1308" s="61"/>
      <c r="L1308" s="62">
        <v>0</v>
      </c>
      <c r="M1308" s="63">
        <v>0</v>
      </c>
      <c r="N1308" s="64">
        <v>0</v>
      </c>
      <c r="O1308" s="62">
        <v>0</v>
      </c>
      <c r="P1308" s="65">
        <f t="shared" si="80"/>
        <v>0</v>
      </c>
      <c r="Q1308" s="66"/>
      <c r="R1308" s="66"/>
      <c r="S1308" s="66"/>
      <c r="T1308" s="66"/>
      <c r="U1308" s="66"/>
      <c r="V1308" s="66"/>
      <c r="W1308" s="66"/>
      <c r="X1308" s="66"/>
      <c r="Y1308" s="66"/>
      <c r="Z1308" s="66"/>
      <c r="AA1308" s="66"/>
      <c r="AB1308" s="66"/>
      <c r="AC1308" s="66"/>
      <c r="AD1308" s="66"/>
      <c r="AE1308" s="66"/>
      <c r="AF1308" s="66"/>
      <c r="AG1308" s="66"/>
      <c r="AH1308" s="66"/>
      <c r="AI1308" s="66"/>
      <c r="AJ1308" s="66"/>
      <c r="AK1308" s="66"/>
      <c r="AL1308" s="66"/>
      <c r="AM1308" s="66"/>
      <c r="AN1308" s="66"/>
      <c r="AO1308" s="66"/>
      <c r="AP1308" s="66"/>
      <c r="AQ1308" s="66"/>
      <c r="AR1308" s="66"/>
      <c r="AS1308" s="66"/>
      <c r="AT1308" s="66"/>
      <c r="AU1308" s="66"/>
      <c r="AV1308" s="66"/>
      <c r="AW1308" s="66"/>
      <c r="AX1308" s="66"/>
      <c r="AY1308" s="66"/>
      <c r="AZ1308" s="66"/>
      <c r="BA1308" s="66"/>
      <c r="BB1308" s="66"/>
      <c r="BC1308" s="66"/>
      <c r="BD1308" s="66"/>
      <c r="BE1308" s="67"/>
      <c r="BF1308" s="67"/>
      <c r="BG1308" s="68"/>
      <c r="BI1308" s="69">
        <v>0</v>
      </c>
      <c r="BJ1308" s="70">
        <v>0</v>
      </c>
      <c r="BK1308" s="71">
        <v>0</v>
      </c>
      <c r="BL1308" s="71">
        <v>0</v>
      </c>
      <c r="BM1308" s="71">
        <v>0</v>
      </c>
      <c r="BN1308" s="72">
        <v>0</v>
      </c>
      <c r="BO1308" s="151" t="e">
        <f t="shared" si="81"/>
        <v>#DIV/0!</v>
      </c>
      <c r="BP1308" s="151" t="e">
        <f t="shared" si="82"/>
        <v>#DIV/0!</v>
      </c>
      <c r="BQ1308" s="71">
        <v>0</v>
      </c>
      <c r="BR1308" s="71">
        <v>0</v>
      </c>
      <c r="BS1308" s="71">
        <v>0</v>
      </c>
      <c r="BT1308" s="72">
        <v>0</v>
      </c>
      <c r="BU1308" s="73"/>
      <c r="BV1308" s="73"/>
    </row>
    <row r="1309" ht="30" customHeight="1" spans="1:75 16331:16349">
      <c r="A1309" s="55">
        <v>0</v>
      </c>
      <c r="B1309" s="56">
        <v>0</v>
      </c>
      <c r="C1309" s="57">
        <v>0</v>
      </c>
      <c r="D1309" s="74"/>
      <c r="E1309" s="74"/>
      <c r="F1309" s="59" t="e">
        <f>VLOOKUP(E1309,[1]库存!$B$1:$C$65536,2,FALSE)</f>
        <v>#N/A</v>
      </c>
      <c r="G1309" s="59" t="e">
        <v>#N/A</v>
      </c>
      <c r="H1309" s="74"/>
      <c r="I1309" s="74"/>
      <c r="J1309" s="87"/>
      <c r="K1309" s="61"/>
      <c r="L1309" s="62">
        <v>0</v>
      </c>
      <c r="M1309" s="63">
        <v>0</v>
      </c>
      <c r="N1309" s="64">
        <v>0</v>
      </c>
      <c r="O1309" s="62">
        <v>0</v>
      </c>
      <c r="P1309" s="65">
        <f t="shared" si="80"/>
        <v>0</v>
      </c>
      <c r="Q1309" s="66"/>
      <c r="R1309" s="66"/>
      <c r="S1309" s="66"/>
      <c r="T1309" s="66"/>
      <c r="U1309" s="66"/>
      <c r="V1309" s="66"/>
      <c r="W1309" s="66"/>
      <c r="X1309" s="66"/>
      <c r="Y1309" s="66"/>
      <c r="Z1309" s="66"/>
      <c r="AA1309" s="66"/>
      <c r="AB1309" s="66"/>
      <c r="AC1309" s="66"/>
      <c r="AD1309" s="66"/>
      <c r="AE1309" s="66"/>
      <c r="AF1309" s="66"/>
      <c r="AG1309" s="66"/>
      <c r="AH1309" s="66"/>
      <c r="AI1309" s="66"/>
      <c r="AJ1309" s="66"/>
      <c r="AK1309" s="66"/>
      <c r="AL1309" s="66"/>
      <c r="AM1309" s="66"/>
      <c r="AN1309" s="66"/>
      <c r="AO1309" s="66"/>
      <c r="AP1309" s="66"/>
      <c r="AQ1309" s="66"/>
      <c r="AR1309" s="66"/>
      <c r="AS1309" s="66"/>
      <c r="AT1309" s="66"/>
      <c r="AU1309" s="66"/>
      <c r="AV1309" s="66"/>
      <c r="AW1309" s="66"/>
      <c r="AX1309" s="66"/>
      <c r="AY1309" s="66"/>
      <c r="AZ1309" s="66"/>
      <c r="BA1309" s="66"/>
      <c r="BB1309" s="66"/>
      <c r="BC1309" s="66"/>
      <c r="BD1309" s="66"/>
      <c r="BE1309" s="67"/>
      <c r="BF1309" s="67"/>
      <c r="BG1309" s="68"/>
      <c r="BI1309" s="69">
        <v>0</v>
      </c>
      <c r="BJ1309" s="70">
        <v>0</v>
      </c>
      <c r="BK1309" s="71">
        <v>0</v>
      </c>
      <c r="BL1309" s="71">
        <v>0</v>
      </c>
      <c r="BM1309" s="71">
        <v>0</v>
      </c>
      <c r="BN1309" s="72">
        <v>0</v>
      </c>
      <c r="BO1309" s="151" t="e">
        <f t="shared" si="81"/>
        <v>#DIV/0!</v>
      </c>
      <c r="BP1309" s="151" t="e">
        <f t="shared" si="82"/>
        <v>#DIV/0!</v>
      </c>
      <c r="BQ1309" s="71">
        <v>0</v>
      </c>
      <c r="BR1309" s="71">
        <v>0</v>
      </c>
      <c r="BS1309" s="71">
        <v>0</v>
      </c>
      <c r="BT1309" s="72">
        <v>0</v>
      </c>
      <c r="BU1309" s="73"/>
      <c r="BV1309" s="73"/>
    </row>
    <row r="1310" ht="30" customHeight="1" spans="1:75 16331:16349">
      <c r="A1310" s="55">
        <v>0</v>
      </c>
      <c r="B1310" s="56">
        <v>0</v>
      </c>
      <c r="C1310" s="57">
        <v>0</v>
      </c>
      <c r="D1310" s="210"/>
      <c r="E1310" s="88"/>
      <c r="F1310" s="59" t="e">
        <f>VLOOKUP(E1310,[1]库存!$B$1:$C$65536,2,FALSE)</f>
        <v>#N/A</v>
      </c>
      <c r="G1310" s="59" t="e">
        <v>#N/A</v>
      </c>
      <c r="H1310" s="89"/>
      <c r="I1310" s="88"/>
      <c r="J1310" s="90"/>
      <c r="K1310" s="61"/>
      <c r="L1310" s="62">
        <v>0</v>
      </c>
      <c r="M1310" s="63">
        <v>0</v>
      </c>
      <c r="N1310" s="64">
        <v>0</v>
      </c>
      <c r="O1310" s="62">
        <v>0</v>
      </c>
      <c r="P1310" s="65">
        <f t="shared" si="80"/>
        <v>0</v>
      </c>
      <c r="Q1310" s="66"/>
      <c r="R1310" s="66"/>
      <c r="S1310" s="66"/>
      <c r="T1310" s="66"/>
      <c r="U1310" s="66"/>
      <c r="V1310" s="66"/>
      <c r="W1310" s="66"/>
      <c r="X1310" s="66"/>
      <c r="Y1310" s="66"/>
      <c r="Z1310" s="66"/>
      <c r="AA1310" s="66"/>
      <c r="AB1310" s="66"/>
      <c r="AC1310" s="66"/>
      <c r="AD1310" s="66"/>
      <c r="AE1310" s="66"/>
      <c r="AF1310" s="66"/>
      <c r="AG1310" s="66"/>
      <c r="AH1310" s="66"/>
      <c r="AI1310" s="66"/>
      <c r="AJ1310" s="66"/>
      <c r="AK1310" s="66"/>
      <c r="AL1310" s="66"/>
      <c r="AM1310" s="66"/>
      <c r="AN1310" s="66"/>
      <c r="AO1310" s="66"/>
      <c r="AP1310" s="66"/>
      <c r="AQ1310" s="66"/>
      <c r="AR1310" s="66"/>
      <c r="AS1310" s="66"/>
      <c r="AT1310" s="66"/>
      <c r="AU1310" s="66"/>
      <c r="AV1310" s="66"/>
      <c r="AW1310" s="66"/>
      <c r="AX1310" s="66"/>
      <c r="AY1310" s="66"/>
      <c r="AZ1310" s="66"/>
      <c r="BA1310" s="66"/>
      <c r="BB1310" s="66"/>
      <c r="BC1310" s="66"/>
      <c r="BD1310" s="66"/>
      <c r="BE1310" s="67"/>
      <c r="BF1310" s="67"/>
      <c r="BG1310" s="68"/>
      <c r="BI1310" s="69">
        <v>0</v>
      </c>
      <c r="BJ1310" s="70">
        <v>0</v>
      </c>
      <c r="BK1310" s="71">
        <v>0</v>
      </c>
      <c r="BL1310" s="71">
        <v>0</v>
      </c>
      <c r="BM1310" s="71">
        <v>0</v>
      </c>
      <c r="BN1310" s="72">
        <v>0</v>
      </c>
      <c r="BO1310" s="151" t="e">
        <f t="shared" si="81"/>
        <v>#DIV/0!</v>
      </c>
      <c r="BP1310" s="151" t="e">
        <f t="shared" si="82"/>
        <v>#DIV/0!</v>
      </c>
      <c r="BQ1310" s="71">
        <v>0</v>
      </c>
      <c r="BR1310" s="71">
        <v>0</v>
      </c>
      <c r="BS1310" s="71">
        <v>0</v>
      </c>
      <c r="BT1310" s="72">
        <v>0</v>
      </c>
      <c r="BU1310" s="73"/>
      <c r="BV1310" s="73"/>
    </row>
    <row r="1311" s="1" customFormat="1" ht="30" customHeight="1" spans="1:75 16331:16349">
      <c r="A1311" s="110">
        <v>0</v>
      </c>
      <c r="B1311" s="111" t="s">
        <v>1057</v>
      </c>
      <c r="C1311" s="112" t="s">
        <v>1072</v>
      </c>
      <c r="D1311" s="113" t="s">
        <v>2160</v>
      </c>
      <c r="E1311" s="113" t="s">
        <v>2161</v>
      </c>
      <c r="F1311" s="113" t="e">
        <f>VLOOKUP(E1311,[1]库存!$B$1:$C$65536,2,FALSE)</f>
        <v>#N/A</v>
      </c>
      <c r="G1311" s="113" t="e">
        <v>#N/A</v>
      </c>
      <c r="H1311" s="113" t="s">
        <v>2162</v>
      </c>
      <c r="I1311" s="113" t="s">
        <v>2163</v>
      </c>
      <c r="J1311" s="108" t="s">
        <v>2164</v>
      </c>
      <c r="K1311" s="115"/>
      <c r="L1311" s="116">
        <v>2</v>
      </c>
      <c r="M1311" s="117">
        <v>1450</v>
      </c>
      <c r="N1311" s="114">
        <v>7</v>
      </c>
      <c r="O1311" s="116">
        <v>2</v>
      </c>
      <c r="P1311" s="65">
        <f t="shared" si="80"/>
        <v>0</v>
      </c>
      <c r="Q1311" s="67"/>
      <c r="R1311" s="67"/>
      <c r="S1311" s="67"/>
      <c r="T1311" s="67"/>
      <c r="U1311" s="67"/>
      <c r="V1311" s="67"/>
      <c r="W1311" s="67"/>
      <c r="X1311" s="67"/>
      <c r="Y1311" s="67"/>
      <c r="Z1311" s="67"/>
      <c r="AA1311" s="67"/>
      <c r="AB1311" s="67"/>
      <c r="AC1311" s="67"/>
      <c r="AD1311" s="67"/>
      <c r="AE1311" s="67"/>
      <c r="AF1311" s="67"/>
      <c r="AG1311" s="67"/>
      <c r="AH1311" s="67"/>
      <c r="AI1311" s="67"/>
      <c r="AJ1311" s="67"/>
      <c r="AK1311" s="67"/>
      <c r="AL1311" s="67"/>
      <c r="AM1311" s="67"/>
      <c r="AN1311" s="67"/>
      <c r="AO1311" s="67"/>
      <c r="AP1311" s="67"/>
      <c r="AQ1311" s="67"/>
      <c r="AR1311" s="67"/>
      <c r="AS1311" s="67"/>
      <c r="AT1311" s="67"/>
      <c r="AU1311" s="67"/>
      <c r="AV1311" s="67"/>
      <c r="AW1311" s="67"/>
      <c r="AX1311" s="67"/>
      <c r="AY1311" s="67"/>
      <c r="AZ1311" s="67"/>
      <c r="BA1311" s="67"/>
      <c r="BB1311" s="67"/>
      <c r="BC1311" s="67"/>
      <c r="BD1311" s="67"/>
      <c r="BE1311" s="67"/>
      <c r="BF1311" s="67"/>
      <c r="BG1311" s="118"/>
      <c r="BH1311" s="119"/>
      <c r="BI1311" s="120" t="s">
        <v>2165</v>
      </c>
      <c r="BJ1311" s="121">
        <v>0</v>
      </c>
      <c r="BK1311" s="122">
        <v>737.84</v>
      </c>
      <c r="BL1311" s="122">
        <v>0</v>
      </c>
      <c r="BM1311" s="122">
        <v>0</v>
      </c>
      <c r="BN1311" s="123">
        <v>0</v>
      </c>
      <c r="BO1311" s="204" t="e">
        <f t="shared" si="81"/>
        <v>#DIV/0!</v>
      </c>
      <c r="BP1311" s="204" t="e">
        <f t="shared" si="82"/>
        <v>#DIV/0!</v>
      </c>
      <c r="BQ1311" s="122">
        <v>1.1</v>
      </c>
      <c r="BR1311" s="122">
        <v>0</v>
      </c>
      <c r="BS1311" s="122">
        <v>0</v>
      </c>
      <c r="BT1311" s="123">
        <v>0</v>
      </c>
      <c r="BU1311" s="124"/>
      <c r="BV1311" s="124"/>
      <c r="BW1311" s="125"/>
      <c r="XDC1311" s="126"/>
      <c r="XDD1311" s="126"/>
      <c r="XDE1311" s="126"/>
      <c r="XDF1311" s="126"/>
      <c r="XDG1311" s="126"/>
      <c r="XDH1311" s="126"/>
      <c r="XDI1311" s="126"/>
      <c r="XDJ1311" s="126"/>
      <c r="XDK1311" s="126"/>
      <c r="XDL1311" s="126"/>
      <c r="XDM1311" s="126"/>
      <c r="XDN1311" s="126"/>
      <c r="XDO1311" s="126"/>
      <c r="XDP1311" s="126"/>
      <c r="XDQ1311" s="126"/>
      <c r="XDR1311" s="126"/>
      <c r="XDS1311" s="126"/>
      <c r="XDT1311" s="126"/>
      <c r="XDU1311" s="126"/>
    </row>
    <row r="1312" s="1" customFormat="1" ht="30" customHeight="1" spans="1:75 16331:16349">
      <c r="A1312" s="110">
        <v>0</v>
      </c>
      <c r="B1312" s="111">
        <v>0</v>
      </c>
      <c r="C1312" s="112">
        <v>0</v>
      </c>
      <c r="D1312" s="127"/>
      <c r="E1312" s="127"/>
      <c r="F1312" s="113" t="e">
        <f>VLOOKUP(E1312,[1]库存!$B$1:$C$65536,2,FALSE)</f>
        <v>#N/A</v>
      </c>
      <c r="G1312" s="113" t="e">
        <v>#N/A</v>
      </c>
      <c r="H1312" s="127"/>
      <c r="I1312" s="127"/>
      <c r="J1312" s="109"/>
      <c r="K1312" s="115"/>
      <c r="L1312" s="116">
        <v>0</v>
      </c>
      <c r="M1312" s="117">
        <v>0</v>
      </c>
      <c r="N1312" s="114">
        <v>0</v>
      </c>
      <c r="O1312" s="116">
        <v>0</v>
      </c>
      <c r="P1312" s="65">
        <f t="shared" si="80"/>
        <v>0</v>
      </c>
      <c r="Q1312" s="67"/>
      <c r="R1312" s="67"/>
      <c r="S1312" s="67"/>
      <c r="T1312" s="67"/>
      <c r="U1312" s="67"/>
      <c r="V1312" s="67"/>
      <c r="W1312" s="67"/>
      <c r="X1312" s="67"/>
      <c r="Y1312" s="67"/>
      <c r="Z1312" s="67"/>
      <c r="AA1312" s="67"/>
      <c r="AB1312" s="67"/>
      <c r="AC1312" s="67"/>
      <c r="AD1312" s="67"/>
      <c r="AE1312" s="67"/>
      <c r="AF1312" s="67"/>
      <c r="AG1312" s="67"/>
      <c r="AH1312" s="67"/>
      <c r="AI1312" s="67"/>
      <c r="AJ1312" s="67"/>
      <c r="AK1312" s="67"/>
      <c r="AL1312" s="67"/>
      <c r="AM1312" s="67"/>
      <c r="AN1312" s="67"/>
      <c r="AO1312" s="67"/>
      <c r="AP1312" s="67"/>
      <c r="AQ1312" s="67"/>
      <c r="AR1312" s="67"/>
      <c r="AS1312" s="67"/>
      <c r="AT1312" s="67"/>
      <c r="AU1312" s="67"/>
      <c r="AV1312" s="67"/>
      <c r="AW1312" s="67"/>
      <c r="AX1312" s="67"/>
      <c r="AY1312" s="67"/>
      <c r="AZ1312" s="67"/>
      <c r="BA1312" s="67"/>
      <c r="BB1312" s="67"/>
      <c r="BC1312" s="67"/>
      <c r="BD1312" s="67"/>
      <c r="BE1312" s="67"/>
      <c r="BF1312" s="67"/>
      <c r="BG1312" s="118"/>
      <c r="BH1312" s="119"/>
      <c r="BI1312" s="120" t="s">
        <v>2166</v>
      </c>
      <c r="BJ1312" s="121">
        <v>0</v>
      </c>
      <c r="BK1312" s="122">
        <v>975</v>
      </c>
      <c r="BL1312" s="122">
        <v>0</v>
      </c>
      <c r="BM1312" s="122">
        <v>0</v>
      </c>
      <c r="BN1312" s="123">
        <v>0</v>
      </c>
      <c r="BO1312" s="204" t="e">
        <f t="shared" si="81"/>
        <v>#DIV/0!</v>
      </c>
      <c r="BP1312" s="204" t="e">
        <f t="shared" si="82"/>
        <v>#DIV/0!</v>
      </c>
      <c r="BQ1312" s="122">
        <v>451.89</v>
      </c>
      <c r="BR1312" s="122">
        <v>975</v>
      </c>
      <c r="BS1312" s="122">
        <v>0</v>
      </c>
      <c r="BT1312" s="123">
        <v>0</v>
      </c>
      <c r="BU1312" s="124"/>
      <c r="BV1312" s="124"/>
      <c r="BW1312" s="125"/>
      <c r="XDC1312" s="126"/>
      <c r="XDD1312" s="126"/>
      <c r="XDE1312" s="126"/>
      <c r="XDF1312" s="126"/>
      <c r="XDG1312" s="126"/>
      <c r="XDH1312" s="126"/>
      <c r="XDI1312" s="126"/>
      <c r="XDJ1312" s="126"/>
      <c r="XDK1312" s="126"/>
      <c r="XDL1312" s="126"/>
      <c r="XDM1312" s="126"/>
      <c r="XDN1312" s="126"/>
      <c r="XDO1312" s="126"/>
      <c r="XDP1312" s="126"/>
      <c r="XDQ1312" s="126"/>
      <c r="XDR1312" s="126"/>
      <c r="XDS1312" s="126"/>
      <c r="XDT1312" s="126"/>
      <c r="XDU1312" s="126"/>
    </row>
    <row r="1313" s="1" customFormat="1" ht="30" customHeight="1" spans="1:75 16331:16349">
      <c r="A1313" s="110">
        <v>0</v>
      </c>
      <c r="B1313" s="111" t="s">
        <v>1057</v>
      </c>
      <c r="C1313" s="112" t="s">
        <v>1072</v>
      </c>
      <c r="D1313" s="113" t="s">
        <v>2160</v>
      </c>
      <c r="E1313" s="113" t="s">
        <v>2167</v>
      </c>
      <c r="F1313" s="113" t="e">
        <f>VLOOKUP(E1313,[1]库存!$B$1:$C$65536,2,FALSE)</f>
        <v>#N/A</v>
      </c>
      <c r="G1313" s="113" t="e">
        <v>#N/A</v>
      </c>
      <c r="H1313" s="113" t="s">
        <v>2168</v>
      </c>
      <c r="I1313" s="113" t="s">
        <v>2169</v>
      </c>
      <c r="J1313" s="108" t="s">
        <v>285</v>
      </c>
      <c r="K1313" s="115"/>
      <c r="L1313" s="116">
        <v>2</v>
      </c>
      <c r="M1313" s="117">
        <v>1500</v>
      </c>
      <c r="N1313" s="114">
        <v>6</v>
      </c>
      <c r="O1313" s="116">
        <v>2</v>
      </c>
      <c r="P1313" s="65">
        <f t="shared" si="80"/>
        <v>0</v>
      </c>
      <c r="Q1313" s="67"/>
      <c r="R1313" s="67"/>
      <c r="S1313" s="67"/>
      <c r="T1313" s="67"/>
      <c r="U1313" s="67"/>
      <c r="V1313" s="67"/>
      <c r="W1313" s="67"/>
      <c r="X1313" s="67"/>
      <c r="Y1313" s="67"/>
      <c r="Z1313" s="67"/>
      <c r="AA1313" s="67"/>
      <c r="AB1313" s="67"/>
      <c r="AC1313" s="67"/>
      <c r="AD1313" s="67"/>
      <c r="AE1313" s="67"/>
      <c r="AF1313" s="67"/>
      <c r="AG1313" s="67"/>
      <c r="AH1313" s="67"/>
      <c r="AI1313" s="67"/>
      <c r="AJ1313" s="67"/>
      <c r="AK1313" s="67"/>
      <c r="AL1313" s="67"/>
      <c r="AM1313" s="67"/>
      <c r="AN1313" s="67"/>
      <c r="AO1313" s="67"/>
      <c r="AP1313" s="67"/>
      <c r="AQ1313" s="67"/>
      <c r="AR1313" s="67"/>
      <c r="AS1313" s="67"/>
      <c r="AT1313" s="67"/>
      <c r="AU1313" s="67"/>
      <c r="AV1313" s="67"/>
      <c r="AW1313" s="67"/>
      <c r="AX1313" s="67"/>
      <c r="AY1313" s="67"/>
      <c r="AZ1313" s="67"/>
      <c r="BA1313" s="67"/>
      <c r="BB1313" s="67"/>
      <c r="BC1313" s="67"/>
      <c r="BD1313" s="67"/>
      <c r="BE1313" s="67"/>
      <c r="BF1313" s="67"/>
      <c r="BG1313" s="118"/>
      <c r="BH1313" s="119"/>
      <c r="BI1313" s="120">
        <v>0</v>
      </c>
      <c r="BJ1313" s="121">
        <v>0</v>
      </c>
      <c r="BK1313" s="122">
        <v>0</v>
      </c>
      <c r="BL1313" s="122">
        <v>0</v>
      </c>
      <c r="BM1313" s="122">
        <v>0</v>
      </c>
      <c r="BN1313" s="123">
        <v>0</v>
      </c>
      <c r="BO1313" s="204" t="e">
        <f t="shared" si="81"/>
        <v>#DIV/0!</v>
      </c>
      <c r="BP1313" s="204" t="e">
        <f t="shared" si="82"/>
        <v>#DIV/0!</v>
      </c>
      <c r="BQ1313" s="122">
        <v>0</v>
      </c>
      <c r="BR1313" s="122">
        <v>0</v>
      </c>
      <c r="BS1313" s="122">
        <v>0</v>
      </c>
      <c r="BT1313" s="123">
        <v>0</v>
      </c>
      <c r="BU1313" s="124"/>
      <c r="BV1313" s="124"/>
      <c r="BW1313" s="125"/>
      <c r="XDC1313" s="126"/>
      <c r="XDD1313" s="126"/>
      <c r="XDE1313" s="126"/>
      <c r="XDF1313" s="126"/>
      <c r="XDG1313" s="126"/>
      <c r="XDH1313" s="126"/>
      <c r="XDI1313" s="126"/>
      <c r="XDJ1313" s="126"/>
      <c r="XDK1313" s="126"/>
      <c r="XDL1313" s="126"/>
      <c r="XDM1313" s="126"/>
      <c r="XDN1313" s="126"/>
      <c r="XDO1313" s="126"/>
      <c r="XDP1313" s="126"/>
      <c r="XDQ1313" s="126"/>
      <c r="XDR1313" s="126"/>
      <c r="XDS1313" s="126"/>
      <c r="XDT1313" s="126"/>
      <c r="XDU1313" s="126"/>
    </row>
    <row r="1314" s="1" customFormat="1" ht="30" customHeight="1" spans="1:75 16331:16349">
      <c r="A1314" s="110">
        <v>0</v>
      </c>
      <c r="B1314" s="111">
        <v>0</v>
      </c>
      <c r="C1314" s="112">
        <v>0</v>
      </c>
      <c r="D1314" s="127"/>
      <c r="E1314" s="127"/>
      <c r="F1314" s="113" t="e">
        <f>VLOOKUP(E1314,[1]库存!$B$1:$C$65536,2,FALSE)</f>
        <v>#N/A</v>
      </c>
      <c r="G1314" s="113" t="e">
        <v>#N/A</v>
      </c>
      <c r="H1314" s="127"/>
      <c r="I1314" s="127"/>
      <c r="J1314" s="109"/>
      <c r="K1314" s="115"/>
      <c r="L1314" s="116">
        <v>0</v>
      </c>
      <c r="M1314" s="117">
        <v>0</v>
      </c>
      <c r="N1314" s="114">
        <v>0</v>
      </c>
      <c r="O1314" s="116">
        <v>0</v>
      </c>
      <c r="P1314" s="65">
        <f t="shared" si="80"/>
        <v>0</v>
      </c>
      <c r="Q1314" s="67"/>
      <c r="R1314" s="67"/>
      <c r="S1314" s="67"/>
      <c r="T1314" s="67"/>
      <c r="U1314" s="67"/>
      <c r="V1314" s="67"/>
      <c r="W1314" s="67"/>
      <c r="X1314" s="67"/>
      <c r="Y1314" s="67"/>
      <c r="Z1314" s="67"/>
      <c r="AA1314" s="67"/>
      <c r="AB1314" s="67"/>
      <c r="AC1314" s="67"/>
      <c r="AD1314" s="67"/>
      <c r="AE1314" s="67"/>
      <c r="AF1314" s="67"/>
      <c r="AG1314" s="67"/>
      <c r="AH1314" s="67"/>
      <c r="AI1314" s="67"/>
      <c r="AJ1314" s="67"/>
      <c r="AK1314" s="67"/>
      <c r="AL1314" s="67"/>
      <c r="AM1314" s="67"/>
      <c r="AN1314" s="67"/>
      <c r="AO1314" s="67"/>
      <c r="AP1314" s="67"/>
      <c r="AQ1314" s="67"/>
      <c r="AR1314" s="67"/>
      <c r="AS1314" s="67"/>
      <c r="AT1314" s="67"/>
      <c r="AU1314" s="67"/>
      <c r="AV1314" s="67"/>
      <c r="AW1314" s="67"/>
      <c r="AX1314" s="67"/>
      <c r="AY1314" s="67"/>
      <c r="AZ1314" s="67"/>
      <c r="BA1314" s="67"/>
      <c r="BB1314" s="67"/>
      <c r="BC1314" s="67"/>
      <c r="BD1314" s="67"/>
      <c r="BE1314" s="67"/>
      <c r="BF1314" s="67"/>
      <c r="BG1314" s="118"/>
      <c r="BH1314" s="119"/>
      <c r="BI1314" s="120">
        <v>0</v>
      </c>
      <c r="BJ1314" s="121">
        <v>0</v>
      </c>
      <c r="BK1314" s="122">
        <v>0</v>
      </c>
      <c r="BL1314" s="122">
        <v>0</v>
      </c>
      <c r="BM1314" s="122">
        <v>0</v>
      </c>
      <c r="BN1314" s="123">
        <v>0</v>
      </c>
      <c r="BO1314" s="204" t="e">
        <f t="shared" si="81"/>
        <v>#DIV/0!</v>
      </c>
      <c r="BP1314" s="204" t="e">
        <f t="shared" si="82"/>
        <v>#DIV/0!</v>
      </c>
      <c r="BQ1314" s="122">
        <v>0</v>
      </c>
      <c r="BR1314" s="122">
        <v>0</v>
      </c>
      <c r="BS1314" s="122">
        <v>0</v>
      </c>
      <c r="BT1314" s="123">
        <v>0</v>
      </c>
      <c r="BU1314" s="124"/>
      <c r="BV1314" s="124"/>
      <c r="BW1314" s="125"/>
      <c r="XDC1314" s="126"/>
      <c r="XDD1314" s="126"/>
      <c r="XDE1314" s="126"/>
      <c r="XDF1314" s="126"/>
      <c r="XDG1314" s="126"/>
      <c r="XDH1314" s="126"/>
      <c r="XDI1314" s="126"/>
      <c r="XDJ1314" s="126"/>
      <c r="XDK1314" s="126"/>
      <c r="XDL1314" s="126"/>
      <c r="XDM1314" s="126"/>
      <c r="XDN1314" s="126"/>
      <c r="XDO1314" s="126"/>
      <c r="XDP1314" s="126"/>
      <c r="XDQ1314" s="126"/>
      <c r="XDR1314" s="126"/>
      <c r="XDS1314" s="126"/>
      <c r="XDT1314" s="126"/>
      <c r="XDU1314" s="126"/>
    </row>
    <row r="1315" ht="30" customHeight="1" spans="1:75 16331:16349">
      <c r="A1315" s="55">
        <v>0</v>
      </c>
      <c r="B1315" s="56">
        <v>0</v>
      </c>
      <c r="C1315" s="57">
        <v>0</v>
      </c>
      <c r="D1315" s="210"/>
      <c r="E1315" s="88"/>
      <c r="F1315" s="59" t="e">
        <f>VLOOKUP(E1315,[1]库存!$B$1:$C$65536,2,FALSE)</f>
        <v>#N/A</v>
      </c>
      <c r="G1315" s="59" t="e">
        <v>#N/A</v>
      </c>
      <c r="H1315" s="89"/>
      <c r="I1315" s="88"/>
      <c r="J1315" s="90"/>
      <c r="K1315" s="61"/>
      <c r="L1315" s="62">
        <v>0</v>
      </c>
      <c r="M1315" s="63">
        <v>0</v>
      </c>
      <c r="N1315" s="64">
        <v>0</v>
      </c>
      <c r="O1315" s="62">
        <v>0</v>
      </c>
      <c r="P1315" s="65">
        <f t="shared" si="80"/>
        <v>0</v>
      </c>
      <c r="Q1315" s="66"/>
      <c r="R1315" s="66"/>
      <c r="S1315" s="66"/>
      <c r="T1315" s="66"/>
      <c r="U1315" s="66"/>
      <c r="V1315" s="66"/>
      <c r="W1315" s="66"/>
      <c r="X1315" s="66"/>
      <c r="Y1315" s="66"/>
      <c r="Z1315" s="66"/>
      <c r="AA1315" s="66"/>
      <c r="AB1315" s="66"/>
      <c r="AC1315" s="66"/>
      <c r="AD1315" s="66"/>
      <c r="AE1315" s="66"/>
      <c r="AF1315" s="66"/>
      <c r="AG1315" s="66"/>
      <c r="AH1315" s="66"/>
      <c r="AI1315" s="66"/>
      <c r="AJ1315" s="66"/>
      <c r="AK1315" s="66"/>
      <c r="AL1315" s="66"/>
      <c r="AM1315" s="66"/>
      <c r="AN1315" s="66"/>
      <c r="AO1315" s="66"/>
      <c r="AP1315" s="66"/>
      <c r="AQ1315" s="66"/>
      <c r="AR1315" s="66"/>
      <c r="AS1315" s="66"/>
      <c r="AT1315" s="66"/>
      <c r="AU1315" s="66"/>
      <c r="AV1315" s="66"/>
      <c r="AW1315" s="66"/>
      <c r="AX1315" s="66"/>
      <c r="AY1315" s="66"/>
      <c r="AZ1315" s="66"/>
      <c r="BA1315" s="66"/>
      <c r="BB1315" s="66"/>
      <c r="BC1315" s="66"/>
      <c r="BD1315" s="66"/>
      <c r="BE1315" s="67"/>
      <c r="BF1315" s="67"/>
      <c r="BG1315" s="68"/>
      <c r="BI1315" s="69">
        <v>0</v>
      </c>
      <c r="BJ1315" s="70">
        <v>0</v>
      </c>
      <c r="BK1315" s="71">
        <v>0</v>
      </c>
      <c r="BL1315" s="71">
        <v>0</v>
      </c>
      <c r="BM1315" s="71">
        <v>0</v>
      </c>
      <c r="BN1315" s="72">
        <v>0</v>
      </c>
      <c r="BO1315" s="151" t="e">
        <f t="shared" si="81"/>
        <v>#DIV/0!</v>
      </c>
      <c r="BP1315" s="151" t="e">
        <f t="shared" si="82"/>
        <v>#DIV/0!</v>
      </c>
      <c r="BQ1315" s="71">
        <v>0</v>
      </c>
      <c r="BR1315" s="71">
        <v>0</v>
      </c>
      <c r="BS1315" s="71">
        <v>0</v>
      </c>
      <c r="BT1315" s="72">
        <v>0</v>
      </c>
      <c r="BU1315" s="73"/>
      <c r="BV1315" s="73"/>
    </row>
    <row r="1316" ht="30" customHeight="1" spans="1:75 16331:16349">
      <c r="A1316" s="55">
        <v>0</v>
      </c>
      <c r="B1316" s="56" t="s">
        <v>1057</v>
      </c>
      <c r="C1316" s="57" t="s">
        <v>1324</v>
      </c>
      <c r="D1316" s="59" t="s">
        <v>2170</v>
      </c>
      <c r="E1316" s="59"/>
      <c r="F1316" s="59" t="e">
        <f>VLOOKUP(E1316,[1]库存!$B$1:$C$65536,2,FALSE)</f>
        <v>#N/A</v>
      </c>
      <c r="G1316" s="59" t="e">
        <v>#N/A</v>
      </c>
      <c r="H1316" s="59" t="s">
        <v>2171</v>
      </c>
      <c r="I1316" s="59" t="s">
        <v>2172</v>
      </c>
      <c r="J1316" s="159"/>
      <c r="K1316" s="61"/>
      <c r="L1316" s="62">
        <v>2</v>
      </c>
      <c r="M1316" s="63">
        <v>1450</v>
      </c>
      <c r="N1316" s="64">
        <v>7</v>
      </c>
      <c r="O1316" s="62">
        <v>2</v>
      </c>
      <c r="P1316" s="65">
        <f t="shared" si="80"/>
        <v>0</v>
      </c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  <c r="AD1316" s="66"/>
      <c r="AE1316" s="66"/>
      <c r="AF1316" s="66"/>
      <c r="AG1316" s="66"/>
      <c r="AH1316" s="66"/>
      <c r="AI1316" s="66"/>
      <c r="AJ1316" s="66"/>
      <c r="AK1316" s="66"/>
      <c r="AL1316" s="66"/>
      <c r="AM1316" s="66"/>
      <c r="AN1316" s="66"/>
      <c r="AO1316" s="66"/>
      <c r="AP1316" s="66"/>
      <c r="AQ1316" s="66"/>
      <c r="AR1316" s="66"/>
      <c r="AS1316" s="66"/>
      <c r="AT1316" s="66"/>
      <c r="AU1316" s="66"/>
      <c r="AV1316" s="66"/>
      <c r="AW1316" s="66"/>
      <c r="AX1316" s="66"/>
      <c r="AY1316" s="66"/>
      <c r="AZ1316" s="66"/>
      <c r="BA1316" s="66"/>
      <c r="BB1316" s="66"/>
      <c r="BC1316" s="66"/>
      <c r="BD1316" s="66"/>
      <c r="BE1316" s="67"/>
      <c r="BF1316" s="67"/>
      <c r="BG1316" s="68"/>
      <c r="BI1316" s="69" t="s">
        <v>2165</v>
      </c>
      <c r="BJ1316" s="70">
        <v>0</v>
      </c>
      <c r="BK1316" s="71">
        <v>737.84</v>
      </c>
      <c r="BL1316" s="71">
        <v>0</v>
      </c>
      <c r="BM1316" s="71">
        <v>0</v>
      </c>
      <c r="BN1316" s="72">
        <v>0</v>
      </c>
      <c r="BO1316" s="151" t="e">
        <f t="shared" si="81"/>
        <v>#DIV/0!</v>
      </c>
      <c r="BP1316" s="151" t="e">
        <f t="shared" si="82"/>
        <v>#DIV/0!</v>
      </c>
      <c r="BQ1316" s="71">
        <v>1.1</v>
      </c>
      <c r="BR1316" s="71">
        <v>0</v>
      </c>
      <c r="BS1316" s="71">
        <v>0</v>
      </c>
      <c r="BT1316" s="72">
        <v>0</v>
      </c>
      <c r="BU1316" s="73"/>
      <c r="BV1316" s="73"/>
    </row>
    <row r="1317" ht="30" customHeight="1" spans="1:75 16331:16349">
      <c r="A1317" s="55">
        <v>0</v>
      </c>
      <c r="B1317" s="56">
        <v>0</v>
      </c>
      <c r="C1317" s="57">
        <v>0</v>
      </c>
      <c r="D1317" s="74"/>
      <c r="E1317" s="74"/>
      <c r="F1317" s="59" t="e">
        <f>VLOOKUP(E1317,[1]库存!$B$1:$C$65536,2,FALSE)</f>
        <v>#N/A</v>
      </c>
      <c r="G1317" s="59" t="e">
        <v>#N/A</v>
      </c>
      <c r="H1317" s="74"/>
      <c r="I1317" s="74"/>
      <c r="J1317" s="160"/>
      <c r="K1317" s="61"/>
      <c r="L1317" s="62">
        <v>0</v>
      </c>
      <c r="M1317" s="63">
        <v>0</v>
      </c>
      <c r="N1317" s="64">
        <v>0</v>
      </c>
      <c r="O1317" s="62">
        <v>0</v>
      </c>
      <c r="P1317" s="65">
        <f t="shared" si="80"/>
        <v>0</v>
      </c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  <c r="AD1317" s="66"/>
      <c r="AE1317" s="66"/>
      <c r="AF1317" s="66"/>
      <c r="AG1317" s="66"/>
      <c r="AH1317" s="66"/>
      <c r="AI1317" s="66"/>
      <c r="AJ1317" s="66"/>
      <c r="AK1317" s="66"/>
      <c r="AL1317" s="66"/>
      <c r="AM1317" s="66"/>
      <c r="AN1317" s="66"/>
      <c r="AO1317" s="66"/>
      <c r="AP1317" s="66"/>
      <c r="AQ1317" s="66"/>
      <c r="AR1317" s="66"/>
      <c r="AS1317" s="66"/>
      <c r="AT1317" s="66"/>
      <c r="AU1317" s="66"/>
      <c r="AV1317" s="66"/>
      <c r="AW1317" s="66"/>
      <c r="AX1317" s="66"/>
      <c r="AY1317" s="66"/>
      <c r="AZ1317" s="66"/>
      <c r="BA1317" s="66"/>
      <c r="BB1317" s="66"/>
      <c r="BC1317" s="66"/>
      <c r="BD1317" s="66"/>
      <c r="BE1317" s="67"/>
      <c r="BF1317" s="67"/>
      <c r="BG1317" s="68"/>
      <c r="BI1317" s="69" t="s">
        <v>2166</v>
      </c>
      <c r="BJ1317" s="70">
        <v>0</v>
      </c>
      <c r="BK1317" s="71">
        <v>975</v>
      </c>
      <c r="BL1317" s="71">
        <v>0</v>
      </c>
      <c r="BM1317" s="71">
        <v>0</v>
      </c>
      <c r="BN1317" s="72">
        <v>0</v>
      </c>
      <c r="BO1317" s="151" t="e">
        <f t="shared" si="81"/>
        <v>#DIV/0!</v>
      </c>
      <c r="BP1317" s="151" t="e">
        <f t="shared" si="82"/>
        <v>#DIV/0!</v>
      </c>
      <c r="BQ1317" s="71">
        <v>451.89</v>
      </c>
      <c r="BR1317" s="71">
        <v>975</v>
      </c>
      <c r="BS1317" s="71">
        <v>0</v>
      </c>
      <c r="BT1317" s="72">
        <v>0</v>
      </c>
      <c r="BU1317" s="73"/>
      <c r="BV1317" s="73"/>
    </row>
    <row r="1318" ht="30" customHeight="1" spans="1:75 16331:16349">
      <c r="A1318" s="55">
        <v>0</v>
      </c>
      <c r="B1318" s="56" t="s">
        <v>1057</v>
      </c>
      <c r="C1318" s="57" t="s">
        <v>1324</v>
      </c>
      <c r="D1318" s="59" t="s">
        <v>2170</v>
      </c>
      <c r="E1318" s="59"/>
      <c r="F1318" s="59" t="e">
        <f>VLOOKUP(E1318,[1]库存!$B$1:$C$65536,2,FALSE)</f>
        <v>#N/A</v>
      </c>
      <c r="G1318" s="59" t="e">
        <v>#N/A</v>
      </c>
      <c r="H1318" s="59" t="s">
        <v>2173</v>
      </c>
      <c r="I1318" s="59" t="s">
        <v>2174</v>
      </c>
      <c r="J1318" s="159"/>
      <c r="K1318" s="61"/>
      <c r="L1318" s="62">
        <v>2</v>
      </c>
      <c r="M1318" s="63">
        <v>1500</v>
      </c>
      <c r="N1318" s="64">
        <v>6</v>
      </c>
      <c r="O1318" s="62">
        <v>2</v>
      </c>
      <c r="P1318" s="65">
        <f t="shared" si="80"/>
        <v>0</v>
      </c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  <c r="AD1318" s="66"/>
      <c r="AE1318" s="66"/>
      <c r="AF1318" s="66"/>
      <c r="AG1318" s="66"/>
      <c r="AH1318" s="66"/>
      <c r="AI1318" s="66"/>
      <c r="AJ1318" s="66"/>
      <c r="AK1318" s="66"/>
      <c r="AL1318" s="66"/>
      <c r="AM1318" s="66"/>
      <c r="AN1318" s="66"/>
      <c r="AO1318" s="66"/>
      <c r="AP1318" s="66"/>
      <c r="AQ1318" s="66"/>
      <c r="AR1318" s="66"/>
      <c r="AS1318" s="66"/>
      <c r="AT1318" s="66"/>
      <c r="AU1318" s="66"/>
      <c r="AV1318" s="66"/>
      <c r="AW1318" s="66"/>
      <c r="AX1318" s="66"/>
      <c r="AY1318" s="66"/>
      <c r="AZ1318" s="66"/>
      <c r="BA1318" s="66"/>
      <c r="BB1318" s="66"/>
      <c r="BC1318" s="66"/>
      <c r="BD1318" s="66"/>
      <c r="BE1318" s="67"/>
      <c r="BF1318" s="67"/>
      <c r="BG1318" s="68"/>
      <c r="BI1318" s="69">
        <v>0</v>
      </c>
      <c r="BJ1318" s="70">
        <v>0</v>
      </c>
      <c r="BK1318" s="71">
        <v>0</v>
      </c>
      <c r="BL1318" s="71">
        <v>0</v>
      </c>
      <c r="BM1318" s="71">
        <v>0</v>
      </c>
      <c r="BN1318" s="72">
        <v>0</v>
      </c>
      <c r="BO1318" s="151" t="e">
        <f t="shared" si="81"/>
        <v>#DIV/0!</v>
      </c>
      <c r="BP1318" s="151" t="e">
        <f t="shared" si="82"/>
        <v>#DIV/0!</v>
      </c>
      <c r="BQ1318" s="71">
        <v>0</v>
      </c>
      <c r="BR1318" s="71">
        <v>0</v>
      </c>
      <c r="BS1318" s="71">
        <v>0</v>
      </c>
      <c r="BT1318" s="72">
        <v>0</v>
      </c>
      <c r="BU1318" s="73"/>
      <c r="BV1318" s="73"/>
    </row>
    <row r="1319" ht="30" customHeight="1" spans="1:75 16331:16349">
      <c r="A1319" s="55">
        <v>0</v>
      </c>
      <c r="B1319" s="56">
        <v>0</v>
      </c>
      <c r="C1319" s="57">
        <v>0</v>
      </c>
      <c r="D1319" s="74"/>
      <c r="E1319" s="74"/>
      <c r="F1319" s="59" t="e">
        <f>VLOOKUP(E1319,[1]库存!$B$1:$C$65536,2,FALSE)</f>
        <v>#N/A</v>
      </c>
      <c r="G1319" s="59" t="e">
        <v>#N/A</v>
      </c>
      <c r="H1319" s="74"/>
      <c r="I1319" s="74"/>
      <c r="J1319" s="160"/>
      <c r="K1319" s="61"/>
      <c r="L1319" s="62">
        <v>0</v>
      </c>
      <c r="M1319" s="63">
        <v>0</v>
      </c>
      <c r="N1319" s="64">
        <v>0</v>
      </c>
      <c r="O1319" s="62">
        <v>0</v>
      </c>
      <c r="P1319" s="65">
        <f t="shared" si="80"/>
        <v>0</v>
      </c>
      <c r="Q1319" s="66"/>
      <c r="R1319" s="66"/>
      <c r="S1319" s="66"/>
      <c r="T1319" s="66"/>
      <c r="U1319" s="66"/>
      <c r="V1319" s="66"/>
      <c r="W1319" s="66"/>
      <c r="X1319" s="66"/>
      <c r="Y1319" s="66"/>
      <c r="Z1319" s="66"/>
      <c r="AA1319" s="66"/>
      <c r="AB1319" s="66"/>
      <c r="AC1319" s="66"/>
      <c r="AD1319" s="66"/>
      <c r="AE1319" s="66"/>
      <c r="AF1319" s="66"/>
      <c r="AG1319" s="66"/>
      <c r="AH1319" s="66"/>
      <c r="AI1319" s="66"/>
      <c r="AJ1319" s="66"/>
      <c r="AK1319" s="66"/>
      <c r="AL1319" s="66"/>
      <c r="AM1319" s="66"/>
      <c r="AN1319" s="66"/>
      <c r="AO1319" s="66"/>
      <c r="AP1319" s="66"/>
      <c r="AQ1319" s="66"/>
      <c r="AR1319" s="66"/>
      <c r="AS1319" s="66"/>
      <c r="AT1319" s="66"/>
      <c r="AU1319" s="66"/>
      <c r="AV1319" s="66"/>
      <c r="AW1319" s="66"/>
      <c r="AX1319" s="66"/>
      <c r="AY1319" s="66"/>
      <c r="AZ1319" s="66"/>
      <c r="BA1319" s="66"/>
      <c r="BB1319" s="66"/>
      <c r="BC1319" s="66"/>
      <c r="BD1319" s="66"/>
      <c r="BE1319" s="67"/>
      <c r="BF1319" s="67"/>
      <c r="BG1319" s="68"/>
      <c r="BI1319" s="69">
        <v>0</v>
      </c>
      <c r="BJ1319" s="70">
        <v>0</v>
      </c>
      <c r="BK1319" s="71">
        <v>0</v>
      </c>
      <c r="BL1319" s="71">
        <v>0</v>
      </c>
      <c r="BM1319" s="71">
        <v>0</v>
      </c>
      <c r="BN1319" s="72">
        <v>0</v>
      </c>
      <c r="BO1319" s="151" t="e">
        <f t="shared" si="81"/>
        <v>#DIV/0!</v>
      </c>
      <c r="BP1319" s="151" t="e">
        <f t="shared" si="82"/>
        <v>#DIV/0!</v>
      </c>
      <c r="BQ1319" s="71">
        <v>0</v>
      </c>
      <c r="BR1319" s="71">
        <v>0</v>
      </c>
      <c r="BS1319" s="71">
        <v>0</v>
      </c>
      <c r="BT1319" s="72">
        <v>0</v>
      </c>
      <c r="BU1319" s="73"/>
      <c r="BV1319" s="73"/>
    </row>
    <row r="1320" ht="30" customHeight="1" spans="1:75 16331:16349">
      <c r="A1320" s="55">
        <v>0</v>
      </c>
      <c r="B1320" s="56" t="s">
        <v>1057</v>
      </c>
      <c r="C1320" s="57" t="s">
        <v>1324</v>
      </c>
      <c r="D1320" s="59" t="s">
        <v>2170</v>
      </c>
      <c r="E1320" s="59"/>
      <c r="F1320" s="59" t="e">
        <f>VLOOKUP(E1320,[1]库存!$B$1:$C$65536,2,FALSE)</f>
        <v>#N/A</v>
      </c>
      <c r="G1320" s="59" t="e">
        <v>#N/A</v>
      </c>
      <c r="H1320" s="59" t="s">
        <v>2175</v>
      </c>
      <c r="I1320" s="59" t="s">
        <v>2176</v>
      </c>
      <c r="J1320" s="159"/>
      <c r="K1320" s="61"/>
      <c r="L1320" s="62">
        <v>2</v>
      </c>
      <c r="M1320" s="63">
        <v>1450</v>
      </c>
      <c r="N1320" s="64">
        <v>7</v>
      </c>
      <c r="O1320" s="62">
        <v>2</v>
      </c>
      <c r="P1320" s="65">
        <f t="shared" si="80"/>
        <v>0</v>
      </c>
      <c r="Q1320" s="66"/>
      <c r="R1320" s="66"/>
      <c r="S1320" s="66"/>
      <c r="T1320" s="66"/>
      <c r="U1320" s="66"/>
      <c r="V1320" s="66"/>
      <c r="W1320" s="66"/>
      <c r="X1320" s="66"/>
      <c r="Y1320" s="66"/>
      <c r="Z1320" s="66"/>
      <c r="AA1320" s="66"/>
      <c r="AB1320" s="66"/>
      <c r="AC1320" s="66"/>
      <c r="AD1320" s="66"/>
      <c r="AE1320" s="66"/>
      <c r="AF1320" s="66"/>
      <c r="AG1320" s="66"/>
      <c r="AH1320" s="66"/>
      <c r="AI1320" s="66"/>
      <c r="AJ1320" s="66"/>
      <c r="AK1320" s="66"/>
      <c r="AL1320" s="66"/>
      <c r="AM1320" s="66"/>
      <c r="AN1320" s="66"/>
      <c r="AO1320" s="66"/>
      <c r="AP1320" s="66"/>
      <c r="AQ1320" s="66"/>
      <c r="AR1320" s="66"/>
      <c r="AS1320" s="66"/>
      <c r="AT1320" s="66"/>
      <c r="AU1320" s="66"/>
      <c r="AV1320" s="66"/>
      <c r="AW1320" s="66"/>
      <c r="AX1320" s="66"/>
      <c r="AY1320" s="66"/>
      <c r="AZ1320" s="66"/>
      <c r="BA1320" s="66"/>
      <c r="BB1320" s="66"/>
      <c r="BC1320" s="66"/>
      <c r="BD1320" s="66"/>
      <c r="BE1320" s="67"/>
      <c r="BF1320" s="67"/>
      <c r="BG1320" s="68"/>
      <c r="BI1320" s="69" t="s">
        <v>2165</v>
      </c>
      <c r="BJ1320" s="70">
        <v>0</v>
      </c>
      <c r="BK1320" s="71">
        <v>737.84</v>
      </c>
      <c r="BL1320" s="71">
        <v>0</v>
      </c>
      <c r="BM1320" s="71">
        <v>0</v>
      </c>
      <c r="BN1320" s="72">
        <v>0</v>
      </c>
      <c r="BO1320" s="151" t="e">
        <f t="shared" si="81"/>
        <v>#DIV/0!</v>
      </c>
      <c r="BP1320" s="151" t="e">
        <f t="shared" si="82"/>
        <v>#DIV/0!</v>
      </c>
      <c r="BQ1320" s="71">
        <v>1.1</v>
      </c>
      <c r="BR1320" s="71">
        <v>0</v>
      </c>
      <c r="BS1320" s="71">
        <v>0</v>
      </c>
      <c r="BT1320" s="72">
        <v>0</v>
      </c>
      <c r="BU1320" s="73"/>
      <c r="BV1320" s="73"/>
    </row>
    <row r="1321" ht="30" customHeight="1" spans="1:75 16331:16349">
      <c r="A1321" s="55">
        <v>0</v>
      </c>
      <c r="B1321" s="56">
        <v>0</v>
      </c>
      <c r="C1321" s="57">
        <v>0</v>
      </c>
      <c r="D1321" s="74"/>
      <c r="E1321" s="74"/>
      <c r="F1321" s="59" t="e">
        <f>VLOOKUP(E1321,[1]库存!$B$1:$C$65536,2,FALSE)</f>
        <v>#N/A</v>
      </c>
      <c r="G1321" s="59" t="e">
        <v>#N/A</v>
      </c>
      <c r="H1321" s="74"/>
      <c r="I1321" s="74"/>
      <c r="J1321" s="160"/>
      <c r="K1321" s="61"/>
      <c r="L1321" s="62">
        <v>0</v>
      </c>
      <c r="M1321" s="63">
        <v>0</v>
      </c>
      <c r="N1321" s="64">
        <v>0</v>
      </c>
      <c r="O1321" s="62">
        <v>0</v>
      </c>
      <c r="P1321" s="65">
        <f t="shared" si="80"/>
        <v>0</v>
      </c>
      <c r="Q1321" s="66"/>
      <c r="R1321" s="66"/>
      <c r="S1321" s="66"/>
      <c r="T1321" s="66"/>
      <c r="U1321" s="66"/>
      <c r="V1321" s="66"/>
      <c r="W1321" s="66"/>
      <c r="X1321" s="66"/>
      <c r="Y1321" s="66"/>
      <c r="Z1321" s="66"/>
      <c r="AA1321" s="66"/>
      <c r="AB1321" s="66"/>
      <c r="AC1321" s="66"/>
      <c r="AD1321" s="66"/>
      <c r="AE1321" s="66"/>
      <c r="AF1321" s="66"/>
      <c r="AG1321" s="66"/>
      <c r="AH1321" s="66"/>
      <c r="AI1321" s="66"/>
      <c r="AJ1321" s="66"/>
      <c r="AK1321" s="66"/>
      <c r="AL1321" s="66"/>
      <c r="AM1321" s="66"/>
      <c r="AN1321" s="66"/>
      <c r="AO1321" s="66"/>
      <c r="AP1321" s="66"/>
      <c r="AQ1321" s="66"/>
      <c r="AR1321" s="66"/>
      <c r="AS1321" s="66"/>
      <c r="AT1321" s="66"/>
      <c r="AU1321" s="66"/>
      <c r="AV1321" s="66"/>
      <c r="AW1321" s="66"/>
      <c r="AX1321" s="66"/>
      <c r="AY1321" s="66"/>
      <c r="AZ1321" s="66"/>
      <c r="BA1321" s="66"/>
      <c r="BB1321" s="66"/>
      <c r="BC1321" s="66"/>
      <c r="BD1321" s="66"/>
      <c r="BE1321" s="67"/>
      <c r="BF1321" s="67"/>
      <c r="BG1321" s="68"/>
      <c r="BI1321" s="69" t="s">
        <v>2166</v>
      </c>
      <c r="BJ1321" s="70">
        <v>0</v>
      </c>
      <c r="BK1321" s="71">
        <v>975</v>
      </c>
      <c r="BL1321" s="71">
        <v>0</v>
      </c>
      <c r="BM1321" s="71">
        <v>0</v>
      </c>
      <c r="BN1321" s="72">
        <v>0</v>
      </c>
      <c r="BO1321" s="151" t="e">
        <f t="shared" si="81"/>
        <v>#DIV/0!</v>
      </c>
      <c r="BP1321" s="151" t="e">
        <f t="shared" si="82"/>
        <v>#DIV/0!</v>
      </c>
      <c r="BQ1321" s="71">
        <v>451.89</v>
      </c>
      <c r="BR1321" s="71">
        <v>975</v>
      </c>
      <c r="BS1321" s="71">
        <v>0</v>
      </c>
      <c r="BT1321" s="72">
        <v>0</v>
      </c>
      <c r="BU1321" s="73"/>
      <c r="BV1321" s="73"/>
    </row>
    <row r="1322" ht="30" customHeight="1" spans="1:75 16331:16349">
      <c r="A1322" s="55">
        <v>0</v>
      </c>
      <c r="B1322" s="56" t="s">
        <v>1057</v>
      </c>
      <c r="C1322" s="57" t="s">
        <v>1324</v>
      </c>
      <c r="D1322" s="59" t="s">
        <v>2170</v>
      </c>
      <c r="E1322" s="59"/>
      <c r="F1322" s="59" t="e">
        <f>VLOOKUP(E1322,[1]库存!$B$1:$C$65536,2,FALSE)</f>
        <v>#N/A</v>
      </c>
      <c r="G1322" s="59" t="e">
        <v>#N/A</v>
      </c>
      <c r="H1322" s="59" t="s">
        <v>2177</v>
      </c>
      <c r="I1322" s="59" t="s">
        <v>2178</v>
      </c>
      <c r="J1322" s="159"/>
      <c r="K1322" s="61"/>
      <c r="L1322" s="62">
        <v>2</v>
      </c>
      <c r="M1322" s="63">
        <v>1500</v>
      </c>
      <c r="N1322" s="64">
        <v>6</v>
      </c>
      <c r="O1322" s="62">
        <v>2</v>
      </c>
      <c r="P1322" s="65">
        <f t="shared" si="80"/>
        <v>0</v>
      </c>
      <c r="Q1322" s="66"/>
      <c r="R1322" s="66"/>
      <c r="S1322" s="66"/>
      <c r="T1322" s="66"/>
      <c r="U1322" s="66"/>
      <c r="V1322" s="66"/>
      <c r="W1322" s="66"/>
      <c r="X1322" s="66"/>
      <c r="Y1322" s="66"/>
      <c r="Z1322" s="66"/>
      <c r="AA1322" s="66"/>
      <c r="AB1322" s="66"/>
      <c r="AC1322" s="66"/>
      <c r="AD1322" s="66"/>
      <c r="AE1322" s="66"/>
      <c r="AF1322" s="66"/>
      <c r="AG1322" s="66"/>
      <c r="AH1322" s="66"/>
      <c r="AI1322" s="66"/>
      <c r="AJ1322" s="66"/>
      <c r="AK1322" s="66"/>
      <c r="AL1322" s="66"/>
      <c r="AM1322" s="66"/>
      <c r="AN1322" s="66"/>
      <c r="AO1322" s="66"/>
      <c r="AP1322" s="66"/>
      <c r="AQ1322" s="66"/>
      <c r="AR1322" s="66"/>
      <c r="AS1322" s="66"/>
      <c r="AT1322" s="66"/>
      <c r="AU1322" s="66"/>
      <c r="AV1322" s="66"/>
      <c r="AW1322" s="66"/>
      <c r="AX1322" s="66"/>
      <c r="AY1322" s="66"/>
      <c r="AZ1322" s="66"/>
      <c r="BA1322" s="66"/>
      <c r="BB1322" s="66"/>
      <c r="BC1322" s="66"/>
      <c r="BD1322" s="66"/>
      <c r="BE1322" s="67"/>
      <c r="BF1322" s="67"/>
      <c r="BG1322" s="68"/>
      <c r="BI1322" s="69">
        <v>0</v>
      </c>
      <c r="BJ1322" s="70">
        <v>0</v>
      </c>
      <c r="BK1322" s="71">
        <v>0</v>
      </c>
      <c r="BL1322" s="71">
        <v>0</v>
      </c>
      <c r="BM1322" s="71">
        <v>0</v>
      </c>
      <c r="BN1322" s="72">
        <v>0</v>
      </c>
      <c r="BO1322" s="151" t="e">
        <f t="shared" si="81"/>
        <v>#DIV/0!</v>
      </c>
      <c r="BP1322" s="151" t="e">
        <f t="shared" si="82"/>
        <v>#DIV/0!</v>
      </c>
      <c r="BQ1322" s="71">
        <v>0</v>
      </c>
      <c r="BR1322" s="71">
        <v>0</v>
      </c>
      <c r="BS1322" s="71">
        <v>0</v>
      </c>
      <c r="BT1322" s="72">
        <v>0</v>
      </c>
      <c r="BU1322" s="73"/>
      <c r="BV1322" s="73"/>
    </row>
    <row r="1323" ht="30" customHeight="1" spans="1:75 16331:16349">
      <c r="A1323" s="55">
        <v>0</v>
      </c>
      <c r="B1323" s="56">
        <v>0</v>
      </c>
      <c r="C1323" s="57">
        <v>0</v>
      </c>
      <c r="D1323" s="74"/>
      <c r="E1323" s="74"/>
      <c r="F1323" s="59" t="e">
        <f>VLOOKUP(E1323,[1]库存!$B$1:$C$65536,2,FALSE)</f>
        <v>#N/A</v>
      </c>
      <c r="G1323" s="59" t="e">
        <v>#N/A</v>
      </c>
      <c r="H1323" s="74"/>
      <c r="I1323" s="74"/>
      <c r="J1323" s="160"/>
      <c r="K1323" s="61"/>
      <c r="L1323" s="62">
        <v>0</v>
      </c>
      <c r="M1323" s="63">
        <v>0</v>
      </c>
      <c r="N1323" s="64">
        <v>0</v>
      </c>
      <c r="O1323" s="62">
        <v>0</v>
      </c>
      <c r="P1323" s="65">
        <f t="shared" si="80"/>
        <v>0</v>
      </c>
      <c r="Q1323" s="66"/>
      <c r="R1323" s="66"/>
      <c r="S1323" s="66"/>
      <c r="T1323" s="66"/>
      <c r="U1323" s="66"/>
      <c r="V1323" s="66"/>
      <c r="W1323" s="66"/>
      <c r="X1323" s="66"/>
      <c r="Y1323" s="66"/>
      <c r="Z1323" s="66"/>
      <c r="AA1323" s="66"/>
      <c r="AB1323" s="66"/>
      <c r="AC1323" s="66"/>
      <c r="AD1323" s="66"/>
      <c r="AE1323" s="66"/>
      <c r="AF1323" s="66"/>
      <c r="AG1323" s="66"/>
      <c r="AH1323" s="66"/>
      <c r="AI1323" s="66"/>
      <c r="AJ1323" s="66"/>
      <c r="AK1323" s="66"/>
      <c r="AL1323" s="66"/>
      <c r="AM1323" s="66"/>
      <c r="AN1323" s="66"/>
      <c r="AO1323" s="66"/>
      <c r="AP1323" s="66"/>
      <c r="AQ1323" s="66"/>
      <c r="AR1323" s="66"/>
      <c r="AS1323" s="66"/>
      <c r="AT1323" s="66"/>
      <c r="AU1323" s="66"/>
      <c r="AV1323" s="66"/>
      <c r="AW1323" s="66"/>
      <c r="AX1323" s="66"/>
      <c r="AY1323" s="66"/>
      <c r="AZ1323" s="66"/>
      <c r="BA1323" s="66"/>
      <c r="BB1323" s="66"/>
      <c r="BC1323" s="66"/>
      <c r="BD1323" s="66"/>
      <c r="BE1323" s="67"/>
      <c r="BF1323" s="67"/>
      <c r="BG1323" s="68"/>
      <c r="BI1323" s="69">
        <v>0</v>
      </c>
      <c r="BJ1323" s="70">
        <v>0</v>
      </c>
      <c r="BK1323" s="71">
        <v>0</v>
      </c>
      <c r="BL1323" s="71">
        <v>0</v>
      </c>
      <c r="BM1323" s="71">
        <v>0</v>
      </c>
      <c r="BN1323" s="72">
        <v>0</v>
      </c>
      <c r="BO1323" s="151" t="e">
        <f t="shared" si="81"/>
        <v>#DIV/0!</v>
      </c>
      <c r="BP1323" s="151" t="e">
        <f t="shared" si="82"/>
        <v>#DIV/0!</v>
      </c>
      <c r="BQ1323" s="71">
        <v>0</v>
      </c>
      <c r="BR1323" s="71">
        <v>0</v>
      </c>
      <c r="BS1323" s="71">
        <v>0</v>
      </c>
      <c r="BT1323" s="72">
        <v>0</v>
      </c>
      <c r="BU1323" s="73"/>
      <c r="BV1323" s="73"/>
    </row>
    <row r="1324" ht="30" customHeight="1" spans="1:75 16331:16349">
      <c r="A1324" s="55">
        <v>0</v>
      </c>
      <c r="B1324" s="56" t="s">
        <v>1057</v>
      </c>
      <c r="C1324" s="57" t="s">
        <v>1324</v>
      </c>
      <c r="D1324" s="59" t="s">
        <v>2170</v>
      </c>
      <c r="E1324" s="59"/>
      <c r="F1324" s="59" t="e">
        <f>VLOOKUP(E1324,[1]库存!$B$1:$C$65536,2,FALSE)</f>
        <v>#N/A</v>
      </c>
      <c r="G1324" s="59" t="e">
        <v>#N/A</v>
      </c>
      <c r="H1324" s="59" t="s">
        <v>2179</v>
      </c>
      <c r="I1324" s="59" t="s">
        <v>2180</v>
      </c>
      <c r="J1324" s="159"/>
      <c r="K1324" s="61"/>
      <c r="L1324" s="62">
        <v>2</v>
      </c>
      <c r="M1324" s="63">
        <v>1450</v>
      </c>
      <c r="N1324" s="64">
        <v>7</v>
      </c>
      <c r="O1324" s="62">
        <v>2</v>
      </c>
      <c r="P1324" s="65">
        <f t="shared" si="80"/>
        <v>0</v>
      </c>
      <c r="Q1324" s="66"/>
      <c r="R1324" s="66"/>
      <c r="S1324" s="66"/>
      <c r="T1324" s="66"/>
      <c r="U1324" s="66"/>
      <c r="V1324" s="66"/>
      <c r="W1324" s="66"/>
      <c r="X1324" s="66"/>
      <c r="Y1324" s="66"/>
      <c r="Z1324" s="66"/>
      <c r="AA1324" s="66"/>
      <c r="AB1324" s="66"/>
      <c r="AC1324" s="66"/>
      <c r="AD1324" s="66"/>
      <c r="AE1324" s="66"/>
      <c r="AF1324" s="66"/>
      <c r="AG1324" s="66"/>
      <c r="AH1324" s="66"/>
      <c r="AI1324" s="66"/>
      <c r="AJ1324" s="66"/>
      <c r="AK1324" s="66"/>
      <c r="AL1324" s="66"/>
      <c r="AM1324" s="66"/>
      <c r="AN1324" s="66"/>
      <c r="AO1324" s="66"/>
      <c r="AP1324" s="66"/>
      <c r="AQ1324" s="66"/>
      <c r="AR1324" s="66"/>
      <c r="AS1324" s="66"/>
      <c r="AT1324" s="66"/>
      <c r="AU1324" s="66"/>
      <c r="AV1324" s="66"/>
      <c r="AW1324" s="66"/>
      <c r="AX1324" s="66"/>
      <c r="AY1324" s="66"/>
      <c r="AZ1324" s="66"/>
      <c r="BA1324" s="66"/>
      <c r="BB1324" s="66"/>
      <c r="BC1324" s="66"/>
      <c r="BD1324" s="66"/>
      <c r="BE1324" s="67"/>
      <c r="BF1324" s="67"/>
      <c r="BG1324" s="68"/>
      <c r="BI1324" s="69" t="s">
        <v>2165</v>
      </c>
      <c r="BJ1324" s="70">
        <v>0</v>
      </c>
      <c r="BK1324" s="71">
        <v>737.84</v>
      </c>
      <c r="BL1324" s="71">
        <v>0</v>
      </c>
      <c r="BM1324" s="71">
        <v>0</v>
      </c>
      <c r="BN1324" s="72">
        <v>0</v>
      </c>
      <c r="BO1324" s="151" t="e">
        <f t="shared" si="81"/>
        <v>#DIV/0!</v>
      </c>
      <c r="BP1324" s="151" t="e">
        <f t="shared" si="82"/>
        <v>#DIV/0!</v>
      </c>
      <c r="BQ1324" s="71">
        <v>1.1</v>
      </c>
      <c r="BR1324" s="71">
        <v>0</v>
      </c>
      <c r="BS1324" s="71">
        <v>0</v>
      </c>
      <c r="BT1324" s="72">
        <v>0</v>
      </c>
      <c r="BU1324" s="73"/>
      <c r="BV1324" s="73"/>
    </row>
    <row r="1325" ht="30" customHeight="1" spans="1:75 16331:16349">
      <c r="A1325" s="55">
        <v>0</v>
      </c>
      <c r="B1325" s="56">
        <v>0</v>
      </c>
      <c r="C1325" s="57">
        <v>0</v>
      </c>
      <c r="D1325" s="74"/>
      <c r="E1325" s="74"/>
      <c r="F1325" s="59" t="e">
        <f>VLOOKUP(E1325,[1]库存!$B$1:$C$65536,2,FALSE)</f>
        <v>#N/A</v>
      </c>
      <c r="G1325" s="59" t="e">
        <v>#N/A</v>
      </c>
      <c r="H1325" s="74"/>
      <c r="I1325" s="74"/>
      <c r="J1325" s="160"/>
      <c r="K1325" s="61"/>
      <c r="L1325" s="62">
        <v>0</v>
      </c>
      <c r="M1325" s="63">
        <v>0</v>
      </c>
      <c r="N1325" s="64">
        <v>0</v>
      </c>
      <c r="O1325" s="62">
        <v>0</v>
      </c>
      <c r="P1325" s="65">
        <f t="shared" si="80"/>
        <v>0</v>
      </c>
      <c r="Q1325" s="66"/>
      <c r="R1325" s="66"/>
      <c r="S1325" s="66"/>
      <c r="T1325" s="66"/>
      <c r="U1325" s="66"/>
      <c r="V1325" s="66"/>
      <c r="W1325" s="66"/>
      <c r="X1325" s="66"/>
      <c r="Y1325" s="66"/>
      <c r="Z1325" s="66"/>
      <c r="AA1325" s="66"/>
      <c r="AB1325" s="66"/>
      <c r="AC1325" s="66"/>
      <c r="AD1325" s="66"/>
      <c r="AE1325" s="66"/>
      <c r="AF1325" s="66"/>
      <c r="AG1325" s="66"/>
      <c r="AH1325" s="66"/>
      <c r="AI1325" s="66"/>
      <c r="AJ1325" s="66"/>
      <c r="AK1325" s="66"/>
      <c r="AL1325" s="66"/>
      <c r="AM1325" s="66"/>
      <c r="AN1325" s="66"/>
      <c r="AO1325" s="66"/>
      <c r="AP1325" s="66"/>
      <c r="AQ1325" s="66"/>
      <c r="AR1325" s="66"/>
      <c r="AS1325" s="66"/>
      <c r="AT1325" s="66"/>
      <c r="AU1325" s="66"/>
      <c r="AV1325" s="66"/>
      <c r="AW1325" s="66"/>
      <c r="AX1325" s="66"/>
      <c r="AY1325" s="66"/>
      <c r="AZ1325" s="66"/>
      <c r="BA1325" s="66"/>
      <c r="BB1325" s="66"/>
      <c r="BC1325" s="66"/>
      <c r="BD1325" s="66"/>
      <c r="BE1325" s="67"/>
      <c r="BF1325" s="67"/>
      <c r="BG1325" s="68"/>
      <c r="BI1325" s="69" t="s">
        <v>2166</v>
      </c>
      <c r="BJ1325" s="70">
        <v>0</v>
      </c>
      <c r="BK1325" s="71">
        <v>975</v>
      </c>
      <c r="BL1325" s="71">
        <v>0</v>
      </c>
      <c r="BM1325" s="71">
        <v>0</v>
      </c>
      <c r="BN1325" s="72">
        <v>0</v>
      </c>
      <c r="BO1325" s="151" t="e">
        <f t="shared" si="81"/>
        <v>#DIV/0!</v>
      </c>
      <c r="BP1325" s="151" t="e">
        <f t="shared" si="82"/>
        <v>#DIV/0!</v>
      </c>
      <c r="BQ1325" s="71">
        <v>451.89</v>
      </c>
      <c r="BR1325" s="71">
        <v>975</v>
      </c>
      <c r="BS1325" s="71">
        <v>0</v>
      </c>
      <c r="BT1325" s="72">
        <v>0</v>
      </c>
      <c r="BU1325" s="73"/>
      <c r="BV1325" s="73"/>
    </row>
    <row r="1326" ht="30" customHeight="1" spans="1:75 16331:16349">
      <c r="A1326" s="55">
        <v>0</v>
      </c>
      <c r="B1326" s="56">
        <v>0</v>
      </c>
      <c r="C1326" s="57">
        <v>0</v>
      </c>
      <c r="D1326" s="210"/>
      <c r="E1326" s="88"/>
      <c r="F1326" s="59" t="e">
        <f>VLOOKUP(E1326,[1]库存!$B$1:$C$65536,2,FALSE)</f>
        <v>#N/A</v>
      </c>
      <c r="G1326" s="59" t="e">
        <v>#N/A</v>
      </c>
      <c r="H1326" s="89"/>
      <c r="I1326" s="88"/>
      <c r="J1326" s="90"/>
      <c r="K1326" s="61"/>
      <c r="L1326" s="62">
        <v>0</v>
      </c>
      <c r="M1326" s="63">
        <v>0</v>
      </c>
      <c r="N1326" s="64">
        <v>0</v>
      </c>
      <c r="O1326" s="62">
        <v>0</v>
      </c>
      <c r="P1326" s="65">
        <f t="shared" si="80"/>
        <v>0</v>
      </c>
      <c r="Q1326" s="66"/>
      <c r="R1326" s="66"/>
      <c r="S1326" s="66"/>
      <c r="T1326" s="66"/>
      <c r="U1326" s="66"/>
      <c r="V1326" s="66"/>
      <c r="W1326" s="66"/>
      <c r="X1326" s="66"/>
      <c r="Y1326" s="66"/>
      <c r="Z1326" s="66"/>
      <c r="AA1326" s="66"/>
      <c r="AB1326" s="66"/>
      <c r="AC1326" s="66"/>
      <c r="AD1326" s="66"/>
      <c r="AE1326" s="66"/>
      <c r="AF1326" s="66"/>
      <c r="AG1326" s="66"/>
      <c r="AH1326" s="66"/>
      <c r="AI1326" s="66"/>
      <c r="AJ1326" s="66"/>
      <c r="AK1326" s="66"/>
      <c r="AL1326" s="66"/>
      <c r="AM1326" s="66"/>
      <c r="AN1326" s="66"/>
      <c r="AO1326" s="66"/>
      <c r="AP1326" s="66"/>
      <c r="AQ1326" s="66"/>
      <c r="AR1326" s="66"/>
      <c r="AS1326" s="66"/>
      <c r="AT1326" s="66"/>
      <c r="AU1326" s="66"/>
      <c r="AV1326" s="66"/>
      <c r="AW1326" s="66"/>
      <c r="AX1326" s="66"/>
      <c r="AY1326" s="66"/>
      <c r="AZ1326" s="66"/>
      <c r="BA1326" s="66"/>
      <c r="BB1326" s="66"/>
      <c r="BC1326" s="66"/>
      <c r="BD1326" s="66"/>
      <c r="BE1326" s="67"/>
      <c r="BF1326" s="67"/>
      <c r="BG1326" s="68"/>
      <c r="BI1326" s="69">
        <v>0</v>
      </c>
      <c r="BJ1326" s="70">
        <v>0</v>
      </c>
      <c r="BK1326" s="71">
        <v>0</v>
      </c>
      <c r="BL1326" s="71">
        <v>0</v>
      </c>
      <c r="BM1326" s="71">
        <v>0</v>
      </c>
      <c r="BN1326" s="72">
        <v>0</v>
      </c>
      <c r="BO1326" s="151" t="e">
        <f t="shared" si="81"/>
        <v>#DIV/0!</v>
      </c>
      <c r="BP1326" s="151" t="e">
        <f t="shared" si="82"/>
        <v>#DIV/0!</v>
      </c>
      <c r="BQ1326" s="71">
        <v>0</v>
      </c>
      <c r="BR1326" s="71">
        <v>0</v>
      </c>
      <c r="BS1326" s="71">
        <v>0</v>
      </c>
      <c r="BT1326" s="72">
        <v>0</v>
      </c>
      <c r="BU1326" s="73"/>
      <c r="BV1326" s="73"/>
    </row>
    <row r="1327" ht="30" customHeight="1" spans="1:75 16331:16349">
      <c r="A1327" s="55" t="s">
        <v>211</v>
      </c>
      <c r="B1327" s="56" t="s">
        <v>1057</v>
      </c>
      <c r="C1327" s="57" t="s">
        <v>1324</v>
      </c>
      <c r="D1327" s="59" t="s">
        <v>2181</v>
      </c>
      <c r="E1327" s="59" t="s">
        <v>2182</v>
      </c>
      <c r="F1327" s="59" t="str">
        <f>VLOOKUP(E1327,[1]库存!$B$1:$C$65536,2,FALSE)</f>
        <v>SQHB-C FAB LH B状态</v>
      </c>
      <c r="G1327" s="59" t="s">
        <v>2183</v>
      </c>
      <c r="H1327" s="59" t="s">
        <v>2184</v>
      </c>
      <c r="I1327" s="59" t="s">
        <v>1188</v>
      </c>
      <c r="J1327" s="159"/>
      <c r="K1327" s="61"/>
      <c r="L1327" s="62">
        <v>2</v>
      </c>
      <c r="M1327" s="63">
        <v>1200</v>
      </c>
      <c r="N1327" s="64">
        <v>16</v>
      </c>
      <c r="O1327" s="62">
        <v>2</v>
      </c>
      <c r="P1327" s="65">
        <f t="shared" si="80"/>
        <v>0</v>
      </c>
      <c r="Q1327" s="66"/>
      <c r="R1327" s="66"/>
      <c r="S1327" s="66"/>
      <c r="T1327" s="66"/>
      <c r="U1327" s="66"/>
      <c r="V1327" s="66"/>
      <c r="W1327" s="66"/>
      <c r="X1327" s="66"/>
      <c r="Y1327" s="66"/>
      <c r="Z1327" s="66"/>
      <c r="AA1327" s="66"/>
      <c r="AB1327" s="66"/>
      <c r="AC1327" s="66"/>
      <c r="AD1327" s="66"/>
      <c r="AE1327" s="66"/>
      <c r="AF1327" s="66"/>
      <c r="AG1327" s="66"/>
      <c r="AH1327" s="66"/>
      <c r="AI1327" s="66"/>
      <c r="AJ1327" s="66"/>
      <c r="AK1327" s="66"/>
      <c r="AL1327" s="66"/>
      <c r="AM1327" s="66"/>
      <c r="AN1327" s="66"/>
      <c r="AO1327" s="66"/>
      <c r="AP1327" s="66"/>
      <c r="AQ1327" s="66"/>
      <c r="AR1327" s="66"/>
      <c r="AS1327" s="66"/>
      <c r="AT1327" s="66"/>
      <c r="AU1327" s="66"/>
      <c r="AV1327" s="66"/>
      <c r="AW1327" s="66"/>
      <c r="AX1327" s="66"/>
      <c r="AY1327" s="66"/>
      <c r="AZ1327" s="66"/>
      <c r="BA1327" s="66"/>
      <c r="BB1327" s="66"/>
      <c r="BC1327" s="66"/>
      <c r="BD1327" s="66"/>
      <c r="BE1327" s="67"/>
      <c r="BF1327" s="67"/>
      <c r="BG1327" s="68"/>
      <c r="BI1327" s="69">
        <v>0</v>
      </c>
      <c r="BJ1327" s="70">
        <v>0</v>
      </c>
      <c r="BK1327" s="71">
        <v>0</v>
      </c>
      <c r="BL1327" s="71">
        <v>0</v>
      </c>
      <c r="BM1327" s="71">
        <v>0</v>
      </c>
      <c r="BN1327" s="72">
        <v>0</v>
      </c>
      <c r="BO1327" s="151" t="e">
        <f t="shared" si="81"/>
        <v>#DIV/0!</v>
      </c>
      <c r="BP1327" s="151" t="e">
        <f t="shared" si="82"/>
        <v>#DIV/0!</v>
      </c>
      <c r="BQ1327" s="71">
        <v>0</v>
      </c>
      <c r="BR1327" s="71">
        <v>0</v>
      </c>
      <c r="BS1327" s="71">
        <v>0</v>
      </c>
      <c r="BT1327" s="72">
        <v>0</v>
      </c>
      <c r="BU1327" s="73"/>
      <c r="BV1327" s="73"/>
    </row>
    <row r="1328" ht="30" customHeight="1" spans="1:75 16331:16349">
      <c r="A1328" s="55">
        <v>0</v>
      </c>
      <c r="B1328" s="56">
        <v>0</v>
      </c>
      <c r="C1328" s="57">
        <v>0</v>
      </c>
      <c r="D1328" s="74"/>
      <c r="E1328" s="74"/>
      <c r="F1328" s="59" t="e">
        <f>VLOOKUP(E1328,[1]库存!$B$1:$C$65536,2,FALSE)</f>
        <v>#N/A</v>
      </c>
      <c r="G1328" s="59" t="e">
        <v>#N/A</v>
      </c>
      <c r="H1328" s="74"/>
      <c r="I1328" s="74"/>
      <c r="J1328" s="160"/>
      <c r="K1328" s="61"/>
      <c r="L1328" s="62">
        <v>0</v>
      </c>
      <c r="M1328" s="63">
        <v>0</v>
      </c>
      <c r="N1328" s="64">
        <v>0</v>
      </c>
      <c r="O1328" s="62">
        <v>0</v>
      </c>
      <c r="P1328" s="65">
        <f t="shared" si="80"/>
        <v>0</v>
      </c>
      <c r="Q1328" s="66"/>
      <c r="R1328" s="66"/>
      <c r="S1328" s="66"/>
      <c r="T1328" s="66"/>
      <c r="U1328" s="66"/>
      <c r="V1328" s="66"/>
      <c r="W1328" s="66"/>
      <c r="X1328" s="66"/>
      <c r="Y1328" s="66"/>
      <c r="Z1328" s="66"/>
      <c r="AA1328" s="66"/>
      <c r="AB1328" s="66"/>
      <c r="AC1328" s="66"/>
      <c r="AD1328" s="66"/>
      <c r="AE1328" s="66"/>
      <c r="AF1328" s="66"/>
      <c r="AG1328" s="66"/>
      <c r="AH1328" s="66"/>
      <c r="AI1328" s="66"/>
      <c r="AJ1328" s="66"/>
      <c r="AK1328" s="66"/>
      <c r="AL1328" s="66"/>
      <c r="AM1328" s="66"/>
      <c r="AN1328" s="66"/>
      <c r="AO1328" s="66"/>
      <c r="AP1328" s="66"/>
      <c r="AQ1328" s="66"/>
      <c r="AR1328" s="66"/>
      <c r="AS1328" s="66"/>
      <c r="AT1328" s="66"/>
      <c r="AU1328" s="66"/>
      <c r="AV1328" s="66"/>
      <c r="AW1328" s="66"/>
      <c r="AX1328" s="66"/>
      <c r="AY1328" s="66"/>
      <c r="AZ1328" s="66"/>
      <c r="BA1328" s="66"/>
      <c r="BB1328" s="66"/>
      <c r="BC1328" s="66"/>
      <c r="BD1328" s="66"/>
      <c r="BE1328" s="67"/>
      <c r="BF1328" s="67"/>
      <c r="BG1328" s="68"/>
      <c r="BI1328" s="69">
        <v>0</v>
      </c>
      <c r="BJ1328" s="70">
        <v>0</v>
      </c>
      <c r="BK1328" s="71">
        <v>0</v>
      </c>
      <c r="BL1328" s="71">
        <v>0</v>
      </c>
      <c r="BM1328" s="71">
        <v>0</v>
      </c>
      <c r="BN1328" s="72">
        <v>0</v>
      </c>
      <c r="BO1328" s="151" t="e">
        <f t="shared" si="81"/>
        <v>#DIV/0!</v>
      </c>
      <c r="BP1328" s="151" t="e">
        <f t="shared" si="82"/>
        <v>#DIV/0!</v>
      </c>
      <c r="BQ1328" s="71">
        <v>0</v>
      </c>
      <c r="BR1328" s="71">
        <v>0</v>
      </c>
      <c r="BS1328" s="71">
        <v>0</v>
      </c>
      <c r="BT1328" s="72">
        <v>0</v>
      </c>
      <c r="BU1328" s="73"/>
      <c r="BV1328" s="73"/>
    </row>
    <row r="1329" ht="30" customHeight="1" spans="1:74">
      <c r="A1329" s="55" t="s">
        <v>211</v>
      </c>
      <c r="B1329" s="56" t="s">
        <v>1057</v>
      </c>
      <c r="C1329" s="57" t="s">
        <v>1324</v>
      </c>
      <c r="D1329" s="59" t="s">
        <v>2181</v>
      </c>
      <c r="E1329" s="59" t="s">
        <v>2185</v>
      </c>
      <c r="F1329" s="59" t="str">
        <f>VLOOKUP(E1329,[1]库存!$B$1:$C$65536,2,FALSE)</f>
        <v>SQHB-C FAB RH B状态</v>
      </c>
      <c r="G1329" s="59" t="s">
        <v>2186</v>
      </c>
      <c r="H1329" s="59" t="s">
        <v>2187</v>
      </c>
      <c r="I1329" s="59" t="s">
        <v>1188</v>
      </c>
      <c r="J1329" s="80" t="s">
        <v>65</v>
      </c>
      <c r="K1329" s="61"/>
      <c r="L1329" s="62">
        <v>2</v>
      </c>
      <c r="M1329" s="63">
        <v>1200</v>
      </c>
      <c r="N1329" s="64">
        <v>16</v>
      </c>
      <c r="O1329" s="62">
        <v>2</v>
      </c>
      <c r="P1329" s="65">
        <f t="shared" si="80"/>
        <v>0</v>
      </c>
      <c r="Q1329" s="66"/>
      <c r="R1329" s="66"/>
      <c r="S1329" s="66"/>
      <c r="T1329" s="66"/>
      <c r="U1329" s="66"/>
      <c r="V1329" s="66"/>
      <c r="W1329" s="66"/>
      <c r="X1329" s="66"/>
      <c r="Y1329" s="66"/>
      <c r="Z1329" s="66"/>
      <c r="AA1329" s="66"/>
      <c r="AB1329" s="66"/>
      <c r="AC1329" s="66"/>
      <c r="AD1329" s="66"/>
      <c r="AE1329" s="66"/>
      <c r="AF1329" s="66"/>
      <c r="AG1329" s="66"/>
      <c r="AH1329" s="66"/>
      <c r="AI1329" s="66"/>
      <c r="AJ1329" s="66"/>
      <c r="AK1329" s="66"/>
      <c r="AL1329" s="66"/>
      <c r="AM1329" s="66"/>
      <c r="AN1329" s="66"/>
      <c r="AO1329" s="66"/>
      <c r="AP1329" s="66"/>
      <c r="AQ1329" s="66"/>
      <c r="AR1329" s="66"/>
      <c r="AS1329" s="66"/>
      <c r="AT1329" s="66"/>
      <c r="AU1329" s="66"/>
      <c r="AV1329" s="66"/>
      <c r="AW1329" s="66"/>
      <c r="AX1329" s="66"/>
      <c r="AY1329" s="66"/>
      <c r="AZ1329" s="66"/>
      <c r="BA1329" s="66"/>
      <c r="BB1329" s="66"/>
      <c r="BC1329" s="66"/>
      <c r="BD1329" s="66"/>
      <c r="BE1329" s="67"/>
      <c r="BF1329" s="67"/>
      <c r="BG1329" s="68"/>
      <c r="BI1329" s="69">
        <v>0</v>
      </c>
      <c r="BJ1329" s="70">
        <v>0</v>
      </c>
      <c r="BK1329" s="71">
        <v>0</v>
      </c>
      <c r="BL1329" s="71">
        <v>0</v>
      </c>
      <c r="BM1329" s="71">
        <v>0</v>
      </c>
      <c r="BN1329" s="72">
        <v>0</v>
      </c>
      <c r="BO1329" s="151" t="e">
        <f t="shared" si="81"/>
        <v>#DIV/0!</v>
      </c>
      <c r="BP1329" s="151" t="e">
        <f t="shared" si="82"/>
        <v>#DIV/0!</v>
      </c>
      <c r="BQ1329" s="71">
        <v>0</v>
      </c>
      <c r="BR1329" s="71">
        <v>0</v>
      </c>
      <c r="BS1329" s="71">
        <v>0</v>
      </c>
      <c r="BT1329" s="72">
        <v>0</v>
      </c>
      <c r="BU1329" s="73"/>
      <c r="BV1329" s="73"/>
    </row>
    <row r="1330" ht="30" customHeight="1" spans="1:74">
      <c r="A1330" s="55">
        <v>0</v>
      </c>
      <c r="B1330" s="56">
        <v>0</v>
      </c>
      <c r="C1330" s="57">
        <v>0</v>
      </c>
      <c r="D1330" s="74"/>
      <c r="E1330" s="74"/>
      <c r="F1330" s="59" t="e">
        <f>VLOOKUP(E1330,[1]库存!$B$1:$C$65536,2,FALSE)</f>
        <v>#N/A</v>
      </c>
      <c r="G1330" s="59" t="e">
        <v>#N/A</v>
      </c>
      <c r="H1330" s="74"/>
      <c r="I1330" s="74"/>
      <c r="J1330" s="81"/>
      <c r="K1330" s="61"/>
      <c r="L1330" s="62">
        <v>0</v>
      </c>
      <c r="M1330" s="63">
        <v>0</v>
      </c>
      <c r="N1330" s="64">
        <v>0</v>
      </c>
      <c r="O1330" s="62">
        <v>0</v>
      </c>
      <c r="P1330" s="65">
        <f t="shared" si="80"/>
        <v>0</v>
      </c>
      <c r="Q1330" s="66"/>
      <c r="R1330" s="66"/>
      <c r="S1330" s="66"/>
      <c r="T1330" s="66"/>
      <c r="U1330" s="66"/>
      <c r="V1330" s="66"/>
      <c r="W1330" s="66"/>
      <c r="X1330" s="66"/>
      <c r="Y1330" s="66"/>
      <c r="Z1330" s="66"/>
      <c r="AA1330" s="66"/>
      <c r="AB1330" s="66"/>
      <c r="AC1330" s="66"/>
      <c r="AD1330" s="66"/>
      <c r="AE1330" s="66"/>
      <c r="AF1330" s="66"/>
      <c r="AG1330" s="66"/>
      <c r="AH1330" s="66"/>
      <c r="AI1330" s="66"/>
      <c r="AJ1330" s="66"/>
      <c r="AK1330" s="66"/>
      <c r="AL1330" s="66"/>
      <c r="AM1330" s="66"/>
      <c r="AN1330" s="66"/>
      <c r="AO1330" s="66"/>
      <c r="AP1330" s="66"/>
      <c r="AQ1330" s="66"/>
      <c r="AR1330" s="66"/>
      <c r="AS1330" s="66"/>
      <c r="AT1330" s="66"/>
      <c r="AU1330" s="66"/>
      <c r="AV1330" s="66"/>
      <c r="AW1330" s="66"/>
      <c r="AX1330" s="66"/>
      <c r="AY1330" s="66"/>
      <c r="AZ1330" s="66"/>
      <c r="BA1330" s="66"/>
      <c r="BB1330" s="66"/>
      <c r="BC1330" s="66"/>
      <c r="BD1330" s="66"/>
      <c r="BE1330" s="67"/>
      <c r="BF1330" s="67"/>
      <c r="BG1330" s="68"/>
      <c r="BI1330" s="69">
        <v>0</v>
      </c>
      <c r="BJ1330" s="70">
        <v>0</v>
      </c>
      <c r="BK1330" s="71">
        <v>0</v>
      </c>
      <c r="BL1330" s="71">
        <v>0</v>
      </c>
      <c r="BM1330" s="71">
        <v>0</v>
      </c>
      <c r="BN1330" s="72">
        <v>0</v>
      </c>
      <c r="BO1330" s="151" t="e">
        <f t="shared" si="81"/>
        <v>#DIV/0!</v>
      </c>
      <c r="BP1330" s="151" t="e">
        <f t="shared" si="82"/>
        <v>#DIV/0!</v>
      </c>
      <c r="BQ1330" s="71">
        <v>0</v>
      </c>
      <c r="BR1330" s="71">
        <v>0</v>
      </c>
      <c r="BS1330" s="71">
        <v>0</v>
      </c>
      <c r="BT1330" s="72">
        <v>0</v>
      </c>
      <c r="BU1330" s="73"/>
      <c r="BV1330" s="73"/>
    </row>
    <row r="1331" ht="30" customHeight="1" spans="1:74">
      <c r="A1331" s="55" t="s">
        <v>211</v>
      </c>
      <c r="B1331" s="56" t="s">
        <v>1057</v>
      </c>
      <c r="C1331" s="57" t="s">
        <v>1324</v>
      </c>
      <c r="D1331" s="59" t="s">
        <v>2181</v>
      </c>
      <c r="E1331" s="59" t="s">
        <v>2188</v>
      </c>
      <c r="F1331" s="59" t="str">
        <f>VLOOKUP(E1331,[1]库存!$B$1:$C$65536,2,FALSE)</f>
        <v>SHHA FAB LH</v>
      </c>
      <c r="G1331" s="59" t="s">
        <v>2189</v>
      </c>
      <c r="H1331" s="59" t="s">
        <v>2190</v>
      </c>
      <c r="I1331" s="59" t="s">
        <v>2191</v>
      </c>
      <c r="J1331" s="159"/>
      <c r="K1331" s="61"/>
      <c r="L1331" s="62">
        <v>2</v>
      </c>
      <c r="M1331" s="63">
        <v>1100</v>
      </c>
      <c r="N1331" s="64">
        <v>14</v>
      </c>
      <c r="O1331" s="62">
        <v>2</v>
      </c>
      <c r="P1331" s="65">
        <f t="shared" si="80"/>
        <v>0</v>
      </c>
      <c r="Q1331" s="66"/>
      <c r="R1331" s="66"/>
      <c r="S1331" s="66"/>
      <c r="T1331" s="66"/>
      <c r="U1331" s="66"/>
      <c r="V1331" s="66"/>
      <c r="W1331" s="66"/>
      <c r="X1331" s="66"/>
      <c r="Y1331" s="66"/>
      <c r="Z1331" s="66"/>
      <c r="AA1331" s="66"/>
      <c r="AB1331" s="66"/>
      <c r="AC1331" s="66"/>
      <c r="AD1331" s="66"/>
      <c r="AE1331" s="66"/>
      <c r="AF1331" s="66"/>
      <c r="AG1331" s="66"/>
      <c r="AH1331" s="66"/>
      <c r="AI1331" s="66"/>
      <c r="AJ1331" s="66"/>
      <c r="AK1331" s="66"/>
      <c r="AL1331" s="66"/>
      <c r="AM1331" s="66"/>
      <c r="AN1331" s="66"/>
      <c r="AO1331" s="66"/>
      <c r="AP1331" s="66"/>
      <c r="AQ1331" s="66"/>
      <c r="AR1331" s="66"/>
      <c r="AS1331" s="66"/>
      <c r="AT1331" s="66"/>
      <c r="AU1331" s="66"/>
      <c r="AV1331" s="66"/>
      <c r="AW1331" s="66"/>
      <c r="AX1331" s="66"/>
      <c r="AY1331" s="66"/>
      <c r="AZ1331" s="66"/>
      <c r="BA1331" s="66"/>
      <c r="BB1331" s="66"/>
      <c r="BC1331" s="66"/>
      <c r="BD1331" s="66"/>
      <c r="BE1331" s="67"/>
      <c r="BF1331" s="67"/>
      <c r="BG1331" s="68"/>
      <c r="BI1331" s="69">
        <v>0</v>
      </c>
      <c r="BJ1331" s="70">
        <v>0</v>
      </c>
      <c r="BK1331" s="71">
        <v>0</v>
      </c>
      <c r="BL1331" s="71">
        <v>0</v>
      </c>
      <c r="BM1331" s="71">
        <v>0</v>
      </c>
      <c r="BN1331" s="72">
        <v>0</v>
      </c>
      <c r="BO1331" s="151" t="e">
        <f t="shared" si="81"/>
        <v>#DIV/0!</v>
      </c>
      <c r="BP1331" s="151" t="e">
        <f t="shared" si="82"/>
        <v>#DIV/0!</v>
      </c>
      <c r="BQ1331" s="71">
        <v>0</v>
      </c>
      <c r="BR1331" s="71">
        <v>0</v>
      </c>
      <c r="BS1331" s="71">
        <v>0</v>
      </c>
      <c r="BT1331" s="72">
        <v>0</v>
      </c>
      <c r="BU1331" s="73"/>
      <c r="BV1331" s="73"/>
    </row>
    <row r="1332" ht="30" customHeight="1" spans="1:74">
      <c r="A1332" s="55">
        <v>0</v>
      </c>
      <c r="B1332" s="56">
        <v>0</v>
      </c>
      <c r="C1332" s="57">
        <v>0</v>
      </c>
      <c r="D1332" s="74"/>
      <c r="E1332" s="74"/>
      <c r="F1332" s="59" t="e">
        <f>VLOOKUP(E1332,[1]库存!$B$1:$C$65536,2,FALSE)</f>
        <v>#N/A</v>
      </c>
      <c r="G1332" s="59" t="e">
        <v>#N/A</v>
      </c>
      <c r="H1332" s="74"/>
      <c r="I1332" s="74"/>
      <c r="J1332" s="160"/>
      <c r="K1332" s="61"/>
      <c r="L1332" s="62">
        <v>0</v>
      </c>
      <c r="M1332" s="63">
        <v>0</v>
      </c>
      <c r="N1332" s="64">
        <v>0</v>
      </c>
      <c r="O1332" s="62">
        <v>0</v>
      </c>
      <c r="P1332" s="65">
        <f t="shared" si="80"/>
        <v>0</v>
      </c>
      <c r="Q1332" s="66"/>
      <c r="R1332" s="66"/>
      <c r="S1332" s="66"/>
      <c r="T1332" s="66"/>
      <c r="U1332" s="66"/>
      <c r="V1332" s="66"/>
      <c r="W1332" s="66"/>
      <c r="X1332" s="66"/>
      <c r="Y1332" s="66"/>
      <c r="Z1332" s="66"/>
      <c r="AA1332" s="66"/>
      <c r="AB1332" s="66"/>
      <c r="AC1332" s="66"/>
      <c r="AD1332" s="66"/>
      <c r="AE1332" s="66"/>
      <c r="AF1332" s="66"/>
      <c r="AG1332" s="66"/>
      <c r="AH1332" s="66"/>
      <c r="AI1332" s="66"/>
      <c r="AJ1332" s="66"/>
      <c r="AK1332" s="66"/>
      <c r="AL1332" s="66"/>
      <c r="AM1332" s="66"/>
      <c r="AN1332" s="66"/>
      <c r="AO1332" s="66"/>
      <c r="AP1332" s="66"/>
      <c r="AQ1332" s="66"/>
      <c r="AR1332" s="66"/>
      <c r="AS1332" s="66"/>
      <c r="AT1332" s="66"/>
      <c r="AU1332" s="66"/>
      <c r="AV1332" s="66"/>
      <c r="AW1332" s="66"/>
      <c r="AX1332" s="66"/>
      <c r="AY1332" s="66"/>
      <c r="AZ1332" s="66"/>
      <c r="BA1332" s="66"/>
      <c r="BB1332" s="66"/>
      <c r="BC1332" s="66"/>
      <c r="BD1332" s="66"/>
      <c r="BE1332" s="67"/>
      <c r="BF1332" s="67"/>
      <c r="BG1332" s="68"/>
      <c r="BI1332" s="69">
        <v>0</v>
      </c>
      <c r="BJ1332" s="70">
        <v>0</v>
      </c>
      <c r="BK1332" s="71">
        <v>0</v>
      </c>
      <c r="BL1332" s="71">
        <v>0</v>
      </c>
      <c r="BM1332" s="71">
        <v>0</v>
      </c>
      <c r="BN1332" s="72">
        <v>0</v>
      </c>
      <c r="BO1332" s="151" t="e">
        <f t="shared" si="81"/>
        <v>#DIV/0!</v>
      </c>
      <c r="BP1332" s="151" t="e">
        <f t="shared" si="82"/>
        <v>#DIV/0!</v>
      </c>
      <c r="BQ1332" s="71">
        <v>0</v>
      </c>
      <c r="BR1332" s="71">
        <v>0</v>
      </c>
      <c r="BS1332" s="71">
        <v>0</v>
      </c>
      <c r="BT1332" s="72">
        <v>0</v>
      </c>
      <c r="BU1332" s="73"/>
      <c r="BV1332" s="73"/>
    </row>
    <row r="1333" ht="30" customHeight="1" spans="1:74">
      <c r="A1333" s="55" t="s">
        <v>211</v>
      </c>
      <c r="B1333" s="56" t="s">
        <v>1057</v>
      </c>
      <c r="C1333" s="57" t="s">
        <v>1324</v>
      </c>
      <c r="D1333" s="59" t="s">
        <v>2181</v>
      </c>
      <c r="E1333" s="59" t="s">
        <v>2192</v>
      </c>
      <c r="F1333" s="59" t="str">
        <f>VLOOKUP(E1333,[1]库存!$B$1:$C$65536,2,FALSE)</f>
        <v>SHHA FAB RH</v>
      </c>
      <c r="G1333" s="59" t="s">
        <v>2193</v>
      </c>
      <c r="H1333" s="59" t="s">
        <v>2194</v>
      </c>
      <c r="I1333" s="59" t="s">
        <v>2191</v>
      </c>
      <c r="J1333" s="80" t="s">
        <v>65</v>
      </c>
      <c r="K1333" s="61"/>
      <c r="L1333" s="62">
        <v>2</v>
      </c>
      <c r="M1333" s="63">
        <v>1100</v>
      </c>
      <c r="N1333" s="64">
        <v>14</v>
      </c>
      <c r="O1333" s="62">
        <v>2</v>
      </c>
      <c r="P1333" s="65">
        <f t="shared" si="80"/>
        <v>0</v>
      </c>
      <c r="Q1333" s="66"/>
      <c r="R1333" s="66"/>
      <c r="S1333" s="66"/>
      <c r="T1333" s="66"/>
      <c r="U1333" s="66"/>
      <c r="V1333" s="66"/>
      <c r="W1333" s="66"/>
      <c r="X1333" s="66"/>
      <c r="Y1333" s="66"/>
      <c r="Z1333" s="66"/>
      <c r="AA1333" s="66"/>
      <c r="AB1333" s="66"/>
      <c r="AC1333" s="66"/>
      <c r="AD1333" s="66"/>
      <c r="AE1333" s="66"/>
      <c r="AF1333" s="66"/>
      <c r="AG1333" s="66"/>
      <c r="AH1333" s="66"/>
      <c r="AI1333" s="66"/>
      <c r="AJ1333" s="66"/>
      <c r="AK1333" s="66"/>
      <c r="AL1333" s="66"/>
      <c r="AM1333" s="66"/>
      <c r="AN1333" s="66"/>
      <c r="AO1333" s="66"/>
      <c r="AP1333" s="66"/>
      <c r="AQ1333" s="66"/>
      <c r="AR1333" s="66"/>
      <c r="AS1333" s="66"/>
      <c r="AT1333" s="66"/>
      <c r="AU1333" s="66"/>
      <c r="AV1333" s="66"/>
      <c r="AW1333" s="66"/>
      <c r="AX1333" s="66"/>
      <c r="AY1333" s="66"/>
      <c r="AZ1333" s="66"/>
      <c r="BA1333" s="66"/>
      <c r="BB1333" s="66"/>
      <c r="BC1333" s="66"/>
      <c r="BD1333" s="66"/>
      <c r="BE1333" s="67"/>
      <c r="BF1333" s="67"/>
      <c r="BG1333" s="68"/>
      <c r="BI1333" s="69">
        <v>0</v>
      </c>
      <c r="BJ1333" s="70">
        <v>0</v>
      </c>
      <c r="BK1333" s="71">
        <v>0</v>
      </c>
      <c r="BL1333" s="71">
        <v>0</v>
      </c>
      <c r="BM1333" s="71">
        <v>0</v>
      </c>
      <c r="BN1333" s="72">
        <v>0</v>
      </c>
      <c r="BO1333" s="151" t="e">
        <f t="shared" si="81"/>
        <v>#DIV/0!</v>
      </c>
      <c r="BP1333" s="151" t="e">
        <f t="shared" si="82"/>
        <v>#DIV/0!</v>
      </c>
      <c r="BQ1333" s="71">
        <v>0</v>
      </c>
      <c r="BR1333" s="71">
        <v>0</v>
      </c>
      <c r="BS1333" s="71">
        <v>0</v>
      </c>
      <c r="BT1333" s="72">
        <v>0</v>
      </c>
      <c r="BU1333" s="73"/>
      <c r="BV1333" s="73"/>
    </row>
    <row r="1334" ht="30" customHeight="1" spans="1:74">
      <c r="A1334" s="55">
        <v>0</v>
      </c>
      <c r="B1334" s="56">
        <v>0</v>
      </c>
      <c r="C1334" s="57">
        <v>0</v>
      </c>
      <c r="D1334" s="74"/>
      <c r="E1334" s="74"/>
      <c r="F1334" s="59" t="e">
        <f>VLOOKUP(E1334,[1]库存!$B$1:$C$65536,2,FALSE)</f>
        <v>#N/A</v>
      </c>
      <c r="G1334" s="59" t="e">
        <v>#N/A</v>
      </c>
      <c r="H1334" s="74"/>
      <c r="I1334" s="74"/>
      <c r="J1334" s="81"/>
      <c r="K1334" s="61"/>
      <c r="L1334" s="62">
        <v>0</v>
      </c>
      <c r="M1334" s="63">
        <v>0</v>
      </c>
      <c r="N1334" s="64">
        <v>0</v>
      </c>
      <c r="O1334" s="62">
        <v>0</v>
      </c>
      <c r="P1334" s="65">
        <f t="shared" si="80"/>
        <v>0</v>
      </c>
      <c r="Q1334" s="66"/>
      <c r="R1334" s="66"/>
      <c r="S1334" s="66"/>
      <c r="T1334" s="66"/>
      <c r="U1334" s="66"/>
      <c r="V1334" s="66"/>
      <c r="W1334" s="66"/>
      <c r="X1334" s="66"/>
      <c r="Y1334" s="66"/>
      <c r="Z1334" s="66"/>
      <c r="AA1334" s="66"/>
      <c r="AB1334" s="66"/>
      <c r="AC1334" s="66"/>
      <c r="AD1334" s="66"/>
      <c r="AE1334" s="66"/>
      <c r="AF1334" s="66"/>
      <c r="AG1334" s="66"/>
      <c r="AH1334" s="66"/>
      <c r="AI1334" s="66"/>
      <c r="AJ1334" s="66"/>
      <c r="AK1334" s="66"/>
      <c r="AL1334" s="66"/>
      <c r="AM1334" s="66"/>
      <c r="AN1334" s="66"/>
      <c r="AO1334" s="66"/>
      <c r="AP1334" s="66"/>
      <c r="AQ1334" s="66"/>
      <c r="AR1334" s="66"/>
      <c r="AS1334" s="66"/>
      <c r="AT1334" s="66"/>
      <c r="AU1334" s="66"/>
      <c r="AV1334" s="66"/>
      <c r="AW1334" s="66"/>
      <c r="AX1334" s="66"/>
      <c r="AY1334" s="66"/>
      <c r="AZ1334" s="66"/>
      <c r="BA1334" s="66"/>
      <c r="BB1334" s="66"/>
      <c r="BC1334" s="66"/>
      <c r="BD1334" s="66"/>
      <c r="BE1334" s="67"/>
      <c r="BF1334" s="67"/>
      <c r="BG1334" s="68"/>
      <c r="BI1334" s="69">
        <v>0</v>
      </c>
      <c r="BJ1334" s="70">
        <v>0</v>
      </c>
      <c r="BK1334" s="71">
        <v>0</v>
      </c>
      <c r="BL1334" s="71">
        <v>0</v>
      </c>
      <c r="BM1334" s="71">
        <v>0</v>
      </c>
      <c r="BN1334" s="72">
        <v>0</v>
      </c>
      <c r="BO1334" s="151" t="e">
        <f t="shared" si="81"/>
        <v>#DIV/0!</v>
      </c>
      <c r="BP1334" s="151" t="e">
        <f t="shared" si="82"/>
        <v>#DIV/0!</v>
      </c>
      <c r="BQ1334" s="71">
        <v>0</v>
      </c>
      <c r="BR1334" s="71">
        <v>0</v>
      </c>
      <c r="BS1334" s="71">
        <v>0</v>
      </c>
      <c r="BT1334" s="72">
        <v>0</v>
      </c>
      <c r="BU1334" s="73"/>
      <c r="BV1334" s="73"/>
    </row>
    <row r="1335" ht="30" customHeight="1" spans="1:74">
      <c r="A1335" s="55">
        <v>0</v>
      </c>
      <c r="B1335" s="56" t="s">
        <v>1057</v>
      </c>
      <c r="C1335" s="57" t="s">
        <v>1324</v>
      </c>
      <c r="D1335" s="59" t="s">
        <v>2181</v>
      </c>
      <c r="E1335" s="59" t="s">
        <v>2195</v>
      </c>
      <c r="F1335" s="59" t="str">
        <f>VLOOKUP(E1335,[1]库存!$B$1:$C$65536,2,FALSE)</f>
        <v>SQHB-A FAB LH C状态</v>
      </c>
      <c r="G1335" s="59" t="s">
        <v>2196</v>
      </c>
      <c r="H1335" s="59" t="s">
        <v>2197</v>
      </c>
      <c r="I1335" s="59" t="s">
        <v>1174</v>
      </c>
      <c r="J1335" s="159"/>
      <c r="K1335" s="61"/>
      <c r="L1335" s="62">
        <v>2</v>
      </c>
      <c r="M1335" s="63">
        <v>1200</v>
      </c>
      <c r="N1335" s="64">
        <v>15</v>
      </c>
      <c r="O1335" s="62">
        <v>2</v>
      </c>
      <c r="P1335" s="65">
        <f t="shared" si="80"/>
        <v>0</v>
      </c>
      <c r="Q1335" s="66">
        <v>1350</v>
      </c>
      <c r="R1335" s="66">
        <v>1450</v>
      </c>
      <c r="S1335" s="66">
        <v>900</v>
      </c>
      <c r="T1335" s="66">
        <v>1450</v>
      </c>
      <c r="U1335" s="66">
        <v>800</v>
      </c>
      <c r="V1335" s="66">
        <v>1450</v>
      </c>
      <c r="W1335" s="66">
        <v>1350</v>
      </c>
      <c r="X1335" s="66">
        <v>1450</v>
      </c>
      <c r="Y1335" s="66">
        <v>1350</v>
      </c>
      <c r="Z1335" s="66">
        <v>1450</v>
      </c>
      <c r="AA1335" s="66">
        <v>1400</v>
      </c>
      <c r="AB1335" s="66">
        <v>1400</v>
      </c>
      <c r="AC1335" s="66">
        <v>1400</v>
      </c>
      <c r="AD1335" s="66">
        <v>1400</v>
      </c>
      <c r="AE1335" s="66"/>
      <c r="AF1335" s="66"/>
      <c r="AG1335" s="66"/>
      <c r="AH1335" s="66"/>
      <c r="AI1335" s="66"/>
      <c r="AJ1335" s="66"/>
      <c r="AK1335" s="66"/>
      <c r="AL1335" s="66"/>
      <c r="AM1335" s="66"/>
      <c r="AN1335" s="66"/>
      <c r="AO1335" s="66"/>
      <c r="AP1335" s="66"/>
      <c r="AQ1335" s="66"/>
      <c r="AR1335" s="66"/>
      <c r="AS1335" s="66"/>
      <c r="AT1335" s="66"/>
      <c r="AU1335" s="66"/>
      <c r="AV1335" s="66"/>
      <c r="AW1335" s="66"/>
      <c r="AX1335" s="66"/>
      <c r="AY1335" s="66"/>
      <c r="AZ1335" s="66"/>
      <c r="BA1335" s="66"/>
      <c r="BB1335" s="66"/>
      <c r="BC1335" s="66"/>
      <c r="BD1335" s="66"/>
      <c r="BE1335" s="67"/>
      <c r="BF1335" s="67"/>
      <c r="BG1335" s="68"/>
      <c r="BI1335" s="69">
        <v>0</v>
      </c>
      <c r="BJ1335" s="70">
        <v>0</v>
      </c>
      <c r="BK1335" s="71">
        <v>0</v>
      </c>
      <c r="BL1335" s="71">
        <v>0</v>
      </c>
      <c r="BM1335" s="71">
        <v>0</v>
      </c>
      <c r="BN1335" s="72">
        <v>0</v>
      </c>
      <c r="BO1335" s="151" t="e">
        <f t="shared" si="81"/>
        <v>#DIV/0!</v>
      </c>
      <c r="BP1335" s="151" t="e">
        <f t="shared" si="82"/>
        <v>#DIV/0!</v>
      </c>
      <c r="BQ1335" s="71">
        <v>0</v>
      </c>
      <c r="BR1335" s="71">
        <v>0</v>
      </c>
      <c r="BS1335" s="71">
        <v>0</v>
      </c>
      <c r="BT1335" s="72">
        <v>0</v>
      </c>
      <c r="BU1335" s="73"/>
      <c r="BV1335" s="73"/>
    </row>
    <row r="1336" ht="30" customHeight="1" spans="1:74">
      <c r="A1336" s="55">
        <v>0</v>
      </c>
      <c r="B1336" s="56">
        <v>0</v>
      </c>
      <c r="C1336" s="57">
        <v>0</v>
      </c>
      <c r="D1336" s="74"/>
      <c r="E1336" s="74"/>
      <c r="F1336" s="59" t="e">
        <f>VLOOKUP(E1336,[1]库存!$B$1:$C$65536,2,FALSE)</f>
        <v>#N/A</v>
      </c>
      <c r="G1336" s="59" t="e">
        <v>#N/A</v>
      </c>
      <c r="H1336" s="74"/>
      <c r="I1336" s="74"/>
      <c r="J1336" s="160"/>
      <c r="K1336" s="61"/>
      <c r="L1336" s="62">
        <v>0</v>
      </c>
      <c r="M1336" s="63">
        <v>0</v>
      </c>
      <c r="N1336" s="64">
        <v>0</v>
      </c>
      <c r="O1336" s="62">
        <v>0</v>
      </c>
      <c r="P1336" s="65">
        <f t="shared" si="80"/>
        <v>0</v>
      </c>
      <c r="Q1336" s="66">
        <v>1201</v>
      </c>
      <c r="R1336" s="66">
        <v>1457</v>
      </c>
      <c r="S1336" s="66">
        <v>910</v>
      </c>
      <c r="T1336" s="66">
        <v>1455</v>
      </c>
      <c r="U1336" s="66">
        <v>814</v>
      </c>
      <c r="V1336" s="66">
        <v>1457</v>
      </c>
      <c r="W1336" s="66">
        <v>1397</v>
      </c>
      <c r="X1336" s="66">
        <v>1454</v>
      </c>
      <c r="Y1336" s="66">
        <v>1401</v>
      </c>
      <c r="Z1336" s="66">
        <v>1462</v>
      </c>
      <c r="AA1336" s="66">
        <v>1401</v>
      </c>
      <c r="AB1336" s="66">
        <v>1457</v>
      </c>
      <c r="AC1336" s="66">
        <v>1374</v>
      </c>
      <c r="AD1336" s="66">
        <v>1451</v>
      </c>
      <c r="AE1336" s="66"/>
      <c r="AF1336" s="66"/>
      <c r="AG1336" s="66"/>
      <c r="AH1336" s="66"/>
      <c r="AI1336" s="66"/>
      <c r="AJ1336" s="66"/>
      <c r="AK1336" s="66"/>
      <c r="AL1336" s="66"/>
      <c r="AM1336" s="66"/>
      <c r="AN1336" s="66"/>
      <c r="AO1336" s="66"/>
      <c r="AP1336" s="66"/>
      <c r="AQ1336" s="66"/>
      <c r="AR1336" s="66"/>
      <c r="AS1336" s="66"/>
      <c r="AT1336" s="66"/>
      <c r="AU1336" s="66"/>
      <c r="AV1336" s="66"/>
      <c r="AW1336" s="66"/>
      <c r="AX1336" s="66"/>
      <c r="AY1336" s="66"/>
      <c r="AZ1336" s="66"/>
      <c r="BA1336" s="66"/>
      <c r="BB1336" s="66"/>
      <c r="BC1336" s="66"/>
      <c r="BD1336" s="66"/>
      <c r="BE1336" s="67"/>
      <c r="BF1336" s="67"/>
      <c r="BG1336" s="68"/>
      <c r="BI1336" s="69">
        <v>0</v>
      </c>
      <c r="BJ1336" s="70">
        <v>0</v>
      </c>
      <c r="BK1336" s="71">
        <v>0</v>
      </c>
      <c r="BL1336" s="71">
        <v>0</v>
      </c>
      <c r="BM1336" s="71">
        <v>0</v>
      </c>
      <c r="BN1336" s="72">
        <v>0</v>
      </c>
      <c r="BO1336" s="151" t="e">
        <f t="shared" si="81"/>
        <v>#DIV/0!</v>
      </c>
      <c r="BP1336" s="151" t="e">
        <f t="shared" si="82"/>
        <v>#DIV/0!</v>
      </c>
      <c r="BQ1336" s="71">
        <v>0</v>
      </c>
      <c r="BR1336" s="71">
        <v>0</v>
      </c>
      <c r="BS1336" s="71">
        <v>0</v>
      </c>
      <c r="BT1336" s="72">
        <v>0</v>
      </c>
      <c r="BU1336" s="73"/>
      <c r="BV1336" s="73"/>
    </row>
    <row r="1337" ht="30" customHeight="1" spans="1:74">
      <c r="A1337" s="55" t="s">
        <v>211</v>
      </c>
      <c r="B1337" s="56" t="s">
        <v>1057</v>
      </c>
      <c r="C1337" s="57" t="s">
        <v>1324</v>
      </c>
      <c r="D1337" s="59" t="s">
        <v>2181</v>
      </c>
      <c r="E1337" s="59" t="s">
        <v>2198</v>
      </c>
      <c r="F1337" s="59" t="str">
        <f>VLOOKUP(E1337,[1]库存!$B$1:$C$65536,2,FALSE)</f>
        <v>SQHB-A FAB RH C状态</v>
      </c>
      <c r="G1337" s="59" t="s">
        <v>2199</v>
      </c>
      <c r="H1337" s="59" t="s">
        <v>2200</v>
      </c>
      <c r="I1337" s="59" t="s">
        <v>1174</v>
      </c>
      <c r="J1337" s="80" t="s">
        <v>65</v>
      </c>
      <c r="K1337" s="61"/>
      <c r="L1337" s="62">
        <v>2</v>
      </c>
      <c r="M1337" s="63">
        <v>800</v>
      </c>
      <c r="N1337" s="64">
        <v>15</v>
      </c>
      <c r="O1337" s="62">
        <v>2</v>
      </c>
      <c r="P1337" s="65">
        <f t="shared" si="80"/>
        <v>0</v>
      </c>
      <c r="Q1337" s="66"/>
      <c r="R1337" s="67"/>
      <c r="S1337" s="66"/>
      <c r="T1337" s="67"/>
      <c r="U1337" s="66"/>
      <c r="V1337" s="67"/>
      <c r="W1337" s="66"/>
      <c r="X1337" s="67"/>
      <c r="Y1337" s="66"/>
      <c r="Z1337" s="67"/>
      <c r="AA1337" s="66"/>
      <c r="AB1337" s="67"/>
      <c r="AC1337" s="66"/>
      <c r="AD1337" s="67"/>
      <c r="AE1337" s="66"/>
      <c r="AF1337" s="67"/>
      <c r="AG1337" s="66"/>
      <c r="AH1337" s="67"/>
      <c r="AI1337" s="66"/>
      <c r="AJ1337" s="67"/>
      <c r="AK1337" s="66"/>
      <c r="AL1337" s="67"/>
      <c r="AM1337" s="66"/>
      <c r="AN1337" s="67"/>
      <c r="AO1337" s="66"/>
      <c r="AP1337" s="67"/>
      <c r="AQ1337" s="66"/>
      <c r="AR1337" s="67"/>
      <c r="AS1337" s="66"/>
      <c r="AT1337" s="67"/>
      <c r="AU1337" s="66"/>
      <c r="AV1337" s="67"/>
      <c r="AW1337" s="66"/>
      <c r="AX1337" s="67"/>
      <c r="AY1337" s="66"/>
      <c r="AZ1337" s="67"/>
      <c r="BA1337" s="66"/>
      <c r="BB1337" s="67"/>
      <c r="BC1337" s="66"/>
      <c r="BD1337" s="67"/>
      <c r="BE1337" s="67"/>
      <c r="BF1337" s="67"/>
      <c r="BG1337" s="68"/>
      <c r="BI1337" s="69">
        <v>0</v>
      </c>
      <c r="BJ1337" s="70">
        <v>0</v>
      </c>
      <c r="BK1337" s="71">
        <v>0</v>
      </c>
      <c r="BL1337" s="71">
        <v>0</v>
      </c>
      <c r="BM1337" s="71">
        <v>0</v>
      </c>
      <c r="BN1337" s="72">
        <v>0</v>
      </c>
      <c r="BO1337" s="151" t="e">
        <f t="shared" si="81"/>
        <v>#DIV/0!</v>
      </c>
      <c r="BP1337" s="151" t="e">
        <f t="shared" si="82"/>
        <v>#DIV/0!</v>
      </c>
      <c r="BQ1337" s="71">
        <v>0</v>
      </c>
      <c r="BR1337" s="71">
        <v>0</v>
      </c>
      <c r="BS1337" s="71">
        <v>0</v>
      </c>
      <c r="BT1337" s="72">
        <v>0</v>
      </c>
      <c r="BU1337" s="73"/>
      <c r="BV1337" s="73"/>
    </row>
    <row r="1338" ht="30" customHeight="1" spans="1:74">
      <c r="A1338" s="55">
        <v>0</v>
      </c>
      <c r="B1338" s="56">
        <v>0</v>
      </c>
      <c r="C1338" s="57">
        <v>0</v>
      </c>
      <c r="D1338" s="74"/>
      <c r="E1338" s="74"/>
      <c r="F1338" s="59" t="e">
        <f>VLOOKUP(E1338,[1]库存!$B$1:$C$65536,2,FALSE)</f>
        <v>#N/A</v>
      </c>
      <c r="G1338" s="59" t="e">
        <v>#N/A</v>
      </c>
      <c r="H1338" s="74"/>
      <c r="I1338" s="74"/>
      <c r="J1338" s="81"/>
      <c r="K1338" s="61"/>
      <c r="L1338" s="62">
        <v>0</v>
      </c>
      <c r="M1338" s="63">
        <v>0</v>
      </c>
      <c r="N1338" s="64">
        <v>0</v>
      </c>
      <c r="O1338" s="62">
        <v>0</v>
      </c>
      <c r="P1338" s="65">
        <f t="shared" si="80"/>
        <v>0</v>
      </c>
      <c r="Q1338" s="66"/>
      <c r="R1338" s="66"/>
      <c r="S1338" s="66"/>
      <c r="T1338" s="66"/>
      <c r="U1338" s="66"/>
      <c r="V1338" s="66"/>
      <c r="W1338" s="66"/>
      <c r="X1338" s="66"/>
      <c r="Y1338" s="66"/>
      <c r="Z1338" s="66"/>
      <c r="AA1338" s="66"/>
      <c r="AB1338" s="66"/>
      <c r="AC1338" s="66"/>
      <c r="AD1338" s="66"/>
      <c r="AE1338" s="66"/>
      <c r="AF1338" s="66"/>
      <c r="AG1338" s="66"/>
      <c r="AH1338" s="66"/>
      <c r="AI1338" s="66"/>
      <c r="AJ1338" s="66"/>
      <c r="AK1338" s="66"/>
      <c r="AL1338" s="66"/>
      <c r="AM1338" s="66"/>
      <c r="AN1338" s="66"/>
      <c r="AO1338" s="66"/>
      <c r="AP1338" s="66"/>
      <c r="AQ1338" s="66"/>
      <c r="AR1338" s="66"/>
      <c r="AS1338" s="66"/>
      <c r="AT1338" s="66"/>
      <c r="AU1338" s="66"/>
      <c r="AV1338" s="66"/>
      <c r="AW1338" s="66"/>
      <c r="AX1338" s="66"/>
      <c r="AY1338" s="66"/>
      <c r="AZ1338" s="66"/>
      <c r="BA1338" s="66"/>
      <c r="BB1338" s="66"/>
      <c r="BC1338" s="66"/>
      <c r="BD1338" s="66"/>
      <c r="BE1338" s="67"/>
      <c r="BF1338" s="67"/>
      <c r="BG1338" s="68"/>
      <c r="BI1338" s="69">
        <v>0</v>
      </c>
      <c r="BJ1338" s="70">
        <v>0</v>
      </c>
      <c r="BK1338" s="71">
        <v>0</v>
      </c>
      <c r="BL1338" s="71">
        <v>0</v>
      </c>
      <c r="BM1338" s="71">
        <v>0</v>
      </c>
      <c r="BN1338" s="72">
        <v>0</v>
      </c>
      <c r="BO1338" s="151" t="e">
        <f t="shared" si="81"/>
        <v>#DIV/0!</v>
      </c>
      <c r="BP1338" s="151" t="e">
        <f t="shared" si="82"/>
        <v>#DIV/0!</v>
      </c>
      <c r="BQ1338" s="71">
        <v>0</v>
      </c>
      <c r="BR1338" s="71">
        <v>0</v>
      </c>
      <c r="BS1338" s="71">
        <v>0</v>
      </c>
      <c r="BT1338" s="72">
        <v>0</v>
      </c>
      <c r="BU1338" s="73"/>
      <c r="BV1338" s="73"/>
    </row>
    <row r="1339" ht="30" customHeight="1" spans="1:74">
      <c r="A1339" s="55">
        <v>0</v>
      </c>
      <c r="B1339" s="56" t="s">
        <v>1057</v>
      </c>
      <c r="C1339" s="57" t="s">
        <v>1324</v>
      </c>
      <c r="D1339" s="59" t="s">
        <v>2181</v>
      </c>
      <c r="E1339" s="59" t="s">
        <v>2201</v>
      </c>
      <c r="F1339" s="59" t="str">
        <f>VLOOKUP(E1339,[1]库存!$B$1:$C$65536,2,FALSE)</f>
        <v>QZHF FAB LH</v>
      </c>
      <c r="G1339" s="59" t="s">
        <v>2202</v>
      </c>
      <c r="H1339" s="59" t="s">
        <v>2203</v>
      </c>
      <c r="I1339" s="59" t="s">
        <v>2191</v>
      </c>
      <c r="J1339" s="159"/>
      <c r="K1339" s="61"/>
      <c r="L1339" s="62">
        <v>2</v>
      </c>
      <c r="M1339" s="63">
        <v>1100</v>
      </c>
      <c r="N1339" s="64">
        <v>16</v>
      </c>
      <c r="O1339" s="62">
        <v>2</v>
      </c>
      <c r="P1339" s="65">
        <f t="shared" si="80"/>
        <v>0</v>
      </c>
      <c r="Q1339" s="66"/>
      <c r="R1339" s="66"/>
      <c r="S1339" s="66"/>
      <c r="T1339" s="66"/>
      <c r="U1339" s="66">
        <v>300</v>
      </c>
      <c r="V1339" s="66"/>
      <c r="W1339" s="66"/>
      <c r="X1339" s="66"/>
      <c r="Y1339" s="66"/>
      <c r="Z1339" s="66"/>
      <c r="AA1339" s="66"/>
      <c r="AB1339" s="66"/>
      <c r="AC1339" s="66"/>
      <c r="AD1339" s="66"/>
      <c r="AE1339" s="66"/>
      <c r="AF1339" s="66"/>
      <c r="AG1339" s="66"/>
      <c r="AH1339" s="66"/>
      <c r="AI1339" s="66"/>
      <c r="AJ1339" s="66"/>
      <c r="AK1339" s="66"/>
      <c r="AL1339" s="66"/>
      <c r="AM1339" s="66"/>
      <c r="AN1339" s="66"/>
      <c r="AO1339" s="66"/>
      <c r="AP1339" s="66"/>
      <c r="AQ1339" s="66"/>
      <c r="AR1339" s="66"/>
      <c r="AS1339" s="66"/>
      <c r="AT1339" s="66"/>
      <c r="AU1339" s="66"/>
      <c r="AV1339" s="66"/>
      <c r="AW1339" s="66"/>
      <c r="AX1339" s="66"/>
      <c r="AY1339" s="66"/>
      <c r="AZ1339" s="66"/>
      <c r="BA1339" s="66"/>
      <c r="BB1339" s="66"/>
      <c r="BC1339" s="66"/>
      <c r="BD1339" s="66"/>
      <c r="BE1339" s="67"/>
      <c r="BF1339" s="67"/>
      <c r="BG1339" s="68"/>
      <c r="BI1339" s="69">
        <v>0</v>
      </c>
      <c r="BJ1339" s="70">
        <v>0</v>
      </c>
      <c r="BK1339" s="71">
        <v>0</v>
      </c>
      <c r="BL1339" s="71">
        <v>0</v>
      </c>
      <c r="BM1339" s="71">
        <v>0</v>
      </c>
      <c r="BN1339" s="72">
        <v>0</v>
      </c>
      <c r="BO1339" s="151" t="e">
        <f t="shared" si="81"/>
        <v>#DIV/0!</v>
      </c>
      <c r="BP1339" s="151" t="e">
        <f t="shared" si="82"/>
        <v>#DIV/0!</v>
      </c>
      <c r="BQ1339" s="71">
        <v>0</v>
      </c>
      <c r="BR1339" s="71">
        <v>0</v>
      </c>
      <c r="BS1339" s="71">
        <v>0</v>
      </c>
      <c r="BT1339" s="72">
        <v>0</v>
      </c>
      <c r="BU1339" s="73"/>
      <c r="BV1339" s="73"/>
    </row>
    <row r="1340" ht="30" customHeight="1" spans="1:74">
      <c r="A1340" s="55">
        <v>0</v>
      </c>
      <c r="B1340" s="56">
        <v>0</v>
      </c>
      <c r="C1340" s="57">
        <v>0</v>
      </c>
      <c r="D1340" s="74"/>
      <c r="E1340" s="74"/>
      <c r="F1340" s="59" t="e">
        <f>VLOOKUP(E1340,[1]库存!$B$1:$C$65536,2,FALSE)</f>
        <v>#N/A</v>
      </c>
      <c r="G1340" s="59" t="e">
        <v>#N/A</v>
      </c>
      <c r="H1340" s="74"/>
      <c r="I1340" s="74"/>
      <c r="J1340" s="160"/>
      <c r="K1340" s="61"/>
      <c r="L1340" s="62">
        <v>0</v>
      </c>
      <c r="M1340" s="63">
        <v>0</v>
      </c>
      <c r="N1340" s="64">
        <v>0</v>
      </c>
      <c r="O1340" s="62">
        <v>0</v>
      </c>
      <c r="P1340" s="65">
        <f t="shared" si="80"/>
        <v>0</v>
      </c>
      <c r="Q1340" s="66"/>
      <c r="R1340" s="66"/>
      <c r="S1340" s="66"/>
      <c r="T1340" s="66"/>
      <c r="U1340" s="66" t="s">
        <v>2204</v>
      </c>
      <c r="V1340" s="66"/>
      <c r="W1340" s="66"/>
      <c r="X1340" s="66"/>
      <c r="Y1340" s="66"/>
      <c r="Z1340" s="66"/>
      <c r="AA1340" s="66"/>
      <c r="AB1340" s="66"/>
      <c r="AC1340" s="66"/>
      <c r="AD1340" s="66"/>
      <c r="AE1340" s="66"/>
      <c r="AF1340" s="66"/>
      <c r="AG1340" s="66"/>
      <c r="AH1340" s="66"/>
      <c r="AI1340" s="66"/>
      <c r="AJ1340" s="66"/>
      <c r="AK1340" s="66"/>
      <c r="AL1340" s="66"/>
      <c r="AM1340" s="66"/>
      <c r="AN1340" s="66"/>
      <c r="AO1340" s="66"/>
      <c r="AP1340" s="66"/>
      <c r="AQ1340" s="66"/>
      <c r="AR1340" s="66"/>
      <c r="AS1340" s="66"/>
      <c r="AT1340" s="66"/>
      <c r="AU1340" s="66"/>
      <c r="AV1340" s="66"/>
      <c r="AW1340" s="66"/>
      <c r="AX1340" s="66"/>
      <c r="AY1340" s="66"/>
      <c r="AZ1340" s="66"/>
      <c r="BA1340" s="66"/>
      <c r="BB1340" s="66"/>
      <c r="BC1340" s="66"/>
      <c r="BD1340" s="66"/>
      <c r="BE1340" s="67"/>
      <c r="BF1340" s="67"/>
      <c r="BG1340" s="68"/>
      <c r="BI1340" s="69">
        <v>0</v>
      </c>
      <c r="BJ1340" s="70">
        <v>0</v>
      </c>
      <c r="BK1340" s="71">
        <v>0</v>
      </c>
      <c r="BL1340" s="71">
        <v>0</v>
      </c>
      <c r="BM1340" s="71">
        <v>0</v>
      </c>
      <c r="BN1340" s="72">
        <v>0</v>
      </c>
      <c r="BO1340" s="151" t="e">
        <f t="shared" si="81"/>
        <v>#DIV/0!</v>
      </c>
      <c r="BP1340" s="151" t="e">
        <f t="shared" si="82"/>
        <v>#DIV/0!</v>
      </c>
      <c r="BQ1340" s="71">
        <v>0</v>
      </c>
      <c r="BR1340" s="71">
        <v>0</v>
      </c>
      <c r="BS1340" s="71">
        <v>0</v>
      </c>
      <c r="BT1340" s="72">
        <v>0</v>
      </c>
      <c r="BU1340" s="73"/>
      <c r="BV1340" s="73"/>
    </row>
    <row r="1341" ht="30" customHeight="1" spans="1:74">
      <c r="A1341" s="55">
        <v>0</v>
      </c>
      <c r="B1341" s="56" t="s">
        <v>1057</v>
      </c>
      <c r="C1341" s="57" t="s">
        <v>1324</v>
      </c>
      <c r="D1341" s="59" t="s">
        <v>2181</v>
      </c>
      <c r="E1341" s="59" t="s">
        <v>2205</v>
      </c>
      <c r="F1341" s="59" t="str">
        <f>VLOOKUP(E1341,[1]库存!$B$1:$C$65536,2,FALSE)</f>
        <v>QZHF FAB RH</v>
      </c>
      <c r="G1341" s="59" t="s">
        <v>2206</v>
      </c>
      <c r="H1341" s="59" t="s">
        <v>2207</v>
      </c>
      <c r="I1341" s="59" t="s">
        <v>2191</v>
      </c>
      <c r="J1341" s="80" t="s">
        <v>65</v>
      </c>
      <c r="K1341" s="61"/>
      <c r="L1341" s="62">
        <v>2</v>
      </c>
      <c r="M1341" s="63">
        <v>1100</v>
      </c>
      <c r="N1341" s="64">
        <v>16</v>
      </c>
      <c r="O1341" s="62">
        <v>2</v>
      </c>
      <c r="P1341" s="65">
        <f t="shared" si="80"/>
        <v>0</v>
      </c>
      <c r="Q1341" s="66"/>
      <c r="R1341" s="66"/>
      <c r="S1341" s="66"/>
      <c r="T1341" s="66"/>
      <c r="U1341" s="66"/>
      <c r="V1341" s="66"/>
      <c r="W1341" s="66"/>
      <c r="X1341" s="66"/>
      <c r="Y1341" s="66"/>
      <c r="Z1341" s="66"/>
      <c r="AA1341" s="66"/>
      <c r="AB1341" s="66"/>
      <c r="AC1341" s="66"/>
      <c r="AD1341" s="66"/>
      <c r="AE1341" s="66"/>
      <c r="AF1341" s="66"/>
      <c r="AG1341" s="66"/>
      <c r="AH1341" s="66"/>
      <c r="AI1341" s="66"/>
      <c r="AJ1341" s="66"/>
      <c r="AK1341" s="66"/>
      <c r="AL1341" s="66"/>
      <c r="AM1341" s="66"/>
      <c r="AN1341" s="66"/>
      <c r="AO1341" s="66"/>
      <c r="AP1341" s="66"/>
      <c r="AQ1341" s="66"/>
      <c r="AR1341" s="66"/>
      <c r="AS1341" s="66"/>
      <c r="AT1341" s="66"/>
      <c r="AU1341" s="66"/>
      <c r="AV1341" s="66"/>
      <c r="AW1341" s="66"/>
      <c r="AX1341" s="66"/>
      <c r="AY1341" s="66"/>
      <c r="AZ1341" s="66"/>
      <c r="BA1341" s="66"/>
      <c r="BB1341" s="66"/>
      <c r="BC1341" s="66"/>
      <c r="BD1341" s="66"/>
      <c r="BE1341" s="67"/>
      <c r="BF1341" s="67"/>
      <c r="BG1341" s="68"/>
      <c r="BI1341" s="69">
        <v>0</v>
      </c>
      <c r="BJ1341" s="70">
        <v>0</v>
      </c>
      <c r="BK1341" s="71">
        <v>0</v>
      </c>
      <c r="BL1341" s="71">
        <v>0</v>
      </c>
      <c r="BM1341" s="71">
        <v>0</v>
      </c>
      <c r="BN1341" s="72">
        <v>0</v>
      </c>
      <c r="BO1341" s="151" t="e">
        <f t="shared" si="81"/>
        <v>#DIV/0!</v>
      </c>
      <c r="BP1341" s="151" t="e">
        <f t="shared" si="82"/>
        <v>#DIV/0!</v>
      </c>
      <c r="BQ1341" s="71">
        <v>0</v>
      </c>
      <c r="BR1341" s="71">
        <v>0</v>
      </c>
      <c r="BS1341" s="71">
        <v>0</v>
      </c>
      <c r="BT1341" s="72">
        <v>0</v>
      </c>
      <c r="BU1341" s="73"/>
      <c r="BV1341" s="73"/>
    </row>
    <row r="1342" ht="30" customHeight="1" spans="1:74">
      <c r="A1342" s="55">
        <v>0</v>
      </c>
      <c r="B1342" s="56">
        <v>0</v>
      </c>
      <c r="C1342" s="57">
        <v>0</v>
      </c>
      <c r="D1342" s="74"/>
      <c r="E1342" s="74"/>
      <c r="F1342" s="59" t="e">
        <f>VLOOKUP(E1342,[1]库存!$B$1:$C$65536,2,FALSE)</f>
        <v>#N/A</v>
      </c>
      <c r="G1342" s="59" t="e">
        <v>#N/A</v>
      </c>
      <c r="H1342" s="74"/>
      <c r="I1342" s="74"/>
      <c r="J1342" s="81"/>
      <c r="K1342" s="61"/>
      <c r="L1342" s="62">
        <v>0</v>
      </c>
      <c r="M1342" s="63">
        <v>0</v>
      </c>
      <c r="N1342" s="64">
        <v>0</v>
      </c>
      <c r="O1342" s="62">
        <v>0</v>
      </c>
      <c r="P1342" s="65">
        <f t="shared" si="80"/>
        <v>0</v>
      </c>
      <c r="Q1342" s="66"/>
      <c r="R1342" s="66"/>
      <c r="S1342" s="66"/>
      <c r="T1342" s="66"/>
      <c r="U1342" s="66"/>
      <c r="V1342" s="66"/>
      <c r="W1342" s="66"/>
      <c r="X1342" s="66"/>
      <c r="Y1342" s="66"/>
      <c r="Z1342" s="66"/>
      <c r="AA1342" s="66"/>
      <c r="AB1342" s="66"/>
      <c r="AC1342" s="66"/>
      <c r="AD1342" s="66"/>
      <c r="AE1342" s="66"/>
      <c r="AF1342" s="66"/>
      <c r="AG1342" s="66"/>
      <c r="AH1342" s="66"/>
      <c r="AI1342" s="66"/>
      <c r="AJ1342" s="66"/>
      <c r="AK1342" s="66"/>
      <c r="AL1342" s="66"/>
      <c r="AM1342" s="66"/>
      <c r="AN1342" s="66"/>
      <c r="AO1342" s="66"/>
      <c r="AP1342" s="66"/>
      <c r="AQ1342" s="66"/>
      <c r="AR1342" s="66"/>
      <c r="AS1342" s="66"/>
      <c r="AT1342" s="66"/>
      <c r="AU1342" s="66"/>
      <c r="AV1342" s="66"/>
      <c r="AW1342" s="66"/>
      <c r="AX1342" s="66"/>
      <c r="AY1342" s="66"/>
      <c r="AZ1342" s="66"/>
      <c r="BA1342" s="66"/>
      <c r="BB1342" s="66"/>
      <c r="BC1342" s="66"/>
      <c r="BD1342" s="66"/>
      <c r="BE1342" s="67"/>
      <c r="BF1342" s="67"/>
      <c r="BG1342" s="68"/>
      <c r="BI1342" s="69">
        <v>0</v>
      </c>
      <c r="BJ1342" s="70">
        <v>0</v>
      </c>
      <c r="BK1342" s="71">
        <v>0</v>
      </c>
      <c r="BL1342" s="71">
        <v>0</v>
      </c>
      <c r="BM1342" s="71">
        <v>0</v>
      </c>
      <c r="BN1342" s="72">
        <v>0</v>
      </c>
      <c r="BO1342" s="151" t="e">
        <f t="shared" si="81"/>
        <v>#DIV/0!</v>
      </c>
      <c r="BP1342" s="151" t="e">
        <f t="shared" si="82"/>
        <v>#DIV/0!</v>
      </c>
      <c r="BQ1342" s="71">
        <v>0</v>
      </c>
      <c r="BR1342" s="71">
        <v>0</v>
      </c>
      <c r="BS1342" s="71">
        <v>0</v>
      </c>
      <c r="BT1342" s="72">
        <v>0</v>
      </c>
      <c r="BU1342" s="73"/>
      <c r="BV1342" s="73"/>
    </row>
    <row r="1343" ht="30" customHeight="1" spans="1:74">
      <c r="A1343" s="55" t="s">
        <v>211</v>
      </c>
      <c r="B1343" s="56" t="s">
        <v>1057</v>
      </c>
      <c r="C1343" s="57" t="s">
        <v>1324</v>
      </c>
      <c r="D1343" s="59" t="s">
        <v>2181</v>
      </c>
      <c r="E1343" s="59" t="s">
        <v>2208</v>
      </c>
      <c r="F1343" s="59" t="str">
        <f>VLOOKUP(E1343,[1]库存!$B$1:$C$65536,2,FALSE)</f>
        <v>HTH FAB LH</v>
      </c>
      <c r="G1343" s="59" t="s">
        <v>2209</v>
      </c>
      <c r="H1343" s="59" t="s">
        <v>2210</v>
      </c>
      <c r="I1343" s="59" t="s">
        <v>1181</v>
      </c>
      <c r="J1343" s="159"/>
      <c r="K1343" s="61"/>
      <c r="L1343" s="62">
        <v>2</v>
      </c>
      <c r="M1343" s="63">
        <v>700</v>
      </c>
      <c r="N1343" s="64">
        <v>14</v>
      </c>
      <c r="O1343" s="62">
        <v>2</v>
      </c>
      <c r="P1343" s="65">
        <f t="shared" si="80"/>
        <v>0</v>
      </c>
      <c r="Q1343" s="66"/>
      <c r="R1343" s="66"/>
      <c r="S1343" s="66"/>
      <c r="T1343" s="66"/>
      <c r="U1343" s="66"/>
      <c r="V1343" s="66"/>
      <c r="W1343" s="66"/>
      <c r="X1343" s="66"/>
      <c r="Y1343" s="66"/>
      <c r="Z1343" s="66"/>
      <c r="AA1343" s="66"/>
      <c r="AB1343" s="66"/>
      <c r="AC1343" s="66"/>
      <c r="AD1343" s="66"/>
      <c r="AE1343" s="66"/>
      <c r="AF1343" s="66"/>
      <c r="AG1343" s="66"/>
      <c r="AH1343" s="66"/>
      <c r="AI1343" s="66"/>
      <c r="AJ1343" s="66"/>
      <c r="AK1343" s="66"/>
      <c r="AL1343" s="66"/>
      <c r="AM1343" s="66"/>
      <c r="AN1343" s="66"/>
      <c r="AO1343" s="66"/>
      <c r="AP1343" s="66"/>
      <c r="AQ1343" s="66"/>
      <c r="AR1343" s="66"/>
      <c r="AS1343" s="66"/>
      <c r="AT1343" s="66"/>
      <c r="AU1343" s="66"/>
      <c r="AV1343" s="66"/>
      <c r="AW1343" s="66"/>
      <c r="AX1343" s="66"/>
      <c r="AY1343" s="66"/>
      <c r="AZ1343" s="66"/>
      <c r="BA1343" s="66"/>
      <c r="BB1343" s="66"/>
      <c r="BC1343" s="66"/>
      <c r="BD1343" s="66"/>
      <c r="BE1343" s="67"/>
      <c r="BF1343" s="67"/>
      <c r="BG1343" s="68"/>
      <c r="BI1343" s="69">
        <v>0</v>
      </c>
      <c r="BJ1343" s="70">
        <v>0</v>
      </c>
      <c r="BK1343" s="71">
        <v>0</v>
      </c>
      <c r="BL1343" s="71">
        <v>0</v>
      </c>
      <c r="BM1343" s="71">
        <v>0</v>
      </c>
      <c r="BN1343" s="72">
        <v>0</v>
      </c>
      <c r="BO1343" s="151" t="e">
        <f t="shared" si="81"/>
        <v>#DIV/0!</v>
      </c>
      <c r="BP1343" s="151" t="e">
        <f t="shared" si="82"/>
        <v>#DIV/0!</v>
      </c>
      <c r="BQ1343" s="71">
        <v>0</v>
      </c>
      <c r="BR1343" s="71">
        <v>0</v>
      </c>
      <c r="BS1343" s="71">
        <v>0</v>
      </c>
      <c r="BT1343" s="72">
        <v>0</v>
      </c>
      <c r="BU1343" s="73"/>
      <c r="BV1343" s="73"/>
    </row>
    <row r="1344" ht="30" customHeight="1" spans="1:74">
      <c r="A1344" s="55">
        <v>0</v>
      </c>
      <c r="B1344" s="56">
        <v>0</v>
      </c>
      <c r="C1344" s="57">
        <v>0</v>
      </c>
      <c r="D1344" s="74"/>
      <c r="E1344" s="74"/>
      <c r="F1344" s="59" t="e">
        <f>VLOOKUP(E1344,[1]库存!$B$1:$C$65536,2,FALSE)</f>
        <v>#N/A</v>
      </c>
      <c r="G1344" s="59" t="e">
        <v>#N/A</v>
      </c>
      <c r="H1344" s="74"/>
      <c r="I1344" s="74"/>
      <c r="J1344" s="160"/>
      <c r="K1344" s="61"/>
      <c r="L1344" s="62">
        <v>0</v>
      </c>
      <c r="M1344" s="63">
        <v>0</v>
      </c>
      <c r="N1344" s="64">
        <v>0</v>
      </c>
      <c r="O1344" s="62">
        <v>0</v>
      </c>
      <c r="P1344" s="65">
        <f t="shared" si="80"/>
        <v>0</v>
      </c>
      <c r="Q1344" s="66"/>
      <c r="R1344" s="66"/>
      <c r="S1344" s="66"/>
      <c r="T1344" s="66"/>
      <c r="U1344" s="66"/>
      <c r="V1344" s="66"/>
      <c r="W1344" s="66"/>
      <c r="X1344" s="66"/>
      <c r="Y1344" s="66"/>
      <c r="Z1344" s="66"/>
      <c r="AA1344" s="66"/>
      <c r="AB1344" s="66"/>
      <c r="AC1344" s="66"/>
      <c r="AD1344" s="66"/>
      <c r="AE1344" s="66"/>
      <c r="AF1344" s="66"/>
      <c r="AG1344" s="66"/>
      <c r="AH1344" s="66"/>
      <c r="AI1344" s="66"/>
      <c r="AJ1344" s="66"/>
      <c r="AK1344" s="66"/>
      <c r="AL1344" s="66"/>
      <c r="AM1344" s="66"/>
      <c r="AN1344" s="66"/>
      <c r="AO1344" s="66"/>
      <c r="AP1344" s="66"/>
      <c r="AQ1344" s="66"/>
      <c r="AR1344" s="66"/>
      <c r="AS1344" s="66"/>
      <c r="AT1344" s="66"/>
      <c r="AU1344" s="66"/>
      <c r="AV1344" s="66"/>
      <c r="AW1344" s="66"/>
      <c r="AX1344" s="66"/>
      <c r="AY1344" s="66"/>
      <c r="AZ1344" s="66"/>
      <c r="BA1344" s="66"/>
      <c r="BB1344" s="66"/>
      <c r="BC1344" s="66"/>
      <c r="BD1344" s="66"/>
      <c r="BE1344" s="67"/>
      <c r="BF1344" s="67"/>
      <c r="BG1344" s="68"/>
      <c r="BI1344" s="69">
        <v>0</v>
      </c>
      <c r="BJ1344" s="70">
        <v>0</v>
      </c>
      <c r="BK1344" s="71">
        <v>0</v>
      </c>
      <c r="BL1344" s="71">
        <v>0</v>
      </c>
      <c r="BM1344" s="71">
        <v>0</v>
      </c>
      <c r="BN1344" s="72">
        <v>0</v>
      </c>
      <c r="BO1344" s="151" t="e">
        <f t="shared" si="81"/>
        <v>#DIV/0!</v>
      </c>
      <c r="BP1344" s="151" t="e">
        <f t="shared" si="82"/>
        <v>#DIV/0!</v>
      </c>
      <c r="BQ1344" s="71">
        <v>0</v>
      </c>
      <c r="BR1344" s="71">
        <v>0</v>
      </c>
      <c r="BS1344" s="71">
        <v>0</v>
      </c>
      <c r="BT1344" s="72">
        <v>0</v>
      </c>
      <c r="BU1344" s="73"/>
      <c r="BV1344" s="73"/>
    </row>
    <row r="1345" ht="30" customHeight="1" spans="1:74">
      <c r="A1345" s="55" t="s">
        <v>211</v>
      </c>
      <c r="B1345" s="56" t="s">
        <v>1057</v>
      </c>
      <c r="C1345" s="57" t="s">
        <v>1324</v>
      </c>
      <c r="D1345" s="59" t="s">
        <v>2181</v>
      </c>
      <c r="E1345" s="59"/>
      <c r="F1345" s="59" t="e">
        <f>VLOOKUP(E1345,[1]库存!$B$1:$C$65536,2,FALSE)</f>
        <v>#N/A</v>
      </c>
      <c r="G1345" s="59" t="e">
        <v>#N/A</v>
      </c>
      <c r="H1345" s="59" t="s">
        <v>2211</v>
      </c>
      <c r="I1345" s="59" t="s">
        <v>2212</v>
      </c>
      <c r="J1345" s="159"/>
      <c r="K1345" s="61"/>
      <c r="L1345" s="62">
        <v>2</v>
      </c>
      <c r="M1345" s="63">
        <v>700</v>
      </c>
      <c r="N1345" s="64">
        <v>14</v>
      </c>
      <c r="O1345" s="62">
        <v>2</v>
      </c>
      <c r="P1345" s="65">
        <f t="shared" si="80"/>
        <v>0</v>
      </c>
      <c r="Q1345" s="66"/>
      <c r="R1345" s="66"/>
      <c r="S1345" s="66"/>
      <c r="T1345" s="66"/>
      <c r="U1345" s="66"/>
      <c r="V1345" s="66"/>
      <c r="W1345" s="66"/>
      <c r="X1345" s="66"/>
      <c r="Y1345" s="66"/>
      <c r="Z1345" s="66"/>
      <c r="AA1345" s="66"/>
      <c r="AB1345" s="66"/>
      <c r="AC1345" s="66"/>
      <c r="AD1345" s="66"/>
      <c r="AE1345" s="66"/>
      <c r="AF1345" s="66"/>
      <c r="AG1345" s="66"/>
      <c r="AH1345" s="66"/>
      <c r="AI1345" s="66"/>
      <c r="AJ1345" s="66"/>
      <c r="AK1345" s="66"/>
      <c r="AL1345" s="66"/>
      <c r="AM1345" s="66"/>
      <c r="AN1345" s="66"/>
      <c r="AO1345" s="66"/>
      <c r="AP1345" s="66"/>
      <c r="AQ1345" s="66"/>
      <c r="AR1345" s="66"/>
      <c r="AS1345" s="66"/>
      <c r="AT1345" s="66"/>
      <c r="AU1345" s="66"/>
      <c r="AV1345" s="66"/>
      <c r="AW1345" s="66"/>
      <c r="AX1345" s="66"/>
      <c r="AY1345" s="66"/>
      <c r="AZ1345" s="66"/>
      <c r="BA1345" s="66"/>
      <c r="BB1345" s="66"/>
      <c r="BC1345" s="66"/>
      <c r="BD1345" s="66"/>
      <c r="BE1345" s="67"/>
      <c r="BF1345" s="67"/>
      <c r="BG1345" s="68"/>
      <c r="BI1345" s="69">
        <v>0</v>
      </c>
      <c r="BJ1345" s="70">
        <v>0</v>
      </c>
      <c r="BK1345" s="71">
        <v>0</v>
      </c>
      <c r="BL1345" s="71">
        <v>0</v>
      </c>
      <c r="BM1345" s="71">
        <v>0</v>
      </c>
      <c r="BN1345" s="72">
        <v>0</v>
      </c>
      <c r="BO1345" s="151" t="e">
        <f t="shared" si="81"/>
        <v>#DIV/0!</v>
      </c>
      <c r="BP1345" s="151" t="e">
        <f t="shared" si="82"/>
        <v>#DIV/0!</v>
      </c>
      <c r="BQ1345" s="71">
        <v>0</v>
      </c>
      <c r="BR1345" s="71">
        <v>0</v>
      </c>
      <c r="BS1345" s="71">
        <v>0</v>
      </c>
      <c r="BT1345" s="72">
        <v>0</v>
      </c>
      <c r="BU1345" s="73"/>
      <c r="BV1345" s="73"/>
    </row>
    <row r="1346" ht="30" customHeight="1" spans="1:74">
      <c r="A1346" s="55">
        <v>0</v>
      </c>
      <c r="B1346" s="56">
        <v>0</v>
      </c>
      <c r="C1346" s="57">
        <v>0</v>
      </c>
      <c r="D1346" s="74"/>
      <c r="E1346" s="74"/>
      <c r="F1346" s="59" t="e">
        <f>VLOOKUP(E1346,[1]库存!$B$1:$C$65536,2,FALSE)</f>
        <v>#N/A</v>
      </c>
      <c r="G1346" s="59" t="e">
        <v>#N/A</v>
      </c>
      <c r="H1346" s="74"/>
      <c r="I1346" s="74"/>
      <c r="J1346" s="160"/>
      <c r="K1346" s="61"/>
      <c r="L1346" s="62">
        <v>0</v>
      </c>
      <c r="M1346" s="63">
        <v>0</v>
      </c>
      <c r="N1346" s="64">
        <v>0</v>
      </c>
      <c r="O1346" s="62">
        <v>0</v>
      </c>
      <c r="P1346" s="65">
        <f t="shared" si="80"/>
        <v>0</v>
      </c>
      <c r="Q1346" s="66"/>
      <c r="R1346" s="66"/>
      <c r="S1346" s="66"/>
      <c r="T1346" s="66"/>
      <c r="U1346" s="66"/>
      <c r="V1346" s="66"/>
      <c r="W1346" s="66"/>
      <c r="X1346" s="66"/>
      <c r="Y1346" s="66"/>
      <c r="Z1346" s="66"/>
      <c r="AA1346" s="66"/>
      <c r="AB1346" s="66"/>
      <c r="AC1346" s="66"/>
      <c r="AD1346" s="66"/>
      <c r="AE1346" s="66"/>
      <c r="AF1346" s="66"/>
      <c r="AG1346" s="66"/>
      <c r="AH1346" s="66"/>
      <c r="AI1346" s="66"/>
      <c r="AJ1346" s="66"/>
      <c r="AK1346" s="66"/>
      <c r="AL1346" s="66"/>
      <c r="AM1346" s="66"/>
      <c r="AN1346" s="66"/>
      <c r="AO1346" s="66"/>
      <c r="AP1346" s="66"/>
      <c r="AQ1346" s="66"/>
      <c r="AR1346" s="66"/>
      <c r="AS1346" s="66"/>
      <c r="AT1346" s="66"/>
      <c r="AU1346" s="66"/>
      <c r="AV1346" s="66"/>
      <c r="AW1346" s="66"/>
      <c r="AX1346" s="66"/>
      <c r="AY1346" s="66"/>
      <c r="AZ1346" s="66"/>
      <c r="BA1346" s="66"/>
      <c r="BB1346" s="66"/>
      <c r="BC1346" s="66"/>
      <c r="BD1346" s="66"/>
      <c r="BE1346" s="67"/>
      <c r="BF1346" s="67"/>
      <c r="BG1346" s="68"/>
      <c r="BI1346" s="69">
        <v>0</v>
      </c>
      <c r="BJ1346" s="70">
        <v>0</v>
      </c>
      <c r="BK1346" s="71">
        <v>0</v>
      </c>
      <c r="BL1346" s="71">
        <v>0</v>
      </c>
      <c r="BM1346" s="71">
        <v>0</v>
      </c>
      <c r="BN1346" s="72">
        <v>0</v>
      </c>
      <c r="BO1346" s="151" t="e">
        <f t="shared" si="81"/>
        <v>#DIV/0!</v>
      </c>
      <c r="BP1346" s="151" t="e">
        <f t="shared" si="82"/>
        <v>#DIV/0!</v>
      </c>
      <c r="BQ1346" s="71">
        <v>0</v>
      </c>
      <c r="BR1346" s="71">
        <v>0</v>
      </c>
      <c r="BS1346" s="71">
        <v>0</v>
      </c>
      <c r="BT1346" s="72">
        <v>0</v>
      </c>
      <c r="BU1346" s="73"/>
      <c r="BV1346" s="73"/>
    </row>
    <row r="1347" ht="30" customHeight="1" spans="1:74">
      <c r="A1347" s="55">
        <v>0</v>
      </c>
      <c r="B1347" s="56" t="s">
        <v>1057</v>
      </c>
      <c r="C1347" s="57" t="s">
        <v>1324</v>
      </c>
      <c r="D1347" s="59" t="s">
        <v>2181</v>
      </c>
      <c r="E1347" s="59" t="s">
        <v>2213</v>
      </c>
      <c r="F1347" s="59" t="str">
        <f>VLOOKUP(E1347,[1]库存!$B$1:$C$65536,2,FALSE)</f>
        <v>SQHB FAB LH</v>
      </c>
      <c r="G1347" s="59" t="s">
        <v>2214</v>
      </c>
      <c r="H1347" s="59" t="s">
        <v>2215</v>
      </c>
      <c r="I1347" s="59" t="s">
        <v>1174</v>
      </c>
      <c r="J1347" s="77" t="s">
        <v>2216</v>
      </c>
      <c r="K1347" s="61" t="s">
        <v>2217</v>
      </c>
      <c r="L1347" s="62">
        <v>2</v>
      </c>
      <c r="M1347" s="63">
        <v>1200</v>
      </c>
      <c r="N1347" s="64">
        <v>14</v>
      </c>
      <c r="O1347" s="62">
        <v>2</v>
      </c>
      <c r="P1347" s="65">
        <f t="shared" si="80"/>
        <v>0</v>
      </c>
      <c r="Q1347" s="66"/>
      <c r="R1347" s="66"/>
      <c r="S1347" s="66"/>
      <c r="T1347" s="66"/>
      <c r="U1347" s="66"/>
      <c r="V1347" s="66"/>
      <c r="W1347" s="66"/>
      <c r="X1347" s="66"/>
      <c r="Y1347" s="66"/>
      <c r="Z1347" s="66"/>
      <c r="AA1347" s="66"/>
      <c r="AB1347" s="66"/>
      <c r="AC1347" s="66"/>
      <c r="AD1347" s="66"/>
      <c r="AE1347" s="66"/>
      <c r="AF1347" s="66"/>
      <c r="AG1347" s="66"/>
      <c r="AH1347" s="66"/>
      <c r="AI1347" s="66"/>
      <c r="AJ1347" s="66"/>
      <c r="AK1347" s="66"/>
      <c r="AL1347" s="66"/>
      <c r="AM1347" s="66"/>
      <c r="AN1347" s="66"/>
      <c r="AO1347" s="66"/>
      <c r="AP1347" s="66"/>
      <c r="AQ1347" s="66"/>
      <c r="AR1347" s="66"/>
      <c r="AS1347" s="66"/>
      <c r="AT1347" s="66"/>
      <c r="AU1347" s="66"/>
      <c r="AV1347" s="66"/>
      <c r="AW1347" s="66"/>
      <c r="AX1347" s="66"/>
      <c r="AY1347" s="66"/>
      <c r="AZ1347" s="66"/>
      <c r="BA1347" s="66"/>
      <c r="BB1347" s="66"/>
      <c r="BC1347" s="66"/>
      <c r="BD1347" s="66"/>
      <c r="BE1347" s="67"/>
      <c r="BF1347" s="67"/>
      <c r="BG1347" s="68"/>
      <c r="BI1347" s="69">
        <v>0</v>
      </c>
      <c r="BJ1347" s="70">
        <v>0</v>
      </c>
      <c r="BK1347" s="71">
        <v>0</v>
      </c>
      <c r="BL1347" s="71">
        <v>0</v>
      </c>
      <c r="BM1347" s="71">
        <v>0</v>
      </c>
      <c r="BN1347" s="72">
        <v>0</v>
      </c>
      <c r="BO1347" s="151" t="e">
        <f t="shared" si="81"/>
        <v>#DIV/0!</v>
      </c>
      <c r="BP1347" s="151" t="e">
        <f t="shared" si="82"/>
        <v>#DIV/0!</v>
      </c>
      <c r="BQ1347" s="71">
        <v>0</v>
      </c>
      <c r="BR1347" s="71">
        <v>0</v>
      </c>
      <c r="BS1347" s="71">
        <v>0</v>
      </c>
      <c r="BT1347" s="72">
        <v>0</v>
      </c>
      <c r="BU1347" s="73"/>
      <c r="BV1347" s="73"/>
    </row>
    <row r="1348" ht="30" customHeight="1" spans="1:74">
      <c r="A1348" s="55">
        <v>0</v>
      </c>
      <c r="B1348" s="56">
        <v>0</v>
      </c>
      <c r="C1348" s="57">
        <v>0</v>
      </c>
      <c r="D1348" s="74"/>
      <c r="E1348" s="74"/>
      <c r="F1348" s="59" t="e">
        <f>VLOOKUP(E1348,[1]库存!$B$1:$C$65536,2,FALSE)</f>
        <v>#N/A</v>
      </c>
      <c r="G1348" s="59" t="e">
        <v>#N/A</v>
      </c>
      <c r="H1348" s="74"/>
      <c r="I1348" s="74"/>
      <c r="J1348" s="79"/>
      <c r="K1348" s="61"/>
      <c r="L1348" s="62">
        <v>0</v>
      </c>
      <c r="M1348" s="63">
        <v>0</v>
      </c>
      <c r="N1348" s="64">
        <v>0</v>
      </c>
      <c r="O1348" s="62">
        <v>0</v>
      </c>
      <c r="P1348" s="65">
        <f t="shared" si="80"/>
        <v>0</v>
      </c>
      <c r="Q1348" s="66"/>
      <c r="R1348" s="66"/>
      <c r="S1348" s="66"/>
      <c r="T1348" s="66"/>
      <c r="U1348" s="66"/>
      <c r="V1348" s="66"/>
      <c r="W1348" s="66"/>
      <c r="X1348" s="66"/>
      <c r="Y1348" s="66"/>
      <c r="Z1348" s="66"/>
      <c r="AA1348" s="66"/>
      <c r="AB1348" s="66"/>
      <c r="AC1348" s="66"/>
      <c r="AD1348" s="66"/>
      <c r="AE1348" s="66"/>
      <c r="AF1348" s="66"/>
      <c r="AG1348" s="66"/>
      <c r="AH1348" s="66"/>
      <c r="AI1348" s="66"/>
      <c r="AJ1348" s="66"/>
      <c r="AK1348" s="66"/>
      <c r="AL1348" s="66"/>
      <c r="AM1348" s="66"/>
      <c r="AN1348" s="66"/>
      <c r="AO1348" s="66"/>
      <c r="AP1348" s="66"/>
      <c r="AQ1348" s="66"/>
      <c r="AR1348" s="66"/>
      <c r="AS1348" s="66"/>
      <c r="AT1348" s="66"/>
      <c r="AU1348" s="66"/>
      <c r="AV1348" s="66"/>
      <c r="AW1348" s="66"/>
      <c r="AX1348" s="66"/>
      <c r="AY1348" s="66"/>
      <c r="AZ1348" s="66"/>
      <c r="BA1348" s="66"/>
      <c r="BB1348" s="66"/>
      <c r="BC1348" s="66"/>
      <c r="BD1348" s="66"/>
      <c r="BE1348" s="67"/>
      <c r="BF1348" s="67"/>
      <c r="BG1348" s="68"/>
      <c r="BI1348" s="69">
        <v>0</v>
      </c>
      <c r="BJ1348" s="70">
        <v>0</v>
      </c>
      <c r="BK1348" s="71">
        <v>0</v>
      </c>
      <c r="BL1348" s="71">
        <v>0</v>
      </c>
      <c r="BM1348" s="71">
        <v>0</v>
      </c>
      <c r="BN1348" s="72">
        <v>0</v>
      </c>
      <c r="BO1348" s="151" t="e">
        <f t="shared" si="81"/>
        <v>#DIV/0!</v>
      </c>
      <c r="BP1348" s="151" t="e">
        <f t="shared" si="82"/>
        <v>#DIV/0!</v>
      </c>
      <c r="BQ1348" s="71">
        <v>0</v>
      </c>
      <c r="BR1348" s="71">
        <v>0</v>
      </c>
      <c r="BS1348" s="71">
        <v>0</v>
      </c>
      <c r="BT1348" s="72">
        <v>0</v>
      </c>
      <c r="BU1348" s="73"/>
      <c r="BV1348" s="73"/>
    </row>
    <row r="1349" ht="30" customHeight="1" spans="1:74">
      <c r="A1349" s="55">
        <v>0</v>
      </c>
      <c r="B1349" s="56" t="s">
        <v>1057</v>
      </c>
      <c r="C1349" s="57" t="s">
        <v>1324</v>
      </c>
      <c r="D1349" s="59" t="s">
        <v>2181</v>
      </c>
      <c r="E1349" s="59"/>
      <c r="F1349" s="59" t="e">
        <f>VLOOKUP(E1349,[1]库存!$B$1:$C$65536,2,FALSE)</f>
        <v>#N/A</v>
      </c>
      <c r="G1349" s="59" t="e">
        <v>#N/A</v>
      </c>
      <c r="H1349" s="59" t="s">
        <v>2218</v>
      </c>
      <c r="I1349" s="59" t="s">
        <v>2219</v>
      </c>
      <c r="J1349" s="159"/>
      <c r="K1349" s="61"/>
      <c r="L1349" s="62">
        <v>2</v>
      </c>
      <c r="M1349" s="63">
        <v>1200</v>
      </c>
      <c r="N1349" s="64">
        <v>14</v>
      </c>
      <c r="O1349" s="62">
        <v>2</v>
      </c>
      <c r="P1349" s="65">
        <f t="shared" si="80"/>
        <v>0</v>
      </c>
      <c r="Q1349" s="66"/>
      <c r="R1349" s="66"/>
      <c r="S1349" s="66"/>
      <c r="T1349" s="66"/>
      <c r="U1349" s="66"/>
      <c r="V1349" s="66"/>
      <c r="W1349" s="66"/>
      <c r="X1349" s="66"/>
      <c r="Y1349" s="66"/>
      <c r="Z1349" s="66"/>
      <c r="AA1349" s="66"/>
      <c r="AB1349" s="66"/>
      <c r="AC1349" s="66"/>
      <c r="AD1349" s="66"/>
      <c r="AE1349" s="66"/>
      <c r="AF1349" s="66"/>
      <c r="AG1349" s="66"/>
      <c r="AH1349" s="66"/>
      <c r="AI1349" s="66"/>
      <c r="AJ1349" s="66"/>
      <c r="AK1349" s="66"/>
      <c r="AL1349" s="66"/>
      <c r="AM1349" s="66"/>
      <c r="AN1349" s="66"/>
      <c r="AO1349" s="66"/>
      <c r="AP1349" s="66"/>
      <c r="AQ1349" s="66"/>
      <c r="AR1349" s="66"/>
      <c r="AS1349" s="66"/>
      <c r="AT1349" s="66"/>
      <c r="AU1349" s="66"/>
      <c r="AV1349" s="66"/>
      <c r="AW1349" s="66"/>
      <c r="AX1349" s="66"/>
      <c r="AY1349" s="66"/>
      <c r="AZ1349" s="66"/>
      <c r="BA1349" s="66"/>
      <c r="BB1349" s="66"/>
      <c r="BC1349" s="66"/>
      <c r="BD1349" s="66"/>
      <c r="BE1349" s="67"/>
      <c r="BF1349" s="67"/>
      <c r="BG1349" s="68"/>
      <c r="BI1349" s="69">
        <v>0</v>
      </c>
      <c r="BJ1349" s="70">
        <v>0</v>
      </c>
      <c r="BK1349" s="71">
        <v>0</v>
      </c>
      <c r="BL1349" s="71">
        <v>0</v>
      </c>
      <c r="BM1349" s="71">
        <v>0</v>
      </c>
      <c r="BN1349" s="72">
        <v>0</v>
      </c>
      <c r="BO1349" s="151" t="e">
        <f t="shared" si="81"/>
        <v>#DIV/0!</v>
      </c>
      <c r="BP1349" s="151" t="e">
        <f t="shared" si="82"/>
        <v>#DIV/0!</v>
      </c>
      <c r="BQ1349" s="71">
        <v>0</v>
      </c>
      <c r="BR1349" s="71">
        <v>0</v>
      </c>
      <c r="BS1349" s="71">
        <v>0</v>
      </c>
      <c r="BT1349" s="72">
        <v>0</v>
      </c>
      <c r="BU1349" s="73"/>
      <c r="BV1349" s="73"/>
    </row>
    <row r="1350" ht="30" customHeight="1" spans="1:74">
      <c r="A1350" s="55">
        <v>0</v>
      </c>
      <c r="B1350" s="56">
        <v>0</v>
      </c>
      <c r="C1350" s="57">
        <v>0</v>
      </c>
      <c r="D1350" s="74"/>
      <c r="E1350" s="74"/>
      <c r="F1350" s="59" t="e">
        <f>VLOOKUP(E1350,[1]库存!$B$1:$C$65536,2,FALSE)</f>
        <v>#N/A</v>
      </c>
      <c r="G1350" s="59" t="e">
        <v>#N/A</v>
      </c>
      <c r="H1350" s="74"/>
      <c r="I1350" s="74"/>
      <c r="J1350" s="160"/>
      <c r="K1350" s="61"/>
      <c r="L1350" s="62">
        <v>0</v>
      </c>
      <c r="M1350" s="63">
        <v>0</v>
      </c>
      <c r="N1350" s="64">
        <v>0</v>
      </c>
      <c r="O1350" s="62">
        <v>0</v>
      </c>
      <c r="P1350" s="65">
        <f t="shared" ref="P1350:P1413" si="83">SUM(AG1350:AJ1350)</f>
        <v>0</v>
      </c>
      <c r="Q1350" s="66"/>
      <c r="R1350" s="66"/>
      <c r="S1350" s="66"/>
      <c r="T1350" s="66"/>
      <c r="U1350" s="66"/>
      <c r="V1350" s="66"/>
      <c r="W1350" s="66"/>
      <c r="X1350" s="66"/>
      <c r="Y1350" s="66"/>
      <c r="Z1350" s="66"/>
      <c r="AA1350" s="66"/>
      <c r="AB1350" s="66"/>
      <c r="AC1350" s="66"/>
      <c r="AD1350" s="66"/>
      <c r="AE1350" s="66"/>
      <c r="AF1350" s="66"/>
      <c r="AG1350" s="66"/>
      <c r="AH1350" s="66"/>
      <c r="AI1350" s="66"/>
      <c r="AJ1350" s="66"/>
      <c r="AK1350" s="66"/>
      <c r="AL1350" s="66"/>
      <c r="AM1350" s="66"/>
      <c r="AN1350" s="66"/>
      <c r="AO1350" s="66"/>
      <c r="AP1350" s="66"/>
      <c r="AQ1350" s="66"/>
      <c r="AR1350" s="66"/>
      <c r="AS1350" s="66"/>
      <c r="AT1350" s="66"/>
      <c r="AU1350" s="66"/>
      <c r="AV1350" s="66"/>
      <c r="AW1350" s="66"/>
      <c r="AX1350" s="66"/>
      <c r="AY1350" s="66"/>
      <c r="AZ1350" s="66"/>
      <c r="BA1350" s="66"/>
      <c r="BB1350" s="66"/>
      <c r="BC1350" s="66"/>
      <c r="BD1350" s="66"/>
      <c r="BE1350" s="67"/>
      <c r="BF1350" s="67"/>
      <c r="BG1350" s="68"/>
      <c r="BI1350" s="69">
        <v>0</v>
      </c>
      <c r="BJ1350" s="70">
        <v>0</v>
      </c>
      <c r="BK1350" s="71">
        <v>0</v>
      </c>
      <c r="BL1350" s="71">
        <v>0</v>
      </c>
      <c r="BM1350" s="71">
        <v>0</v>
      </c>
      <c r="BN1350" s="72">
        <v>0</v>
      </c>
      <c r="BO1350" s="151" t="e">
        <f t="shared" si="81"/>
        <v>#DIV/0!</v>
      </c>
      <c r="BP1350" s="151" t="e">
        <f t="shared" si="82"/>
        <v>#DIV/0!</v>
      </c>
      <c r="BQ1350" s="71">
        <v>0</v>
      </c>
      <c r="BR1350" s="71">
        <v>0</v>
      </c>
      <c r="BS1350" s="71">
        <v>0</v>
      </c>
      <c r="BT1350" s="72">
        <v>0</v>
      </c>
      <c r="BU1350" s="73"/>
      <c r="BV1350" s="73"/>
    </row>
    <row r="1351" ht="30" customHeight="1" spans="1:74">
      <c r="A1351" s="55">
        <v>0</v>
      </c>
      <c r="B1351" s="56" t="s">
        <v>1057</v>
      </c>
      <c r="C1351" s="57" t="s">
        <v>1324</v>
      </c>
      <c r="D1351" s="59" t="s">
        <v>2181</v>
      </c>
      <c r="E1351" s="59"/>
      <c r="F1351" s="59" t="e">
        <f>VLOOKUP(E1351,[1]库存!$B$1:$C$65536,2,FALSE)</f>
        <v>#N/A</v>
      </c>
      <c r="G1351" s="59" t="e">
        <v>#N/A</v>
      </c>
      <c r="H1351" s="59" t="s">
        <v>2220</v>
      </c>
      <c r="I1351" s="59" t="s">
        <v>2221</v>
      </c>
      <c r="J1351" s="159"/>
      <c r="K1351" s="61"/>
      <c r="L1351" s="62">
        <v>2</v>
      </c>
      <c r="M1351" s="63">
        <v>1200</v>
      </c>
      <c r="N1351" s="64">
        <v>14</v>
      </c>
      <c r="O1351" s="62">
        <v>2</v>
      </c>
      <c r="P1351" s="65">
        <f t="shared" si="83"/>
        <v>0</v>
      </c>
      <c r="Q1351" s="66"/>
      <c r="R1351" s="66"/>
      <c r="S1351" s="66"/>
      <c r="T1351" s="66"/>
      <c r="U1351" s="66"/>
      <c r="V1351" s="66"/>
      <c r="W1351" s="66"/>
      <c r="X1351" s="66"/>
      <c r="Y1351" s="66"/>
      <c r="Z1351" s="66"/>
      <c r="AA1351" s="66"/>
      <c r="AB1351" s="66"/>
      <c r="AC1351" s="66"/>
      <c r="AD1351" s="66"/>
      <c r="AE1351" s="66"/>
      <c r="AF1351" s="66"/>
      <c r="AG1351" s="66"/>
      <c r="AH1351" s="66"/>
      <c r="AI1351" s="66"/>
      <c r="AJ1351" s="66"/>
      <c r="AK1351" s="66"/>
      <c r="AL1351" s="66"/>
      <c r="AM1351" s="66"/>
      <c r="AN1351" s="66"/>
      <c r="AO1351" s="66"/>
      <c r="AP1351" s="66"/>
      <c r="AQ1351" s="66"/>
      <c r="AR1351" s="66"/>
      <c r="AS1351" s="66"/>
      <c r="AT1351" s="66"/>
      <c r="AU1351" s="66"/>
      <c r="AV1351" s="66"/>
      <c r="AW1351" s="66"/>
      <c r="AX1351" s="66"/>
      <c r="AY1351" s="66"/>
      <c r="AZ1351" s="66"/>
      <c r="BA1351" s="66"/>
      <c r="BB1351" s="66"/>
      <c r="BC1351" s="66"/>
      <c r="BD1351" s="66"/>
      <c r="BE1351" s="67"/>
      <c r="BF1351" s="67"/>
      <c r="BG1351" s="68"/>
      <c r="BI1351" s="69">
        <v>0</v>
      </c>
      <c r="BJ1351" s="70">
        <v>0</v>
      </c>
      <c r="BK1351" s="71">
        <v>0</v>
      </c>
      <c r="BL1351" s="71">
        <v>0</v>
      </c>
      <c r="BM1351" s="71">
        <v>0</v>
      </c>
      <c r="BN1351" s="72">
        <v>0</v>
      </c>
      <c r="BO1351" s="151" t="e">
        <f t="shared" si="81"/>
        <v>#DIV/0!</v>
      </c>
      <c r="BP1351" s="151" t="e">
        <f t="shared" si="82"/>
        <v>#DIV/0!</v>
      </c>
      <c r="BQ1351" s="71">
        <v>0</v>
      </c>
      <c r="BR1351" s="71">
        <v>0</v>
      </c>
      <c r="BS1351" s="71">
        <v>0</v>
      </c>
      <c r="BT1351" s="72">
        <v>0</v>
      </c>
      <c r="BU1351" s="73"/>
      <c r="BV1351" s="73"/>
    </row>
    <row r="1352" ht="30" customHeight="1" spans="1:74">
      <c r="A1352" s="55">
        <v>0</v>
      </c>
      <c r="B1352" s="56">
        <v>0</v>
      </c>
      <c r="C1352" s="57">
        <v>0</v>
      </c>
      <c r="D1352" s="74"/>
      <c r="E1352" s="74"/>
      <c r="F1352" s="59" t="e">
        <f>VLOOKUP(E1352,[1]库存!$B$1:$C$65536,2,FALSE)</f>
        <v>#N/A</v>
      </c>
      <c r="G1352" s="59" t="e">
        <v>#N/A</v>
      </c>
      <c r="H1352" s="74"/>
      <c r="I1352" s="74"/>
      <c r="J1352" s="160"/>
      <c r="K1352" s="61"/>
      <c r="L1352" s="62">
        <v>0</v>
      </c>
      <c r="M1352" s="63">
        <v>0</v>
      </c>
      <c r="N1352" s="64">
        <v>0</v>
      </c>
      <c r="O1352" s="62">
        <v>0</v>
      </c>
      <c r="P1352" s="65">
        <f t="shared" si="83"/>
        <v>0</v>
      </c>
      <c r="Q1352" s="66"/>
      <c r="R1352" s="66"/>
      <c r="S1352" s="66"/>
      <c r="T1352" s="66"/>
      <c r="U1352" s="66"/>
      <c r="V1352" s="66"/>
      <c r="W1352" s="66"/>
      <c r="X1352" s="66"/>
      <c r="Y1352" s="66"/>
      <c r="Z1352" s="66"/>
      <c r="AA1352" s="66"/>
      <c r="AB1352" s="66"/>
      <c r="AC1352" s="66"/>
      <c r="AD1352" s="66"/>
      <c r="AE1352" s="66"/>
      <c r="AF1352" s="66"/>
      <c r="AG1352" s="66"/>
      <c r="AH1352" s="66"/>
      <c r="AI1352" s="66"/>
      <c r="AJ1352" s="66"/>
      <c r="AK1352" s="66"/>
      <c r="AL1352" s="66"/>
      <c r="AM1352" s="66"/>
      <c r="AN1352" s="66"/>
      <c r="AO1352" s="66"/>
      <c r="AP1352" s="66"/>
      <c r="AQ1352" s="66"/>
      <c r="AR1352" s="66"/>
      <c r="AS1352" s="66"/>
      <c r="AT1352" s="66"/>
      <c r="AU1352" s="66"/>
      <c r="AV1352" s="66"/>
      <c r="AW1352" s="66"/>
      <c r="AX1352" s="66"/>
      <c r="AY1352" s="66"/>
      <c r="AZ1352" s="66"/>
      <c r="BA1352" s="66"/>
      <c r="BB1352" s="66"/>
      <c r="BC1352" s="66"/>
      <c r="BD1352" s="66"/>
      <c r="BE1352" s="67"/>
      <c r="BF1352" s="67"/>
      <c r="BG1352" s="68"/>
      <c r="BI1352" s="69">
        <v>0</v>
      </c>
      <c r="BJ1352" s="70">
        <v>0</v>
      </c>
      <c r="BK1352" s="71">
        <v>0</v>
      </c>
      <c r="BL1352" s="71">
        <v>0</v>
      </c>
      <c r="BM1352" s="71">
        <v>0</v>
      </c>
      <c r="BN1352" s="72">
        <v>0</v>
      </c>
      <c r="BO1352" s="151" t="e">
        <f t="shared" si="81"/>
        <v>#DIV/0!</v>
      </c>
      <c r="BP1352" s="151" t="e">
        <f t="shared" si="82"/>
        <v>#DIV/0!</v>
      </c>
      <c r="BQ1352" s="71">
        <v>0</v>
      </c>
      <c r="BR1352" s="71">
        <v>0</v>
      </c>
      <c r="BS1352" s="71">
        <v>0</v>
      </c>
      <c r="BT1352" s="72">
        <v>0</v>
      </c>
      <c r="BU1352" s="73"/>
      <c r="BV1352" s="73"/>
    </row>
    <row r="1353" ht="30" customHeight="1" spans="1:74">
      <c r="A1353" s="55">
        <v>0</v>
      </c>
      <c r="B1353" s="56" t="s">
        <v>1057</v>
      </c>
      <c r="C1353" s="57" t="s">
        <v>1324</v>
      </c>
      <c r="D1353" s="59" t="s">
        <v>2181</v>
      </c>
      <c r="E1353" s="59"/>
      <c r="F1353" s="59" t="e">
        <f>VLOOKUP(E1353,[1]库存!$B$1:$C$65536,2,FALSE)</f>
        <v>#N/A</v>
      </c>
      <c r="G1353" s="59" t="e">
        <v>#N/A</v>
      </c>
      <c r="H1353" s="59" t="s">
        <v>2222</v>
      </c>
      <c r="I1353" s="59" t="s">
        <v>2223</v>
      </c>
      <c r="J1353" s="159"/>
      <c r="K1353" s="61"/>
      <c r="L1353" s="62">
        <v>2</v>
      </c>
      <c r="M1353" s="63">
        <v>1200</v>
      </c>
      <c r="N1353" s="64">
        <v>14</v>
      </c>
      <c r="O1353" s="62">
        <v>2</v>
      </c>
      <c r="P1353" s="65">
        <f t="shared" si="83"/>
        <v>0</v>
      </c>
      <c r="Q1353" s="66"/>
      <c r="R1353" s="66"/>
      <c r="S1353" s="66"/>
      <c r="T1353" s="66"/>
      <c r="U1353" s="66"/>
      <c r="V1353" s="66"/>
      <c r="W1353" s="66"/>
      <c r="X1353" s="66"/>
      <c r="Y1353" s="66"/>
      <c r="Z1353" s="66"/>
      <c r="AA1353" s="66"/>
      <c r="AB1353" s="66"/>
      <c r="AC1353" s="66"/>
      <c r="AD1353" s="66"/>
      <c r="AE1353" s="66"/>
      <c r="AF1353" s="66"/>
      <c r="AG1353" s="66"/>
      <c r="AH1353" s="66"/>
      <c r="AI1353" s="66"/>
      <c r="AJ1353" s="66"/>
      <c r="AK1353" s="66"/>
      <c r="AL1353" s="66"/>
      <c r="AM1353" s="66"/>
      <c r="AN1353" s="66"/>
      <c r="AO1353" s="66"/>
      <c r="AP1353" s="66"/>
      <c r="AQ1353" s="66"/>
      <c r="AR1353" s="66"/>
      <c r="AS1353" s="66"/>
      <c r="AT1353" s="66"/>
      <c r="AU1353" s="66"/>
      <c r="AV1353" s="66"/>
      <c r="AW1353" s="66"/>
      <c r="AX1353" s="66"/>
      <c r="AY1353" s="66"/>
      <c r="AZ1353" s="66"/>
      <c r="BA1353" s="66"/>
      <c r="BB1353" s="66"/>
      <c r="BC1353" s="66"/>
      <c r="BD1353" s="66"/>
      <c r="BE1353" s="67"/>
      <c r="BF1353" s="67"/>
      <c r="BG1353" s="68"/>
      <c r="BI1353" s="69">
        <v>0</v>
      </c>
      <c r="BJ1353" s="70">
        <v>0</v>
      </c>
      <c r="BK1353" s="71">
        <v>0</v>
      </c>
      <c r="BL1353" s="71">
        <v>0</v>
      </c>
      <c r="BM1353" s="71">
        <v>0</v>
      </c>
      <c r="BN1353" s="72">
        <v>0</v>
      </c>
      <c r="BO1353" s="151" t="e">
        <f t="shared" si="81"/>
        <v>#DIV/0!</v>
      </c>
      <c r="BP1353" s="151" t="e">
        <f t="shared" si="82"/>
        <v>#DIV/0!</v>
      </c>
      <c r="BQ1353" s="71">
        <v>0</v>
      </c>
      <c r="BR1353" s="71">
        <v>0</v>
      </c>
      <c r="BS1353" s="71">
        <v>0</v>
      </c>
      <c r="BT1353" s="72">
        <v>0</v>
      </c>
      <c r="BU1353" s="73"/>
      <c r="BV1353" s="73"/>
    </row>
    <row r="1354" ht="30" customHeight="1" spans="1:74">
      <c r="A1354" s="55">
        <v>0</v>
      </c>
      <c r="B1354" s="56">
        <v>0</v>
      </c>
      <c r="C1354" s="57">
        <v>0</v>
      </c>
      <c r="D1354" s="74"/>
      <c r="E1354" s="74"/>
      <c r="F1354" s="59" t="e">
        <f>VLOOKUP(E1354,[1]库存!$B$1:$C$65536,2,FALSE)</f>
        <v>#N/A</v>
      </c>
      <c r="G1354" s="59" t="e">
        <v>#N/A</v>
      </c>
      <c r="H1354" s="74"/>
      <c r="I1354" s="74"/>
      <c r="J1354" s="160"/>
      <c r="K1354" s="61"/>
      <c r="L1354" s="62">
        <v>0</v>
      </c>
      <c r="M1354" s="63">
        <v>0</v>
      </c>
      <c r="N1354" s="64">
        <v>0</v>
      </c>
      <c r="O1354" s="62">
        <v>0</v>
      </c>
      <c r="P1354" s="65">
        <f t="shared" si="83"/>
        <v>0</v>
      </c>
      <c r="Q1354" s="66"/>
      <c r="R1354" s="66"/>
      <c r="S1354" s="66"/>
      <c r="T1354" s="66"/>
      <c r="U1354" s="66"/>
      <c r="V1354" s="66"/>
      <c r="W1354" s="66"/>
      <c r="X1354" s="66"/>
      <c r="Y1354" s="66"/>
      <c r="Z1354" s="66"/>
      <c r="AA1354" s="66"/>
      <c r="AB1354" s="66"/>
      <c r="AC1354" s="66"/>
      <c r="AD1354" s="66"/>
      <c r="AE1354" s="66"/>
      <c r="AF1354" s="66"/>
      <c r="AG1354" s="66"/>
      <c r="AH1354" s="66"/>
      <c r="AI1354" s="66"/>
      <c r="AJ1354" s="66"/>
      <c r="AK1354" s="66"/>
      <c r="AL1354" s="66"/>
      <c r="AM1354" s="66"/>
      <c r="AN1354" s="66"/>
      <c r="AO1354" s="66"/>
      <c r="AP1354" s="66"/>
      <c r="AQ1354" s="66"/>
      <c r="AR1354" s="66"/>
      <c r="AS1354" s="66"/>
      <c r="AT1354" s="66"/>
      <c r="AU1354" s="66"/>
      <c r="AV1354" s="66"/>
      <c r="AW1354" s="66"/>
      <c r="AX1354" s="66"/>
      <c r="AY1354" s="66"/>
      <c r="AZ1354" s="66"/>
      <c r="BA1354" s="66"/>
      <c r="BB1354" s="66"/>
      <c r="BC1354" s="66"/>
      <c r="BD1354" s="66"/>
      <c r="BE1354" s="67"/>
      <c r="BF1354" s="67"/>
      <c r="BG1354" s="68"/>
      <c r="BI1354" s="69">
        <v>0</v>
      </c>
      <c r="BJ1354" s="70">
        <v>0</v>
      </c>
      <c r="BK1354" s="71">
        <v>0</v>
      </c>
      <c r="BL1354" s="71">
        <v>0</v>
      </c>
      <c r="BM1354" s="71">
        <v>0</v>
      </c>
      <c r="BN1354" s="72">
        <v>0</v>
      </c>
      <c r="BO1354" s="151" t="e">
        <f t="shared" si="81"/>
        <v>#DIV/0!</v>
      </c>
      <c r="BP1354" s="151" t="e">
        <f t="shared" si="82"/>
        <v>#DIV/0!</v>
      </c>
      <c r="BQ1354" s="71">
        <v>0</v>
      </c>
      <c r="BR1354" s="71">
        <v>0</v>
      </c>
      <c r="BS1354" s="71">
        <v>0</v>
      </c>
      <c r="BT1354" s="72">
        <v>0</v>
      </c>
      <c r="BU1354" s="73"/>
      <c r="BV1354" s="73"/>
    </row>
    <row r="1355" ht="30" customHeight="1" spans="1:74">
      <c r="A1355" s="55">
        <v>0</v>
      </c>
      <c r="B1355" s="56" t="s">
        <v>1057</v>
      </c>
      <c r="C1355" s="57" t="s">
        <v>1324</v>
      </c>
      <c r="D1355" s="59" t="s">
        <v>2181</v>
      </c>
      <c r="E1355" s="59"/>
      <c r="F1355" s="59" t="e">
        <f>VLOOKUP(E1355,[1]库存!$B$1:$C$65536,2,FALSE)</f>
        <v>#N/A</v>
      </c>
      <c r="G1355" s="59" t="e">
        <v>#N/A</v>
      </c>
      <c r="H1355" s="59" t="s">
        <v>2224</v>
      </c>
      <c r="I1355" s="59" t="s">
        <v>2225</v>
      </c>
      <c r="J1355" s="159"/>
      <c r="K1355" s="61"/>
      <c r="L1355" s="62">
        <v>2</v>
      </c>
      <c r="M1355" s="63">
        <v>1200</v>
      </c>
      <c r="N1355" s="64">
        <v>14</v>
      </c>
      <c r="O1355" s="62">
        <v>2</v>
      </c>
      <c r="P1355" s="65">
        <f t="shared" si="83"/>
        <v>0</v>
      </c>
      <c r="Q1355" s="66"/>
      <c r="R1355" s="66"/>
      <c r="S1355" s="66"/>
      <c r="T1355" s="66"/>
      <c r="U1355" s="66"/>
      <c r="V1355" s="66"/>
      <c r="W1355" s="66"/>
      <c r="X1355" s="66"/>
      <c r="Y1355" s="66"/>
      <c r="Z1355" s="66"/>
      <c r="AA1355" s="66"/>
      <c r="AB1355" s="66"/>
      <c r="AC1355" s="66"/>
      <c r="AD1355" s="66"/>
      <c r="AE1355" s="66"/>
      <c r="AF1355" s="66"/>
      <c r="AG1355" s="66"/>
      <c r="AH1355" s="66"/>
      <c r="AI1355" s="66"/>
      <c r="AJ1355" s="66"/>
      <c r="AK1355" s="66"/>
      <c r="AL1355" s="66"/>
      <c r="AM1355" s="66"/>
      <c r="AN1355" s="66"/>
      <c r="AO1355" s="66"/>
      <c r="AP1355" s="66"/>
      <c r="AQ1355" s="66"/>
      <c r="AR1355" s="66"/>
      <c r="AS1355" s="66"/>
      <c r="AT1355" s="66"/>
      <c r="AU1355" s="66"/>
      <c r="AV1355" s="66"/>
      <c r="AW1355" s="66"/>
      <c r="AX1355" s="66"/>
      <c r="AY1355" s="66"/>
      <c r="AZ1355" s="66"/>
      <c r="BA1355" s="66"/>
      <c r="BB1355" s="66"/>
      <c r="BC1355" s="66"/>
      <c r="BD1355" s="66"/>
      <c r="BE1355" s="67"/>
      <c r="BF1355" s="67"/>
      <c r="BG1355" s="68"/>
      <c r="BI1355" s="69">
        <v>0</v>
      </c>
      <c r="BJ1355" s="70">
        <v>0</v>
      </c>
      <c r="BK1355" s="71">
        <v>0</v>
      </c>
      <c r="BL1355" s="71">
        <v>0</v>
      </c>
      <c r="BM1355" s="71">
        <v>0</v>
      </c>
      <c r="BN1355" s="72">
        <v>0</v>
      </c>
      <c r="BO1355" s="151" t="e">
        <f t="shared" si="81"/>
        <v>#DIV/0!</v>
      </c>
      <c r="BP1355" s="151" t="e">
        <f t="shared" si="82"/>
        <v>#DIV/0!</v>
      </c>
      <c r="BQ1355" s="71">
        <v>0</v>
      </c>
      <c r="BR1355" s="71">
        <v>0</v>
      </c>
      <c r="BS1355" s="71">
        <v>0</v>
      </c>
      <c r="BT1355" s="72">
        <v>0</v>
      </c>
      <c r="BU1355" s="73"/>
      <c r="BV1355" s="73"/>
    </row>
    <row r="1356" ht="30" customHeight="1" spans="1:74">
      <c r="A1356" s="55">
        <v>0</v>
      </c>
      <c r="B1356" s="56">
        <v>0</v>
      </c>
      <c r="C1356" s="57">
        <v>0</v>
      </c>
      <c r="D1356" s="74"/>
      <c r="E1356" s="74"/>
      <c r="F1356" s="59" t="e">
        <f>VLOOKUP(E1356,[1]库存!$B$1:$C$65536,2,FALSE)</f>
        <v>#N/A</v>
      </c>
      <c r="G1356" s="59" t="e">
        <v>#N/A</v>
      </c>
      <c r="H1356" s="74"/>
      <c r="I1356" s="74"/>
      <c r="J1356" s="160"/>
      <c r="K1356" s="61"/>
      <c r="L1356" s="62">
        <v>0</v>
      </c>
      <c r="M1356" s="63">
        <v>0</v>
      </c>
      <c r="N1356" s="64">
        <v>0</v>
      </c>
      <c r="O1356" s="62">
        <v>0</v>
      </c>
      <c r="P1356" s="65">
        <f t="shared" si="83"/>
        <v>0</v>
      </c>
      <c r="Q1356" s="66"/>
      <c r="R1356" s="66"/>
      <c r="S1356" s="66"/>
      <c r="T1356" s="66"/>
      <c r="U1356" s="66"/>
      <c r="V1356" s="66"/>
      <c r="W1356" s="66"/>
      <c r="X1356" s="66"/>
      <c r="Y1356" s="66"/>
      <c r="Z1356" s="66"/>
      <c r="AA1356" s="66"/>
      <c r="AB1356" s="66"/>
      <c r="AC1356" s="66"/>
      <c r="AD1356" s="66"/>
      <c r="AE1356" s="66"/>
      <c r="AF1356" s="66"/>
      <c r="AG1356" s="66"/>
      <c r="AH1356" s="66"/>
      <c r="AI1356" s="66"/>
      <c r="AJ1356" s="66"/>
      <c r="AK1356" s="66"/>
      <c r="AL1356" s="66"/>
      <c r="AM1356" s="66"/>
      <c r="AN1356" s="66"/>
      <c r="AO1356" s="66"/>
      <c r="AP1356" s="66"/>
      <c r="AQ1356" s="66"/>
      <c r="AR1356" s="66"/>
      <c r="AS1356" s="66"/>
      <c r="AT1356" s="66"/>
      <c r="AU1356" s="66"/>
      <c r="AV1356" s="66"/>
      <c r="AW1356" s="66"/>
      <c r="AX1356" s="66"/>
      <c r="AY1356" s="66"/>
      <c r="AZ1356" s="66"/>
      <c r="BA1356" s="66"/>
      <c r="BB1356" s="66"/>
      <c r="BC1356" s="66"/>
      <c r="BD1356" s="66"/>
      <c r="BE1356" s="67"/>
      <c r="BF1356" s="67"/>
      <c r="BG1356" s="68"/>
      <c r="BI1356" s="69">
        <v>0</v>
      </c>
      <c r="BJ1356" s="70">
        <v>0</v>
      </c>
      <c r="BK1356" s="71">
        <v>0</v>
      </c>
      <c r="BL1356" s="71">
        <v>0</v>
      </c>
      <c r="BM1356" s="71">
        <v>0</v>
      </c>
      <c r="BN1356" s="72">
        <v>0</v>
      </c>
      <c r="BO1356" s="151" t="e">
        <f t="shared" si="81"/>
        <v>#DIV/0!</v>
      </c>
      <c r="BP1356" s="151" t="e">
        <f t="shared" si="82"/>
        <v>#DIV/0!</v>
      </c>
      <c r="BQ1356" s="71">
        <v>0</v>
      </c>
      <c r="BR1356" s="71">
        <v>0</v>
      </c>
      <c r="BS1356" s="71">
        <v>0</v>
      </c>
      <c r="BT1356" s="72">
        <v>0</v>
      </c>
      <c r="BU1356" s="73"/>
      <c r="BV1356" s="73"/>
    </row>
    <row r="1357" ht="30" customHeight="1" spans="1:74">
      <c r="A1357" s="55">
        <v>0</v>
      </c>
      <c r="B1357" s="56">
        <v>0</v>
      </c>
      <c r="C1357" s="57">
        <v>0</v>
      </c>
      <c r="D1357" s="210"/>
      <c r="E1357" s="88"/>
      <c r="F1357" s="59" t="e">
        <f>VLOOKUP(E1357,[1]库存!$B$1:$C$65536,2,FALSE)</f>
        <v>#N/A</v>
      </c>
      <c r="G1357" s="59" t="e">
        <v>#N/A</v>
      </c>
      <c r="H1357" s="238"/>
      <c r="I1357" s="239"/>
      <c r="J1357" s="90"/>
      <c r="K1357" s="61"/>
      <c r="L1357" s="62">
        <v>0</v>
      </c>
      <c r="M1357" s="63">
        <v>0</v>
      </c>
      <c r="N1357" s="64">
        <v>0</v>
      </c>
      <c r="O1357" s="62">
        <v>0</v>
      </c>
      <c r="P1357" s="65">
        <f t="shared" si="83"/>
        <v>0</v>
      </c>
      <c r="Q1357" s="66"/>
      <c r="R1357" s="66"/>
      <c r="S1357" s="66"/>
      <c r="T1357" s="66"/>
      <c r="U1357" s="66"/>
      <c r="V1357" s="66"/>
      <c r="W1357" s="66"/>
      <c r="X1357" s="66"/>
      <c r="Y1357" s="66"/>
      <c r="Z1357" s="66"/>
      <c r="AA1357" s="66"/>
      <c r="AB1357" s="66"/>
      <c r="AC1357" s="66"/>
      <c r="AD1357" s="66"/>
      <c r="AE1357" s="66"/>
      <c r="AF1357" s="66"/>
      <c r="AG1357" s="66"/>
      <c r="AH1357" s="66"/>
      <c r="AI1357" s="66"/>
      <c r="AJ1357" s="66"/>
      <c r="AK1357" s="66"/>
      <c r="AL1357" s="66"/>
      <c r="AM1357" s="66"/>
      <c r="AN1357" s="66"/>
      <c r="AO1357" s="66"/>
      <c r="AP1357" s="66"/>
      <c r="AQ1357" s="66"/>
      <c r="AR1357" s="66"/>
      <c r="AS1357" s="66"/>
      <c r="AT1357" s="66"/>
      <c r="AU1357" s="66"/>
      <c r="AV1357" s="66"/>
      <c r="AW1357" s="66"/>
      <c r="AX1357" s="66"/>
      <c r="AY1357" s="66"/>
      <c r="AZ1357" s="66"/>
      <c r="BA1357" s="66"/>
      <c r="BB1357" s="66"/>
      <c r="BC1357" s="66"/>
      <c r="BD1357" s="66"/>
      <c r="BE1357" s="67"/>
      <c r="BF1357" s="67"/>
      <c r="BG1357" s="68"/>
      <c r="BI1357" s="69">
        <v>0</v>
      </c>
      <c r="BJ1357" s="70">
        <v>0</v>
      </c>
      <c r="BK1357" s="71">
        <v>0</v>
      </c>
      <c r="BL1357" s="71">
        <v>0</v>
      </c>
      <c r="BM1357" s="71">
        <v>0</v>
      </c>
      <c r="BN1357" s="72">
        <v>0</v>
      </c>
      <c r="BO1357" s="151" t="e">
        <f t="shared" si="81"/>
        <v>#DIV/0!</v>
      </c>
      <c r="BP1357" s="151" t="e">
        <f t="shared" si="82"/>
        <v>#DIV/0!</v>
      </c>
      <c r="BQ1357" s="71">
        <v>0</v>
      </c>
      <c r="BR1357" s="71">
        <v>0</v>
      </c>
      <c r="BS1357" s="71">
        <v>0</v>
      </c>
      <c r="BT1357" s="72">
        <v>0</v>
      </c>
      <c r="BU1357" s="73"/>
      <c r="BV1357" s="73"/>
    </row>
    <row r="1358" ht="30" customHeight="1" spans="1:74">
      <c r="A1358" s="55" t="s">
        <v>96</v>
      </c>
      <c r="B1358" s="56" t="s">
        <v>1057</v>
      </c>
      <c r="C1358" s="57" t="s">
        <v>1324</v>
      </c>
      <c r="D1358" s="91" t="s">
        <v>2226</v>
      </c>
      <c r="E1358" s="91" t="s">
        <v>2227</v>
      </c>
      <c r="F1358" s="91" t="str">
        <f>VLOOKUP(E1358,[1]库存!$B$1:$C$65536,2,FALSE)</f>
        <v>SVW Lavida MP22 SAB LH</v>
      </c>
      <c r="G1358" s="91" t="s">
        <v>2228</v>
      </c>
      <c r="H1358" s="91" t="s">
        <v>2229</v>
      </c>
      <c r="I1358" s="91" t="s">
        <v>2230</v>
      </c>
      <c r="J1358" s="63"/>
      <c r="K1358" s="61"/>
      <c r="L1358" s="62">
        <v>2</v>
      </c>
      <c r="M1358" s="63">
        <v>1450</v>
      </c>
      <c r="N1358" s="64">
        <v>14</v>
      </c>
      <c r="O1358" s="62">
        <v>2</v>
      </c>
      <c r="P1358" s="65">
        <f t="shared" si="83"/>
        <v>0</v>
      </c>
      <c r="Q1358" s="103">
        <v>600</v>
      </c>
      <c r="R1358" s="66"/>
      <c r="S1358" s="103">
        <v>1800</v>
      </c>
      <c r="T1358" s="66"/>
      <c r="U1358" s="103"/>
      <c r="V1358" s="66"/>
      <c r="W1358" s="103"/>
      <c r="X1358" s="66"/>
      <c r="Y1358" s="103"/>
      <c r="Z1358" s="66"/>
      <c r="AA1358" s="103"/>
      <c r="AB1358" s="66"/>
      <c r="AC1358" s="103"/>
      <c r="AD1358" s="66"/>
      <c r="AE1358" s="103"/>
      <c r="AF1358" s="66"/>
      <c r="AG1358" s="103"/>
      <c r="AH1358" s="66"/>
      <c r="AI1358" s="242"/>
      <c r="AJ1358" s="66"/>
      <c r="AK1358" s="103"/>
      <c r="AL1358" s="66"/>
      <c r="AM1358" s="103"/>
      <c r="AN1358" s="66"/>
      <c r="AO1358" s="103"/>
      <c r="AP1358" s="66"/>
      <c r="AQ1358" s="103"/>
      <c r="AR1358" s="66"/>
      <c r="AS1358" s="103"/>
      <c r="AT1358" s="66"/>
      <c r="AU1358" s="103"/>
      <c r="AV1358" s="66"/>
      <c r="AW1358" s="103"/>
      <c r="AX1358" s="66"/>
      <c r="AY1358" s="103"/>
      <c r="AZ1358" s="66"/>
      <c r="BA1358" s="103"/>
      <c r="BB1358" s="66"/>
      <c r="BC1358" s="103"/>
      <c r="BD1358" s="66"/>
      <c r="BE1358" s="67"/>
      <c r="BF1358" s="67"/>
      <c r="BG1358" s="68"/>
      <c r="BI1358" s="69">
        <v>0</v>
      </c>
      <c r="BJ1358" s="70">
        <v>0</v>
      </c>
      <c r="BK1358" s="71">
        <v>0</v>
      </c>
      <c r="BL1358" s="71">
        <v>0</v>
      </c>
      <c r="BM1358" s="71">
        <v>0</v>
      </c>
      <c r="BN1358" s="72">
        <v>0</v>
      </c>
      <c r="BO1358" s="151" t="e">
        <f t="shared" si="81"/>
        <v>#DIV/0!</v>
      </c>
      <c r="BP1358" s="151" t="e">
        <f t="shared" si="82"/>
        <v>#DIV/0!</v>
      </c>
      <c r="BQ1358" s="71">
        <v>0</v>
      </c>
      <c r="BR1358" s="71">
        <v>0</v>
      </c>
      <c r="BS1358" s="71">
        <v>0</v>
      </c>
      <c r="BT1358" s="72">
        <v>0</v>
      </c>
      <c r="BU1358" s="73"/>
      <c r="BV1358" s="73"/>
    </row>
    <row r="1359" ht="30" customHeight="1" spans="1:74">
      <c r="A1359" s="55">
        <v>0</v>
      </c>
      <c r="B1359" s="56">
        <v>0</v>
      </c>
      <c r="C1359" s="57">
        <v>0</v>
      </c>
      <c r="D1359" s="92"/>
      <c r="E1359" s="92"/>
      <c r="F1359" s="91" t="e">
        <f>VLOOKUP(E1359,[1]库存!$B$1:$C$65536,2,FALSE)</f>
        <v>#N/A</v>
      </c>
      <c r="G1359" s="91" t="e">
        <v>#N/A</v>
      </c>
      <c r="H1359" s="92"/>
      <c r="I1359" s="92"/>
      <c r="J1359" s="87"/>
      <c r="K1359" s="61"/>
      <c r="L1359" s="62">
        <v>0</v>
      </c>
      <c r="M1359" s="63">
        <v>0</v>
      </c>
      <c r="N1359" s="64">
        <v>0</v>
      </c>
      <c r="O1359" s="62">
        <v>0</v>
      </c>
      <c r="P1359" s="65">
        <f t="shared" si="83"/>
        <v>0</v>
      </c>
      <c r="Q1359" s="66"/>
      <c r="R1359" s="66"/>
      <c r="S1359" s="66">
        <v>2088</v>
      </c>
      <c r="T1359" s="66"/>
      <c r="U1359" s="66"/>
      <c r="V1359" s="66"/>
      <c r="W1359" s="66"/>
      <c r="X1359" s="66"/>
      <c r="Y1359" s="66"/>
      <c r="Z1359" s="66"/>
      <c r="AA1359" s="66"/>
      <c r="AB1359" s="66"/>
      <c r="AC1359" s="66"/>
      <c r="AD1359" s="66"/>
      <c r="AE1359" s="66"/>
      <c r="AF1359" s="66"/>
      <c r="AG1359" s="66"/>
      <c r="AH1359" s="66"/>
      <c r="AI1359" s="66"/>
      <c r="AJ1359" s="66"/>
      <c r="AK1359" s="66"/>
      <c r="AL1359" s="66"/>
      <c r="AM1359" s="66"/>
      <c r="AN1359" s="66"/>
      <c r="AO1359" s="66"/>
      <c r="AP1359" s="66"/>
      <c r="AQ1359" s="66"/>
      <c r="AR1359" s="66"/>
      <c r="AS1359" s="66"/>
      <c r="AT1359" s="66"/>
      <c r="AU1359" s="66"/>
      <c r="AV1359" s="66"/>
      <c r="AW1359" s="66"/>
      <c r="AX1359" s="66"/>
      <c r="AY1359" s="66"/>
      <c r="AZ1359" s="66"/>
      <c r="BA1359" s="66"/>
      <c r="BB1359" s="66"/>
      <c r="BC1359" s="66"/>
      <c r="BD1359" s="66"/>
      <c r="BE1359" s="67"/>
      <c r="BF1359" s="67"/>
      <c r="BG1359" s="68"/>
      <c r="BI1359" s="69">
        <v>0</v>
      </c>
      <c r="BJ1359" s="70">
        <v>0</v>
      </c>
      <c r="BK1359" s="71">
        <v>0</v>
      </c>
      <c r="BL1359" s="71">
        <v>0</v>
      </c>
      <c r="BM1359" s="71">
        <v>0</v>
      </c>
      <c r="BN1359" s="72">
        <v>0</v>
      </c>
      <c r="BO1359" s="151" t="e">
        <f t="shared" si="81"/>
        <v>#DIV/0!</v>
      </c>
      <c r="BP1359" s="151" t="e">
        <f t="shared" si="82"/>
        <v>#DIV/0!</v>
      </c>
      <c r="BQ1359" s="71">
        <v>0</v>
      </c>
      <c r="BR1359" s="71">
        <v>0</v>
      </c>
      <c r="BS1359" s="71">
        <v>0</v>
      </c>
      <c r="BT1359" s="72">
        <v>0</v>
      </c>
      <c r="BU1359" s="73"/>
      <c r="BV1359" s="73"/>
    </row>
    <row r="1360" ht="30" customHeight="1" spans="1:74">
      <c r="A1360" s="55" t="s">
        <v>96</v>
      </c>
      <c r="B1360" s="56" t="s">
        <v>1057</v>
      </c>
      <c r="C1360" s="57" t="s">
        <v>1324</v>
      </c>
      <c r="D1360" s="91" t="s">
        <v>2226</v>
      </c>
      <c r="E1360" s="91" t="s">
        <v>2231</v>
      </c>
      <c r="F1360" s="91" t="str">
        <f>VLOOKUP(E1360,[1]库存!$B$1:$C$65536,2,FALSE)</f>
        <v>SVW Lavida MP22 SAB RH</v>
      </c>
      <c r="G1360" s="91" t="s">
        <v>2232</v>
      </c>
      <c r="H1360" s="91" t="s">
        <v>2233</v>
      </c>
      <c r="I1360" s="91" t="s">
        <v>2230</v>
      </c>
      <c r="J1360" s="63"/>
      <c r="K1360" s="61"/>
      <c r="L1360" s="62">
        <v>2</v>
      </c>
      <c r="M1360" s="63">
        <v>1450</v>
      </c>
      <c r="N1360" s="64">
        <v>14</v>
      </c>
      <c r="O1360" s="62">
        <v>2</v>
      </c>
      <c r="P1360" s="65">
        <f t="shared" si="83"/>
        <v>0</v>
      </c>
      <c r="Q1360" s="103">
        <v>1200</v>
      </c>
      <c r="R1360" s="66"/>
      <c r="S1360" s="103"/>
      <c r="T1360" s="66"/>
      <c r="U1360" s="103"/>
      <c r="V1360" s="66"/>
      <c r="W1360" s="103"/>
      <c r="X1360" s="66"/>
      <c r="Y1360" s="103"/>
      <c r="Z1360" s="66"/>
      <c r="AA1360" s="103"/>
      <c r="AB1360" s="66"/>
      <c r="AC1360" s="103"/>
      <c r="AD1360" s="66"/>
      <c r="AE1360" s="103"/>
      <c r="AF1360" s="66"/>
      <c r="AG1360" s="103"/>
      <c r="AH1360" s="66"/>
      <c r="AI1360" s="103"/>
      <c r="AJ1360" s="66"/>
      <c r="AK1360" s="103"/>
      <c r="AL1360" s="66"/>
      <c r="AM1360" s="103"/>
      <c r="AN1360" s="66"/>
      <c r="AO1360" s="103"/>
      <c r="AP1360" s="66"/>
      <c r="AQ1360" s="103"/>
      <c r="AR1360" s="66"/>
      <c r="AS1360" s="103"/>
      <c r="AT1360" s="66"/>
      <c r="AU1360" s="103"/>
      <c r="AV1360" s="66"/>
      <c r="AW1360" s="103"/>
      <c r="AX1360" s="66"/>
      <c r="AY1360" s="103"/>
      <c r="AZ1360" s="66"/>
      <c r="BA1360" s="103"/>
      <c r="BB1360" s="66"/>
      <c r="BC1360" s="103"/>
      <c r="BD1360" s="66"/>
      <c r="BE1360" s="105"/>
      <c r="BF1360" s="67"/>
      <c r="BG1360" s="68"/>
      <c r="BI1360" s="69">
        <v>0</v>
      </c>
      <c r="BJ1360" s="70">
        <v>0</v>
      </c>
      <c r="BK1360" s="71">
        <v>0</v>
      </c>
      <c r="BL1360" s="71">
        <v>0</v>
      </c>
      <c r="BM1360" s="71">
        <v>0</v>
      </c>
      <c r="BN1360" s="72">
        <v>0</v>
      </c>
      <c r="BO1360" s="151" t="e">
        <f t="shared" si="81"/>
        <v>#DIV/0!</v>
      </c>
      <c r="BP1360" s="151" t="e">
        <f t="shared" si="82"/>
        <v>#DIV/0!</v>
      </c>
      <c r="BQ1360" s="71">
        <v>0</v>
      </c>
      <c r="BR1360" s="71">
        <v>0</v>
      </c>
      <c r="BS1360" s="71">
        <v>0</v>
      </c>
      <c r="BT1360" s="72">
        <v>0</v>
      </c>
      <c r="BU1360" s="73"/>
      <c r="BV1360" s="73"/>
    </row>
    <row r="1361" ht="30" customHeight="1" spans="1:75 16331:16349">
      <c r="A1361" s="55">
        <v>0</v>
      </c>
      <c r="B1361" s="56">
        <v>0</v>
      </c>
      <c r="C1361" s="57">
        <v>0</v>
      </c>
      <c r="D1361" s="92"/>
      <c r="E1361" s="92"/>
      <c r="F1361" s="91" t="e">
        <f>VLOOKUP(E1361,[1]库存!$B$1:$C$65536,2,FALSE)</f>
        <v>#N/A</v>
      </c>
      <c r="G1361" s="91" t="e">
        <v>#N/A</v>
      </c>
      <c r="H1361" s="92"/>
      <c r="I1361" s="92"/>
      <c r="J1361" s="87"/>
      <c r="K1361" s="61"/>
      <c r="L1361" s="62">
        <v>0</v>
      </c>
      <c r="M1361" s="63">
        <v>0</v>
      </c>
      <c r="N1361" s="64">
        <v>0</v>
      </c>
      <c r="O1361" s="62">
        <v>0</v>
      </c>
      <c r="P1361" s="65">
        <f t="shared" si="83"/>
        <v>0</v>
      </c>
      <c r="Q1361" s="66">
        <v>1748</v>
      </c>
      <c r="R1361" s="66"/>
      <c r="S1361" s="66"/>
      <c r="T1361" s="66"/>
      <c r="U1361" s="66"/>
      <c r="V1361" s="66"/>
      <c r="W1361" s="66"/>
      <c r="X1361" s="66"/>
      <c r="Y1361" s="66"/>
      <c r="Z1361" s="66"/>
      <c r="AA1361" s="66"/>
      <c r="AB1361" s="66"/>
      <c r="AC1361" s="66"/>
      <c r="AD1361" s="66"/>
      <c r="AE1361" s="66"/>
      <c r="AF1361" s="66"/>
      <c r="AG1361" s="66"/>
      <c r="AH1361" s="66"/>
      <c r="AI1361" s="66"/>
      <c r="AJ1361" s="66"/>
      <c r="AK1361" s="66"/>
      <c r="AL1361" s="66"/>
      <c r="AM1361" s="66"/>
      <c r="AN1361" s="66"/>
      <c r="AO1361" s="66"/>
      <c r="AP1361" s="66"/>
      <c r="AQ1361" s="66"/>
      <c r="AR1361" s="66"/>
      <c r="AS1361" s="66"/>
      <c r="AT1361" s="66"/>
      <c r="AU1361" s="66"/>
      <c r="AV1361" s="66"/>
      <c r="AW1361" s="66"/>
      <c r="AX1361" s="66"/>
      <c r="AY1361" s="66"/>
      <c r="AZ1361" s="66"/>
      <c r="BA1361" s="66"/>
      <c r="BB1361" s="66"/>
      <c r="BC1361" s="66"/>
      <c r="BD1361" s="66"/>
      <c r="BE1361" s="67"/>
      <c r="BF1361" s="67"/>
      <c r="BG1361" s="68"/>
      <c r="BI1361" s="69">
        <v>0</v>
      </c>
      <c r="BJ1361" s="70">
        <v>0</v>
      </c>
      <c r="BK1361" s="71">
        <v>0</v>
      </c>
      <c r="BL1361" s="71">
        <v>0</v>
      </c>
      <c r="BM1361" s="71">
        <v>0</v>
      </c>
      <c r="BN1361" s="72">
        <v>0</v>
      </c>
      <c r="BO1361" s="151" t="e">
        <f t="shared" si="81"/>
        <v>#DIV/0!</v>
      </c>
      <c r="BP1361" s="151" t="e">
        <f t="shared" si="82"/>
        <v>#DIV/0!</v>
      </c>
      <c r="BQ1361" s="71">
        <v>0</v>
      </c>
      <c r="BR1361" s="71">
        <v>0</v>
      </c>
      <c r="BS1361" s="71">
        <v>0</v>
      </c>
      <c r="BT1361" s="72">
        <v>0</v>
      </c>
      <c r="BU1361" s="73"/>
      <c r="BV1361" s="73"/>
    </row>
    <row r="1362" s="1" customFormat="1" ht="30" customHeight="1" spans="1:75 16331:16349">
      <c r="A1362" s="110" t="s">
        <v>96</v>
      </c>
      <c r="B1362" s="111" t="s">
        <v>1057</v>
      </c>
      <c r="C1362" s="112" t="s">
        <v>1324</v>
      </c>
      <c r="D1362" s="113" t="s">
        <v>2226</v>
      </c>
      <c r="E1362" s="113" t="s">
        <v>2234</v>
      </c>
      <c r="F1362" s="113" t="str">
        <f>VLOOKUP(E1362,[1]库存!$B$1:$C$65536,2,FALSE)</f>
        <v>POLO NF SAB LH A状态</v>
      </c>
      <c r="G1362" s="113" t="s">
        <v>2235</v>
      </c>
      <c r="H1362" s="113" t="s">
        <v>2236</v>
      </c>
      <c r="I1362" s="113" t="s">
        <v>2230</v>
      </c>
      <c r="J1362" s="220" t="s">
        <v>65</v>
      </c>
      <c r="K1362" s="115"/>
      <c r="L1362" s="116">
        <v>2</v>
      </c>
      <c r="M1362" s="117">
        <v>1450</v>
      </c>
      <c r="N1362" s="114">
        <v>14</v>
      </c>
      <c r="O1362" s="116">
        <v>2</v>
      </c>
      <c r="P1362" s="65">
        <f t="shared" si="83"/>
        <v>0</v>
      </c>
      <c r="Q1362" s="67"/>
      <c r="R1362" s="67"/>
      <c r="S1362" s="67"/>
      <c r="T1362" s="67"/>
      <c r="U1362" s="67"/>
      <c r="V1362" s="67"/>
      <c r="W1362" s="67"/>
      <c r="X1362" s="67"/>
      <c r="Y1362" s="67"/>
      <c r="Z1362" s="67"/>
      <c r="AA1362" s="67"/>
      <c r="AB1362" s="67"/>
      <c r="AC1362" s="67"/>
      <c r="AD1362" s="67"/>
      <c r="AE1362" s="67"/>
      <c r="AF1362" s="67"/>
      <c r="AG1362" s="67"/>
      <c r="AH1362" s="67"/>
      <c r="AI1362" s="67"/>
      <c r="AJ1362" s="67"/>
      <c r="AK1362" s="67"/>
      <c r="AL1362" s="67"/>
      <c r="AM1362" s="67"/>
      <c r="AN1362" s="67"/>
      <c r="AO1362" s="67"/>
      <c r="AP1362" s="67"/>
      <c r="AQ1362" s="67"/>
      <c r="AR1362" s="67"/>
      <c r="AS1362" s="67"/>
      <c r="AT1362" s="67"/>
      <c r="AU1362" s="67"/>
      <c r="AV1362" s="67"/>
      <c r="AW1362" s="67"/>
      <c r="AX1362" s="67"/>
      <c r="AY1362" s="67"/>
      <c r="AZ1362" s="67"/>
      <c r="BA1362" s="67"/>
      <c r="BB1362" s="67"/>
      <c r="BC1362" s="67"/>
      <c r="BD1362" s="67"/>
      <c r="BE1362" s="67"/>
      <c r="BF1362" s="67"/>
      <c r="BG1362" s="118"/>
      <c r="BH1362" s="119"/>
      <c r="BI1362" s="120">
        <v>0</v>
      </c>
      <c r="BJ1362" s="121">
        <v>0</v>
      </c>
      <c r="BK1362" s="122">
        <v>0</v>
      </c>
      <c r="BL1362" s="122">
        <v>0</v>
      </c>
      <c r="BM1362" s="122">
        <v>0</v>
      </c>
      <c r="BN1362" s="123">
        <v>0</v>
      </c>
      <c r="BO1362" s="204" t="e">
        <f t="shared" si="81"/>
        <v>#DIV/0!</v>
      </c>
      <c r="BP1362" s="204" t="e">
        <f t="shared" si="82"/>
        <v>#DIV/0!</v>
      </c>
      <c r="BQ1362" s="122">
        <v>0</v>
      </c>
      <c r="BR1362" s="122">
        <v>0</v>
      </c>
      <c r="BS1362" s="122">
        <v>0</v>
      </c>
      <c r="BT1362" s="123">
        <v>0</v>
      </c>
      <c r="BU1362" s="124"/>
      <c r="BV1362" s="124"/>
      <c r="BW1362" s="125"/>
      <c r="XDC1362" s="126"/>
      <c r="XDD1362" s="126"/>
      <c r="XDE1362" s="126"/>
      <c r="XDF1362" s="126"/>
      <c r="XDG1362" s="126"/>
      <c r="XDH1362" s="126"/>
      <c r="XDI1362" s="126"/>
      <c r="XDJ1362" s="126"/>
      <c r="XDK1362" s="126"/>
      <c r="XDL1362" s="126"/>
      <c r="XDM1362" s="126"/>
      <c r="XDN1362" s="126"/>
      <c r="XDO1362" s="126"/>
      <c r="XDP1362" s="126"/>
      <c r="XDQ1362" s="126"/>
      <c r="XDR1362" s="126"/>
      <c r="XDS1362" s="126"/>
      <c r="XDT1362" s="126"/>
      <c r="XDU1362" s="126"/>
    </row>
    <row r="1363" s="1" customFormat="1" ht="30" customHeight="1" spans="1:75 16331:16349">
      <c r="A1363" s="110">
        <v>0</v>
      </c>
      <c r="B1363" s="111">
        <v>0</v>
      </c>
      <c r="C1363" s="112">
        <v>0</v>
      </c>
      <c r="D1363" s="127"/>
      <c r="E1363" s="127"/>
      <c r="F1363" s="113" t="e">
        <f>VLOOKUP(E1363,[1]库存!$B$1:$C$65536,2,FALSE)</f>
        <v>#N/A</v>
      </c>
      <c r="G1363" s="113" t="e">
        <v>#N/A</v>
      </c>
      <c r="H1363" s="127"/>
      <c r="I1363" s="127"/>
      <c r="J1363" s="221"/>
      <c r="K1363" s="115"/>
      <c r="L1363" s="116">
        <v>0</v>
      </c>
      <c r="M1363" s="117">
        <v>0</v>
      </c>
      <c r="N1363" s="114">
        <v>0</v>
      </c>
      <c r="O1363" s="116">
        <v>0</v>
      </c>
      <c r="P1363" s="65">
        <f t="shared" si="83"/>
        <v>0</v>
      </c>
      <c r="Q1363" s="67"/>
      <c r="R1363" s="67"/>
      <c r="S1363" s="67"/>
      <c r="T1363" s="67"/>
      <c r="U1363" s="67"/>
      <c r="V1363" s="67"/>
      <c r="W1363" s="67"/>
      <c r="X1363" s="67"/>
      <c r="Y1363" s="67"/>
      <c r="Z1363" s="67"/>
      <c r="AA1363" s="67"/>
      <c r="AB1363" s="67"/>
      <c r="AC1363" s="67"/>
      <c r="AD1363" s="67"/>
      <c r="AE1363" s="67"/>
      <c r="AF1363" s="67"/>
      <c r="AG1363" s="67"/>
      <c r="AH1363" s="67"/>
      <c r="AI1363" s="67"/>
      <c r="AJ1363" s="67"/>
      <c r="AK1363" s="67"/>
      <c r="AL1363" s="67"/>
      <c r="AM1363" s="67"/>
      <c r="AN1363" s="67"/>
      <c r="AO1363" s="67"/>
      <c r="AP1363" s="67"/>
      <c r="AQ1363" s="67"/>
      <c r="AR1363" s="67"/>
      <c r="AS1363" s="67"/>
      <c r="AT1363" s="67"/>
      <c r="AU1363" s="67"/>
      <c r="AV1363" s="67"/>
      <c r="AW1363" s="67"/>
      <c r="AX1363" s="67"/>
      <c r="AY1363" s="67"/>
      <c r="AZ1363" s="67"/>
      <c r="BA1363" s="67"/>
      <c r="BB1363" s="67"/>
      <c r="BC1363" s="67"/>
      <c r="BD1363" s="67"/>
      <c r="BE1363" s="67"/>
      <c r="BF1363" s="67"/>
      <c r="BG1363" s="118"/>
      <c r="BH1363" s="119"/>
      <c r="BI1363" s="120">
        <v>0</v>
      </c>
      <c r="BJ1363" s="121">
        <v>0</v>
      </c>
      <c r="BK1363" s="122">
        <v>0</v>
      </c>
      <c r="BL1363" s="122">
        <v>0</v>
      </c>
      <c r="BM1363" s="122">
        <v>0</v>
      </c>
      <c r="BN1363" s="123">
        <v>0</v>
      </c>
      <c r="BO1363" s="204" t="e">
        <f t="shared" si="81"/>
        <v>#DIV/0!</v>
      </c>
      <c r="BP1363" s="204" t="e">
        <f t="shared" si="82"/>
        <v>#DIV/0!</v>
      </c>
      <c r="BQ1363" s="122">
        <v>0</v>
      </c>
      <c r="BR1363" s="122">
        <v>0</v>
      </c>
      <c r="BS1363" s="122">
        <v>0</v>
      </c>
      <c r="BT1363" s="123">
        <v>0</v>
      </c>
      <c r="BU1363" s="124"/>
      <c r="BV1363" s="124"/>
      <c r="BW1363" s="125"/>
      <c r="XDC1363" s="126"/>
      <c r="XDD1363" s="126"/>
      <c r="XDE1363" s="126"/>
      <c r="XDF1363" s="126"/>
      <c r="XDG1363" s="126"/>
      <c r="XDH1363" s="126"/>
      <c r="XDI1363" s="126"/>
      <c r="XDJ1363" s="126"/>
      <c r="XDK1363" s="126"/>
      <c r="XDL1363" s="126"/>
      <c r="XDM1363" s="126"/>
      <c r="XDN1363" s="126"/>
      <c r="XDO1363" s="126"/>
      <c r="XDP1363" s="126"/>
      <c r="XDQ1363" s="126"/>
      <c r="XDR1363" s="126"/>
      <c r="XDS1363" s="126"/>
      <c r="XDT1363" s="126"/>
      <c r="XDU1363" s="126"/>
    </row>
    <row r="1364" s="1" customFormat="1" ht="30" customHeight="1" spans="1:75 16331:16349">
      <c r="A1364" s="110" t="s">
        <v>96</v>
      </c>
      <c r="B1364" s="111" t="s">
        <v>1057</v>
      </c>
      <c r="C1364" s="112" t="s">
        <v>1324</v>
      </c>
      <c r="D1364" s="113" t="s">
        <v>2226</v>
      </c>
      <c r="E1364" s="113" t="s">
        <v>2237</v>
      </c>
      <c r="F1364" s="113" t="str">
        <f>VLOOKUP(E1364,[1]库存!$B$1:$C$65536,2,FALSE)</f>
        <v>POLO NF SAB RH A状态</v>
      </c>
      <c r="G1364" s="113" t="s">
        <v>2238</v>
      </c>
      <c r="H1364" s="113" t="s">
        <v>2239</v>
      </c>
      <c r="I1364" s="113" t="s">
        <v>2230</v>
      </c>
      <c r="J1364" s="220" t="s">
        <v>65</v>
      </c>
      <c r="K1364" s="115"/>
      <c r="L1364" s="116">
        <v>2</v>
      </c>
      <c r="M1364" s="117">
        <v>1450</v>
      </c>
      <c r="N1364" s="114">
        <v>14</v>
      </c>
      <c r="O1364" s="116">
        <v>2</v>
      </c>
      <c r="P1364" s="65">
        <f t="shared" si="83"/>
        <v>0</v>
      </c>
      <c r="Q1364" s="67"/>
      <c r="R1364" s="67"/>
      <c r="S1364" s="67"/>
      <c r="T1364" s="67"/>
      <c r="U1364" s="67"/>
      <c r="V1364" s="67"/>
      <c r="W1364" s="67"/>
      <c r="X1364" s="67"/>
      <c r="Y1364" s="67"/>
      <c r="Z1364" s="67"/>
      <c r="AA1364" s="67"/>
      <c r="AB1364" s="67"/>
      <c r="AC1364" s="67"/>
      <c r="AD1364" s="67"/>
      <c r="AE1364" s="67"/>
      <c r="AF1364" s="67"/>
      <c r="AG1364" s="67"/>
      <c r="AH1364" s="67"/>
      <c r="AI1364" s="67"/>
      <c r="AJ1364" s="67"/>
      <c r="AK1364" s="67"/>
      <c r="AL1364" s="67"/>
      <c r="AM1364" s="67"/>
      <c r="AN1364" s="67"/>
      <c r="AO1364" s="67"/>
      <c r="AP1364" s="67"/>
      <c r="AQ1364" s="67"/>
      <c r="AR1364" s="67"/>
      <c r="AS1364" s="67"/>
      <c r="AT1364" s="67"/>
      <c r="AU1364" s="67"/>
      <c r="AV1364" s="67"/>
      <c r="AW1364" s="67"/>
      <c r="AX1364" s="67"/>
      <c r="AY1364" s="67"/>
      <c r="AZ1364" s="67"/>
      <c r="BA1364" s="67"/>
      <c r="BB1364" s="67"/>
      <c r="BC1364" s="67"/>
      <c r="BD1364" s="67"/>
      <c r="BE1364" s="67"/>
      <c r="BF1364" s="67"/>
      <c r="BG1364" s="118"/>
      <c r="BH1364" s="119"/>
      <c r="BI1364" s="120">
        <v>0</v>
      </c>
      <c r="BJ1364" s="121">
        <v>0</v>
      </c>
      <c r="BK1364" s="122">
        <v>0</v>
      </c>
      <c r="BL1364" s="122">
        <v>0</v>
      </c>
      <c r="BM1364" s="122">
        <v>0</v>
      </c>
      <c r="BN1364" s="123">
        <v>0</v>
      </c>
      <c r="BO1364" s="204" t="e">
        <f t="shared" si="81"/>
        <v>#DIV/0!</v>
      </c>
      <c r="BP1364" s="204" t="e">
        <f t="shared" si="82"/>
        <v>#DIV/0!</v>
      </c>
      <c r="BQ1364" s="122">
        <v>0</v>
      </c>
      <c r="BR1364" s="122">
        <v>0</v>
      </c>
      <c r="BS1364" s="122">
        <v>0</v>
      </c>
      <c r="BT1364" s="123">
        <v>0</v>
      </c>
      <c r="BU1364" s="124"/>
      <c r="BV1364" s="124"/>
      <c r="BW1364" s="125"/>
      <c r="XDC1364" s="126"/>
      <c r="XDD1364" s="126"/>
      <c r="XDE1364" s="126"/>
      <c r="XDF1364" s="126"/>
      <c r="XDG1364" s="126"/>
      <c r="XDH1364" s="126"/>
      <c r="XDI1364" s="126"/>
      <c r="XDJ1364" s="126"/>
      <c r="XDK1364" s="126"/>
      <c r="XDL1364" s="126"/>
      <c r="XDM1364" s="126"/>
      <c r="XDN1364" s="126"/>
      <c r="XDO1364" s="126"/>
      <c r="XDP1364" s="126"/>
      <c r="XDQ1364" s="126"/>
      <c r="XDR1364" s="126"/>
      <c r="XDS1364" s="126"/>
      <c r="XDT1364" s="126"/>
      <c r="XDU1364" s="126"/>
    </row>
    <row r="1365" s="1" customFormat="1" ht="30" customHeight="1" spans="1:75 16331:16349">
      <c r="A1365" s="110">
        <v>0</v>
      </c>
      <c r="B1365" s="111">
        <v>0</v>
      </c>
      <c r="C1365" s="112">
        <v>0</v>
      </c>
      <c r="D1365" s="127"/>
      <c r="E1365" s="127"/>
      <c r="F1365" s="113" t="e">
        <f>VLOOKUP(E1365,[1]库存!$B$1:$C$65536,2,FALSE)</f>
        <v>#N/A</v>
      </c>
      <c r="G1365" s="113" t="e">
        <v>#N/A</v>
      </c>
      <c r="H1365" s="127"/>
      <c r="I1365" s="127"/>
      <c r="J1365" s="221"/>
      <c r="K1365" s="115"/>
      <c r="L1365" s="116">
        <v>0</v>
      </c>
      <c r="M1365" s="117">
        <v>0</v>
      </c>
      <c r="N1365" s="114">
        <v>0</v>
      </c>
      <c r="O1365" s="116">
        <v>0</v>
      </c>
      <c r="P1365" s="65">
        <f t="shared" si="83"/>
        <v>0</v>
      </c>
      <c r="Q1365" s="67"/>
      <c r="R1365" s="67"/>
      <c r="S1365" s="67"/>
      <c r="T1365" s="67"/>
      <c r="U1365" s="67"/>
      <c r="V1365" s="67"/>
      <c r="W1365" s="67"/>
      <c r="X1365" s="67"/>
      <c r="Y1365" s="67"/>
      <c r="Z1365" s="67"/>
      <c r="AA1365" s="67"/>
      <c r="AB1365" s="67"/>
      <c r="AC1365" s="67"/>
      <c r="AD1365" s="67"/>
      <c r="AE1365" s="67"/>
      <c r="AF1365" s="67"/>
      <c r="AG1365" s="67"/>
      <c r="AH1365" s="67"/>
      <c r="AI1365" s="67"/>
      <c r="AJ1365" s="67"/>
      <c r="AK1365" s="67"/>
      <c r="AL1365" s="67"/>
      <c r="AM1365" s="67"/>
      <c r="AN1365" s="67"/>
      <c r="AO1365" s="67"/>
      <c r="AP1365" s="67"/>
      <c r="AQ1365" s="67"/>
      <c r="AR1365" s="67"/>
      <c r="AS1365" s="67"/>
      <c r="AT1365" s="67"/>
      <c r="AU1365" s="67"/>
      <c r="AV1365" s="67"/>
      <c r="AW1365" s="67"/>
      <c r="AX1365" s="67"/>
      <c r="AY1365" s="67"/>
      <c r="AZ1365" s="67"/>
      <c r="BA1365" s="67"/>
      <c r="BB1365" s="67"/>
      <c r="BC1365" s="67"/>
      <c r="BD1365" s="67"/>
      <c r="BE1365" s="67"/>
      <c r="BF1365" s="67"/>
      <c r="BG1365" s="118"/>
      <c r="BH1365" s="119"/>
      <c r="BI1365" s="120">
        <v>0</v>
      </c>
      <c r="BJ1365" s="121">
        <v>0</v>
      </c>
      <c r="BK1365" s="122">
        <v>0</v>
      </c>
      <c r="BL1365" s="122">
        <v>0</v>
      </c>
      <c r="BM1365" s="122">
        <v>0</v>
      </c>
      <c r="BN1365" s="123">
        <v>0</v>
      </c>
      <c r="BO1365" s="204" t="e">
        <f t="shared" si="81"/>
        <v>#DIV/0!</v>
      </c>
      <c r="BP1365" s="204" t="e">
        <f t="shared" si="82"/>
        <v>#DIV/0!</v>
      </c>
      <c r="BQ1365" s="122">
        <v>0</v>
      </c>
      <c r="BR1365" s="122">
        <v>0</v>
      </c>
      <c r="BS1365" s="122">
        <v>0</v>
      </c>
      <c r="BT1365" s="123">
        <v>0</v>
      </c>
      <c r="BU1365" s="124"/>
      <c r="BV1365" s="124"/>
      <c r="BW1365" s="125"/>
      <c r="XDC1365" s="126"/>
      <c r="XDD1365" s="126"/>
      <c r="XDE1365" s="126"/>
      <c r="XDF1365" s="126"/>
      <c r="XDG1365" s="126"/>
      <c r="XDH1365" s="126"/>
      <c r="XDI1365" s="126"/>
      <c r="XDJ1365" s="126"/>
      <c r="XDK1365" s="126"/>
      <c r="XDL1365" s="126"/>
      <c r="XDM1365" s="126"/>
      <c r="XDN1365" s="126"/>
      <c r="XDO1365" s="126"/>
      <c r="XDP1365" s="126"/>
      <c r="XDQ1365" s="126"/>
      <c r="XDR1365" s="126"/>
      <c r="XDS1365" s="126"/>
      <c r="XDT1365" s="126"/>
      <c r="XDU1365" s="126"/>
    </row>
    <row r="1366" s="1" customFormat="1" ht="30" customHeight="1" spans="1:75 16331:16349">
      <c r="A1366" s="110">
        <v>0</v>
      </c>
      <c r="B1366" s="111" t="s">
        <v>1057</v>
      </c>
      <c r="C1366" s="112" t="s">
        <v>1324</v>
      </c>
      <c r="D1366" s="113" t="s">
        <v>2226</v>
      </c>
      <c r="E1366" s="113" t="s">
        <v>2240</v>
      </c>
      <c r="F1366" s="113" t="str">
        <f>VLOOKUP(E1366,[1]库存!$B$1:$C$65536,2,FALSE)</f>
        <v>SVW THARU BEV SAB LH</v>
      </c>
      <c r="G1366" s="113" t="s">
        <v>2241</v>
      </c>
      <c r="H1366" s="113" t="s">
        <v>2242</v>
      </c>
      <c r="I1366" s="113" t="s">
        <v>2243</v>
      </c>
      <c r="J1366" s="183" t="s">
        <v>1896</v>
      </c>
      <c r="K1366" s="115"/>
      <c r="L1366" s="116">
        <v>2</v>
      </c>
      <c r="M1366" s="117">
        <v>1100</v>
      </c>
      <c r="N1366" s="114">
        <v>13</v>
      </c>
      <c r="O1366" s="116">
        <v>2</v>
      </c>
      <c r="P1366" s="65">
        <f t="shared" si="83"/>
        <v>0</v>
      </c>
      <c r="Q1366" s="67"/>
      <c r="R1366" s="67"/>
      <c r="S1366" s="67"/>
      <c r="T1366" s="67"/>
      <c r="U1366" s="67"/>
      <c r="V1366" s="67"/>
      <c r="W1366" s="67"/>
      <c r="X1366" s="67"/>
      <c r="Y1366" s="67"/>
      <c r="Z1366" s="67"/>
      <c r="AA1366" s="67"/>
      <c r="AB1366" s="67"/>
      <c r="AC1366" s="67"/>
      <c r="AD1366" s="67"/>
      <c r="AE1366" s="67"/>
      <c r="AF1366" s="67"/>
      <c r="AG1366" s="67"/>
      <c r="AH1366" s="67"/>
      <c r="AI1366" s="67"/>
      <c r="AJ1366" s="67"/>
      <c r="AK1366" s="67"/>
      <c r="AL1366" s="67"/>
      <c r="AM1366" s="67"/>
      <c r="AN1366" s="67"/>
      <c r="AO1366" s="67"/>
      <c r="AP1366" s="67"/>
      <c r="AQ1366" s="67"/>
      <c r="AR1366" s="67"/>
      <c r="AS1366" s="67"/>
      <c r="AT1366" s="67"/>
      <c r="AU1366" s="67"/>
      <c r="AV1366" s="67"/>
      <c r="AW1366" s="67"/>
      <c r="AX1366" s="67"/>
      <c r="AY1366" s="67"/>
      <c r="AZ1366" s="67"/>
      <c r="BA1366" s="67"/>
      <c r="BB1366" s="67"/>
      <c r="BC1366" s="67"/>
      <c r="BD1366" s="67"/>
      <c r="BE1366" s="67"/>
      <c r="BF1366" s="67"/>
      <c r="BG1366" s="118"/>
      <c r="BH1366" s="119"/>
      <c r="BI1366" s="120">
        <v>0</v>
      </c>
      <c r="BJ1366" s="121">
        <v>0</v>
      </c>
      <c r="BK1366" s="122">
        <v>0</v>
      </c>
      <c r="BL1366" s="122">
        <v>0</v>
      </c>
      <c r="BM1366" s="122">
        <v>0</v>
      </c>
      <c r="BN1366" s="123">
        <v>0</v>
      </c>
      <c r="BO1366" s="204" t="e">
        <f t="shared" si="81"/>
        <v>#DIV/0!</v>
      </c>
      <c r="BP1366" s="204" t="e">
        <f t="shared" si="82"/>
        <v>#DIV/0!</v>
      </c>
      <c r="BQ1366" s="122">
        <v>0</v>
      </c>
      <c r="BR1366" s="122">
        <v>0</v>
      </c>
      <c r="BS1366" s="122">
        <v>0</v>
      </c>
      <c r="BT1366" s="123">
        <v>0</v>
      </c>
      <c r="BU1366" s="124"/>
      <c r="BV1366" s="124"/>
      <c r="BW1366" s="125"/>
      <c r="XDC1366" s="126"/>
      <c r="XDD1366" s="126"/>
      <c r="XDE1366" s="126"/>
      <c r="XDF1366" s="126"/>
      <c r="XDG1366" s="126"/>
      <c r="XDH1366" s="126"/>
      <c r="XDI1366" s="126"/>
      <c r="XDJ1366" s="126"/>
      <c r="XDK1366" s="126"/>
      <c r="XDL1366" s="126"/>
      <c r="XDM1366" s="126"/>
      <c r="XDN1366" s="126"/>
      <c r="XDO1366" s="126"/>
      <c r="XDP1366" s="126"/>
      <c r="XDQ1366" s="126"/>
      <c r="XDR1366" s="126"/>
      <c r="XDS1366" s="126"/>
      <c r="XDT1366" s="126"/>
      <c r="XDU1366" s="126"/>
    </row>
    <row r="1367" s="1" customFormat="1" ht="30" customHeight="1" spans="1:75 16331:16349">
      <c r="A1367" s="110">
        <v>0</v>
      </c>
      <c r="B1367" s="111">
        <v>0</v>
      </c>
      <c r="C1367" s="112">
        <v>0</v>
      </c>
      <c r="D1367" s="127"/>
      <c r="E1367" s="127"/>
      <c r="F1367" s="113" t="e">
        <f>VLOOKUP(E1367,[1]库存!$B$1:$C$65536,2,FALSE)</f>
        <v>#N/A</v>
      </c>
      <c r="G1367" s="113" t="e">
        <v>#N/A</v>
      </c>
      <c r="H1367" s="127"/>
      <c r="I1367" s="127"/>
      <c r="J1367" s="184"/>
      <c r="K1367" s="115"/>
      <c r="L1367" s="116">
        <v>0</v>
      </c>
      <c r="M1367" s="117">
        <v>0</v>
      </c>
      <c r="N1367" s="114">
        <v>0</v>
      </c>
      <c r="O1367" s="116">
        <v>0</v>
      </c>
      <c r="P1367" s="65">
        <f t="shared" si="83"/>
        <v>0</v>
      </c>
      <c r="Q1367" s="67"/>
      <c r="R1367" s="67"/>
      <c r="S1367" s="67"/>
      <c r="T1367" s="67"/>
      <c r="U1367" s="67"/>
      <c r="V1367" s="67"/>
      <c r="W1367" s="67"/>
      <c r="X1367" s="67"/>
      <c r="Y1367" s="67"/>
      <c r="Z1367" s="67"/>
      <c r="AA1367" s="67"/>
      <c r="AB1367" s="67"/>
      <c r="AC1367" s="67"/>
      <c r="AD1367" s="67"/>
      <c r="AE1367" s="67"/>
      <c r="AF1367" s="67"/>
      <c r="AG1367" s="67"/>
      <c r="AH1367" s="67"/>
      <c r="AI1367" s="67"/>
      <c r="AJ1367" s="67"/>
      <c r="AK1367" s="67"/>
      <c r="AL1367" s="67"/>
      <c r="AM1367" s="67"/>
      <c r="AN1367" s="67"/>
      <c r="AO1367" s="67"/>
      <c r="AP1367" s="67"/>
      <c r="AQ1367" s="67"/>
      <c r="AR1367" s="67"/>
      <c r="AS1367" s="67"/>
      <c r="AT1367" s="67"/>
      <c r="AU1367" s="67"/>
      <c r="AV1367" s="67"/>
      <c r="AW1367" s="67"/>
      <c r="AX1367" s="67"/>
      <c r="AY1367" s="67"/>
      <c r="AZ1367" s="67"/>
      <c r="BA1367" s="67"/>
      <c r="BB1367" s="67"/>
      <c r="BC1367" s="67"/>
      <c r="BD1367" s="67"/>
      <c r="BE1367" s="67"/>
      <c r="BF1367" s="67"/>
      <c r="BG1367" s="118"/>
      <c r="BH1367" s="119"/>
      <c r="BI1367" s="120">
        <v>0</v>
      </c>
      <c r="BJ1367" s="121">
        <v>0</v>
      </c>
      <c r="BK1367" s="122">
        <v>0</v>
      </c>
      <c r="BL1367" s="122">
        <v>0</v>
      </c>
      <c r="BM1367" s="122">
        <v>0</v>
      </c>
      <c r="BN1367" s="123">
        <v>0</v>
      </c>
      <c r="BO1367" s="204" t="e">
        <f t="shared" si="81"/>
        <v>#DIV/0!</v>
      </c>
      <c r="BP1367" s="204" t="e">
        <f t="shared" si="82"/>
        <v>#DIV/0!</v>
      </c>
      <c r="BQ1367" s="122">
        <v>0</v>
      </c>
      <c r="BR1367" s="122">
        <v>0</v>
      </c>
      <c r="BS1367" s="122">
        <v>0</v>
      </c>
      <c r="BT1367" s="123">
        <v>0</v>
      </c>
      <c r="BU1367" s="124"/>
      <c r="BV1367" s="124"/>
      <c r="BW1367" s="125"/>
      <c r="XDC1367" s="126"/>
      <c r="XDD1367" s="126"/>
      <c r="XDE1367" s="126"/>
      <c r="XDF1367" s="126"/>
      <c r="XDG1367" s="126"/>
      <c r="XDH1367" s="126"/>
      <c r="XDI1367" s="126"/>
      <c r="XDJ1367" s="126"/>
      <c r="XDK1367" s="126"/>
      <c r="XDL1367" s="126"/>
      <c r="XDM1367" s="126"/>
      <c r="XDN1367" s="126"/>
      <c r="XDO1367" s="126"/>
      <c r="XDP1367" s="126"/>
      <c r="XDQ1367" s="126"/>
      <c r="XDR1367" s="126"/>
      <c r="XDS1367" s="126"/>
      <c r="XDT1367" s="126"/>
      <c r="XDU1367" s="126"/>
    </row>
    <row r="1368" s="1" customFormat="1" ht="30" customHeight="1" spans="1:75 16331:16349">
      <c r="A1368" s="110">
        <v>0</v>
      </c>
      <c r="B1368" s="111" t="s">
        <v>1057</v>
      </c>
      <c r="C1368" s="112" t="s">
        <v>1324</v>
      </c>
      <c r="D1368" s="113" t="s">
        <v>2226</v>
      </c>
      <c r="E1368" s="113" t="s">
        <v>2244</v>
      </c>
      <c r="F1368" s="113" t="str">
        <f>VLOOKUP(E1368,[1]库存!$B$1:$C$65536,2,FALSE)</f>
        <v>SVW THARU BEV SAB RH</v>
      </c>
      <c r="G1368" s="113" t="s">
        <v>2245</v>
      </c>
      <c r="H1368" s="113" t="s">
        <v>2246</v>
      </c>
      <c r="I1368" s="113" t="s">
        <v>2243</v>
      </c>
      <c r="J1368" s="183" t="s">
        <v>1896</v>
      </c>
      <c r="K1368" s="115"/>
      <c r="L1368" s="116">
        <v>2</v>
      </c>
      <c r="M1368" s="117">
        <v>1100</v>
      </c>
      <c r="N1368" s="114">
        <v>13</v>
      </c>
      <c r="O1368" s="116">
        <v>2</v>
      </c>
      <c r="P1368" s="65">
        <f t="shared" si="83"/>
        <v>0</v>
      </c>
      <c r="Q1368" s="67"/>
      <c r="R1368" s="67"/>
      <c r="S1368" s="67"/>
      <c r="T1368" s="67"/>
      <c r="U1368" s="67"/>
      <c r="V1368" s="67"/>
      <c r="W1368" s="67"/>
      <c r="X1368" s="67"/>
      <c r="Y1368" s="67"/>
      <c r="Z1368" s="67"/>
      <c r="AA1368" s="67"/>
      <c r="AB1368" s="67"/>
      <c r="AC1368" s="67"/>
      <c r="AD1368" s="67"/>
      <c r="AE1368" s="67"/>
      <c r="AF1368" s="67"/>
      <c r="AG1368" s="67"/>
      <c r="AH1368" s="67"/>
      <c r="AI1368" s="67"/>
      <c r="AJ1368" s="67"/>
      <c r="AK1368" s="67"/>
      <c r="AL1368" s="67"/>
      <c r="AM1368" s="67"/>
      <c r="AN1368" s="67"/>
      <c r="AO1368" s="67"/>
      <c r="AP1368" s="67"/>
      <c r="AQ1368" s="67"/>
      <c r="AR1368" s="67"/>
      <c r="AS1368" s="67"/>
      <c r="AT1368" s="67"/>
      <c r="AU1368" s="67"/>
      <c r="AV1368" s="67"/>
      <c r="AW1368" s="67"/>
      <c r="AX1368" s="67"/>
      <c r="AY1368" s="67"/>
      <c r="AZ1368" s="67"/>
      <c r="BA1368" s="67"/>
      <c r="BB1368" s="67"/>
      <c r="BC1368" s="67"/>
      <c r="BD1368" s="67"/>
      <c r="BE1368" s="67"/>
      <c r="BF1368" s="67"/>
      <c r="BG1368" s="118"/>
      <c r="BH1368" s="119"/>
      <c r="BI1368" s="120">
        <v>0</v>
      </c>
      <c r="BJ1368" s="121">
        <v>0</v>
      </c>
      <c r="BK1368" s="122">
        <v>0</v>
      </c>
      <c r="BL1368" s="122">
        <v>0</v>
      </c>
      <c r="BM1368" s="122">
        <v>0</v>
      </c>
      <c r="BN1368" s="123">
        <v>0</v>
      </c>
      <c r="BO1368" s="204" t="e">
        <f t="shared" si="81"/>
        <v>#DIV/0!</v>
      </c>
      <c r="BP1368" s="204" t="e">
        <f t="shared" si="82"/>
        <v>#DIV/0!</v>
      </c>
      <c r="BQ1368" s="122">
        <v>0</v>
      </c>
      <c r="BR1368" s="122">
        <v>0</v>
      </c>
      <c r="BS1368" s="122">
        <v>0</v>
      </c>
      <c r="BT1368" s="123">
        <v>0</v>
      </c>
      <c r="BU1368" s="124"/>
      <c r="BV1368" s="124"/>
      <c r="BW1368" s="125"/>
      <c r="XDC1368" s="126"/>
      <c r="XDD1368" s="126"/>
      <c r="XDE1368" s="126"/>
      <c r="XDF1368" s="126"/>
      <c r="XDG1368" s="126"/>
      <c r="XDH1368" s="126"/>
      <c r="XDI1368" s="126"/>
      <c r="XDJ1368" s="126"/>
      <c r="XDK1368" s="126"/>
      <c r="XDL1368" s="126"/>
      <c r="XDM1368" s="126"/>
      <c r="XDN1368" s="126"/>
      <c r="XDO1368" s="126"/>
      <c r="XDP1368" s="126"/>
      <c r="XDQ1368" s="126"/>
      <c r="XDR1368" s="126"/>
      <c r="XDS1368" s="126"/>
      <c r="XDT1368" s="126"/>
      <c r="XDU1368" s="126"/>
    </row>
    <row r="1369" s="1" customFormat="1" ht="30" customHeight="1" spans="1:75 16331:16349">
      <c r="A1369" s="110">
        <v>0</v>
      </c>
      <c r="B1369" s="111">
        <v>0</v>
      </c>
      <c r="C1369" s="112">
        <v>0</v>
      </c>
      <c r="D1369" s="127"/>
      <c r="E1369" s="127"/>
      <c r="F1369" s="113" t="e">
        <f>VLOOKUP(E1369,[1]库存!$B$1:$C$65536,2,FALSE)</f>
        <v>#N/A</v>
      </c>
      <c r="G1369" s="113" t="e">
        <v>#N/A</v>
      </c>
      <c r="H1369" s="127"/>
      <c r="I1369" s="127"/>
      <c r="J1369" s="184"/>
      <c r="K1369" s="115"/>
      <c r="L1369" s="116">
        <v>0</v>
      </c>
      <c r="M1369" s="117">
        <v>0</v>
      </c>
      <c r="N1369" s="114">
        <v>0</v>
      </c>
      <c r="O1369" s="116">
        <v>0</v>
      </c>
      <c r="P1369" s="65">
        <f t="shared" si="83"/>
        <v>0</v>
      </c>
      <c r="Q1369" s="67"/>
      <c r="R1369" s="67"/>
      <c r="S1369" s="67"/>
      <c r="T1369" s="67"/>
      <c r="U1369" s="67"/>
      <c r="V1369" s="67"/>
      <c r="W1369" s="67"/>
      <c r="X1369" s="67"/>
      <c r="Y1369" s="67"/>
      <c r="Z1369" s="67"/>
      <c r="AA1369" s="67"/>
      <c r="AB1369" s="67"/>
      <c r="AC1369" s="67"/>
      <c r="AD1369" s="67"/>
      <c r="AE1369" s="67"/>
      <c r="AF1369" s="67"/>
      <c r="AG1369" s="67"/>
      <c r="AH1369" s="67"/>
      <c r="AI1369" s="67"/>
      <c r="AJ1369" s="67"/>
      <c r="AK1369" s="67"/>
      <c r="AL1369" s="67"/>
      <c r="AM1369" s="67"/>
      <c r="AN1369" s="67"/>
      <c r="AO1369" s="67"/>
      <c r="AP1369" s="67"/>
      <c r="AQ1369" s="67"/>
      <c r="AR1369" s="67"/>
      <c r="AS1369" s="67"/>
      <c r="AT1369" s="67"/>
      <c r="AU1369" s="67"/>
      <c r="AV1369" s="67"/>
      <c r="AW1369" s="67"/>
      <c r="AX1369" s="67"/>
      <c r="AY1369" s="67"/>
      <c r="AZ1369" s="67"/>
      <c r="BA1369" s="67"/>
      <c r="BB1369" s="67"/>
      <c r="BC1369" s="67"/>
      <c r="BD1369" s="67"/>
      <c r="BE1369" s="67"/>
      <c r="BF1369" s="67"/>
      <c r="BG1369" s="118"/>
      <c r="BH1369" s="119"/>
      <c r="BI1369" s="120">
        <v>0</v>
      </c>
      <c r="BJ1369" s="121">
        <v>0</v>
      </c>
      <c r="BK1369" s="122">
        <v>0</v>
      </c>
      <c r="BL1369" s="122">
        <v>0</v>
      </c>
      <c r="BM1369" s="122">
        <v>0</v>
      </c>
      <c r="BN1369" s="123">
        <v>0</v>
      </c>
      <c r="BO1369" s="204" t="e">
        <f t="shared" si="81"/>
        <v>#DIV/0!</v>
      </c>
      <c r="BP1369" s="204" t="e">
        <f t="shared" si="82"/>
        <v>#DIV/0!</v>
      </c>
      <c r="BQ1369" s="122">
        <v>0</v>
      </c>
      <c r="BR1369" s="122">
        <v>0</v>
      </c>
      <c r="BS1369" s="122">
        <v>0</v>
      </c>
      <c r="BT1369" s="123">
        <v>0</v>
      </c>
      <c r="BU1369" s="124"/>
      <c r="BV1369" s="124"/>
      <c r="BW1369" s="125"/>
      <c r="XDC1369" s="126"/>
      <c r="XDD1369" s="126"/>
      <c r="XDE1369" s="126"/>
      <c r="XDF1369" s="126"/>
      <c r="XDG1369" s="126"/>
      <c r="XDH1369" s="126"/>
      <c r="XDI1369" s="126"/>
      <c r="XDJ1369" s="126"/>
      <c r="XDK1369" s="126"/>
      <c r="XDL1369" s="126"/>
      <c r="XDM1369" s="126"/>
      <c r="XDN1369" s="126"/>
      <c r="XDO1369" s="126"/>
      <c r="XDP1369" s="126"/>
      <c r="XDQ1369" s="126"/>
      <c r="XDR1369" s="126"/>
      <c r="XDS1369" s="126"/>
      <c r="XDT1369" s="126"/>
      <c r="XDU1369" s="126"/>
    </row>
    <row r="1370" ht="30" customHeight="1" spans="1:75 16331:16349">
      <c r="A1370" s="55">
        <v>0</v>
      </c>
      <c r="B1370" s="56">
        <v>0</v>
      </c>
      <c r="C1370" s="57">
        <v>0</v>
      </c>
      <c r="D1370" s="210"/>
      <c r="E1370" s="88"/>
      <c r="F1370" s="59" t="e">
        <f>VLOOKUP(E1370,[1]库存!$B$1:$C$65536,2,FALSE)</f>
        <v>#N/A</v>
      </c>
      <c r="G1370" s="59" t="e">
        <v>#N/A</v>
      </c>
      <c r="H1370" s="238"/>
      <c r="I1370" s="239"/>
      <c r="J1370" s="90"/>
      <c r="K1370" s="61"/>
      <c r="L1370" s="62">
        <v>0</v>
      </c>
      <c r="M1370" s="63">
        <v>0</v>
      </c>
      <c r="N1370" s="64">
        <v>0</v>
      </c>
      <c r="O1370" s="62">
        <v>0</v>
      </c>
      <c r="P1370" s="65">
        <f t="shared" si="83"/>
        <v>0</v>
      </c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  <c r="AD1370" s="66"/>
      <c r="AE1370" s="66"/>
      <c r="AF1370" s="66"/>
      <c r="AG1370" s="66"/>
      <c r="AH1370" s="66"/>
      <c r="AI1370" s="66"/>
      <c r="AJ1370" s="66"/>
      <c r="AK1370" s="66"/>
      <c r="AL1370" s="66"/>
      <c r="AM1370" s="66"/>
      <c r="AN1370" s="66"/>
      <c r="AO1370" s="66"/>
      <c r="AP1370" s="66"/>
      <c r="AQ1370" s="66"/>
      <c r="AR1370" s="66"/>
      <c r="AS1370" s="66"/>
      <c r="AT1370" s="66"/>
      <c r="AU1370" s="66"/>
      <c r="AV1370" s="66"/>
      <c r="AW1370" s="66"/>
      <c r="AX1370" s="66"/>
      <c r="AY1370" s="66"/>
      <c r="AZ1370" s="66"/>
      <c r="BA1370" s="66"/>
      <c r="BB1370" s="66"/>
      <c r="BC1370" s="66"/>
      <c r="BD1370" s="66"/>
      <c r="BE1370" s="67"/>
      <c r="BF1370" s="67"/>
      <c r="BG1370" s="68"/>
      <c r="BI1370" s="69">
        <v>0</v>
      </c>
      <c r="BJ1370" s="70">
        <v>0</v>
      </c>
      <c r="BK1370" s="71">
        <v>0</v>
      </c>
      <c r="BL1370" s="71">
        <v>0</v>
      </c>
      <c r="BM1370" s="71">
        <v>0</v>
      </c>
      <c r="BN1370" s="72">
        <v>0</v>
      </c>
      <c r="BO1370" s="151" t="e">
        <f t="shared" ref="BO1370:BO1433" si="84">(BK1370+BL1370)/BJ1370</f>
        <v>#DIV/0!</v>
      </c>
      <c r="BP1370" s="151" t="e">
        <f t="shared" ref="BP1370:BP1433" si="85">BM1370/BJ1370</f>
        <v>#DIV/0!</v>
      </c>
      <c r="BQ1370" s="71">
        <v>0</v>
      </c>
      <c r="BR1370" s="71">
        <v>0</v>
      </c>
      <c r="BS1370" s="71">
        <v>0</v>
      </c>
      <c r="BT1370" s="72">
        <v>0</v>
      </c>
      <c r="BU1370" s="73"/>
      <c r="BV1370" s="73"/>
    </row>
    <row r="1371" ht="30" customHeight="1" spans="1:75 16331:16349">
      <c r="A1371" s="55">
        <v>0</v>
      </c>
      <c r="B1371" s="56"/>
      <c r="C1371" s="57"/>
      <c r="D1371" s="210"/>
      <c r="E1371" s="155"/>
      <c r="F1371" s="59"/>
      <c r="G1371" s="59" t="e">
        <v>#N/A</v>
      </c>
      <c r="H1371" s="89"/>
      <c r="I1371" s="88"/>
      <c r="J1371" s="90"/>
      <c r="K1371" s="61"/>
      <c r="L1371" s="62"/>
      <c r="M1371" s="63"/>
      <c r="N1371" s="64"/>
      <c r="O1371" s="62"/>
      <c r="P1371" s="65">
        <f t="shared" si="83"/>
        <v>0</v>
      </c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  <c r="AD1371" s="66"/>
      <c r="AE1371" s="66"/>
      <c r="AF1371" s="66"/>
      <c r="AG1371" s="66"/>
      <c r="AH1371" s="66"/>
      <c r="AI1371" s="66"/>
      <c r="AJ1371" s="66"/>
      <c r="AK1371" s="66"/>
      <c r="AL1371" s="66"/>
      <c r="AM1371" s="66"/>
      <c r="AN1371" s="66"/>
      <c r="AO1371" s="66"/>
      <c r="AP1371" s="66"/>
      <c r="AQ1371" s="66"/>
      <c r="AR1371" s="66"/>
      <c r="AS1371" s="66"/>
      <c r="AT1371" s="66"/>
      <c r="AU1371" s="66"/>
      <c r="AV1371" s="66"/>
      <c r="AW1371" s="66"/>
      <c r="AX1371" s="66"/>
      <c r="AY1371" s="66"/>
      <c r="AZ1371" s="66"/>
      <c r="BA1371" s="66"/>
      <c r="BB1371" s="66"/>
      <c r="BC1371" s="66"/>
      <c r="BD1371" s="66"/>
      <c r="BE1371" s="67"/>
      <c r="BF1371" s="67"/>
      <c r="BG1371" s="68"/>
      <c r="BI1371" s="69"/>
      <c r="BJ1371" s="70"/>
      <c r="BK1371" s="71">
        <v>0</v>
      </c>
      <c r="BL1371" s="71">
        <v>0</v>
      </c>
      <c r="BM1371" s="71">
        <v>0</v>
      </c>
      <c r="BN1371" s="72">
        <v>0</v>
      </c>
      <c r="BO1371" s="151" t="e">
        <f t="shared" si="84"/>
        <v>#DIV/0!</v>
      </c>
      <c r="BP1371" s="151" t="e">
        <f t="shared" si="85"/>
        <v>#DIV/0!</v>
      </c>
      <c r="BQ1371" s="71">
        <v>0</v>
      </c>
      <c r="BR1371" s="71">
        <v>0</v>
      </c>
      <c r="BS1371" s="71">
        <v>0</v>
      </c>
      <c r="BT1371" s="72">
        <v>0</v>
      </c>
      <c r="BU1371" s="73"/>
      <c r="BV1371" s="73"/>
    </row>
    <row r="1372" ht="30" customHeight="1" spans="1:75 16331:16349">
      <c r="A1372" s="55">
        <v>0</v>
      </c>
      <c r="B1372" s="56">
        <v>0</v>
      </c>
      <c r="C1372" s="57">
        <v>0</v>
      </c>
      <c r="D1372" s="185"/>
      <c r="E1372" s="186"/>
      <c r="F1372" s="187" t="e">
        <f>VLOOKUP(E1372,[1]库存!$B$1:$C$65536,2,FALSE)</f>
        <v>#N/A</v>
      </c>
      <c r="G1372" s="187" t="e">
        <v>#N/A</v>
      </c>
      <c r="H1372" s="188"/>
      <c r="I1372" s="189"/>
      <c r="J1372" s="190"/>
      <c r="K1372" s="181"/>
      <c r="L1372" s="65">
        <f>SUM(M1372:M1372)</f>
        <v>0</v>
      </c>
      <c r="M1372" s="63">
        <v>0</v>
      </c>
      <c r="N1372" s="65">
        <f>SUM(O1372:P1372)</f>
        <v>0</v>
      </c>
      <c r="O1372" s="65">
        <f>SUM(P1372:P1372)</f>
        <v>0</v>
      </c>
      <c r="P1372" s="65">
        <f t="shared" si="83"/>
        <v>0</v>
      </c>
      <c r="Q1372" s="66"/>
      <c r="R1372" s="66"/>
      <c r="S1372" s="66"/>
      <c r="T1372" s="66"/>
      <c r="U1372" s="66"/>
      <c r="V1372" s="66"/>
      <c r="W1372" s="66"/>
      <c r="X1372" s="66"/>
      <c r="Y1372" s="66"/>
      <c r="Z1372" s="66"/>
      <c r="AA1372" s="66"/>
      <c r="AB1372" s="66"/>
      <c r="AC1372" s="66"/>
      <c r="AD1372" s="66"/>
      <c r="AE1372" s="66"/>
      <c r="AF1372" s="66"/>
      <c r="AG1372" s="66"/>
      <c r="AH1372" s="66"/>
      <c r="AI1372" s="66"/>
      <c r="AJ1372" s="66"/>
      <c r="AK1372" s="66"/>
      <c r="AL1372" s="66"/>
      <c r="AM1372" s="66"/>
      <c r="AN1372" s="66"/>
      <c r="AO1372" s="66"/>
      <c r="AP1372" s="66"/>
      <c r="AQ1372" s="66"/>
      <c r="AR1372" s="66"/>
      <c r="AS1372" s="66"/>
      <c r="AT1372" s="66"/>
      <c r="AU1372" s="66"/>
      <c r="AV1372" s="66"/>
      <c r="AW1372" s="66"/>
      <c r="AX1372" s="66"/>
      <c r="AY1372" s="66"/>
      <c r="AZ1372" s="66"/>
      <c r="BA1372" s="66"/>
      <c r="BB1372" s="66"/>
      <c r="BC1372" s="66"/>
      <c r="BD1372" s="66"/>
      <c r="BE1372" s="67"/>
      <c r="BF1372" s="67"/>
      <c r="BG1372" s="68"/>
      <c r="BI1372" s="69">
        <v>0</v>
      </c>
      <c r="BJ1372" s="70">
        <v>0</v>
      </c>
      <c r="BK1372" s="71">
        <v>0</v>
      </c>
      <c r="BL1372" s="71">
        <v>0</v>
      </c>
      <c r="BM1372" s="71">
        <v>0</v>
      </c>
      <c r="BN1372" s="72">
        <v>0</v>
      </c>
      <c r="BO1372" s="151" t="e">
        <f t="shared" si="84"/>
        <v>#DIV/0!</v>
      </c>
      <c r="BP1372" s="151" t="e">
        <f t="shared" si="85"/>
        <v>#DIV/0!</v>
      </c>
      <c r="BQ1372" s="71">
        <v>0</v>
      </c>
      <c r="BR1372" s="71">
        <v>0</v>
      </c>
      <c r="BS1372" s="71">
        <v>0</v>
      </c>
      <c r="BT1372" s="72">
        <v>0</v>
      </c>
      <c r="BU1372" s="191"/>
      <c r="BV1372" s="191"/>
    </row>
    <row r="1373" ht="30" customHeight="1" spans="1:75 16331:16349">
      <c r="A1373" s="55" t="s">
        <v>165</v>
      </c>
      <c r="B1373" s="56" t="s">
        <v>2247</v>
      </c>
      <c r="C1373" s="57" t="s">
        <v>2248</v>
      </c>
      <c r="D1373" s="91" t="s">
        <v>2249</v>
      </c>
      <c r="E1373" s="91" t="s">
        <v>2250</v>
      </c>
      <c r="F1373" s="91" t="str">
        <f>VLOOKUP(E1373,[1]库存!$B$1:$C$65536,2,FALSE)</f>
        <v>NIO BLANC FCA</v>
      </c>
      <c r="G1373" s="91" t="s">
        <v>2251</v>
      </c>
      <c r="H1373" s="91" t="s">
        <v>2252</v>
      </c>
      <c r="I1373" s="91" t="s">
        <v>2253</v>
      </c>
      <c r="J1373" s="63"/>
      <c r="K1373" s="61"/>
      <c r="L1373" s="62">
        <v>0</v>
      </c>
      <c r="M1373" s="63">
        <v>700</v>
      </c>
      <c r="N1373" s="64">
        <v>12</v>
      </c>
      <c r="O1373" s="62">
        <v>3</v>
      </c>
      <c r="P1373" s="65">
        <f t="shared" si="83"/>
        <v>0</v>
      </c>
      <c r="Q1373" s="66"/>
      <c r="R1373" s="66"/>
      <c r="S1373" s="66"/>
      <c r="T1373" s="66"/>
      <c r="U1373" s="66"/>
      <c r="V1373" s="66"/>
      <c r="W1373" s="66"/>
      <c r="X1373" s="66"/>
      <c r="Y1373" s="66"/>
      <c r="Z1373" s="66"/>
      <c r="AA1373" s="66" t="s">
        <v>2254</v>
      </c>
      <c r="AB1373" s="66"/>
      <c r="AC1373" s="66">
        <v>900</v>
      </c>
      <c r="AD1373" s="66"/>
      <c r="AE1373" s="66"/>
      <c r="AF1373" s="66"/>
      <c r="AG1373" s="66"/>
      <c r="AH1373" s="66"/>
      <c r="AI1373" s="66"/>
      <c r="AJ1373" s="66"/>
      <c r="AK1373" s="66"/>
      <c r="AL1373" s="66"/>
      <c r="AM1373" s="66"/>
      <c r="AN1373" s="66"/>
      <c r="AO1373" s="66"/>
      <c r="AP1373" s="66"/>
      <c r="AQ1373" s="66"/>
      <c r="AR1373" s="66"/>
      <c r="AS1373" s="66"/>
      <c r="AT1373" s="66"/>
      <c r="AU1373" s="66"/>
      <c r="AV1373" s="66"/>
      <c r="AW1373" s="66"/>
      <c r="AX1373" s="66"/>
      <c r="AY1373" s="66"/>
      <c r="AZ1373" s="66"/>
      <c r="BA1373" s="66"/>
      <c r="BB1373" s="66"/>
      <c r="BC1373" s="66"/>
      <c r="BD1373" s="66"/>
      <c r="BE1373" s="67"/>
      <c r="BF1373" s="67"/>
      <c r="BG1373" s="68"/>
      <c r="BI1373" s="69">
        <v>0</v>
      </c>
      <c r="BJ1373" s="70">
        <v>0</v>
      </c>
      <c r="BK1373" s="71">
        <v>0</v>
      </c>
      <c r="BL1373" s="71">
        <v>0</v>
      </c>
      <c r="BM1373" s="71">
        <v>0</v>
      </c>
      <c r="BN1373" s="72">
        <v>0</v>
      </c>
      <c r="BO1373" s="151" t="e">
        <f t="shared" si="84"/>
        <v>#DIV/0!</v>
      </c>
      <c r="BP1373" s="151" t="e">
        <f t="shared" si="85"/>
        <v>#DIV/0!</v>
      </c>
      <c r="BQ1373" s="71">
        <v>0</v>
      </c>
      <c r="BR1373" s="71">
        <v>0</v>
      </c>
      <c r="BS1373" s="71">
        <v>0</v>
      </c>
      <c r="BT1373" s="72">
        <v>0</v>
      </c>
      <c r="BU1373" s="73"/>
      <c r="BV1373" s="73"/>
      <c r="BW1373" s="14" t="s">
        <v>2255</v>
      </c>
    </row>
    <row r="1374" ht="30" customHeight="1" spans="1:75 16331:16349">
      <c r="A1374" s="55">
        <v>0</v>
      </c>
      <c r="B1374" s="56">
        <v>0</v>
      </c>
      <c r="C1374" s="57">
        <v>0</v>
      </c>
      <c r="D1374" s="92"/>
      <c r="E1374" s="92"/>
      <c r="F1374" s="91" t="e">
        <f>VLOOKUP(E1374,[1]库存!$B$1:$C$65536,2,FALSE)</f>
        <v>#N/A</v>
      </c>
      <c r="G1374" s="91" t="e">
        <v>#N/A</v>
      </c>
      <c r="H1374" s="92"/>
      <c r="I1374" s="92"/>
      <c r="J1374" s="87"/>
      <c r="K1374" s="61"/>
      <c r="L1374" s="62">
        <v>0</v>
      </c>
      <c r="M1374" s="63">
        <v>0</v>
      </c>
      <c r="N1374" s="64">
        <v>0</v>
      </c>
      <c r="O1374" s="62">
        <v>0</v>
      </c>
      <c r="P1374" s="65">
        <f t="shared" si="83"/>
        <v>0</v>
      </c>
      <c r="Q1374" s="66"/>
      <c r="R1374" s="66"/>
      <c r="S1374" s="66"/>
      <c r="T1374" s="66"/>
      <c r="U1374" s="66"/>
      <c r="V1374" s="66"/>
      <c r="W1374" s="66"/>
      <c r="X1374" s="66"/>
      <c r="Y1374" s="66"/>
      <c r="Z1374" s="66"/>
      <c r="AA1374" s="66">
        <v>711</v>
      </c>
      <c r="AB1374" s="66"/>
      <c r="AC1374" s="66">
        <v>1031</v>
      </c>
      <c r="AD1374" s="66"/>
      <c r="AE1374" s="66"/>
      <c r="AF1374" s="66"/>
      <c r="AG1374" s="66"/>
      <c r="AH1374" s="66"/>
      <c r="AI1374" s="66"/>
      <c r="AJ1374" s="66"/>
      <c r="AK1374" s="66"/>
      <c r="AL1374" s="66"/>
      <c r="AM1374" s="66"/>
      <c r="AN1374" s="66"/>
      <c r="AO1374" s="66"/>
      <c r="AP1374" s="66"/>
      <c r="AQ1374" s="66"/>
      <c r="AR1374" s="66"/>
      <c r="AS1374" s="66"/>
      <c r="AT1374" s="66"/>
      <c r="AU1374" s="66"/>
      <c r="AV1374" s="66"/>
      <c r="AW1374" s="66"/>
      <c r="AX1374" s="66"/>
      <c r="AY1374" s="66"/>
      <c r="AZ1374" s="66"/>
      <c r="BA1374" s="66"/>
      <c r="BB1374" s="66"/>
      <c r="BC1374" s="66"/>
      <c r="BD1374" s="66"/>
      <c r="BE1374" s="67"/>
      <c r="BF1374" s="67"/>
      <c r="BG1374" s="68"/>
      <c r="BI1374" s="69">
        <v>0</v>
      </c>
      <c r="BJ1374" s="70">
        <v>0</v>
      </c>
      <c r="BK1374" s="71">
        <v>0</v>
      </c>
      <c r="BL1374" s="71">
        <v>0</v>
      </c>
      <c r="BM1374" s="71">
        <v>0</v>
      </c>
      <c r="BN1374" s="72">
        <v>0</v>
      </c>
      <c r="BO1374" s="151" t="e">
        <f t="shared" si="84"/>
        <v>#DIV/0!</v>
      </c>
      <c r="BP1374" s="151" t="e">
        <f t="shared" si="85"/>
        <v>#DIV/0!</v>
      </c>
      <c r="BQ1374" s="71">
        <v>0</v>
      </c>
      <c r="BR1374" s="71">
        <v>0</v>
      </c>
      <c r="BS1374" s="71">
        <v>0</v>
      </c>
      <c r="BT1374" s="72">
        <v>0</v>
      </c>
      <c r="BU1374" s="73"/>
      <c r="BV1374" s="73"/>
    </row>
    <row r="1375" ht="30" customHeight="1" spans="1:75 16331:16349">
      <c r="A1375" s="55">
        <v>0</v>
      </c>
      <c r="B1375" s="56" t="s">
        <v>2247</v>
      </c>
      <c r="C1375" s="57" t="s">
        <v>2248</v>
      </c>
      <c r="D1375" s="59"/>
      <c r="E1375" s="59"/>
      <c r="F1375" s="59" t="e">
        <f>VLOOKUP(E1375,[1]库存!$B$1:$C$65536,2,FALSE)</f>
        <v>#N/A</v>
      </c>
      <c r="G1375" s="59" t="e">
        <v>#N/A</v>
      </c>
      <c r="H1375" s="59"/>
      <c r="I1375" s="59"/>
      <c r="J1375" s="63"/>
      <c r="K1375" s="61"/>
      <c r="L1375" s="62">
        <v>0</v>
      </c>
      <c r="M1375" s="63">
        <v>0</v>
      </c>
      <c r="N1375" s="62">
        <v>0</v>
      </c>
      <c r="O1375" s="62">
        <v>0</v>
      </c>
      <c r="P1375" s="65">
        <f t="shared" si="83"/>
        <v>0</v>
      </c>
      <c r="Q1375" s="66"/>
      <c r="R1375" s="66"/>
      <c r="S1375" s="66"/>
      <c r="T1375" s="66"/>
      <c r="U1375" s="66"/>
      <c r="V1375" s="66"/>
      <c r="W1375" s="66"/>
      <c r="X1375" s="66"/>
      <c r="Y1375" s="66"/>
      <c r="Z1375" s="66"/>
      <c r="AA1375" s="66"/>
      <c r="AB1375" s="66"/>
      <c r="AC1375" s="66"/>
      <c r="AD1375" s="66"/>
      <c r="AE1375" s="66"/>
      <c r="AF1375" s="66"/>
      <c r="AG1375" s="66"/>
      <c r="AH1375" s="66"/>
      <c r="AI1375" s="66"/>
      <c r="AJ1375" s="66"/>
      <c r="AK1375" s="66"/>
      <c r="AL1375" s="66"/>
      <c r="AM1375" s="66"/>
      <c r="AN1375" s="66"/>
      <c r="AO1375" s="66"/>
      <c r="AP1375" s="66"/>
      <c r="AQ1375" s="66"/>
      <c r="AR1375" s="66"/>
      <c r="AS1375" s="66"/>
      <c r="AT1375" s="66"/>
      <c r="AU1375" s="66"/>
      <c r="AV1375" s="66"/>
      <c r="AW1375" s="66"/>
      <c r="AX1375" s="66"/>
      <c r="AY1375" s="66"/>
      <c r="AZ1375" s="66"/>
      <c r="BA1375" s="66"/>
      <c r="BB1375" s="66"/>
      <c r="BC1375" s="66"/>
      <c r="BD1375" s="66"/>
      <c r="BE1375" s="67"/>
      <c r="BF1375" s="67"/>
      <c r="BG1375" s="68"/>
      <c r="BI1375" s="69">
        <v>0</v>
      </c>
      <c r="BJ1375" s="70">
        <v>0</v>
      </c>
      <c r="BK1375" s="71">
        <v>0</v>
      </c>
      <c r="BL1375" s="71">
        <v>0</v>
      </c>
      <c r="BM1375" s="71">
        <v>0</v>
      </c>
      <c r="BN1375" s="72">
        <v>0</v>
      </c>
      <c r="BO1375" s="151" t="e">
        <f t="shared" si="84"/>
        <v>#DIV/0!</v>
      </c>
      <c r="BP1375" s="151" t="e">
        <f t="shared" si="85"/>
        <v>#DIV/0!</v>
      </c>
      <c r="BQ1375" s="71">
        <v>0</v>
      </c>
      <c r="BR1375" s="71">
        <v>0</v>
      </c>
      <c r="BS1375" s="71">
        <v>0</v>
      </c>
      <c r="BT1375" s="72">
        <v>0</v>
      </c>
      <c r="BU1375" s="73"/>
      <c r="BV1375" s="73"/>
    </row>
    <row r="1376" ht="30" customHeight="1" spans="1:75 16331:16349">
      <c r="A1376" s="55">
        <v>0</v>
      </c>
      <c r="B1376" s="56">
        <v>0</v>
      </c>
      <c r="C1376" s="57">
        <v>0</v>
      </c>
      <c r="D1376" s="74"/>
      <c r="E1376" s="74"/>
      <c r="F1376" s="59" t="e">
        <f>VLOOKUP(E1376,[1]库存!$B$1:$C$65536,2,FALSE)</f>
        <v>#N/A</v>
      </c>
      <c r="G1376" s="59" t="e">
        <v>#N/A</v>
      </c>
      <c r="H1376" s="74"/>
      <c r="I1376" s="74"/>
      <c r="J1376" s="87"/>
      <c r="K1376" s="61"/>
      <c r="L1376" s="62">
        <v>0</v>
      </c>
      <c r="M1376" s="63">
        <v>0</v>
      </c>
      <c r="N1376" s="64">
        <v>0</v>
      </c>
      <c r="O1376" s="62">
        <v>0</v>
      </c>
      <c r="P1376" s="65">
        <f t="shared" si="83"/>
        <v>0</v>
      </c>
      <c r="Q1376" s="66"/>
      <c r="R1376" s="66"/>
      <c r="S1376" s="66"/>
      <c r="T1376" s="66"/>
      <c r="U1376" s="66"/>
      <c r="V1376" s="66"/>
      <c r="W1376" s="66"/>
      <c r="X1376" s="66"/>
      <c r="Y1376" s="66"/>
      <c r="Z1376" s="66"/>
      <c r="AA1376" s="66"/>
      <c r="AB1376" s="66"/>
      <c r="AC1376" s="66"/>
      <c r="AD1376" s="66"/>
      <c r="AE1376" s="66"/>
      <c r="AF1376" s="66"/>
      <c r="AG1376" s="66"/>
      <c r="AH1376" s="66"/>
      <c r="AI1376" s="66"/>
      <c r="AJ1376" s="66"/>
      <c r="AK1376" s="66"/>
      <c r="AL1376" s="66"/>
      <c r="AM1376" s="66"/>
      <c r="AN1376" s="66"/>
      <c r="AO1376" s="66"/>
      <c r="AP1376" s="66"/>
      <c r="AQ1376" s="66"/>
      <c r="AR1376" s="66"/>
      <c r="AS1376" s="66"/>
      <c r="AT1376" s="66"/>
      <c r="AU1376" s="66"/>
      <c r="AV1376" s="66"/>
      <c r="AW1376" s="66"/>
      <c r="AX1376" s="66"/>
      <c r="AY1376" s="66"/>
      <c r="AZ1376" s="66"/>
      <c r="BA1376" s="66"/>
      <c r="BB1376" s="66"/>
      <c r="BC1376" s="66"/>
      <c r="BD1376" s="66"/>
      <c r="BE1376" s="67"/>
      <c r="BF1376" s="67"/>
      <c r="BG1376" s="68"/>
      <c r="BI1376" s="69">
        <v>0</v>
      </c>
      <c r="BJ1376" s="70">
        <v>0</v>
      </c>
      <c r="BK1376" s="71">
        <v>0</v>
      </c>
      <c r="BL1376" s="71">
        <v>0</v>
      </c>
      <c r="BM1376" s="71">
        <v>0</v>
      </c>
      <c r="BN1376" s="72">
        <v>0</v>
      </c>
      <c r="BO1376" s="151" t="e">
        <f t="shared" si="84"/>
        <v>#DIV/0!</v>
      </c>
      <c r="BP1376" s="151" t="e">
        <f t="shared" si="85"/>
        <v>#DIV/0!</v>
      </c>
      <c r="BQ1376" s="71">
        <v>0</v>
      </c>
      <c r="BR1376" s="71">
        <v>0</v>
      </c>
      <c r="BS1376" s="71">
        <v>0</v>
      </c>
      <c r="BT1376" s="72">
        <v>0</v>
      </c>
      <c r="BU1376" s="73"/>
      <c r="BV1376" s="73"/>
    </row>
    <row r="1377" ht="30" customHeight="1" spans="1:74">
      <c r="A1377" s="55">
        <v>0</v>
      </c>
      <c r="B1377" s="56">
        <v>0</v>
      </c>
      <c r="C1377" s="57">
        <v>0</v>
      </c>
      <c r="E1377" s="88"/>
      <c r="F1377" s="59" t="e">
        <f>VLOOKUP(E1377,[1]库存!$B$1:$C$65536,2,FALSE)</f>
        <v>#N/A</v>
      </c>
      <c r="G1377" s="59" t="e">
        <v>#N/A</v>
      </c>
      <c r="H1377" s="89"/>
      <c r="I1377" s="88"/>
      <c r="J1377" s="90"/>
      <c r="K1377" s="61"/>
      <c r="L1377" s="62">
        <v>0</v>
      </c>
      <c r="M1377" s="63">
        <v>0</v>
      </c>
      <c r="N1377" s="64">
        <v>0</v>
      </c>
      <c r="O1377" s="62">
        <v>0</v>
      </c>
      <c r="P1377" s="65">
        <f t="shared" si="83"/>
        <v>0</v>
      </c>
      <c r="Q1377" s="66"/>
      <c r="R1377" s="66"/>
      <c r="S1377" s="66"/>
      <c r="T1377" s="66"/>
      <c r="U1377" s="66"/>
      <c r="V1377" s="66"/>
      <c r="W1377" s="66"/>
      <c r="X1377" s="66"/>
      <c r="Y1377" s="66"/>
      <c r="Z1377" s="66"/>
      <c r="AA1377" s="66"/>
      <c r="AB1377" s="66"/>
      <c r="AC1377" s="66"/>
      <c r="AD1377" s="66"/>
      <c r="AE1377" s="66"/>
      <c r="AF1377" s="66"/>
      <c r="AG1377" s="66"/>
      <c r="AH1377" s="66"/>
      <c r="AI1377" s="66"/>
      <c r="AJ1377" s="66"/>
      <c r="AK1377" s="66"/>
      <c r="AL1377" s="66"/>
      <c r="AM1377" s="66"/>
      <c r="AN1377" s="66"/>
      <c r="AO1377" s="66"/>
      <c r="AP1377" s="66"/>
      <c r="AQ1377" s="66"/>
      <c r="AR1377" s="66"/>
      <c r="AS1377" s="66"/>
      <c r="AT1377" s="66"/>
      <c r="AU1377" s="66"/>
      <c r="AV1377" s="66"/>
      <c r="AW1377" s="66"/>
      <c r="AX1377" s="66"/>
      <c r="AY1377" s="66"/>
      <c r="AZ1377" s="66"/>
      <c r="BA1377" s="66"/>
      <c r="BB1377" s="66"/>
      <c r="BC1377" s="66"/>
      <c r="BD1377" s="66"/>
      <c r="BE1377" s="67"/>
      <c r="BF1377" s="67"/>
      <c r="BG1377" s="68"/>
      <c r="BI1377" s="69">
        <v>0</v>
      </c>
      <c r="BJ1377" s="70">
        <v>0</v>
      </c>
      <c r="BK1377" s="71">
        <v>0</v>
      </c>
      <c r="BL1377" s="71">
        <v>0</v>
      </c>
      <c r="BM1377" s="71">
        <v>0</v>
      </c>
      <c r="BN1377" s="72">
        <v>0</v>
      </c>
      <c r="BO1377" s="151" t="e">
        <f t="shared" si="84"/>
        <v>#DIV/0!</v>
      </c>
      <c r="BP1377" s="151" t="e">
        <f t="shared" si="85"/>
        <v>#DIV/0!</v>
      </c>
      <c r="BQ1377" s="71">
        <v>0</v>
      </c>
      <c r="BR1377" s="71">
        <v>0</v>
      </c>
      <c r="BS1377" s="71">
        <v>0</v>
      </c>
      <c r="BT1377" s="72">
        <v>0</v>
      </c>
      <c r="BU1377" s="73"/>
      <c r="BV1377" s="73"/>
    </row>
    <row r="1378" ht="30" customHeight="1" spans="1:74">
      <c r="A1378" s="55" t="s">
        <v>165</v>
      </c>
      <c r="B1378" s="56" t="s">
        <v>2247</v>
      </c>
      <c r="C1378" s="57" t="s">
        <v>2248</v>
      </c>
      <c r="D1378" s="91" t="s">
        <v>2256</v>
      </c>
      <c r="E1378" s="91" t="s">
        <v>2257</v>
      </c>
      <c r="F1378" s="91" t="str">
        <f>VLOOKUP(E1378,[1]库存!$B$1:$C$65536,2,FALSE)</f>
        <v>L946 FCA A状态</v>
      </c>
      <c r="G1378" s="91" t="s">
        <v>2258</v>
      </c>
      <c r="H1378" s="91" t="s">
        <v>2259</v>
      </c>
      <c r="I1378" s="91" t="s">
        <v>2260</v>
      </c>
      <c r="J1378" s="63"/>
      <c r="K1378" s="61"/>
      <c r="L1378" s="62">
        <v>0</v>
      </c>
      <c r="M1378" s="63">
        <v>400</v>
      </c>
      <c r="N1378" s="64">
        <v>20</v>
      </c>
      <c r="O1378" s="62">
        <v>0</v>
      </c>
      <c r="P1378" s="65">
        <f t="shared" si="83"/>
        <v>0</v>
      </c>
      <c r="Q1378" s="66"/>
      <c r="R1378" s="66"/>
      <c r="S1378" s="66"/>
      <c r="T1378" s="66"/>
      <c r="U1378" s="66"/>
      <c r="V1378" s="66"/>
      <c r="W1378" s="66"/>
      <c r="X1378" s="66"/>
      <c r="Y1378" s="66"/>
      <c r="Z1378" s="66"/>
      <c r="AA1378" s="66"/>
      <c r="AB1378" s="66"/>
      <c r="AC1378" s="66"/>
      <c r="AD1378" s="66"/>
      <c r="AE1378" s="66"/>
      <c r="AF1378" s="66"/>
      <c r="AG1378" s="66"/>
      <c r="AH1378" s="66"/>
      <c r="AI1378" s="66"/>
      <c r="AJ1378" s="66"/>
      <c r="AK1378" s="66"/>
      <c r="AL1378" s="66"/>
      <c r="AM1378" s="66"/>
      <c r="AN1378" s="66"/>
      <c r="AO1378" s="66"/>
      <c r="AP1378" s="66"/>
      <c r="AQ1378" s="66"/>
      <c r="AR1378" s="66"/>
      <c r="AS1378" s="66"/>
      <c r="AT1378" s="66"/>
      <c r="AU1378" s="66"/>
      <c r="AV1378" s="66"/>
      <c r="AW1378" s="66"/>
      <c r="AX1378" s="66"/>
      <c r="AY1378" s="66"/>
      <c r="AZ1378" s="66"/>
      <c r="BA1378" s="66"/>
      <c r="BB1378" s="66"/>
      <c r="BC1378" s="66"/>
      <c r="BD1378" s="66"/>
      <c r="BE1378" s="67"/>
      <c r="BF1378" s="67"/>
      <c r="BG1378" s="68"/>
      <c r="BI1378" s="69">
        <v>0</v>
      </c>
      <c r="BJ1378" s="70">
        <v>0</v>
      </c>
      <c r="BK1378" s="71">
        <v>0</v>
      </c>
      <c r="BL1378" s="71">
        <v>0</v>
      </c>
      <c r="BM1378" s="71">
        <v>0</v>
      </c>
      <c r="BN1378" s="72">
        <v>0</v>
      </c>
      <c r="BO1378" s="151" t="e">
        <f t="shared" si="84"/>
        <v>#DIV/0!</v>
      </c>
      <c r="BP1378" s="151" t="e">
        <f t="shared" si="85"/>
        <v>#DIV/0!</v>
      </c>
      <c r="BQ1378" s="71">
        <v>0</v>
      </c>
      <c r="BR1378" s="71">
        <v>0</v>
      </c>
      <c r="BS1378" s="71">
        <v>0</v>
      </c>
      <c r="BT1378" s="72">
        <v>0</v>
      </c>
      <c r="BU1378" s="73"/>
      <c r="BV1378" s="73"/>
    </row>
    <row r="1379" ht="30" customHeight="1" spans="1:74">
      <c r="A1379" s="55">
        <v>0</v>
      </c>
      <c r="B1379" s="56">
        <v>0</v>
      </c>
      <c r="C1379" s="57">
        <v>0</v>
      </c>
      <c r="D1379" s="92"/>
      <c r="E1379" s="92"/>
      <c r="F1379" s="91" t="e">
        <f>VLOOKUP(E1379,[1]库存!$B$1:$C$65536,2,FALSE)</f>
        <v>#N/A</v>
      </c>
      <c r="G1379" s="91" t="e">
        <v>#N/A</v>
      </c>
      <c r="H1379" s="92"/>
      <c r="I1379" s="92"/>
      <c r="J1379" s="87"/>
      <c r="K1379" s="61"/>
      <c r="L1379" s="62">
        <v>0</v>
      </c>
      <c r="M1379" s="63">
        <v>0</v>
      </c>
      <c r="N1379" s="64">
        <v>0</v>
      </c>
      <c r="O1379" s="62">
        <v>0</v>
      </c>
      <c r="P1379" s="65">
        <f t="shared" si="83"/>
        <v>0</v>
      </c>
      <c r="Q1379" s="66"/>
      <c r="R1379" s="66"/>
      <c r="S1379" s="66"/>
      <c r="T1379" s="66"/>
      <c r="U1379" s="66"/>
      <c r="V1379" s="66"/>
      <c r="W1379" s="66"/>
      <c r="X1379" s="66"/>
      <c r="Y1379" s="66"/>
      <c r="Z1379" s="66"/>
      <c r="AA1379" s="66"/>
      <c r="AB1379" s="66"/>
      <c r="AC1379" s="66"/>
      <c r="AD1379" s="66"/>
      <c r="AE1379" s="66"/>
      <c r="AF1379" s="66"/>
      <c r="AG1379" s="66"/>
      <c r="AH1379" s="66"/>
      <c r="AI1379" s="66"/>
      <c r="AJ1379" s="66"/>
      <c r="AK1379" s="66"/>
      <c r="AL1379" s="66"/>
      <c r="AM1379" s="66"/>
      <c r="AN1379" s="66"/>
      <c r="AO1379" s="66"/>
      <c r="AP1379" s="66"/>
      <c r="AQ1379" s="66"/>
      <c r="AR1379" s="66"/>
      <c r="AS1379" s="66"/>
      <c r="AT1379" s="66"/>
      <c r="AU1379" s="66"/>
      <c r="AV1379" s="66"/>
      <c r="AW1379" s="66"/>
      <c r="AX1379" s="66"/>
      <c r="AY1379" s="66"/>
      <c r="AZ1379" s="66"/>
      <c r="BA1379" s="66"/>
      <c r="BB1379" s="66"/>
      <c r="BC1379" s="66"/>
      <c r="BD1379" s="66"/>
      <c r="BE1379" s="67"/>
      <c r="BF1379" s="67"/>
      <c r="BG1379" s="68"/>
      <c r="BI1379" s="69">
        <v>0</v>
      </c>
      <c r="BJ1379" s="70">
        <v>0</v>
      </c>
      <c r="BK1379" s="71">
        <v>0</v>
      </c>
      <c r="BL1379" s="71">
        <v>0</v>
      </c>
      <c r="BM1379" s="71">
        <v>0</v>
      </c>
      <c r="BN1379" s="72">
        <v>0</v>
      </c>
      <c r="BO1379" s="151" t="e">
        <f t="shared" si="84"/>
        <v>#DIV/0!</v>
      </c>
      <c r="BP1379" s="151" t="e">
        <f t="shared" si="85"/>
        <v>#DIV/0!</v>
      </c>
      <c r="BQ1379" s="71">
        <v>0</v>
      </c>
      <c r="BR1379" s="71">
        <v>0</v>
      </c>
      <c r="BS1379" s="71">
        <v>0</v>
      </c>
      <c r="BT1379" s="72">
        <v>0</v>
      </c>
      <c r="BU1379" s="73"/>
      <c r="BV1379" s="73"/>
    </row>
    <row r="1380" ht="30" customHeight="1" spans="1:74">
      <c r="A1380" s="55">
        <v>0</v>
      </c>
      <c r="B1380" s="56">
        <v>0</v>
      </c>
      <c r="C1380" s="57">
        <v>0</v>
      </c>
      <c r="E1380" s="88"/>
      <c r="F1380" s="59" t="e">
        <f>VLOOKUP(E1380,[1]库存!$B$1:$C$65536,2,FALSE)</f>
        <v>#N/A</v>
      </c>
      <c r="G1380" s="59" t="e">
        <v>#N/A</v>
      </c>
      <c r="H1380" s="89"/>
      <c r="I1380" s="88"/>
      <c r="J1380" s="90"/>
      <c r="K1380" s="61"/>
      <c r="L1380" s="62">
        <v>0</v>
      </c>
      <c r="M1380" s="63">
        <v>0</v>
      </c>
      <c r="N1380" s="64">
        <v>0</v>
      </c>
      <c r="O1380" s="62">
        <v>0</v>
      </c>
      <c r="P1380" s="65">
        <f t="shared" si="83"/>
        <v>0</v>
      </c>
      <c r="Q1380" s="66"/>
      <c r="R1380" s="66"/>
      <c r="S1380" s="66"/>
      <c r="T1380" s="66"/>
      <c r="U1380" s="66"/>
      <c r="V1380" s="66"/>
      <c r="W1380" s="66"/>
      <c r="X1380" s="66"/>
      <c r="Y1380" s="66"/>
      <c r="Z1380" s="66"/>
      <c r="AA1380" s="66"/>
      <c r="AB1380" s="66"/>
      <c r="AC1380" s="66"/>
      <c r="AD1380" s="66"/>
      <c r="AE1380" s="66"/>
      <c r="AF1380" s="66"/>
      <c r="AG1380" s="66"/>
      <c r="AH1380" s="66"/>
      <c r="AI1380" s="66"/>
      <c r="AJ1380" s="66"/>
      <c r="AK1380" s="66"/>
      <c r="AL1380" s="66"/>
      <c r="AM1380" s="66"/>
      <c r="AN1380" s="66"/>
      <c r="AO1380" s="66"/>
      <c r="AP1380" s="66"/>
      <c r="AQ1380" s="66"/>
      <c r="AR1380" s="66"/>
      <c r="AS1380" s="66"/>
      <c r="AT1380" s="66"/>
      <c r="AU1380" s="66"/>
      <c r="AV1380" s="66"/>
      <c r="AW1380" s="66"/>
      <c r="AX1380" s="66"/>
      <c r="AY1380" s="66"/>
      <c r="AZ1380" s="66"/>
      <c r="BA1380" s="66"/>
      <c r="BB1380" s="66"/>
      <c r="BC1380" s="66"/>
      <c r="BD1380" s="66"/>
      <c r="BE1380" s="67"/>
      <c r="BF1380" s="67"/>
      <c r="BG1380" s="68"/>
      <c r="BI1380" s="69">
        <v>0</v>
      </c>
      <c r="BJ1380" s="70">
        <v>0</v>
      </c>
      <c r="BK1380" s="71">
        <v>0</v>
      </c>
      <c r="BL1380" s="71">
        <v>0</v>
      </c>
      <c r="BM1380" s="71">
        <v>0</v>
      </c>
      <c r="BN1380" s="72">
        <v>0</v>
      </c>
      <c r="BO1380" s="151" t="e">
        <f t="shared" si="84"/>
        <v>#DIV/0!</v>
      </c>
      <c r="BP1380" s="151" t="e">
        <f t="shared" si="85"/>
        <v>#DIV/0!</v>
      </c>
      <c r="BQ1380" s="71">
        <v>0</v>
      </c>
      <c r="BR1380" s="71">
        <v>0</v>
      </c>
      <c r="BS1380" s="71">
        <v>0</v>
      </c>
      <c r="BT1380" s="72">
        <v>0</v>
      </c>
      <c r="BU1380" s="73"/>
      <c r="BV1380" s="73"/>
    </row>
    <row r="1381" ht="30" customHeight="1" spans="1:74">
      <c r="A1381" s="55">
        <v>0</v>
      </c>
      <c r="B1381" s="56" t="s">
        <v>2247</v>
      </c>
      <c r="C1381" s="57" t="s">
        <v>2261</v>
      </c>
      <c r="D1381" s="59" t="s">
        <v>2262</v>
      </c>
      <c r="E1381" s="59"/>
      <c r="F1381" s="59" t="e">
        <f>VLOOKUP(E1381,[1]库存!$B$1:$C$65536,2,FALSE)</f>
        <v>#N/A</v>
      </c>
      <c r="G1381" s="59" t="e">
        <v>#N/A</v>
      </c>
      <c r="H1381" s="59" t="s">
        <v>2263</v>
      </c>
      <c r="I1381" s="59"/>
      <c r="J1381" s="63"/>
      <c r="K1381" s="61"/>
      <c r="L1381" s="62">
        <v>0</v>
      </c>
      <c r="M1381" s="63">
        <v>400</v>
      </c>
      <c r="N1381" s="64">
        <v>20</v>
      </c>
      <c r="O1381" s="62">
        <v>0</v>
      </c>
      <c r="P1381" s="65">
        <f t="shared" si="83"/>
        <v>0</v>
      </c>
      <c r="Q1381" s="66"/>
      <c r="R1381" s="66"/>
      <c r="S1381" s="66"/>
      <c r="T1381" s="66"/>
      <c r="U1381" s="66"/>
      <c r="V1381" s="66"/>
      <c r="W1381" s="66"/>
      <c r="X1381" s="66"/>
      <c r="Y1381" s="66"/>
      <c r="Z1381" s="66"/>
      <c r="AA1381" s="66"/>
      <c r="AB1381" s="66"/>
      <c r="AC1381" s="66"/>
      <c r="AD1381" s="66"/>
      <c r="AE1381" s="66"/>
      <c r="AF1381" s="66"/>
      <c r="AG1381" s="66"/>
      <c r="AH1381" s="66"/>
      <c r="AI1381" s="66"/>
      <c r="AJ1381" s="66"/>
      <c r="AK1381" s="66"/>
      <c r="AL1381" s="66"/>
      <c r="AM1381" s="66"/>
      <c r="AN1381" s="66"/>
      <c r="AO1381" s="66"/>
      <c r="AP1381" s="66"/>
      <c r="AQ1381" s="66"/>
      <c r="AR1381" s="66"/>
      <c r="AS1381" s="66"/>
      <c r="AT1381" s="66"/>
      <c r="AU1381" s="66"/>
      <c r="AV1381" s="66"/>
      <c r="AW1381" s="66"/>
      <c r="AX1381" s="66"/>
      <c r="AY1381" s="66"/>
      <c r="AZ1381" s="66"/>
      <c r="BA1381" s="66"/>
      <c r="BB1381" s="66"/>
      <c r="BC1381" s="66"/>
      <c r="BD1381" s="66"/>
      <c r="BE1381" s="67"/>
      <c r="BF1381" s="67"/>
      <c r="BG1381" s="68"/>
      <c r="BI1381" s="69">
        <v>0</v>
      </c>
      <c r="BJ1381" s="70">
        <v>0</v>
      </c>
      <c r="BK1381" s="71">
        <v>0</v>
      </c>
      <c r="BL1381" s="71">
        <v>0</v>
      </c>
      <c r="BM1381" s="71">
        <v>0</v>
      </c>
      <c r="BN1381" s="72">
        <v>0</v>
      </c>
      <c r="BO1381" s="151" t="e">
        <f t="shared" si="84"/>
        <v>#DIV/0!</v>
      </c>
      <c r="BP1381" s="151" t="e">
        <f t="shared" si="85"/>
        <v>#DIV/0!</v>
      </c>
      <c r="BQ1381" s="71">
        <v>0</v>
      </c>
      <c r="BR1381" s="71">
        <v>0</v>
      </c>
      <c r="BS1381" s="71">
        <v>0</v>
      </c>
      <c r="BT1381" s="72">
        <v>0</v>
      </c>
      <c r="BU1381" s="73"/>
      <c r="BV1381" s="73"/>
    </row>
    <row r="1382" ht="30" customHeight="1" spans="1:74">
      <c r="A1382" s="55">
        <v>0</v>
      </c>
      <c r="B1382" s="56">
        <v>0</v>
      </c>
      <c r="C1382" s="57">
        <v>0</v>
      </c>
      <c r="D1382" s="74"/>
      <c r="E1382" s="74"/>
      <c r="F1382" s="59" t="e">
        <f>VLOOKUP(E1382,[1]库存!$B$1:$C$65536,2,FALSE)</f>
        <v>#N/A</v>
      </c>
      <c r="G1382" s="59" t="e">
        <v>#N/A</v>
      </c>
      <c r="H1382" s="74"/>
      <c r="I1382" s="74"/>
      <c r="J1382" s="87"/>
      <c r="K1382" s="61"/>
      <c r="L1382" s="62">
        <v>0</v>
      </c>
      <c r="M1382" s="63">
        <v>0</v>
      </c>
      <c r="N1382" s="64">
        <v>0</v>
      </c>
      <c r="O1382" s="62">
        <v>0</v>
      </c>
      <c r="P1382" s="65">
        <f t="shared" si="83"/>
        <v>0</v>
      </c>
      <c r="Q1382" s="66"/>
      <c r="R1382" s="66"/>
      <c r="S1382" s="66"/>
      <c r="T1382" s="66"/>
      <c r="U1382" s="66"/>
      <c r="V1382" s="66"/>
      <c r="W1382" s="66"/>
      <c r="X1382" s="66"/>
      <c r="Y1382" s="66"/>
      <c r="Z1382" s="66"/>
      <c r="AA1382" s="66"/>
      <c r="AB1382" s="66"/>
      <c r="AC1382" s="66"/>
      <c r="AD1382" s="66"/>
      <c r="AE1382" s="66"/>
      <c r="AF1382" s="66"/>
      <c r="AG1382" s="66"/>
      <c r="AH1382" s="66"/>
      <c r="AI1382" s="66"/>
      <c r="AJ1382" s="66"/>
      <c r="AK1382" s="66"/>
      <c r="AL1382" s="66"/>
      <c r="AM1382" s="66"/>
      <c r="AN1382" s="66"/>
      <c r="AO1382" s="66"/>
      <c r="AP1382" s="66"/>
      <c r="AQ1382" s="66"/>
      <c r="AR1382" s="66"/>
      <c r="AS1382" s="66"/>
      <c r="AT1382" s="66"/>
      <c r="AU1382" s="66"/>
      <c r="AV1382" s="66"/>
      <c r="AW1382" s="66"/>
      <c r="AX1382" s="66"/>
      <c r="AY1382" s="66"/>
      <c r="AZ1382" s="66"/>
      <c r="BA1382" s="66"/>
      <c r="BB1382" s="66"/>
      <c r="BC1382" s="66"/>
      <c r="BD1382" s="66"/>
      <c r="BE1382" s="67"/>
      <c r="BF1382" s="67"/>
      <c r="BG1382" s="68"/>
      <c r="BI1382" s="69">
        <v>0</v>
      </c>
      <c r="BJ1382" s="70">
        <v>0</v>
      </c>
      <c r="BK1382" s="71">
        <v>0</v>
      </c>
      <c r="BL1382" s="71">
        <v>0</v>
      </c>
      <c r="BM1382" s="71">
        <v>0</v>
      </c>
      <c r="BN1382" s="72">
        <v>0</v>
      </c>
      <c r="BO1382" s="151" t="e">
        <f t="shared" si="84"/>
        <v>#DIV/0!</v>
      </c>
      <c r="BP1382" s="151" t="e">
        <f t="shared" si="85"/>
        <v>#DIV/0!</v>
      </c>
      <c r="BQ1382" s="71">
        <v>0</v>
      </c>
      <c r="BR1382" s="71">
        <v>0</v>
      </c>
      <c r="BS1382" s="71">
        <v>0</v>
      </c>
      <c r="BT1382" s="72">
        <v>0</v>
      </c>
      <c r="BU1382" s="73"/>
      <c r="BV1382" s="73"/>
    </row>
    <row r="1383" ht="30" customHeight="1" spans="1:74">
      <c r="A1383" s="55">
        <v>0</v>
      </c>
      <c r="B1383" s="56" t="s">
        <v>2247</v>
      </c>
      <c r="C1383" s="57" t="s">
        <v>2261</v>
      </c>
      <c r="D1383" s="59" t="s">
        <v>2264</v>
      </c>
      <c r="E1383" s="59"/>
      <c r="F1383" s="59" t="e">
        <f>VLOOKUP(E1383,[1]库存!$B$1:$C$65536,2,FALSE)</f>
        <v>#N/A</v>
      </c>
      <c r="G1383" s="59" t="e">
        <v>#N/A</v>
      </c>
      <c r="H1383" s="59" t="s">
        <v>2265</v>
      </c>
      <c r="I1383" s="59"/>
      <c r="J1383" s="63"/>
      <c r="K1383" s="61"/>
      <c r="L1383" s="62">
        <v>0</v>
      </c>
      <c r="M1383" s="63">
        <v>400</v>
      </c>
      <c r="N1383" s="64">
        <v>20</v>
      </c>
      <c r="O1383" s="62">
        <v>0</v>
      </c>
      <c r="P1383" s="65">
        <f t="shared" si="83"/>
        <v>0</v>
      </c>
      <c r="Q1383" s="66"/>
      <c r="R1383" s="66"/>
      <c r="S1383" s="66"/>
      <c r="T1383" s="66"/>
      <c r="U1383" s="66"/>
      <c r="V1383" s="66"/>
      <c r="W1383" s="66"/>
      <c r="X1383" s="66"/>
      <c r="Y1383" s="66"/>
      <c r="Z1383" s="66"/>
      <c r="AA1383" s="66"/>
      <c r="AB1383" s="66"/>
      <c r="AC1383" s="66"/>
      <c r="AD1383" s="66"/>
      <c r="AE1383" s="66"/>
      <c r="AF1383" s="66"/>
      <c r="AG1383" s="66"/>
      <c r="AH1383" s="66"/>
      <c r="AI1383" s="66"/>
      <c r="AJ1383" s="66"/>
      <c r="AK1383" s="66"/>
      <c r="AL1383" s="66"/>
      <c r="AM1383" s="66"/>
      <c r="AN1383" s="66"/>
      <c r="AO1383" s="66"/>
      <c r="AP1383" s="66"/>
      <c r="AQ1383" s="66"/>
      <c r="AR1383" s="66"/>
      <c r="AS1383" s="66"/>
      <c r="AT1383" s="66"/>
      <c r="AU1383" s="66"/>
      <c r="AV1383" s="66"/>
      <c r="AW1383" s="66"/>
      <c r="AX1383" s="66"/>
      <c r="AY1383" s="66"/>
      <c r="AZ1383" s="66"/>
      <c r="BA1383" s="66"/>
      <c r="BB1383" s="66"/>
      <c r="BC1383" s="66"/>
      <c r="BD1383" s="66"/>
      <c r="BE1383" s="67"/>
      <c r="BF1383" s="67"/>
      <c r="BG1383" s="68"/>
      <c r="BI1383" s="69">
        <v>0</v>
      </c>
      <c r="BJ1383" s="70">
        <v>0</v>
      </c>
      <c r="BK1383" s="71">
        <v>0</v>
      </c>
      <c r="BL1383" s="71">
        <v>0</v>
      </c>
      <c r="BM1383" s="71">
        <v>0</v>
      </c>
      <c r="BN1383" s="72">
        <v>0</v>
      </c>
      <c r="BO1383" s="151" t="e">
        <f t="shared" si="84"/>
        <v>#DIV/0!</v>
      </c>
      <c r="BP1383" s="151" t="e">
        <f t="shared" si="85"/>
        <v>#DIV/0!</v>
      </c>
      <c r="BQ1383" s="71">
        <v>0</v>
      </c>
      <c r="BR1383" s="71">
        <v>0</v>
      </c>
      <c r="BS1383" s="71">
        <v>0</v>
      </c>
      <c r="BT1383" s="72">
        <v>0</v>
      </c>
      <c r="BU1383" s="73"/>
      <c r="BV1383" s="73"/>
    </row>
    <row r="1384" ht="30" customHeight="1" spans="1:74">
      <c r="A1384" s="55">
        <v>0</v>
      </c>
      <c r="B1384" s="56">
        <v>0</v>
      </c>
      <c r="C1384" s="57">
        <v>0</v>
      </c>
      <c r="D1384" s="74"/>
      <c r="E1384" s="74"/>
      <c r="F1384" s="59" t="e">
        <f>VLOOKUP(E1384,[1]库存!$B$1:$C$65536,2,FALSE)</f>
        <v>#N/A</v>
      </c>
      <c r="G1384" s="59" t="e">
        <v>#N/A</v>
      </c>
      <c r="H1384" s="74"/>
      <c r="I1384" s="74"/>
      <c r="J1384" s="87"/>
      <c r="K1384" s="61"/>
      <c r="L1384" s="62">
        <v>0</v>
      </c>
      <c r="M1384" s="63">
        <v>0</v>
      </c>
      <c r="N1384" s="64">
        <v>0</v>
      </c>
      <c r="O1384" s="62">
        <v>0</v>
      </c>
      <c r="P1384" s="65">
        <f t="shared" si="83"/>
        <v>0</v>
      </c>
      <c r="Q1384" s="66"/>
      <c r="R1384" s="66"/>
      <c r="S1384" s="66"/>
      <c r="T1384" s="66"/>
      <c r="U1384" s="66"/>
      <c r="V1384" s="66"/>
      <c r="W1384" s="66"/>
      <c r="X1384" s="66"/>
      <c r="Y1384" s="66"/>
      <c r="Z1384" s="66"/>
      <c r="AA1384" s="66"/>
      <c r="AB1384" s="66"/>
      <c r="AC1384" s="66"/>
      <c r="AD1384" s="66"/>
      <c r="AE1384" s="66"/>
      <c r="AF1384" s="66"/>
      <c r="AG1384" s="66"/>
      <c r="AH1384" s="66"/>
      <c r="AI1384" s="66"/>
      <c r="AJ1384" s="66"/>
      <c r="AK1384" s="66"/>
      <c r="AL1384" s="66"/>
      <c r="AM1384" s="66"/>
      <c r="AN1384" s="66"/>
      <c r="AO1384" s="66"/>
      <c r="AP1384" s="66"/>
      <c r="AQ1384" s="66"/>
      <c r="AR1384" s="66"/>
      <c r="AS1384" s="66"/>
      <c r="AT1384" s="66"/>
      <c r="AU1384" s="66"/>
      <c r="AV1384" s="66"/>
      <c r="AW1384" s="66"/>
      <c r="AX1384" s="66"/>
      <c r="AY1384" s="66"/>
      <c r="AZ1384" s="66"/>
      <c r="BA1384" s="66"/>
      <c r="BB1384" s="66"/>
      <c r="BC1384" s="66"/>
      <c r="BD1384" s="66"/>
      <c r="BE1384" s="67"/>
      <c r="BF1384" s="67"/>
      <c r="BG1384" s="68"/>
      <c r="BI1384" s="69">
        <v>0</v>
      </c>
      <c r="BJ1384" s="70">
        <v>0</v>
      </c>
      <c r="BK1384" s="71">
        <v>0</v>
      </c>
      <c r="BL1384" s="71">
        <v>0</v>
      </c>
      <c r="BM1384" s="71">
        <v>0</v>
      </c>
      <c r="BN1384" s="72">
        <v>0</v>
      </c>
      <c r="BO1384" s="151" t="e">
        <f t="shared" si="84"/>
        <v>#DIV/0!</v>
      </c>
      <c r="BP1384" s="151" t="e">
        <f t="shared" si="85"/>
        <v>#DIV/0!</v>
      </c>
      <c r="BQ1384" s="71">
        <v>0</v>
      </c>
      <c r="BR1384" s="71">
        <v>0</v>
      </c>
      <c r="BS1384" s="71">
        <v>0</v>
      </c>
      <c r="BT1384" s="72">
        <v>0</v>
      </c>
      <c r="BU1384" s="73"/>
      <c r="BV1384" s="73"/>
    </row>
    <row r="1385" ht="30" customHeight="1" spans="1:74">
      <c r="A1385" s="55">
        <v>0</v>
      </c>
      <c r="B1385" s="56" t="s">
        <v>2247</v>
      </c>
      <c r="C1385" s="57" t="s">
        <v>2261</v>
      </c>
      <c r="D1385" s="59" t="s">
        <v>2266</v>
      </c>
      <c r="E1385" s="59"/>
      <c r="F1385" s="59" t="e">
        <f>VLOOKUP(E1385,[1]库存!$B$1:$C$65536,2,FALSE)</f>
        <v>#N/A</v>
      </c>
      <c r="G1385" s="59" t="e">
        <v>#N/A</v>
      </c>
      <c r="H1385" s="59" t="s">
        <v>2267</v>
      </c>
      <c r="I1385" s="59" t="s">
        <v>2268</v>
      </c>
      <c r="J1385" s="63"/>
      <c r="K1385" s="61"/>
      <c r="L1385" s="62">
        <v>0</v>
      </c>
      <c r="M1385" s="63">
        <v>400</v>
      </c>
      <c r="N1385" s="64">
        <v>20</v>
      </c>
      <c r="O1385" s="62">
        <v>0</v>
      </c>
      <c r="P1385" s="65">
        <f t="shared" si="83"/>
        <v>0</v>
      </c>
      <c r="Q1385" s="66"/>
      <c r="R1385" s="66"/>
      <c r="S1385" s="66"/>
      <c r="T1385" s="66"/>
      <c r="U1385" s="66"/>
      <c r="V1385" s="66"/>
      <c r="W1385" s="66"/>
      <c r="X1385" s="66"/>
      <c r="Y1385" s="66"/>
      <c r="Z1385" s="66"/>
      <c r="AA1385" s="66"/>
      <c r="AB1385" s="66"/>
      <c r="AC1385" s="66"/>
      <c r="AD1385" s="66"/>
      <c r="AE1385" s="66"/>
      <c r="AF1385" s="66"/>
      <c r="AG1385" s="66"/>
      <c r="AH1385" s="66"/>
      <c r="AI1385" s="66"/>
      <c r="AJ1385" s="66"/>
      <c r="AK1385" s="66"/>
      <c r="AL1385" s="66"/>
      <c r="AM1385" s="66"/>
      <c r="AN1385" s="66"/>
      <c r="AO1385" s="66"/>
      <c r="AP1385" s="66"/>
      <c r="AQ1385" s="66"/>
      <c r="AR1385" s="66"/>
      <c r="AS1385" s="66"/>
      <c r="AT1385" s="66"/>
      <c r="AU1385" s="66"/>
      <c r="AV1385" s="66"/>
      <c r="AW1385" s="66"/>
      <c r="AX1385" s="66"/>
      <c r="AY1385" s="66"/>
      <c r="AZ1385" s="66"/>
      <c r="BA1385" s="66"/>
      <c r="BB1385" s="66"/>
      <c r="BC1385" s="66"/>
      <c r="BD1385" s="66"/>
      <c r="BE1385" s="67"/>
      <c r="BF1385" s="67"/>
      <c r="BG1385" s="68"/>
      <c r="BI1385" s="69">
        <v>0</v>
      </c>
      <c r="BJ1385" s="70">
        <v>0</v>
      </c>
      <c r="BK1385" s="71">
        <v>0</v>
      </c>
      <c r="BL1385" s="71">
        <v>0</v>
      </c>
      <c r="BM1385" s="71">
        <v>0</v>
      </c>
      <c r="BN1385" s="72">
        <v>0</v>
      </c>
      <c r="BO1385" s="151" t="e">
        <f t="shared" si="84"/>
        <v>#DIV/0!</v>
      </c>
      <c r="BP1385" s="151" t="e">
        <f t="shared" si="85"/>
        <v>#DIV/0!</v>
      </c>
      <c r="BQ1385" s="71">
        <v>0</v>
      </c>
      <c r="BR1385" s="71">
        <v>0</v>
      </c>
      <c r="BS1385" s="71">
        <v>0</v>
      </c>
      <c r="BT1385" s="72">
        <v>0</v>
      </c>
      <c r="BU1385" s="73"/>
      <c r="BV1385" s="73"/>
    </row>
    <row r="1386" ht="30" customHeight="1" spans="1:74">
      <c r="A1386" s="55">
        <v>0</v>
      </c>
      <c r="B1386" s="56">
        <v>0</v>
      </c>
      <c r="C1386" s="57">
        <v>0</v>
      </c>
      <c r="D1386" s="74"/>
      <c r="E1386" s="74"/>
      <c r="F1386" s="59" t="e">
        <f>VLOOKUP(E1386,[1]库存!$B$1:$C$65536,2,FALSE)</f>
        <v>#N/A</v>
      </c>
      <c r="G1386" s="59" t="e">
        <v>#N/A</v>
      </c>
      <c r="H1386" s="74"/>
      <c r="I1386" s="74"/>
      <c r="J1386" s="87"/>
      <c r="K1386" s="61"/>
      <c r="L1386" s="62">
        <v>0</v>
      </c>
      <c r="M1386" s="63">
        <v>0</v>
      </c>
      <c r="N1386" s="64">
        <v>0</v>
      </c>
      <c r="O1386" s="62">
        <v>0</v>
      </c>
      <c r="P1386" s="65">
        <f t="shared" si="83"/>
        <v>0</v>
      </c>
      <c r="Q1386" s="66"/>
      <c r="R1386" s="66"/>
      <c r="S1386" s="66"/>
      <c r="T1386" s="66"/>
      <c r="U1386" s="66"/>
      <c r="V1386" s="66"/>
      <c r="W1386" s="66"/>
      <c r="X1386" s="66"/>
      <c r="Y1386" s="66"/>
      <c r="Z1386" s="66"/>
      <c r="AA1386" s="66"/>
      <c r="AB1386" s="66"/>
      <c r="AC1386" s="66"/>
      <c r="AD1386" s="66"/>
      <c r="AE1386" s="66"/>
      <c r="AF1386" s="66"/>
      <c r="AG1386" s="66"/>
      <c r="AH1386" s="66"/>
      <c r="AI1386" s="66"/>
      <c r="AJ1386" s="66"/>
      <c r="AK1386" s="66"/>
      <c r="AL1386" s="66"/>
      <c r="AM1386" s="66"/>
      <c r="AN1386" s="66"/>
      <c r="AO1386" s="66"/>
      <c r="AP1386" s="66"/>
      <c r="AQ1386" s="66"/>
      <c r="AR1386" s="66"/>
      <c r="AS1386" s="66"/>
      <c r="AT1386" s="66"/>
      <c r="AU1386" s="66"/>
      <c r="AV1386" s="66"/>
      <c r="AW1386" s="66"/>
      <c r="AX1386" s="66"/>
      <c r="AY1386" s="66"/>
      <c r="AZ1386" s="66"/>
      <c r="BA1386" s="66"/>
      <c r="BB1386" s="66"/>
      <c r="BC1386" s="66"/>
      <c r="BD1386" s="66"/>
      <c r="BE1386" s="67"/>
      <c r="BF1386" s="67"/>
      <c r="BG1386" s="68"/>
      <c r="BI1386" s="69">
        <v>0</v>
      </c>
      <c r="BJ1386" s="70">
        <v>0</v>
      </c>
      <c r="BK1386" s="71">
        <v>0</v>
      </c>
      <c r="BL1386" s="71">
        <v>0</v>
      </c>
      <c r="BM1386" s="71">
        <v>0</v>
      </c>
      <c r="BN1386" s="72">
        <v>0</v>
      </c>
      <c r="BO1386" s="151" t="e">
        <f t="shared" si="84"/>
        <v>#DIV/0!</v>
      </c>
      <c r="BP1386" s="151" t="e">
        <f t="shared" si="85"/>
        <v>#DIV/0!</v>
      </c>
      <c r="BQ1386" s="71">
        <v>0</v>
      </c>
      <c r="BR1386" s="71">
        <v>0</v>
      </c>
      <c r="BS1386" s="71">
        <v>0</v>
      </c>
      <c r="BT1386" s="72">
        <v>0</v>
      </c>
      <c r="BU1386" s="73"/>
      <c r="BV1386" s="73"/>
    </row>
    <row r="1387" ht="30" customHeight="1" spans="1:74">
      <c r="A1387" s="55">
        <v>0</v>
      </c>
      <c r="B1387" s="56">
        <v>0</v>
      </c>
      <c r="C1387" s="57">
        <v>0</v>
      </c>
      <c r="E1387" s="88"/>
      <c r="F1387" s="59" t="e">
        <f>VLOOKUP(E1387,[1]库存!$B$1:$C$65536,2,FALSE)</f>
        <v>#N/A</v>
      </c>
      <c r="G1387" s="59" t="e">
        <v>#N/A</v>
      </c>
      <c r="H1387" s="89"/>
      <c r="I1387" s="88"/>
      <c r="J1387" s="90"/>
      <c r="K1387" s="61"/>
      <c r="L1387" s="62">
        <v>0</v>
      </c>
      <c r="M1387" s="63">
        <v>0</v>
      </c>
      <c r="N1387" s="64">
        <v>0</v>
      </c>
      <c r="O1387" s="62">
        <v>0</v>
      </c>
      <c r="P1387" s="65">
        <f t="shared" si="83"/>
        <v>0</v>
      </c>
      <c r="Q1387" s="66"/>
      <c r="R1387" s="66"/>
      <c r="S1387" s="66"/>
      <c r="T1387" s="66"/>
      <c r="U1387" s="66"/>
      <c r="V1387" s="66"/>
      <c r="W1387" s="66"/>
      <c r="X1387" s="66"/>
      <c r="Y1387" s="66"/>
      <c r="Z1387" s="66"/>
      <c r="AA1387" s="66"/>
      <c r="AB1387" s="66"/>
      <c r="AC1387" s="66"/>
      <c r="AD1387" s="66"/>
      <c r="AE1387" s="66"/>
      <c r="AF1387" s="66"/>
      <c r="AG1387" s="66"/>
      <c r="AH1387" s="66"/>
      <c r="AI1387" s="66"/>
      <c r="AJ1387" s="66"/>
      <c r="AK1387" s="66"/>
      <c r="AL1387" s="66"/>
      <c r="AM1387" s="66"/>
      <c r="AN1387" s="66"/>
      <c r="AO1387" s="66"/>
      <c r="AP1387" s="66"/>
      <c r="AQ1387" s="66"/>
      <c r="AR1387" s="66"/>
      <c r="AS1387" s="66"/>
      <c r="AT1387" s="66"/>
      <c r="AU1387" s="66"/>
      <c r="AV1387" s="66"/>
      <c r="AW1387" s="66"/>
      <c r="AX1387" s="66"/>
      <c r="AY1387" s="66"/>
      <c r="AZ1387" s="66"/>
      <c r="BA1387" s="66"/>
      <c r="BB1387" s="66"/>
      <c r="BC1387" s="66"/>
      <c r="BD1387" s="66"/>
      <c r="BE1387" s="67"/>
      <c r="BF1387" s="67"/>
      <c r="BG1387" s="68"/>
      <c r="BI1387" s="69">
        <v>0</v>
      </c>
      <c r="BJ1387" s="70">
        <v>0</v>
      </c>
      <c r="BK1387" s="71">
        <v>0</v>
      </c>
      <c r="BL1387" s="71">
        <v>0</v>
      </c>
      <c r="BM1387" s="71">
        <v>0</v>
      </c>
      <c r="BN1387" s="72">
        <v>0</v>
      </c>
      <c r="BO1387" s="151" t="e">
        <f t="shared" si="84"/>
        <v>#DIV/0!</v>
      </c>
      <c r="BP1387" s="151" t="e">
        <f t="shared" si="85"/>
        <v>#DIV/0!</v>
      </c>
      <c r="BQ1387" s="71">
        <v>0</v>
      </c>
      <c r="BR1387" s="71">
        <v>0</v>
      </c>
      <c r="BS1387" s="71">
        <v>0</v>
      </c>
      <c r="BT1387" s="72">
        <v>0</v>
      </c>
      <c r="BU1387" s="73"/>
      <c r="BV1387" s="73"/>
    </row>
    <row r="1388" ht="30" customHeight="1" spans="1:74">
      <c r="A1388" s="55">
        <v>0</v>
      </c>
      <c r="B1388" s="56" t="s">
        <v>2247</v>
      </c>
      <c r="C1388" s="57" t="s">
        <v>2248</v>
      </c>
      <c r="D1388" s="59" t="s">
        <v>2269</v>
      </c>
      <c r="E1388" s="59" t="s">
        <v>2270</v>
      </c>
      <c r="F1388" s="59" t="e">
        <f>VLOOKUP(E1388,[1]库存!$B$1:$C$65536,2,FALSE)</f>
        <v>#N/A</v>
      </c>
      <c r="G1388" s="59" t="e">
        <v>#N/A</v>
      </c>
      <c r="H1388" s="59" t="s">
        <v>2271</v>
      </c>
      <c r="I1388" s="59"/>
      <c r="J1388" s="63"/>
      <c r="K1388" s="61"/>
      <c r="L1388" s="62">
        <v>0</v>
      </c>
      <c r="M1388" s="63">
        <v>1000</v>
      </c>
      <c r="N1388" s="64">
        <v>0</v>
      </c>
      <c r="O1388" s="62">
        <v>0</v>
      </c>
      <c r="P1388" s="65">
        <f t="shared" si="83"/>
        <v>0</v>
      </c>
      <c r="Q1388" s="66"/>
      <c r="R1388" s="66"/>
      <c r="S1388" s="66"/>
      <c r="T1388" s="66"/>
      <c r="U1388" s="66"/>
      <c r="V1388" s="66"/>
      <c r="W1388" s="66"/>
      <c r="X1388" s="66"/>
      <c r="Y1388" s="66"/>
      <c r="Z1388" s="66"/>
      <c r="AA1388" s="66"/>
      <c r="AB1388" s="66"/>
      <c r="AC1388" s="66"/>
      <c r="AD1388" s="66"/>
      <c r="AE1388" s="66"/>
      <c r="AF1388" s="66"/>
      <c r="AG1388" s="66"/>
      <c r="AH1388" s="66"/>
      <c r="AI1388" s="66"/>
      <c r="AJ1388" s="66"/>
      <c r="AK1388" s="66"/>
      <c r="AL1388" s="66"/>
      <c r="AM1388" s="66"/>
      <c r="AN1388" s="66"/>
      <c r="AO1388" s="66"/>
      <c r="AP1388" s="66"/>
      <c r="AQ1388" s="66"/>
      <c r="AR1388" s="66"/>
      <c r="AS1388" s="66"/>
      <c r="AT1388" s="66"/>
      <c r="AU1388" s="66"/>
      <c r="AV1388" s="66"/>
      <c r="AW1388" s="66"/>
      <c r="AX1388" s="66"/>
      <c r="AY1388" s="66"/>
      <c r="AZ1388" s="66"/>
      <c r="BA1388" s="66"/>
      <c r="BB1388" s="66"/>
      <c r="BC1388" s="66"/>
      <c r="BD1388" s="66"/>
      <c r="BE1388" s="67"/>
      <c r="BF1388" s="67"/>
      <c r="BG1388" s="68"/>
      <c r="BI1388" s="69">
        <v>0</v>
      </c>
      <c r="BJ1388" s="70">
        <v>0</v>
      </c>
      <c r="BK1388" s="71">
        <v>0</v>
      </c>
      <c r="BL1388" s="71">
        <v>0</v>
      </c>
      <c r="BM1388" s="71">
        <v>0</v>
      </c>
      <c r="BN1388" s="72">
        <v>0</v>
      </c>
      <c r="BO1388" s="151" t="e">
        <f t="shared" si="84"/>
        <v>#DIV/0!</v>
      </c>
      <c r="BP1388" s="151" t="e">
        <f t="shared" si="85"/>
        <v>#DIV/0!</v>
      </c>
      <c r="BQ1388" s="71">
        <v>0</v>
      </c>
      <c r="BR1388" s="71">
        <v>0</v>
      </c>
      <c r="BS1388" s="71">
        <v>0</v>
      </c>
      <c r="BT1388" s="72">
        <v>0</v>
      </c>
      <c r="BU1388" s="73"/>
      <c r="BV1388" s="73"/>
    </row>
    <row r="1389" ht="30" customHeight="1" spans="1:74">
      <c r="A1389" s="55">
        <v>0</v>
      </c>
      <c r="B1389" s="56">
        <v>0</v>
      </c>
      <c r="C1389" s="57">
        <v>0</v>
      </c>
      <c r="D1389" s="74"/>
      <c r="E1389" s="74"/>
      <c r="F1389" s="59" t="e">
        <f>VLOOKUP(E1389,[1]库存!$B$1:$C$65536,2,FALSE)</f>
        <v>#N/A</v>
      </c>
      <c r="G1389" s="59" t="e">
        <v>#N/A</v>
      </c>
      <c r="H1389" s="74"/>
      <c r="I1389" s="74"/>
      <c r="J1389" s="87"/>
      <c r="K1389" s="61"/>
      <c r="L1389" s="62">
        <v>0</v>
      </c>
      <c r="M1389" s="63">
        <v>0</v>
      </c>
      <c r="N1389" s="64">
        <v>0</v>
      </c>
      <c r="O1389" s="62">
        <v>0</v>
      </c>
      <c r="P1389" s="65">
        <f t="shared" si="83"/>
        <v>0</v>
      </c>
      <c r="Q1389" s="66"/>
      <c r="R1389" s="66"/>
      <c r="S1389" s="66"/>
      <c r="T1389" s="66"/>
      <c r="U1389" s="66"/>
      <c r="V1389" s="66"/>
      <c r="W1389" s="66"/>
      <c r="X1389" s="66"/>
      <c r="Y1389" s="66"/>
      <c r="Z1389" s="66"/>
      <c r="AA1389" s="66"/>
      <c r="AB1389" s="66"/>
      <c r="AC1389" s="66"/>
      <c r="AD1389" s="66"/>
      <c r="AE1389" s="66"/>
      <c r="AF1389" s="66"/>
      <c r="AG1389" s="66"/>
      <c r="AH1389" s="66"/>
      <c r="AI1389" s="66"/>
      <c r="AJ1389" s="66"/>
      <c r="AK1389" s="66"/>
      <c r="AL1389" s="66"/>
      <c r="AM1389" s="66"/>
      <c r="AN1389" s="66"/>
      <c r="AO1389" s="66"/>
      <c r="AP1389" s="66"/>
      <c r="AQ1389" s="66"/>
      <c r="AR1389" s="66"/>
      <c r="AS1389" s="66"/>
      <c r="AT1389" s="66"/>
      <c r="AU1389" s="66"/>
      <c r="AV1389" s="66"/>
      <c r="AW1389" s="66"/>
      <c r="AX1389" s="66"/>
      <c r="AY1389" s="66"/>
      <c r="AZ1389" s="66"/>
      <c r="BA1389" s="66"/>
      <c r="BB1389" s="66"/>
      <c r="BC1389" s="66"/>
      <c r="BD1389" s="66"/>
      <c r="BE1389" s="67"/>
      <c r="BF1389" s="67"/>
      <c r="BG1389" s="68"/>
      <c r="BI1389" s="69">
        <v>0</v>
      </c>
      <c r="BJ1389" s="70">
        <v>0</v>
      </c>
      <c r="BK1389" s="71">
        <v>0</v>
      </c>
      <c r="BL1389" s="71">
        <v>0</v>
      </c>
      <c r="BM1389" s="71">
        <v>0</v>
      </c>
      <c r="BN1389" s="72">
        <v>0</v>
      </c>
      <c r="BO1389" s="151" t="e">
        <f t="shared" si="84"/>
        <v>#DIV/0!</v>
      </c>
      <c r="BP1389" s="151" t="e">
        <f t="shared" si="85"/>
        <v>#DIV/0!</v>
      </c>
      <c r="BQ1389" s="71">
        <v>0</v>
      </c>
      <c r="BR1389" s="71">
        <v>0</v>
      </c>
      <c r="BS1389" s="71">
        <v>0</v>
      </c>
      <c r="BT1389" s="72">
        <v>0</v>
      </c>
      <c r="BU1389" s="73"/>
      <c r="BV1389" s="73"/>
    </row>
    <row r="1390" ht="30" customHeight="1" spans="1:74">
      <c r="A1390" s="55">
        <v>0</v>
      </c>
      <c r="B1390" s="56" t="s">
        <v>2247</v>
      </c>
      <c r="C1390" s="57" t="s">
        <v>2248</v>
      </c>
      <c r="D1390" s="59" t="s">
        <v>2272</v>
      </c>
      <c r="E1390" s="59" t="s">
        <v>2273</v>
      </c>
      <c r="F1390" s="59" t="e">
        <f>VLOOKUP(E1390,[1]库存!$B$1:$C$65536,2,FALSE)</f>
        <v>#N/A</v>
      </c>
      <c r="G1390" s="59" t="e">
        <v>#N/A</v>
      </c>
      <c r="H1390" s="59" t="s">
        <v>2274</v>
      </c>
      <c r="I1390" s="59"/>
      <c r="J1390" s="63"/>
      <c r="K1390" s="61"/>
      <c r="L1390" s="62">
        <v>0</v>
      </c>
      <c r="M1390" s="63">
        <v>1000</v>
      </c>
      <c r="N1390" s="64">
        <v>0</v>
      </c>
      <c r="O1390" s="62">
        <v>0</v>
      </c>
      <c r="P1390" s="65">
        <f t="shared" si="83"/>
        <v>0</v>
      </c>
      <c r="Q1390" s="66"/>
      <c r="R1390" s="66"/>
      <c r="S1390" s="66"/>
      <c r="T1390" s="66"/>
      <c r="U1390" s="66"/>
      <c r="V1390" s="66"/>
      <c r="W1390" s="66"/>
      <c r="X1390" s="66"/>
      <c r="Y1390" s="66"/>
      <c r="Z1390" s="66"/>
      <c r="AA1390" s="66"/>
      <c r="AB1390" s="66"/>
      <c r="AC1390" s="66"/>
      <c r="AD1390" s="66"/>
      <c r="AE1390" s="66"/>
      <c r="AF1390" s="66"/>
      <c r="AG1390" s="66"/>
      <c r="AH1390" s="66"/>
      <c r="AI1390" s="66"/>
      <c r="AJ1390" s="66"/>
      <c r="AK1390" s="66"/>
      <c r="AL1390" s="66"/>
      <c r="AM1390" s="66"/>
      <c r="AN1390" s="66"/>
      <c r="AO1390" s="66"/>
      <c r="AP1390" s="66"/>
      <c r="AQ1390" s="66"/>
      <c r="AR1390" s="66"/>
      <c r="AS1390" s="66"/>
      <c r="AT1390" s="66"/>
      <c r="AU1390" s="66"/>
      <c r="AV1390" s="66"/>
      <c r="AW1390" s="66"/>
      <c r="AX1390" s="66"/>
      <c r="AY1390" s="66"/>
      <c r="AZ1390" s="66"/>
      <c r="BA1390" s="66"/>
      <c r="BB1390" s="66"/>
      <c r="BC1390" s="66"/>
      <c r="BD1390" s="66"/>
      <c r="BE1390" s="67"/>
      <c r="BF1390" s="67"/>
      <c r="BG1390" s="68"/>
      <c r="BI1390" s="69">
        <v>0</v>
      </c>
      <c r="BJ1390" s="70">
        <v>0</v>
      </c>
      <c r="BK1390" s="71">
        <v>0</v>
      </c>
      <c r="BL1390" s="71">
        <v>0</v>
      </c>
      <c r="BM1390" s="71">
        <v>0</v>
      </c>
      <c r="BN1390" s="72">
        <v>0</v>
      </c>
      <c r="BO1390" s="151" t="e">
        <f t="shared" si="84"/>
        <v>#DIV/0!</v>
      </c>
      <c r="BP1390" s="151" t="e">
        <f t="shared" si="85"/>
        <v>#DIV/0!</v>
      </c>
      <c r="BQ1390" s="71">
        <v>0</v>
      </c>
      <c r="BR1390" s="71">
        <v>0</v>
      </c>
      <c r="BS1390" s="71">
        <v>0</v>
      </c>
      <c r="BT1390" s="72">
        <v>0</v>
      </c>
      <c r="BU1390" s="73"/>
      <c r="BV1390" s="73"/>
    </row>
    <row r="1391" ht="30" customHeight="1" spans="1:74">
      <c r="A1391" s="55">
        <v>0</v>
      </c>
      <c r="B1391" s="56">
        <v>0</v>
      </c>
      <c r="C1391" s="57">
        <v>0</v>
      </c>
      <c r="D1391" s="74"/>
      <c r="E1391" s="74"/>
      <c r="F1391" s="59" t="e">
        <f>VLOOKUP(E1391,[1]库存!$B$1:$C$65536,2,FALSE)</f>
        <v>#N/A</v>
      </c>
      <c r="G1391" s="59" t="e">
        <v>#N/A</v>
      </c>
      <c r="H1391" s="74"/>
      <c r="I1391" s="74"/>
      <c r="J1391" s="87"/>
      <c r="K1391" s="61"/>
      <c r="L1391" s="62">
        <v>0</v>
      </c>
      <c r="M1391" s="63">
        <v>0</v>
      </c>
      <c r="N1391" s="64">
        <v>0</v>
      </c>
      <c r="O1391" s="62">
        <v>0</v>
      </c>
      <c r="P1391" s="65">
        <f t="shared" si="83"/>
        <v>0</v>
      </c>
      <c r="Q1391" s="66"/>
      <c r="R1391" s="66"/>
      <c r="S1391" s="66"/>
      <c r="T1391" s="66"/>
      <c r="U1391" s="66"/>
      <c r="V1391" s="66"/>
      <c r="W1391" s="66"/>
      <c r="X1391" s="66"/>
      <c r="Y1391" s="66"/>
      <c r="Z1391" s="66"/>
      <c r="AA1391" s="66"/>
      <c r="AB1391" s="66"/>
      <c r="AC1391" s="66"/>
      <c r="AD1391" s="66"/>
      <c r="AE1391" s="66"/>
      <c r="AF1391" s="66"/>
      <c r="AG1391" s="66"/>
      <c r="AH1391" s="66"/>
      <c r="AI1391" s="66"/>
      <c r="AJ1391" s="66"/>
      <c r="AK1391" s="66"/>
      <c r="AL1391" s="66"/>
      <c r="AM1391" s="66"/>
      <c r="AN1391" s="66"/>
      <c r="AO1391" s="66"/>
      <c r="AP1391" s="66"/>
      <c r="AQ1391" s="66"/>
      <c r="AR1391" s="66"/>
      <c r="AS1391" s="66"/>
      <c r="AT1391" s="66"/>
      <c r="AU1391" s="66"/>
      <c r="AV1391" s="66"/>
      <c r="AW1391" s="66"/>
      <c r="AX1391" s="66"/>
      <c r="AY1391" s="66"/>
      <c r="AZ1391" s="66"/>
      <c r="BA1391" s="66"/>
      <c r="BB1391" s="66"/>
      <c r="BC1391" s="66"/>
      <c r="BD1391" s="66"/>
      <c r="BE1391" s="67"/>
      <c r="BF1391" s="67"/>
      <c r="BG1391" s="68"/>
      <c r="BI1391" s="69">
        <v>0</v>
      </c>
      <c r="BJ1391" s="70">
        <v>0</v>
      </c>
      <c r="BK1391" s="71">
        <v>0</v>
      </c>
      <c r="BL1391" s="71">
        <v>0</v>
      </c>
      <c r="BM1391" s="71">
        <v>0</v>
      </c>
      <c r="BN1391" s="72">
        <v>0</v>
      </c>
      <c r="BO1391" s="151" t="e">
        <f t="shared" si="84"/>
        <v>#DIV/0!</v>
      </c>
      <c r="BP1391" s="151" t="e">
        <f t="shared" si="85"/>
        <v>#DIV/0!</v>
      </c>
      <c r="BQ1391" s="71">
        <v>0</v>
      </c>
      <c r="BR1391" s="71">
        <v>0</v>
      </c>
      <c r="BS1391" s="71">
        <v>0</v>
      </c>
      <c r="BT1391" s="72">
        <v>0</v>
      </c>
      <c r="BU1391" s="73"/>
      <c r="BV1391" s="73"/>
    </row>
    <row r="1392" ht="30" customHeight="1" spans="1:74">
      <c r="A1392" s="55">
        <v>0</v>
      </c>
      <c r="B1392" s="56" t="s">
        <v>2247</v>
      </c>
      <c r="C1392" s="57" t="s">
        <v>2248</v>
      </c>
      <c r="D1392" s="59" t="s">
        <v>2266</v>
      </c>
      <c r="E1392" s="59" t="s">
        <v>2275</v>
      </c>
      <c r="F1392" s="59" t="e">
        <f>VLOOKUP(E1392,[1]库存!$B$1:$C$65536,2,FALSE)</f>
        <v>#N/A</v>
      </c>
      <c r="G1392" s="59" t="e">
        <v>#N/A</v>
      </c>
      <c r="H1392" s="59" t="s">
        <v>2276</v>
      </c>
      <c r="I1392" s="59" t="s">
        <v>2277</v>
      </c>
      <c r="J1392" s="63"/>
      <c r="K1392" s="61"/>
      <c r="L1392" s="62">
        <v>0</v>
      </c>
      <c r="M1392" s="63">
        <v>1000</v>
      </c>
      <c r="N1392" s="64">
        <v>22</v>
      </c>
      <c r="O1392" s="62">
        <v>0</v>
      </c>
      <c r="P1392" s="65">
        <f t="shared" si="83"/>
        <v>0</v>
      </c>
      <c r="Q1392" s="66"/>
      <c r="R1392" s="66"/>
      <c r="S1392" s="66"/>
      <c r="T1392" s="66"/>
      <c r="U1392" s="66"/>
      <c r="V1392" s="66"/>
      <c r="W1392" s="66"/>
      <c r="X1392" s="66"/>
      <c r="Y1392" s="66"/>
      <c r="Z1392" s="66"/>
      <c r="AA1392" s="66"/>
      <c r="AB1392" s="66"/>
      <c r="AC1392" s="66"/>
      <c r="AD1392" s="66"/>
      <c r="AE1392" s="66"/>
      <c r="AF1392" s="66"/>
      <c r="AG1392" s="66"/>
      <c r="AH1392" s="66"/>
      <c r="AI1392" s="66"/>
      <c r="AJ1392" s="66"/>
      <c r="AK1392" s="66"/>
      <c r="AL1392" s="66"/>
      <c r="AM1392" s="66"/>
      <c r="AN1392" s="66"/>
      <c r="AO1392" s="66"/>
      <c r="AP1392" s="66"/>
      <c r="AQ1392" s="66"/>
      <c r="AR1392" s="66"/>
      <c r="AS1392" s="66"/>
      <c r="AT1392" s="66"/>
      <c r="AU1392" s="66"/>
      <c r="AV1392" s="66"/>
      <c r="AW1392" s="66"/>
      <c r="AX1392" s="66"/>
      <c r="AY1392" s="66"/>
      <c r="AZ1392" s="66"/>
      <c r="BA1392" s="66"/>
      <c r="BB1392" s="66"/>
      <c r="BC1392" s="66"/>
      <c r="BD1392" s="66"/>
      <c r="BE1392" s="67"/>
      <c r="BF1392" s="67"/>
      <c r="BG1392" s="68"/>
      <c r="BI1392" s="69">
        <v>0</v>
      </c>
      <c r="BJ1392" s="70">
        <v>0</v>
      </c>
      <c r="BK1392" s="71">
        <v>0</v>
      </c>
      <c r="BL1392" s="71">
        <v>0</v>
      </c>
      <c r="BM1392" s="71">
        <v>0</v>
      </c>
      <c r="BN1392" s="72">
        <v>0</v>
      </c>
      <c r="BO1392" s="151" t="e">
        <f t="shared" si="84"/>
        <v>#DIV/0!</v>
      </c>
      <c r="BP1392" s="151" t="e">
        <f t="shared" si="85"/>
        <v>#DIV/0!</v>
      </c>
      <c r="BQ1392" s="71">
        <v>0</v>
      </c>
      <c r="BR1392" s="71">
        <v>0</v>
      </c>
      <c r="BS1392" s="71">
        <v>0</v>
      </c>
      <c r="BT1392" s="72">
        <v>0</v>
      </c>
      <c r="BU1392" s="73"/>
      <c r="BV1392" s="73"/>
    </row>
    <row r="1393" ht="30" customHeight="1" spans="1:74">
      <c r="A1393" s="55">
        <v>0</v>
      </c>
      <c r="B1393" s="56">
        <v>0</v>
      </c>
      <c r="C1393" s="57">
        <v>0</v>
      </c>
      <c r="D1393" s="74"/>
      <c r="E1393" s="74"/>
      <c r="F1393" s="59" t="e">
        <f>VLOOKUP(E1393,[1]库存!$B$1:$C$65536,2,FALSE)</f>
        <v>#N/A</v>
      </c>
      <c r="G1393" s="59" t="e">
        <v>#N/A</v>
      </c>
      <c r="H1393" s="74"/>
      <c r="I1393" s="74"/>
      <c r="J1393" s="87"/>
      <c r="K1393" s="61"/>
      <c r="L1393" s="62">
        <v>0</v>
      </c>
      <c r="M1393" s="63">
        <v>0</v>
      </c>
      <c r="N1393" s="64">
        <v>0</v>
      </c>
      <c r="O1393" s="62">
        <v>0</v>
      </c>
      <c r="P1393" s="65">
        <f t="shared" si="83"/>
        <v>0</v>
      </c>
      <c r="Q1393" s="66"/>
      <c r="R1393" s="66"/>
      <c r="S1393" s="66"/>
      <c r="T1393" s="66"/>
      <c r="U1393" s="66"/>
      <c r="V1393" s="66"/>
      <c r="W1393" s="66"/>
      <c r="X1393" s="66"/>
      <c r="Y1393" s="66"/>
      <c r="Z1393" s="66"/>
      <c r="AA1393" s="66"/>
      <c r="AB1393" s="66"/>
      <c r="AC1393" s="66"/>
      <c r="AD1393" s="66"/>
      <c r="AE1393" s="66"/>
      <c r="AF1393" s="66"/>
      <c r="AG1393" s="66"/>
      <c r="AH1393" s="66"/>
      <c r="AI1393" s="66"/>
      <c r="AJ1393" s="66"/>
      <c r="AK1393" s="66"/>
      <c r="AL1393" s="66"/>
      <c r="AM1393" s="66"/>
      <c r="AN1393" s="66"/>
      <c r="AO1393" s="66"/>
      <c r="AP1393" s="66"/>
      <c r="AQ1393" s="66"/>
      <c r="AR1393" s="66"/>
      <c r="AS1393" s="66"/>
      <c r="AT1393" s="66"/>
      <c r="AU1393" s="66"/>
      <c r="AV1393" s="66"/>
      <c r="AW1393" s="66"/>
      <c r="AX1393" s="66"/>
      <c r="AY1393" s="66"/>
      <c r="AZ1393" s="66"/>
      <c r="BA1393" s="66"/>
      <c r="BB1393" s="66"/>
      <c r="BC1393" s="66"/>
      <c r="BD1393" s="66"/>
      <c r="BE1393" s="67"/>
      <c r="BF1393" s="67"/>
      <c r="BG1393" s="68"/>
      <c r="BI1393" s="69">
        <v>0</v>
      </c>
      <c r="BJ1393" s="70">
        <v>0</v>
      </c>
      <c r="BK1393" s="71">
        <v>0</v>
      </c>
      <c r="BL1393" s="71">
        <v>0</v>
      </c>
      <c r="BM1393" s="71">
        <v>0</v>
      </c>
      <c r="BN1393" s="72">
        <v>0</v>
      </c>
      <c r="BO1393" s="151" t="e">
        <f t="shared" si="84"/>
        <v>#DIV/0!</v>
      </c>
      <c r="BP1393" s="151" t="e">
        <f t="shared" si="85"/>
        <v>#DIV/0!</v>
      </c>
      <c r="BQ1393" s="71">
        <v>0</v>
      </c>
      <c r="BR1393" s="71">
        <v>0</v>
      </c>
      <c r="BS1393" s="71">
        <v>0</v>
      </c>
      <c r="BT1393" s="72">
        <v>0</v>
      </c>
      <c r="BU1393" s="73"/>
      <c r="BV1393" s="73"/>
    </row>
    <row r="1394" ht="30" customHeight="1" spans="1:74">
      <c r="A1394" s="55">
        <v>0</v>
      </c>
      <c r="B1394" s="56" t="s">
        <v>2247</v>
      </c>
      <c r="C1394" s="57" t="s">
        <v>2248</v>
      </c>
      <c r="D1394" s="59" t="s">
        <v>2266</v>
      </c>
      <c r="E1394" s="59" t="s">
        <v>2278</v>
      </c>
      <c r="F1394" s="59" t="e">
        <f>VLOOKUP(E1394,[1]库存!$B$1:$C$65536,2,FALSE)</f>
        <v>#N/A</v>
      </c>
      <c r="G1394" s="59" t="e">
        <v>#N/A</v>
      </c>
      <c r="H1394" s="59" t="s">
        <v>2279</v>
      </c>
      <c r="I1394" s="59" t="s">
        <v>2277</v>
      </c>
      <c r="J1394" s="63"/>
      <c r="K1394" s="61"/>
      <c r="L1394" s="62">
        <v>0</v>
      </c>
      <c r="M1394" s="63">
        <v>1000</v>
      </c>
      <c r="N1394" s="64">
        <v>20</v>
      </c>
      <c r="O1394" s="62">
        <v>0</v>
      </c>
      <c r="P1394" s="65">
        <f t="shared" si="83"/>
        <v>0</v>
      </c>
      <c r="Q1394" s="66"/>
      <c r="R1394" s="66"/>
      <c r="S1394" s="66"/>
      <c r="T1394" s="66"/>
      <c r="U1394" s="66"/>
      <c r="V1394" s="66"/>
      <c r="W1394" s="66"/>
      <c r="X1394" s="66"/>
      <c r="Y1394" s="66"/>
      <c r="Z1394" s="66"/>
      <c r="AA1394" s="66"/>
      <c r="AB1394" s="66"/>
      <c r="AC1394" s="66"/>
      <c r="AD1394" s="66"/>
      <c r="AE1394" s="66"/>
      <c r="AF1394" s="66"/>
      <c r="AG1394" s="66"/>
      <c r="AH1394" s="66"/>
      <c r="AI1394" s="66"/>
      <c r="AJ1394" s="66"/>
      <c r="AK1394" s="66"/>
      <c r="AL1394" s="66"/>
      <c r="AM1394" s="66"/>
      <c r="AN1394" s="66"/>
      <c r="AO1394" s="66"/>
      <c r="AP1394" s="66"/>
      <c r="AQ1394" s="66"/>
      <c r="AR1394" s="66"/>
      <c r="AS1394" s="66"/>
      <c r="AT1394" s="66"/>
      <c r="AU1394" s="66"/>
      <c r="AV1394" s="66"/>
      <c r="AW1394" s="66"/>
      <c r="AX1394" s="66"/>
      <c r="AY1394" s="66"/>
      <c r="AZ1394" s="66"/>
      <c r="BA1394" s="66"/>
      <c r="BB1394" s="66"/>
      <c r="BC1394" s="66"/>
      <c r="BD1394" s="66"/>
      <c r="BE1394" s="67"/>
      <c r="BF1394" s="67"/>
      <c r="BG1394" s="68"/>
      <c r="BI1394" s="69">
        <v>0</v>
      </c>
      <c r="BJ1394" s="70">
        <v>0</v>
      </c>
      <c r="BK1394" s="71">
        <v>0</v>
      </c>
      <c r="BL1394" s="71">
        <v>0</v>
      </c>
      <c r="BM1394" s="71">
        <v>0</v>
      </c>
      <c r="BN1394" s="72">
        <v>0</v>
      </c>
      <c r="BO1394" s="151" t="e">
        <f t="shared" si="84"/>
        <v>#DIV/0!</v>
      </c>
      <c r="BP1394" s="151" t="e">
        <f t="shared" si="85"/>
        <v>#DIV/0!</v>
      </c>
      <c r="BQ1394" s="71">
        <v>0</v>
      </c>
      <c r="BR1394" s="71">
        <v>0</v>
      </c>
      <c r="BS1394" s="71">
        <v>0</v>
      </c>
      <c r="BT1394" s="72">
        <v>0</v>
      </c>
      <c r="BU1394" s="73"/>
      <c r="BV1394" s="73"/>
    </row>
    <row r="1395" ht="30" customHeight="1" spans="1:74">
      <c r="A1395" s="55">
        <v>0</v>
      </c>
      <c r="B1395" s="56">
        <v>0</v>
      </c>
      <c r="C1395" s="57">
        <v>0</v>
      </c>
      <c r="D1395" s="74"/>
      <c r="E1395" s="74"/>
      <c r="F1395" s="59" t="e">
        <f>VLOOKUP(E1395,[1]库存!$B$1:$C$65536,2,FALSE)</f>
        <v>#N/A</v>
      </c>
      <c r="G1395" s="59" t="e">
        <v>#N/A</v>
      </c>
      <c r="H1395" s="74"/>
      <c r="I1395" s="74"/>
      <c r="J1395" s="87"/>
      <c r="K1395" s="61"/>
      <c r="L1395" s="62">
        <v>0</v>
      </c>
      <c r="M1395" s="63">
        <v>0</v>
      </c>
      <c r="N1395" s="64">
        <v>0</v>
      </c>
      <c r="O1395" s="62">
        <v>0</v>
      </c>
      <c r="P1395" s="65">
        <f t="shared" si="83"/>
        <v>0</v>
      </c>
      <c r="Q1395" s="66"/>
      <c r="R1395" s="66"/>
      <c r="S1395" s="66"/>
      <c r="T1395" s="66"/>
      <c r="U1395" s="66"/>
      <c r="V1395" s="66"/>
      <c r="W1395" s="66"/>
      <c r="X1395" s="66"/>
      <c r="Y1395" s="66"/>
      <c r="Z1395" s="66"/>
      <c r="AA1395" s="66"/>
      <c r="AB1395" s="66"/>
      <c r="AC1395" s="66"/>
      <c r="AD1395" s="66"/>
      <c r="AE1395" s="66"/>
      <c r="AF1395" s="66"/>
      <c r="AG1395" s="66"/>
      <c r="AH1395" s="66"/>
      <c r="AI1395" s="66"/>
      <c r="AJ1395" s="66"/>
      <c r="AK1395" s="66"/>
      <c r="AL1395" s="66"/>
      <c r="AM1395" s="66"/>
      <c r="AN1395" s="66"/>
      <c r="AO1395" s="66"/>
      <c r="AP1395" s="66"/>
      <c r="AQ1395" s="66"/>
      <c r="AR1395" s="66"/>
      <c r="AS1395" s="66"/>
      <c r="AT1395" s="66"/>
      <c r="AU1395" s="66"/>
      <c r="AV1395" s="66"/>
      <c r="AW1395" s="66"/>
      <c r="AX1395" s="66"/>
      <c r="AY1395" s="66"/>
      <c r="AZ1395" s="66"/>
      <c r="BA1395" s="66"/>
      <c r="BB1395" s="66"/>
      <c r="BC1395" s="66"/>
      <c r="BD1395" s="66"/>
      <c r="BE1395" s="67"/>
      <c r="BF1395" s="67"/>
      <c r="BG1395" s="68"/>
      <c r="BI1395" s="69">
        <v>0</v>
      </c>
      <c r="BJ1395" s="70">
        <v>0</v>
      </c>
      <c r="BK1395" s="71">
        <v>0</v>
      </c>
      <c r="BL1395" s="71">
        <v>0</v>
      </c>
      <c r="BM1395" s="71">
        <v>0</v>
      </c>
      <c r="BN1395" s="72">
        <v>0</v>
      </c>
      <c r="BO1395" s="151" t="e">
        <f t="shared" si="84"/>
        <v>#DIV/0!</v>
      </c>
      <c r="BP1395" s="151" t="e">
        <f t="shared" si="85"/>
        <v>#DIV/0!</v>
      </c>
      <c r="BQ1395" s="71">
        <v>0</v>
      </c>
      <c r="BR1395" s="71">
        <v>0</v>
      </c>
      <c r="BS1395" s="71">
        <v>0</v>
      </c>
      <c r="BT1395" s="72">
        <v>0</v>
      </c>
      <c r="BU1395" s="73"/>
      <c r="BV1395" s="73"/>
    </row>
    <row r="1396" ht="30" customHeight="1" spans="1:74">
      <c r="A1396" s="55">
        <v>0</v>
      </c>
      <c r="B1396" s="56" t="s">
        <v>2247</v>
      </c>
      <c r="C1396" s="57" t="s">
        <v>2248</v>
      </c>
      <c r="D1396" s="59" t="s">
        <v>2266</v>
      </c>
      <c r="E1396" s="59" t="s">
        <v>2280</v>
      </c>
      <c r="F1396" s="59" t="e">
        <f>VLOOKUP(E1396,[1]库存!$B$1:$C$65536,2,FALSE)</f>
        <v>#N/A</v>
      </c>
      <c r="G1396" s="59" t="e">
        <v>#N/A</v>
      </c>
      <c r="H1396" s="59" t="s">
        <v>2281</v>
      </c>
      <c r="I1396" s="59"/>
      <c r="J1396" s="63"/>
      <c r="K1396" s="61"/>
      <c r="L1396" s="62">
        <v>0</v>
      </c>
      <c r="M1396" s="63">
        <v>1000</v>
      </c>
      <c r="N1396" s="64">
        <v>1</v>
      </c>
      <c r="O1396" s="62">
        <v>0</v>
      </c>
      <c r="P1396" s="65">
        <f t="shared" si="83"/>
        <v>0</v>
      </c>
      <c r="Q1396" s="66"/>
      <c r="R1396" s="66"/>
      <c r="S1396" s="66"/>
      <c r="T1396" s="66"/>
      <c r="U1396" s="66"/>
      <c r="V1396" s="66"/>
      <c r="W1396" s="66"/>
      <c r="X1396" s="66"/>
      <c r="Y1396" s="66"/>
      <c r="Z1396" s="66"/>
      <c r="AA1396" s="66"/>
      <c r="AB1396" s="66"/>
      <c r="AC1396" s="66"/>
      <c r="AD1396" s="66"/>
      <c r="AE1396" s="66"/>
      <c r="AF1396" s="66"/>
      <c r="AG1396" s="66"/>
      <c r="AH1396" s="66"/>
      <c r="AI1396" s="66"/>
      <c r="AJ1396" s="66"/>
      <c r="AK1396" s="66"/>
      <c r="AL1396" s="66"/>
      <c r="AM1396" s="66"/>
      <c r="AN1396" s="66"/>
      <c r="AO1396" s="66"/>
      <c r="AP1396" s="66"/>
      <c r="AQ1396" s="66"/>
      <c r="AR1396" s="66"/>
      <c r="AS1396" s="66"/>
      <c r="AT1396" s="66"/>
      <c r="AU1396" s="66"/>
      <c r="AV1396" s="66"/>
      <c r="AW1396" s="66"/>
      <c r="AX1396" s="66"/>
      <c r="AY1396" s="66"/>
      <c r="AZ1396" s="66"/>
      <c r="BA1396" s="66"/>
      <c r="BB1396" s="66"/>
      <c r="BC1396" s="66"/>
      <c r="BD1396" s="66"/>
      <c r="BE1396" s="67"/>
      <c r="BF1396" s="67"/>
      <c r="BG1396" s="68"/>
      <c r="BI1396" s="69">
        <v>0</v>
      </c>
      <c r="BJ1396" s="70">
        <v>0</v>
      </c>
      <c r="BK1396" s="71">
        <v>0</v>
      </c>
      <c r="BL1396" s="71">
        <v>0</v>
      </c>
      <c r="BM1396" s="71">
        <v>0</v>
      </c>
      <c r="BN1396" s="72">
        <v>0</v>
      </c>
      <c r="BO1396" s="151" t="e">
        <f t="shared" si="84"/>
        <v>#DIV/0!</v>
      </c>
      <c r="BP1396" s="151" t="e">
        <f t="shared" si="85"/>
        <v>#DIV/0!</v>
      </c>
      <c r="BQ1396" s="71">
        <v>0</v>
      </c>
      <c r="BR1396" s="71">
        <v>0</v>
      </c>
      <c r="BS1396" s="71">
        <v>0</v>
      </c>
      <c r="BT1396" s="72">
        <v>0</v>
      </c>
      <c r="BU1396" s="73"/>
      <c r="BV1396" s="73"/>
    </row>
    <row r="1397" ht="30" customHeight="1" spans="1:74">
      <c r="A1397" s="55">
        <v>0</v>
      </c>
      <c r="B1397" s="56">
        <v>0</v>
      </c>
      <c r="C1397" s="57">
        <v>0</v>
      </c>
      <c r="D1397" s="74"/>
      <c r="E1397" s="74"/>
      <c r="F1397" s="59" t="e">
        <f>VLOOKUP(E1397,[1]库存!$B$1:$C$65536,2,FALSE)</f>
        <v>#N/A</v>
      </c>
      <c r="G1397" s="59" t="e">
        <v>#N/A</v>
      </c>
      <c r="H1397" s="74"/>
      <c r="I1397" s="74"/>
      <c r="J1397" s="87"/>
      <c r="K1397" s="61"/>
      <c r="L1397" s="62">
        <v>0</v>
      </c>
      <c r="M1397" s="63">
        <v>0</v>
      </c>
      <c r="N1397" s="64">
        <v>0</v>
      </c>
      <c r="O1397" s="62">
        <v>0</v>
      </c>
      <c r="P1397" s="65">
        <f t="shared" si="83"/>
        <v>0</v>
      </c>
      <c r="Q1397" s="66"/>
      <c r="R1397" s="66"/>
      <c r="S1397" s="66"/>
      <c r="T1397" s="66"/>
      <c r="U1397" s="66"/>
      <c r="V1397" s="66"/>
      <c r="W1397" s="66"/>
      <c r="X1397" s="66"/>
      <c r="Y1397" s="66"/>
      <c r="Z1397" s="66"/>
      <c r="AA1397" s="66"/>
      <c r="AB1397" s="66"/>
      <c r="AC1397" s="66"/>
      <c r="AD1397" s="66"/>
      <c r="AE1397" s="66"/>
      <c r="AF1397" s="66"/>
      <c r="AG1397" s="66"/>
      <c r="AH1397" s="66"/>
      <c r="AI1397" s="66"/>
      <c r="AJ1397" s="66"/>
      <c r="AK1397" s="66"/>
      <c r="AL1397" s="66"/>
      <c r="AM1397" s="66"/>
      <c r="AN1397" s="66"/>
      <c r="AO1397" s="66"/>
      <c r="AP1397" s="66"/>
      <c r="AQ1397" s="66"/>
      <c r="AR1397" s="66"/>
      <c r="AS1397" s="66"/>
      <c r="AT1397" s="66"/>
      <c r="AU1397" s="66"/>
      <c r="AV1397" s="66"/>
      <c r="AW1397" s="66"/>
      <c r="AX1397" s="66"/>
      <c r="AY1397" s="66"/>
      <c r="AZ1397" s="66"/>
      <c r="BA1397" s="66"/>
      <c r="BB1397" s="66"/>
      <c r="BC1397" s="66"/>
      <c r="BD1397" s="66"/>
      <c r="BE1397" s="67"/>
      <c r="BF1397" s="67"/>
      <c r="BG1397" s="68"/>
      <c r="BI1397" s="69">
        <v>0</v>
      </c>
      <c r="BJ1397" s="70">
        <v>0</v>
      </c>
      <c r="BK1397" s="71">
        <v>0</v>
      </c>
      <c r="BL1397" s="71">
        <v>0</v>
      </c>
      <c r="BM1397" s="71">
        <v>0</v>
      </c>
      <c r="BN1397" s="72">
        <v>0</v>
      </c>
      <c r="BO1397" s="151" t="e">
        <f t="shared" si="84"/>
        <v>#DIV/0!</v>
      </c>
      <c r="BP1397" s="151" t="e">
        <f t="shared" si="85"/>
        <v>#DIV/0!</v>
      </c>
      <c r="BQ1397" s="71">
        <v>0</v>
      </c>
      <c r="BR1397" s="71">
        <v>0</v>
      </c>
      <c r="BS1397" s="71">
        <v>0</v>
      </c>
      <c r="BT1397" s="72">
        <v>0</v>
      </c>
      <c r="BU1397" s="73"/>
      <c r="BV1397" s="73"/>
    </row>
    <row r="1398" ht="30" customHeight="1" spans="1:74">
      <c r="A1398" s="55">
        <v>0</v>
      </c>
      <c r="B1398" s="56" t="s">
        <v>2247</v>
      </c>
      <c r="C1398" s="57" t="s">
        <v>2248</v>
      </c>
      <c r="D1398" s="59" t="s">
        <v>2266</v>
      </c>
      <c r="E1398" s="59" t="s">
        <v>2282</v>
      </c>
      <c r="F1398" s="59" t="e">
        <f>VLOOKUP(E1398,[1]库存!$B$1:$C$65536,2,FALSE)</f>
        <v>#N/A</v>
      </c>
      <c r="G1398" s="59" t="e">
        <v>#N/A</v>
      </c>
      <c r="H1398" s="59" t="s">
        <v>2283</v>
      </c>
      <c r="I1398" s="59"/>
      <c r="J1398" s="63"/>
      <c r="K1398" s="61"/>
      <c r="L1398" s="62">
        <v>0</v>
      </c>
      <c r="M1398" s="63">
        <v>1000</v>
      </c>
      <c r="N1398" s="64">
        <v>2</v>
      </c>
      <c r="O1398" s="62">
        <v>0</v>
      </c>
      <c r="P1398" s="65">
        <f t="shared" si="83"/>
        <v>0</v>
      </c>
      <c r="Q1398" s="66"/>
      <c r="R1398" s="66"/>
      <c r="S1398" s="66"/>
      <c r="T1398" s="66"/>
      <c r="U1398" s="66"/>
      <c r="V1398" s="66"/>
      <c r="W1398" s="66"/>
      <c r="X1398" s="66"/>
      <c r="Y1398" s="66"/>
      <c r="Z1398" s="66"/>
      <c r="AA1398" s="66"/>
      <c r="AB1398" s="66"/>
      <c r="AC1398" s="66"/>
      <c r="AD1398" s="66"/>
      <c r="AE1398" s="66"/>
      <c r="AF1398" s="66"/>
      <c r="AG1398" s="66"/>
      <c r="AH1398" s="66"/>
      <c r="AI1398" s="66"/>
      <c r="AJ1398" s="66"/>
      <c r="AK1398" s="66"/>
      <c r="AL1398" s="66"/>
      <c r="AM1398" s="66"/>
      <c r="AN1398" s="66"/>
      <c r="AO1398" s="66"/>
      <c r="AP1398" s="66"/>
      <c r="AQ1398" s="66"/>
      <c r="AR1398" s="66"/>
      <c r="AS1398" s="66"/>
      <c r="AT1398" s="66"/>
      <c r="AU1398" s="66"/>
      <c r="AV1398" s="66"/>
      <c r="AW1398" s="66"/>
      <c r="AX1398" s="66"/>
      <c r="AY1398" s="66"/>
      <c r="AZ1398" s="66"/>
      <c r="BA1398" s="66"/>
      <c r="BB1398" s="66"/>
      <c r="BC1398" s="66"/>
      <c r="BD1398" s="66"/>
      <c r="BE1398" s="67"/>
      <c r="BF1398" s="67"/>
      <c r="BG1398" s="68"/>
      <c r="BI1398" s="69">
        <v>0</v>
      </c>
      <c r="BJ1398" s="70">
        <v>0</v>
      </c>
      <c r="BK1398" s="71">
        <v>0</v>
      </c>
      <c r="BL1398" s="71">
        <v>0</v>
      </c>
      <c r="BM1398" s="71">
        <v>0</v>
      </c>
      <c r="BN1398" s="72">
        <v>0</v>
      </c>
      <c r="BO1398" s="151" t="e">
        <f t="shared" si="84"/>
        <v>#DIV/0!</v>
      </c>
      <c r="BP1398" s="151" t="e">
        <f t="shared" si="85"/>
        <v>#DIV/0!</v>
      </c>
      <c r="BQ1398" s="71">
        <v>0</v>
      </c>
      <c r="BR1398" s="71">
        <v>0</v>
      </c>
      <c r="BS1398" s="71">
        <v>0</v>
      </c>
      <c r="BT1398" s="72">
        <v>0</v>
      </c>
      <c r="BU1398" s="73"/>
      <c r="BV1398" s="73"/>
    </row>
    <row r="1399" ht="30" customHeight="1" spans="1:74">
      <c r="A1399" s="55">
        <v>0</v>
      </c>
      <c r="B1399" s="56">
        <v>0</v>
      </c>
      <c r="C1399" s="57">
        <v>0</v>
      </c>
      <c r="D1399" s="74"/>
      <c r="E1399" s="74"/>
      <c r="F1399" s="59" t="e">
        <f>VLOOKUP(E1399,[1]库存!$B$1:$C$65536,2,FALSE)</f>
        <v>#N/A</v>
      </c>
      <c r="G1399" s="59" t="e">
        <v>#N/A</v>
      </c>
      <c r="H1399" s="74"/>
      <c r="I1399" s="74"/>
      <c r="J1399" s="87"/>
      <c r="K1399" s="61"/>
      <c r="L1399" s="62">
        <v>0</v>
      </c>
      <c r="M1399" s="63">
        <v>0</v>
      </c>
      <c r="N1399" s="64">
        <v>0</v>
      </c>
      <c r="O1399" s="62">
        <v>0</v>
      </c>
      <c r="P1399" s="65">
        <f t="shared" si="83"/>
        <v>0</v>
      </c>
      <c r="Q1399" s="66"/>
      <c r="R1399" s="66"/>
      <c r="S1399" s="66"/>
      <c r="T1399" s="66"/>
      <c r="U1399" s="66"/>
      <c r="V1399" s="66"/>
      <c r="W1399" s="66"/>
      <c r="X1399" s="66"/>
      <c r="Y1399" s="66"/>
      <c r="Z1399" s="66"/>
      <c r="AA1399" s="66"/>
      <c r="AB1399" s="66"/>
      <c r="AC1399" s="66"/>
      <c r="AD1399" s="66"/>
      <c r="AE1399" s="66"/>
      <c r="AF1399" s="66"/>
      <c r="AG1399" s="66"/>
      <c r="AH1399" s="66"/>
      <c r="AI1399" s="66"/>
      <c r="AJ1399" s="66"/>
      <c r="AK1399" s="66"/>
      <c r="AL1399" s="66"/>
      <c r="AM1399" s="66"/>
      <c r="AN1399" s="66"/>
      <c r="AO1399" s="66"/>
      <c r="AP1399" s="66"/>
      <c r="AQ1399" s="66"/>
      <c r="AR1399" s="66"/>
      <c r="AS1399" s="66"/>
      <c r="AT1399" s="66"/>
      <c r="AU1399" s="66"/>
      <c r="AV1399" s="66"/>
      <c r="AW1399" s="66"/>
      <c r="AX1399" s="66"/>
      <c r="AY1399" s="66"/>
      <c r="AZ1399" s="66"/>
      <c r="BA1399" s="66"/>
      <c r="BB1399" s="66"/>
      <c r="BC1399" s="66"/>
      <c r="BD1399" s="66"/>
      <c r="BE1399" s="67"/>
      <c r="BF1399" s="67"/>
      <c r="BG1399" s="68"/>
      <c r="BI1399" s="69">
        <v>0</v>
      </c>
      <c r="BJ1399" s="70">
        <v>0</v>
      </c>
      <c r="BK1399" s="71">
        <v>0</v>
      </c>
      <c r="BL1399" s="71">
        <v>0</v>
      </c>
      <c r="BM1399" s="71">
        <v>0</v>
      </c>
      <c r="BN1399" s="72">
        <v>0</v>
      </c>
      <c r="BO1399" s="151" t="e">
        <f t="shared" si="84"/>
        <v>#DIV/0!</v>
      </c>
      <c r="BP1399" s="151" t="e">
        <f t="shared" si="85"/>
        <v>#DIV/0!</v>
      </c>
      <c r="BQ1399" s="71">
        <v>0</v>
      </c>
      <c r="BR1399" s="71">
        <v>0</v>
      </c>
      <c r="BS1399" s="71">
        <v>0</v>
      </c>
      <c r="BT1399" s="72">
        <v>0</v>
      </c>
      <c r="BU1399" s="73"/>
      <c r="BV1399" s="73"/>
    </row>
    <row r="1400" ht="30" customHeight="1" spans="1:74">
      <c r="A1400" s="55">
        <v>0</v>
      </c>
      <c r="B1400" s="56" t="s">
        <v>2247</v>
      </c>
      <c r="C1400" s="57" t="s">
        <v>2248</v>
      </c>
      <c r="D1400" s="59" t="s">
        <v>2266</v>
      </c>
      <c r="E1400" s="59" t="s">
        <v>2284</v>
      </c>
      <c r="F1400" s="59" t="e">
        <f>VLOOKUP(E1400,[1]库存!$B$1:$C$65536,2,FALSE)</f>
        <v>#N/A</v>
      </c>
      <c r="G1400" s="59" t="e">
        <v>#N/A</v>
      </c>
      <c r="H1400" s="59" t="s">
        <v>2285</v>
      </c>
      <c r="I1400" s="59" t="s">
        <v>2286</v>
      </c>
      <c r="J1400" s="63"/>
      <c r="K1400" s="61"/>
      <c r="L1400" s="62">
        <v>0</v>
      </c>
      <c r="M1400" s="63">
        <v>1000</v>
      </c>
      <c r="N1400" s="64">
        <v>17</v>
      </c>
      <c r="O1400" s="62">
        <v>0</v>
      </c>
      <c r="P1400" s="65">
        <f t="shared" si="83"/>
        <v>0</v>
      </c>
      <c r="Q1400" s="66"/>
      <c r="R1400" s="66"/>
      <c r="S1400" s="66"/>
      <c r="T1400" s="66"/>
      <c r="U1400" s="66"/>
      <c r="V1400" s="66"/>
      <c r="W1400" s="66"/>
      <c r="X1400" s="66"/>
      <c r="Y1400" s="66"/>
      <c r="Z1400" s="66"/>
      <c r="AA1400" s="66"/>
      <c r="AB1400" s="66"/>
      <c r="AC1400" s="66"/>
      <c r="AD1400" s="66"/>
      <c r="AE1400" s="66"/>
      <c r="AF1400" s="66"/>
      <c r="AG1400" s="66"/>
      <c r="AH1400" s="66"/>
      <c r="AI1400" s="66"/>
      <c r="AJ1400" s="66"/>
      <c r="AK1400" s="66"/>
      <c r="AL1400" s="66"/>
      <c r="AM1400" s="66"/>
      <c r="AN1400" s="66"/>
      <c r="AO1400" s="66"/>
      <c r="AP1400" s="66"/>
      <c r="AQ1400" s="66"/>
      <c r="AR1400" s="66"/>
      <c r="AS1400" s="66"/>
      <c r="AT1400" s="66"/>
      <c r="AU1400" s="66"/>
      <c r="AV1400" s="66"/>
      <c r="AW1400" s="66"/>
      <c r="AX1400" s="66"/>
      <c r="AY1400" s="66"/>
      <c r="AZ1400" s="66"/>
      <c r="BA1400" s="66"/>
      <c r="BB1400" s="66"/>
      <c r="BC1400" s="66"/>
      <c r="BD1400" s="66"/>
      <c r="BE1400" s="67"/>
      <c r="BF1400" s="67"/>
      <c r="BG1400" s="68"/>
      <c r="BI1400" s="69">
        <v>0</v>
      </c>
      <c r="BJ1400" s="70">
        <v>0</v>
      </c>
      <c r="BK1400" s="71">
        <v>0</v>
      </c>
      <c r="BL1400" s="71">
        <v>0</v>
      </c>
      <c r="BM1400" s="71">
        <v>0</v>
      </c>
      <c r="BN1400" s="72">
        <v>0</v>
      </c>
      <c r="BO1400" s="151" t="e">
        <f t="shared" si="84"/>
        <v>#DIV/0!</v>
      </c>
      <c r="BP1400" s="151" t="e">
        <f t="shared" si="85"/>
        <v>#DIV/0!</v>
      </c>
      <c r="BQ1400" s="71">
        <v>0</v>
      </c>
      <c r="BR1400" s="71">
        <v>0</v>
      </c>
      <c r="BS1400" s="71">
        <v>0</v>
      </c>
      <c r="BT1400" s="72">
        <v>0</v>
      </c>
      <c r="BU1400" s="73"/>
      <c r="BV1400" s="73"/>
    </row>
    <row r="1401" ht="30" customHeight="1" spans="1:74">
      <c r="A1401" s="55">
        <v>0</v>
      </c>
      <c r="B1401" s="56">
        <v>0</v>
      </c>
      <c r="C1401" s="57">
        <v>0</v>
      </c>
      <c r="D1401" s="74"/>
      <c r="E1401" s="74"/>
      <c r="F1401" s="59" t="e">
        <f>VLOOKUP(E1401,[1]库存!$B$1:$C$65536,2,FALSE)</f>
        <v>#N/A</v>
      </c>
      <c r="G1401" s="59" t="e">
        <v>#N/A</v>
      </c>
      <c r="H1401" s="74"/>
      <c r="I1401" s="74"/>
      <c r="J1401" s="87"/>
      <c r="K1401" s="61"/>
      <c r="L1401" s="62">
        <v>0</v>
      </c>
      <c r="M1401" s="63">
        <v>0</v>
      </c>
      <c r="N1401" s="64">
        <v>0</v>
      </c>
      <c r="O1401" s="62">
        <v>0</v>
      </c>
      <c r="P1401" s="65">
        <f t="shared" si="83"/>
        <v>0</v>
      </c>
      <c r="Q1401" s="66"/>
      <c r="R1401" s="66"/>
      <c r="S1401" s="66"/>
      <c r="T1401" s="66"/>
      <c r="U1401" s="66"/>
      <c r="V1401" s="66"/>
      <c r="W1401" s="66"/>
      <c r="X1401" s="66"/>
      <c r="Y1401" s="66"/>
      <c r="Z1401" s="66"/>
      <c r="AA1401" s="66"/>
      <c r="AB1401" s="66"/>
      <c r="AC1401" s="66"/>
      <c r="AD1401" s="66"/>
      <c r="AE1401" s="66"/>
      <c r="AF1401" s="66"/>
      <c r="AG1401" s="66"/>
      <c r="AH1401" s="66"/>
      <c r="AI1401" s="66"/>
      <c r="AJ1401" s="66"/>
      <c r="AK1401" s="66"/>
      <c r="AL1401" s="66"/>
      <c r="AM1401" s="66"/>
      <c r="AN1401" s="66"/>
      <c r="AO1401" s="66"/>
      <c r="AP1401" s="66"/>
      <c r="AQ1401" s="66"/>
      <c r="AR1401" s="66"/>
      <c r="AS1401" s="66"/>
      <c r="AT1401" s="66"/>
      <c r="AU1401" s="66"/>
      <c r="AV1401" s="66"/>
      <c r="AW1401" s="66"/>
      <c r="AX1401" s="66"/>
      <c r="AY1401" s="66"/>
      <c r="AZ1401" s="66"/>
      <c r="BA1401" s="66"/>
      <c r="BB1401" s="66"/>
      <c r="BC1401" s="66"/>
      <c r="BD1401" s="66"/>
      <c r="BE1401" s="67"/>
      <c r="BF1401" s="67"/>
      <c r="BG1401" s="68"/>
      <c r="BI1401" s="69">
        <v>0</v>
      </c>
      <c r="BJ1401" s="70">
        <v>0</v>
      </c>
      <c r="BK1401" s="71">
        <v>0</v>
      </c>
      <c r="BL1401" s="71">
        <v>0</v>
      </c>
      <c r="BM1401" s="71">
        <v>0</v>
      </c>
      <c r="BN1401" s="72">
        <v>0</v>
      </c>
      <c r="BO1401" s="151" t="e">
        <f t="shared" si="84"/>
        <v>#DIV/0!</v>
      </c>
      <c r="BP1401" s="151" t="e">
        <f t="shared" si="85"/>
        <v>#DIV/0!</v>
      </c>
      <c r="BQ1401" s="71">
        <v>0</v>
      </c>
      <c r="BR1401" s="71">
        <v>0</v>
      </c>
      <c r="BS1401" s="71">
        <v>0</v>
      </c>
      <c r="BT1401" s="72">
        <v>0</v>
      </c>
      <c r="BU1401" s="73"/>
      <c r="BV1401" s="73"/>
    </row>
    <row r="1402" ht="30" customHeight="1" spans="1:74">
      <c r="A1402" s="55">
        <v>0</v>
      </c>
      <c r="B1402" s="56" t="s">
        <v>2247</v>
      </c>
      <c r="C1402" s="57" t="s">
        <v>2248</v>
      </c>
      <c r="D1402" s="59" t="s">
        <v>2266</v>
      </c>
      <c r="E1402" s="59" t="s">
        <v>2287</v>
      </c>
      <c r="F1402" s="59" t="e">
        <f>VLOOKUP(E1402,[1]库存!$B$1:$C$65536,2,FALSE)</f>
        <v>#N/A</v>
      </c>
      <c r="G1402" s="59" t="e">
        <v>#N/A</v>
      </c>
      <c r="H1402" s="59" t="s">
        <v>2288</v>
      </c>
      <c r="I1402" s="59" t="s">
        <v>2286</v>
      </c>
      <c r="J1402" s="63"/>
      <c r="K1402" s="61"/>
      <c r="L1402" s="62">
        <v>0</v>
      </c>
      <c r="M1402" s="63">
        <v>1000</v>
      </c>
      <c r="N1402" s="64">
        <v>17</v>
      </c>
      <c r="O1402" s="62">
        <v>0</v>
      </c>
      <c r="P1402" s="65">
        <f t="shared" si="83"/>
        <v>0</v>
      </c>
      <c r="Q1402" s="66"/>
      <c r="R1402" s="66"/>
      <c r="S1402" s="66"/>
      <c r="T1402" s="66"/>
      <c r="U1402" s="66"/>
      <c r="V1402" s="66"/>
      <c r="W1402" s="66"/>
      <c r="X1402" s="66"/>
      <c r="Y1402" s="66"/>
      <c r="Z1402" s="66"/>
      <c r="AA1402" s="66"/>
      <c r="AB1402" s="66"/>
      <c r="AC1402" s="66"/>
      <c r="AD1402" s="66"/>
      <c r="AE1402" s="66"/>
      <c r="AF1402" s="66"/>
      <c r="AG1402" s="66"/>
      <c r="AH1402" s="66"/>
      <c r="AI1402" s="66"/>
      <c r="AJ1402" s="66"/>
      <c r="AK1402" s="66"/>
      <c r="AL1402" s="66"/>
      <c r="AM1402" s="66"/>
      <c r="AN1402" s="66"/>
      <c r="AO1402" s="66"/>
      <c r="AP1402" s="66"/>
      <c r="AQ1402" s="66"/>
      <c r="AR1402" s="66"/>
      <c r="AS1402" s="66"/>
      <c r="AT1402" s="66"/>
      <c r="AU1402" s="66"/>
      <c r="AV1402" s="66"/>
      <c r="AW1402" s="66"/>
      <c r="AX1402" s="66"/>
      <c r="AY1402" s="66"/>
      <c r="AZ1402" s="66"/>
      <c r="BA1402" s="66"/>
      <c r="BB1402" s="66"/>
      <c r="BC1402" s="66"/>
      <c r="BD1402" s="66"/>
      <c r="BE1402" s="67"/>
      <c r="BF1402" s="67"/>
      <c r="BG1402" s="68"/>
      <c r="BI1402" s="69">
        <v>0</v>
      </c>
      <c r="BJ1402" s="70">
        <v>0</v>
      </c>
      <c r="BK1402" s="71">
        <v>0</v>
      </c>
      <c r="BL1402" s="71">
        <v>0</v>
      </c>
      <c r="BM1402" s="71">
        <v>0</v>
      </c>
      <c r="BN1402" s="72">
        <v>0</v>
      </c>
      <c r="BO1402" s="151" t="e">
        <f t="shared" si="84"/>
        <v>#DIV/0!</v>
      </c>
      <c r="BP1402" s="151" t="e">
        <f t="shared" si="85"/>
        <v>#DIV/0!</v>
      </c>
      <c r="BQ1402" s="71">
        <v>0</v>
      </c>
      <c r="BR1402" s="71">
        <v>0</v>
      </c>
      <c r="BS1402" s="71">
        <v>0</v>
      </c>
      <c r="BT1402" s="72">
        <v>0</v>
      </c>
      <c r="BU1402" s="73"/>
      <c r="BV1402" s="73"/>
    </row>
    <row r="1403" ht="30" customHeight="1" spans="1:74">
      <c r="A1403" s="55">
        <v>0</v>
      </c>
      <c r="B1403" s="56">
        <v>0</v>
      </c>
      <c r="C1403" s="57">
        <v>0</v>
      </c>
      <c r="D1403" s="74"/>
      <c r="E1403" s="74"/>
      <c r="F1403" s="59" t="e">
        <f>VLOOKUP(E1403,[1]库存!$B$1:$C$65536,2,FALSE)</f>
        <v>#N/A</v>
      </c>
      <c r="G1403" s="59" t="e">
        <v>#N/A</v>
      </c>
      <c r="H1403" s="74"/>
      <c r="I1403" s="74"/>
      <c r="J1403" s="87"/>
      <c r="K1403" s="61"/>
      <c r="L1403" s="62">
        <v>0</v>
      </c>
      <c r="M1403" s="63">
        <v>0</v>
      </c>
      <c r="N1403" s="64">
        <v>0</v>
      </c>
      <c r="O1403" s="62">
        <v>0</v>
      </c>
      <c r="P1403" s="65">
        <f t="shared" si="83"/>
        <v>0</v>
      </c>
      <c r="Q1403" s="66"/>
      <c r="R1403" s="66"/>
      <c r="S1403" s="66"/>
      <c r="T1403" s="66"/>
      <c r="U1403" s="66"/>
      <c r="V1403" s="66"/>
      <c r="W1403" s="66"/>
      <c r="X1403" s="66"/>
      <c r="Y1403" s="66"/>
      <c r="Z1403" s="66"/>
      <c r="AA1403" s="66"/>
      <c r="AB1403" s="66"/>
      <c r="AC1403" s="66"/>
      <c r="AD1403" s="66"/>
      <c r="AE1403" s="66"/>
      <c r="AF1403" s="66"/>
      <c r="AG1403" s="66"/>
      <c r="AH1403" s="66"/>
      <c r="AI1403" s="66"/>
      <c r="AJ1403" s="66"/>
      <c r="AK1403" s="66"/>
      <c r="AL1403" s="66"/>
      <c r="AM1403" s="66"/>
      <c r="AN1403" s="66"/>
      <c r="AO1403" s="66"/>
      <c r="AP1403" s="66"/>
      <c r="AQ1403" s="66"/>
      <c r="AR1403" s="66"/>
      <c r="AS1403" s="66"/>
      <c r="AT1403" s="66"/>
      <c r="AU1403" s="66"/>
      <c r="AV1403" s="66"/>
      <c r="AW1403" s="66"/>
      <c r="AX1403" s="66"/>
      <c r="AY1403" s="66"/>
      <c r="AZ1403" s="66"/>
      <c r="BA1403" s="66"/>
      <c r="BB1403" s="66"/>
      <c r="BC1403" s="66"/>
      <c r="BD1403" s="66"/>
      <c r="BE1403" s="67"/>
      <c r="BF1403" s="67"/>
      <c r="BG1403" s="68"/>
      <c r="BI1403" s="69">
        <v>0</v>
      </c>
      <c r="BJ1403" s="70">
        <v>0</v>
      </c>
      <c r="BK1403" s="71">
        <v>0</v>
      </c>
      <c r="BL1403" s="71">
        <v>0</v>
      </c>
      <c r="BM1403" s="71">
        <v>0</v>
      </c>
      <c r="BN1403" s="72">
        <v>0</v>
      </c>
      <c r="BO1403" s="151" t="e">
        <f t="shared" si="84"/>
        <v>#DIV/0!</v>
      </c>
      <c r="BP1403" s="151" t="e">
        <f t="shared" si="85"/>
        <v>#DIV/0!</v>
      </c>
      <c r="BQ1403" s="71">
        <v>0</v>
      </c>
      <c r="BR1403" s="71">
        <v>0</v>
      </c>
      <c r="BS1403" s="71">
        <v>0</v>
      </c>
      <c r="BT1403" s="72">
        <v>0</v>
      </c>
      <c r="BU1403" s="73"/>
      <c r="BV1403" s="73"/>
    </row>
    <row r="1404" ht="30" customHeight="1" spans="1:74">
      <c r="A1404" s="55">
        <v>0</v>
      </c>
      <c r="B1404" s="56" t="s">
        <v>2247</v>
      </c>
      <c r="C1404" s="57" t="s">
        <v>2248</v>
      </c>
      <c r="D1404" s="59" t="s">
        <v>2266</v>
      </c>
      <c r="E1404" s="59"/>
      <c r="F1404" s="59" t="e">
        <f>VLOOKUP(E1404,[1]库存!$B$1:$C$65536,2,FALSE)</f>
        <v>#N/A</v>
      </c>
      <c r="G1404" s="59" t="e">
        <v>#N/A</v>
      </c>
      <c r="H1404" s="59" t="s">
        <v>2289</v>
      </c>
      <c r="I1404" s="59" t="s">
        <v>2290</v>
      </c>
      <c r="J1404" s="63"/>
      <c r="K1404" s="61"/>
      <c r="L1404" s="62">
        <v>0</v>
      </c>
      <c r="M1404" s="63">
        <v>400</v>
      </c>
      <c r="N1404" s="64">
        <v>20</v>
      </c>
      <c r="O1404" s="62">
        <v>0</v>
      </c>
      <c r="P1404" s="65">
        <f t="shared" si="83"/>
        <v>0</v>
      </c>
      <c r="Q1404" s="66"/>
      <c r="R1404" s="66"/>
      <c r="S1404" s="66"/>
      <c r="T1404" s="66"/>
      <c r="U1404" s="66"/>
      <c r="V1404" s="66"/>
      <c r="W1404" s="66"/>
      <c r="X1404" s="66"/>
      <c r="Y1404" s="66"/>
      <c r="Z1404" s="66"/>
      <c r="AA1404" s="66"/>
      <c r="AB1404" s="66"/>
      <c r="AC1404" s="66"/>
      <c r="AD1404" s="66"/>
      <c r="AE1404" s="66"/>
      <c r="AF1404" s="66"/>
      <c r="AG1404" s="66"/>
      <c r="AH1404" s="66"/>
      <c r="AI1404" s="66"/>
      <c r="AJ1404" s="66"/>
      <c r="AK1404" s="66"/>
      <c r="AL1404" s="66"/>
      <c r="AM1404" s="66"/>
      <c r="AN1404" s="66"/>
      <c r="AO1404" s="66"/>
      <c r="AP1404" s="66"/>
      <c r="AQ1404" s="66"/>
      <c r="AR1404" s="66"/>
      <c r="AS1404" s="66"/>
      <c r="AT1404" s="66"/>
      <c r="AU1404" s="66"/>
      <c r="AV1404" s="66"/>
      <c r="AW1404" s="66"/>
      <c r="AX1404" s="66"/>
      <c r="AY1404" s="66"/>
      <c r="AZ1404" s="66"/>
      <c r="BA1404" s="66"/>
      <c r="BB1404" s="66"/>
      <c r="BC1404" s="66"/>
      <c r="BD1404" s="66"/>
      <c r="BE1404" s="67"/>
      <c r="BF1404" s="67"/>
      <c r="BG1404" s="68"/>
      <c r="BI1404" s="69">
        <v>0</v>
      </c>
      <c r="BJ1404" s="70">
        <v>0</v>
      </c>
      <c r="BK1404" s="71">
        <v>0</v>
      </c>
      <c r="BL1404" s="71">
        <v>0</v>
      </c>
      <c r="BM1404" s="71">
        <v>0</v>
      </c>
      <c r="BN1404" s="72">
        <v>0</v>
      </c>
      <c r="BO1404" s="151" t="e">
        <f t="shared" si="84"/>
        <v>#DIV/0!</v>
      </c>
      <c r="BP1404" s="151" t="e">
        <f t="shared" si="85"/>
        <v>#DIV/0!</v>
      </c>
      <c r="BQ1404" s="71">
        <v>0</v>
      </c>
      <c r="BR1404" s="71">
        <v>0</v>
      </c>
      <c r="BS1404" s="71">
        <v>0</v>
      </c>
      <c r="BT1404" s="72">
        <v>0</v>
      </c>
      <c r="BU1404" s="73"/>
      <c r="BV1404" s="73"/>
    </row>
    <row r="1405" ht="30" customHeight="1" spans="1:74">
      <c r="A1405" s="55">
        <v>0</v>
      </c>
      <c r="B1405" s="56">
        <v>0</v>
      </c>
      <c r="C1405" s="57">
        <v>0</v>
      </c>
      <c r="D1405" s="74"/>
      <c r="E1405" s="74"/>
      <c r="F1405" s="59" t="e">
        <f>VLOOKUP(E1405,[1]库存!$B$1:$C$65536,2,FALSE)</f>
        <v>#N/A</v>
      </c>
      <c r="G1405" s="59" t="e">
        <v>#N/A</v>
      </c>
      <c r="H1405" s="74"/>
      <c r="I1405" s="74"/>
      <c r="J1405" s="87"/>
      <c r="K1405" s="61"/>
      <c r="L1405" s="62">
        <v>0</v>
      </c>
      <c r="M1405" s="63">
        <v>0</v>
      </c>
      <c r="N1405" s="64">
        <v>0</v>
      </c>
      <c r="O1405" s="62">
        <v>0</v>
      </c>
      <c r="P1405" s="65">
        <f t="shared" si="83"/>
        <v>0</v>
      </c>
      <c r="Q1405" s="66"/>
      <c r="R1405" s="66"/>
      <c r="S1405" s="66"/>
      <c r="T1405" s="66"/>
      <c r="U1405" s="66"/>
      <c r="V1405" s="66"/>
      <c r="W1405" s="66"/>
      <c r="X1405" s="66"/>
      <c r="Y1405" s="66"/>
      <c r="Z1405" s="66"/>
      <c r="AA1405" s="66"/>
      <c r="AB1405" s="66"/>
      <c r="AC1405" s="66"/>
      <c r="AD1405" s="66"/>
      <c r="AE1405" s="66"/>
      <c r="AF1405" s="66"/>
      <c r="AG1405" s="66"/>
      <c r="AH1405" s="66"/>
      <c r="AI1405" s="66"/>
      <c r="AJ1405" s="66"/>
      <c r="AK1405" s="66"/>
      <c r="AL1405" s="66"/>
      <c r="AM1405" s="66"/>
      <c r="AN1405" s="66"/>
      <c r="AO1405" s="66"/>
      <c r="AP1405" s="66"/>
      <c r="AQ1405" s="66"/>
      <c r="AR1405" s="66"/>
      <c r="AS1405" s="66"/>
      <c r="AT1405" s="66"/>
      <c r="AU1405" s="66"/>
      <c r="AV1405" s="66"/>
      <c r="AW1405" s="66"/>
      <c r="AX1405" s="66"/>
      <c r="AY1405" s="66"/>
      <c r="AZ1405" s="66"/>
      <c r="BA1405" s="66"/>
      <c r="BB1405" s="66"/>
      <c r="BC1405" s="66"/>
      <c r="BD1405" s="66"/>
      <c r="BE1405" s="67"/>
      <c r="BF1405" s="67"/>
      <c r="BG1405" s="68"/>
      <c r="BI1405" s="69">
        <v>0</v>
      </c>
      <c r="BJ1405" s="70">
        <v>0</v>
      </c>
      <c r="BK1405" s="71">
        <v>0</v>
      </c>
      <c r="BL1405" s="71">
        <v>0</v>
      </c>
      <c r="BM1405" s="71">
        <v>0</v>
      </c>
      <c r="BN1405" s="72">
        <v>0</v>
      </c>
      <c r="BO1405" s="151" t="e">
        <f t="shared" si="84"/>
        <v>#DIV/0!</v>
      </c>
      <c r="BP1405" s="151" t="e">
        <f t="shared" si="85"/>
        <v>#DIV/0!</v>
      </c>
      <c r="BQ1405" s="71">
        <v>0</v>
      </c>
      <c r="BR1405" s="71">
        <v>0</v>
      </c>
      <c r="BS1405" s="71">
        <v>0</v>
      </c>
      <c r="BT1405" s="72">
        <v>0</v>
      </c>
      <c r="BU1405" s="73"/>
      <c r="BV1405" s="73"/>
    </row>
    <row r="1406" ht="30" customHeight="1" spans="1:74">
      <c r="A1406" s="55">
        <v>0</v>
      </c>
      <c r="B1406" s="56" t="s">
        <v>2247</v>
      </c>
      <c r="C1406" s="57" t="s">
        <v>2248</v>
      </c>
      <c r="D1406" s="59" t="s">
        <v>2266</v>
      </c>
      <c r="E1406" s="59"/>
      <c r="F1406" s="59" t="e">
        <f>VLOOKUP(E1406,[1]库存!$B$1:$C$65536,2,FALSE)</f>
        <v>#N/A</v>
      </c>
      <c r="G1406" s="59" t="e">
        <v>#N/A</v>
      </c>
      <c r="H1406" s="59" t="s">
        <v>2291</v>
      </c>
      <c r="I1406" s="59" t="s">
        <v>2292</v>
      </c>
      <c r="J1406" s="63"/>
      <c r="K1406" s="61"/>
      <c r="L1406" s="62">
        <v>0</v>
      </c>
      <c r="M1406" s="63">
        <v>400</v>
      </c>
      <c r="N1406" s="64">
        <v>20</v>
      </c>
      <c r="O1406" s="62">
        <v>0</v>
      </c>
      <c r="P1406" s="65">
        <f t="shared" si="83"/>
        <v>0</v>
      </c>
      <c r="Q1406" s="66"/>
      <c r="R1406" s="66"/>
      <c r="S1406" s="66"/>
      <c r="T1406" s="66"/>
      <c r="U1406" s="66"/>
      <c r="V1406" s="66"/>
      <c r="W1406" s="66"/>
      <c r="X1406" s="66"/>
      <c r="Y1406" s="66"/>
      <c r="Z1406" s="66"/>
      <c r="AA1406" s="66"/>
      <c r="AB1406" s="66"/>
      <c r="AC1406" s="66"/>
      <c r="AD1406" s="66"/>
      <c r="AE1406" s="66"/>
      <c r="AF1406" s="66"/>
      <c r="AG1406" s="66"/>
      <c r="AH1406" s="66"/>
      <c r="AI1406" s="66"/>
      <c r="AJ1406" s="66"/>
      <c r="AK1406" s="66"/>
      <c r="AL1406" s="66"/>
      <c r="AM1406" s="66"/>
      <c r="AN1406" s="66"/>
      <c r="AO1406" s="66"/>
      <c r="AP1406" s="66"/>
      <c r="AQ1406" s="66"/>
      <c r="AR1406" s="66"/>
      <c r="AS1406" s="66"/>
      <c r="AT1406" s="66"/>
      <c r="AU1406" s="66"/>
      <c r="AV1406" s="66"/>
      <c r="AW1406" s="66"/>
      <c r="AX1406" s="66"/>
      <c r="AY1406" s="66"/>
      <c r="AZ1406" s="66"/>
      <c r="BA1406" s="66"/>
      <c r="BB1406" s="66"/>
      <c r="BC1406" s="66"/>
      <c r="BD1406" s="66"/>
      <c r="BE1406" s="67"/>
      <c r="BF1406" s="67"/>
      <c r="BG1406" s="68"/>
      <c r="BI1406" s="69">
        <v>0</v>
      </c>
      <c r="BJ1406" s="70">
        <v>0</v>
      </c>
      <c r="BK1406" s="71">
        <v>0</v>
      </c>
      <c r="BL1406" s="71">
        <v>0</v>
      </c>
      <c r="BM1406" s="71">
        <v>0</v>
      </c>
      <c r="BN1406" s="72">
        <v>0</v>
      </c>
      <c r="BO1406" s="151" t="e">
        <f t="shared" si="84"/>
        <v>#DIV/0!</v>
      </c>
      <c r="BP1406" s="151" t="e">
        <f t="shared" si="85"/>
        <v>#DIV/0!</v>
      </c>
      <c r="BQ1406" s="71">
        <v>0</v>
      </c>
      <c r="BR1406" s="71">
        <v>0</v>
      </c>
      <c r="BS1406" s="71">
        <v>0</v>
      </c>
      <c r="BT1406" s="72">
        <v>0</v>
      </c>
      <c r="BU1406" s="73"/>
      <c r="BV1406" s="73"/>
    </row>
    <row r="1407" ht="30" customHeight="1" spans="1:74">
      <c r="A1407" s="55">
        <v>0</v>
      </c>
      <c r="B1407" s="56">
        <v>0</v>
      </c>
      <c r="C1407" s="57">
        <v>0</v>
      </c>
      <c r="D1407" s="74"/>
      <c r="E1407" s="74"/>
      <c r="F1407" s="59" t="e">
        <f>VLOOKUP(E1407,[1]库存!$B$1:$C$65536,2,FALSE)</f>
        <v>#N/A</v>
      </c>
      <c r="G1407" s="59" t="e">
        <v>#N/A</v>
      </c>
      <c r="H1407" s="74"/>
      <c r="I1407" s="74"/>
      <c r="J1407" s="87"/>
      <c r="K1407" s="61"/>
      <c r="L1407" s="62">
        <v>0</v>
      </c>
      <c r="M1407" s="63">
        <v>0</v>
      </c>
      <c r="N1407" s="64">
        <v>0</v>
      </c>
      <c r="O1407" s="62">
        <v>0</v>
      </c>
      <c r="P1407" s="65">
        <f t="shared" si="83"/>
        <v>0</v>
      </c>
      <c r="Q1407" s="66"/>
      <c r="R1407" s="66"/>
      <c r="S1407" s="66"/>
      <c r="T1407" s="66"/>
      <c r="U1407" s="66"/>
      <c r="V1407" s="66"/>
      <c r="W1407" s="66"/>
      <c r="X1407" s="66"/>
      <c r="Y1407" s="66"/>
      <c r="Z1407" s="66"/>
      <c r="AA1407" s="66"/>
      <c r="AB1407" s="66"/>
      <c r="AC1407" s="66"/>
      <c r="AD1407" s="66"/>
      <c r="AE1407" s="66"/>
      <c r="AF1407" s="66"/>
      <c r="AG1407" s="66"/>
      <c r="AH1407" s="66"/>
      <c r="AI1407" s="66"/>
      <c r="AJ1407" s="66"/>
      <c r="AK1407" s="66"/>
      <c r="AL1407" s="66"/>
      <c r="AM1407" s="66"/>
      <c r="AN1407" s="66"/>
      <c r="AO1407" s="66"/>
      <c r="AP1407" s="66"/>
      <c r="AQ1407" s="66"/>
      <c r="AR1407" s="66"/>
      <c r="AS1407" s="66"/>
      <c r="AT1407" s="66"/>
      <c r="AU1407" s="66"/>
      <c r="AV1407" s="66"/>
      <c r="AW1407" s="66"/>
      <c r="AX1407" s="66"/>
      <c r="AY1407" s="66"/>
      <c r="AZ1407" s="66"/>
      <c r="BA1407" s="66"/>
      <c r="BB1407" s="66"/>
      <c r="BC1407" s="66"/>
      <c r="BD1407" s="66"/>
      <c r="BE1407" s="67"/>
      <c r="BF1407" s="67"/>
      <c r="BG1407" s="68"/>
      <c r="BI1407" s="69">
        <v>0</v>
      </c>
      <c r="BJ1407" s="70">
        <v>0</v>
      </c>
      <c r="BK1407" s="71">
        <v>0</v>
      </c>
      <c r="BL1407" s="71">
        <v>0</v>
      </c>
      <c r="BM1407" s="71">
        <v>0</v>
      </c>
      <c r="BN1407" s="72">
        <v>0</v>
      </c>
      <c r="BO1407" s="151" t="e">
        <f t="shared" si="84"/>
        <v>#DIV/0!</v>
      </c>
      <c r="BP1407" s="151" t="e">
        <f t="shared" si="85"/>
        <v>#DIV/0!</v>
      </c>
      <c r="BQ1407" s="71">
        <v>0</v>
      </c>
      <c r="BR1407" s="71">
        <v>0</v>
      </c>
      <c r="BS1407" s="71">
        <v>0</v>
      </c>
      <c r="BT1407" s="72">
        <v>0</v>
      </c>
      <c r="BU1407" s="73"/>
      <c r="BV1407" s="73"/>
    </row>
    <row r="1408" ht="30" customHeight="1" spans="1:74">
      <c r="A1408" s="55">
        <v>0</v>
      </c>
      <c r="B1408" s="56" t="s">
        <v>2247</v>
      </c>
      <c r="C1408" s="57" t="s">
        <v>2248</v>
      </c>
      <c r="D1408" s="59" t="s">
        <v>2266</v>
      </c>
      <c r="E1408" s="59"/>
      <c r="F1408" s="59" t="e">
        <f>VLOOKUP(E1408,[1]库存!$B$1:$C$65536,2,FALSE)</f>
        <v>#N/A</v>
      </c>
      <c r="G1408" s="59" t="e">
        <v>#N/A</v>
      </c>
      <c r="H1408" s="59" t="s">
        <v>2293</v>
      </c>
      <c r="I1408" s="59" t="s">
        <v>2294</v>
      </c>
      <c r="J1408" s="63"/>
      <c r="K1408" s="61"/>
      <c r="L1408" s="62">
        <v>0</v>
      </c>
      <c r="M1408" s="63">
        <v>400</v>
      </c>
      <c r="N1408" s="64">
        <v>20</v>
      </c>
      <c r="O1408" s="62">
        <v>0</v>
      </c>
      <c r="P1408" s="65">
        <f t="shared" si="83"/>
        <v>0</v>
      </c>
      <c r="Q1408" s="66"/>
      <c r="R1408" s="66"/>
      <c r="S1408" s="66"/>
      <c r="T1408" s="66"/>
      <c r="U1408" s="66"/>
      <c r="V1408" s="66"/>
      <c r="W1408" s="66"/>
      <c r="X1408" s="66"/>
      <c r="Y1408" s="66"/>
      <c r="Z1408" s="66"/>
      <c r="AA1408" s="66"/>
      <c r="AB1408" s="66"/>
      <c r="AC1408" s="66"/>
      <c r="AD1408" s="66"/>
      <c r="AE1408" s="66"/>
      <c r="AF1408" s="66"/>
      <c r="AG1408" s="66"/>
      <c r="AH1408" s="66"/>
      <c r="AI1408" s="66"/>
      <c r="AJ1408" s="66"/>
      <c r="AK1408" s="66"/>
      <c r="AL1408" s="66"/>
      <c r="AM1408" s="66"/>
      <c r="AN1408" s="66"/>
      <c r="AO1408" s="66"/>
      <c r="AP1408" s="66"/>
      <c r="AQ1408" s="66"/>
      <c r="AR1408" s="66"/>
      <c r="AS1408" s="66"/>
      <c r="AT1408" s="66"/>
      <c r="AU1408" s="66"/>
      <c r="AV1408" s="66"/>
      <c r="AW1408" s="66"/>
      <c r="AX1408" s="66"/>
      <c r="AY1408" s="66"/>
      <c r="AZ1408" s="66"/>
      <c r="BA1408" s="66"/>
      <c r="BB1408" s="66"/>
      <c r="BC1408" s="66"/>
      <c r="BD1408" s="66"/>
      <c r="BE1408" s="67"/>
      <c r="BF1408" s="67"/>
      <c r="BG1408" s="68"/>
      <c r="BI1408" s="69">
        <v>0</v>
      </c>
      <c r="BJ1408" s="70">
        <v>0</v>
      </c>
      <c r="BK1408" s="71">
        <v>0</v>
      </c>
      <c r="BL1408" s="71">
        <v>0</v>
      </c>
      <c r="BM1408" s="71">
        <v>0</v>
      </c>
      <c r="BN1408" s="72">
        <v>0</v>
      </c>
      <c r="BO1408" s="151" t="e">
        <f t="shared" si="84"/>
        <v>#DIV/0!</v>
      </c>
      <c r="BP1408" s="151" t="e">
        <f t="shared" si="85"/>
        <v>#DIV/0!</v>
      </c>
      <c r="BQ1408" s="71">
        <v>0</v>
      </c>
      <c r="BR1408" s="71">
        <v>0</v>
      </c>
      <c r="BS1408" s="71">
        <v>0</v>
      </c>
      <c r="BT1408" s="72">
        <v>0</v>
      </c>
      <c r="BU1408" s="73"/>
      <c r="BV1408" s="73"/>
    </row>
    <row r="1409" ht="30" customHeight="1" spans="1:75 16331:16349">
      <c r="A1409" s="55">
        <v>0</v>
      </c>
      <c r="B1409" s="56">
        <v>0</v>
      </c>
      <c r="C1409" s="57">
        <v>0</v>
      </c>
      <c r="D1409" s="74"/>
      <c r="E1409" s="74"/>
      <c r="F1409" s="59" t="e">
        <f>VLOOKUP(E1409,[1]库存!$B$1:$C$65536,2,FALSE)</f>
        <v>#N/A</v>
      </c>
      <c r="G1409" s="59" t="e">
        <v>#N/A</v>
      </c>
      <c r="H1409" s="74"/>
      <c r="I1409" s="74"/>
      <c r="J1409" s="87"/>
      <c r="K1409" s="61"/>
      <c r="L1409" s="62">
        <v>0</v>
      </c>
      <c r="M1409" s="63">
        <v>0</v>
      </c>
      <c r="N1409" s="64">
        <v>0</v>
      </c>
      <c r="O1409" s="62">
        <v>0</v>
      </c>
      <c r="P1409" s="65">
        <f t="shared" si="83"/>
        <v>0</v>
      </c>
      <c r="Q1409" s="66"/>
      <c r="R1409" s="66"/>
      <c r="S1409" s="66"/>
      <c r="T1409" s="66"/>
      <c r="U1409" s="66"/>
      <c r="V1409" s="66"/>
      <c r="W1409" s="66"/>
      <c r="X1409" s="66"/>
      <c r="Y1409" s="66"/>
      <c r="Z1409" s="66"/>
      <c r="AA1409" s="66"/>
      <c r="AB1409" s="66"/>
      <c r="AC1409" s="66"/>
      <c r="AD1409" s="66"/>
      <c r="AE1409" s="66"/>
      <c r="AF1409" s="66"/>
      <c r="AG1409" s="66"/>
      <c r="AH1409" s="66"/>
      <c r="AI1409" s="66"/>
      <c r="AJ1409" s="66"/>
      <c r="AK1409" s="66"/>
      <c r="AL1409" s="66"/>
      <c r="AM1409" s="66"/>
      <c r="AN1409" s="66"/>
      <c r="AO1409" s="66"/>
      <c r="AP1409" s="66"/>
      <c r="AQ1409" s="66"/>
      <c r="AR1409" s="66"/>
      <c r="AS1409" s="66"/>
      <c r="AT1409" s="66"/>
      <c r="AU1409" s="66"/>
      <c r="AV1409" s="66"/>
      <c r="AW1409" s="66"/>
      <c r="AX1409" s="66"/>
      <c r="AY1409" s="66"/>
      <c r="AZ1409" s="66"/>
      <c r="BA1409" s="66"/>
      <c r="BB1409" s="66"/>
      <c r="BC1409" s="66"/>
      <c r="BD1409" s="66"/>
      <c r="BE1409" s="67"/>
      <c r="BF1409" s="67"/>
      <c r="BG1409" s="68"/>
      <c r="BI1409" s="69">
        <v>0</v>
      </c>
      <c r="BJ1409" s="70">
        <v>0</v>
      </c>
      <c r="BK1409" s="71">
        <v>0</v>
      </c>
      <c r="BL1409" s="71">
        <v>0</v>
      </c>
      <c r="BM1409" s="71">
        <v>0</v>
      </c>
      <c r="BN1409" s="72">
        <v>0</v>
      </c>
      <c r="BO1409" s="151" t="e">
        <f t="shared" si="84"/>
        <v>#DIV/0!</v>
      </c>
      <c r="BP1409" s="151" t="e">
        <f t="shared" si="85"/>
        <v>#DIV/0!</v>
      </c>
      <c r="BQ1409" s="71">
        <v>0</v>
      </c>
      <c r="BR1409" s="71">
        <v>0</v>
      </c>
      <c r="BS1409" s="71">
        <v>0</v>
      </c>
      <c r="BT1409" s="72">
        <v>0</v>
      </c>
      <c r="BU1409" s="73"/>
      <c r="BV1409" s="73"/>
    </row>
    <row r="1410" ht="30" customHeight="1" spans="1:75 16331:16349">
      <c r="A1410" s="55">
        <v>0</v>
      </c>
      <c r="B1410" s="56" t="s">
        <v>2247</v>
      </c>
      <c r="C1410" s="57" t="s">
        <v>2248</v>
      </c>
      <c r="D1410" s="59" t="s">
        <v>2266</v>
      </c>
      <c r="E1410" s="59"/>
      <c r="F1410" s="59" t="e">
        <f>VLOOKUP(E1410,[1]库存!$B$1:$C$65536,2,FALSE)</f>
        <v>#N/A</v>
      </c>
      <c r="G1410" s="59" t="e">
        <v>#N/A</v>
      </c>
      <c r="H1410" s="59" t="s">
        <v>2295</v>
      </c>
      <c r="I1410" s="59" t="s">
        <v>2296</v>
      </c>
      <c r="J1410" s="63"/>
      <c r="K1410" s="61"/>
      <c r="L1410" s="62">
        <v>0</v>
      </c>
      <c r="M1410" s="63">
        <v>400</v>
      </c>
      <c r="N1410" s="64">
        <v>20</v>
      </c>
      <c r="O1410" s="62">
        <v>0</v>
      </c>
      <c r="P1410" s="65">
        <f t="shared" si="83"/>
        <v>0</v>
      </c>
      <c r="Q1410" s="66"/>
      <c r="R1410" s="66"/>
      <c r="S1410" s="66"/>
      <c r="T1410" s="66"/>
      <c r="U1410" s="66"/>
      <c r="V1410" s="66"/>
      <c r="W1410" s="66"/>
      <c r="X1410" s="66"/>
      <c r="Y1410" s="66"/>
      <c r="Z1410" s="66"/>
      <c r="AA1410" s="66"/>
      <c r="AB1410" s="66"/>
      <c r="AC1410" s="66"/>
      <c r="AD1410" s="66"/>
      <c r="AE1410" s="66"/>
      <c r="AF1410" s="66"/>
      <c r="AG1410" s="66"/>
      <c r="AH1410" s="66"/>
      <c r="AI1410" s="66"/>
      <c r="AJ1410" s="66"/>
      <c r="AK1410" s="66"/>
      <c r="AL1410" s="66"/>
      <c r="AM1410" s="66"/>
      <c r="AN1410" s="66"/>
      <c r="AO1410" s="66"/>
      <c r="AP1410" s="66"/>
      <c r="AQ1410" s="66"/>
      <c r="AR1410" s="66"/>
      <c r="AS1410" s="66"/>
      <c r="AT1410" s="66"/>
      <c r="AU1410" s="66"/>
      <c r="AV1410" s="66"/>
      <c r="AW1410" s="66"/>
      <c r="AX1410" s="66"/>
      <c r="AY1410" s="66"/>
      <c r="AZ1410" s="66"/>
      <c r="BA1410" s="66"/>
      <c r="BB1410" s="66"/>
      <c r="BC1410" s="66"/>
      <c r="BD1410" s="66"/>
      <c r="BE1410" s="67"/>
      <c r="BF1410" s="67"/>
      <c r="BG1410" s="68"/>
      <c r="BI1410" s="69">
        <v>0</v>
      </c>
      <c r="BJ1410" s="70">
        <v>0</v>
      </c>
      <c r="BK1410" s="71">
        <v>0</v>
      </c>
      <c r="BL1410" s="71">
        <v>0</v>
      </c>
      <c r="BM1410" s="71">
        <v>0</v>
      </c>
      <c r="BN1410" s="72">
        <v>0</v>
      </c>
      <c r="BO1410" s="151" t="e">
        <f t="shared" si="84"/>
        <v>#DIV/0!</v>
      </c>
      <c r="BP1410" s="151" t="e">
        <f t="shared" si="85"/>
        <v>#DIV/0!</v>
      </c>
      <c r="BQ1410" s="71">
        <v>0</v>
      </c>
      <c r="BR1410" s="71">
        <v>0</v>
      </c>
      <c r="BS1410" s="71">
        <v>0</v>
      </c>
      <c r="BT1410" s="72">
        <v>0</v>
      </c>
      <c r="BU1410" s="73"/>
      <c r="BV1410" s="73"/>
    </row>
    <row r="1411" ht="30" customHeight="1" spans="1:75 16331:16349">
      <c r="A1411" s="55">
        <v>0</v>
      </c>
      <c r="B1411" s="56">
        <v>0</v>
      </c>
      <c r="C1411" s="57">
        <v>0</v>
      </c>
      <c r="D1411" s="74"/>
      <c r="E1411" s="74"/>
      <c r="F1411" s="59" t="e">
        <f>VLOOKUP(E1411,[1]库存!$B$1:$C$65536,2,FALSE)</f>
        <v>#N/A</v>
      </c>
      <c r="G1411" s="59" t="e">
        <v>#N/A</v>
      </c>
      <c r="H1411" s="74"/>
      <c r="I1411" s="74"/>
      <c r="J1411" s="87"/>
      <c r="K1411" s="61"/>
      <c r="L1411" s="62">
        <v>0</v>
      </c>
      <c r="M1411" s="63">
        <v>0</v>
      </c>
      <c r="N1411" s="64">
        <v>0</v>
      </c>
      <c r="O1411" s="62">
        <v>0</v>
      </c>
      <c r="P1411" s="65">
        <f t="shared" si="83"/>
        <v>0</v>
      </c>
      <c r="Q1411" s="66"/>
      <c r="R1411" s="66"/>
      <c r="S1411" s="66"/>
      <c r="T1411" s="66"/>
      <c r="U1411" s="66"/>
      <c r="V1411" s="66"/>
      <c r="W1411" s="66"/>
      <c r="X1411" s="66"/>
      <c r="Y1411" s="66"/>
      <c r="Z1411" s="66"/>
      <c r="AA1411" s="66"/>
      <c r="AB1411" s="66"/>
      <c r="AC1411" s="66"/>
      <c r="AD1411" s="66"/>
      <c r="AE1411" s="66"/>
      <c r="AF1411" s="66"/>
      <c r="AG1411" s="66"/>
      <c r="AH1411" s="66"/>
      <c r="AI1411" s="66"/>
      <c r="AJ1411" s="66"/>
      <c r="AK1411" s="66"/>
      <c r="AL1411" s="66"/>
      <c r="AM1411" s="66"/>
      <c r="AN1411" s="66"/>
      <c r="AO1411" s="66"/>
      <c r="AP1411" s="66"/>
      <c r="AQ1411" s="66"/>
      <c r="AR1411" s="66"/>
      <c r="AS1411" s="66"/>
      <c r="AT1411" s="66"/>
      <c r="AU1411" s="66"/>
      <c r="AV1411" s="66"/>
      <c r="AW1411" s="66"/>
      <c r="AX1411" s="66"/>
      <c r="AY1411" s="66"/>
      <c r="AZ1411" s="66"/>
      <c r="BA1411" s="66"/>
      <c r="BB1411" s="66"/>
      <c r="BC1411" s="66"/>
      <c r="BD1411" s="66"/>
      <c r="BE1411" s="67"/>
      <c r="BF1411" s="67"/>
      <c r="BG1411" s="68"/>
      <c r="BI1411" s="69">
        <v>0</v>
      </c>
      <c r="BJ1411" s="70">
        <v>0</v>
      </c>
      <c r="BK1411" s="71">
        <v>0</v>
      </c>
      <c r="BL1411" s="71">
        <v>0</v>
      </c>
      <c r="BM1411" s="71">
        <v>0</v>
      </c>
      <c r="BN1411" s="72">
        <v>0</v>
      </c>
      <c r="BO1411" s="151" t="e">
        <f t="shared" si="84"/>
        <v>#DIV/0!</v>
      </c>
      <c r="BP1411" s="151" t="e">
        <f t="shared" si="85"/>
        <v>#DIV/0!</v>
      </c>
      <c r="BQ1411" s="71">
        <v>0</v>
      </c>
      <c r="BR1411" s="71">
        <v>0</v>
      </c>
      <c r="BS1411" s="71">
        <v>0</v>
      </c>
      <c r="BT1411" s="72">
        <v>0</v>
      </c>
      <c r="BU1411" s="73"/>
      <c r="BV1411" s="73"/>
    </row>
    <row r="1412" ht="30" customHeight="1" spans="1:75 16331:16349">
      <c r="A1412" s="55">
        <v>0</v>
      </c>
      <c r="B1412" s="56">
        <v>0</v>
      </c>
      <c r="C1412" s="57">
        <v>0</v>
      </c>
      <c r="E1412" s="88"/>
      <c r="F1412" s="59" t="e">
        <f>VLOOKUP(E1412,[1]库存!$B$1:$C$65536,2,FALSE)</f>
        <v>#N/A</v>
      </c>
      <c r="G1412" s="59" t="e">
        <v>#N/A</v>
      </c>
      <c r="H1412" s="89"/>
      <c r="I1412" s="88"/>
      <c r="J1412" s="90"/>
      <c r="K1412" s="61"/>
      <c r="L1412" s="62">
        <v>0</v>
      </c>
      <c r="M1412" s="63">
        <v>0</v>
      </c>
      <c r="N1412" s="64">
        <v>0</v>
      </c>
      <c r="O1412" s="62">
        <v>0</v>
      </c>
      <c r="P1412" s="65">
        <f t="shared" si="83"/>
        <v>0</v>
      </c>
      <c r="Q1412" s="66"/>
      <c r="R1412" s="66"/>
      <c r="S1412" s="66"/>
      <c r="T1412" s="66"/>
      <c r="U1412" s="66"/>
      <c r="V1412" s="66"/>
      <c r="W1412" s="66"/>
      <c r="X1412" s="66"/>
      <c r="Y1412" s="66"/>
      <c r="Z1412" s="66"/>
      <c r="AA1412" s="66"/>
      <c r="AB1412" s="66"/>
      <c r="AC1412" s="66"/>
      <c r="AD1412" s="66"/>
      <c r="AE1412" s="66"/>
      <c r="AF1412" s="66"/>
      <c r="AG1412" s="66"/>
      <c r="AH1412" s="66"/>
      <c r="AI1412" s="66"/>
      <c r="AJ1412" s="66"/>
      <c r="AK1412" s="66"/>
      <c r="AL1412" s="66"/>
      <c r="AM1412" s="66"/>
      <c r="AN1412" s="66"/>
      <c r="AO1412" s="66"/>
      <c r="AP1412" s="66"/>
      <c r="AQ1412" s="66"/>
      <c r="AR1412" s="66"/>
      <c r="AS1412" s="66"/>
      <c r="AT1412" s="66"/>
      <c r="AU1412" s="66"/>
      <c r="AV1412" s="66"/>
      <c r="AW1412" s="66"/>
      <c r="AX1412" s="66"/>
      <c r="AY1412" s="66"/>
      <c r="AZ1412" s="66"/>
      <c r="BA1412" s="66"/>
      <c r="BB1412" s="66"/>
      <c r="BC1412" s="66"/>
      <c r="BD1412" s="66"/>
      <c r="BE1412" s="67"/>
      <c r="BF1412" s="67"/>
      <c r="BG1412" s="68"/>
      <c r="BI1412" s="69">
        <v>0</v>
      </c>
      <c r="BJ1412" s="70">
        <v>0</v>
      </c>
      <c r="BK1412" s="71">
        <v>0</v>
      </c>
      <c r="BL1412" s="71">
        <v>0</v>
      </c>
      <c r="BM1412" s="71">
        <v>0</v>
      </c>
      <c r="BN1412" s="72">
        <v>0</v>
      </c>
      <c r="BO1412" s="151" t="e">
        <f t="shared" si="84"/>
        <v>#DIV/0!</v>
      </c>
      <c r="BP1412" s="151" t="e">
        <f t="shared" si="85"/>
        <v>#DIV/0!</v>
      </c>
      <c r="BQ1412" s="71">
        <v>0</v>
      </c>
      <c r="BR1412" s="71">
        <v>0</v>
      </c>
      <c r="BS1412" s="71">
        <v>0</v>
      </c>
      <c r="BT1412" s="72">
        <v>0</v>
      </c>
      <c r="BU1412" s="73"/>
      <c r="BV1412" s="73"/>
    </row>
    <row r="1413" ht="30" customHeight="1" spans="1:75 16331:16349">
      <c r="A1413" s="55">
        <v>0</v>
      </c>
      <c r="B1413" s="56" t="s">
        <v>2247</v>
      </c>
      <c r="C1413" s="57" t="s">
        <v>2248</v>
      </c>
      <c r="D1413" s="59" t="s">
        <v>2297</v>
      </c>
      <c r="E1413" s="59" t="s">
        <v>2298</v>
      </c>
      <c r="F1413" s="59" t="str">
        <f>VLOOKUP(E1413,[1]库存!$B$1:$C$65536,2,FALSE)</f>
        <v>CM1E US DAB</v>
      </c>
      <c r="G1413" s="59" t="s">
        <v>2299</v>
      </c>
      <c r="H1413" s="59" t="s">
        <v>2300</v>
      </c>
      <c r="I1413" s="59" t="s">
        <v>2301</v>
      </c>
      <c r="J1413" s="63"/>
      <c r="K1413" s="61"/>
      <c r="L1413" s="62">
        <v>2</v>
      </c>
      <c r="M1413" s="63">
        <v>900</v>
      </c>
      <c r="N1413" s="64">
        <v>9</v>
      </c>
      <c r="O1413" s="62">
        <v>2</v>
      </c>
      <c r="P1413" s="65">
        <f t="shared" si="83"/>
        <v>0</v>
      </c>
      <c r="Q1413" s="66"/>
      <c r="R1413" s="66"/>
      <c r="S1413" s="66"/>
      <c r="T1413" s="66"/>
      <c r="U1413" s="66"/>
      <c r="V1413" s="66"/>
      <c r="W1413" s="66"/>
      <c r="X1413" s="66"/>
      <c r="Y1413" s="66"/>
      <c r="Z1413" s="66"/>
      <c r="AA1413" s="66"/>
      <c r="AB1413" s="66"/>
      <c r="AC1413" s="66"/>
      <c r="AD1413" s="66"/>
      <c r="AE1413" s="66"/>
      <c r="AF1413" s="66"/>
      <c r="AG1413" s="66"/>
      <c r="AH1413" s="66"/>
      <c r="AI1413" s="66"/>
      <c r="AJ1413" s="66"/>
      <c r="AK1413" s="66"/>
      <c r="AL1413" s="66"/>
      <c r="AM1413" s="66"/>
      <c r="AN1413" s="66"/>
      <c r="AO1413" s="66"/>
      <c r="AP1413" s="66"/>
      <c r="AQ1413" s="66"/>
      <c r="AR1413" s="66"/>
      <c r="AS1413" s="66"/>
      <c r="AT1413" s="66"/>
      <c r="AU1413" s="66"/>
      <c r="AV1413" s="66"/>
      <c r="AW1413" s="66"/>
      <c r="AX1413" s="66"/>
      <c r="AY1413" s="66"/>
      <c r="AZ1413" s="66"/>
      <c r="BA1413" s="66"/>
      <c r="BB1413" s="66"/>
      <c r="BC1413" s="66"/>
      <c r="BD1413" s="66"/>
      <c r="BE1413" s="67"/>
      <c r="BF1413" s="67"/>
      <c r="BG1413" s="68"/>
      <c r="BI1413" s="69">
        <v>0</v>
      </c>
      <c r="BJ1413" s="70">
        <v>0</v>
      </c>
      <c r="BK1413" s="71">
        <v>0</v>
      </c>
      <c r="BL1413" s="71">
        <v>0</v>
      </c>
      <c r="BM1413" s="71">
        <v>0</v>
      </c>
      <c r="BN1413" s="72">
        <v>0</v>
      </c>
      <c r="BO1413" s="151" t="e">
        <f t="shared" si="84"/>
        <v>#DIV/0!</v>
      </c>
      <c r="BP1413" s="151" t="e">
        <f t="shared" si="85"/>
        <v>#DIV/0!</v>
      </c>
      <c r="BQ1413" s="71">
        <v>0</v>
      </c>
      <c r="BR1413" s="71">
        <v>0</v>
      </c>
      <c r="BS1413" s="71">
        <v>0</v>
      </c>
      <c r="BT1413" s="72">
        <v>0</v>
      </c>
      <c r="BU1413" s="73"/>
      <c r="BV1413" s="73"/>
    </row>
    <row r="1414" ht="30" customHeight="1" spans="1:75 16331:16349">
      <c r="A1414" s="55">
        <v>0</v>
      </c>
      <c r="B1414" s="56">
        <v>0</v>
      </c>
      <c r="C1414" s="57">
        <v>0</v>
      </c>
      <c r="D1414" s="74"/>
      <c r="E1414" s="74"/>
      <c r="F1414" s="59" t="e">
        <f>VLOOKUP(E1414,[1]库存!$B$1:$C$65536,2,FALSE)</f>
        <v>#N/A</v>
      </c>
      <c r="G1414" s="59" t="e">
        <v>#N/A</v>
      </c>
      <c r="H1414" s="74"/>
      <c r="I1414" s="74"/>
      <c r="J1414" s="87"/>
      <c r="K1414" s="61"/>
      <c r="L1414" s="62">
        <v>0</v>
      </c>
      <c r="M1414" s="63">
        <v>0</v>
      </c>
      <c r="N1414" s="64">
        <v>0</v>
      </c>
      <c r="O1414" s="62">
        <v>0</v>
      </c>
      <c r="P1414" s="65">
        <f t="shared" ref="P1414:P1477" si="86">SUM(AG1414:AJ1414)</f>
        <v>0</v>
      </c>
      <c r="Q1414" s="66"/>
      <c r="R1414" s="66"/>
      <c r="S1414" s="66"/>
      <c r="T1414" s="66"/>
      <c r="U1414" s="66"/>
      <c r="V1414" s="66"/>
      <c r="W1414" s="66"/>
      <c r="X1414" s="66"/>
      <c r="Y1414" s="66"/>
      <c r="Z1414" s="66"/>
      <c r="AA1414" s="66"/>
      <c r="AB1414" s="66"/>
      <c r="AC1414" s="66"/>
      <c r="AD1414" s="66"/>
      <c r="AE1414" s="66"/>
      <c r="AF1414" s="66"/>
      <c r="AG1414" s="66"/>
      <c r="AH1414" s="66"/>
      <c r="AI1414" s="66"/>
      <c r="AJ1414" s="66"/>
      <c r="AK1414" s="66"/>
      <c r="AL1414" s="66"/>
      <c r="AM1414" s="66"/>
      <c r="AN1414" s="66"/>
      <c r="AO1414" s="66"/>
      <c r="AP1414" s="66"/>
      <c r="AQ1414" s="66"/>
      <c r="AR1414" s="66"/>
      <c r="AS1414" s="66"/>
      <c r="AT1414" s="66"/>
      <c r="AU1414" s="66"/>
      <c r="AV1414" s="66"/>
      <c r="AW1414" s="66"/>
      <c r="AX1414" s="66"/>
      <c r="AY1414" s="66"/>
      <c r="AZ1414" s="66"/>
      <c r="BA1414" s="66"/>
      <c r="BB1414" s="66"/>
      <c r="BC1414" s="66"/>
      <c r="BD1414" s="66"/>
      <c r="BE1414" s="67"/>
      <c r="BF1414" s="67"/>
      <c r="BG1414" s="68"/>
      <c r="BI1414" s="69">
        <v>0</v>
      </c>
      <c r="BJ1414" s="70">
        <v>0</v>
      </c>
      <c r="BK1414" s="71">
        <v>0</v>
      </c>
      <c r="BL1414" s="71">
        <v>0</v>
      </c>
      <c r="BM1414" s="71">
        <v>0</v>
      </c>
      <c r="BN1414" s="72">
        <v>0</v>
      </c>
      <c r="BO1414" s="151" t="e">
        <f t="shared" si="84"/>
        <v>#DIV/0!</v>
      </c>
      <c r="BP1414" s="151" t="e">
        <f t="shared" si="85"/>
        <v>#DIV/0!</v>
      </c>
      <c r="BQ1414" s="71">
        <v>0</v>
      </c>
      <c r="BR1414" s="71">
        <v>0</v>
      </c>
      <c r="BS1414" s="71">
        <v>0</v>
      </c>
      <c r="BT1414" s="72">
        <v>0</v>
      </c>
      <c r="BU1414" s="73"/>
      <c r="BV1414" s="73"/>
    </row>
    <row r="1415" ht="30" customHeight="1" spans="1:75 16331:16349">
      <c r="A1415" s="55" t="s">
        <v>165</v>
      </c>
      <c r="B1415" s="56" t="s">
        <v>2247</v>
      </c>
      <c r="C1415" s="57" t="s">
        <v>2248</v>
      </c>
      <c r="D1415" s="59" t="s">
        <v>2297</v>
      </c>
      <c r="E1415" s="59" t="s">
        <v>2302</v>
      </c>
      <c r="F1415" s="59" t="str">
        <f>VLOOKUP(E1415,[1]库存!$B$1:$C$65536,2,FALSE)</f>
        <v>V446K DAB</v>
      </c>
      <c r="G1415" s="59" t="s">
        <v>2303</v>
      </c>
      <c r="H1415" s="59" t="s">
        <v>2304</v>
      </c>
      <c r="I1415" s="59" t="s">
        <v>2305</v>
      </c>
      <c r="J1415" s="63"/>
      <c r="K1415" s="61"/>
      <c r="L1415" s="62">
        <v>2</v>
      </c>
      <c r="M1415" s="63">
        <v>1000</v>
      </c>
      <c r="N1415" s="64">
        <v>8</v>
      </c>
      <c r="O1415" s="62">
        <v>2</v>
      </c>
      <c r="P1415" s="65">
        <f t="shared" si="86"/>
        <v>0</v>
      </c>
      <c r="Q1415" s="66"/>
      <c r="R1415" s="66"/>
      <c r="S1415" s="66"/>
      <c r="T1415" s="66"/>
      <c r="U1415" s="66"/>
      <c r="V1415" s="66"/>
      <c r="W1415" s="66"/>
      <c r="X1415" s="66"/>
      <c r="Y1415" s="66"/>
      <c r="Z1415" s="66"/>
      <c r="AA1415" s="66"/>
      <c r="AB1415" s="66"/>
      <c r="AC1415" s="66"/>
      <c r="AD1415" s="66"/>
      <c r="AE1415" s="66"/>
      <c r="AF1415" s="66"/>
      <c r="AG1415" s="66"/>
      <c r="AH1415" s="66"/>
      <c r="AI1415" s="66"/>
      <c r="AJ1415" s="66"/>
      <c r="AK1415" s="66"/>
      <c r="AL1415" s="66"/>
      <c r="AM1415" s="66"/>
      <c r="AN1415" s="66"/>
      <c r="AO1415" s="66"/>
      <c r="AP1415" s="66"/>
      <c r="AQ1415" s="66"/>
      <c r="AR1415" s="66"/>
      <c r="AS1415" s="66"/>
      <c r="AT1415" s="66"/>
      <c r="AU1415" s="66"/>
      <c r="AV1415" s="66"/>
      <c r="AW1415" s="66"/>
      <c r="AX1415" s="66"/>
      <c r="AY1415" s="66"/>
      <c r="AZ1415" s="66"/>
      <c r="BA1415" s="66"/>
      <c r="BB1415" s="66"/>
      <c r="BC1415" s="66"/>
      <c r="BD1415" s="66"/>
      <c r="BE1415" s="67"/>
      <c r="BF1415" s="67"/>
      <c r="BG1415" s="68"/>
      <c r="BI1415" s="69">
        <v>0</v>
      </c>
      <c r="BJ1415" s="70">
        <v>0</v>
      </c>
      <c r="BK1415" s="71">
        <v>0</v>
      </c>
      <c r="BL1415" s="71">
        <v>0</v>
      </c>
      <c r="BM1415" s="71">
        <v>0</v>
      </c>
      <c r="BN1415" s="72">
        <v>0</v>
      </c>
      <c r="BO1415" s="151" t="e">
        <f t="shared" si="84"/>
        <v>#DIV/0!</v>
      </c>
      <c r="BP1415" s="151" t="e">
        <f t="shared" si="85"/>
        <v>#DIV/0!</v>
      </c>
      <c r="BQ1415" s="71">
        <v>0</v>
      </c>
      <c r="BR1415" s="71">
        <v>0</v>
      </c>
      <c r="BS1415" s="71">
        <v>0</v>
      </c>
      <c r="BT1415" s="72">
        <v>0</v>
      </c>
      <c r="BU1415" s="73"/>
      <c r="BV1415" s="73"/>
    </row>
    <row r="1416" ht="30" customHeight="1" spans="1:75 16331:16349">
      <c r="A1416" s="55">
        <v>0</v>
      </c>
      <c r="B1416" s="56">
        <v>0</v>
      </c>
      <c r="C1416" s="57">
        <v>0</v>
      </c>
      <c r="D1416" s="74"/>
      <c r="E1416" s="74"/>
      <c r="F1416" s="59" t="e">
        <f>VLOOKUP(E1416,[1]库存!$B$1:$C$65536,2,FALSE)</f>
        <v>#N/A</v>
      </c>
      <c r="G1416" s="59" t="e">
        <v>#N/A</v>
      </c>
      <c r="H1416" s="74"/>
      <c r="I1416" s="74"/>
      <c r="J1416" s="87"/>
      <c r="K1416" s="61"/>
      <c r="L1416" s="62">
        <v>0</v>
      </c>
      <c r="M1416" s="63">
        <v>0</v>
      </c>
      <c r="N1416" s="64">
        <v>0</v>
      </c>
      <c r="O1416" s="62">
        <v>0</v>
      </c>
      <c r="P1416" s="65">
        <f t="shared" si="86"/>
        <v>0</v>
      </c>
      <c r="Q1416" s="66"/>
      <c r="R1416" s="66"/>
      <c r="S1416" s="66"/>
      <c r="T1416" s="66"/>
      <c r="U1416" s="66"/>
      <c r="V1416" s="66"/>
      <c r="W1416" s="66"/>
      <c r="X1416" s="66"/>
      <c r="Y1416" s="66"/>
      <c r="Z1416" s="66"/>
      <c r="AA1416" s="66"/>
      <c r="AB1416" s="66"/>
      <c r="AC1416" s="66"/>
      <c r="AD1416" s="66"/>
      <c r="AE1416" s="66"/>
      <c r="AF1416" s="66"/>
      <c r="AG1416" s="66"/>
      <c r="AH1416" s="66"/>
      <c r="AI1416" s="66"/>
      <c r="AJ1416" s="66"/>
      <c r="AK1416" s="66"/>
      <c r="AL1416" s="66"/>
      <c r="AM1416" s="66"/>
      <c r="AN1416" s="66"/>
      <c r="AO1416" s="66"/>
      <c r="AP1416" s="66"/>
      <c r="AQ1416" s="66"/>
      <c r="AR1416" s="66"/>
      <c r="AS1416" s="66"/>
      <c r="AT1416" s="66"/>
      <c r="AU1416" s="66"/>
      <c r="AV1416" s="66"/>
      <c r="AW1416" s="66"/>
      <c r="AX1416" s="66"/>
      <c r="AY1416" s="66"/>
      <c r="AZ1416" s="66"/>
      <c r="BA1416" s="66"/>
      <c r="BB1416" s="66"/>
      <c r="BC1416" s="66"/>
      <c r="BD1416" s="66"/>
      <c r="BE1416" s="67"/>
      <c r="BF1416" s="67"/>
      <c r="BG1416" s="68"/>
      <c r="BI1416" s="69">
        <v>0</v>
      </c>
      <c r="BJ1416" s="70">
        <v>0</v>
      </c>
      <c r="BK1416" s="71">
        <v>0</v>
      </c>
      <c r="BL1416" s="71">
        <v>0</v>
      </c>
      <c r="BM1416" s="71">
        <v>0</v>
      </c>
      <c r="BN1416" s="72">
        <v>0</v>
      </c>
      <c r="BO1416" s="151" t="e">
        <f t="shared" si="84"/>
        <v>#DIV/0!</v>
      </c>
      <c r="BP1416" s="151" t="e">
        <f t="shared" si="85"/>
        <v>#DIV/0!</v>
      </c>
      <c r="BQ1416" s="71">
        <v>0</v>
      </c>
      <c r="BR1416" s="71">
        <v>0</v>
      </c>
      <c r="BS1416" s="71">
        <v>0</v>
      </c>
      <c r="BT1416" s="72">
        <v>0</v>
      </c>
      <c r="BU1416" s="73"/>
      <c r="BV1416" s="73"/>
    </row>
    <row r="1417" ht="30" customHeight="1" spans="1:75 16331:16349">
      <c r="A1417" s="55" t="s">
        <v>165</v>
      </c>
      <c r="B1417" s="56" t="s">
        <v>2247</v>
      </c>
      <c r="C1417" s="57" t="s">
        <v>2248</v>
      </c>
      <c r="D1417" s="59" t="s">
        <v>2297</v>
      </c>
      <c r="E1417" s="59" t="s">
        <v>2306</v>
      </c>
      <c r="F1417" s="59" t="str">
        <f>VLOOKUP(E1417,[1]库存!$B$1:$C$65536,2,FALSE)</f>
        <v>GEELY E335 DAB</v>
      </c>
      <c r="G1417" s="59" t="s">
        <v>2307</v>
      </c>
      <c r="H1417" s="59" t="s">
        <v>2308</v>
      </c>
      <c r="I1417" s="59" t="s">
        <v>147</v>
      </c>
      <c r="J1417" s="63"/>
      <c r="K1417" s="61"/>
      <c r="L1417" s="62">
        <v>0</v>
      </c>
      <c r="M1417" s="63">
        <v>900</v>
      </c>
      <c r="N1417" s="64">
        <v>10.5</v>
      </c>
      <c r="O1417" s="62">
        <v>0</v>
      </c>
      <c r="P1417" s="65">
        <f t="shared" si="86"/>
        <v>0</v>
      </c>
      <c r="Q1417" s="66"/>
      <c r="R1417" s="66"/>
      <c r="S1417" s="66"/>
      <c r="T1417" s="66"/>
      <c r="U1417" s="66"/>
      <c r="V1417" s="66"/>
      <c r="W1417" s="66"/>
      <c r="X1417" s="66"/>
      <c r="Y1417" s="66"/>
      <c r="Z1417" s="66"/>
      <c r="AA1417" s="66"/>
      <c r="AB1417" s="66"/>
      <c r="AC1417" s="66"/>
      <c r="AD1417" s="66"/>
      <c r="AE1417" s="66"/>
      <c r="AF1417" s="66"/>
      <c r="AG1417" s="66"/>
      <c r="AH1417" s="66"/>
      <c r="AI1417" s="66"/>
      <c r="AJ1417" s="66"/>
      <c r="AK1417" s="66"/>
      <c r="AL1417" s="66"/>
      <c r="AM1417" s="66"/>
      <c r="AN1417" s="66"/>
      <c r="AO1417" s="66"/>
      <c r="AP1417" s="66"/>
      <c r="AQ1417" s="66"/>
      <c r="AR1417" s="66"/>
      <c r="AS1417" s="66"/>
      <c r="AT1417" s="66"/>
      <c r="AU1417" s="66"/>
      <c r="AV1417" s="66"/>
      <c r="AW1417" s="66"/>
      <c r="AX1417" s="66"/>
      <c r="AY1417" s="66"/>
      <c r="AZ1417" s="66"/>
      <c r="BA1417" s="66"/>
      <c r="BB1417" s="66"/>
      <c r="BC1417" s="66"/>
      <c r="BD1417" s="66"/>
      <c r="BE1417" s="67"/>
      <c r="BF1417" s="67"/>
      <c r="BG1417" s="68"/>
      <c r="BI1417" s="69">
        <v>0</v>
      </c>
      <c r="BJ1417" s="70">
        <v>0</v>
      </c>
      <c r="BK1417" s="71">
        <v>0</v>
      </c>
      <c r="BL1417" s="71">
        <v>0</v>
      </c>
      <c r="BM1417" s="71">
        <v>0</v>
      </c>
      <c r="BN1417" s="72">
        <v>0</v>
      </c>
      <c r="BO1417" s="151" t="e">
        <f t="shared" si="84"/>
        <v>#DIV/0!</v>
      </c>
      <c r="BP1417" s="151" t="e">
        <f t="shared" si="85"/>
        <v>#DIV/0!</v>
      </c>
      <c r="BQ1417" s="71">
        <v>0</v>
      </c>
      <c r="BR1417" s="71">
        <v>0</v>
      </c>
      <c r="BS1417" s="71">
        <v>0</v>
      </c>
      <c r="BT1417" s="72">
        <v>0</v>
      </c>
      <c r="BU1417" s="73"/>
      <c r="BV1417" s="73"/>
    </row>
    <row r="1418" ht="30" customHeight="1" spans="1:75 16331:16349">
      <c r="A1418" s="55">
        <v>0</v>
      </c>
      <c r="B1418" s="56">
        <v>0</v>
      </c>
      <c r="C1418" s="57">
        <v>0</v>
      </c>
      <c r="D1418" s="74"/>
      <c r="E1418" s="74"/>
      <c r="F1418" s="59" t="e">
        <f>VLOOKUP(E1418,[1]库存!$B$1:$C$65536,2,FALSE)</f>
        <v>#N/A</v>
      </c>
      <c r="G1418" s="59" t="e">
        <v>#N/A</v>
      </c>
      <c r="H1418" s="74"/>
      <c r="I1418" s="74"/>
      <c r="J1418" s="87"/>
      <c r="K1418" s="61"/>
      <c r="L1418" s="62">
        <v>0</v>
      </c>
      <c r="M1418" s="63">
        <v>0</v>
      </c>
      <c r="N1418" s="64">
        <v>0</v>
      </c>
      <c r="O1418" s="62">
        <v>0</v>
      </c>
      <c r="P1418" s="65">
        <f t="shared" si="86"/>
        <v>0</v>
      </c>
      <c r="Q1418" s="66"/>
      <c r="R1418" s="66"/>
      <c r="S1418" s="66"/>
      <c r="T1418" s="66"/>
      <c r="U1418" s="66"/>
      <c r="V1418" s="66"/>
      <c r="W1418" s="66"/>
      <c r="X1418" s="66"/>
      <c r="Y1418" s="66"/>
      <c r="Z1418" s="66"/>
      <c r="AA1418" s="66"/>
      <c r="AB1418" s="66"/>
      <c r="AC1418" s="66"/>
      <c r="AD1418" s="66"/>
      <c r="AE1418" s="66"/>
      <c r="AF1418" s="66"/>
      <c r="AG1418" s="66"/>
      <c r="AH1418" s="66"/>
      <c r="AI1418" s="66"/>
      <c r="AJ1418" s="66"/>
      <c r="AK1418" s="66"/>
      <c r="AL1418" s="66"/>
      <c r="AM1418" s="66"/>
      <c r="AN1418" s="66"/>
      <c r="AO1418" s="66"/>
      <c r="AP1418" s="66"/>
      <c r="AQ1418" s="66"/>
      <c r="AR1418" s="66"/>
      <c r="AS1418" s="66"/>
      <c r="AT1418" s="66"/>
      <c r="AU1418" s="66"/>
      <c r="AV1418" s="66"/>
      <c r="AW1418" s="66"/>
      <c r="AX1418" s="66"/>
      <c r="AY1418" s="66"/>
      <c r="AZ1418" s="66"/>
      <c r="BA1418" s="66"/>
      <c r="BB1418" s="66"/>
      <c r="BC1418" s="66"/>
      <c r="BD1418" s="66"/>
      <c r="BE1418" s="67"/>
      <c r="BF1418" s="67"/>
      <c r="BG1418" s="68"/>
      <c r="BI1418" s="69">
        <v>0</v>
      </c>
      <c r="BJ1418" s="70">
        <v>0</v>
      </c>
      <c r="BK1418" s="71">
        <v>0</v>
      </c>
      <c r="BL1418" s="71">
        <v>0</v>
      </c>
      <c r="BM1418" s="71">
        <v>0</v>
      </c>
      <c r="BN1418" s="72">
        <v>0</v>
      </c>
      <c r="BO1418" s="151" t="e">
        <f t="shared" si="84"/>
        <v>#DIV/0!</v>
      </c>
      <c r="BP1418" s="151" t="e">
        <f t="shared" si="85"/>
        <v>#DIV/0!</v>
      </c>
      <c r="BQ1418" s="71">
        <v>0</v>
      </c>
      <c r="BR1418" s="71">
        <v>0</v>
      </c>
      <c r="BS1418" s="71">
        <v>0</v>
      </c>
      <c r="BT1418" s="72">
        <v>0</v>
      </c>
      <c r="BU1418" s="73"/>
      <c r="BV1418" s="73"/>
    </row>
    <row r="1419" s="1" customFormat="1" ht="30" customHeight="1" spans="1:75 16331:16349">
      <c r="A1419" s="110" t="s">
        <v>165</v>
      </c>
      <c r="B1419" s="111" t="s">
        <v>2247</v>
      </c>
      <c r="C1419" s="112" t="s">
        <v>2248</v>
      </c>
      <c r="D1419" s="113" t="s">
        <v>2297</v>
      </c>
      <c r="E1419" s="113" t="s">
        <v>2309</v>
      </c>
      <c r="F1419" s="113" t="str">
        <f>VLOOKUP(E1419,[1]库存!$B$1:$C$65536,2,FALSE)</f>
        <v>CM1E DAB B状态</v>
      </c>
      <c r="G1419" s="113" t="s">
        <v>2310</v>
      </c>
      <c r="H1419" s="113" t="s">
        <v>2311</v>
      </c>
      <c r="I1419" s="113" t="s">
        <v>2301</v>
      </c>
      <c r="J1419" s="117"/>
      <c r="K1419" s="115"/>
      <c r="L1419" s="116">
        <v>2</v>
      </c>
      <c r="M1419" s="117">
        <v>900</v>
      </c>
      <c r="N1419" s="114">
        <v>9</v>
      </c>
      <c r="O1419" s="116">
        <v>2</v>
      </c>
      <c r="P1419" s="65">
        <f t="shared" si="86"/>
        <v>0</v>
      </c>
      <c r="Q1419" s="67"/>
      <c r="R1419" s="67"/>
      <c r="S1419" s="67"/>
      <c r="T1419" s="67"/>
      <c r="U1419" s="67"/>
      <c r="V1419" s="67"/>
      <c r="W1419" s="67"/>
      <c r="X1419" s="67"/>
      <c r="Y1419" s="67"/>
      <c r="Z1419" s="67"/>
      <c r="AA1419" s="67"/>
      <c r="AB1419" s="67"/>
      <c r="AC1419" s="67"/>
      <c r="AD1419" s="67"/>
      <c r="AE1419" s="67"/>
      <c r="AF1419" s="67"/>
      <c r="AG1419" s="67"/>
      <c r="AH1419" s="67"/>
      <c r="AI1419" s="67"/>
      <c r="AJ1419" s="67"/>
      <c r="AK1419" s="67"/>
      <c r="AL1419" s="67"/>
      <c r="AM1419" s="67"/>
      <c r="AN1419" s="67"/>
      <c r="AO1419" s="67"/>
      <c r="AP1419" s="67"/>
      <c r="AQ1419" s="67"/>
      <c r="AR1419" s="67"/>
      <c r="AS1419" s="67"/>
      <c r="AT1419" s="67"/>
      <c r="AU1419" s="67"/>
      <c r="AV1419" s="67"/>
      <c r="AW1419" s="67"/>
      <c r="AX1419" s="67"/>
      <c r="AY1419" s="67"/>
      <c r="AZ1419" s="67"/>
      <c r="BA1419" s="67"/>
      <c r="BB1419" s="67"/>
      <c r="BC1419" s="67"/>
      <c r="BD1419" s="67"/>
      <c r="BE1419" s="67"/>
      <c r="BF1419" s="67"/>
      <c r="BG1419" s="118"/>
      <c r="BH1419" s="119"/>
      <c r="BI1419" s="120">
        <v>0</v>
      </c>
      <c r="BJ1419" s="121">
        <v>0</v>
      </c>
      <c r="BK1419" s="122">
        <v>0</v>
      </c>
      <c r="BL1419" s="122">
        <v>0</v>
      </c>
      <c r="BM1419" s="122">
        <v>0</v>
      </c>
      <c r="BN1419" s="123">
        <v>0</v>
      </c>
      <c r="BO1419" s="204" t="e">
        <f t="shared" si="84"/>
        <v>#DIV/0!</v>
      </c>
      <c r="BP1419" s="204" t="e">
        <f t="shared" si="85"/>
        <v>#DIV/0!</v>
      </c>
      <c r="BQ1419" s="122">
        <v>0</v>
      </c>
      <c r="BR1419" s="122">
        <v>0</v>
      </c>
      <c r="BS1419" s="122">
        <v>0</v>
      </c>
      <c r="BT1419" s="123">
        <v>0</v>
      </c>
      <c r="BU1419" s="124"/>
      <c r="BV1419" s="124"/>
      <c r="BW1419" s="125"/>
      <c r="XDC1419" s="126"/>
      <c r="XDD1419" s="126"/>
      <c r="XDE1419" s="126"/>
      <c r="XDF1419" s="126"/>
      <c r="XDG1419" s="126"/>
      <c r="XDH1419" s="126"/>
      <c r="XDI1419" s="126"/>
      <c r="XDJ1419" s="126"/>
      <c r="XDK1419" s="126"/>
      <c r="XDL1419" s="126"/>
      <c r="XDM1419" s="126"/>
      <c r="XDN1419" s="126"/>
      <c r="XDO1419" s="126"/>
      <c r="XDP1419" s="126"/>
      <c r="XDQ1419" s="126"/>
      <c r="XDR1419" s="126"/>
      <c r="XDS1419" s="126"/>
      <c r="XDT1419" s="126"/>
      <c r="XDU1419" s="126"/>
    </row>
    <row r="1420" s="1" customFormat="1" ht="30" customHeight="1" spans="1:75 16331:16349">
      <c r="A1420" s="110">
        <v>0</v>
      </c>
      <c r="B1420" s="111">
        <v>0</v>
      </c>
      <c r="C1420" s="112">
        <v>0</v>
      </c>
      <c r="D1420" s="127"/>
      <c r="E1420" s="127"/>
      <c r="F1420" s="113" t="e">
        <f>VLOOKUP(E1420,[1]库存!$B$1:$C$65536,2,FALSE)</f>
        <v>#N/A</v>
      </c>
      <c r="G1420" s="113" t="e">
        <v>#N/A</v>
      </c>
      <c r="H1420" s="127"/>
      <c r="I1420" s="127"/>
      <c r="J1420" s="162"/>
      <c r="K1420" s="115"/>
      <c r="L1420" s="116">
        <v>0</v>
      </c>
      <c r="M1420" s="117">
        <v>0</v>
      </c>
      <c r="N1420" s="114">
        <v>0</v>
      </c>
      <c r="O1420" s="116">
        <v>0</v>
      </c>
      <c r="P1420" s="65">
        <f t="shared" si="86"/>
        <v>0</v>
      </c>
      <c r="Q1420" s="67"/>
      <c r="R1420" s="67"/>
      <c r="S1420" s="67"/>
      <c r="T1420" s="67"/>
      <c r="U1420" s="67"/>
      <c r="V1420" s="67"/>
      <c r="W1420" s="67"/>
      <c r="X1420" s="67"/>
      <c r="Y1420" s="67"/>
      <c r="Z1420" s="67"/>
      <c r="AA1420" s="67"/>
      <c r="AB1420" s="67"/>
      <c r="AC1420" s="67"/>
      <c r="AD1420" s="67"/>
      <c r="AE1420" s="67"/>
      <c r="AF1420" s="67"/>
      <c r="AG1420" s="67"/>
      <c r="AH1420" s="67"/>
      <c r="AI1420" s="67"/>
      <c r="AJ1420" s="67"/>
      <c r="AK1420" s="67"/>
      <c r="AL1420" s="67"/>
      <c r="AM1420" s="67"/>
      <c r="AN1420" s="67"/>
      <c r="AO1420" s="67"/>
      <c r="AP1420" s="67"/>
      <c r="AQ1420" s="67"/>
      <c r="AR1420" s="67"/>
      <c r="AS1420" s="67"/>
      <c r="AT1420" s="67"/>
      <c r="AU1420" s="67"/>
      <c r="AV1420" s="67"/>
      <c r="AW1420" s="67"/>
      <c r="AX1420" s="67"/>
      <c r="AY1420" s="67"/>
      <c r="AZ1420" s="67"/>
      <c r="BA1420" s="67"/>
      <c r="BB1420" s="67"/>
      <c r="BC1420" s="67"/>
      <c r="BD1420" s="67"/>
      <c r="BE1420" s="67"/>
      <c r="BF1420" s="67"/>
      <c r="BG1420" s="118"/>
      <c r="BH1420" s="119"/>
      <c r="BI1420" s="120">
        <v>0</v>
      </c>
      <c r="BJ1420" s="121">
        <v>0</v>
      </c>
      <c r="BK1420" s="122">
        <v>0</v>
      </c>
      <c r="BL1420" s="122">
        <v>0</v>
      </c>
      <c r="BM1420" s="122">
        <v>0</v>
      </c>
      <c r="BN1420" s="123">
        <v>0</v>
      </c>
      <c r="BO1420" s="204" t="e">
        <f t="shared" si="84"/>
        <v>#DIV/0!</v>
      </c>
      <c r="BP1420" s="204" t="e">
        <f t="shared" si="85"/>
        <v>#DIV/0!</v>
      </c>
      <c r="BQ1420" s="122">
        <v>0</v>
      </c>
      <c r="BR1420" s="122">
        <v>0</v>
      </c>
      <c r="BS1420" s="122">
        <v>0</v>
      </c>
      <c r="BT1420" s="123">
        <v>0</v>
      </c>
      <c r="BU1420" s="124"/>
      <c r="BV1420" s="124"/>
      <c r="BW1420" s="125"/>
      <c r="XDC1420" s="126"/>
      <c r="XDD1420" s="126"/>
      <c r="XDE1420" s="126"/>
      <c r="XDF1420" s="126"/>
      <c r="XDG1420" s="126"/>
      <c r="XDH1420" s="126"/>
      <c r="XDI1420" s="126"/>
      <c r="XDJ1420" s="126"/>
      <c r="XDK1420" s="126"/>
      <c r="XDL1420" s="126"/>
      <c r="XDM1420" s="126"/>
      <c r="XDN1420" s="126"/>
      <c r="XDO1420" s="126"/>
      <c r="XDP1420" s="126"/>
      <c r="XDQ1420" s="126"/>
      <c r="XDR1420" s="126"/>
      <c r="XDS1420" s="126"/>
      <c r="XDT1420" s="126"/>
      <c r="XDU1420" s="126"/>
    </row>
    <row r="1421" ht="30" customHeight="1" spans="1:75 16331:16349">
      <c r="A1421" s="55" t="s">
        <v>165</v>
      </c>
      <c r="B1421" s="56" t="s">
        <v>2247</v>
      </c>
      <c r="C1421" s="57" t="s">
        <v>2248</v>
      </c>
      <c r="D1421" s="59" t="s">
        <v>2297</v>
      </c>
      <c r="E1421" s="59" t="s">
        <v>2312</v>
      </c>
      <c r="F1421" s="59" t="str">
        <f>VLOOKUP(E1421,[1]库存!$B$1:$C$65536,2,FALSE)</f>
        <v>GEELY XE08 DAB</v>
      </c>
      <c r="G1421" s="59" t="s">
        <v>2313</v>
      </c>
      <c r="H1421" s="59" t="s">
        <v>2314</v>
      </c>
      <c r="I1421" s="59" t="s">
        <v>2315</v>
      </c>
      <c r="J1421" s="97" t="s">
        <v>65</v>
      </c>
      <c r="K1421" s="61"/>
      <c r="L1421" s="62">
        <v>0</v>
      </c>
      <c r="M1421" s="63">
        <v>700</v>
      </c>
      <c r="N1421" s="64">
        <v>11</v>
      </c>
      <c r="O1421" s="62">
        <v>0</v>
      </c>
      <c r="P1421" s="65">
        <f t="shared" si="86"/>
        <v>0</v>
      </c>
      <c r="Q1421" s="66"/>
      <c r="R1421" s="66"/>
      <c r="S1421" s="66"/>
      <c r="T1421" s="66"/>
      <c r="U1421" s="66"/>
      <c r="V1421" s="66"/>
      <c r="W1421" s="66"/>
      <c r="X1421" s="66"/>
      <c r="Y1421" s="66"/>
      <c r="Z1421" s="66"/>
      <c r="AA1421" s="66"/>
      <c r="AB1421" s="66"/>
      <c r="AC1421" s="66"/>
      <c r="AD1421" s="66"/>
      <c r="AE1421" s="66"/>
      <c r="AF1421" s="66"/>
      <c r="AG1421" s="66"/>
      <c r="AH1421" s="66"/>
      <c r="AI1421" s="66"/>
      <c r="AJ1421" s="66"/>
      <c r="AK1421" s="66"/>
      <c r="AL1421" s="66"/>
      <c r="AM1421" s="66"/>
      <c r="AN1421" s="66"/>
      <c r="AO1421" s="66"/>
      <c r="AP1421" s="66"/>
      <c r="AQ1421" s="66"/>
      <c r="AR1421" s="66"/>
      <c r="AS1421" s="66"/>
      <c r="AT1421" s="66"/>
      <c r="AU1421" s="66"/>
      <c r="AV1421" s="66"/>
      <c r="AW1421" s="66"/>
      <c r="AX1421" s="66"/>
      <c r="AY1421" s="66"/>
      <c r="AZ1421" s="66"/>
      <c r="BA1421" s="66"/>
      <c r="BB1421" s="66"/>
      <c r="BC1421" s="66"/>
      <c r="BD1421" s="66"/>
      <c r="BE1421" s="67"/>
      <c r="BF1421" s="67"/>
      <c r="BG1421" s="68"/>
      <c r="BI1421" s="69">
        <v>0</v>
      </c>
      <c r="BJ1421" s="70">
        <v>0</v>
      </c>
      <c r="BK1421" s="71">
        <v>0</v>
      </c>
      <c r="BL1421" s="71">
        <v>0</v>
      </c>
      <c r="BM1421" s="71">
        <v>0</v>
      </c>
      <c r="BN1421" s="72">
        <v>0</v>
      </c>
      <c r="BO1421" s="151" t="e">
        <f t="shared" si="84"/>
        <v>#DIV/0!</v>
      </c>
      <c r="BP1421" s="151" t="e">
        <f t="shared" si="85"/>
        <v>#DIV/0!</v>
      </c>
      <c r="BQ1421" s="71">
        <v>0</v>
      </c>
      <c r="BR1421" s="71">
        <v>0</v>
      </c>
      <c r="BS1421" s="71">
        <v>0</v>
      </c>
      <c r="BT1421" s="72">
        <v>0</v>
      </c>
      <c r="BU1421" s="73"/>
      <c r="BV1421" s="73"/>
    </row>
    <row r="1422" ht="30" customHeight="1" spans="1:75 16331:16349">
      <c r="A1422" s="55">
        <v>0</v>
      </c>
      <c r="B1422" s="56">
        <v>0</v>
      </c>
      <c r="C1422" s="57">
        <v>0</v>
      </c>
      <c r="D1422" s="74"/>
      <c r="E1422" s="74"/>
      <c r="F1422" s="59" t="e">
        <f>VLOOKUP(E1422,[1]库存!$B$1:$C$65536,2,FALSE)</f>
        <v>#N/A</v>
      </c>
      <c r="G1422" s="59" t="e">
        <v>#N/A</v>
      </c>
      <c r="H1422" s="74"/>
      <c r="I1422" s="74"/>
      <c r="J1422" s="98"/>
      <c r="K1422" s="61"/>
      <c r="L1422" s="62">
        <v>0</v>
      </c>
      <c r="M1422" s="63">
        <v>0</v>
      </c>
      <c r="N1422" s="64">
        <v>0</v>
      </c>
      <c r="O1422" s="62">
        <v>0</v>
      </c>
      <c r="P1422" s="65">
        <f t="shared" si="86"/>
        <v>0</v>
      </c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66"/>
      <c r="AI1422" s="66"/>
      <c r="AJ1422" s="66"/>
      <c r="AK1422" s="66"/>
      <c r="AL1422" s="66"/>
      <c r="AM1422" s="66"/>
      <c r="AN1422" s="66"/>
      <c r="AO1422" s="66"/>
      <c r="AP1422" s="66"/>
      <c r="AQ1422" s="66"/>
      <c r="AR1422" s="66"/>
      <c r="AS1422" s="66"/>
      <c r="AT1422" s="66"/>
      <c r="AU1422" s="66"/>
      <c r="AV1422" s="66"/>
      <c r="AW1422" s="66"/>
      <c r="AX1422" s="66"/>
      <c r="AY1422" s="66"/>
      <c r="AZ1422" s="66"/>
      <c r="BA1422" s="66"/>
      <c r="BB1422" s="66"/>
      <c r="BC1422" s="66"/>
      <c r="BD1422" s="66"/>
      <c r="BE1422" s="67"/>
      <c r="BF1422" s="67"/>
      <c r="BG1422" s="68"/>
      <c r="BI1422" s="69">
        <v>0</v>
      </c>
      <c r="BJ1422" s="70">
        <v>0</v>
      </c>
      <c r="BK1422" s="71">
        <v>0</v>
      </c>
      <c r="BL1422" s="71">
        <v>0</v>
      </c>
      <c r="BM1422" s="71">
        <v>0</v>
      </c>
      <c r="BN1422" s="72">
        <v>0</v>
      </c>
      <c r="BO1422" s="151" t="e">
        <f t="shared" si="84"/>
        <v>#DIV/0!</v>
      </c>
      <c r="BP1422" s="151" t="e">
        <f t="shared" si="85"/>
        <v>#DIV/0!</v>
      </c>
      <c r="BQ1422" s="71">
        <v>0</v>
      </c>
      <c r="BR1422" s="71">
        <v>0</v>
      </c>
      <c r="BS1422" s="71">
        <v>0</v>
      </c>
      <c r="BT1422" s="72">
        <v>0</v>
      </c>
      <c r="BU1422" s="73"/>
      <c r="BV1422" s="73"/>
    </row>
    <row r="1423" ht="30" customHeight="1" spans="1:75 16331:16349">
      <c r="A1423" s="55">
        <v>0</v>
      </c>
      <c r="B1423" s="56" t="s">
        <v>2247</v>
      </c>
      <c r="C1423" s="57" t="s">
        <v>2248</v>
      </c>
      <c r="D1423" s="59" t="s">
        <v>2297</v>
      </c>
      <c r="E1423" s="59"/>
      <c r="F1423" s="59" t="e">
        <f>VLOOKUP(E1423,[1]库存!$B$1:$C$65536,2,FALSE)</f>
        <v>#N/A</v>
      </c>
      <c r="G1423" s="59" t="e">
        <v>#N/A</v>
      </c>
      <c r="H1423" s="59" t="s">
        <v>2316</v>
      </c>
      <c r="I1423" s="59" t="s">
        <v>2317</v>
      </c>
      <c r="J1423" s="63"/>
      <c r="K1423" s="61"/>
      <c r="L1423" s="62">
        <v>2</v>
      </c>
      <c r="M1423" s="63">
        <v>1150</v>
      </c>
      <c r="N1423" s="64">
        <v>10</v>
      </c>
      <c r="O1423" s="62">
        <v>2</v>
      </c>
      <c r="P1423" s="65">
        <f t="shared" si="86"/>
        <v>0</v>
      </c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66"/>
      <c r="AI1423" s="66"/>
      <c r="AJ1423" s="66"/>
      <c r="AK1423" s="66"/>
      <c r="AL1423" s="66"/>
      <c r="AM1423" s="66"/>
      <c r="AN1423" s="66"/>
      <c r="AO1423" s="66"/>
      <c r="AP1423" s="66"/>
      <c r="AQ1423" s="66"/>
      <c r="AR1423" s="66"/>
      <c r="AS1423" s="66"/>
      <c r="AT1423" s="66"/>
      <c r="AU1423" s="66"/>
      <c r="AV1423" s="66"/>
      <c r="AW1423" s="66"/>
      <c r="AX1423" s="66"/>
      <c r="AY1423" s="66"/>
      <c r="AZ1423" s="66"/>
      <c r="BA1423" s="66"/>
      <c r="BB1423" s="66"/>
      <c r="BC1423" s="66"/>
      <c r="BD1423" s="66"/>
      <c r="BE1423" s="67"/>
      <c r="BF1423" s="67"/>
      <c r="BG1423" s="68"/>
      <c r="BI1423" s="69">
        <v>0</v>
      </c>
      <c r="BJ1423" s="70">
        <v>0</v>
      </c>
      <c r="BK1423" s="71">
        <v>0</v>
      </c>
      <c r="BL1423" s="71">
        <v>0</v>
      </c>
      <c r="BM1423" s="71">
        <v>0</v>
      </c>
      <c r="BN1423" s="72">
        <v>0</v>
      </c>
      <c r="BO1423" s="151" t="e">
        <f t="shared" si="84"/>
        <v>#DIV/0!</v>
      </c>
      <c r="BP1423" s="151" t="e">
        <f t="shared" si="85"/>
        <v>#DIV/0!</v>
      </c>
      <c r="BQ1423" s="71">
        <v>0</v>
      </c>
      <c r="BR1423" s="71">
        <v>0</v>
      </c>
      <c r="BS1423" s="71">
        <v>0</v>
      </c>
      <c r="BT1423" s="72">
        <v>0</v>
      </c>
      <c r="BU1423" s="73"/>
      <c r="BV1423" s="73"/>
    </row>
    <row r="1424" ht="30" customHeight="1" spans="1:75 16331:16349">
      <c r="A1424" s="55">
        <v>0</v>
      </c>
      <c r="B1424" s="56">
        <v>0</v>
      </c>
      <c r="C1424" s="57">
        <v>0</v>
      </c>
      <c r="D1424" s="74"/>
      <c r="E1424" s="74"/>
      <c r="F1424" s="59" t="e">
        <f>VLOOKUP(E1424,[1]库存!$B$1:$C$65536,2,FALSE)</f>
        <v>#N/A</v>
      </c>
      <c r="G1424" s="59" t="e">
        <v>#N/A</v>
      </c>
      <c r="H1424" s="74"/>
      <c r="I1424" s="74"/>
      <c r="J1424" s="87"/>
      <c r="K1424" s="61"/>
      <c r="L1424" s="62">
        <v>0</v>
      </c>
      <c r="M1424" s="63">
        <v>0</v>
      </c>
      <c r="N1424" s="64">
        <v>0</v>
      </c>
      <c r="O1424" s="62">
        <v>0</v>
      </c>
      <c r="P1424" s="65">
        <f t="shared" si="86"/>
        <v>0</v>
      </c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66"/>
      <c r="AI1424" s="66"/>
      <c r="AJ1424" s="66"/>
      <c r="AK1424" s="66"/>
      <c r="AL1424" s="66"/>
      <c r="AM1424" s="66"/>
      <c r="AN1424" s="66"/>
      <c r="AO1424" s="66"/>
      <c r="AP1424" s="66"/>
      <c r="AQ1424" s="66"/>
      <c r="AR1424" s="66"/>
      <c r="AS1424" s="66"/>
      <c r="AT1424" s="66"/>
      <c r="AU1424" s="66"/>
      <c r="AV1424" s="66"/>
      <c r="AW1424" s="66"/>
      <c r="AX1424" s="66"/>
      <c r="AY1424" s="66"/>
      <c r="AZ1424" s="66"/>
      <c r="BA1424" s="66"/>
      <c r="BB1424" s="66"/>
      <c r="BC1424" s="66"/>
      <c r="BD1424" s="66"/>
      <c r="BE1424" s="67"/>
      <c r="BF1424" s="67"/>
      <c r="BG1424" s="68"/>
      <c r="BI1424" s="69">
        <v>0</v>
      </c>
      <c r="BJ1424" s="70">
        <v>0</v>
      </c>
      <c r="BK1424" s="71">
        <v>0</v>
      </c>
      <c r="BL1424" s="71">
        <v>0</v>
      </c>
      <c r="BM1424" s="71">
        <v>0</v>
      </c>
      <c r="BN1424" s="72">
        <v>0</v>
      </c>
      <c r="BO1424" s="151" t="e">
        <f t="shared" si="84"/>
        <v>#DIV/0!</v>
      </c>
      <c r="BP1424" s="151" t="e">
        <f t="shared" si="85"/>
        <v>#DIV/0!</v>
      </c>
      <c r="BQ1424" s="71">
        <v>0</v>
      </c>
      <c r="BR1424" s="71">
        <v>0</v>
      </c>
      <c r="BS1424" s="71">
        <v>0</v>
      </c>
      <c r="BT1424" s="72">
        <v>0</v>
      </c>
      <c r="BU1424" s="73"/>
      <c r="BV1424" s="73"/>
    </row>
    <row r="1425" ht="30" customHeight="1" spans="1:74">
      <c r="A1425" s="55">
        <v>0</v>
      </c>
      <c r="B1425" s="56">
        <v>0</v>
      </c>
      <c r="C1425" s="57">
        <v>0</v>
      </c>
      <c r="E1425" s="88"/>
      <c r="F1425" s="59" t="e">
        <f>VLOOKUP(E1425,[1]库存!$B$1:$C$65536,2,FALSE)</f>
        <v>#N/A</v>
      </c>
      <c r="G1425" s="59" t="e">
        <v>#N/A</v>
      </c>
      <c r="H1425" s="89"/>
      <c r="I1425" s="88"/>
      <c r="J1425" s="90"/>
      <c r="K1425" s="61"/>
      <c r="L1425" s="62">
        <v>0</v>
      </c>
      <c r="M1425" s="63">
        <v>0</v>
      </c>
      <c r="N1425" s="64">
        <v>0</v>
      </c>
      <c r="O1425" s="62">
        <v>0</v>
      </c>
      <c r="P1425" s="65">
        <f t="shared" si="86"/>
        <v>0</v>
      </c>
      <c r="Q1425" s="66"/>
      <c r="R1425" s="66"/>
      <c r="S1425" s="66"/>
      <c r="T1425" s="66"/>
      <c r="U1425" s="66"/>
      <c r="V1425" s="66"/>
      <c r="W1425" s="66"/>
      <c r="X1425" s="66"/>
      <c r="Y1425" s="66"/>
      <c r="Z1425" s="66"/>
      <c r="AA1425" s="66"/>
      <c r="AB1425" s="66"/>
      <c r="AC1425" s="66"/>
      <c r="AD1425" s="66"/>
      <c r="AE1425" s="66"/>
      <c r="AF1425" s="66"/>
      <c r="AG1425" s="66"/>
      <c r="AH1425" s="66"/>
      <c r="AI1425" s="66"/>
      <c r="AJ1425" s="66"/>
      <c r="AK1425" s="66"/>
      <c r="AL1425" s="66"/>
      <c r="AM1425" s="66"/>
      <c r="AN1425" s="66"/>
      <c r="AO1425" s="66"/>
      <c r="AP1425" s="66"/>
      <c r="AQ1425" s="66"/>
      <c r="AR1425" s="66"/>
      <c r="AS1425" s="66"/>
      <c r="AT1425" s="66"/>
      <c r="AU1425" s="66"/>
      <c r="AV1425" s="66"/>
      <c r="AW1425" s="66"/>
      <c r="AX1425" s="66"/>
      <c r="AY1425" s="66"/>
      <c r="AZ1425" s="66"/>
      <c r="BA1425" s="66"/>
      <c r="BB1425" s="66"/>
      <c r="BC1425" s="66"/>
      <c r="BD1425" s="66"/>
      <c r="BE1425" s="67"/>
      <c r="BF1425" s="67"/>
      <c r="BG1425" s="68"/>
      <c r="BI1425" s="69">
        <v>0</v>
      </c>
      <c r="BJ1425" s="70">
        <v>0</v>
      </c>
      <c r="BK1425" s="71">
        <v>0</v>
      </c>
      <c r="BL1425" s="71">
        <v>0</v>
      </c>
      <c r="BM1425" s="71">
        <v>0</v>
      </c>
      <c r="BN1425" s="72">
        <v>0</v>
      </c>
      <c r="BO1425" s="151" t="e">
        <f t="shared" si="84"/>
        <v>#DIV/0!</v>
      </c>
      <c r="BP1425" s="151" t="e">
        <f t="shared" si="85"/>
        <v>#DIV/0!</v>
      </c>
      <c r="BQ1425" s="71">
        <v>0</v>
      </c>
      <c r="BR1425" s="71">
        <v>0</v>
      </c>
      <c r="BS1425" s="71">
        <v>0</v>
      </c>
      <c r="BT1425" s="72">
        <v>0</v>
      </c>
      <c r="BU1425" s="73"/>
      <c r="BV1425" s="73"/>
    </row>
    <row r="1426" ht="30" customHeight="1" spans="1:74">
      <c r="A1426" s="55" t="s">
        <v>165</v>
      </c>
      <c r="B1426" s="56" t="s">
        <v>2247</v>
      </c>
      <c r="C1426" s="57" t="s">
        <v>2261</v>
      </c>
      <c r="D1426" s="91" t="s">
        <v>2318</v>
      </c>
      <c r="E1426" s="91" t="s">
        <v>2319</v>
      </c>
      <c r="F1426" s="91" t="str">
        <f>VLOOKUP(E1426,[1]库存!$B$1:$C$65536,2,FALSE)</f>
        <v>HKHA FCA B状态</v>
      </c>
      <c r="G1426" s="91" t="s">
        <v>2320</v>
      </c>
      <c r="H1426" s="91" t="s">
        <v>2321</v>
      </c>
      <c r="I1426" s="59" t="s">
        <v>1975</v>
      </c>
      <c r="J1426" s="63"/>
      <c r="K1426" s="61"/>
      <c r="L1426" s="62">
        <v>0</v>
      </c>
      <c r="M1426" s="63">
        <v>600</v>
      </c>
      <c r="N1426" s="64">
        <v>15.5</v>
      </c>
      <c r="O1426" s="62">
        <v>0</v>
      </c>
      <c r="P1426" s="65">
        <f t="shared" si="86"/>
        <v>0</v>
      </c>
      <c r="Q1426" s="66"/>
      <c r="R1426" s="66"/>
      <c r="S1426" s="66">
        <v>1200</v>
      </c>
      <c r="T1426" s="66"/>
      <c r="U1426" s="66"/>
      <c r="V1426" s="66"/>
      <c r="W1426" s="66"/>
      <c r="X1426" s="66"/>
      <c r="Y1426" s="66"/>
      <c r="Z1426" s="66"/>
      <c r="AA1426" s="66"/>
      <c r="AB1426" s="66"/>
      <c r="AC1426" s="66"/>
      <c r="AD1426" s="66"/>
      <c r="AE1426" s="66"/>
      <c r="AF1426" s="66"/>
      <c r="AG1426" s="66"/>
      <c r="AH1426" s="66"/>
      <c r="AI1426" s="66"/>
      <c r="AJ1426" s="66"/>
      <c r="AK1426" s="66"/>
      <c r="AL1426" s="66"/>
      <c r="AM1426" s="66"/>
      <c r="AN1426" s="66"/>
      <c r="AO1426" s="66"/>
      <c r="AP1426" s="66"/>
      <c r="AQ1426" s="66"/>
      <c r="AR1426" s="66"/>
      <c r="AS1426" s="66"/>
      <c r="AT1426" s="66"/>
      <c r="AU1426" s="66"/>
      <c r="AV1426" s="66"/>
      <c r="AW1426" s="66"/>
      <c r="AX1426" s="66"/>
      <c r="AY1426" s="66"/>
      <c r="AZ1426" s="66"/>
      <c r="BA1426" s="66"/>
      <c r="BB1426" s="66"/>
      <c r="BC1426" s="66"/>
      <c r="BD1426" s="66"/>
      <c r="BE1426" s="105"/>
      <c r="BF1426" s="67"/>
      <c r="BG1426" s="68"/>
      <c r="BI1426" s="69">
        <v>0</v>
      </c>
      <c r="BJ1426" s="70">
        <v>0</v>
      </c>
      <c r="BK1426" s="71">
        <v>0</v>
      </c>
      <c r="BL1426" s="71">
        <v>0</v>
      </c>
      <c r="BM1426" s="71">
        <v>0</v>
      </c>
      <c r="BN1426" s="72">
        <v>0</v>
      </c>
      <c r="BO1426" s="151" t="e">
        <f t="shared" si="84"/>
        <v>#DIV/0!</v>
      </c>
      <c r="BP1426" s="151" t="e">
        <f t="shared" si="85"/>
        <v>#DIV/0!</v>
      </c>
      <c r="BQ1426" s="71">
        <v>0</v>
      </c>
      <c r="BR1426" s="71">
        <v>0</v>
      </c>
      <c r="BS1426" s="71">
        <v>0</v>
      </c>
      <c r="BT1426" s="72">
        <v>0</v>
      </c>
      <c r="BU1426" s="73"/>
      <c r="BV1426" s="73"/>
    </row>
    <row r="1427" ht="30" customHeight="1" spans="1:74">
      <c r="A1427" s="55">
        <v>0</v>
      </c>
      <c r="B1427" s="56">
        <v>0</v>
      </c>
      <c r="C1427" s="57">
        <v>0</v>
      </c>
      <c r="D1427" s="92"/>
      <c r="E1427" s="92"/>
      <c r="F1427" s="91" t="e">
        <f>VLOOKUP(E1427,[1]库存!$B$1:$C$65536,2,FALSE)</f>
        <v>#N/A</v>
      </c>
      <c r="G1427" s="91" t="e">
        <v>#N/A</v>
      </c>
      <c r="H1427" s="92"/>
      <c r="I1427" s="74"/>
      <c r="J1427" s="87"/>
      <c r="K1427" s="61"/>
      <c r="L1427" s="62">
        <v>0</v>
      </c>
      <c r="M1427" s="63">
        <v>0</v>
      </c>
      <c r="N1427" s="64">
        <v>0</v>
      </c>
      <c r="O1427" s="62">
        <v>0</v>
      </c>
      <c r="P1427" s="65">
        <f t="shared" si="86"/>
        <v>0</v>
      </c>
      <c r="Q1427" s="66"/>
      <c r="R1427" s="66"/>
      <c r="S1427" s="66">
        <v>1253</v>
      </c>
      <c r="T1427" s="66"/>
      <c r="U1427" s="66"/>
      <c r="V1427" s="66"/>
      <c r="W1427" s="66"/>
      <c r="X1427" s="66"/>
      <c r="Y1427" s="66"/>
      <c r="Z1427" s="66"/>
      <c r="AA1427" s="66"/>
      <c r="AB1427" s="66"/>
      <c r="AC1427" s="66"/>
      <c r="AD1427" s="66"/>
      <c r="AE1427" s="66"/>
      <c r="AF1427" s="66"/>
      <c r="AG1427" s="66"/>
      <c r="AH1427" s="66"/>
      <c r="AI1427" s="66"/>
      <c r="AJ1427" s="66"/>
      <c r="AK1427" s="66"/>
      <c r="AL1427" s="66"/>
      <c r="AM1427" s="66"/>
      <c r="AN1427" s="66"/>
      <c r="AO1427" s="66"/>
      <c r="AP1427" s="66"/>
      <c r="AQ1427" s="66"/>
      <c r="AR1427" s="66"/>
      <c r="AS1427" s="66"/>
      <c r="AT1427" s="66"/>
      <c r="AU1427" s="66"/>
      <c r="AV1427" s="66"/>
      <c r="AW1427" s="66"/>
      <c r="AX1427" s="66"/>
      <c r="AY1427" s="66"/>
      <c r="AZ1427" s="66"/>
      <c r="BA1427" s="66"/>
      <c r="BB1427" s="66"/>
      <c r="BC1427" s="66"/>
      <c r="BD1427" s="66"/>
      <c r="BE1427" s="67"/>
      <c r="BF1427" s="67"/>
      <c r="BG1427" s="68"/>
      <c r="BI1427" s="69">
        <v>0</v>
      </c>
      <c r="BJ1427" s="70">
        <v>0</v>
      </c>
      <c r="BK1427" s="71">
        <v>0</v>
      </c>
      <c r="BL1427" s="71">
        <v>0</v>
      </c>
      <c r="BM1427" s="71">
        <v>0</v>
      </c>
      <c r="BN1427" s="72">
        <v>0</v>
      </c>
      <c r="BO1427" s="151" t="e">
        <f t="shared" si="84"/>
        <v>#DIV/0!</v>
      </c>
      <c r="BP1427" s="151" t="e">
        <f t="shared" si="85"/>
        <v>#DIV/0!</v>
      </c>
      <c r="BQ1427" s="71">
        <v>0</v>
      </c>
      <c r="BR1427" s="71">
        <v>0</v>
      </c>
      <c r="BS1427" s="71">
        <v>0</v>
      </c>
      <c r="BT1427" s="72">
        <v>0</v>
      </c>
      <c r="BU1427" s="73"/>
      <c r="BV1427" s="73"/>
    </row>
    <row r="1428" ht="30" customHeight="1" spans="1:74">
      <c r="A1428" s="55" t="s">
        <v>165</v>
      </c>
      <c r="B1428" s="56" t="s">
        <v>2247</v>
      </c>
      <c r="C1428" s="57" t="s">
        <v>2261</v>
      </c>
      <c r="D1428" s="91" t="s">
        <v>2318</v>
      </c>
      <c r="E1428" s="91" t="s">
        <v>2322</v>
      </c>
      <c r="F1428" s="91" t="str">
        <f>VLOOKUP(E1428,[1]库存!$B$1:$C$65536,2,FALSE)</f>
        <v>HKHA EU FCA LH B状态</v>
      </c>
      <c r="G1428" s="91" t="s">
        <v>2323</v>
      </c>
      <c r="H1428" s="91" t="s">
        <v>2324</v>
      </c>
      <c r="I1428" s="59" t="s">
        <v>1975</v>
      </c>
      <c r="J1428" s="63"/>
      <c r="K1428" s="61"/>
      <c r="L1428" s="62">
        <v>0</v>
      </c>
      <c r="M1428" s="63">
        <v>900</v>
      </c>
      <c r="N1428" s="64">
        <v>13</v>
      </c>
      <c r="O1428" s="62">
        <v>0</v>
      </c>
      <c r="P1428" s="65">
        <f t="shared" si="86"/>
        <v>0</v>
      </c>
      <c r="Q1428" s="66"/>
      <c r="R1428" s="66"/>
      <c r="S1428" s="66"/>
      <c r="T1428" s="66"/>
      <c r="U1428" s="66"/>
      <c r="V1428" s="66"/>
      <c r="W1428" s="66"/>
      <c r="X1428" s="66"/>
      <c r="Y1428" s="66"/>
      <c r="Z1428" s="66"/>
      <c r="AA1428" s="66"/>
      <c r="AB1428" s="66"/>
      <c r="AC1428" s="66"/>
      <c r="AD1428" s="66"/>
      <c r="AE1428" s="66"/>
      <c r="AF1428" s="66"/>
      <c r="AG1428" s="66"/>
      <c r="AH1428" s="66"/>
      <c r="AI1428" s="66"/>
      <c r="AJ1428" s="66"/>
      <c r="AK1428" s="66"/>
      <c r="AL1428" s="66"/>
      <c r="AM1428" s="66"/>
      <c r="AN1428" s="66"/>
      <c r="AO1428" s="66"/>
      <c r="AP1428" s="66"/>
      <c r="AQ1428" s="66"/>
      <c r="AR1428" s="66"/>
      <c r="AS1428" s="66"/>
      <c r="AT1428" s="66"/>
      <c r="AU1428" s="66"/>
      <c r="AV1428" s="66"/>
      <c r="AW1428" s="66"/>
      <c r="AX1428" s="66"/>
      <c r="AY1428" s="66"/>
      <c r="AZ1428" s="66"/>
      <c r="BA1428" s="66"/>
      <c r="BB1428" s="66"/>
      <c r="BC1428" s="66"/>
      <c r="BD1428" s="66"/>
      <c r="BE1428" s="105"/>
      <c r="BF1428" s="67"/>
      <c r="BG1428" s="68"/>
      <c r="BI1428" s="69">
        <v>0</v>
      </c>
      <c r="BJ1428" s="70">
        <v>0</v>
      </c>
      <c r="BK1428" s="71">
        <v>0</v>
      </c>
      <c r="BL1428" s="71">
        <v>0</v>
      </c>
      <c r="BM1428" s="71">
        <v>0</v>
      </c>
      <c r="BN1428" s="72">
        <v>0</v>
      </c>
      <c r="BO1428" s="151" t="e">
        <f t="shared" si="84"/>
        <v>#DIV/0!</v>
      </c>
      <c r="BP1428" s="151" t="e">
        <f t="shared" si="85"/>
        <v>#DIV/0!</v>
      </c>
      <c r="BQ1428" s="71">
        <v>0</v>
      </c>
      <c r="BR1428" s="71">
        <v>0</v>
      </c>
      <c r="BS1428" s="71">
        <v>0</v>
      </c>
      <c r="BT1428" s="72">
        <v>0</v>
      </c>
      <c r="BU1428" s="73"/>
      <c r="BV1428" s="73"/>
    </row>
    <row r="1429" ht="30" customHeight="1" spans="1:74">
      <c r="A1429" s="55">
        <v>0</v>
      </c>
      <c r="B1429" s="56">
        <v>0</v>
      </c>
      <c r="C1429" s="57">
        <v>0</v>
      </c>
      <c r="D1429" s="92"/>
      <c r="E1429" s="92"/>
      <c r="F1429" s="91" t="e">
        <f>VLOOKUP(E1429,[1]库存!$B$1:$C$65536,2,FALSE)</f>
        <v>#N/A</v>
      </c>
      <c r="G1429" s="91" t="e">
        <v>#N/A</v>
      </c>
      <c r="H1429" s="92"/>
      <c r="I1429" s="74"/>
      <c r="J1429" s="87"/>
      <c r="K1429" s="61"/>
      <c r="L1429" s="62">
        <v>0</v>
      </c>
      <c r="M1429" s="63">
        <v>0</v>
      </c>
      <c r="N1429" s="64">
        <v>0</v>
      </c>
      <c r="O1429" s="62">
        <v>0</v>
      </c>
      <c r="P1429" s="65">
        <f t="shared" si="86"/>
        <v>0</v>
      </c>
      <c r="Q1429" s="66"/>
      <c r="R1429" s="66"/>
      <c r="S1429" s="66"/>
      <c r="T1429" s="66"/>
      <c r="U1429" s="66"/>
      <c r="V1429" s="66"/>
      <c r="W1429" s="66"/>
      <c r="X1429" s="66"/>
      <c r="Y1429" s="66"/>
      <c r="Z1429" s="66"/>
      <c r="AA1429" s="66"/>
      <c r="AB1429" s="66"/>
      <c r="AC1429" s="66"/>
      <c r="AD1429" s="66"/>
      <c r="AE1429" s="66"/>
      <c r="AF1429" s="66"/>
      <c r="AG1429" s="66"/>
      <c r="AH1429" s="66"/>
      <c r="AI1429" s="66"/>
      <c r="AJ1429" s="66"/>
      <c r="AK1429" s="66"/>
      <c r="AL1429" s="66"/>
      <c r="AM1429" s="66"/>
      <c r="AN1429" s="66"/>
      <c r="AO1429" s="66"/>
      <c r="AP1429" s="66"/>
      <c r="AQ1429" s="66"/>
      <c r="AR1429" s="66"/>
      <c r="AS1429" s="66"/>
      <c r="AT1429" s="66"/>
      <c r="AU1429" s="66"/>
      <c r="AV1429" s="66"/>
      <c r="AW1429" s="66"/>
      <c r="AX1429" s="66"/>
      <c r="AY1429" s="66"/>
      <c r="AZ1429" s="66"/>
      <c r="BA1429" s="66"/>
      <c r="BB1429" s="66"/>
      <c r="BC1429" s="66"/>
      <c r="BD1429" s="66"/>
      <c r="BE1429" s="67"/>
      <c r="BF1429" s="67"/>
      <c r="BG1429" s="68"/>
      <c r="BI1429" s="69">
        <v>0</v>
      </c>
      <c r="BJ1429" s="70">
        <v>0</v>
      </c>
      <c r="BK1429" s="71">
        <v>0</v>
      </c>
      <c r="BL1429" s="71">
        <v>0</v>
      </c>
      <c r="BM1429" s="71">
        <v>0</v>
      </c>
      <c r="BN1429" s="72">
        <v>0</v>
      </c>
      <c r="BO1429" s="151" t="e">
        <f t="shared" si="84"/>
        <v>#DIV/0!</v>
      </c>
      <c r="BP1429" s="151" t="e">
        <f t="shared" si="85"/>
        <v>#DIV/0!</v>
      </c>
      <c r="BQ1429" s="71">
        <v>0</v>
      </c>
      <c r="BR1429" s="71">
        <v>0</v>
      </c>
      <c r="BS1429" s="71">
        <v>0</v>
      </c>
      <c r="BT1429" s="72">
        <v>0</v>
      </c>
      <c r="BU1429" s="73"/>
      <c r="BV1429" s="73"/>
    </row>
    <row r="1430" ht="30" customHeight="1" spans="1:74">
      <c r="A1430" s="55" t="s">
        <v>165</v>
      </c>
      <c r="B1430" s="56" t="s">
        <v>2247</v>
      </c>
      <c r="C1430" s="57" t="s">
        <v>2261</v>
      </c>
      <c r="D1430" s="59" t="s">
        <v>2318</v>
      </c>
      <c r="E1430" s="59" t="s">
        <v>2325</v>
      </c>
      <c r="F1430" s="59" t="str">
        <f>VLOOKUP(E1430,[1]库存!$B$1:$C$65536,2,FALSE)</f>
        <v>HKHA EU FCA RH B状态</v>
      </c>
      <c r="G1430" s="59" t="s">
        <v>2326</v>
      </c>
      <c r="H1430" s="59" t="s">
        <v>2327</v>
      </c>
      <c r="I1430" s="59" t="s">
        <v>1975</v>
      </c>
      <c r="J1430" s="80" t="s">
        <v>65</v>
      </c>
      <c r="K1430" s="61"/>
      <c r="L1430" s="62">
        <v>0</v>
      </c>
      <c r="M1430" s="63">
        <v>900</v>
      </c>
      <c r="N1430" s="64">
        <v>13</v>
      </c>
      <c r="O1430" s="62">
        <v>0</v>
      </c>
      <c r="P1430" s="65">
        <f t="shared" si="86"/>
        <v>0</v>
      </c>
      <c r="Q1430" s="66"/>
      <c r="R1430" s="66"/>
      <c r="S1430" s="66"/>
      <c r="T1430" s="66"/>
      <c r="U1430" s="66"/>
      <c r="V1430" s="66"/>
      <c r="W1430" s="66"/>
      <c r="X1430" s="66"/>
      <c r="Y1430" s="66"/>
      <c r="Z1430" s="66"/>
      <c r="AA1430" s="66"/>
      <c r="AB1430" s="66"/>
      <c r="AC1430" s="66"/>
      <c r="AD1430" s="66"/>
      <c r="AE1430" s="66"/>
      <c r="AF1430" s="66"/>
      <c r="AG1430" s="66"/>
      <c r="AH1430" s="66"/>
      <c r="AI1430" s="66"/>
      <c r="AJ1430" s="66"/>
      <c r="AK1430" s="66"/>
      <c r="AL1430" s="66"/>
      <c r="AM1430" s="66"/>
      <c r="AN1430" s="66"/>
      <c r="AO1430" s="66"/>
      <c r="AP1430" s="66"/>
      <c r="AQ1430" s="66"/>
      <c r="AR1430" s="66"/>
      <c r="AS1430" s="66"/>
      <c r="AT1430" s="66"/>
      <c r="AU1430" s="66"/>
      <c r="AV1430" s="66"/>
      <c r="AW1430" s="66"/>
      <c r="AX1430" s="66"/>
      <c r="AY1430" s="66"/>
      <c r="AZ1430" s="66"/>
      <c r="BA1430" s="66"/>
      <c r="BB1430" s="66"/>
      <c r="BC1430" s="66"/>
      <c r="BD1430" s="66"/>
      <c r="BE1430" s="105"/>
      <c r="BF1430" s="67"/>
      <c r="BG1430" s="68"/>
      <c r="BI1430" s="69">
        <v>0</v>
      </c>
      <c r="BJ1430" s="70">
        <v>0</v>
      </c>
      <c r="BK1430" s="71">
        <v>0</v>
      </c>
      <c r="BL1430" s="71">
        <v>0</v>
      </c>
      <c r="BM1430" s="71">
        <v>0</v>
      </c>
      <c r="BN1430" s="72">
        <v>0</v>
      </c>
      <c r="BO1430" s="151" t="e">
        <f t="shared" si="84"/>
        <v>#DIV/0!</v>
      </c>
      <c r="BP1430" s="151" t="e">
        <f t="shared" si="85"/>
        <v>#DIV/0!</v>
      </c>
      <c r="BQ1430" s="71">
        <v>0</v>
      </c>
      <c r="BR1430" s="71">
        <v>0</v>
      </c>
      <c r="BS1430" s="71">
        <v>0</v>
      </c>
      <c r="BT1430" s="72">
        <v>0</v>
      </c>
      <c r="BU1430" s="73"/>
      <c r="BV1430" s="73"/>
    </row>
    <row r="1431" ht="30" customHeight="1" spans="1:74">
      <c r="A1431" s="55">
        <v>0</v>
      </c>
      <c r="B1431" s="56">
        <v>0</v>
      </c>
      <c r="C1431" s="57">
        <v>0</v>
      </c>
      <c r="D1431" s="74"/>
      <c r="E1431" s="74"/>
      <c r="F1431" s="59" t="e">
        <f>VLOOKUP(E1431,[1]库存!$B$1:$C$65536,2,FALSE)</f>
        <v>#N/A</v>
      </c>
      <c r="G1431" s="59" t="e">
        <v>#N/A</v>
      </c>
      <c r="H1431" s="74"/>
      <c r="I1431" s="74"/>
      <c r="J1431" s="81"/>
      <c r="K1431" s="61"/>
      <c r="L1431" s="62">
        <v>0</v>
      </c>
      <c r="M1431" s="63">
        <v>0</v>
      </c>
      <c r="N1431" s="64">
        <v>0</v>
      </c>
      <c r="O1431" s="62">
        <v>0</v>
      </c>
      <c r="P1431" s="65">
        <f t="shared" si="86"/>
        <v>0</v>
      </c>
      <c r="Q1431" s="66"/>
      <c r="R1431" s="66"/>
      <c r="S1431" s="66"/>
      <c r="T1431" s="66"/>
      <c r="U1431" s="66"/>
      <c r="V1431" s="66"/>
      <c r="W1431" s="66"/>
      <c r="X1431" s="66"/>
      <c r="Y1431" s="66"/>
      <c r="Z1431" s="66"/>
      <c r="AA1431" s="66"/>
      <c r="AB1431" s="66"/>
      <c r="AC1431" s="66"/>
      <c r="AD1431" s="66"/>
      <c r="AE1431" s="66"/>
      <c r="AF1431" s="66"/>
      <c r="AG1431" s="66"/>
      <c r="AH1431" s="66"/>
      <c r="AI1431" s="66"/>
      <c r="AJ1431" s="66"/>
      <c r="AK1431" s="66"/>
      <c r="AL1431" s="66"/>
      <c r="AM1431" s="66"/>
      <c r="AN1431" s="66"/>
      <c r="AO1431" s="66"/>
      <c r="AP1431" s="66"/>
      <c r="AQ1431" s="66"/>
      <c r="AR1431" s="66"/>
      <c r="AS1431" s="66"/>
      <c r="AT1431" s="66"/>
      <c r="AU1431" s="66"/>
      <c r="AV1431" s="66"/>
      <c r="AW1431" s="66"/>
      <c r="AX1431" s="66"/>
      <c r="AY1431" s="66"/>
      <c r="AZ1431" s="66"/>
      <c r="BA1431" s="66"/>
      <c r="BB1431" s="66"/>
      <c r="BC1431" s="66"/>
      <c r="BD1431" s="66"/>
      <c r="BE1431" s="67"/>
      <c r="BF1431" s="67"/>
      <c r="BG1431" s="68"/>
      <c r="BI1431" s="69">
        <v>0</v>
      </c>
      <c r="BJ1431" s="70">
        <v>0</v>
      </c>
      <c r="BK1431" s="71">
        <v>0</v>
      </c>
      <c r="BL1431" s="71">
        <v>0</v>
      </c>
      <c r="BM1431" s="71">
        <v>0</v>
      </c>
      <c r="BN1431" s="72">
        <v>0</v>
      </c>
      <c r="BO1431" s="151" t="e">
        <f t="shared" si="84"/>
        <v>#DIV/0!</v>
      </c>
      <c r="BP1431" s="151" t="e">
        <f t="shared" si="85"/>
        <v>#DIV/0!</v>
      </c>
      <c r="BQ1431" s="71">
        <v>0</v>
      </c>
      <c r="BR1431" s="71">
        <v>0</v>
      </c>
      <c r="BS1431" s="71">
        <v>0</v>
      </c>
      <c r="BT1431" s="72">
        <v>0</v>
      </c>
      <c r="BU1431" s="73"/>
      <c r="BV1431" s="73"/>
    </row>
    <row r="1432" ht="30" customHeight="1" spans="1:74">
      <c r="A1432" s="55" t="s">
        <v>165</v>
      </c>
      <c r="B1432" s="56" t="s">
        <v>2247</v>
      </c>
      <c r="C1432" s="57" t="s">
        <v>2261</v>
      </c>
      <c r="D1432" s="91" t="s">
        <v>2318</v>
      </c>
      <c r="E1432" s="91" t="s">
        <v>2328</v>
      </c>
      <c r="F1432" s="91" t="str">
        <f>VLOOKUP(E1432,[1]库存!$B$1:$C$65536,2,FALSE)</f>
        <v>HKHAR FCA</v>
      </c>
      <c r="G1432" s="91" t="s">
        <v>2329</v>
      </c>
      <c r="H1432" s="91" t="s">
        <v>2330</v>
      </c>
      <c r="I1432" s="91" t="s">
        <v>1975</v>
      </c>
      <c r="J1432" s="63"/>
      <c r="K1432" s="61"/>
      <c r="L1432" s="62">
        <v>0</v>
      </c>
      <c r="M1432" s="63">
        <v>900</v>
      </c>
      <c r="N1432" s="64">
        <v>13</v>
      </c>
      <c r="O1432" s="62">
        <v>0</v>
      </c>
      <c r="P1432" s="65">
        <f t="shared" si="86"/>
        <v>0</v>
      </c>
      <c r="Q1432" s="66"/>
      <c r="R1432" s="66"/>
      <c r="S1432" s="66"/>
      <c r="T1432" s="66"/>
      <c r="U1432" s="66"/>
      <c r="V1432" s="66"/>
      <c r="W1432" s="66"/>
      <c r="X1432" s="66"/>
      <c r="Y1432" s="66"/>
      <c r="Z1432" s="66"/>
      <c r="AA1432" s="66"/>
      <c r="AB1432" s="66"/>
      <c r="AC1432" s="66"/>
      <c r="AD1432" s="66"/>
      <c r="AE1432" s="66"/>
      <c r="AF1432" s="66"/>
      <c r="AG1432" s="66"/>
      <c r="AH1432" s="66"/>
      <c r="AI1432" s="66"/>
      <c r="AJ1432" s="66"/>
      <c r="AK1432" s="66"/>
      <c r="AL1432" s="66"/>
      <c r="AM1432" s="66"/>
      <c r="AN1432" s="66"/>
      <c r="AO1432" s="66"/>
      <c r="AP1432" s="66"/>
      <c r="AQ1432" s="66"/>
      <c r="AR1432" s="66"/>
      <c r="AS1432" s="66"/>
      <c r="AT1432" s="66"/>
      <c r="AU1432" s="66"/>
      <c r="AV1432" s="66"/>
      <c r="AW1432" s="66"/>
      <c r="AX1432" s="66"/>
      <c r="AY1432" s="66"/>
      <c r="AZ1432" s="66"/>
      <c r="BA1432" s="66"/>
      <c r="BB1432" s="66"/>
      <c r="BC1432" s="66"/>
      <c r="BD1432" s="66"/>
      <c r="BE1432" s="105"/>
      <c r="BF1432" s="67"/>
      <c r="BG1432" s="68"/>
      <c r="BI1432" s="69">
        <v>0</v>
      </c>
      <c r="BJ1432" s="70">
        <v>0</v>
      </c>
      <c r="BK1432" s="71">
        <v>0</v>
      </c>
      <c r="BL1432" s="71">
        <v>0</v>
      </c>
      <c r="BM1432" s="71">
        <v>0</v>
      </c>
      <c r="BN1432" s="72">
        <v>0</v>
      </c>
      <c r="BO1432" s="151" t="e">
        <f t="shared" si="84"/>
        <v>#DIV/0!</v>
      </c>
      <c r="BP1432" s="151" t="e">
        <f t="shared" si="85"/>
        <v>#DIV/0!</v>
      </c>
      <c r="BQ1432" s="71">
        <v>0</v>
      </c>
      <c r="BR1432" s="71">
        <v>0</v>
      </c>
      <c r="BS1432" s="71">
        <v>0</v>
      </c>
      <c r="BT1432" s="72">
        <v>0</v>
      </c>
      <c r="BU1432" s="73"/>
      <c r="BV1432" s="73"/>
    </row>
    <row r="1433" ht="30" customHeight="1" spans="1:74">
      <c r="A1433" s="55">
        <v>0</v>
      </c>
      <c r="B1433" s="56">
        <v>0</v>
      </c>
      <c r="C1433" s="57">
        <v>0</v>
      </c>
      <c r="D1433" s="92"/>
      <c r="E1433" s="92"/>
      <c r="F1433" s="91" t="e">
        <f>VLOOKUP(E1433,[1]库存!$B$1:$C$65536,2,FALSE)</f>
        <v>#N/A</v>
      </c>
      <c r="G1433" s="91" t="e">
        <v>#N/A</v>
      </c>
      <c r="H1433" s="92"/>
      <c r="I1433" s="92"/>
      <c r="J1433" s="87"/>
      <c r="K1433" s="61"/>
      <c r="L1433" s="62">
        <v>0</v>
      </c>
      <c r="M1433" s="63">
        <v>0</v>
      </c>
      <c r="N1433" s="64">
        <v>0</v>
      </c>
      <c r="O1433" s="62">
        <v>0</v>
      </c>
      <c r="P1433" s="65">
        <f t="shared" si="86"/>
        <v>0</v>
      </c>
      <c r="Q1433" s="66"/>
      <c r="R1433" s="66"/>
      <c r="S1433" s="66"/>
      <c r="T1433" s="66"/>
      <c r="U1433" s="66"/>
      <c r="V1433" s="66"/>
      <c r="W1433" s="66"/>
      <c r="X1433" s="66"/>
      <c r="Y1433" s="66"/>
      <c r="Z1433" s="66"/>
      <c r="AA1433" s="66"/>
      <c r="AB1433" s="66"/>
      <c r="AC1433" s="66"/>
      <c r="AD1433" s="66"/>
      <c r="AE1433" s="66"/>
      <c r="AF1433" s="66"/>
      <c r="AG1433" s="66"/>
      <c r="AH1433" s="66"/>
      <c r="AI1433" s="66"/>
      <c r="AJ1433" s="66"/>
      <c r="AK1433" s="66"/>
      <c r="AL1433" s="66"/>
      <c r="AM1433" s="66"/>
      <c r="AN1433" s="66"/>
      <c r="AO1433" s="66"/>
      <c r="AP1433" s="66"/>
      <c r="AQ1433" s="66"/>
      <c r="AR1433" s="66"/>
      <c r="AS1433" s="66"/>
      <c r="AT1433" s="66"/>
      <c r="AU1433" s="66"/>
      <c r="AV1433" s="66"/>
      <c r="AW1433" s="66"/>
      <c r="AX1433" s="66"/>
      <c r="AY1433" s="66"/>
      <c r="AZ1433" s="66"/>
      <c r="BA1433" s="66"/>
      <c r="BB1433" s="66"/>
      <c r="BC1433" s="66"/>
      <c r="BD1433" s="66"/>
      <c r="BE1433" s="67"/>
      <c r="BF1433" s="67"/>
      <c r="BG1433" s="68"/>
      <c r="BI1433" s="69">
        <v>0</v>
      </c>
      <c r="BJ1433" s="70">
        <v>0</v>
      </c>
      <c r="BK1433" s="71">
        <v>0</v>
      </c>
      <c r="BL1433" s="71">
        <v>0</v>
      </c>
      <c r="BM1433" s="71">
        <v>0</v>
      </c>
      <c r="BN1433" s="72">
        <v>0</v>
      </c>
      <c r="BO1433" s="151" t="e">
        <f t="shared" si="84"/>
        <v>#DIV/0!</v>
      </c>
      <c r="BP1433" s="151" t="e">
        <f t="shared" si="85"/>
        <v>#DIV/0!</v>
      </c>
      <c r="BQ1433" s="71">
        <v>0</v>
      </c>
      <c r="BR1433" s="71">
        <v>0</v>
      </c>
      <c r="BS1433" s="71">
        <v>0</v>
      </c>
      <c r="BT1433" s="72">
        <v>0</v>
      </c>
      <c r="BU1433" s="73"/>
      <c r="BV1433" s="73"/>
    </row>
    <row r="1434" ht="30" customHeight="1" spans="1:74">
      <c r="A1434" s="55" t="s">
        <v>165</v>
      </c>
      <c r="B1434" s="56" t="s">
        <v>2247</v>
      </c>
      <c r="C1434" s="57" t="s">
        <v>2261</v>
      </c>
      <c r="D1434" s="59" t="s">
        <v>2318</v>
      </c>
      <c r="E1434" s="59"/>
      <c r="F1434" s="59" t="e">
        <f>VLOOKUP(E1434,[1]库存!$B$1:$C$65536,2,FALSE)</f>
        <v>#N/A</v>
      </c>
      <c r="G1434" s="59" t="e">
        <v>#N/A</v>
      </c>
      <c r="H1434" s="59" t="s">
        <v>2331</v>
      </c>
      <c r="I1434" s="59" t="s">
        <v>2332</v>
      </c>
      <c r="J1434" s="63"/>
      <c r="K1434" s="61"/>
      <c r="L1434" s="62">
        <v>0</v>
      </c>
      <c r="M1434" s="63">
        <v>900</v>
      </c>
      <c r="N1434" s="64">
        <v>13</v>
      </c>
      <c r="O1434" s="62">
        <v>0</v>
      </c>
      <c r="P1434" s="65">
        <f t="shared" si="86"/>
        <v>0</v>
      </c>
      <c r="Q1434" s="66"/>
      <c r="R1434" s="66"/>
      <c r="S1434" s="66"/>
      <c r="T1434" s="66"/>
      <c r="U1434" s="66"/>
      <c r="V1434" s="66"/>
      <c r="W1434" s="66"/>
      <c r="X1434" s="66"/>
      <c r="Y1434" s="66"/>
      <c r="Z1434" s="66"/>
      <c r="AA1434" s="66" t="s">
        <v>2333</v>
      </c>
      <c r="AB1434" s="66"/>
      <c r="AC1434" s="66"/>
      <c r="AD1434" s="66"/>
      <c r="AE1434" s="66"/>
      <c r="AF1434" s="66"/>
      <c r="AG1434" s="66"/>
      <c r="AH1434" s="66"/>
      <c r="AI1434" s="66"/>
      <c r="AJ1434" s="66"/>
      <c r="AK1434" s="66"/>
      <c r="AL1434" s="66"/>
      <c r="AM1434" s="66"/>
      <c r="AN1434" s="66"/>
      <c r="AO1434" s="66"/>
      <c r="AP1434" s="66"/>
      <c r="AQ1434" s="66"/>
      <c r="AR1434" s="66"/>
      <c r="AS1434" s="66"/>
      <c r="AT1434" s="66"/>
      <c r="AU1434" s="66"/>
      <c r="AV1434" s="66"/>
      <c r="AW1434" s="66"/>
      <c r="AX1434" s="66"/>
      <c r="AY1434" s="66"/>
      <c r="AZ1434" s="66"/>
      <c r="BA1434" s="66"/>
      <c r="BB1434" s="66"/>
      <c r="BC1434" s="66"/>
      <c r="BD1434" s="66"/>
      <c r="BE1434" s="105"/>
      <c r="BF1434" s="67"/>
      <c r="BG1434" s="68"/>
      <c r="BI1434" s="69">
        <v>0</v>
      </c>
      <c r="BJ1434" s="70">
        <v>0</v>
      </c>
      <c r="BK1434" s="71">
        <v>0</v>
      </c>
      <c r="BL1434" s="71">
        <v>0</v>
      </c>
      <c r="BM1434" s="71">
        <v>0</v>
      </c>
      <c r="BN1434" s="72">
        <v>0</v>
      </c>
      <c r="BO1434" s="151" t="e">
        <f t="shared" ref="BO1434:BO1497" si="87">(BK1434+BL1434)/BJ1434</f>
        <v>#DIV/0!</v>
      </c>
      <c r="BP1434" s="151" t="e">
        <f t="shared" ref="BP1434:BP1497" si="88">BM1434/BJ1434</f>
        <v>#DIV/0!</v>
      </c>
      <c r="BQ1434" s="71">
        <v>0</v>
      </c>
      <c r="BR1434" s="71">
        <v>0</v>
      </c>
      <c r="BS1434" s="71">
        <v>0</v>
      </c>
      <c r="BT1434" s="72">
        <v>0</v>
      </c>
      <c r="BU1434" s="73"/>
      <c r="BV1434" s="73"/>
    </row>
    <row r="1435" ht="30" customHeight="1" spans="1:74">
      <c r="A1435" s="55">
        <v>0</v>
      </c>
      <c r="B1435" s="56">
        <v>0</v>
      </c>
      <c r="C1435" s="57">
        <v>0</v>
      </c>
      <c r="D1435" s="74"/>
      <c r="E1435" s="74"/>
      <c r="F1435" s="59" t="e">
        <f>VLOOKUP(E1435,[1]库存!$B$1:$C$65536,2,FALSE)</f>
        <v>#N/A</v>
      </c>
      <c r="G1435" s="59" t="e">
        <v>#N/A</v>
      </c>
      <c r="H1435" s="74"/>
      <c r="I1435" s="74"/>
      <c r="J1435" s="87"/>
      <c r="K1435" s="61"/>
      <c r="L1435" s="62">
        <v>0</v>
      </c>
      <c r="M1435" s="63">
        <v>0</v>
      </c>
      <c r="N1435" s="64">
        <v>0</v>
      </c>
      <c r="O1435" s="62">
        <v>0</v>
      </c>
      <c r="P1435" s="65">
        <f t="shared" si="86"/>
        <v>0</v>
      </c>
      <c r="Q1435" s="66"/>
      <c r="R1435" s="66"/>
      <c r="S1435" s="66"/>
      <c r="T1435" s="66"/>
      <c r="U1435" s="66"/>
      <c r="V1435" s="66"/>
      <c r="W1435" s="66"/>
      <c r="X1435" s="66"/>
      <c r="Y1435" s="66"/>
      <c r="Z1435" s="66"/>
      <c r="AA1435" s="66"/>
      <c r="AB1435" s="66"/>
      <c r="AC1435" s="66"/>
      <c r="AD1435" s="66"/>
      <c r="AE1435" s="66"/>
      <c r="AF1435" s="66"/>
      <c r="AG1435" s="66"/>
      <c r="AH1435" s="66"/>
      <c r="AI1435" s="66"/>
      <c r="AJ1435" s="66"/>
      <c r="AK1435" s="66"/>
      <c r="AL1435" s="66"/>
      <c r="AM1435" s="66"/>
      <c r="AN1435" s="66"/>
      <c r="AO1435" s="66"/>
      <c r="AP1435" s="66"/>
      <c r="AQ1435" s="66"/>
      <c r="AR1435" s="66"/>
      <c r="AS1435" s="66"/>
      <c r="AT1435" s="66"/>
      <c r="AU1435" s="66"/>
      <c r="AV1435" s="66"/>
      <c r="AW1435" s="66"/>
      <c r="AX1435" s="66"/>
      <c r="AY1435" s="66"/>
      <c r="AZ1435" s="66"/>
      <c r="BA1435" s="66"/>
      <c r="BB1435" s="66"/>
      <c r="BC1435" s="66"/>
      <c r="BD1435" s="66"/>
      <c r="BE1435" s="67"/>
      <c r="BF1435" s="67"/>
      <c r="BG1435" s="68"/>
      <c r="BI1435" s="69">
        <v>0</v>
      </c>
      <c r="BJ1435" s="70">
        <v>0</v>
      </c>
      <c r="BK1435" s="71">
        <v>0</v>
      </c>
      <c r="BL1435" s="71">
        <v>0</v>
      </c>
      <c r="BM1435" s="71">
        <v>0</v>
      </c>
      <c r="BN1435" s="72">
        <v>0</v>
      </c>
      <c r="BO1435" s="151" t="e">
        <f t="shared" si="87"/>
        <v>#DIV/0!</v>
      </c>
      <c r="BP1435" s="151" t="e">
        <f t="shared" si="88"/>
        <v>#DIV/0!</v>
      </c>
      <c r="BQ1435" s="71">
        <v>0</v>
      </c>
      <c r="BR1435" s="71">
        <v>0</v>
      </c>
      <c r="BS1435" s="71">
        <v>0</v>
      </c>
      <c r="BT1435" s="72">
        <v>0</v>
      </c>
      <c r="BU1435" s="73"/>
      <c r="BV1435" s="73"/>
    </row>
    <row r="1436" ht="30" customHeight="1" spans="1:74">
      <c r="A1436" s="55">
        <v>0</v>
      </c>
      <c r="B1436" s="56">
        <v>0</v>
      </c>
      <c r="C1436" s="57">
        <v>0</v>
      </c>
      <c r="E1436" s="88"/>
      <c r="F1436" s="59" t="e">
        <f>VLOOKUP(E1436,[1]库存!$B$1:$C$65536,2,FALSE)</f>
        <v>#N/A</v>
      </c>
      <c r="G1436" s="59" t="e">
        <v>#N/A</v>
      </c>
      <c r="H1436" s="89"/>
      <c r="I1436" s="88"/>
      <c r="J1436" s="90"/>
      <c r="K1436" s="61"/>
      <c r="L1436" s="62">
        <v>0</v>
      </c>
      <c r="M1436" s="63">
        <v>0</v>
      </c>
      <c r="N1436" s="64">
        <v>0</v>
      </c>
      <c r="O1436" s="62">
        <v>0</v>
      </c>
      <c r="P1436" s="65">
        <f t="shared" si="86"/>
        <v>0</v>
      </c>
      <c r="Q1436" s="66"/>
      <c r="R1436" s="66"/>
      <c r="S1436" s="66"/>
      <c r="T1436" s="66"/>
      <c r="U1436" s="66"/>
      <c r="V1436" s="66"/>
      <c r="W1436" s="66"/>
      <c r="X1436" s="66"/>
      <c r="Y1436" s="66"/>
      <c r="Z1436" s="66"/>
      <c r="AA1436" s="66"/>
      <c r="AB1436" s="66"/>
      <c r="AC1436" s="66"/>
      <c r="AD1436" s="66"/>
      <c r="AE1436" s="66"/>
      <c r="AF1436" s="66"/>
      <c r="AG1436" s="66"/>
      <c r="AH1436" s="66"/>
      <c r="AI1436" s="66"/>
      <c r="AJ1436" s="66"/>
      <c r="AK1436" s="66"/>
      <c r="AL1436" s="66"/>
      <c r="AM1436" s="66"/>
      <c r="AN1436" s="66"/>
      <c r="AO1436" s="66"/>
      <c r="AP1436" s="66"/>
      <c r="AQ1436" s="66"/>
      <c r="AR1436" s="66"/>
      <c r="AS1436" s="66"/>
      <c r="AT1436" s="66"/>
      <c r="AU1436" s="66"/>
      <c r="AV1436" s="66"/>
      <c r="AW1436" s="66"/>
      <c r="AX1436" s="66"/>
      <c r="AY1436" s="66"/>
      <c r="AZ1436" s="66"/>
      <c r="BA1436" s="66"/>
      <c r="BB1436" s="66"/>
      <c r="BC1436" s="66"/>
      <c r="BD1436" s="66"/>
      <c r="BE1436" s="67"/>
      <c r="BF1436" s="67"/>
      <c r="BG1436" s="68"/>
      <c r="BI1436" s="69">
        <v>0</v>
      </c>
      <c r="BJ1436" s="70">
        <v>0</v>
      </c>
      <c r="BK1436" s="71">
        <v>0</v>
      </c>
      <c r="BL1436" s="71">
        <v>0</v>
      </c>
      <c r="BM1436" s="71">
        <v>0</v>
      </c>
      <c r="BN1436" s="72">
        <v>0</v>
      </c>
      <c r="BO1436" s="151" t="e">
        <f t="shared" si="87"/>
        <v>#DIV/0!</v>
      </c>
      <c r="BP1436" s="151" t="e">
        <f t="shared" si="88"/>
        <v>#DIV/0!</v>
      </c>
      <c r="BQ1436" s="71">
        <v>0</v>
      </c>
      <c r="BR1436" s="71">
        <v>0</v>
      </c>
      <c r="BS1436" s="71">
        <v>0</v>
      </c>
      <c r="BT1436" s="72">
        <v>0</v>
      </c>
      <c r="BU1436" s="73"/>
      <c r="BV1436" s="73"/>
    </row>
    <row r="1437" ht="30" customHeight="1" spans="1:74">
      <c r="A1437" s="55" t="s">
        <v>540</v>
      </c>
      <c r="B1437" s="56" t="s">
        <v>2247</v>
      </c>
      <c r="C1437" s="57" t="s">
        <v>2248</v>
      </c>
      <c r="D1437" s="59" t="s">
        <v>2334</v>
      </c>
      <c r="E1437" s="59" t="s">
        <v>2335</v>
      </c>
      <c r="F1437" s="59" t="str">
        <f>VLOOKUP(E1437,[1]库存!$B$1:$C$65536,2,FALSE)</f>
        <v>BENZ V5x DAB</v>
      </c>
      <c r="G1437" s="59" t="s">
        <v>2336</v>
      </c>
      <c r="H1437" s="59" t="s">
        <v>2337</v>
      </c>
      <c r="I1437" s="59" t="s">
        <v>2338</v>
      </c>
      <c r="J1437" s="63"/>
      <c r="K1437" s="61"/>
      <c r="L1437" s="62">
        <v>0</v>
      </c>
      <c r="M1437" s="63">
        <v>1300</v>
      </c>
      <c r="N1437" s="64">
        <v>10</v>
      </c>
      <c r="O1437" s="62">
        <v>2</v>
      </c>
      <c r="P1437" s="65">
        <f t="shared" si="86"/>
        <v>0</v>
      </c>
      <c r="Q1437" s="66"/>
      <c r="R1437" s="66"/>
      <c r="S1437" s="66"/>
      <c r="T1437" s="66"/>
      <c r="U1437" s="66">
        <v>850</v>
      </c>
      <c r="V1437" s="66"/>
      <c r="W1437" s="66"/>
      <c r="X1437" s="66"/>
      <c r="Y1437" s="66"/>
      <c r="Z1437" s="66"/>
      <c r="AA1437" s="66"/>
      <c r="AB1437" s="66"/>
      <c r="AC1437" s="66"/>
      <c r="AD1437" s="66"/>
      <c r="AE1437" s="66"/>
      <c r="AF1437" s="66"/>
      <c r="AG1437" s="66"/>
      <c r="AH1437" s="66"/>
      <c r="AI1437" s="66"/>
      <c r="AJ1437" s="66"/>
      <c r="AK1437" s="66"/>
      <c r="AL1437" s="66"/>
      <c r="AM1437" s="66"/>
      <c r="AN1437" s="66"/>
      <c r="AO1437" s="66"/>
      <c r="AP1437" s="66"/>
      <c r="AQ1437" s="66"/>
      <c r="AR1437" s="66"/>
      <c r="AS1437" s="66"/>
      <c r="AT1437" s="66"/>
      <c r="AU1437" s="66"/>
      <c r="AV1437" s="66"/>
      <c r="AW1437" s="66"/>
      <c r="AX1437" s="66"/>
      <c r="AY1437" s="66"/>
      <c r="AZ1437" s="66"/>
      <c r="BA1437" s="66"/>
      <c r="BB1437" s="66"/>
      <c r="BC1437" s="66"/>
      <c r="BD1437" s="66"/>
      <c r="BE1437" s="67"/>
      <c r="BF1437" s="67"/>
      <c r="BG1437" s="68"/>
      <c r="BI1437" s="69">
        <v>0</v>
      </c>
      <c r="BJ1437" s="70">
        <v>0</v>
      </c>
      <c r="BK1437" s="71">
        <v>0</v>
      </c>
      <c r="BL1437" s="71">
        <v>0</v>
      </c>
      <c r="BM1437" s="71">
        <v>0</v>
      </c>
      <c r="BN1437" s="72">
        <v>0</v>
      </c>
      <c r="BO1437" s="151" t="e">
        <f t="shared" si="87"/>
        <v>#DIV/0!</v>
      </c>
      <c r="BP1437" s="151" t="e">
        <f t="shared" si="88"/>
        <v>#DIV/0!</v>
      </c>
      <c r="BQ1437" s="71">
        <v>0</v>
      </c>
      <c r="BR1437" s="71">
        <v>0</v>
      </c>
      <c r="BS1437" s="71">
        <v>0</v>
      </c>
      <c r="BT1437" s="72">
        <v>0</v>
      </c>
      <c r="BU1437" s="73"/>
      <c r="BV1437" s="73"/>
    </row>
    <row r="1438" ht="30" customHeight="1" spans="1:74">
      <c r="A1438" s="55">
        <v>0</v>
      </c>
      <c r="B1438" s="56">
        <v>0</v>
      </c>
      <c r="C1438" s="57">
        <v>0</v>
      </c>
      <c r="D1438" s="74"/>
      <c r="E1438" s="74"/>
      <c r="F1438" s="59" t="e">
        <f>VLOOKUP(E1438,[1]库存!$B$1:$C$65536,2,FALSE)</f>
        <v>#N/A</v>
      </c>
      <c r="G1438" s="59" t="e">
        <v>#N/A</v>
      </c>
      <c r="H1438" s="74"/>
      <c r="I1438" s="74"/>
      <c r="J1438" s="87"/>
      <c r="K1438" s="61"/>
      <c r="L1438" s="62">
        <v>0</v>
      </c>
      <c r="M1438" s="63">
        <v>0</v>
      </c>
      <c r="N1438" s="64">
        <v>0</v>
      </c>
      <c r="O1438" s="62">
        <v>0</v>
      </c>
      <c r="P1438" s="65">
        <f t="shared" si="86"/>
        <v>0</v>
      </c>
      <c r="Q1438" s="66"/>
      <c r="R1438" s="66"/>
      <c r="S1438" s="66"/>
      <c r="T1438" s="66"/>
      <c r="U1438" s="66">
        <v>846</v>
      </c>
      <c r="V1438" s="66"/>
      <c r="W1438" s="66"/>
      <c r="X1438" s="66"/>
      <c r="Y1438" s="66"/>
      <c r="Z1438" s="66"/>
      <c r="AA1438" s="66"/>
      <c r="AB1438" s="66"/>
      <c r="AC1438" s="66"/>
      <c r="AD1438" s="66"/>
      <c r="AE1438" s="66"/>
      <c r="AF1438" s="66"/>
      <c r="AG1438" s="66"/>
      <c r="AH1438" s="66"/>
      <c r="AI1438" s="66"/>
      <c r="AJ1438" s="66"/>
      <c r="AK1438" s="66"/>
      <c r="AL1438" s="66"/>
      <c r="AM1438" s="66"/>
      <c r="AN1438" s="66"/>
      <c r="AO1438" s="66"/>
      <c r="AP1438" s="66"/>
      <c r="AQ1438" s="66"/>
      <c r="AR1438" s="66"/>
      <c r="AS1438" s="66"/>
      <c r="AT1438" s="66"/>
      <c r="AU1438" s="66"/>
      <c r="AV1438" s="66"/>
      <c r="AW1438" s="66"/>
      <c r="AX1438" s="66"/>
      <c r="AY1438" s="66"/>
      <c r="AZ1438" s="66"/>
      <c r="BA1438" s="66"/>
      <c r="BB1438" s="66"/>
      <c r="BC1438" s="66"/>
      <c r="BD1438" s="66"/>
      <c r="BE1438" s="67"/>
      <c r="BF1438" s="67"/>
      <c r="BG1438" s="68"/>
      <c r="BI1438" s="69">
        <v>0</v>
      </c>
      <c r="BJ1438" s="70">
        <v>0</v>
      </c>
      <c r="BK1438" s="71">
        <v>0</v>
      </c>
      <c r="BL1438" s="71">
        <v>0</v>
      </c>
      <c r="BM1438" s="71">
        <v>0</v>
      </c>
      <c r="BN1438" s="72">
        <v>0</v>
      </c>
      <c r="BO1438" s="151" t="e">
        <f t="shared" si="87"/>
        <v>#DIV/0!</v>
      </c>
      <c r="BP1438" s="151" t="e">
        <f t="shared" si="88"/>
        <v>#DIV/0!</v>
      </c>
      <c r="BQ1438" s="71">
        <v>0</v>
      </c>
      <c r="BR1438" s="71">
        <v>0</v>
      </c>
      <c r="BS1438" s="71">
        <v>0</v>
      </c>
      <c r="BT1438" s="72">
        <v>0</v>
      </c>
      <c r="BU1438" s="73"/>
      <c r="BV1438" s="73"/>
    </row>
    <row r="1439" ht="30" customHeight="1" spans="1:74">
      <c r="A1439" s="55" t="s">
        <v>540</v>
      </c>
      <c r="B1439" s="56" t="s">
        <v>2247</v>
      </c>
      <c r="C1439" s="57" t="s">
        <v>2248</v>
      </c>
      <c r="D1439" s="59" t="s">
        <v>2334</v>
      </c>
      <c r="E1439" s="59" t="s">
        <v>2339</v>
      </c>
      <c r="F1439" s="59" t="str">
        <f>VLOOKUP(E1439,[1]库存!$B$1:$C$65536,2,FALSE)</f>
        <v>BENZ X244 X248 DAB</v>
      </c>
      <c r="G1439" s="59" t="s">
        <v>2340</v>
      </c>
      <c r="H1439" s="59" t="s">
        <v>2341</v>
      </c>
      <c r="I1439" s="59" t="s">
        <v>2342</v>
      </c>
      <c r="J1439" s="63"/>
      <c r="K1439" s="61"/>
      <c r="L1439" s="62">
        <v>0</v>
      </c>
      <c r="M1439" s="63">
        <v>1300</v>
      </c>
      <c r="N1439" s="64">
        <v>10</v>
      </c>
      <c r="O1439" s="62">
        <v>2</v>
      </c>
      <c r="P1439" s="65">
        <f t="shared" si="86"/>
        <v>0</v>
      </c>
      <c r="Q1439" s="66"/>
      <c r="R1439" s="66"/>
      <c r="S1439" s="66"/>
      <c r="T1439" s="66"/>
      <c r="U1439" s="66"/>
      <c r="V1439" s="66"/>
      <c r="W1439" s="66"/>
      <c r="X1439" s="66"/>
      <c r="Y1439" s="66"/>
      <c r="Z1439" s="66"/>
      <c r="AA1439" s="66"/>
      <c r="AB1439" s="66"/>
      <c r="AC1439" s="66"/>
      <c r="AD1439" s="66"/>
      <c r="AE1439" s="66"/>
      <c r="AF1439" s="66"/>
      <c r="AG1439" s="66"/>
      <c r="AH1439" s="66"/>
      <c r="AI1439" s="66"/>
      <c r="AJ1439" s="66"/>
      <c r="AK1439" s="66"/>
      <c r="AL1439" s="66"/>
      <c r="AM1439" s="66"/>
      <c r="AN1439" s="66"/>
      <c r="AO1439" s="66"/>
      <c r="AP1439" s="66"/>
      <c r="AQ1439" s="66"/>
      <c r="AR1439" s="66"/>
      <c r="AS1439" s="66"/>
      <c r="AT1439" s="66"/>
      <c r="AU1439" s="66"/>
      <c r="AV1439" s="66"/>
      <c r="AW1439" s="66"/>
      <c r="AX1439" s="66"/>
      <c r="AY1439" s="66"/>
      <c r="AZ1439" s="66"/>
      <c r="BA1439" s="66"/>
      <c r="BB1439" s="66"/>
      <c r="BC1439" s="66"/>
      <c r="BD1439" s="66"/>
      <c r="BE1439" s="67"/>
      <c r="BF1439" s="67"/>
      <c r="BG1439" s="68"/>
      <c r="BI1439" s="69">
        <v>0</v>
      </c>
      <c r="BJ1439" s="70">
        <v>0</v>
      </c>
      <c r="BK1439" s="71">
        <v>0</v>
      </c>
      <c r="BL1439" s="71">
        <v>0</v>
      </c>
      <c r="BM1439" s="71">
        <v>0</v>
      </c>
      <c r="BN1439" s="72">
        <v>0</v>
      </c>
      <c r="BO1439" s="151" t="e">
        <f t="shared" si="87"/>
        <v>#DIV/0!</v>
      </c>
      <c r="BP1439" s="151" t="e">
        <f t="shared" si="88"/>
        <v>#DIV/0!</v>
      </c>
      <c r="BQ1439" s="71">
        <v>0</v>
      </c>
      <c r="BR1439" s="71">
        <v>0</v>
      </c>
      <c r="BS1439" s="71">
        <v>0</v>
      </c>
      <c r="BT1439" s="72">
        <v>0</v>
      </c>
      <c r="BU1439" s="73"/>
      <c r="BV1439" s="73"/>
    </row>
    <row r="1440" ht="30" customHeight="1" spans="1:74">
      <c r="A1440" s="55">
        <v>0</v>
      </c>
      <c r="B1440" s="56">
        <v>0</v>
      </c>
      <c r="C1440" s="57">
        <v>0</v>
      </c>
      <c r="D1440" s="74"/>
      <c r="E1440" s="74"/>
      <c r="F1440" s="59" t="e">
        <f>VLOOKUP(E1440,[1]库存!$B$1:$C$65536,2,FALSE)</f>
        <v>#N/A</v>
      </c>
      <c r="G1440" s="59" t="e">
        <v>#N/A</v>
      </c>
      <c r="H1440" s="74"/>
      <c r="I1440" s="74"/>
      <c r="J1440" s="87"/>
      <c r="K1440" s="61"/>
      <c r="L1440" s="62">
        <v>0</v>
      </c>
      <c r="M1440" s="63">
        <v>0</v>
      </c>
      <c r="N1440" s="64">
        <v>0</v>
      </c>
      <c r="O1440" s="62">
        <v>0</v>
      </c>
      <c r="P1440" s="65">
        <f t="shared" si="86"/>
        <v>0</v>
      </c>
      <c r="Q1440" s="66"/>
      <c r="R1440" s="66"/>
      <c r="S1440" s="66"/>
      <c r="T1440" s="66"/>
      <c r="U1440" s="66"/>
      <c r="V1440" s="66"/>
      <c r="W1440" s="66"/>
      <c r="X1440" s="66"/>
      <c r="Y1440" s="66"/>
      <c r="Z1440" s="66"/>
      <c r="AA1440" s="66"/>
      <c r="AB1440" s="66"/>
      <c r="AC1440" s="66"/>
      <c r="AD1440" s="66"/>
      <c r="AE1440" s="66"/>
      <c r="AF1440" s="66"/>
      <c r="AG1440" s="66"/>
      <c r="AH1440" s="66"/>
      <c r="AI1440" s="66"/>
      <c r="AJ1440" s="66"/>
      <c r="AK1440" s="66"/>
      <c r="AL1440" s="66"/>
      <c r="AM1440" s="66"/>
      <c r="AN1440" s="66"/>
      <c r="AO1440" s="66"/>
      <c r="AP1440" s="66"/>
      <c r="AQ1440" s="66"/>
      <c r="AR1440" s="66"/>
      <c r="AS1440" s="66"/>
      <c r="AT1440" s="66"/>
      <c r="AU1440" s="66"/>
      <c r="AV1440" s="66"/>
      <c r="AW1440" s="66"/>
      <c r="AX1440" s="66"/>
      <c r="AY1440" s="66"/>
      <c r="AZ1440" s="66"/>
      <c r="BA1440" s="66"/>
      <c r="BB1440" s="66"/>
      <c r="BC1440" s="66"/>
      <c r="BD1440" s="66"/>
      <c r="BE1440" s="67"/>
      <c r="BF1440" s="67"/>
      <c r="BG1440" s="68"/>
      <c r="BI1440" s="69">
        <v>0</v>
      </c>
      <c r="BJ1440" s="70">
        <v>0</v>
      </c>
      <c r="BK1440" s="71">
        <v>0</v>
      </c>
      <c r="BL1440" s="71">
        <v>0</v>
      </c>
      <c r="BM1440" s="71">
        <v>0</v>
      </c>
      <c r="BN1440" s="72">
        <v>0</v>
      </c>
      <c r="BO1440" s="151" t="e">
        <f t="shared" si="87"/>
        <v>#DIV/0!</v>
      </c>
      <c r="BP1440" s="151" t="e">
        <f t="shared" si="88"/>
        <v>#DIV/0!</v>
      </c>
      <c r="BQ1440" s="71">
        <v>0</v>
      </c>
      <c r="BR1440" s="71">
        <v>0</v>
      </c>
      <c r="BS1440" s="71">
        <v>0</v>
      </c>
      <c r="BT1440" s="72">
        <v>0</v>
      </c>
      <c r="BU1440" s="73"/>
      <c r="BV1440" s="73"/>
    </row>
    <row r="1441" ht="30" customHeight="1" spans="1:74">
      <c r="A1441" s="55">
        <v>0</v>
      </c>
      <c r="B1441" s="56">
        <v>0</v>
      </c>
      <c r="C1441" s="57">
        <v>0</v>
      </c>
      <c r="E1441" s="88"/>
      <c r="F1441" s="59" t="e">
        <f>VLOOKUP(E1441,[1]库存!$B$1:$C$65536,2,FALSE)</f>
        <v>#N/A</v>
      </c>
      <c r="G1441" s="59" t="e">
        <v>#N/A</v>
      </c>
      <c r="H1441" s="89"/>
      <c r="I1441" s="88"/>
      <c r="J1441" s="90"/>
      <c r="K1441" s="61"/>
      <c r="L1441" s="62">
        <v>0</v>
      </c>
      <c r="M1441" s="63">
        <v>0</v>
      </c>
      <c r="N1441" s="64">
        <v>0</v>
      </c>
      <c r="O1441" s="62">
        <v>0</v>
      </c>
      <c r="P1441" s="65">
        <f t="shared" si="86"/>
        <v>0</v>
      </c>
      <c r="Q1441" s="66"/>
      <c r="R1441" s="66"/>
      <c r="S1441" s="66"/>
      <c r="T1441" s="66"/>
      <c r="U1441" s="66"/>
      <c r="V1441" s="66"/>
      <c r="W1441" s="66"/>
      <c r="X1441" s="66"/>
      <c r="Y1441" s="66"/>
      <c r="Z1441" s="66"/>
      <c r="AA1441" s="66"/>
      <c r="AB1441" s="66"/>
      <c r="AC1441" s="66"/>
      <c r="AD1441" s="66"/>
      <c r="AE1441" s="66"/>
      <c r="AF1441" s="66"/>
      <c r="AG1441" s="66"/>
      <c r="AH1441" s="66"/>
      <c r="AI1441" s="66"/>
      <c r="AJ1441" s="66"/>
      <c r="AK1441" s="66"/>
      <c r="AL1441" s="66"/>
      <c r="AM1441" s="66"/>
      <c r="AN1441" s="66"/>
      <c r="AO1441" s="66"/>
      <c r="AP1441" s="66"/>
      <c r="AQ1441" s="66"/>
      <c r="AR1441" s="66"/>
      <c r="AS1441" s="66"/>
      <c r="AT1441" s="66"/>
      <c r="AU1441" s="66"/>
      <c r="AV1441" s="66"/>
      <c r="AW1441" s="66"/>
      <c r="AX1441" s="66"/>
      <c r="AY1441" s="66"/>
      <c r="AZ1441" s="66"/>
      <c r="BA1441" s="66"/>
      <c r="BB1441" s="66"/>
      <c r="BC1441" s="66"/>
      <c r="BD1441" s="66"/>
      <c r="BE1441" s="67"/>
      <c r="BF1441" s="67"/>
      <c r="BG1441" s="68"/>
      <c r="BI1441" s="69">
        <v>0</v>
      </c>
      <c r="BJ1441" s="70">
        <v>0</v>
      </c>
      <c r="BK1441" s="71">
        <v>0</v>
      </c>
      <c r="BL1441" s="71">
        <v>0</v>
      </c>
      <c r="BM1441" s="71">
        <v>0</v>
      </c>
      <c r="BN1441" s="72">
        <v>0</v>
      </c>
      <c r="BO1441" s="151" t="e">
        <f t="shared" si="87"/>
        <v>#DIV/0!</v>
      </c>
      <c r="BP1441" s="151" t="e">
        <f t="shared" si="88"/>
        <v>#DIV/0!</v>
      </c>
      <c r="BQ1441" s="71">
        <v>0</v>
      </c>
      <c r="BR1441" s="71">
        <v>0</v>
      </c>
      <c r="BS1441" s="71">
        <v>0</v>
      </c>
      <c r="BT1441" s="72">
        <v>0</v>
      </c>
      <c r="BU1441" s="73"/>
      <c r="BV1441" s="73"/>
    </row>
    <row r="1442" ht="30" customHeight="1" spans="1:74">
      <c r="A1442" s="55" t="s">
        <v>165</v>
      </c>
      <c r="B1442" s="56" t="s">
        <v>2247</v>
      </c>
      <c r="C1442" s="57" t="s">
        <v>2343</v>
      </c>
      <c r="D1442" s="59" t="s">
        <v>2344</v>
      </c>
      <c r="E1442" s="59" t="s">
        <v>2345</v>
      </c>
      <c r="F1442" s="59" t="str">
        <f>VLOOKUP(E1442,[1]库存!$B$1:$C$65536,2,FALSE)</f>
        <v>GWM J01 CN DAB B状态</v>
      </c>
      <c r="G1442" s="59" t="s">
        <v>2346</v>
      </c>
      <c r="H1442" s="59" t="s">
        <v>2347</v>
      </c>
      <c r="I1442" s="59" t="s">
        <v>2315</v>
      </c>
      <c r="J1442" s="63"/>
      <c r="K1442" s="61"/>
      <c r="L1442" s="62">
        <v>0</v>
      </c>
      <c r="M1442" s="63">
        <v>1000</v>
      </c>
      <c r="N1442" s="64">
        <v>10</v>
      </c>
      <c r="O1442" s="62">
        <v>0</v>
      </c>
      <c r="P1442" s="65">
        <f t="shared" si="86"/>
        <v>0</v>
      </c>
      <c r="Q1442" s="66"/>
      <c r="R1442" s="66"/>
      <c r="S1442" s="66"/>
      <c r="T1442" s="66"/>
      <c r="U1442" s="66"/>
      <c r="V1442" s="66"/>
      <c r="W1442" s="66"/>
      <c r="X1442" s="66"/>
      <c r="Y1442" s="66"/>
      <c r="Z1442" s="66"/>
      <c r="AA1442" s="66"/>
      <c r="AB1442" s="66"/>
      <c r="AC1442" s="66"/>
      <c r="AD1442" s="66"/>
      <c r="AE1442" s="66"/>
      <c r="AF1442" s="66"/>
      <c r="AG1442" s="66"/>
      <c r="AH1442" s="66"/>
      <c r="AI1442" s="66"/>
      <c r="AJ1442" s="66"/>
      <c r="AK1442" s="66"/>
      <c r="AL1442" s="66"/>
      <c r="AM1442" s="66"/>
      <c r="AN1442" s="66"/>
      <c r="AO1442" s="66"/>
      <c r="AP1442" s="66"/>
      <c r="AQ1442" s="66"/>
      <c r="AR1442" s="66"/>
      <c r="AS1442" s="66"/>
      <c r="AT1442" s="66"/>
      <c r="AU1442" s="66"/>
      <c r="AV1442" s="66"/>
      <c r="AW1442" s="66"/>
      <c r="AX1442" s="66"/>
      <c r="AY1442" s="66"/>
      <c r="AZ1442" s="66"/>
      <c r="BA1442" s="66"/>
      <c r="BB1442" s="66"/>
      <c r="BC1442" s="66"/>
      <c r="BD1442" s="66"/>
      <c r="BE1442" s="67"/>
      <c r="BF1442" s="67"/>
      <c r="BG1442" s="68"/>
      <c r="BI1442" s="69">
        <v>0</v>
      </c>
      <c r="BJ1442" s="70">
        <v>0</v>
      </c>
      <c r="BK1442" s="71">
        <v>0</v>
      </c>
      <c r="BL1442" s="71">
        <v>0</v>
      </c>
      <c r="BM1442" s="71">
        <v>0</v>
      </c>
      <c r="BN1442" s="72">
        <v>0</v>
      </c>
      <c r="BO1442" s="151" t="e">
        <f t="shared" si="87"/>
        <v>#DIV/0!</v>
      </c>
      <c r="BP1442" s="151" t="e">
        <f t="shared" si="88"/>
        <v>#DIV/0!</v>
      </c>
      <c r="BQ1442" s="71">
        <v>0</v>
      </c>
      <c r="BR1442" s="71">
        <v>0</v>
      </c>
      <c r="BS1442" s="71">
        <v>0</v>
      </c>
      <c r="BT1442" s="72">
        <v>0</v>
      </c>
      <c r="BU1442" s="73"/>
      <c r="BV1442" s="73"/>
    </row>
    <row r="1443" ht="30" customHeight="1" spans="1:74">
      <c r="A1443" s="55">
        <v>0</v>
      </c>
      <c r="B1443" s="56">
        <v>0</v>
      </c>
      <c r="C1443" s="57">
        <v>0</v>
      </c>
      <c r="D1443" s="74"/>
      <c r="E1443" s="74"/>
      <c r="F1443" s="59" t="e">
        <f>VLOOKUP(E1443,[1]库存!$B$1:$C$65536,2,FALSE)</f>
        <v>#N/A</v>
      </c>
      <c r="G1443" s="59" t="e">
        <v>#N/A</v>
      </c>
      <c r="H1443" s="74"/>
      <c r="I1443" s="74"/>
      <c r="J1443" s="87"/>
      <c r="K1443" s="61"/>
      <c r="L1443" s="62">
        <v>0</v>
      </c>
      <c r="M1443" s="63">
        <v>0</v>
      </c>
      <c r="N1443" s="64">
        <v>0</v>
      </c>
      <c r="O1443" s="62">
        <v>0</v>
      </c>
      <c r="P1443" s="65">
        <f t="shared" si="86"/>
        <v>0</v>
      </c>
      <c r="Q1443" s="66"/>
      <c r="R1443" s="66"/>
      <c r="S1443" s="66"/>
      <c r="T1443" s="66"/>
      <c r="U1443" s="66"/>
      <c r="V1443" s="66"/>
      <c r="W1443" s="66"/>
      <c r="X1443" s="66"/>
      <c r="Y1443" s="66"/>
      <c r="Z1443" s="66"/>
      <c r="AA1443" s="66"/>
      <c r="AB1443" s="66"/>
      <c r="AC1443" s="66"/>
      <c r="AD1443" s="66"/>
      <c r="AE1443" s="66"/>
      <c r="AF1443" s="66"/>
      <c r="AG1443" s="66"/>
      <c r="AH1443" s="66"/>
      <c r="AI1443" s="66"/>
      <c r="AJ1443" s="66"/>
      <c r="AK1443" s="66"/>
      <c r="AL1443" s="66"/>
      <c r="AM1443" s="66"/>
      <c r="AN1443" s="66"/>
      <c r="AO1443" s="66"/>
      <c r="AP1443" s="66"/>
      <c r="AQ1443" s="66"/>
      <c r="AR1443" s="66"/>
      <c r="AS1443" s="66"/>
      <c r="AT1443" s="66"/>
      <c r="AU1443" s="66"/>
      <c r="AV1443" s="66"/>
      <c r="AW1443" s="66"/>
      <c r="AX1443" s="66"/>
      <c r="AY1443" s="66"/>
      <c r="AZ1443" s="66"/>
      <c r="BA1443" s="66"/>
      <c r="BB1443" s="66"/>
      <c r="BC1443" s="66"/>
      <c r="BD1443" s="66"/>
      <c r="BE1443" s="67"/>
      <c r="BF1443" s="67"/>
      <c r="BG1443" s="68"/>
      <c r="BI1443" s="69">
        <v>0</v>
      </c>
      <c r="BJ1443" s="70">
        <v>0</v>
      </c>
      <c r="BK1443" s="71">
        <v>0</v>
      </c>
      <c r="BL1443" s="71">
        <v>0</v>
      </c>
      <c r="BM1443" s="71">
        <v>0</v>
      </c>
      <c r="BN1443" s="72">
        <v>0</v>
      </c>
      <c r="BO1443" s="151" t="e">
        <f t="shared" si="87"/>
        <v>#DIV/0!</v>
      </c>
      <c r="BP1443" s="151" t="e">
        <f t="shared" si="88"/>
        <v>#DIV/0!</v>
      </c>
      <c r="BQ1443" s="71">
        <v>0</v>
      </c>
      <c r="BR1443" s="71">
        <v>0</v>
      </c>
      <c r="BS1443" s="71">
        <v>0</v>
      </c>
      <c r="BT1443" s="72">
        <v>0</v>
      </c>
      <c r="BU1443" s="73"/>
      <c r="BV1443" s="73"/>
    </row>
    <row r="1444" ht="30" customHeight="1" spans="1:74">
      <c r="A1444" s="55" t="s">
        <v>165</v>
      </c>
      <c r="B1444" s="56" t="s">
        <v>2247</v>
      </c>
      <c r="C1444" s="57" t="s">
        <v>2343</v>
      </c>
      <c r="D1444" s="59" t="s">
        <v>2344</v>
      </c>
      <c r="E1444" s="59" t="s">
        <v>2348</v>
      </c>
      <c r="F1444" s="59" t="str">
        <f>VLOOKUP(E1444,[1]库存!$B$1:$C$65536,2,FALSE)</f>
        <v>GWM J05 CN DAB A状态</v>
      </c>
      <c r="G1444" s="59" t="s">
        <v>2349</v>
      </c>
      <c r="H1444" s="59" t="s">
        <v>2350</v>
      </c>
      <c r="I1444" s="59" t="s">
        <v>2315</v>
      </c>
      <c r="J1444" s="80" t="s">
        <v>65</v>
      </c>
      <c r="K1444" s="61"/>
      <c r="L1444" s="62">
        <v>0</v>
      </c>
      <c r="M1444" s="63">
        <v>900</v>
      </c>
      <c r="N1444" s="64">
        <v>9</v>
      </c>
      <c r="O1444" s="62">
        <v>0</v>
      </c>
      <c r="P1444" s="65">
        <f t="shared" si="86"/>
        <v>0</v>
      </c>
      <c r="Q1444" s="66"/>
      <c r="R1444" s="66"/>
      <c r="S1444" s="66"/>
      <c r="T1444" s="66"/>
      <c r="U1444" s="66"/>
      <c r="V1444" s="66"/>
      <c r="W1444" s="66"/>
      <c r="X1444" s="66"/>
      <c r="Y1444" s="66"/>
      <c r="Z1444" s="66"/>
      <c r="AA1444" s="66"/>
      <c r="AB1444" s="66"/>
      <c r="AC1444" s="66"/>
      <c r="AD1444" s="66"/>
      <c r="AE1444" s="66"/>
      <c r="AF1444" s="66"/>
      <c r="AG1444" s="66"/>
      <c r="AH1444" s="66"/>
      <c r="AI1444" s="66"/>
      <c r="AJ1444" s="66"/>
      <c r="AK1444" s="66"/>
      <c r="AL1444" s="66"/>
      <c r="AM1444" s="66"/>
      <c r="AN1444" s="66"/>
      <c r="AO1444" s="66"/>
      <c r="AP1444" s="66"/>
      <c r="AQ1444" s="66"/>
      <c r="AR1444" s="66"/>
      <c r="AS1444" s="66"/>
      <c r="AT1444" s="66"/>
      <c r="AU1444" s="66"/>
      <c r="AV1444" s="66"/>
      <c r="AW1444" s="66"/>
      <c r="AX1444" s="66"/>
      <c r="AY1444" s="66"/>
      <c r="AZ1444" s="66"/>
      <c r="BA1444" s="66"/>
      <c r="BB1444" s="66"/>
      <c r="BC1444" s="66"/>
      <c r="BD1444" s="66"/>
      <c r="BE1444" s="67"/>
      <c r="BF1444" s="67"/>
      <c r="BG1444" s="68"/>
      <c r="BI1444" s="69">
        <v>0</v>
      </c>
      <c r="BJ1444" s="70">
        <v>0</v>
      </c>
      <c r="BK1444" s="71">
        <v>0</v>
      </c>
      <c r="BL1444" s="71">
        <v>0</v>
      </c>
      <c r="BM1444" s="71">
        <v>0</v>
      </c>
      <c r="BN1444" s="72">
        <v>0</v>
      </c>
      <c r="BO1444" s="151" t="e">
        <f t="shared" si="87"/>
        <v>#DIV/0!</v>
      </c>
      <c r="BP1444" s="151" t="e">
        <f t="shared" si="88"/>
        <v>#DIV/0!</v>
      </c>
      <c r="BQ1444" s="71">
        <v>0</v>
      </c>
      <c r="BR1444" s="71">
        <v>0</v>
      </c>
      <c r="BS1444" s="71">
        <v>0</v>
      </c>
      <c r="BT1444" s="72">
        <v>0</v>
      </c>
      <c r="BU1444" s="73"/>
      <c r="BV1444" s="73"/>
    </row>
    <row r="1445" ht="30" customHeight="1" spans="1:74">
      <c r="A1445" s="55">
        <v>0</v>
      </c>
      <c r="B1445" s="56">
        <v>0</v>
      </c>
      <c r="C1445" s="57">
        <v>0</v>
      </c>
      <c r="D1445" s="74"/>
      <c r="E1445" s="74"/>
      <c r="F1445" s="59" t="e">
        <f>VLOOKUP(E1445,[1]库存!$B$1:$C$65536,2,FALSE)</f>
        <v>#N/A</v>
      </c>
      <c r="G1445" s="59" t="e">
        <v>#N/A</v>
      </c>
      <c r="H1445" s="74"/>
      <c r="I1445" s="74"/>
      <c r="J1445" s="81"/>
      <c r="K1445" s="61"/>
      <c r="L1445" s="62">
        <v>0</v>
      </c>
      <c r="M1445" s="63">
        <v>0</v>
      </c>
      <c r="N1445" s="64">
        <v>0</v>
      </c>
      <c r="O1445" s="62">
        <v>0</v>
      </c>
      <c r="P1445" s="65">
        <f t="shared" si="86"/>
        <v>0</v>
      </c>
      <c r="Q1445" s="66"/>
      <c r="R1445" s="66"/>
      <c r="S1445" s="66"/>
      <c r="T1445" s="66"/>
      <c r="U1445" s="66"/>
      <c r="V1445" s="66"/>
      <c r="W1445" s="66"/>
      <c r="X1445" s="66"/>
      <c r="Y1445" s="66"/>
      <c r="Z1445" s="66"/>
      <c r="AA1445" s="66"/>
      <c r="AB1445" s="66"/>
      <c r="AC1445" s="66"/>
      <c r="AD1445" s="66"/>
      <c r="AE1445" s="66"/>
      <c r="AF1445" s="66"/>
      <c r="AG1445" s="66"/>
      <c r="AH1445" s="66"/>
      <c r="AI1445" s="66"/>
      <c r="AJ1445" s="66"/>
      <c r="AK1445" s="66"/>
      <c r="AL1445" s="66"/>
      <c r="AM1445" s="66"/>
      <c r="AN1445" s="66"/>
      <c r="AO1445" s="66"/>
      <c r="AP1445" s="66"/>
      <c r="AQ1445" s="66"/>
      <c r="AR1445" s="66"/>
      <c r="AS1445" s="66"/>
      <c r="AT1445" s="66"/>
      <c r="AU1445" s="66"/>
      <c r="AV1445" s="66"/>
      <c r="AW1445" s="66"/>
      <c r="AX1445" s="66"/>
      <c r="AY1445" s="66"/>
      <c r="AZ1445" s="66"/>
      <c r="BA1445" s="66"/>
      <c r="BB1445" s="66"/>
      <c r="BC1445" s="66"/>
      <c r="BD1445" s="66"/>
      <c r="BE1445" s="67"/>
      <c r="BF1445" s="67"/>
      <c r="BG1445" s="68"/>
      <c r="BI1445" s="69">
        <v>0</v>
      </c>
      <c r="BJ1445" s="70">
        <v>0</v>
      </c>
      <c r="BK1445" s="71">
        <v>0</v>
      </c>
      <c r="BL1445" s="71">
        <v>0</v>
      </c>
      <c r="BM1445" s="71">
        <v>0</v>
      </c>
      <c r="BN1445" s="72">
        <v>0</v>
      </c>
      <c r="BO1445" s="151" t="e">
        <f t="shared" si="87"/>
        <v>#DIV/0!</v>
      </c>
      <c r="BP1445" s="151" t="e">
        <f t="shared" si="88"/>
        <v>#DIV/0!</v>
      </c>
      <c r="BQ1445" s="71">
        <v>0</v>
      </c>
      <c r="BR1445" s="71">
        <v>0</v>
      </c>
      <c r="BS1445" s="71">
        <v>0</v>
      </c>
      <c r="BT1445" s="72">
        <v>0</v>
      </c>
      <c r="BU1445" s="73"/>
      <c r="BV1445" s="73"/>
    </row>
    <row r="1446" ht="30" customHeight="1" spans="1:74">
      <c r="A1446" s="55" t="s">
        <v>246</v>
      </c>
      <c r="B1446" s="56" t="s">
        <v>2247</v>
      </c>
      <c r="C1446" s="57" t="s">
        <v>2343</v>
      </c>
      <c r="D1446" s="59" t="s">
        <v>2344</v>
      </c>
      <c r="E1446" s="59" t="s">
        <v>2351</v>
      </c>
      <c r="F1446" s="59" t="str">
        <f>VLOOKUP(E1446,[1]库存!$B$1:$C$65536,2,FALSE)</f>
        <v>GWM EC24 DAB</v>
      </c>
      <c r="G1446" s="59" t="s">
        <v>2352</v>
      </c>
      <c r="H1446" s="59" t="s">
        <v>2353</v>
      </c>
      <c r="I1446" s="59" t="s">
        <v>2354</v>
      </c>
      <c r="J1446" s="80" t="s">
        <v>65</v>
      </c>
      <c r="K1446" s="61"/>
      <c r="L1446" s="62">
        <v>0</v>
      </c>
      <c r="M1446" s="63">
        <v>800</v>
      </c>
      <c r="N1446" s="64">
        <v>10</v>
      </c>
      <c r="O1446" s="62">
        <v>0</v>
      </c>
      <c r="P1446" s="65">
        <f t="shared" si="86"/>
        <v>0</v>
      </c>
      <c r="Q1446" s="66"/>
      <c r="R1446" s="66"/>
      <c r="S1446" s="66"/>
      <c r="T1446" s="66"/>
      <c r="U1446" s="66"/>
      <c r="V1446" s="66"/>
      <c r="W1446" s="66"/>
      <c r="X1446" s="66"/>
      <c r="Y1446" s="66"/>
      <c r="Z1446" s="66"/>
      <c r="AA1446" s="66"/>
      <c r="AB1446" s="66"/>
      <c r="AC1446" s="66"/>
      <c r="AD1446" s="66"/>
      <c r="AE1446" s="66"/>
      <c r="AF1446" s="66"/>
      <c r="AG1446" s="66"/>
      <c r="AH1446" s="66"/>
      <c r="AI1446" s="66"/>
      <c r="AJ1446" s="66"/>
      <c r="AK1446" s="66"/>
      <c r="AL1446" s="66"/>
      <c r="AM1446" s="66"/>
      <c r="AN1446" s="66"/>
      <c r="AO1446" s="66"/>
      <c r="AP1446" s="66"/>
      <c r="AQ1446" s="66"/>
      <c r="AR1446" s="66"/>
      <c r="AS1446" s="66"/>
      <c r="AT1446" s="66"/>
      <c r="AU1446" s="66"/>
      <c r="AV1446" s="66"/>
      <c r="AW1446" s="66"/>
      <c r="AX1446" s="66"/>
      <c r="AY1446" s="66"/>
      <c r="AZ1446" s="66"/>
      <c r="BA1446" s="66"/>
      <c r="BB1446" s="66"/>
      <c r="BC1446" s="66"/>
      <c r="BD1446" s="66"/>
      <c r="BE1446" s="67"/>
      <c r="BF1446" s="67"/>
      <c r="BG1446" s="68"/>
      <c r="BI1446" s="69">
        <v>0</v>
      </c>
      <c r="BJ1446" s="70">
        <v>0</v>
      </c>
      <c r="BK1446" s="71">
        <v>0</v>
      </c>
      <c r="BL1446" s="71">
        <v>0</v>
      </c>
      <c r="BM1446" s="71">
        <v>0</v>
      </c>
      <c r="BN1446" s="72">
        <v>0</v>
      </c>
      <c r="BO1446" s="151" t="e">
        <f t="shared" si="87"/>
        <v>#DIV/0!</v>
      </c>
      <c r="BP1446" s="151" t="e">
        <f t="shared" si="88"/>
        <v>#DIV/0!</v>
      </c>
      <c r="BQ1446" s="71">
        <v>0</v>
      </c>
      <c r="BR1446" s="71">
        <v>0</v>
      </c>
      <c r="BS1446" s="71">
        <v>0</v>
      </c>
      <c r="BT1446" s="72">
        <v>0</v>
      </c>
      <c r="BU1446" s="73"/>
      <c r="BV1446" s="73"/>
    </row>
    <row r="1447" ht="30" customHeight="1" spans="1:74">
      <c r="A1447" s="55">
        <v>0</v>
      </c>
      <c r="B1447" s="56">
        <v>0</v>
      </c>
      <c r="C1447" s="57">
        <v>0</v>
      </c>
      <c r="D1447" s="74"/>
      <c r="E1447" s="74"/>
      <c r="F1447" s="59" t="e">
        <f>VLOOKUP(E1447,[1]库存!$B$1:$C$65536,2,FALSE)</f>
        <v>#N/A</v>
      </c>
      <c r="G1447" s="59" t="e">
        <v>#N/A</v>
      </c>
      <c r="H1447" s="74"/>
      <c r="I1447" s="74"/>
      <c r="J1447" s="81"/>
      <c r="K1447" s="61"/>
      <c r="L1447" s="62">
        <v>0</v>
      </c>
      <c r="M1447" s="63">
        <v>0</v>
      </c>
      <c r="N1447" s="64">
        <v>0</v>
      </c>
      <c r="O1447" s="62">
        <v>0</v>
      </c>
      <c r="P1447" s="65">
        <f t="shared" si="86"/>
        <v>0</v>
      </c>
      <c r="Q1447" s="66"/>
      <c r="R1447" s="66"/>
      <c r="S1447" s="66"/>
      <c r="T1447" s="66"/>
      <c r="U1447" s="66"/>
      <c r="V1447" s="66"/>
      <c r="W1447" s="66"/>
      <c r="X1447" s="66"/>
      <c r="Y1447" s="66"/>
      <c r="Z1447" s="66"/>
      <c r="AA1447" s="66"/>
      <c r="AB1447" s="66"/>
      <c r="AC1447" s="66"/>
      <c r="AD1447" s="66"/>
      <c r="AE1447" s="66"/>
      <c r="AF1447" s="66"/>
      <c r="AG1447" s="66"/>
      <c r="AH1447" s="66"/>
      <c r="AI1447" s="66"/>
      <c r="AJ1447" s="66"/>
      <c r="AK1447" s="66"/>
      <c r="AL1447" s="66"/>
      <c r="AM1447" s="66"/>
      <c r="AN1447" s="66"/>
      <c r="AO1447" s="66"/>
      <c r="AP1447" s="66"/>
      <c r="AQ1447" s="66"/>
      <c r="AR1447" s="66"/>
      <c r="AS1447" s="66"/>
      <c r="AT1447" s="66"/>
      <c r="AU1447" s="66"/>
      <c r="AV1447" s="66"/>
      <c r="AW1447" s="66"/>
      <c r="AX1447" s="66"/>
      <c r="AY1447" s="66"/>
      <c r="AZ1447" s="66"/>
      <c r="BA1447" s="66"/>
      <c r="BB1447" s="66"/>
      <c r="BC1447" s="66"/>
      <c r="BD1447" s="66"/>
      <c r="BE1447" s="67"/>
      <c r="BF1447" s="67"/>
      <c r="BG1447" s="68"/>
      <c r="BI1447" s="69">
        <v>0</v>
      </c>
      <c r="BJ1447" s="70">
        <v>0</v>
      </c>
      <c r="BK1447" s="71">
        <v>0</v>
      </c>
      <c r="BL1447" s="71">
        <v>0</v>
      </c>
      <c r="BM1447" s="71">
        <v>0</v>
      </c>
      <c r="BN1447" s="72">
        <v>0</v>
      </c>
      <c r="BO1447" s="151" t="e">
        <f t="shared" si="87"/>
        <v>#DIV/0!</v>
      </c>
      <c r="BP1447" s="151" t="e">
        <f t="shared" si="88"/>
        <v>#DIV/0!</v>
      </c>
      <c r="BQ1447" s="71">
        <v>0</v>
      </c>
      <c r="BR1447" s="71">
        <v>0</v>
      </c>
      <c r="BS1447" s="71">
        <v>0</v>
      </c>
      <c r="BT1447" s="72">
        <v>0</v>
      </c>
      <c r="BU1447" s="73"/>
      <c r="BV1447" s="73"/>
    </row>
    <row r="1448" ht="30" customHeight="1" spans="1:74">
      <c r="A1448" s="55" t="s">
        <v>410</v>
      </c>
      <c r="B1448" s="56" t="s">
        <v>2247</v>
      </c>
      <c r="C1448" s="57" t="s">
        <v>2343</v>
      </c>
      <c r="D1448" s="59" t="s">
        <v>2344</v>
      </c>
      <c r="E1448" s="59" t="s">
        <v>2355</v>
      </c>
      <c r="F1448" s="59" t="str">
        <f>VLOOKUP(E1448,[1]库存!$B$1:$C$65536,2,FALSE)</f>
        <v>Xpeng E38 DAB</v>
      </c>
      <c r="G1448" s="59" t="s">
        <v>2356</v>
      </c>
      <c r="H1448" s="59" t="s">
        <v>2357</v>
      </c>
      <c r="I1448" s="59" t="s">
        <v>2358</v>
      </c>
      <c r="J1448" s="80" t="s">
        <v>65</v>
      </c>
      <c r="K1448" s="61"/>
      <c r="L1448" s="62">
        <v>0</v>
      </c>
      <c r="M1448" s="63">
        <v>1000</v>
      </c>
      <c r="N1448" s="64">
        <v>10</v>
      </c>
      <c r="O1448" s="62">
        <v>0</v>
      </c>
      <c r="P1448" s="65">
        <f t="shared" si="86"/>
        <v>0</v>
      </c>
      <c r="Q1448" s="66"/>
      <c r="R1448" s="66"/>
      <c r="S1448" s="66"/>
      <c r="T1448" s="66"/>
      <c r="U1448" s="66"/>
      <c r="V1448" s="66"/>
      <c r="W1448" s="66"/>
      <c r="X1448" s="66"/>
      <c r="Y1448" s="66"/>
      <c r="Z1448" s="66"/>
      <c r="AA1448" s="66"/>
      <c r="AB1448" s="66"/>
      <c r="AC1448" s="66"/>
      <c r="AD1448" s="66"/>
      <c r="AE1448" s="66"/>
      <c r="AF1448" s="66"/>
      <c r="AG1448" s="66"/>
      <c r="AH1448" s="66"/>
      <c r="AI1448" s="66"/>
      <c r="AJ1448" s="66"/>
      <c r="AK1448" s="66"/>
      <c r="AL1448" s="66"/>
      <c r="AM1448" s="66"/>
      <c r="AN1448" s="66"/>
      <c r="AO1448" s="66"/>
      <c r="AP1448" s="66"/>
      <c r="AQ1448" s="66"/>
      <c r="AR1448" s="66"/>
      <c r="AS1448" s="66"/>
      <c r="AT1448" s="66"/>
      <c r="AU1448" s="66"/>
      <c r="AV1448" s="66"/>
      <c r="AW1448" s="66"/>
      <c r="AX1448" s="66"/>
      <c r="AY1448" s="66"/>
      <c r="AZ1448" s="66"/>
      <c r="BA1448" s="66"/>
      <c r="BB1448" s="66"/>
      <c r="BC1448" s="66"/>
      <c r="BD1448" s="66"/>
      <c r="BE1448" s="67"/>
      <c r="BF1448" s="67"/>
      <c r="BG1448" s="68"/>
      <c r="BI1448" s="69">
        <v>0</v>
      </c>
      <c r="BJ1448" s="70">
        <v>0</v>
      </c>
      <c r="BK1448" s="71">
        <v>0</v>
      </c>
      <c r="BL1448" s="71">
        <v>0</v>
      </c>
      <c r="BM1448" s="71">
        <v>0</v>
      </c>
      <c r="BN1448" s="72">
        <v>0</v>
      </c>
      <c r="BO1448" s="151" t="e">
        <f t="shared" si="87"/>
        <v>#DIV/0!</v>
      </c>
      <c r="BP1448" s="151" t="e">
        <f t="shared" si="88"/>
        <v>#DIV/0!</v>
      </c>
      <c r="BQ1448" s="71">
        <v>0</v>
      </c>
      <c r="BR1448" s="71">
        <v>0</v>
      </c>
      <c r="BS1448" s="71">
        <v>0</v>
      </c>
      <c r="BT1448" s="72">
        <v>0</v>
      </c>
      <c r="BU1448" s="73"/>
      <c r="BV1448" s="73"/>
    </row>
    <row r="1449" ht="30" customHeight="1" spans="1:74">
      <c r="A1449" s="55">
        <v>0</v>
      </c>
      <c r="B1449" s="56">
        <v>0</v>
      </c>
      <c r="C1449" s="57">
        <v>0</v>
      </c>
      <c r="D1449" s="74"/>
      <c r="E1449" s="74"/>
      <c r="F1449" s="59" t="e">
        <f>VLOOKUP(E1449,[1]库存!$B$1:$C$65536,2,FALSE)</f>
        <v>#N/A</v>
      </c>
      <c r="G1449" s="59" t="e">
        <v>#N/A</v>
      </c>
      <c r="H1449" s="74"/>
      <c r="I1449" s="74"/>
      <c r="J1449" s="81"/>
      <c r="K1449" s="61"/>
      <c r="L1449" s="62">
        <v>0</v>
      </c>
      <c r="M1449" s="63">
        <v>0</v>
      </c>
      <c r="N1449" s="64">
        <v>0</v>
      </c>
      <c r="O1449" s="62">
        <v>0</v>
      </c>
      <c r="P1449" s="65">
        <f t="shared" si="86"/>
        <v>0</v>
      </c>
      <c r="Q1449" s="66"/>
      <c r="R1449" s="66"/>
      <c r="S1449" s="66"/>
      <c r="T1449" s="66"/>
      <c r="U1449" s="66"/>
      <c r="V1449" s="66"/>
      <c r="W1449" s="66"/>
      <c r="X1449" s="66"/>
      <c r="Y1449" s="66"/>
      <c r="Z1449" s="66"/>
      <c r="AA1449" s="66"/>
      <c r="AB1449" s="66"/>
      <c r="AC1449" s="66"/>
      <c r="AD1449" s="66"/>
      <c r="AE1449" s="66"/>
      <c r="AF1449" s="66"/>
      <c r="AG1449" s="66"/>
      <c r="AH1449" s="66"/>
      <c r="AI1449" s="66"/>
      <c r="AJ1449" s="66"/>
      <c r="AK1449" s="66"/>
      <c r="AL1449" s="66"/>
      <c r="AM1449" s="66"/>
      <c r="AN1449" s="66"/>
      <c r="AO1449" s="66"/>
      <c r="AP1449" s="66"/>
      <c r="AQ1449" s="66"/>
      <c r="AR1449" s="66"/>
      <c r="AS1449" s="66"/>
      <c r="AT1449" s="66"/>
      <c r="AU1449" s="66"/>
      <c r="AV1449" s="66"/>
      <c r="AW1449" s="66"/>
      <c r="AX1449" s="66"/>
      <c r="AY1449" s="66"/>
      <c r="AZ1449" s="66"/>
      <c r="BA1449" s="66"/>
      <c r="BB1449" s="66"/>
      <c r="BC1449" s="66"/>
      <c r="BD1449" s="66"/>
      <c r="BE1449" s="67"/>
      <c r="BF1449" s="67"/>
      <c r="BG1449" s="68"/>
      <c r="BI1449" s="69">
        <v>0</v>
      </c>
      <c r="BJ1449" s="70">
        <v>0</v>
      </c>
      <c r="BK1449" s="71">
        <v>0</v>
      </c>
      <c r="BL1449" s="71">
        <v>0</v>
      </c>
      <c r="BM1449" s="71">
        <v>0</v>
      </c>
      <c r="BN1449" s="72">
        <v>0</v>
      </c>
      <c r="BO1449" s="151" t="e">
        <f t="shared" si="87"/>
        <v>#DIV/0!</v>
      </c>
      <c r="BP1449" s="151" t="e">
        <f t="shared" si="88"/>
        <v>#DIV/0!</v>
      </c>
      <c r="BQ1449" s="71">
        <v>0</v>
      </c>
      <c r="BR1449" s="71">
        <v>0</v>
      </c>
      <c r="BS1449" s="71">
        <v>0</v>
      </c>
      <c r="BT1449" s="72">
        <v>0</v>
      </c>
      <c r="BU1449" s="73"/>
      <c r="BV1449" s="73"/>
    </row>
    <row r="1450" ht="30" customHeight="1" spans="1:74">
      <c r="A1450" s="55" t="s">
        <v>410</v>
      </c>
      <c r="B1450" s="56" t="s">
        <v>2247</v>
      </c>
      <c r="C1450" s="57" t="s">
        <v>2343</v>
      </c>
      <c r="D1450" s="59" t="s">
        <v>2344</v>
      </c>
      <c r="E1450" s="59" t="s">
        <v>2359</v>
      </c>
      <c r="F1450" s="59" t="str">
        <f>VLOOKUP(E1450,[1]库存!$B$1:$C$65536,2,FALSE)</f>
        <v>XPENG H93 DAB</v>
      </c>
      <c r="G1450" s="59" t="s">
        <v>2360</v>
      </c>
      <c r="H1450" s="59" t="s">
        <v>2361</v>
      </c>
      <c r="I1450" s="59" t="s">
        <v>2315</v>
      </c>
      <c r="J1450" s="80" t="s">
        <v>65</v>
      </c>
      <c r="K1450" s="61"/>
      <c r="L1450" s="62">
        <v>0</v>
      </c>
      <c r="M1450" s="63">
        <v>1000</v>
      </c>
      <c r="N1450" s="64">
        <v>10</v>
      </c>
      <c r="O1450" s="62">
        <v>0</v>
      </c>
      <c r="P1450" s="65">
        <f t="shared" si="86"/>
        <v>0</v>
      </c>
      <c r="Q1450" s="66"/>
      <c r="R1450" s="66"/>
      <c r="S1450" s="66"/>
      <c r="T1450" s="66"/>
      <c r="U1450" s="66"/>
      <c r="V1450" s="66"/>
      <c r="W1450" s="66"/>
      <c r="X1450" s="66"/>
      <c r="Y1450" s="66"/>
      <c r="Z1450" s="66"/>
      <c r="AA1450" s="66"/>
      <c r="AB1450" s="66"/>
      <c r="AC1450" s="66"/>
      <c r="AD1450" s="66"/>
      <c r="AE1450" s="66"/>
      <c r="AF1450" s="66"/>
      <c r="AG1450" s="66"/>
      <c r="AH1450" s="66"/>
      <c r="AI1450" s="66"/>
      <c r="AJ1450" s="66"/>
      <c r="AK1450" s="66"/>
      <c r="AL1450" s="66"/>
      <c r="AM1450" s="66"/>
      <c r="AN1450" s="66"/>
      <c r="AO1450" s="66"/>
      <c r="AP1450" s="66"/>
      <c r="AQ1450" s="66"/>
      <c r="AR1450" s="66"/>
      <c r="AS1450" s="66"/>
      <c r="AT1450" s="66"/>
      <c r="AU1450" s="66"/>
      <c r="AV1450" s="66"/>
      <c r="AW1450" s="66"/>
      <c r="AX1450" s="66"/>
      <c r="AY1450" s="66"/>
      <c r="AZ1450" s="66"/>
      <c r="BA1450" s="66"/>
      <c r="BB1450" s="66"/>
      <c r="BC1450" s="66"/>
      <c r="BD1450" s="66"/>
      <c r="BE1450" s="67"/>
      <c r="BF1450" s="67"/>
      <c r="BG1450" s="68"/>
      <c r="BI1450" s="69">
        <v>0</v>
      </c>
      <c r="BJ1450" s="70">
        <v>0</v>
      </c>
      <c r="BK1450" s="71">
        <v>0</v>
      </c>
      <c r="BL1450" s="71">
        <v>0</v>
      </c>
      <c r="BM1450" s="71">
        <v>0</v>
      </c>
      <c r="BN1450" s="72">
        <v>0</v>
      </c>
      <c r="BO1450" s="151" t="e">
        <f t="shared" si="87"/>
        <v>#DIV/0!</v>
      </c>
      <c r="BP1450" s="151" t="e">
        <f t="shared" si="88"/>
        <v>#DIV/0!</v>
      </c>
      <c r="BQ1450" s="71">
        <v>0</v>
      </c>
      <c r="BR1450" s="71">
        <v>0</v>
      </c>
      <c r="BS1450" s="71">
        <v>0</v>
      </c>
      <c r="BT1450" s="72">
        <v>0</v>
      </c>
      <c r="BU1450" s="73"/>
      <c r="BV1450" s="73"/>
    </row>
    <row r="1451" ht="30" customHeight="1" spans="1:74">
      <c r="A1451" s="55">
        <v>0</v>
      </c>
      <c r="B1451" s="56">
        <v>0</v>
      </c>
      <c r="C1451" s="57">
        <v>0</v>
      </c>
      <c r="D1451" s="74"/>
      <c r="E1451" s="74"/>
      <c r="F1451" s="59" t="e">
        <f>VLOOKUP(E1451,[1]库存!$B$1:$C$65536,2,FALSE)</f>
        <v>#N/A</v>
      </c>
      <c r="G1451" s="59" t="e">
        <v>#N/A</v>
      </c>
      <c r="H1451" s="74"/>
      <c r="I1451" s="74"/>
      <c r="J1451" s="81"/>
      <c r="K1451" s="61"/>
      <c r="L1451" s="62">
        <v>0</v>
      </c>
      <c r="M1451" s="63">
        <v>0</v>
      </c>
      <c r="N1451" s="64">
        <v>0</v>
      </c>
      <c r="O1451" s="62">
        <v>0</v>
      </c>
      <c r="P1451" s="65">
        <f t="shared" si="86"/>
        <v>0</v>
      </c>
      <c r="Q1451" s="66"/>
      <c r="R1451" s="66"/>
      <c r="S1451" s="66"/>
      <c r="T1451" s="66"/>
      <c r="U1451" s="66"/>
      <c r="V1451" s="66"/>
      <c r="W1451" s="66"/>
      <c r="X1451" s="66"/>
      <c r="Y1451" s="66"/>
      <c r="Z1451" s="66"/>
      <c r="AA1451" s="66"/>
      <c r="AB1451" s="66"/>
      <c r="AC1451" s="66"/>
      <c r="AD1451" s="66"/>
      <c r="AE1451" s="66"/>
      <c r="AF1451" s="66"/>
      <c r="AG1451" s="66"/>
      <c r="AH1451" s="66"/>
      <c r="AI1451" s="66"/>
      <c r="AJ1451" s="66"/>
      <c r="AK1451" s="66"/>
      <c r="AL1451" s="66"/>
      <c r="AM1451" s="66"/>
      <c r="AN1451" s="66"/>
      <c r="AO1451" s="66"/>
      <c r="AP1451" s="66"/>
      <c r="AQ1451" s="66"/>
      <c r="AR1451" s="66"/>
      <c r="AS1451" s="66"/>
      <c r="AT1451" s="66"/>
      <c r="AU1451" s="66"/>
      <c r="AV1451" s="66"/>
      <c r="AW1451" s="66"/>
      <c r="AX1451" s="66"/>
      <c r="AY1451" s="66"/>
      <c r="AZ1451" s="66"/>
      <c r="BA1451" s="66"/>
      <c r="BB1451" s="66"/>
      <c r="BC1451" s="66"/>
      <c r="BD1451" s="66"/>
      <c r="BE1451" s="67"/>
      <c r="BF1451" s="67"/>
      <c r="BG1451" s="68"/>
      <c r="BI1451" s="69">
        <v>0</v>
      </c>
      <c r="BJ1451" s="70">
        <v>0</v>
      </c>
      <c r="BK1451" s="71">
        <v>0</v>
      </c>
      <c r="BL1451" s="71">
        <v>0</v>
      </c>
      <c r="BM1451" s="71">
        <v>0</v>
      </c>
      <c r="BN1451" s="72">
        <v>0</v>
      </c>
      <c r="BO1451" s="151" t="e">
        <f t="shared" si="87"/>
        <v>#DIV/0!</v>
      </c>
      <c r="BP1451" s="151" t="e">
        <f t="shared" si="88"/>
        <v>#DIV/0!</v>
      </c>
      <c r="BQ1451" s="71">
        <v>0</v>
      </c>
      <c r="BR1451" s="71">
        <v>0</v>
      </c>
      <c r="BS1451" s="71">
        <v>0</v>
      </c>
      <c r="BT1451" s="72">
        <v>0</v>
      </c>
      <c r="BU1451" s="73"/>
      <c r="BV1451" s="73"/>
    </row>
    <row r="1452" ht="30" customHeight="1" spans="1:74">
      <c r="A1452" s="55">
        <v>0</v>
      </c>
      <c r="B1452" s="56">
        <v>0</v>
      </c>
      <c r="C1452" s="57">
        <v>0</v>
      </c>
      <c r="D1452" s="210"/>
      <c r="E1452" s="88"/>
      <c r="F1452" s="59" t="e">
        <f>VLOOKUP(E1452,[1]库存!$B$1:$C$65536,2,FALSE)</f>
        <v>#N/A</v>
      </c>
      <c r="G1452" s="59" t="e">
        <v>#N/A</v>
      </c>
      <c r="H1452" s="238"/>
      <c r="I1452" s="239"/>
      <c r="J1452" s="90"/>
      <c r="K1452" s="61"/>
      <c r="L1452" s="62">
        <v>0</v>
      </c>
      <c r="M1452" s="63">
        <v>0</v>
      </c>
      <c r="N1452" s="64">
        <v>0</v>
      </c>
      <c r="O1452" s="62">
        <v>0</v>
      </c>
      <c r="P1452" s="65">
        <f t="shared" si="86"/>
        <v>0</v>
      </c>
      <c r="Q1452" s="66"/>
      <c r="R1452" s="66"/>
      <c r="S1452" s="66"/>
      <c r="T1452" s="66"/>
      <c r="U1452" s="66"/>
      <c r="V1452" s="66"/>
      <c r="W1452" s="66"/>
      <c r="X1452" s="66"/>
      <c r="Y1452" s="66"/>
      <c r="Z1452" s="66"/>
      <c r="AA1452" s="66"/>
      <c r="AB1452" s="66"/>
      <c r="AC1452" s="66"/>
      <c r="AD1452" s="66"/>
      <c r="AE1452" s="66"/>
      <c r="AF1452" s="66"/>
      <c r="AG1452" s="66"/>
      <c r="AH1452" s="66"/>
      <c r="AI1452" s="66"/>
      <c r="AJ1452" s="66"/>
      <c r="AK1452" s="66"/>
      <c r="AL1452" s="66"/>
      <c r="AM1452" s="66"/>
      <c r="AN1452" s="66"/>
      <c r="AO1452" s="66"/>
      <c r="AP1452" s="66"/>
      <c r="AQ1452" s="66"/>
      <c r="AR1452" s="66"/>
      <c r="AS1452" s="66"/>
      <c r="AT1452" s="66"/>
      <c r="AU1452" s="66"/>
      <c r="AV1452" s="66"/>
      <c r="AW1452" s="66"/>
      <c r="AX1452" s="66"/>
      <c r="AY1452" s="66"/>
      <c r="AZ1452" s="66"/>
      <c r="BA1452" s="66"/>
      <c r="BB1452" s="66"/>
      <c r="BC1452" s="66"/>
      <c r="BD1452" s="66"/>
      <c r="BE1452" s="67"/>
      <c r="BF1452" s="67"/>
      <c r="BG1452" s="68"/>
      <c r="BI1452" s="69">
        <v>0</v>
      </c>
      <c r="BJ1452" s="70">
        <v>0</v>
      </c>
      <c r="BK1452" s="71">
        <v>0</v>
      </c>
      <c r="BL1452" s="71">
        <v>0</v>
      </c>
      <c r="BM1452" s="71">
        <v>0</v>
      </c>
      <c r="BN1452" s="72">
        <v>0</v>
      </c>
      <c r="BO1452" s="151" t="e">
        <f t="shared" si="87"/>
        <v>#DIV/0!</v>
      </c>
      <c r="BP1452" s="151" t="e">
        <f t="shared" si="88"/>
        <v>#DIV/0!</v>
      </c>
      <c r="BQ1452" s="71">
        <v>0</v>
      </c>
      <c r="BR1452" s="71">
        <v>0</v>
      </c>
      <c r="BS1452" s="71">
        <v>0</v>
      </c>
      <c r="BT1452" s="72">
        <v>0</v>
      </c>
      <c r="BU1452" s="73"/>
      <c r="BV1452" s="73"/>
    </row>
    <row r="1453" ht="30" customHeight="1" spans="1:74">
      <c r="A1453" s="55" t="s">
        <v>165</v>
      </c>
      <c r="B1453" s="56" t="s">
        <v>2247</v>
      </c>
      <c r="C1453" s="57" t="s">
        <v>2343</v>
      </c>
      <c r="D1453" s="91" t="s">
        <v>2362</v>
      </c>
      <c r="E1453" s="91" t="s">
        <v>2363</v>
      </c>
      <c r="F1453" s="91" t="str">
        <f>VLOOKUP(E1453,[1]库存!$B$1:$C$65536,2,FALSE)</f>
        <v>GAC A79 FSAB LH</v>
      </c>
      <c r="G1453" s="91" t="s">
        <v>2364</v>
      </c>
      <c r="H1453" s="91" t="s">
        <v>2365</v>
      </c>
      <c r="I1453" s="91" t="s">
        <v>2366</v>
      </c>
      <c r="J1453" s="63"/>
      <c r="K1453" s="61"/>
      <c r="L1453" s="62">
        <v>2</v>
      </c>
      <c r="M1453" s="63">
        <v>1200</v>
      </c>
      <c r="N1453" s="64">
        <v>12</v>
      </c>
      <c r="O1453" s="62">
        <v>2</v>
      </c>
      <c r="P1453" s="65">
        <f t="shared" si="86"/>
        <v>0</v>
      </c>
      <c r="Q1453" s="66"/>
      <c r="R1453" s="66"/>
      <c r="S1453" s="66"/>
      <c r="T1453" s="66"/>
      <c r="U1453" s="66"/>
      <c r="V1453" s="66"/>
      <c r="W1453" s="66"/>
      <c r="X1453" s="66"/>
      <c r="Y1453" s="66"/>
      <c r="Z1453" s="66"/>
      <c r="AA1453" s="66"/>
      <c r="AB1453" s="66"/>
      <c r="AC1453" s="66"/>
      <c r="AD1453" s="66"/>
      <c r="AE1453" s="66"/>
      <c r="AF1453" s="66"/>
      <c r="AG1453" s="66"/>
      <c r="AH1453" s="66"/>
      <c r="AI1453" s="66"/>
      <c r="AJ1453" s="66"/>
      <c r="AK1453" s="66"/>
      <c r="AL1453" s="66"/>
      <c r="AM1453" s="66"/>
      <c r="AN1453" s="66"/>
      <c r="AO1453" s="66"/>
      <c r="AP1453" s="66"/>
      <c r="AQ1453" s="66"/>
      <c r="AR1453" s="66"/>
      <c r="AS1453" s="66"/>
      <c r="AT1453" s="66"/>
      <c r="AU1453" s="66"/>
      <c r="AV1453" s="66"/>
      <c r="AW1453" s="66"/>
      <c r="AX1453" s="66"/>
      <c r="AY1453" s="66"/>
      <c r="AZ1453" s="66"/>
      <c r="BA1453" s="66"/>
      <c r="BB1453" s="66"/>
      <c r="BC1453" s="66"/>
      <c r="BD1453" s="66"/>
      <c r="BE1453" s="67"/>
      <c r="BF1453" s="67"/>
      <c r="BG1453" s="68"/>
      <c r="BI1453" s="69">
        <v>0</v>
      </c>
      <c r="BJ1453" s="70">
        <v>0</v>
      </c>
      <c r="BK1453" s="71">
        <v>0</v>
      </c>
      <c r="BL1453" s="71">
        <v>0</v>
      </c>
      <c r="BM1453" s="71">
        <v>0</v>
      </c>
      <c r="BN1453" s="72">
        <v>0</v>
      </c>
      <c r="BO1453" s="151" t="e">
        <f t="shared" si="87"/>
        <v>#DIV/0!</v>
      </c>
      <c r="BP1453" s="151" t="e">
        <f t="shared" si="88"/>
        <v>#DIV/0!</v>
      </c>
      <c r="BQ1453" s="71">
        <v>0</v>
      </c>
      <c r="BR1453" s="71">
        <v>0</v>
      </c>
      <c r="BS1453" s="71">
        <v>0</v>
      </c>
      <c r="BT1453" s="72">
        <v>0</v>
      </c>
      <c r="BU1453" s="73"/>
      <c r="BV1453" s="73"/>
    </row>
    <row r="1454" ht="30" customHeight="1" spans="1:74">
      <c r="A1454" s="55">
        <v>0</v>
      </c>
      <c r="B1454" s="56">
        <v>0</v>
      </c>
      <c r="C1454" s="57">
        <v>0</v>
      </c>
      <c r="D1454" s="92"/>
      <c r="E1454" s="92"/>
      <c r="F1454" s="91" t="e">
        <f>VLOOKUP(E1454,[1]库存!$B$1:$C$65536,2,FALSE)</f>
        <v>#N/A</v>
      </c>
      <c r="G1454" s="91" t="e">
        <v>#N/A</v>
      </c>
      <c r="H1454" s="92"/>
      <c r="I1454" s="92"/>
      <c r="J1454" s="87"/>
      <c r="K1454" s="61"/>
      <c r="L1454" s="62">
        <v>0</v>
      </c>
      <c r="M1454" s="63">
        <v>0</v>
      </c>
      <c r="N1454" s="64">
        <v>0</v>
      </c>
      <c r="O1454" s="62">
        <v>0</v>
      </c>
      <c r="P1454" s="65">
        <f t="shared" si="86"/>
        <v>0</v>
      </c>
      <c r="Q1454" s="66"/>
      <c r="R1454" s="66"/>
      <c r="S1454" s="66"/>
      <c r="T1454" s="66"/>
      <c r="U1454" s="66"/>
      <c r="V1454" s="66"/>
      <c r="W1454" s="66"/>
      <c r="X1454" s="66"/>
      <c r="Y1454" s="66"/>
      <c r="Z1454" s="66"/>
      <c r="AA1454" s="66"/>
      <c r="AB1454" s="66"/>
      <c r="AC1454" s="66"/>
      <c r="AD1454" s="66"/>
      <c r="AE1454" s="66"/>
      <c r="AF1454" s="66"/>
      <c r="AG1454" s="66"/>
      <c r="AH1454" s="66"/>
      <c r="AI1454" s="66"/>
      <c r="AJ1454" s="66"/>
      <c r="AK1454" s="66"/>
      <c r="AL1454" s="66"/>
      <c r="AM1454" s="66"/>
      <c r="AN1454" s="66"/>
      <c r="AO1454" s="66"/>
      <c r="AP1454" s="66"/>
      <c r="AQ1454" s="66"/>
      <c r="AR1454" s="66"/>
      <c r="AS1454" s="66"/>
      <c r="AT1454" s="66"/>
      <c r="AU1454" s="66"/>
      <c r="AV1454" s="66"/>
      <c r="AW1454" s="66"/>
      <c r="AX1454" s="66"/>
      <c r="AY1454" s="66"/>
      <c r="AZ1454" s="66"/>
      <c r="BA1454" s="66"/>
      <c r="BB1454" s="66"/>
      <c r="BC1454" s="66"/>
      <c r="BD1454" s="66"/>
      <c r="BE1454" s="67"/>
      <c r="BF1454" s="67"/>
      <c r="BG1454" s="68"/>
      <c r="BI1454" s="69">
        <v>0</v>
      </c>
      <c r="BJ1454" s="70">
        <v>0</v>
      </c>
      <c r="BK1454" s="71">
        <v>0</v>
      </c>
      <c r="BL1454" s="71">
        <v>0</v>
      </c>
      <c r="BM1454" s="71">
        <v>0</v>
      </c>
      <c r="BN1454" s="72">
        <v>0</v>
      </c>
      <c r="BO1454" s="151" t="e">
        <f t="shared" si="87"/>
        <v>#DIV/0!</v>
      </c>
      <c r="BP1454" s="151" t="e">
        <f t="shared" si="88"/>
        <v>#DIV/0!</v>
      </c>
      <c r="BQ1454" s="71">
        <v>0</v>
      </c>
      <c r="BR1454" s="71">
        <v>0</v>
      </c>
      <c r="BS1454" s="71">
        <v>0</v>
      </c>
      <c r="BT1454" s="72">
        <v>0</v>
      </c>
      <c r="BU1454" s="73"/>
      <c r="BV1454" s="73"/>
    </row>
    <row r="1455" ht="30" customHeight="1" spans="1:74">
      <c r="A1455" s="55" t="s">
        <v>165</v>
      </c>
      <c r="B1455" s="56" t="s">
        <v>2247</v>
      </c>
      <c r="C1455" s="57" t="s">
        <v>2343</v>
      </c>
      <c r="D1455" s="91" t="s">
        <v>2362</v>
      </c>
      <c r="E1455" s="91" t="s">
        <v>2367</v>
      </c>
      <c r="F1455" s="91" t="str">
        <f>VLOOKUP(E1455,[1]库存!$B$1:$C$65536,2,FALSE)</f>
        <v>GAC A79 FSAB RH</v>
      </c>
      <c r="G1455" s="91" t="s">
        <v>2368</v>
      </c>
      <c r="H1455" s="91" t="s">
        <v>2369</v>
      </c>
      <c r="I1455" s="91" t="s">
        <v>2366</v>
      </c>
      <c r="J1455" s="63"/>
      <c r="K1455" s="61"/>
      <c r="L1455" s="62">
        <v>2</v>
      </c>
      <c r="M1455" s="63">
        <v>1200</v>
      </c>
      <c r="N1455" s="64">
        <v>12</v>
      </c>
      <c r="O1455" s="62">
        <v>2</v>
      </c>
      <c r="P1455" s="65">
        <f t="shared" si="86"/>
        <v>0</v>
      </c>
      <c r="Q1455" s="66"/>
      <c r="R1455" s="66"/>
      <c r="S1455" s="66"/>
      <c r="T1455" s="66"/>
      <c r="U1455" s="66"/>
      <c r="V1455" s="66"/>
      <c r="W1455" s="66"/>
      <c r="X1455" s="66"/>
      <c r="Y1455" s="66"/>
      <c r="Z1455" s="66"/>
      <c r="AA1455" s="66"/>
      <c r="AB1455" s="66"/>
      <c r="AC1455" s="66"/>
      <c r="AD1455" s="66"/>
      <c r="AE1455" s="66"/>
      <c r="AF1455" s="66"/>
      <c r="AG1455" s="66"/>
      <c r="AH1455" s="66"/>
      <c r="AI1455" s="66"/>
      <c r="AJ1455" s="66"/>
      <c r="AK1455" s="66"/>
      <c r="AL1455" s="66"/>
      <c r="AM1455" s="66"/>
      <c r="AN1455" s="66"/>
      <c r="AO1455" s="66"/>
      <c r="AP1455" s="66"/>
      <c r="AQ1455" s="66"/>
      <c r="AR1455" s="66"/>
      <c r="AS1455" s="66"/>
      <c r="AT1455" s="66"/>
      <c r="AU1455" s="66"/>
      <c r="AV1455" s="66"/>
      <c r="AW1455" s="66"/>
      <c r="AX1455" s="66"/>
      <c r="AY1455" s="66"/>
      <c r="AZ1455" s="66"/>
      <c r="BA1455" s="66"/>
      <c r="BB1455" s="66"/>
      <c r="BC1455" s="66"/>
      <c r="BD1455" s="66"/>
      <c r="BE1455" s="67"/>
      <c r="BF1455" s="67"/>
      <c r="BG1455" s="68"/>
      <c r="BI1455" s="69">
        <v>0</v>
      </c>
      <c r="BJ1455" s="70">
        <v>0</v>
      </c>
      <c r="BK1455" s="71">
        <v>0</v>
      </c>
      <c r="BL1455" s="71">
        <v>0</v>
      </c>
      <c r="BM1455" s="71">
        <v>0</v>
      </c>
      <c r="BN1455" s="72">
        <v>0</v>
      </c>
      <c r="BO1455" s="151" t="e">
        <f t="shared" si="87"/>
        <v>#DIV/0!</v>
      </c>
      <c r="BP1455" s="151" t="e">
        <f t="shared" si="88"/>
        <v>#DIV/0!</v>
      </c>
      <c r="BQ1455" s="71">
        <v>0</v>
      </c>
      <c r="BR1455" s="71">
        <v>0</v>
      </c>
      <c r="BS1455" s="71">
        <v>0</v>
      </c>
      <c r="BT1455" s="72">
        <v>0</v>
      </c>
      <c r="BU1455" s="73"/>
      <c r="BV1455" s="73"/>
    </row>
    <row r="1456" ht="30" customHeight="1" spans="1:74">
      <c r="A1456" s="55">
        <v>0</v>
      </c>
      <c r="B1456" s="56">
        <v>0</v>
      </c>
      <c r="C1456" s="57">
        <v>0</v>
      </c>
      <c r="D1456" s="92"/>
      <c r="E1456" s="92"/>
      <c r="F1456" s="91" t="e">
        <f>VLOOKUP(E1456,[1]库存!$B$1:$C$65536,2,FALSE)</f>
        <v>#N/A</v>
      </c>
      <c r="G1456" s="91" t="e">
        <v>#N/A</v>
      </c>
      <c r="H1456" s="92"/>
      <c r="I1456" s="92"/>
      <c r="J1456" s="87"/>
      <c r="K1456" s="61"/>
      <c r="L1456" s="62">
        <v>0</v>
      </c>
      <c r="M1456" s="63">
        <v>0</v>
      </c>
      <c r="N1456" s="64">
        <v>0</v>
      </c>
      <c r="O1456" s="62">
        <v>0</v>
      </c>
      <c r="P1456" s="65">
        <f t="shared" si="86"/>
        <v>0</v>
      </c>
      <c r="Q1456" s="66"/>
      <c r="R1456" s="66"/>
      <c r="S1456" s="66"/>
      <c r="T1456" s="66"/>
      <c r="U1456" s="66"/>
      <c r="V1456" s="66"/>
      <c r="W1456" s="66"/>
      <c r="X1456" s="66"/>
      <c r="Y1456" s="66"/>
      <c r="Z1456" s="66"/>
      <c r="AA1456" s="66"/>
      <c r="AB1456" s="66"/>
      <c r="AC1456" s="66"/>
      <c r="AD1456" s="66"/>
      <c r="AE1456" s="66"/>
      <c r="AF1456" s="66"/>
      <c r="AG1456" s="66"/>
      <c r="AH1456" s="66"/>
      <c r="AI1456" s="66"/>
      <c r="AJ1456" s="66"/>
      <c r="AK1456" s="66"/>
      <c r="AL1456" s="66"/>
      <c r="AM1456" s="66"/>
      <c r="AN1456" s="66"/>
      <c r="AO1456" s="66"/>
      <c r="AP1456" s="66"/>
      <c r="AQ1456" s="66"/>
      <c r="AR1456" s="66"/>
      <c r="AS1456" s="66"/>
      <c r="AT1456" s="66"/>
      <c r="AU1456" s="66"/>
      <c r="AV1456" s="66"/>
      <c r="AW1456" s="66"/>
      <c r="AX1456" s="66"/>
      <c r="AY1456" s="66"/>
      <c r="AZ1456" s="66"/>
      <c r="BA1456" s="66"/>
      <c r="BB1456" s="66"/>
      <c r="BC1456" s="66"/>
      <c r="BD1456" s="66"/>
      <c r="BE1456" s="67"/>
      <c r="BF1456" s="67"/>
      <c r="BG1456" s="68"/>
      <c r="BI1456" s="69">
        <v>0</v>
      </c>
      <c r="BJ1456" s="70">
        <v>0</v>
      </c>
      <c r="BK1456" s="71">
        <v>0</v>
      </c>
      <c r="BL1456" s="71">
        <v>0</v>
      </c>
      <c r="BM1456" s="71">
        <v>0</v>
      </c>
      <c r="BN1456" s="72">
        <v>0</v>
      </c>
      <c r="BO1456" s="151" t="e">
        <f t="shared" si="87"/>
        <v>#DIV/0!</v>
      </c>
      <c r="BP1456" s="151" t="e">
        <f t="shared" si="88"/>
        <v>#DIV/0!</v>
      </c>
      <c r="BQ1456" s="71">
        <v>0</v>
      </c>
      <c r="BR1456" s="71">
        <v>0</v>
      </c>
      <c r="BS1456" s="71">
        <v>0</v>
      </c>
      <c r="BT1456" s="72">
        <v>0</v>
      </c>
      <c r="BU1456" s="73"/>
      <c r="BV1456" s="73"/>
    </row>
    <row r="1457" ht="30" customHeight="1" spans="1:74">
      <c r="A1457" s="55" t="s">
        <v>165</v>
      </c>
      <c r="B1457" s="56" t="s">
        <v>2247</v>
      </c>
      <c r="C1457" s="57" t="s">
        <v>2343</v>
      </c>
      <c r="D1457" s="59" t="s">
        <v>2362</v>
      </c>
      <c r="E1457" s="59" t="s">
        <v>2370</v>
      </c>
      <c r="F1457" s="59" t="str">
        <f>VLOOKUP(E1457,[1]库存!$B$1:$C$65536,2,FALSE)</f>
        <v>VW316/8 RSAB LH A状态</v>
      </c>
      <c r="G1457" s="59" t="s">
        <v>2371</v>
      </c>
      <c r="H1457" s="59" t="s">
        <v>2372</v>
      </c>
      <c r="I1457" s="59" t="s">
        <v>2373</v>
      </c>
      <c r="J1457" s="63"/>
      <c r="K1457" s="61"/>
      <c r="L1457" s="62">
        <v>0</v>
      </c>
      <c r="M1457" s="63">
        <v>1000</v>
      </c>
      <c r="N1457" s="64">
        <v>8</v>
      </c>
      <c r="O1457" s="62">
        <v>0</v>
      </c>
      <c r="P1457" s="65">
        <f t="shared" si="86"/>
        <v>0</v>
      </c>
      <c r="Q1457" s="66"/>
      <c r="R1457" s="66"/>
      <c r="S1457" s="66"/>
      <c r="T1457" s="66"/>
      <c r="U1457" s="66"/>
      <c r="V1457" s="66"/>
      <c r="W1457" s="66"/>
      <c r="X1457" s="66"/>
      <c r="Y1457" s="66"/>
      <c r="Z1457" s="66"/>
      <c r="AA1457" s="66"/>
      <c r="AB1457" s="66"/>
      <c r="AC1457" s="66"/>
      <c r="AD1457" s="66"/>
      <c r="AE1457" s="66"/>
      <c r="AF1457" s="66"/>
      <c r="AG1457" s="66"/>
      <c r="AH1457" s="66"/>
      <c r="AI1457" s="66"/>
      <c r="AJ1457" s="66"/>
      <c r="AK1457" s="66"/>
      <c r="AL1457" s="66"/>
      <c r="AM1457" s="66"/>
      <c r="AN1457" s="66"/>
      <c r="AO1457" s="66"/>
      <c r="AP1457" s="66"/>
      <c r="AQ1457" s="66"/>
      <c r="AR1457" s="66"/>
      <c r="AS1457" s="66"/>
      <c r="AT1457" s="66"/>
      <c r="AU1457" s="66"/>
      <c r="AV1457" s="66"/>
      <c r="AW1457" s="66"/>
      <c r="AX1457" s="66"/>
      <c r="AY1457" s="66"/>
      <c r="AZ1457" s="66"/>
      <c r="BA1457" s="66"/>
      <c r="BB1457" s="66"/>
      <c r="BC1457" s="66"/>
      <c r="BD1457" s="66"/>
      <c r="BE1457" s="67"/>
      <c r="BF1457" s="67"/>
      <c r="BG1457" s="68"/>
      <c r="BI1457" s="69">
        <v>0</v>
      </c>
      <c r="BJ1457" s="70">
        <v>0</v>
      </c>
      <c r="BK1457" s="71">
        <v>0</v>
      </c>
      <c r="BL1457" s="71">
        <v>0</v>
      </c>
      <c r="BM1457" s="71">
        <v>0</v>
      </c>
      <c r="BN1457" s="72">
        <v>0</v>
      </c>
      <c r="BO1457" s="151" t="e">
        <f t="shared" si="87"/>
        <v>#DIV/0!</v>
      </c>
      <c r="BP1457" s="151" t="e">
        <f t="shared" si="88"/>
        <v>#DIV/0!</v>
      </c>
      <c r="BQ1457" s="71">
        <v>0</v>
      </c>
      <c r="BR1457" s="71">
        <v>0</v>
      </c>
      <c r="BS1457" s="71">
        <v>0</v>
      </c>
      <c r="BT1457" s="72">
        <v>0</v>
      </c>
      <c r="BU1457" s="151" t="e">
        <f t="shared" ref="BU1457:BU1460" si="89">(BQ1457+BR1457)/BJ1457</f>
        <v>#DIV/0!</v>
      </c>
      <c r="BV1457" s="151" t="e">
        <f t="shared" ref="BV1457:BV1460" si="90">BS1457/BJ1457</f>
        <v>#DIV/0!</v>
      </c>
    </row>
    <row r="1458" ht="30" customHeight="1" spans="1:74">
      <c r="A1458" s="55">
        <v>0</v>
      </c>
      <c r="B1458" s="56">
        <v>0</v>
      </c>
      <c r="C1458" s="57">
        <v>0</v>
      </c>
      <c r="D1458" s="74"/>
      <c r="E1458" s="74"/>
      <c r="F1458" s="59" t="e">
        <f>VLOOKUP(E1458,[1]库存!$B$1:$C$65536,2,FALSE)</f>
        <v>#N/A</v>
      </c>
      <c r="G1458" s="59" t="e">
        <v>#N/A</v>
      </c>
      <c r="H1458" s="74"/>
      <c r="I1458" s="74"/>
      <c r="J1458" s="87"/>
      <c r="K1458" s="61"/>
      <c r="L1458" s="62">
        <v>0</v>
      </c>
      <c r="M1458" s="63">
        <v>0</v>
      </c>
      <c r="N1458" s="64">
        <v>0</v>
      </c>
      <c r="O1458" s="62">
        <v>0</v>
      </c>
      <c r="P1458" s="65">
        <f t="shared" si="86"/>
        <v>0</v>
      </c>
      <c r="Q1458" s="66"/>
      <c r="R1458" s="66"/>
      <c r="S1458" s="66"/>
      <c r="T1458" s="66"/>
      <c r="U1458" s="66"/>
      <c r="V1458" s="66"/>
      <c r="W1458" s="66"/>
      <c r="X1458" s="66"/>
      <c r="Y1458" s="66"/>
      <c r="Z1458" s="66"/>
      <c r="AA1458" s="66"/>
      <c r="AB1458" s="66"/>
      <c r="AC1458" s="66"/>
      <c r="AD1458" s="66"/>
      <c r="AE1458" s="66"/>
      <c r="AF1458" s="66"/>
      <c r="AG1458" s="66"/>
      <c r="AH1458" s="66"/>
      <c r="AI1458" s="66"/>
      <c r="AJ1458" s="66"/>
      <c r="AK1458" s="66"/>
      <c r="AL1458" s="66"/>
      <c r="AM1458" s="66"/>
      <c r="AN1458" s="66"/>
      <c r="AO1458" s="66"/>
      <c r="AP1458" s="66"/>
      <c r="AQ1458" s="66"/>
      <c r="AR1458" s="66"/>
      <c r="AS1458" s="66"/>
      <c r="AT1458" s="66"/>
      <c r="AU1458" s="66"/>
      <c r="AV1458" s="66"/>
      <c r="AW1458" s="66"/>
      <c r="AX1458" s="66"/>
      <c r="AY1458" s="66"/>
      <c r="AZ1458" s="66"/>
      <c r="BA1458" s="66"/>
      <c r="BB1458" s="66"/>
      <c r="BC1458" s="66"/>
      <c r="BD1458" s="66"/>
      <c r="BE1458" s="67"/>
      <c r="BF1458" s="67"/>
      <c r="BG1458" s="68"/>
      <c r="BI1458" s="69">
        <v>0</v>
      </c>
      <c r="BJ1458" s="70">
        <v>0</v>
      </c>
      <c r="BK1458" s="71">
        <v>0</v>
      </c>
      <c r="BL1458" s="71">
        <v>0</v>
      </c>
      <c r="BM1458" s="71">
        <v>0</v>
      </c>
      <c r="BN1458" s="72">
        <v>0</v>
      </c>
      <c r="BO1458" s="151" t="e">
        <f t="shared" si="87"/>
        <v>#DIV/0!</v>
      </c>
      <c r="BP1458" s="151" t="e">
        <f t="shared" si="88"/>
        <v>#DIV/0!</v>
      </c>
      <c r="BQ1458" s="71">
        <v>0</v>
      </c>
      <c r="BR1458" s="71">
        <v>0</v>
      </c>
      <c r="BS1458" s="71">
        <v>0</v>
      </c>
      <c r="BT1458" s="72">
        <v>0</v>
      </c>
      <c r="BU1458" s="151" t="e">
        <f t="shared" si="89"/>
        <v>#DIV/0!</v>
      </c>
      <c r="BV1458" s="151" t="e">
        <f t="shared" si="90"/>
        <v>#DIV/0!</v>
      </c>
    </row>
    <row r="1459" ht="30" customHeight="1" spans="1:74">
      <c r="A1459" s="55" t="s">
        <v>165</v>
      </c>
      <c r="B1459" s="56" t="s">
        <v>2247</v>
      </c>
      <c r="C1459" s="57" t="s">
        <v>2343</v>
      </c>
      <c r="D1459" s="59" t="s">
        <v>2362</v>
      </c>
      <c r="E1459" s="59" t="s">
        <v>2374</v>
      </c>
      <c r="F1459" s="59" t="str">
        <f>VLOOKUP(E1459,[1]库存!$B$1:$C$65536,2,FALSE)</f>
        <v>VW316/8 RSAB RH A状态</v>
      </c>
      <c r="G1459" s="59" t="s">
        <v>2375</v>
      </c>
      <c r="H1459" s="59" t="s">
        <v>2376</v>
      </c>
      <c r="I1459" s="59" t="s">
        <v>2373</v>
      </c>
      <c r="J1459" s="63"/>
      <c r="K1459" s="61"/>
      <c r="L1459" s="62">
        <v>0</v>
      </c>
      <c r="M1459" s="63">
        <v>1000</v>
      </c>
      <c r="N1459" s="64">
        <v>8</v>
      </c>
      <c r="O1459" s="62">
        <v>0</v>
      </c>
      <c r="P1459" s="65">
        <f t="shared" si="86"/>
        <v>0</v>
      </c>
      <c r="Q1459" s="66"/>
      <c r="R1459" s="66"/>
      <c r="S1459" s="66"/>
      <c r="T1459" s="66"/>
      <c r="U1459" s="66"/>
      <c r="V1459" s="66"/>
      <c r="W1459" s="66"/>
      <c r="X1459" s="66"/>
      <c r="Y1459" s="66"/>
      <c r="Z1459" s="66"/>
      <c r="AA1459" s="66"/>
      <c r="AB1459" s="66"/>
      <c r="AC1459" s="66"/>
      <c r="AD1459" s="66"/>
      <c r="AE1459" s="66"/>
      <c r="AF1459" s="66"/>
      <c r="AG1459" s="66"/>
      <c r="AH1459" s="66"/>
      <c r="AI1459" s="66"/>
      <c r="AJ1459" s="66"/>
      <c r="AK1459" s="66"/>
      <c r="AL1459" s="66"/>
      <c r="AM1459" s="66"/>
      <c r="AN1459" s="66"/>
      <c r="AO1459" s="66"/>
      <c r="AP1459" s="66"/>
      <c r="AQ1459" s="66"/>
      <c r="AR1459" s="66"/>
      <c r="AS1459" s="66"/>
      <c r="AT1459" s="66"/>
      <c r="AU1459" s="66"/>
      <c r="AV1459" s="66"/>
      <c r="AW1459" s="66"/>
      <c r="AX1459" s="66"/>
      <c r="AY1459" s="66"/>
      <c r="AZ1459" s="66"/>
      <c r="BA1459" s="66"/>
      <c r="BB1459" s="66"/>
      <c r="BC1459" s="66"/>
      <c r="BD1459" s="66"/>
      <c r="BE1459" s="67"/>
      <c r="BF1459" s="67"/>
      <c r="BG1459" s="68"/>
      <c r="BI1459" s="69">
        <v>0</v>
      </c>
      <c r="BJ1459" s="70">
        <v>0</v>
      </c>
      <c r="BK1459" s="71">
        <v>0</v>
      </c>
      <c r="BL1459" s="71">
        <v>0</v>
      </c>
      <c r="BM1459" s="71">
        <v>0</v>
      </c>
      <c r="BN1459" s="72">
        <v>0</v>
      </c>
      <c r="BO1459" s="151" t="e">
        <f t="shared" si="87"/>
        <v>#DIV/0!</v>
      </c>
      <c r="BP1459" s="151" t="e">
        <f t="shared" si="88"/>
        <v>#DIV/0!</v>
      </c>
      <c r="BQ1459" s="71">
        <v>0</v>
      </c>
      <c r="BR1459" s="71">
        <v>0</v>
      </c>
      <c r="BS1459" s="71">
        <v>0</v>
      </c>
      <c r="BT1459" s="72">
        <v>0</v>
      </c>
      <c r="BU1459" s="151" t="e">
        <f t="shared" si="89"/>
        <v>#DIV/0!</v>
      </c>
      <c r="BV1459" s="151" t="e">
        <f t="shared" si="90"/>
        <v>#DIV/0!</v>
      </c>
    </row>
    <row r="1460" ht="30" customHeight="1" spans="1:74">
      <c r="A1460" s="55">
        <v>0</v>
      </c>
      <c r="B1460" s="56">
        <v>0</v>
      </c>
      <c r="C1460" s="57">
        <v>0</v>
      </c>
      <c r="D1460" s="74"/>
      <c r="E1460" s="74"/>
      <c r="F1460" s="59" t="e">
        <f>VLOOKUP(E1460,[1]库存!$B$1:$C$65536,2,FALSE)</f>
        <v>#N/A</v>
      </c>
      <c r="G1460" s="59" t="e">
        <v>#N/A</v>
      </c>
      <c r="H1460" s="74"/>
      <c r="I1460" s="74"/>
      <c r="J1460" s="87"/>
      <c r="K1460" s="61"/>
      <c r="L1460" s="62">
        <v>0</v>
      </c>
      <c r="M1460" s="63">
        <v>0</v>
      </c>
      <c r="N1460" s="64">
        <v>0</v>
      </c>
      <c r="O1460" s="62">
        <v>0</v>
      </c>
      <c r="P1460" s="65">
        <f t="shared" si="86"/>
        <v>0</v>
      </c>
      <c r="Q1460" s="66"/>
      <c r="R1460" s="66"/>
      <c r="S1460" s="66"/>
      <c r="T1460" s="66"/>
      <c r="U1460" s="66"/>
      <c r="V1460" s="66"/>
      <c r="W1460" s="66"/>
      <c r="X1460" s="66"/>
      <c r="Y1460" s="66"/>
      <c r="Z1460" s="66"/>
      <c r="AA1460" s="66"/>
      <c r="AB1460" s="66"/>
      <c r="AC1460" s="66"/>
      <c r="AD1460" s="66"/>
      <c r="AE1460" s="66"/>
      <c r="AF1460" s="66"/>
      <c r="AG1460" s="66"/>
      <c r="AH1460" s="66"/>
      <c r="AI1460" s="66"/>
      <c r="AJ1460" s="66"/>
      <c r="AK1460" s="66"/>
      <c r="AL1460" s="66"/>
      <c r="AM1460" s="66"/>
      <c r="AN1460" s="66"/>
      <c r="AO1460" s="66"/>
      <c r="AP1460" s="66"/>
      <c r="AQ1460" s="66"/>
      <c r="AR1460" s="66"/>
      <c r="AS1460" s="66"/>
      <c r="AT1460" s="66"/>
      <c r="AU1460" s="66"/>
      <c r="AV1460" s="66"/>
      <c r="AW1460" s="66"/>
      <c r="AX1460" s="66"/>
      <c r="AY1460" s="66"/>
      <c r="AZ1460" s="66"/>
      <c r="BA1460" s="66"/>
      <c r="BB1460" s="66"/>
      <c r="BC1460" s="66"/>
      <c r="BD1460" s="66"/>
      <c r="BE1460" s="67"/>
      <c r="BF1460" s="67"/>
      <c r="BG1460" s="68"/>
      <c r="BI1460" s="69">
        <v>0</v>
      </c>
      <c r="BJ1460" s="70">
        <v>0</v>
      </c>
      <c r="BK1460" s="71">
        <v>0</v>
      </c>
      <c r="BL1460" s="71">
        <v>0</v>
      </c>
      <c r="BM1460" s="71">
        <v>0</v>
      </c>
      <c r="BN1460" s="72">
        <v>0</v>
      </c>
      <c r="BO1460" s="151" t="e">
        <f t="shared" si="87"/>
        <v>#DIV/0!</v>
      </c>
      <c r="BP1460" s="151" t="e">
        <f t="shared" si="88"/>
        <v>#DIV/0!</v>
      </c>
      <c r="BQ1460" s="71">
        <v>0</v>
      </c>
      <c r="BR1460" s="71">
        <v>0</v>
      </c>
      <c r="BS1460" s="71">
        <v>0</v>
      </c>
      <c r="BT1460" s="72">
        <v>0</v>
      </c>
      <c r="BU1460" s="151" t="e">
        <f t="shared" si="89"/>
        <v>#DIV/0!</v>
      </c>
      <c r="BV1460" s="151" t="e">
        <f t="shared" si="90"/>
        <v>#DIV/0!</v>
      </c>
    </row>
    <row r="1461" ht="30" customHeight="1" spans="1:74">
      <c r="A1461" s="55" t="s">
        <v>165</v>
      </c>
      <c r="B1461" s="56" t="s">
        <v>2247</v>
      </c>
      <c r="C1461" s="57" t="s">
        <v>2343</v>
      </c>
      <c r="D1461" s="59" t="s">
        <v>2362</v>
      </c>
      <c r="E1461" s="59" t="s">
        <v>2377</v>
      </c>
      <c r="F1461" s="59" t="str">
        <f>VLOOKUP(E1461,[1]库存!$B$1:$C$65536,2,FALSE)</f>
        <v>LOTUS LAMBDA SAB LH</v>
      </c>
      <c r="G1461" s="59" t="s">
        <v>2378</v>
      </c>
      <c r="H1461" s="59" t="s">
        <v>2379</v>
      </c>
      <c r="I1461" s="59" t="s">
        <v>242</v>
      </c>
      <c r="J1461" s="97" t="s">
        <v>65</v>
      </c>
      <c r="K1461" s="61"/>
      <c r="L1461" s="62">
        <v>2</v>
      </c>
      <c r="M1461" s="63">
        <v>1200</v>
      </c>
      <c r="N1461" s="64">
        <v>12</v>
      </c>
      <c r="O1461" s="62">
        <v>2</v>
      </c>
      <c r="P1461" s="65">
        <f t="shared" si="86"/>
        <v>0</v>
      </c>
      <c r="Q1461" s="66"/>
      <c r="R1461" s="66"/>
      <c r="S1461" s="66"/>
      <c r="T1461" s="66"/>
      <c r="U1461" s="66"/>
      <c r="V1461" s="66"/>
      <c r="W1461" s="66"/>
      <c r="X1461" s="66"/>
      <c r="Y1461" s="66"/>
      <c r="Z1461" s="66"/>
      <c r="AA1461" s="66"/>
      <c r="AB1461" s="66"/>
      <c r="AC1461" s="66"/>
      <c r="AD1461" s="66"/>
      <c r="AE1461" s="66"/>
      <c r="AF1461" s="66"/>
      <c r="AG1461" s="66"/>
      <c r="AH1461" s="66"/>
      <c r="AI1461" s="66"/>
      <c r="AJ1461" s="66"/>
      <c r="AK1461" s="66"/>
      <c r="AL1461" s="66"/>
      <c r="AM1461" s="66"/>
      <c r="AN1461" s="66"/>
      <c r="AO1461" s="66"/>
      <c r="AP1461" s="66"/>
      <c r="AQ1461" s="66"/>
      <c r="AR1461" s="66"/>
      <c r="AS1461" s="66"/>
      <c r="AT1461" s="66"/>
      <c r="AU1461" s="66"/>
      <c r="AV1461" s="66"/>
      <c r="AW1461" s="66"/>
      <c r="AX1461" s="66"/>
      <c r="AY1461" s="66"/>
      <c r="AZ1461" s="66"/>
      <c r="BA1461" s="66"/>
      <c r="BB1461" s="66"/>
      <c r="BC1461" s="66"/>
      <c r="BD1461" s="66"/>
      <c r="BE1461" s="67"/>
      <c r="BF1461" s="67"/>
      <c r="BG1461" s="68"/>
      <c r="BI1461" s="69">
        <v>0</v>
      </c>
      <c r="BJ1461" s="70">
        <v>0</v>
      </c>
      <c r="BK1461" s="71">
        <v>0</v>
      </c>
      <c r="BL1461" s="71">
        <v>0</v>
      </c>
      <c r="BM1461" s="71">
        <v>0</v>
      </c>
      <c r="BN1461" s="72">
        <v>0</v>
      </c>
      <c r="BO1461" s="151" t="e">
        <f t="shared" si="87"/>
        <v>#DIV/0!</v>
      </c>
      <c r="BP1461" s="151" t="e">
        <f t="shared" si="88"/>
        <v>#DIV/0!</v>
      </c>
      <c r="BQ1461" s="71">
        <v>0</v>
      </c>
      <c r="BR1461" s="71">
        <v>0</v>
      </c>
      <c r="BS1461" s="71">
        <v>0</v>
      </c>
      <c r="BT1461" s="72">
        <v>0</v>
      </c>
      <c r="BU1461" s="73"/>
      <c r="BV1461" s="73"/>
    </row>
    <row r="1462" ht="30" customHeight="1" spans="1:74">
      <c r="A1462" s="55">
        <v>0</v>
      </c>
      <c r="B1462" s="56">
        <v>0</v>
      </c>
      <c r="C1462" s="57">
        <v>0</v>
      </c>
      <c r="D1462" s="74"/>
      <c r="E1462" s="74"/>
      <c r="F1462" s="59" t="e">
        <f>VLOOKUP(E1462,[1]库存!$B$1:$C$65536,2,FALSE)</f>
        <v>#N/A</v>
      </c>
      <c r="G1462" s="59" t="e">
        <v>#N/A</v>
      </c>
      <c r="H1462" s="74"/>
      <c r="I1462" s="74"/>
      <c r="J1462" s="98"/>
      <c r="K1462" s="61"/>
      <c r="L1462" s="62">
        <v>0</v>
      </c>
      <c r="M1462" s="63">
        <v>0</v>
      </c>
      <c r="N1462" s="64">
        <v>0</v>
      </c>
      <c r="O1462" s="62">
        <v>0</v>
      </c>
      <c r="P1462" s="65">
        <f t="shared" si="86"/>
        <v>0</v>
      </c>
      <c r="Q1462" s="66"/>
      <c r="R1462" s="66"/>
      <c r="S1462" s="66"/>
      <c r="T1462" s="66"/>
      <c r="U1462" s="66"/>
      <c r="V1462" s="66"/>
      <c r="W1462" s="66"/>
      <c r="X1462" s="66"/>
      <c r="Y1462" s="66"/>
      <c r="Z1462" s="66"/>
      <c r="AA1462" s="66"/>
      <c r="AB1462" s="66"/>
      <c r="AC1462" s="66"/>
      <c r="AD1462" s="66"/>
      <c r="AE1462" s="66"/>
      <c r="AF1462" s="66"/>
      <c r="AG1462" s="66"/>
      <c r="AH1462" s="66"/>
      <c r="AI1462" s="66"/>
      <c r="AJ1462" s="66"/>
      <c r="AK1462" s="66"/>
      <c r="AL1462" s="66"/>
      <c r="AM1462" s="66"/>
      <c r="AN1462" s="66"/>
      <c r="AO1462" s="66"/>
      <c r="AP1462" s="66"/>
      <c r="AQ1462" s="66"/>
      <c r="AR1462" s="66"/>
      <c r="AS1462" s="66"/>
      <c r="AT1462" s="66"/>
      <c r="AU1462" s="66"/>
      <c r="AV1462" s="66"/>
      <c r="AW1462" s="66"/>
      <c r="AX1462" s="66"/>
      <c r="AY1462" s="66"/>
      <c r="AZ1462" s="66"/>
      <c r="BA1462" s="66"/>
      <c r="BB1462" s="66"/>
      <c r="BC1462" s="66"/>
      <c r="BD1462" s="66"/>
      <c r="BE1462" s="67"/>
      <c r="BF1462" s="67"/>
      <c r="BG1462" s="68"/>
      <c r="BI1462" s="69">
        <v>0</v>
      </c>
      <c r="BJ1462" s="70">
        <v>0</v>
      </c>
      <c r="BK1462" s="71">
        <v>0</v>
      </c>
      <c r="BL1462" s="71">
        <v>0</v>
      </c>
      <c r="BM1462" s="71">
        <v>0</v>
      </c>
      <c r="BN1462" s="72">
        <v>0</v>
      </c>
      <c r="BO1462" s="151" t="e">
        <f t="shared" si="87"/>
        <v>#DIV/0!</v>
      </c>
      <c r="BP1462" s="151" t="e">
        <f t="shared" si="88"/>
        <v>#DIV/0!</v>
      </c>
      <c r="BQ1462" s="71">
        <v>0</v>
      </c>
      <c r="BR1462" s="71">
        <v>0</v>
      </c>
      <c r="BS1462" s="71">
        <v>0</v>
      </c>
      <c r="BT1462" s="72">
        <v>0</v>
      </c>
      <c r="BU1462" s="73"/>
      <c r="BV1462" s="73"/>
    </row>
    <row r="1463" ht="30" customHeight="1" spans="1:74">
      <c r="A1463" s="55" t="s">
        <v>165</v>
      </c>
      <c r="B1463" s="56" t="s">
        <v>2247</v>
      </c>
      <c r="C1463" s="57" t="s">
        <v>2343</v>
      </c>
      <c r="D1463" s="59" t="s">
        <v>2362</v>
      </c>
      <c r="E1463" s="59" t="s">
        <v>2380</v>
      </c>
      <c r="F1463" s="59" t="str">
        <f>VLOOKUP(E1463,[1]库存!$B$1:$C$65536,2,FALSE)</f>
        <v>LOTUS LAMBDA SAB RH</v>
      </c>
      <c r="G1463" s="59" t="s">
        <v>2381</v>
      </c>
      <c r="H1463" s="59" t="s">
        <v>2382</v>
      </c>
      <c r="I1463" s="59" t="s">
        <v>242</v>
      </c>
      <c r="J1463" s="97" t="s">
        <v>65</v>
      </c>
      <c r="K1463" s="61"/>
      <c r="L1463" s="62">
        <v>2</v>
      </c>
      <c r="M1463" s="63">
        <v>1200</v>
      </c>
      <c r="N1463" s="64">
        <v>12</v>
      </c>
      <c r="O1463" s="62">
        <v>2</v>
      </c>
      <c r="P1463" s="65">
        <f t="shared" si="86"/>
        <v>0</v>
      </c>
      <c r="Q1463" s="66"/>
      <c r="R1463" s="66"/>
      <c r="S1463" s="66"/>
      <c r="T1463" s="66"/>
      <c r="U1463" s="66"/>
      <c r="V1463" s="66"/>
      <c r="W1463" s="66"/>
      <c r="X1463" s="66"/>
      <c r="Y1463" s="66"/>
      <c r="Z1463" s="66"/>
      <c r="AA1463" s="66"/>
      <c r="AB1463" s="66"/>
      <c r="AC1463" s="66"/>
      <c r="AD1463" s="66"/>
      <c r="AE1463" s="66"/>
      <c r="AF1463" s="66"/>
      <c r="AG1463" s="66"/>
      <c r="AH1463" s="66"/>
      <c r="AI1463" s="66"/>
      <c r="AJ1463" s="66"/>
      <c r="AK1463" s="66"/>
      <c r="AL1463" s="66"/>
      <c r="AM1463" s="66"/>
      <c r="AN1463" s="66"/>
      <c r="AO1463" s="66"/>
      <c r="AP1463" s="66"/>
      <c r="AQ1463" s="66"/>
      <c r="AR1463" s="66"/>
      <c r="AS1463" s="66"/>
      <c r="AT1463" s="66"/>
      <c r="AU1463" s="66"/>
      <c r="AV1463" s="66"/>
      <c r="AW1463" s="66"/>
      <c r="AX1463" s="66"/>
      <c r="AY1463" s="66"/>
      <c r="AZ1463" s="66"/>
      <c r="BA1463" s="66"/>
      <c r="BB1463" s="66"/>
      <c r="BC1463" s="66"/>
      <c r="BD1463" s="66"/>
      <c r="BE1463" s="67"/>
      <c r="BF1463" s="67"/>
      <c r="BG1463" s="68"/>
      <c r="BI1463" s="69">
        <v>0</v>
      </c>
      <c r="BJ1463" s="70">
        <v>0</v>
      </c>
      <c r="BK1463" s="71">
        <v>0</v>
      </c>
      <c r="BL1463" s="71">
        <v>0</v>
      </c>
      <c r="BM1463" s="71">
        <v>0</v>
      </c>
      <c r="BN1463" s="72">
        <v>0</v>
      </c>
      <c r="BO1463" s="151" t="e">
        <f t="shared" si="87"/>
        <v>#DIV/0!</v>
      </c>
      <c r="BP1463" s="151" t="e">
        <f t="shared" si="88"/>
        <v>#DIV/0!</v>
      </c>
      <c r="BQ1463" s="71">
        <v>0</v>
      </c>
      <c r="BR1463" s="71">
        <v>0</v>
      </c>
      <c r="BS1463" s="71">
        <v>0</v>
      </c>
      <c r="BT1463" s="72">
        <v>0</v>
      </c>
      <c r="BU1463" s="73"/>
      <c r="BV1463" s="73"/>
    </row>
    <row r="1464" ht="30" customHeight="1" spans="1:74">
      <c r="A1464" s="55">
        <v>0</v>
      </c>
      <c r="B1464" s="56">
        <v>0</v>
      </c>
      <c r="C1464" s="57">
        <v>0</v>
      </c>
      <c r="D1464" s="74"/>
      <c r="E1464" s="74"/>
      <c r="F1464" s="59" t="e">
        <f>VLOOKUP(E1464,[1]库存!$B$1:$C$65536,2,FALSE)</f>
        <v>#N/A</v>
      </c>
      <c r="G1464" s="59" t="e">
        <v>#N/A</v>
      </c>
      <c r="H1464" s="74"/>
      <c r="I1464" s="74"/>
      <c r="J1464" s="98"/>
      <c r="K1464" s="61"/>
      <c r="L1464" s="62">
        <v>0</v>
      </c>
      <c r="M1464" s="63">
        <v>0</v>
      </c>
      <c r="N1464" s="64">
        <v>0</v>
      </c>
      <c r="O1464" s="62">
        <v>0</v>
      </c>
      <c r="P1464" s="65">
        <f t="shared" si="86"/>
        <v>0</v>
      </c>
      <c r="Q1464" s="66"/>
      <c r="R1464" s="66"/>
      <c r="S1464" s="66"/>
      <c r="T1464" s="66"/>
      <c r="U1464" s="66"/>
      <c r="V1464" s="66"/>
      <c r="W1464" s="66"/>
      <c r="X1464" s="66"/>
      <c r="Y1464" s="66"/>
      <c r="Z1464" s="66"/>
      <c r="AA1464" s="66"/>
      <c r="AB1464" s="66"/>
      <c r="AC1464" s="66"/>
      <c r="AD1464" s="66"/>
      <c r="AE1464" s="66"/>
      <c r="AF1464" s="66"/>
      <c r="AG1464" s="66"/>
      <c r="AH1464" s="66"/>
      <c r="AI1464" s="66"/>
      <c r="AJ1464" s="66"/>
      <c r="AK1464" s="66"/>
      <c r="AL1464" s="66"/>
      <c r="AM1464" s="66"/>
      <c r="AN1464" s="66"/>
      <c r="AO1464" s="66"/>
      <c r="AP1464" s="66"/>
      <c r="AQ1464" s="66"/>
      <c r="AR1464" s="66"/>
      <c r="AS1464" s="66"/>
      <c r="AT1464" s="66"/>
      <c r="AU1464" s="66"/>
      <c r="AV1464" s="66"/>
      <c r="AW1464" s="66"/>
      <c r="AX1464" s="66"/>
      <c r="AY1464" s="66"/>
      <c r="AZ1464" s="66"/>
      <c r="BA1464" s="66"/>
      <c r="BB1464" s="66"/>
      <c r="BC1464" s="66"/>
      <c r="BD1464" s="66"/>
      <c r="BE1464" s="67"/>
      <c r="BF1464" s="67"/>
      <c r="BG1464" s="68"/>
      <c r="BI1464" s="69">
        <v>0</v>
      </c>
      <c r="BJ1464" s="70">
        <v>0</v>
      </c>
      <c r="BK1464" s="71">
        <v>0</v>
      </c>
      <c r="BL1464" s="71">
        <v>0</v>
      </c>
      <c r="BM1464" s="71">
        <v>0</v>
      </c>
      <c r="BN1464" s="72">
        <v>0</v>
      </c>
      <c r="BO1464" s="151" t="e">
        <f t="shared" si="87"/>
        <v>#DIV/0!</v>
      </c>
      <c r="BP1464" s="151" t="e">
        <f t="shared" si="88"/>
        <v>#DIV/0!</v>
      </c>
      <c r="BQ1464" s="71">
        <v>0</v>
      </c>
      <c r="BR1464" s="71">
        <v>0</v>
      </c>
      <c r="BS1464" s="71">
        <v>0</v>
      </c>
      <c r="BT1464" s="72">
        <v>0</v>
      </c>
      <c r="BU1464" s="73"/>
      <c r="BV1464" s="73"/>
    </row>
    <row r="1465" ht="30" customHeight="1" spans="1:74">
      <c r="A1465" s="55" t="s">
        <v>246</v>
      </c>
      <c r="B1465" s="56" t="s">
        <v>2247</v>
      </c>
      <c r="C1465" s="57" t="s">
        <v>2343</v>
      </c>
      <c r="D1465" s="91" t="s">
        <v>2362</v>
      </c>
      <c r="E1465" s="91" t="s">
        <v>2383</v>
      </c>
      <c r="F1465" s="91" t="str">
        <f>VLOOKUP(E1465,[1]库存!$B$1:$C$65536,2,FALSE)</f>
        <v>HYUNDAI NU2 SAB LH</v>
      </c>
      <c r="G1465" s="91" t="s">
        <v>2384</v>
      </c>
      <c r="H1465" s="91" t="s">
        <v>2385</v>
      </c>
      <c r="I1465" s="91" t="s">
        <v>2386</v>
      </c>
      <c r="J1465" s="64"/>
      <c r="K1465" s="61"/>
      <c r="L1465" s="62">
        <v>2</v>
      </c>
      <c r="M1465" s="63">
        <v>1200</v>
      </c>
      <c r="N1465" s="64">
        <v>12</v>
      </c>
      <c r="O1465" s="62">
        <v>2</v>
      </c>
      <c r="P1465" s="65">
        <f t="shared" si="86"/>
        <v>0</v>
      </c>
      <c r="Q1465" s="66"/>
      <c r="R1465" s="66"/>
      <c r="S1465" s="66"/>
      <c r="T1465" s="66"/>
      <c r="U1465" s="66"/>
      <c r="V1465" s="66"/>
      <c r="W1465" s="66"/>
      <c r="X1465" s="66"/>
      <c r="Y1465" s="66"/>
      <c r="Z1465" s="66"/>
      <c r="AA1465" s="66"/>
      <c r="AB1465" s="66"/>
      <c r="AC1465" s="66"/>
      <c r="AD1465" s="66"/>
      <c r="AE1465" s="66"/>
      <c r="AF1465" s="66"/>
      <c r="AG1465" s="66"/>
      <c r="AH1465" s="66"/>
      <c r="AI1465" s="66"/>
      <c r="AJ1465" s="66"/>
      <c r="AK1465" s="66"/>
      <c r="AL1465" s="66"/>
      <c r="AM1465" s="66"/>
      <c r="AN1465" s="66"/>
      <c r="AO1465" s="66"/>
      <c r="AP1465" s="66"/>
      <c r="AQ1465" s="66"/>
      <c r="AR1465" s="66"/>
      <c r="AS1465" s="66"/>
      <c r="AT1465" s="66"/>
      <c r="AU1465" s="66"/>
      <c r="AV1465" s="66"/>
      <c r="AW1465" s="66"/>
      <c r="AX1465" s="66"/>
      <c r="AY1465" s="66"/>
      <c r="AZ1465" s="66"/>
      <c r="BA1465" s="66"/>
      <c r="BB1465" s="66"/>
      <c r="BC1465" s="66"/>
      <c r="BD1465" s="66"/>
      <c r="BE1465" s="67"/>
      <c r="BF1465" s="67"/>
      <c r="BG1465" s="68"/>
      <c r="BI1465" s="69">
        <v>0</v>
      </c>
      <c r="BJ1465" s="70">
        <v>0</v>
      </c>
      <c r="BK1465" s="71">
        <v>0</v>
      </c>
      <c r="BL1465" s="71">
        <v>0</v>
      </c>
      <c r="BM1465" s="71">
        <v>0</v>
      </c>
      <c r="BN1465" s="72">
        <v>0</v>
      </c>
      <c r="BO1465" s="151" t="e">
        <f t="shared" si="87"/>
        <v>#DIV/0!</v>
      </c>
      <c r="BP1465" s="151" t="e">
        <f t="shared" si="88"/>
        <v>#DIV/0!</v>
      </c>
      <c r="BQ1465" s="71">
        <v>0</v>
      </c>
      <c r="BR1465" s="71">
        <v>0</v>
      </c>
      <c r="BS1465" s="71">
        <v>0</v>
      </c>
      <c r="BT1465" s="72">
        <v>0</v>
      </c>
      <c r="BU1465" s="151" t="e">
        <f t="shared" ref="BU1465:BU1528" si="91">(BQ1465+BR1465)/BJ1465</f>
        <v>#DIV/0!</v>
      </c>
      <c r="BV1465" s="151" t="e">
        <f t="shared" ref="BV1465:BV1528" si="92">BS1465/BJ1465</f>
        <v>#DIV/0!</v>
      </c>
    </row>
    <row r="1466" ht="30" customHeight="1" spans="1:74">
      <c r="A1466" s="55">
        <v>0</v>
      </c>
      <c r="B1466" s="56">
        <v>0</v>
      </c>
      <c r="C1466" s="57">
        <v>0</v>
      </c>
      <c r="D1466" s="92"/>
      <c r="E1466" s="92"/>
      <c r="F1466" s="91" t="e">
        <f>VLOOKUP(E1466,[1]库存!$B$1:$C$65536,2,FALSE)</f>
        <v>#N/A</v>
      </c>
      <c r="G1466" s="91" t="e">
        <v>#N/A</v>
      </c>
      <c r="H1466" s="92"/>
      <c r="I1466" s="92"/>
      <c r="J1466" s="93"/>
      <c r="K1466" s="61"/>
      <c r="L1466" s="62">
        <v>0</v>
      </c>
      <c r="M1466" s="63">
        <v>0</v>
      </c>
      <c r="N1466" s="64">
        <v>0</v>
      </c>
      <c r="O1466" s="62">
        <v>0</v>
      </c>
      <c r="P1466" s="65">
        <f t="shared" si="86"/>
        <v>0</v>
      </c>
      <c r="Q1466" s="66"/>
      <c r="R1466" s="66"/>
      <c r="S1466" s="66"/>
      <c r="T1466" s="66"/>
      <c r="U1466" s="66"/>
      <c r="V1466" s="66"/>
      <c r="W1466" s="66"/>
      <c r="X1466" s="66"/>
      <c r="Y1466" s="66"/>
      <c r="Z1466" s="66"/>
      <c r="AA1466" s="66"/>
      <c r="AB1466" s="66"/>
      <c r="AC1466" s="66"/>
      <c r="AD1466" s="66"/>
      <c r="AE1466" s="66"/>
      <c r="AF1466" s="66"/>
      <c r="AG1466" s="66"/>
      <c r="AH1466" s="66"/>
      <c r="AI1466" s="66"/>
      <c r="AJ1466" s="66"/>
      <c r="AK1466" s="66"/>
      <c r="AL1466" s="66"/>
      <c r="AM1466" s="66"/>
      <c r="AN1466" s="66"/>
      <c r="AO1466" s="66"/>
      <c r="AP1466" s="66"/>
      <c r="AQ1466" s="66"/>
      <c r="AR1466" s="66"/>
      <c r="AS1466" s="66"/>
      <c r="AT1466" s="66"/>
      <c r="AU1466" s="66"/>
      <c r="AV1466" s="66"/>
      <c r="AW1466" s="66"/>
      <c r="AX1466" s="66"/>
      <c r="AY1466" s="66"/>
      <c r="AZ1466" s="66"/>
      <c r="BA1466" s="66"/>
      <c r="BB1466" s="66"/>
      <c r="BC1466" s="66"/>
      <c r="BD1466" s="66"/>
      <c r="BE1466" s="67"/>
      <c r="BF1466" s="67"/>
      <c r="BG1466" s="68"/>
      <c r="BI1466" s="69">
        <v>0</v>
      </c>
      <c r="BJ1466" s="70">
        <v>0</v>
      </c>
      <c r="BK1466" s="71">
        <v>0</v>
      </c>
      <c r="BL1466" s="71">
        <v>0</v>
      </c>
      <c r="BM1466" s="71">
        <v>0</v>
      </c>
      <c r="BN1466" s="72">
        <v>0</v>
      </c>
      <c r="BO1466" s="151" t="e">
        <f t="shared" si="87"/>
        <v>#DIV/0!</v>
      </c>
      <c r="BP1466" s="151" t="e">
        <f t="shared" si="88"/>
        <v>#DIV/0!</v>
      </c>
      <c r="BQ1466" s="71">
        <v>0</v>
      </c>
      <c r="BR1466" s="71">
        <v>0</v>
      </c>
      <c r="BS1466" s="71">
        <v>0</v>
      </c>
      <c r="BT1466" s="72">
        <v>0</v>
      </c>
      <c r="BU1466" s="151" t="e">
        <f t="shared" si="91"/>
        <v>#DIV/0!</v>
      </c>
      <c r="BV1466" s="151" t="e">
        <f t="shared" si="92"/>
        <v>#DIV/0!</v>
      </c>
    </row>
    <row r="1467" ht="30" customHeight="1" spans="1:74">
      <c r="A1467" s="55" t="s">
        <v>246</v>
      </c>
      <c r="B1467" s="56" t="s">
        <v>2247</v>
      </c>
      <c r="C1467" s="57" t="s">
        <v>2343</v>
      </c>
      <c r="D1467" s="91" t="s">
        <v>2362</v>
      </c>
      <c r="E1467" s="91" t="s">
        <v>2387</v>
      </c>
      <c r="F1467" s="91" t="str">
        <f>VLOOKUP(E1467,[1]库存!$B$1:$C$65536,2,FALSE)</f>
        <v>HYUNDAI NU2 SAB RH FOLD</v>
      </c>
      <c r="G1467" s="91" t="s">
        <v>2388</v>
      </c>
      <c r="H1467" s="91" t="s">
        <v>2389</v>
      </c>
      <c r="I1467" s="91" t="s">
        <v>2386</v>
      </c>
      <c r="J1467" s="64"/>
      <c r="K1467" s="61"/>
      <c r="L1467" s="62">
        <v>2</v>
      </c>
      <c r="M1467" s="63">
        <v>1200</v>
      </c>
      <c r="N1467" s="64">
        <v>12</v>
      </c>
      <c r="O1467" s="62">
        <v>2</v>
      </c>
      <c r="P1467" s="65">
        <f t="shared" si="86"/>
        <v>0</v>
      </c>
      <c r="Q1467" s="66"/>
      <c r="R1467" s="66"/>
      <c r="S1467" s="66"/>
      <c r="T1467" s="66"/>
      <c r="U1467" s="66"/>
      <c r="V1467" s="66"/>
      <c r="W1467" s="66"/>
      <c r="X1467" s="66"/>
      <c r="Y1467" s="66"/>
      <c r="Z1467" s="66"/>
      <c r="AA1467" s="66"/>
      <c r="AB1467" s="66"/>
      <c r="AC1467" s="66">
        <v>1400</v>
      </c>
      <c r="AD1467" s="66"/>
      <c r="AE1467" s="66"/>
      <c r="AF1467" s="66"/>
      <c r="AG1467" s="66"/>
      <c r="AH1467" s="66"/>
      <c r="AI1467" s="66"/>
      <c r="AJ1467" s="66"/>
      <c r="AK1467" s="66"/>
      <c r="AL1467" s="66"/>
      <c r="AM1467" s="66"/>
      <c r="AN1467" s="66"/>
      <c r="AO1467" s="66"/>
      <c r="AP1467" s="66"/>
      <c r="AQ1467" s="66"/>
      <c r="AR1467" s="66"/>
      <c r="AS1467" s="66"/>
      <c r="AT1467" s="66"/>
      <c r="AU1467" s="66"/>
      <c r="AV1467" s="66"/>
      <c r="AW1467" s="66"/>
      <c r="AX1467" s="66"/>
      <c r="AY1467" s="66"/>
      <c r="AZ1467" s="66"/>
      <c r="BA1467" s="66"/>
      <c r="BB1467" s="66"/>
      <c r="BC1467" s="66"/>
      <c r="BD1467" s="66"/>
      <c r="BE1467" s="67"/>
      <c r="BF1467" s="67"/>
      <c r="BG1467" s="68"/>
      <c r="BI1467" s="69">
        <v>0</v>
      </c>
      <c r="BJ1467" s="70">
        <v>0</v>
      </c>
      <c r="BK1467" s="71">
        <v>0</v>
      </c>
      <c r="BL1467" s="71">
        <v>0</v>
      </c>
      <c r="BM1467" s="71">
        <v>0</v>
      </c>
      <c r="BN1467" s="72">
        <v>0</v>
      </c>
      <c r="BO1467" s="151" t="e">
        <f t="shared" si="87"/>
        <v>#DIV/0!</v>
      </c>
      <c r="BP1467" s="151" t="e">
        <f t="shared" si="88"/>
        <v>#DIV/0!</v>
      </c>
      <c r="BQ1467" s="71">
        <v>0</v>
      </c>
      <c r="BR1467" s="71">
        <v>0</v>
      </c>
      <c r="BS1467" s="71">
        <v>0</v>
      </c>
      <c r="BT1467" s="72">
        <v>0</v>
      </c>
      <c r="BU1467" s="151" t="e">
        <f t="shared" si="91"/>
        <v>#DIV/0!</v>
      </c>
      <c r="BV1467" s="151" t="e">
        <f t="shared" si="92"/>
        <v>#DIV/0!</v>
      </c>
    </row>
    <row r="1468" ht="30" customHeight="1" spans="1:74">
      <c r="A1468" s="55">
        <v>0</v>
      </c>
      <c r="B1468" s="56">
        <v>0</v>
      </c>
      <c r="C1468" s="57">
        <v>0</v>
      </c>
      <c r="D1468" s="92"/>
      <c r="E1468" s="92"/>
      <c r="F1468" s="91" t="e">
        <f>VLOOKUP(E1468,[1]库存!$B$1:$C$65536,2,FALSE)</f>
        <v>#N/A</v>
      </c>
      <c r="G1468" s="91" t="e">
        <v>#N/A</v>
      </c>
      <c r="H1468" s="92"/>
      <c r="I1468" s="92"/>
      <c r="J1468" s="93"/>
      <c r="K1468" s="61"/>
      <c r="L1468" s="62">
        <v>0</v>
      </c>
      <c r="M1468" s="63">
        <v>0</v>
      </c>
      <c r="N1468" s="64">
        <v>0</v>
      </c>
      <c r="O1468" s="62">
        <v>0</v>
      </c>
      <c r="P1468" s="65">
        <f t="shared" si="86"/>
        <v>0</v>
      </c>
      <c r="Q1468" s="66"/>
      <c r="R1468" s="66"/>
      <c r="S1468" s="66"/>
      <c r="T1468" s="66"/>
      <c r="U1468" s="66"/>
      <c r="V1468" s="66"/>
      <c r="W1468" s="66"/>
      <c r="X1468" s="66"/>
      <c r="Y1468" s="66"/>
      <c r="Z1468" s="66"/>
      <c r="AA1468" s="66"/>
      <c r="AB1468" s="66"/>
      <c r="AC1468" s="66">
        <v>1436</v>
      </c>
      <c r="AD1468" s="66"/>
      <c r="AE1468" s="66"/>
      <c r="AF1468" s="66"/>
      <c r="AG1468" s="66"/>
      <c r="AH1468" s="66"/>
      <c r="AI1468" s="66"/>
      <c r="AJ1468" s="66"/>
      <c r="AK1468" s="66"/>
      <c r="AL1468" s="66"/>
      <c r="AM1468" s="66"/>
      <c r="AN1468" s="66"/>
      <c r="AO1468" s="66"/>
      <c r="AP1468" s="66"/>
      <c r="AQ1468" s="66"/>
      <c r="AR1468" s="66"/>
      <c r="AS1468" s="66"/>
      <c r="AT1468" s="66"/>
      <c r="AU1468" s="66"/>
      <c r="AV1468" s="66"/>
      <c r="AW1468" s="66"/>
      <c r="AX1468" s="66"/>
      <c r="AY1468" s="66"/>
      <c r="AZ1468" s="66"/>
      <c r="BA1468" s="66"/>
      <c r="BB1468" s="66"/>
      <c r="BC1468" s="66"/>
      <c r="BD1468" s="66"/>
      <c r="BE1468" s="67"/>
      <c r="BF1468" s="67"/>
      <c r="BG1468" s="68"/>
      <c r="BI1468" s="69">
        <v>0</v>
      </c>
      <c r="BJ1468" s="70">
        <v>0</v>
      </c>
      <c r="BK1468" s="71">
        <v>0</v>
      </c>
      <c r="BL1468" s="71">
        <v>0</v>
      </c>
      <c r="BM1468" s="71">
        <v>0</v>
      </c>
      <c r="BN1468" s="72">
        <v>0</v>
      </c>
      <c r="BO1468" s="151" t="e">
        <f t="shared" si="87"/>
        <v>#DIV/0!</v>
      </c>
      <c r="BP1468" s="151" t="e">
        <f t="shared" si="88"/>
        <v>#DIV/0!</v>
      </c>
      <c r="BQ1468" s="71">
        <v>0</v>
      </c>
      <c r="BR1468" s="71">
        <v>0</v>
      </c>
      <c r="BS1468" s="71">
        <v>0</v>
      </c>
      <c r="BT1468" s="72">
        <v>0</v>
      </c>
      <c r="BU1468" s="151" t="e">
        <f t="shared" si="91"/>
        <v>#DIV/0!</v>
      </c>
      <c r="BV1468" s="151" t="e">
        <f t="shared" si="92"/>
        <v>#DIV/0!</v>
      </c>
    </row>
    <row r="1469" ht="30" customHeight="1" spans="1:74">
      <c r="A1469" s="55" t="s">
        <v>246</v>
      </c>
      <c r="B1469" s="56" t="s">
        <v>2247</v>
      </c>
      <c r="C1469" s="57" t="s">
        <v>2343</v>
      </c>
      <c r="D1469" s="59" t="s">
        <v>2362</v>
      </c>
      <c r="E1469" s="59" t="s">
        <v>2390</v>
      </c>
      <c r="F1469" s="59" t="str">
        <f>VLOOKUP(E1469,[1]库存!$B$1:$C$65536,2,FALSE)</f>
        <v>HYUNDAI NU2 SAB RH MNL</v>
      </c>
      <c r="G1469" s="59" t="s">
        <v>2391</v>
      </c>
      <c r="H1469" s="59" t="s">
        <v>2392</v>
      </c>
      <c r="I1469" s="59" t="s">
        <v>2386</v>
      </c>
      <c r="J1469" s="82" t="s">
        <v>2393</v>
      </c>
      <c r="K1469" s="61"/>
      <c r="L1469" s="62">
        <v>2</v>
      </c>
      <c r="M1469" s="63">
        <v>1200</v>
      </c>
      <c r="N1469" s="64">
        <v>12</v>
      </c>
      <c r="O1469" s="62">
        <v>2</v>
      </c>
      <c r="P1469" s="65">
        <f t="shared" si="86"/>
        <v>0</v>
      </c>
      <c r="Q1469" s="66"/>
      <c r="R1469" s="66"/>
      <c r="S1469" s="66"/>
      <c r="T1469" s="66"/>
      <c r="U1469" s="66"/>
      <c r="V1469" s="66"/>
      <c r="W1469" s="66"/>
      <c r="X1469" s="66"/>
      <c r="Y1469" s="66"/>
      <c r="Z1469" s="66"/>
      <c r="AA1469" s="66"/>
      <c r="AB1469" s="66"/>
      <c r="AC1469" s="66"/>
      <c r="AD1469" s="66"/>
      <c r="AE1469" s="66"/>
      <c r="AF1469" s="66"/>
      <c r="AG1469" s="66"/>
      <c r="AH1469" s="66"/>
      <c r="AI1469" s="66"/>
      <c r="AJ1469" s="66"/>
      <c r="AK1469" s="66"/>
      <c r="AL1469" s="66"/>
      <c r="AM1469" s="66"/>
      <c r="AN1469" s="66"/>
      <c r="AO1469" s="66"/>
      <c r="AP1469" s="66"/>
      <c r="AQ1469" s="66"/>
      <c r="AR1469" s="66"/>
      <c r="AS1469" s="66"/>
      <c r="AT1469" s="66"/>
      <c r="AU1469" s="66"/>
      <c r="AV1469" s="66"/>
      <c r="AW1469" s="66"/>
      <c r="AX1469" s="66"/>
      <c r="AY1469" s="66"/>
      <c r="AZ1469" s="66"/>
      <c r="BA1469" s="66"/>
      <c r="BB1469" s="66"/>
      <c r="BC1469" s="66"/>
      <c r="BD1469" s="66"/>
      <c r="BE1469" s="67"/>
      <c r="BF1469" s="67"/>
      <c r="BG1469" s="68"/>
      <c r="BI1469" s="69">
        <v>0</v>
      </c>
      <c r="BJ1469" s="70">
        <v>0</v>
      </c>
      <c r="BK1469" s="71">
        <v>0</v>
      </c>
      <c r="BL1469" s="71">
        <v>0</v>
      </c>
      <c r="BM1469" s="71">
        <v>0</v>
      </c>
      <c r="BN1469" s="72">
        <v>0</v>
      </c>
      <c r="BO1469" s="151" t="e">
        <f t="shared" si="87"/>
        <v>#DIV/0!</v>
      </c>
      <c r="BP1469" s="151" t="e">
        <f t="shared" si="88"/>
        <v>#DIV/0!</v>
      </c>
      <c r="BQ1469" s="71">
        <v>0</v>
      </c>
      <c r="BR1469" s="71">
        <v>0</v>
      </c>
      <c r="BS1469" s="71">
        <v>0</v>
      </c>
      <c r="BT1469" s="72">
        <v>0</v>
      </c>
      <c r="BU1469" s="151" t="e">
        <f t="shared" si="91"/>
        <v>#DIV/0!</v>
      </c>
      <c r="BV1469" s="151" t="e">
        <f t="shared" si="92"/>
        <v>#DIV/0!</v>
      </c>
    </row>
    <row r="1470" ht="30" customHeight="1" spans="1:74">
      <c r="A1470" s="55">
        <v>0</v>
      </c>
      <c r="B1470" s="56">
        <v>0</v>
      </c>
      <c r="C1470" s="57">
        <v>0</v>
      </c>
      <c r="D1470" s="74"/>
      <c r="E1470" s="74"/>
      <c r="F1470" s="59" t="e">
        <f>VLOOKUP(E1470,[1]库存!$B$1:$C$65536,2,FALSE)</f>
        <v>#N/A</v>
      </c>
      <c r="G1470" s="59" t="e">
        <v>#N/A</v>
      </c>
      <c r="H1470" s="74"/>
      <c r="I1470" s="74"/>
      <c r="J1470" s="83"/>
      <c r="K1470" s="61"/>
      <c r="L1470" s="62">
        <v>0</v>
      </c>
      <c r="M1470" s="63">
        <v>0</v>
      </c>
      <c r="N1470" s="64">
        <v>0</v>
      </c>
      <c r="O1470" s="62">
        <v>0</v>
      </c>
      <c r="P1470" s="65">
        <f t="shared" si="86"/>
        <v>0</v>
      </c>
      <c r="Q1470" s="66"/>
      <c r="R1470" s="66"/>
      <c r="S1470" s="66"/>
      <c r="T1470" s="66"/>
      <c r="U1470" s="66"/>
      <c r="V1470" s="66"/>
      <c r="W1470" s="66"/>
      <c r="X1470" s="66"/>
      <c r="Y1470" s="66"/>
      <c r="Z1470" s="66"/>
      <c r="AA1470" s="66"/>
      <c r="AB1470" s="66"/>
      <c r="AC1470" s="66"/>
      <c r="AD1470" s="66"/>
      <c r="AE1470" s="66"/>
      <c r="AF1470" s="66"/>
      <c r="AG1470" s="66"/>
      <c r="AH1470" s="66"/>
      <c r="AI1470" s="66"/>
      <c r="AJ1470" s="66"/>
      <c r="AK1470" s="66"/>
      <c r="AL1470" s="66"/>
      <c r="AM1470" s="66"/>
      <c r="AN1470" s="66"/>
      <c r="AO1470" s="66"/>
      <c r="AP1470" s="66"/>
      <c r="AQ1470" s="66"/>
      <c r="AR1470" s="66"/>
      <c r="AS1470" s="66"/>
      <c r="AT1470" s="66"/>
      <c r="AU1470" s="66"/>
      <c r="AV1470" s="66"/>
      <c r="AW1470" s="66"/>
      <c r="AX1470" s="66"/>
      <c r="AY1470" s="66"/>
      <c r="AZ1470" s="66"/>
      <c r="BA1470" s="66"/>
      <c r="BB1470" s="66"/>
      <c r="BC1470" s="66"/>
      <c r="BD1470" s="66"/>
      <c r="BE1470" s="67"/>
      <c r="BF1470" s="67"/>
      <c r="BG1470" s="68"/>
      <c r="BI1470" s="69">
        <v>0</v>
      </c>
      <c r="BJ1470" s="70">
        <v>0</v>
      </c>
      <c r="BK1470" s="71">
        <v>0</v>
      </c>
      <c r="BL1470" s="71">
        <v>0</v>
      </c>
      <c r="BM1470" s="71">
        <v>0</v>
      </c>
      <c r="BN1470" s="72">
        <v>0</v>
      </c>
      <c r="BO1470" s="151" t="e">
        <f t="shared" si="87"/>
        <v>#DIV/0!</v>
      </c>
      <c r="BP1470" s="151" t="e">
        <f t="shared" si="88"/>
        <v>#DIV/0!</v>
      </c>
      <c r="BQ1470" s="71">
        <v>0</v>
      </c>
      <c r="BR1470" s="71">
        <v>0</v>
      </c>
      <c r="BS1470" s="71">
        <v>0</v>
      </c>
      <c r="BT1470" s="72">
        <v>0</v>
      </c>
      <c r="BU1470" s="151" t="e">
        <f t="shared" si="91"/>
        <v>#DIV/0!</v>
      </c>
      <c r="BV1470" s="151" t="e">
        <f t="shared" si="92"/>
        <v>#DIV/0!</v>
      </c>
    </row>
    <row r="1471" ht="30" customHeight="1" spans="1:74">
      <c r="A1471" s="55">
        <v>0</v>
      </c>
      <c r="B1471" s="56">
        <v>0</v>
      </c>
      <c r="C1471" s="57">
        <v>0</v>
      </c>
      <c r="D1471" s="210"/>
      <c r="E1471" s="88"/>
      <c r="F1471" s="59" t="e">
        <f>VLOOKUP(E1471,[1]库存!$B$1:$C$65536,2,FALSE)</f>
        <v>#N/A</v>
      </c>
      <c r="G1471" s="59" t="e">
        <v>#N/A</v>
      </c>
      <c r="H1471" s="238"/>
      <c r="I1471" s="239"/>
      <c r="J1471" s="90"/>
      <c r="K1471" s="61"/>
      <c r="L1471" s="62">
        <v>0</v>
      </c>
      <c r="M1471" s="63">
        <v>0</v>
      </c>
      <c r="N1471" s="64">
        <v>0</v>
      </c>
      <c r="O1471" s="62">
        <v>0</v>
      </c>
      <c r="P1471" s="65">
        <f t="shared" si="86"/>
        <v>0</v>
      </c>
      <c r="Q1471" s="66"/>
      <c r="R1471" s="66"/>
      <c r="S1471" s="66"/>
      <c r="T1471" s="66"/>
      <c r="U1471" s="66"/>
      <c r="V1471" s="66"/>
      <c r="W1471" s="66"/>
      <c r="X1471" s="66"/>
      <c r="Y1471" s="66"/>
      <c r="Z1471" s="66"/>
      <c r="AA1471" s="66"/>
      <c r="AB1471" s="66"/>
      <c r="AC1471" s="66"/>
      <c r="AD1471" s="66"/>
      <c r="AE1471" s="66"/>
      <c r="AF1471" s="66"/>
      <c r="AG1471" s="66"/>
      <c r="AH1471" s="66"/>
      <c r="AI1471" s="66"/>
      <c r="AJ1471" s="66"/>
      <c r="AK1471" s="66"/>
      <c r="AL1471" s="66"/>
      <c r="AM1471" s="66"/>
      <c r="AN1471" s="66"/>
      <c r="AO1471" s="66"/>
      <c r="AP1471" s="66"/>
      <c r="AQ1471" s="66"/>
      <c r="AR1471" s="66"/>
      <c r="AS1471" s="66"/>
      <c r="AT1471" s="66"/>
      <c r="AU1471" s="66"/>
      <c r="AV1471" s="66"/>
      <c r="AW1471" s="66"/>
      <c r="AX1471" s="66"/>
      <c r="AY1471" s="66"/>
      <c r="AZ1471" s="66"/>
      <c r="BA1471" s="66"/>
      <c r="BB1471" s="66"/>
      <c r="BC1471" s="66"/>
      <c r="BD1471" s="66"/>
      <c r="BE1471" s="67"/>
      <c r="BF1471" s="67"/>
      <c r="BG1471" s="68"/>
      <c r="BI1471" s="69">
        <v>0</v>
      </c>
      <c r="BJ1471" s="70">
        <v>0</v>
      </c>
      <c r="BK1471" s="71">
        <v>0</v>
      </c>
      <c r="BL1471" s="71">
        <v>0</v>
      </c>
      <c r="BM1471" s="71">
        <v>0</v>
      </c>
      <c r="BN1471" s="72">
        <v>0</v>
      </c>
      <c r="BO1471" s="151" t="e">
        <f t="shared" si="87"/>
        <v>#DIV/0!</v>
      </c>
      <c r="BP1471" s="151" t="e">
        <f t="shared" si="88"/>
        <v>#DIV/0!</v>
      </c>
      <c r="BQ1471" s="71">
        <v>0</v>
      </c>
      <c r="BR1471" s="71">
        <v>0</v>
      </c>
      <c r="BS1471" s="71">
        <v>0</v>
      </c>
      <c r="BT1471" s="72">
        <v>0</v>
      </c>
      <c r="BU1471" s="151" t="e">
        <f t="shared" si="91"/>
        <v>#DIV/0!</v>
      </c>
      <c r="BV1471" s="151" t="e">
        <f t="shared" si="92"/>
        <v>#DIV/0!</v>
      </c>
    </row>
    <row r="1472" ht="30" customHeight="1" spans="1:74">
      <c r="A1472" s="55" t="s">
        <v>165</v>
      </c>
      <c r="B1472" s="56" t="s">
        <v>2247</v>
      </c>
      <c r="C1472" s="57" t="s">
        <v>2343</v>
      </c>
      <c r="D1472" s="91" t="s">
        <v>2394</v>
      </c>
      <c r="E1472" s="91" t="s">
        <v>2395</v>
      </c>
      <c r="F1472" s="91" t="str">
        <f>VLOOKUP(E1472,[1]库存!$B$1:$C$65536,2,FALSE)</f>
        <v>VW371/8 FSAB LH</v>
      </c>
      <c r="G1472" s="91" t="s">
        <v>2396</v>
      </c>
      <c r="H1472" s="91" t="s">
        <v>2397</v>
      </c>
      <c r="I1472" s="91" t="s">
        <v>1804</v>
      </c>
      <c r="J1472" s="100" t="s">
        <v>2398</v>
      </c>
      <c r="K1472" s="61"/>
      <c r="L1472" s="62">
        <v>2</v>
      </c>
      <c r="M1472" s="63">
        <v>1000</v>
      </c>
      <c r="N1472" s="64">
        <v>12</v>
      </c>
      <c r="O1472" s="62">
        <v>2</v>
      </c>
      <c r="P1472" s="65">
        <f t="shared" si="86"/>
        <v>0</v>
      </c>
      <c r="Q1472" s="66"/>
      <c r="R1472" s="66"/>
      <c r="S1472" s="66"/>
      <c r="T1472" s="66"/>
      <c r="U1472" s="66"/>
      <c r="V1472" s="66"/>
      <c r="W1472" s="66"/>
      <c r="X1472" s="66"/>
      <c r="Y1472" s="66"/>
      <c r="Z1472" s="66"/>
      <c r="AA1472" s="66"/>
      <c r="AB1472" s="66"/>
      <c r="AC1472" s="66"/>
      <c r="AD1472" s="66"/>
      <c r="AE1472" s="66"/>
      <c r="AF1472" s="66"/>
      <c r="AG1472" s="66"/>
      <c r="AH1472" s="66"/>
      <c r="AI1472" s="66"/>
      <c r="AJ1472" s="66"/>
      <c r="AK1472" s="66"/>
      <c r="AL1472" s="66"/>
      <c r="AM1472" s="66"/>
      <c r="AN1472" s="66"/>
      <c r="AO1472" s="66"/>
      <c r="AP1472" s="66"/>
      <c r="AQ1472" s="66"/>
      <c r="AR1472" s="66"/>
      <c r="AS1472" s="66"/>
      <c r="AT1472" s="66"/>
      <c r="AU1472" s="66"/>
      <c r="AV1472" s="66"/>
      <c r="AW1472" s="66"/>
      <c r="AX1472" s="66"/>
      <c r="AY1472" s="66"/>
      <c r="AZ1472" s="66"/>
      <c r="BA1472" s="66"/>
      <c r="BB1472" s="66"/>
      <c r="BC1472" s="66"/>
      <c r="BD1472" s="66"/>
      <c r="BE1472" s="67"/>
      <c r="BF1472" s="67"/>
      <c r="BG1472" s="68"/>
      <c r="BI1472" s="69">
        <v>0</v>
      </c>
      <c r="BJ1472" s="70">
        <v>0</v>
      </c>
      <c r="BK1472" s="71">
        <v>0</v>
      </c>
      <c r="BL1472" s="71">
        <v>0</v>
      </c>
      <c r="BM1472" s="71">
        <v>0</v>
      </c>
      <c r="BN1472" s="72">
        <v>0</v>
      </c>
      <c r="BO1472" s="151" t="e">
        <f t="shared" si="87"/>
        <v>#DIV/0!</v>
      </c>
      <c r="BP1472" s="151" t="e">
        <f t="shared" si="88"/>
        <v>#DIV/0!</v>
      </c>
      <c r="BQ1472" s="71">
        <v>0</v>
      </c>
      <c r="BR1472" s="71">
        <v>0</v>
      </c>
      <c r="BS1472" s="71">
        <v>0</v>
      </c>
      <c r="BT1472" s="72">
        <v>0</v>
      </c>
      <c r="BU1472" s="151" t="e">
        <f t="shared" si="91"/>
        <v>#DIV/0!</v>
      </c>
      <c r="BV1472" s="151" t="e">
        <f t="shared" si="92"/>
        <v>#DIV/0!</v>
      </c>
    </row>
    <row r="1473" ht="30" customHeight="1" spans="1:74">
      <c r="A1473" s="55">
        <v>0</v>
      </c>
      <c r="B1473" s="56">
        <v>0</v>
      </c>
      <c r="C1473" s="57">
        <v>0</v>
      </c>
      <c r="D1473" s="92"/>
      <c r="E1473" s="92"/>
      <c r="F1473" s="91" t="e">
        <f>VLOOKUP(E1473,[1]库存!$B$1:$C$65536,2,FALSE)</f>
        <v>#N/A</v>
      </c>
      <c r="G1473" s="91" t="e">
        <v>#N/A</v>
      </c>
      <c r="H1473" s="92"/>
      <c r="I1473" s="92"/>
      <c r="J1473" s="101"/>
      <c r="K1473" s="61"/>
      <c r="L1473" s="62">
        <v>0</v>
      </c>
      <c r="M1473" s="63">
        <v>0</v>
      </c>
      <c r="N1473" s="64">
        <v>0</v>
      </c>
      <c r="O1473" s="62">
        <v>0</v>
      </c>
      <c r="P1473" s="65">
        <f t="shared" si="86"/>
        <v>0</v>
      </c>
      <c r="Q1473" s="66"/>
      <c r="R1473" s="66"/>
      <c r="S1473" s="66"/>
      <c r="T1473" s="66"/>
      <c r="U1473" s="66"/>
      <c r="V1473" s="66"/>
      <c r="W1473" s="66"/>
      <c r="X1473" s="66"/>
      <c r="Y1473" s="66"/>
      <c r="Z1473" s="66"/>
      <c r="AA1473" s="66"/>
      <c r="AB1473" s="66"/>
      <c r="AC1473" s="66"/>
      <c r="AD1473" s="66"/>
      <c r="AE1473" s="66"/>
      <c r="AF1473" s="66"/>
      <c r="AG1473" s="66"/>
      <c r="AH1473" s="66"/>
      <c r="AI1473" s="66"/>
      <c r="AJ1473" s="66"/>
      <c r="AK1473" s="66"/>
      <c r="AL1473" s="66"/>
      <c r="AM1473" s="66"/>
      <c r="AN1473" s="66"/>
      <c r="AO1473" s="66"/>
      <c r="AP1473" s="66"/>
      <c r="AQ1473" s="66"/>
      <c r="AR1473" s="66"/>
      <c r="AS1473" s="66"/>
      <c r="AT1473" s="66"/>
      <c r="AU1473" s="66"/>
      <c r="AV1473" s="66"/>
      <c r="AW1473" s="66"/>
      <c r="AX1473" s="66"/>
      <c r="AY1473" s="66"/>
      <c r="AZ1473" s="66"/>
      <c r="BA1473" s="66"/>
      <c r="BB1473" s="66"/>
      <c r="BC1473" s="66"/>
      <c r="BD1473" s="66"/>
      <c r="BE1473" s="67"/>
      <c r="BF1473" s="67"/>
      <c r="BG1473" s="68"/>
      <c r="BI1473" s="69">
        <v>0</v>
      </c>
      <c r="BJ1473" s="70">
        <v>0</v>
      </c>
      <c r="BK1473" s="71">
        <v>0</v>
      </c>
      <c r="BL1473" s="71">
        <v>0</v>
      </c>
      <c r="BM1473" s="71">
        <v>0</v>
      </c>
      <c r="BN1473" s="72">
        <v>0</v>
      </c>
      <c r="BO1473" s="151" t="e">
        <f t="shared" si="87"/>
        <v>#DIV/0!</v>
      </c>
      <c r="BP1473" s="151" t="e">
        <f t="shared" si="88"/>
        <v>#DIV/0!</v>
      </c>
      <c r="BQ1473" s="71">
        <v>0</v>
      </c>
      <c r="BR1473" s="71">
        <v>0</v>
      </c>
      <c r="BS1473" s="71">
        <v>0</v>
      </c>
      <c r="BT1473" s="72">
        <v>0</v>
      </c>
      <c r="BU1473" s="151" t="e">
        <f t="shared" si="91"/>
        <v>#DIV/0!</v>
      </c>
      <c r="BV1473" s="151" t="e">
        <f t="shared" si="92"/>
        <v>#DIV/0!</v>
      </c>
    </row>
    <row r="1474" ht="30" customHeight="1" spans="1:74">
      <c r="A1474" s="55" t="s">
        <v>165</v>
      </c>
      <c r="B1474" s="56" t="s">
        <v>2247</v>
      </c>
      <c r="C1474" s="57" t="s">
        <v>2343</v>
      </c>
      <c r="D1474" s="91" t="s">
        <v>2394</v>
      </c>
      <c r="E1474" s="91" t="s">
        <v>2399</v>
      </c>
      <c r="F1474" s="91" t="str">
        <f>VLOOKUP(E1474,[1]库存!$B$1:$C$65536,2,FALSE)</f>
        <v>VW371/8 FSAB RH</v>
      </c>
      <c r="G1474" s="91" t="s">
        <v>2400</v>
      </c>
      <c r="H1474" s="91" t="s">
        <v>2401</v>
      </c>
      <c r="I1474" s="91" t="s">
        <v>1804</v>
      </c>
      <c r="J1474" s="101"/>
      <c r="K1474" s="61"/>
      <c r="L1474" s="62">
        <v>2</v>
      </c>
      <c r="M1474" s="63">
        <v>1000</v>
      </c>
      <c r="N1474" s="64">
        <v>12</v>
      </c>
      <c r="O1474" s="62">
        <v>2</v>
      </c>
      <c r="P1474" s="65">
        <f t="shared" si="86"/>
        <v>0</v>
      </c>
      <c r="Q1474" s="66"/>
      <c r="R1474" s="66"/>
      <c r="S1474" s="66"/>
      <c r="T1474" s="66"/>
      <c r="U1474" s="66"/>
      <c r="V1474" s="66"/>
      <c r="W1474" s="66"/>
      <c r="X1474" s="66"/>
      <c r="Y1474" s="66"/>
      <c r="Z1474" s="66"/>
      <c r="AA1474" s="66"/>
      <c r="AB1474" s="66"/>
      <c r="AC1474" s="66"/>
      <c r="AD1474" s="66"/>
      <c r="AE1474" s="66"/>
      <c r="AF1474" s="66"/>
      <c r="AG1474" s="66"/>
      <c r="AH1474" s="66"/>
      <c r="AI1474" s="66"/>
      <c r="AJ1474" s="66"/>
      <c r="AK1474" s="66"/>
      <c r="AL1474" s="66"/>
      <c r="AM1474" s="66"/>
      <c r="AN1474" s="66"/>
      <c r="AO1474" s="66"/>
      <c r="AP1474" s="66"/>
      <c r="AQ1474" s="66"/>
      <c r="AR1474" s="66"/>
      <c r="AS1474" s="66"/>
      <c r="AT1474" s="66"/>
      <c r="AU1474" s="66"/>
      <c r="AV1474" s="66"/>
      <c r="AW1474" s="66"/>
      <c r="AX1474" s="66"/>
      <c r="AY1474" s="66"/>
      <c r="AZ1474" s="66"/>
      <c r="BA1474" s="66"/>
      <c r="BB1474" s="66"/>
      <c r="BC1474" s="66"/>
      <c r="BD1474" s="66"/>
      <c r="BE1474" s="67"/>
      <c r="BF1474" s="67"/>
      <c r="BG1474" s="68"/>
      <c r="BI1474" s="69">
        <v>0</v>
      </c>
      <c r="BJ1474" s="70">
        <v>0</v>
      </c>
      <c r="BK1474" s="71">
        <v>0</v>
      </c>
      <c r="BL1474" s="71">
        <v>0</v>
      </c>
      <c r="BM1474" s="71">
        <v>0</v>
      </c>
      <c r="BN1474" s="72">
        <v>0</v>
      </c>
      <c r="BO1474" s="151" t="e">
        <f t="shared" si="87"/>
        <v>#DIV/0!</v>
      </c>
      <c r="BP1474" s="151" t="e">
        <f t="shared" si="88"/>
        <v>#DIV/0!</v>
      </c>
      <c r="BQ1474" s="71">
        <v>0</v>
      </c>
      <c r="BR1474" s="71">
        <v>0</v>
      </c>
      <c r="BS1474" s="71">
        <v>0</v>
      </c>
      <c r="BT1474" s="72">
        <v>0</v>
      </c>
      <c r="BU1474" s="151" t="e">
        <f t="shared" si="91"/>
        <v>#DIV/0!</v>
      </c>
      <c r="BV1474" s="151" t="e">
        <f t="shared" si="92"/>
        <v>#DIV/0!</v>
      </c>
    </row>
    <row r="1475" ht="30" customHeight="1" spans="1:74">
      <c r="A1475" s="55">
        <v>0</v>
      </c>
      <c r="B1475" s="56">
        <v>0</v>
      </c>
      <c r="C1475" s="57">
        <v>0</v>
      </c>
      <c r="D1475" s="92"/>
      <c r="E1475" s="92"/>
      <c r="F1475" s="91" t="e">
        <f>VLOOKUP(E1475,[1]库存!$B$1:$C$65536,2,FALSE)</f>
        <v>#N/A</v>
      </c>
      <c r="G1475" s="91" t="e">
        <v>#N/A</v>
      </c>
      <c r="H1475" s="92"/>
      <c r="I1475" s="92"/>
      <c r="J1475" s="101"/>
      <c r="K1475" s="61"/>
      <c r="L1475" s="62">
        <v>0</v>
      </c>
      <c r="M1475" s="63">
        <v>0</v>
      </c>
      <c r="N1475" s="64">
        <v>0</v>
      </c>
      <c r="O1475" s="62">
        <v>0</v>
      </c>
      <c r="P1475" s="65">
        <f t="shared" si="86"/>
        <v>0</v>
      </c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  <c r="AD1475" s="66"/>
      <c r="AE1475" s="66"/>
      <c r="AF1475" s="66"/>
      <c r="AG1475" s="66"/>
      <c r="AH1475" s="66"/>
      <c r="AI1475" s="66"/>
      <c r="AJ1475" s="66"/>
      <c r="AK1475" s="66"/>
      <c r="AL1475" s="66"/>
      <c r="AM1475" s="66"/>
      <c r="AN1475" s="66"/>
      <c r="AO1475" s="66"/>
      <c r="AP1475" s="66"/>
      <c r="AQ1475" s="66"/>
      <c r="AR1475" s="66"/>
      <c r="AS1475" s="66"/>
      <c r="AT1475" s="66"/>
      <c r="AU1475" s="66"/>
      <c r="AV1475" s="66"/>
      <c r="AW1475" s="66"/>
      <c r="AX1475" s="66"/>
      <c r="AY1475" s="66"/>
      <c r="AZ1475" s="66"/>
      <c r="BA1475" s="66"/>
      <c r="BB1475" s="66"/>
      <c r="BC1475" s="66"/>
      <c r="BD1475" s="66"/>
      <c r="BE1475" s="67"/>
      <c r="BF1475" s="67"/>
      <c r="BG1475" s="68"/>
      <c r="BI1475" s="69">
        <v>0</v>
      </c>
      <c r="BJ1475" s="70">
        <v>0</v>
      </c>
      <c r="BK1475" s="71">
        <v>0</v>
      </c>
      <c r="BL1475" s="71">
        <v>0</v>
      </c>
      <c r="BM1475" s="71">
        <v>0</v>
      </c>
      <c r="BN1475" s="72">
        <v>0</v>
      </c>
      <c r="BO1475" s="151" t="e">
        <f t="shared" si="87"/>
        <v>#DIV/0!</v>
      </c>
      <c r="BP1475" s="151" t="e">
        <f t="shared" si="88"/>
        <v>#DIV/0!</v>
      </c>
      <c r="BQ1475" s="71">
        <v>0</v>
      </c>
      <c r="BR1475" s="71">
        <v>0</v>
      </c>
      <c r="BS1475" s="71">
        <v>0</v>
      </c>
      <c r="BT1475" s="72">
        <v>0</v>
      </c>
      <c r="BU1475" s="151" t="e">
        <f t="shared" si="91"/>
        <v>#DIV/0!</v>
      </c>
      <c r="BV1475" s="151" t="e">
        <f t="shared" si="92"/>
        <v>#DIV/0!</v>
      </c>
    </row>
    <row r="1476" ht="30" customHeight="1" spans="1:74">
      <c r="A1476" s="55" t="s">
        <v>165</v>
      </c>
      <c r="B1476" s="56" t="s">
        <v>2247</v>
      </c>
      <c r="C1476" s="57" t="s">
        <v>2343</v>
      </c>
      <c r="D1476" s="91" t="s">
        <v>2394</v>
      </c>
      <c r="E1476" s="91" t="s">
        <v>2402</v>
      </c>
      <c r="F1476" s="91" t="str">
        <f>VLOOKUP(E1476,[1]库存!$B$1:$C$65536,2,FALSE)</f>
        <v>BAIC N50 SAB LH A状态</v>
      </c>
      <c r="G1476" s="91" t="s">
        <v>2403</v>
      </c>
      <c r="H1476" s="91" t="s">
        <v>2404</v>
      </c>
      <c r="I1476" s="91" t="s">
        <v>2405</v>
      </c>
      <c r="J1476" s="63"/>
      <c r="K1476" s="61"/>
      <c r="L1476" s="62">
        <v>0</v>
      </c>
      <c r="M1476" s="63">
        <v>500</v>
      </c>
      <c r="N1476" s="64">
        <v>8</v>
      </c>
      <c r="O1476" s="62">
        <v>2</v>
      </c>
      <c r="P1476" s="65">
        <f t="shared" si="86"/>
        <v>0</v>
      </c>
      <c r="Q1476" s="66">
        <v>1600</v>
      </c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  <c r="AD1476" s="66"/>
      <c r="AE1476" s="66"/>
      <c r="AF1476" s="66"/>
      <c r="AG1476" s="66"/>
      <c r="AH1476" s="66"/>
      <c r="AI1476" s="66"/>
      <c r="AJ1476" s="66"/>
      <c r="AK1476" s="66"/>
      <c r="AL1476" s="66"/>
      <c r="AM1476" s="66"/>
      <c r="AN1476" s="66"/>
      <c r="AO1476" s="66"/>
      <c r="AP1476" s="66"/>
      <c r="AQ1476" s="66"/>
      <c r="AR1476" s="66"/>
      <c r="AS1476" s="66"/>
      <c r="AT1476" s="66"/>
      <c r="AU1476" s="66"/>
      <c r="AV1476" s="66"/>
      <c r="AW1476" s="66"/>
      <c r="AX1476" s="66"/>
      <c r="AY1476" s="66"/>
      <c r="AZ1476" s="66"/>
      <c r="BA1476" s="66"/>
      <c r="BB1476" s="66"/>
      <c r="BC1476" s="66"/>
      <c r="BD1476" s="66"/>
      <c r="BE1476" s="67"/>
      <c r="BF1476" s="67"/>
      <c r="BG1476" s="68"/>
      <c r="BI1476" s="69">
        <v>0</v>
      </c>
      <c r="BJ1476" s="70">
        <v>0</v>
      </c>
      <c r="BK1476" s="71">
        <v>0</v>
      </c>
      <c r="BL1476" s="71">
        <v>0</v>
      </c>
      <c r="BM1476" s="71">
        <v>0</v>
      </c>
      <c r="BN1476" s="72">
        <v>0</v>
      </c>
      <c r="BO1476" s="151" t="e">
        <f t="shared" si="87"/>
        <v>#DIV/0!</v>
      </c>
      <c r="BP1476" s="151" t="e">
        <f t="shared" si="88"/>
        <v>#DIV/0!</v>
      </c>
      <c r="BQ1476" s="71">
        <v>0</v>
      </c>
      <c r="BR1476" s="71">
        <v>0</v>
      </c>
      <c r="BS1476" s="71">
        <v>0</v>
      </c>
      <c r="BT1476" s="72">
        <v>0</v>
      </c>
      <c r="BU1476" s="151" t="e">
        <f t="shared" si="91"/>
        <v>#DIV/0!</v>
      </c>
      <c r="BV1476" s="151" t="e">
        <f t="shared" si="92"/>
        <v>#DIV/0!</v>
      </c>
    </row>
    <row r="1477" ht="30" customHeight="1" spans="1:74">
      <c r="A1477" s="55">
        <v>0</v>
      </c>
      <c r="B1477" s="56">
        <v>0</v>
      </c>
      <c r="C1477" s="57">
        <v>0</v>
      </c>
      <c r="D1477" s="92"/>
      <c r="E1477" s="92"/>
      <c r="F1477" s="91" t="e">
        <f>VLOOKUP(E1477,[1]库存!$B$1:$C$65536,2,FALSE)</f>
        <v>#N/A</v>
      </c>
      <c r="G1477" s="91" t="e">
        <v>#N/A</v>
      </c>
      <c r="H1477" s="92"/>
      <c r="I1477" s="92"/>
      <c r="J1477" s="87"/>
      <c r="K1477" s="61"/>
      <c r="L1477" s="62">
        <v>0</v>
      </c>
      <c r="M1477" s="63">
        <v>0</v>
      </c>
      <c r="N1477" s="64">
        <v>0</v>
      </c>
      <c r="O1477" s="62">
        <v>0</v>
      </c>
      <c r="P1477" s="65">
        <f t="shared" si="86"/>
        <v>0</v>
      </c>
      <c r="Q1477" s="66">
        <v>1605</v>
      </c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  <c r="AD1477" s="66"/>
      <c r="AE1477" s="66"/>
      <c r="AF1477" s="66"/>
      <c r="AG1477" s="66"/>
      <c r="AH1477" s="66"/>
      <c r="AI1477" s="66"/>
      <c r="AJ1477" s="66"/>
      <c r="AK1477" s="66"/>
      <c r="AL1477" s="66"/>
      <c r="AM1477" s="66"/>
      <c r="AN1477" s="66"/>
      <c r="AO1477" s="66"/>
      <c r="AP1477" s="66"/>
      <c r="AQ1477" s="66"/>
      <c r="AR1477" s="66"/>
      <c r="AS1477" s="66"/>
      <c r="AT1477" s="66"/>
      <c r="AU1477" s="66"/>
      <c r="AV1477" s="66"/>
      <c r="AW1477" s="66"/>
      <c r="AX1477" s="66"/>
      <c r="AY1477" s="66"/>
      <c r="AZ1477" s="66"/>
      <c r="BA1477" s="66"/>
      <c r="BB1477" s="66"/>
      <c r="BC1477" s="66"/>
      <c r="BD1477" s="66"/>
      <c r="BE1477" s="67"/>
      <c r="BF1477" s="67"/>
      <c r="BG1477" s="68"/>
      <c r="BI1477" s="69">
        <v>0</v>
      </c>
      <c r="BJ1477" s="70">
        <v>0</v>
      </c>
      <c r="BK1477" s="71">
        <v>0</v>
      </c>
      <c r="BL1477" s="71">
        <v>0</v>
      </c>
      <c r="BM1477" s="71">
        <v>0</v>
      </c>
      <c r="BN1477" s="72">
        <v>0</v>
      </c>
      <c r="BO1477" s="151" t="e">
        <f t="shared" si="87"/>
        <v>#DIV/0!</v>
      </c>
      <c r="BP1477" s="151" t="e">
        <f t="shared" si="88"/>
        <v>#DIV/0!</v>
      </c>
      <c r="BQ1477" s="71">
        <v>0</v>
      </c>
      <c r="BR1477" s="71">
        <v>0</v>
      </c>
      <c r="BS1477" s="71">
        <v>0</v>
      </c>
      <c r="BT1477" s="72">
        <v>0</v>
      </c>
      <c r="BU1477" s="151" t="e">
        <f t="shared" si="91"/>
        <v>#DIV/0!</v>
      </c>
      <c r="BV1477" s="151" t="e">
        <f t="shared" si="92"/>
        <v>#DIV/0!</v>
      </c>
    </row>
    <row r="1478" ht="30" customHeight="1" spans="1:74">
      <c r="A1478" s="55" t="s">
        <v>165</v>
      </c>
      <c r="B1478" s="56" t="s">
        <v>2247</v>
      </c>
      <c r="C1478" s="57" t="s">
        <v>2343</v>
      </c>
      <c r="D1478" s="91" t="s">
        <v>2394</v>
      </c>
      <c r="E1478" s="91" t="s">
        <v>2406</v>
      </c>
      <c r="F1478" s="91" t="str">
        <f>VLOOKUP(E1478,[1]库存!$B$1:$C$65536,2,FALSE)</f>
        <v>BAIC N50 SAB RH A状态</v>
      </c>
      <c r="G1478" s="91" t="s">
        <v>2407</v>
      </c>
      <c r="H1478" s="91" t="s">
        <v>2408</v>
      </c>
      <c r="I1478" s="91" t="s">
        <v>2405</v>
      </c>
      <c r="J1478" s="63"/>
      <c r="K1478" s="61"/>
      <c r="L1478" s="62">
        <v>0</v>
      </c>
      <c r="M1478" s="63">
        <v>500</v>
      </c>
      <c r="N1478" s="64">
        <v>8</v>
      </c>
      <c r="O1478" s="62">
        <v>2</v>
      </c>
      <c r="P1478" s="65">
        <f t="shared" ref="P1478:P1541" si="93">SUM(AG1478:AJ1478)</f>
        <v>0</v>
      </c>
      <c r="Q1478" s="66"/>
      <c r="R1478" s="66"/>
      <c r="S1478" s="66">
        <v>1650</v>
      </c>
      <c r="T1478" s="66"/>
      <c r="U1478" s="66"/>
      <c r="V1478" s="66"/>
      <c r="W1478" s="66"/>
      <c r="X1478" s="66"/>
      <c r="Y1478" s="66"/>
      <c r="Z1478" s="66"/>
      <c r="AA1478" s="66">
        <v>1600</v>
      </c>
      <c r="AB1478" s="66"/>
      <c r="AC1478" s="66">
        <v>1600</v>
      </c>
      <c r="AD1478" s="66"/>
      <c r="AE1478" s="66"/>
      <c r="AF1478" s="66"/>
      <c r="AG1478" s="66"/>
      <c r="AH1478" s="66"/>
      <c r="AI1478" s="66"/>
      <c r="AJ1478" s="66"/>
      <c r="AK1478" s="66"/>
      <c r="AL1478" s="66"/>
      <c r="AM1478" s="66"/>
      <c r="AN1478" s="66"/>
      <c r="AO1478" s="66"/>
      <c r="AP1478" s="66"/>
      <c r="AQ1478" s="66"/>
      <c r="AR1478" s="66"/>
      <c r="AS1478" s="66"/>
      <c r="AT1478" s="66"/>
      <c r="AU1478" s="66"/>
      <c r="AV1478" s="66"/>
      <c r="AW1478" s="66"/>
      <c r="AX1478" s="66"/>
      <c r="AY1478" s="66"/>
      <c r="AZ1478" s="66"/>
      <c r="BA1478" s="66"/>
      <c r="BB1478" s="66"/>
      <c r="BC1478" s="66"/>
      <c r="BD1478" s="66"/>
      <c r="BE1478" s="67"/>
      <c r="BF1478" s="67"/>
      <c r="BG1478" s="68"/>
      <c r="BI1478" s="69">
        <v>0</v>
      </c>
      <c r="BJ1478" s="70">
        <v>0</v>
      </c>
      <c r="BK1478" s="71">
        <v>0</v>
      </c>
      <c r="BL1478" s="71">
        <v>0</v>
      </c>
      <c r="BM1478" s="71">
        <v>0</v>
      </c>
      <c r="BN1478" s="72">
        <v>0</v>
      </c>
      <c r="BO1478" s="151" t="e">
        <f t="shared" si="87"/>
        <v>#DIV/0!</v>
      </c>
      <c r="BP1478" s="151" t="e">
        <f t="shared" si="88"/>
        <v>#DIV/0!</v>
      </c>
      <c r="BQ1478" s="71">
        <v>0</v>
      </c>
      <c r="BR1478" s="71">
        <v>0</v>
      </c>
      <c r="BS1478" s="71">
        <v>0</v>
      </c>
      <c r="BT1478" s="72">
        <v>0</v>
      </c>
      <c r="BU1478" s="151" t="e">
        <f t="shared" si="91"/>
        <v>#DIV/0!</v>
      </c>
      <c r="BV1478" s="151" t="e">
        <f t="shared" si="92"/>
        <v>#DIV/0!</v>
      </c>
    </row>
    <row r="1479" ht="30" customHeight="1" spans="1:74">
      <c r="A1479" s="55">
        <v>0</v>
      </c>
      <c r="B1479" s="56">
        <v>0</v>
      </c>
      <c r="C1479" s="57">
        <v>0</v>
      </c>
      <c r="D1479" s="92"/>
      <c r="E1479" s="92"/>
      <c r="F1479" s="91" t="e">
        <f>VLOOKUP(E1479,[1]库存!$B$1:$C$65536,2,FALSE)</f>
        <v>#N/A</v>
      </c>
      <c r="G1479" s="91" t="e">
        <v>#N/A</v>
      </c>
      <c r="H1479" s="92"/>
      <c r="I1479" s="92"/>
      <c r="J1479" s="87"/>
      <c r="K1479" s="61"/>
      <c r="L1479" s="62">
        <v>0</v>
      </c>
      <c r="M1479" s="63">
        <v>0</v>
      </c>
      <c r="N1479" s="64">
        <v>0</v>
      </c>
      <c r="O1479" s="62">
        <v>0</v>
      </c>
      <c r="P1479" s="65">
        <f t="shared" si="93"/>
        <v>0</v>
      </c>
      <c r="Q1479" s="66"/>
      <c r="R1479" s="66"/>
      <c r="S1479" s="66">
        <v>1690</v>
      </c>
      <c r="T1479" s="66"/>
      <c r="U1479" s="66"/>
      <c r="V1479" s="66"/>
      <c r="W1479" s="66"/>
      <c r="X1479" s="66"/>
      <c r="Y1479" s="66"/>
      <c r="Z1479" s="66"/>
      <c r="AA1479" s="66">
        <v>1367</v>
      </c>
      <c r="AB1479" s="66"/>
      <c r="AC1479" s="66">
        <v>1633</v>
      </c>
      <c r="AD1479" s="66"/>
      <c r="AE1479" s="66"/>
      <c r="AF1479" s="66"/>
      <c r="AG1479" s="66"/>
      <c r="AH1479" s="66"/>
      <c r="AI1479" s="66"/>
      <c r="AJ1479" s="66"/>
      <c r="AK1479" s="66"/>
      <c r="AL1479" s="66"/>
      <c r="AM1479" s="66"/>
      <c r="AN1479" s="66"/>
      <c r="AO1479" s="66"/>
      <c r="AP1479" s="66"/>
      <c r="AQ1479" s="66"/>
      <c r="AR1479" s="66"/>
      <c r="AS1479" s="66"/>
      <c r="AT1479" s="66"/>
      <c r="AU1479" s="66"/>
      <c r="AV1479" s="66"/>
      <c r="AW1479" s="66"/>
      <c r="AX1479" s="66"/>
      <c r="AY1479" s="66"/>
      <c r="AZ1479" s="66"/>
      <c r="BA1479" s="66"/>
      <c r="BB1479" s="66"/>
      <c r="BC1479" s="66"/>
      <c r="BD1479" s="66"/>
      <c r="BE1479" s="67"/>
      <c r="BF1479" s="67"/>
      <c r="BG1479" s="68"/>
      <c r="BI1479" s="69">
        <v>0</v>
      </c>
      <c r="BJ1479" s="70">
        <v>0</v>
      </c>
      <c r="BK1479" s="71">
        <v>0</v>
      </c>
      <c r="BL1479" s="71">
        <v>0</v>
      </c>
      <c r="BM1479" s="71">
        <v>0</v>
      </c>
      <c r="BN1479" s="72">
        <v>0</v>
      </c>
      <c r="BO1479" s="151" t="e">
        <f t="shared" si="87"/>
        <v>#DIV/0!</v>
      </c>
      <c r="BP1479" s="151" t="e">
        <f t="shared" si="88"/>
        <v>#DIV/0!</v>
      </c>
      <c r="BQ1479" s="71">
        <v>0</v>
      </c>
      <c r="BR1479" s="71">
        <v>0</v>
      </c>
      <c r="BS1479" s="71">
        <v>0</v>
      </c>
      <c r="BT1479" s="72">
        <v>0</v>
      </c>
      <c r="BU1479" s="151" t="e">
        <f t="shared" si="91"/>
        <v>#DIV/0!</v>
      </c>
      <c r="BV1479" s="151" t="e">
        <f t="shared" si="92"/>
        <v>#DIV/0!</v>
      </c>
    </row>
    <row r="1480" ht="30" customHeight="1" spans="1:74">
      <c r="A1480" s="55" t="s">
        <v>410</v>
      </c>
      <c r="B1480" s="56" t="s">
        <v>2247</v>
      </c>
      <c r="C1480" s="57" t="s">
        <v>2343</v>
      </c>
      <c r="D1480" s="59" t="s">
        <v>2394</v>
      </c>
      <c r="E1480" s="59" t="s">
        <v>2409</v>
      </c>
      <c r="F1480" s="59" t="str">
        <f>VLOOKUP(E1480,[1]库存!$B$1:$C$65536,2,FALSE)</f>
        <v>H93AES FSAB LH</v>
      </c>
      <c r="G1480" s="59" t="s">
        <v>2410</v>
      </c>
      <c r="H1480" s="59" t="s">
        <v>2411</v>
      </c>
      <c r="I1480" s="59" t="s">
        <v>2412</v>
      </c>
      <c r="J1480" s="63"/>
      <c r="K1480" s="61"/>
      <c r="L1480" s="62">
        <v>0</v>
      </c>
      <c r="M1480" s="63">
        <v>1050</v>
      </c>
      <c r="N1480" s="64">
        <v>11</v>
      </c>
      <c r="O1480" s="62">
        <v>2</v>
      </c>
      <c r="P1480" s="65">
        <f t="shared" si="93"/>
        <v>0</v>
      </c>
      <c r="Q1480" s="66"/>
      <c r="R1480" s="66"/>
      <c r="S1480" s="66"/>
      <c r="T1480" s="66"/>
      <c r="U1480" s="66"/>
      <c r="V1480" s="66"/>
      <c r="W1480" s="66"/>
      <c r="X1480" s="66"/>
      <c r="Y1480" s="66"/>
      <c r="Z1480" s="66"/>
      <c r="AA1480" s="66"/>
      <c r="AB1480" s="66"/>
      <c r="AC1480" s="66"/>
      <c r="AD1480" s="66"/>
      <c r="AE1480" s="66"/>
      <c r="AF1480" s="66"/>
      <c r="AG1480" s="66"/>
      <c r="AH1480" s="66"/>
      <c r="AI1480" s="66"/>
      <c r="AJ1480" s="66"/>
      <c r="AK1480" s="66"/>
      <c r="AL1480" s="66"/>
      <c r="AM1480" s="66"/>
      <c r="AN1480" s="66"/>
      <c r="AO1480" s="66"/>
      <c r="AP1480" s="66"/>
      <c r="AQ1480" s="66"/>
      <c r="AR1480" s="66"/>
      <c r="AS1480" s="66"/>
      <c r="AT1480" s="66"/>
      <c r="AU1480" s="66"/>
      <c r="AV1480" s="66"/>
      <c r="AW1480" s="66"/>
      <c r="AX1480" s="66"/>
      <c r="AY1480" s="66"/>
      <c r="AZ1480" s="66"/>
      <c r="BA1480" s="66"/>
      <c r="BB1480" s="66"/>
      <c r="BC1480" s="66"/>
      <c r="BD1480" s="66"/>
      <c r="BE1480" s="67"/>
      <c r="BF1480" s="67"/>
      <c r="BG1480" s="68"/>
      <c r="BI1480" s="69">
        <v>0</v>
      </c>
      <c r="BJ1480" s="70">
        <v>0</v>
      </c>
      <c r="BK1480" s="71">
        <v>0</v>
      </c>
      <c r="BL1480" s="71">
        <v>0</v>
      </c>
      <c r="BM1480" s="71">
        <v>0</v>
      </c>
      <c r="BN1480" s="72">
        <v>0</v>
      </c>
      <c r="BO1480" s="151" t="e">
        <f t="shared" si="87"/>
        <v>#DIV/0!</v>
      </c>
      <c r="BP1480" s="151" t="e">
        <f t="shared" si="88"/>
        <v>#DIV/0!</v>
      </c>
      <c r="BQ1480" s="71">
        <v>0</v>
      </c>
      <c r="BR1480" s="71">
        <v>0</v>
      </c>
      <c r="BS1480" s="71">
        <v>0</v>
      </c>
      <c r="BT1480" s="72">
        <v>0</v>
      </c>
      <c r="BU1480" s="151" t="e">
        <f t="shared" si="91"/>
        <v>#DIV/0!</v>
      </c>
      <c r="BV1480" s="151" t="e">
        <f t="shared" si="92"/>
        <v>#DIV/0!</v>
      </c>
    </row>
    <row r="1481" ht="30" customHeight="1" spans="1:74">
      <c r="A1481" s="55">
        <v>0</v>
      </c>
      <c r="B1481" s="56">
        <v>0</v>
      </c>
      <c r="C1481" s="57">
        <v>0</v>
      </c>
      <c r="D1481" s="74"/>
      <c r="E1481" s="74"/>
      <c r="F1481" s="59" t="e">
        <f>VLOOKUP(E1481,[1]库存!$B$1:$C$65536,2,FALSE)</f>
        <v>#N/A</v>
      </c>
      <c r="G1481" s="59" t="e">
        <v>#N/A</v>
      </c>
      <c r="H1481" s="74"/>
      <c r="I1481" s="74"/>
      <c r="J1481" s="87"/>
      <c r="K1481" s="61"/>
      <c r="L1481" s="62">
        <v>0</v>
      </c>
      <c r="M1481" s="63">
        <v>0</v>
      </c>
      <c r="N1481" s="64">
        <v>0</v>
      </c>
      <c r="O1481" s="62">
        <v>0</v>
      </c>
      <c r="P1481" s="65">
        <f t="shared" si="93"/>
        <v>0</v>
      </c>
      <c r="Q1481" s="66"/>
      <c r="R1481" s="66"/>
      <c r="S1481" s="66"/>
      <c r="T1481" s="66"/>
      <c r="U1481" s="66"/>
      <c r="V1481" s="66"/>
      <c r="W1481" s="66"/>
      <c r="X1481" s="66"/>
      <c r="Y1481" s="66"/>
      <c r="Z1481" s="66"/>
      <c r="AA1481" s="66"/>
      <c r="AB1481" s="66"/>
      <c r="AC1481" s="66"/>
      <c r="AD1481" s="66"/>
      <c r="AE1481" s="66"/>
      <c r="AF1481" s="66"/>
      <c r="AG1481" s="66"/>
      <c r="AH1481" s="66"/>
      <c r="AI1481" s="66"/>
      <c r="AJ1481" s="66"/>
      <c r="AK1481" s="66"/>
      <c r="AL1481" s="66"/>
      <c r="AM1481" s="66"/>
      <c r="AN1481" s="66"/>
      <c r="AO1481" s="66"/>
      <c r="AP1481" s="66"/>
      <c r="AQ1481" s="66"/>
      <c r="AR1481" s="66"/>
      <c r="AS1481" s="66"/>
      <c r="AT1481" s="66"/>
      <c r="AU1481" s="66"/>
      <c r="AV1481" s="66"/>
      <c r="AW1481" s="66"/>
      <c r="AX1481" s="66"/>
      <c r="AY1481" s="66"/>
      <c r="AZ1481" s="66"/>
      <c r="BA1481" s="66"/>
      <c r="BB1481" s="66"/>
      <c r="BC1481" s="66"/>
      <c r="BD1481" s="66"/>
      <c r="BE1481" s="67"/>
      <c r="BF1481" s="67"/>
      <c r="BG1481" s="68"/>
      <c r="BI1481" s="69">
        <v>0</v>
      </c>
      <c r="BJ1481" s="70">
        <v>0</v>
      </c>
      <c r="BK1481" s="71">
        <v>0</v>
      </c>
      <c r="BL1481" s="71">
        <v>0</v>
      </c>
      <c r="BM1481" s="71">
        <v>0</v>
      </c>
      <c r="BN1481" s="72">
        <v>0</v>
      </c>
      <c r="BO1481" s="151" t="e">
        <f t="shared" si="87"/>
        <v>#DIV/0!</v>
      </c>
      <c r="BP1481" s="151" t="e">
        <f t="shared" si="88"/>
        <v>#DIV/0!</v>
      </c>
      <c r="BQ1481" s="71">
        <v>0</v>
      </c>
      <c r="BR1481" s="71">
        <v>0</v>
      </c>
      <c r="BS1481" s="71">
        <v>0</v>
      </c>
      <c r="BT1481" s="72">
        <v>0</v>
      </c>
      <c r="BU1481" s="151" t="e">
        <f t="shared" si="91"/>
        <v>#DIV/0!</v>
      </c>
      <c r="BV1481" s="151" t="e">
        <f t="shared" si="92"/>
        <v>#DIV/0!</v>
      </c>
    </row>
    <row r="1482" ht="30" customHeight="1" spans="1:74">
      <c r="A1482" s="55" t="s">
        <v>410</v>
      </c>
      <c r="B1482" s="56" t="s">
        <v>2247</v>
      </c>
      <c r="C1482" s="57" t="s">
        <v>2343</v>
      </c>
      <c r="D1482" s="59" t="s">
        <v>2394</v>
      </c>
      <c r="E1482" s="59" t="s">
        <v>2413</v>
      </c>
      <c r="F1482" s="59" t="str">
        <f>VLOOKUP(E1482,[1]库存!$B$1:$C$65536,2,FALSE)</f>
        <v>H93AES FSAB RH</v>
      </c>
      <c r="G1482" s="59" t="s">
        <v>2414</v>
      </c>
      <c r="H1482" s="59" t="s">
        <v>2415</v>
      </c>
      <c r="I1482" s="59" t="s">
        <v>2412</v>
      </c>
      <c r="J1482" s="63"/>
      <c r="K1482" s="61"/>
      <c r="L1482" s="62">
        <v>0</v>
      </c>
      <c r="M1482" s="63">
        <v>1050</v>
      </c>
      <c r="N1482" s="64">
        <v>11</v>
      </c>
      <c r="O1482" s="62">
        <v>2</v>
      </c>
      <c r="P1482" s="65">
        <f t="shared" si="93"/>
        <v>0</v>
      </c>
      <c r="Q1482" s="66"/>
      <c r="R1482" s="66"/>
      <c r="S1482" s="66"/>
      <c r="T1482" s="66"/>
      <c r="U1482" s="66"/>
      <c r="V1482" s="66"/>
      <c r="W1482" s="66"/>
      <c r="X1482" s="66"/>
      <c r="Y1482" s="66"/>
      <c r="Z1482" s="66"/>
      <c r="AA1482" s="66"/>
      <c r="AB1482" s="66"/>
      <c r="AC1482" s="66"/>
      <c r="AD1482" s="66"/>
      <c r="AE1482" s="66"/>
      <c r="AF1482" s="66"/>
      <c r="AG1482" s="66"/>
      <c r="AH1482" s="66"/>
      <c r="AI1482" s="66"/>
      <c r="AJ1482" s="66"/>
      <c r="AK1482" s="66"/>
      <c r="AL1482" s="66"/>
      <c r="AM1482" s="66"/>
      <c r="AN1482" s="66"/>
      <c r="AO1482" s="66"/>
      <c r="AP1482" s="66"/>
      <c r="AQ1482" s="66"/>
      <c r="AR1482" s="66"/>
      <c r="AS1482" s="66"/>
      <c r="AT1482" s="66"/>
      <c r="AU1482" s="66"/>
      <c r="AV1482" s="66"/>
      <c r="AW1482" s="66"/>
      <c r="AX1482" s="66"/>
      <c r="AY1482" s="66"/>
      <c r="AZ1482" s="66"/>
      <c r="BA1482" s="66"/>
      <c r="BB1482" s="66"/>
      <c r="BC1482" s="66"/>
      <c r="BD1482" s="66"/>
      <c r="BE1482" s="67"/>
      <c r="BF1482" s="67"/>
      <c r="BG1482" s="68"/>
      <c r="BI1482" s="69">
        <v>0</v>
      </c>
      <c r="BJ1482" s="70">
        <v>0</v>
      </c>
      <c r="BK1482" s="71">
        <v>0</v>
      </c>
      <c r="BL1482" s="71">
        <v>0</v>
      </c>
      <c r="BM1482" s="71">
        <v>0</v>
      </c>
      <c r="BN1482" s="72">
        <v>0</v>
      </c>
      <c r="BO1482" s="151" t="e">
        <f t="shared" si="87"/>
        <v>#DIV/0!</v>
      </c>
      <c r="BP1482" s="151" t="e">
        <f t="shared" si="88"/>
        <v>#DIV/0!</v>
      </c>
      <c r="BQ1482" s="71">
        <v>0</v>
      </c>
      <c r="BR1482" s="71">
        <v>0</v>
      </c>
      <c r="BS1482" s="71">
        <v>0</v>
      </c>
      <c r="BT1482" s="72">
        <v>0</v>
      </c>
      <c r="BU1482" s="151" t="e">
        <f t="shared" si="91"/>
        <v>#DIV/0!</v>
      </c>
      <c r="BV1482" s="151" t="e">
        <f t="shared" si="92"/>
        <v>#DIV/0!</v>
      </c>
    </row>
    <row r="1483" ht="30" customHeight="1" spans="1:74">
      <c r="A1483" s="55">
        <v>0</v>
      </c>
      <c r="B1483" s="56">
        <v>0</v>
      </c>
      <c r="C1483" s="57">
        <v>0</v>
      </c>
      <c r="D1483" s="74"/>
      <c r="E1483" s="74"/>
      <c r="F1483" s="59" t="e">
        <f>VLOOKUP(E1483,[1]库存!$B$1:$C$65536,2,FALSE)</f>
        <v>#N/A</v>
      </c>
      <c r="G1483" s="59" t="e">
        <v>#N/A</v>
      </c>
      <c r="H1483" s="74"/>
      <c r="I1483" s="74"/>
      <c r="J1483" s="87"/>
      <c r="K1483" s="61"/>
      <c r="L1483" s="62">
        <v>0</v>
      </c>
      <c r="M1483" s="63">
        <v>0</v>
      </c>
      <c r="N1483" s="64">
        <v>0</v>
      </c>
      <c r="O1483" s="62">
        <v>0</v>
      </c>
      <c r="P1483" s="65">
        <f t="shared" si="93"/>
        <v>0</v>
      </c>
      <c r="Q1483" s="66"/>
      <c r="R1483" s="66"/>
      <c r="S1483" s="66"/>
      <c r="T1483" s="66"/>
      <c r="U1483" s="66"/>
      <c r="V1483" s="66"/>
      <c r="W1483" s="66"/>
      <c r="X1483" s="66"/>
      <c r="Y1483" s="66"/>
      <c r="Z1483" s="66"/>
      <c r="AA1483" s="66"/>
      <c r="AB1483" s="66"/>
      <c r="AC1483" s="66"/>
      <c r="AD1483" s="66"/>
      <c r="AE1483" s="66"/>
      <c r="AF1483" s="66"/>
      <c r="AG1483" s="66"/>
      <c r="AH1483" s="66"/>
      <c r="AI1483" s="66"/>
      <c r="AJ1483" s="66"/>
      <c r="AK1483" s="66"/>
      <c r="AL1483" s="66"/>
      <c r="AM1483" s="66"/>
      <c r="AN1483" s="66"/>
      <c r="AO1483" s="66"/>
      <c r="AP1483" s="66"/>
      <c r="AQ1483" s="66"/>
      <c r="AR1483" s="66"/>
      <c r="AS1483" s="66"/>
      <c r="AT1483" s="66"/>
      <c r="AU1483" s="66"/>
      <c r="AV1483" s="66"/>
      <c r="AW1483" s="66"/>
      <c r="AX1483" s="66"/>
      <c r="AY1483" s="66"/>
      <c r="AZ1483" s="66"/>
      <c r="BA1483" s="66"/>
      <c r="BB1483" s="66"/>
      <c r="BC1483" s="66"/>
      <c r="BD1483" s="66"/>
      <c r="BE1483" s="67"/>
      <c r="BF1483" s="67"/>
      <c r="BG1483" s="68"/>
      <c r="BI1483" s="69">
        <v>0</v>
      </c>
      <c r="BJ1483" s="70">
        <v>0</v>
      </c>
      <c r="BK1483" s="71">
        <v>0</v>
      </c>
      <c r="BL1483" s="71">
        <v>0</v>
      </c>
      <c r="BM1483" s="71">
        <v>0</v>
      </c>
      <c r="BN1483" s="72">
        <v>0</v>
      </c>
      <c r="BO1483" s="151" t="e">
        <f t="shared" si="87"/>
        <v>#DIV/0!</v>
      </c>
      <c r="BP1483" s="151" t="e">
        <f t="shared" si="88"/>
        <v>#DIV/0!</v>
      </c>
      <c r="BQ1483" s="71">
        <v>0</v>
      </c>
      <c r="BR1483" s="71">
        <v>0</v>
      </c>
      <c r="BS1483" s="71">
        <v>0</v>
      </c>
      <c r="BT1483" s="72">
        <v>0</v>
      </c>
      <c r="BU1483" s="151" t="e">
        <f t="shared" si="91"/>
        <v>#DIV/0!</v>
      </c>
      <c r="BV1483" s="151" t="e">
        <f t="shared" si="92"/>
        <v>#DIV/0!</v>
      </c>
    </row>
    <row r="1484" ht="30" customHeight="1" spans="1:74">
      <c r="A1484" s="55" t="s">
        <v>246</v>
      </c>
      <c r="B1484" s="56" t="s">
        <v>2247</v>
      </c>
      <c r="C1484" s="57" t="s">
        <v>2343</v>
      </c>
      <c r="D1484" s="59" t="s">
        <v>2394</v>
      </c>
      <c r="E1484" s="59" t="s">
        <v>2416</v>
      </c>
      <c r="F1484" s="59" t="str">
        <f>VLOOKUP(E1484,[1]库存!$B$1:$C$65536,2,FALSE)</f>
        <v>GWM D03 SAB LH A状态</v>
      </c>
      <c r="G1484" s="59" t="s">
        <v>2417</v>
      </c>
      <c r="H1484" s="59" t="s">
        <v>2418</v>
      </c>
      <c r="I1484" s="59" t="s">
        <v>1804</v>
      </c>
      <c r="J1484" s="80" t="s">
        <v>65</v>
      </c>
      <c r="K1484" s="61"/>
      <c r="L1484" s="62">
        <v>2</v>
      </c>
      <c r="M1484" s="63">
        <v>1000</v>
      </c>
      <c r="N1484" s="64">
        <v>12</v>
      </c>
      <c r="O1484" s="62">
        <v>2</v>
      </c>
      <c r="P1484" s="65">
        <f t="shared" si="93"/>
        <v>0</v>
      </c>
      <c r="Q1484" s="66"/>
      <c r="R1484" s="66"/>
      <c r="S1484" s="66"/>
      <c r="T1484" s="66"/>
      <c r="U1484" s="66"/>
      <c r="V1484" s="66"/>
      <c r="W1484" s="66"/>
      <c r="X1484" s="66"/>
      <c r="Y1484" s="66"/>
      <c r="Z1484" s="66"/>
      <c r="AA1484" s="66"/>
      <c r="AB1484" s="66"/>
      <c r="AC1484" s="66"/>
      <c r="AD1484" s="66"/>
      <c r="AE1484" s="66"/>
      <c r="AF1484" s="66"/>
      <c r="AG1484" s="66"/>
      <c r="AH1484" s="66"/>
      <c r="AI1484" s="66"/>
      <c r="AJ1484" s="66"/>
      <c r="AK1484" s="66"/>
      <c r="AL1484" s="66"/>
      <c r="AM1484" s="66"/>
      <c r="AN1484" s="66"/>
      <c r="AO1484" s="66"/>
      <c r="AP1484" s="66"/>
      <c r="AQ1484" s="66"/>
      <c r="AR1484" s="66"/>
      <c r="AS1484" s="66"/>
      <c r="AT1484" s="66"/>
      <c r="AU1484" s="66"/>
      <c r="AV1484" s="66"/>
      <c r="AW1484" s="66"/>
      <c r="AX1484" s="66"/>
      <c r="AY1484" s="66"/>
      <c r="AZ1484" s="66"/>
      <c r="BA1484" s="66"/>
      <c r="BB1484" s="66"/>
      <c r="BC1484" s="66"/>
      <c r="BD1484" s="66"/>
      <c r="BE1484" s="67"/>
      <c r="BF1484" s="67"/>
      <c r="BG1484" s="68"/>
      <c r="BI1484" s="69">
        <v>0</v>
      </c>
      <c r="BJ1484" s="70">
        <v>0</v>
      </c>
      <c r="BK1484" s="71">
        <v>0</v>
      </c>
      <c r="BL1484" s="71">
        <v>0</v>
      </c>
      <c r="BM1484" s="71">
        <v>0</v>
      </c>
      <c r="BN1484" s="72">
        <v>0</v>
      </c>
      <c r="BO1484" s="151" t="e">
        <f t="shared" si="87"/>
        <v>#DIV/0!</v>
      </c>
      <c r="BP1484" s="151" t="e">
        <f t="shared" si="88"/>
        <v>#DIV/0!</v>
      </c>
      <c r="BQ1484" s="71">
        <v>0</v>
      </c>
      <c r="BR1484" s="71">
        <v>0</v>
      </c>
      <c r="BS1484" s="71">
        <v>0</v>
      </c>
      <c r="BT1484" s="72">
        <v>0</v>
      </c>
      <c r="BU1484" s="151" t="e">
        <f t="shared" si="91"/>
        <v>#DIV/0!</v>
      </c>
      <c r="BV1484" s="151" t="e">
        <f t="shared" si="92"/>
        <v>#DIV/0!</v>
      </c>
    </row>
    <row r="1485" ht="30" customHeight="1" spans="1:74">
      <c r="A1485" s="55">
        <v>0</v>
      </c>
      <c r="B1485" s="56">
        <v>0</v>
      </c>
      <c r="C1485" s="57">
        <v>0</v>
      </c>
      <c r="D1485" s="74"/>
      <c r="E1485" s="74"/>
      <c r="F1485" s="59" t="e">
        <f>VLOOKUP(E1485,[1]库存!$B$1:$C$65536,2,FALSE)</f>
        <v>#N/A</v>
      </c>
      <c r="G1485" s="59" t="e">
        <v>#N/A</v>
      </c>
      <c r="H1485" s="74"/>
      <c r="I1485" s="74"/>
      <c r="J1485" s="81"/>
      <c r="K1485" s="61"/>
      <c r="L1485" s="62">
        <v>0</v>
      </c>
      <c r="M1485" s="63">
        <v>0</v>
      </c>
      <c r="N1485" s="64">
        <v>0</v>
      </c>
      <c r="O1485" s="62">
        <v>0</v>
      </c>
      <c r="P1485" s="65">
        <f t="shared" si="93"/>
        <v>0</v>
      </c>
      <c r="Q1485" s="66"/>
      <c r="R1485" s="66"/>
      <c r="S1485" s="66"/>
      <c r="T1485" s="66"/>
      <c r="U1485" s="66"/>
      <c r="V1485" s="66"/>
      <c r="W1485" s="66"/>
      <c r="X1485" s="66"/>
      <c r="Y1485" s="66"/>
      <c r="Z1485" s="66"/>
      <c r="AA1485" s="66"/>
      <c r="AB1485" s="66"/>
      <c r="AC1485" s="66"/>
      <c r="AD1485" s="66"/>
      <c r="AE1485" s="66"/>
      <c r="AF1485" s="66"/>
      <c r="AG1485" s="66"/>
      <c r="AH1485" s="66"/>
      <c r="AI1485" s="66"/>
      <c r="AJ1485" s="66"/>
      <c r="AK1485" s="66"/>
      <c r="AL1485" s="66"/>
      <c r="AM1485" s="66"/>
      <c r="AN1485" s="66"/>
      <c r="AO1485" s="66"/>
      <c r="AP1485" s="66"/>
      <c r="AQ1485" s="66"/>
      <c r="AR1485" s="66"/>
      <c r="AS1485" s="66"/>
      <c r="AT1485" s="66"/>
      <c r="AU1485" s="66"/>
      <c r="AV1485" s="66"/>
      <c r="AW1485" s="66"/>
      <c r="AX1485" s="66"/>
      <c r="AY1485" s="66"/>
      <c r="AZ1485" s="66"/>
      <c r="BA1485" s="66"/>
      <c r="BB1485" s="66"/>
      <c r="BC1485" s="66"/>
      <c r="BD1485" s="66"/>
      <c r="BE1485" s="67"/>
      <c r="BF1485" s="67"/>
      <c r="BG1485" s="68"/>
      <c r="BI1485" s="69">
        <v>0</v>
      </c>
      <c r="BJ1485" s="70">
        <v>0</v>
      </c>
      <c r="BK1485" s="71">
        <v>0</v>
      </c>
      <c r="BL1485" s="71">
        <v>0</v>
      </c>
      <c r="BM1485" s="71">
        <v>0</v>
      </c>
      <c r="BN1485" s="72">
        <v>0</v>
      </c>
      <c r="BO1485" s="151" t="e">
        <f t="shared" si="87"/>
        <v>#DIV/0!</v>
      </c>
      <c r="BP1485" s="151" t="e">
        <f t="shared" si="88"/>
        <v>#DIV/0!</v>
      </c>
      <c r="BQ1485" s="71">
        <v>0</v>
      </c>
      <c r="BR1485" s="71">
        <v>0</v>
      </c>
      <c r="BS1485" s="71">
        <v>0</v>
      </c>
      <c r="BT1485" s="72">
        <v>0</v>
      </c>
      <c r="BU1485" s="151" t="e">
        <f t="shared" si="91"/>
        <v>#DIV/0!</v>
      </c>
      <c r="BV1485" s="151" t="e">
        <f t="shared" si="92"/>
        <v>#DIV/0!</v>
      </c>
    </row>
    <row r="1486" ht="30" customHeight="1" spans="1:74">
      <c r="A1486" s="55" t="s">
        <v>246</v>
      </c>
      <c r="B1486" s="56" t="s">
        <v>2247</v>
      </c>
      <c r="C1486" s="57" t="s">
        <v>2343</v>
      </c>
      <c r="D1486" s="59" t="s">
        <v>2394</v>
      </c>
      <c r="E1486" s="59" t="s">
        <v>2419</v>
      </c>
      <c r="F1486" s="59" t="str">
        <f>VLOOKUP(E1486,[1]库存!$B$1:$C$65536,2,FALSE)</f>
        <v>GWM D03 SAB RH A状态</v>
      </c>
      <c r="G1486" s="59" t="s">
        <v>2420</v>
      </c>
      <c r="H1486" s="59" t="s">
        <v>2421</v>
      </c>
      <c r="I1486" s="59" t="s">
        <v>1804</v>
      </c>
      <c r="J1486" s="80" t="s">
        <v>65</v>
      </c>
      <c r="K1486" s="61"/>
      <c r="L1486" s="62">
        <v>2</v>
      </c>
      <c r="M1486" s="63">
        <v>1000</v>
      </c>
      <c r="N1486" s="64">
        <v>12</v>
      </c>
      <c r="O1486" s="62">
        <v>2</v>
      </c>
      <c r="P1486" s="65">
        <f t="shared" si="93"/>
        <v>0</v>
      </c>
      <c r="Q1486" s="66"/>
      <c r="R1486" s="66"/>
      <c r="S1486" s="66"/>
      <c r="T1486" s="66"/>
      <c r="U1486" s="66"/>
      <c r="V1486" s="66"/>
      <c r="W1486" s="66"/>
      <c r="X1486" s="66"/>
      <c r="Y1486" s="66"/>
      <c r="Z1486" s="66"/>
      <c r="AA1486" s="66"/>
      <c r="AB1486" s="66"/>
      <c r="AC1486" s="66"/>
      <c r="AD1486" s="66"/>
      <c r="AE1486" s="66"/>
      <c r="AF1486" s="66"/>
      <c r="AG1486" s="66"/>
      <c r="AH1486" s="66"/>
      <c r="AI1486" s="66"/>
      <c r="AJ1486" s="66"/>
      <c r="AK1486" s="66"/>
      <c r="AL1486" s="66"/>
      <c r="AM1486" s="66"/>
      <c r="AN1486" s="66"/>
      <c r="AO1486" s="66"/>
      <c r="AP1486" s="66"/>
      <c r="AQ1486" s="66"/>
      <c r="AR1486" s="66"/>
      <c r="AS1486" s="66"/>
      <c r="AT1486" s="66"/>
      <c r="AU1486" s="66"/>
      <c r="AV1486" s="66"/>
      <c r="AW1486" s="66"/>
      <c r="AX1486" s="66"/>
      <c r="AY1486" s="66"/>
      <c r="AZ1486" s="66"/>
      <c r="BA1486" s="66"/>
      <c r="BB1486" s="66"/>
      <c r="BC1486" s="66"/>
      <c r="BD1486" s="66"/>
      <c r="BE1486" s="67"/>
      <c r="BF1486" s="67"/>
      <c r="BG1486" s="68"/>
      <c r="BI1486" s="69">
        <v>0</v>
      </c>
      <c r="BJ1486" s="70">
        <v>0</v>
      </c>
      <c r="BK1486" s="71">
        <v>0</v>
      </c>
      <c r="BL1486" s="71">
        <v>0</v>
      </c>
      <c r="BM1486" s="71">
        <v>0</v>
      </c>
      <c r="BN1486" s="72">
        <v>0</v>
      </c>
      <c r="BO1486" s="151" t="e">
        <f t="shared" si="87"/>
        <v>#DIV/0!</v>
      </c>
      <c r="BP1486" s="151" t="e">
        <f t="shared" si="88"/>
        <v>#DIV/0!</v>
      </c>
      <c r="BQ1486" s="71">
        <v>0</v>
      </c>
      <c r="BR1486" s="71">
        <v>0</v>
      </c>
      <c r="BS1486" s="71">
        <v>0</v>
      </c>
      <c r="BT1486" s="72">
        <v>0</v>
      </c>
      <c r="BU1486" s="151" t="e">
        <f t="shared" si="91"/>
        <v>#DIV/0!</v>
      </c>
      <c r="BV1486" s="151" t="e">
        <f t="shared" si="92"/>
        <v>#DIV/0!</v>
      </c>
    </row>
    <row r="1487" ht="30" customHeight="1" spans="1:74">
      <c r="A1487" s="55">
        <v>0</v>
      </c>
      <c r="B1487" s="56">
        <v>0</v>
      </c>
      <c r="C1487" s="57">
        <v>0</v>
      </c>
      <c r="D1487" s="74"/>
      <c r="E1487" s="74"/>
      <c r="F1487" s="59" t="e">
        <f>VLOOKUP(E1487,[1]库存!$B$1:$C$65536,2,FALSE)</f>
        <v>#N/A</v>
      </c>
      <c r="G1487" s="59" t="e">
        <v>#N/A</v>
      </c>
      <c r="H1487" s="74"/>
      <c r="I1487" s="74"/>
      <c r="J1487" s="81"/>
      <c r="K1487" s="61"/>
      <c r="L1487" s="62">
        <v>0</v>
      </c>
      <c r="M1487" s="63">
        <v>0</v>
      </c>
      <c r="N1487" s="64">
        <v>0</v>
      </c>
      <c r="O1487" s="62">
        <v>0</v>
      </c>
      <c r="P1487" s="65">
        <f t="shared" si="93"/>
        <v>0</v>
      </c>
      <c r="Q1487" s="66"/>
      <c r="R1487" s="66"/>
      <c r="S1487" s="66"/>
      <c r="T1487" s="66"/>
      <c r="U1487" s="66"/>
      <c r="V1487" s="66"/>
      <c r="W1487" s="66"/>
      <c r="X1487" s="66"/>
      <c r="Y1487" s="66"/>
      <c r="Z1487" s="66"/>
      <c r="AA1487" s="66"/>
      <c r="AB1487" s="66"/>
      <c r="AC1487" s="66"/>
      <c r="AD1487" s="66"/>
      <c r="AE1487" s="66"/>
      <c r="AF1487" s="66"/>
      <c r="AG1487" s="66"/>
      <c r="AH1487" s="66"/>
      <c r="AI1487" s="66"/>
      <c r="AJ1487" s="66"/>
      <c r="AK1487" s="66"/>
      <c r="AL1487" s="66"/>
      <c r="AM1487" s="66"/>
      <c r="AN1487" s="66"/>
      <c r="AO1487" s="66"/>
      <c r="AP1487" s="66"/>
      <c r="AQ1487" s="66"/>
      <c r="AR1487" s="66"/>
      <c r="AS1487" s="66"/>
      <c r="AT1487" s="66"/>
      <c r="AU1487" s="66"/>
      <c r="AV1487" s="66"/>
      <c r="AW1487" s="66"/>
      <c r="AX1487" s="66"/>
      <c r="AY1487" s="66"/>
      <c r="AZ1487" s="66"/>
      <c r="BA1487" s="66"/>
      <c r="BB1487" s="66"/>
      <c r="BC1487" s="66"/>
      <c r="BD1487" s="66"/>
      <c r="BE1487" s="67"/>
      <c r="BF1487" s="67"/>
      <c r="BG1487" s="68"/>
      <c r="BI1487" s="69">
        <v>0</v>
      </c>
      <c r="BJ1487" s="70">
        <v>0</v>
      </c>
      <c r="BK1487" s="71">
        <v>0</v>
      </c>
      <c r="BL1487" s="71">
        <v>0</v>
      </c>
      <c r="BM1487" s="71">
        <v>0</v>
      </c>
      <c r="BN1487" s="72">
        <v>0</v>
      </c>
      <c r="BO1487" s="151" t="e">
        <f t="shared" si="87"/>
        <v>#DIV/0!</v>
      </c>
      <c r="BP1487" s="151" t="e">
        <f t="shared" si="88"/>
        <v>#DIV/0!</v>
      </c>
      <c r="BQ1487" s="71">
        <v>0</v>
      </c>
      <c r="BR1487" s="71">
        <v>0</v>
      </c>
      <c r="BS1487" s="71">
        <v>0</v>
      </c>
      <c r="BT1487" s="72">
        <v>0</v>
      </c>
      <c r="BU1487" s="151" t="e">
        <f t="shared" si="91"/>
        <v>#DIV/0!</v>
      </c>
      <c r="BV1487" s="151" t="e">
        <f t="shared" si="92"/>
        <v>#DIV/0!</v>
      </c>
    </row>
    <row r="1488" ht="30" customHeight="1" spans="1:74">
      <c r="A1488" s="55" t="s">
        <v>165</v>
      </c>
      <c r="B1488" s="56" t="s">
        <v>2247</v>
      </c>
      <c r="C1488" s="57" t="s">
        <v>2343</v>
      </c>
      <c r="D1488" s="59" t="s">
        <v>2394</v>
      </c>
      <c r="E1488" s="59" t="s">
        <v>2422</v>
      </c>
      <c r="F1488" s="59" t="str">
        <f>VLOOKUP(E1488,[1]库存!$B$1:$C$65536,2,FALSE)</f>
        <v>XE08 RSAB LH C状态</v>
      </c>
      <c r="G1488" s="59" t="s">
        <v>2423</v>
      </c>
      <c r="H1488" s="59" t="s">
        <v>2424</v>
      </c>
      <c r="I1488" s="59" t="s">
        <v>2425</v>
      </c>
      <c r="J1488" s="80" t="s">
        <v>65</v>
      </c>
      <c r="K1488" s="61"/>
      <c r="L1488" s="62">
        <v>0</v>
      </c>
      <c r="M1488" s="63">
        <v>1300</v>
      </c>
      <c r="N1488" s="64">
        <v>7</v>
      </c>
      <c r="O1488" s="62">
        <v>2</v>
      </c>
      <c r="P1488" s="65">
        <f t="shared" si="93"/>
        <v>0</v>
      </c>
      <c r="Q1488" s="66"/>
      <c r="R1488" s="66"/>
      <c r="S1488" s="66"/>
      <c r="T1488" s="66"/>
      <c r="U1488" s="66"/>
      <c r="V1488" s="66"/>
      <c r="W1488" s="66"/>
      <c r="X1488" s="66"/>
      <c r="Y1488" s="66"/>
      <c r="Z1488" s="66"/>
      <c r="AA1488" s="66"/>
      <c r="AB1488" s="66"/>
      <c r="AC1488" s="66"/>
      <c r="AD1488" s="66"/>
      <c r="AE1488" s="66"/>
      <c r="AF1488" s="66"/>
      <c r="AG1488" s="66"/>
      <c r="AH1488" s="66"/>
      <c r="AI1488" s="66"/>
      <c r="AJ1488" s="66"/>
      <c r="AK1488" s="66"/>
      <c r="AL1488" s="66"/>
      <c r="AM1488" s="66"/>
      <c r="AN1488" s="66"/>
      <c r="AO1488" s="66"/>
      <c r="AP1488" s="66"/>
      <c r="AQ1488" s="66"/>
      <c r="AR1488" s="66"/>
      <c r="AS1488" s="66"/>
      <c r="AT1488" s="66"/>
      <c r="AU1488" s="66"/>
      <c r="AV1488" s="66"/>
      <c r="AW1488" s="66"/>
      <c r="AX1488" s="66"/>
      <c r="AY1488" s="66"/>
      <c r="AZ1488" s="66"/>
      <c r="BA1488" s="66"/>
      <c r="BB1488" s="66"/>
      <c r="BC1488" s="66"/>
      <c r="BD1488" s="66"/>
      <c r="BE1488" s="67"/>
      <c r="BF1488" s="67"/>
      <c r="BG1488" s="68"/>
      <c r="BI1488" s="69">
        <v>0</v>
      </c>
      <c r="BJ1488" s="70">
        <v>0</v>
      </c>
      <c r="BK1488" s="71">
        <v>0</v>
      </c>
      <c r="BL1488" s="71">
        <v>0</v>
      </c>
      <c r="BM1488" s="71">
        <v>0</v>
      </c>
      <c r="BN1488" s="72">
        <v>0</v>
      </c>
      <c r="BO1488" s="151" t="e">
        <f t="shared" si="87"/>
        <v>#DIV/0!</v>
      </c>
      <c r="BP1488" s="151" t="e">
        <f t="shared" si="88"/>
        <v>#DIV/0!</v>
      </c>
      <c r="BQ1488" s="71">
        <v>0</v>
      </c>
      <c r="BR1488" s="71">
        <v>0</v>
      </c>
      <c r="BS1488" s="71">
        <v>0</v>
      </c>
      <c r="BT1488" s="72">
        <v>0</v>
      </c>
      <c r="BU1488" s="151" t="e">
        <f t="shared" si="91"/>
        <v>#DIV/0!</v>
      </c>
      <c r="BV1488" s="151" t="e">
        <f t="shared" si="92"/>
        <v>#DIV/0!</v>
      </c>
    </row>
    <row r="1489" ht="30" customHeight="1" spans="1:74">
      <c r="A1489" s="55">
        <v>0</v>
      </c>
      <c r="B1489" s="56">
        <v>0</v>
      </c>
      <c r="C1489" s="57">
        <v>0</v>
      </c>
      <c r="D1489" s="74"/>
      <c r="E1489" s="74"/>
      <c r="F1489" s="59" t="e">
        <f>VLOOKUP(E1489,[1]库存!$B$1:$C$65536,2,FALSE)</f>
        <v>#N/A</v>
      </c>
      <c r="G1489" s="59" t="e">
        <v>#N/A</v>
      </c>
      <c r="H1489" s="74"/>
      <c r="I1489" s="74"/>
      <c r="J1489" s="81"/>
      <c r="K1489" s="61"/>
      <c r="L1489" s="62">
        <v>0</v>
      </c>
      <c r="M1489" s="63">
        <v>0</v>
      </c>
      <c r="N1489" s="64">
        <v>0</v>
      </c>
      <c r="O1489" s="62">
        <v>0</v>
      </c>
      <c r="P1489" s="65">
        <f t="shared" si="93"/>
        <v>0</v>
      </c>
      <c r="Q1489" s="66"/>
      <c r="R1489" s="66"/>
      <c r="S1489" s="66"/>
      <c r="T1489" s="66"/>
      <c r="U1489" s="66"/>
      <c r="V1489" s="66"/>
      <c r="W1489" s="66"/>
      <c r="X1489" s="66"/>
      <c r="Y1489" s="66"/>
      <c r="Z1489" s="66"/>
      <c r="AA1489" s="66"/>
      <c r="AB1489" s="66"/>
      <c r="AC1489" s="66"/>
      <c r="AD1489" s="66"/>
      <c r="AE1489" s="66"/>
      <c r="AF1489" s="66"/>
      <c r="AG1489" s="66"/>
      <c r="AH1489" s="66"/>
      <c r="AI1489" s="66"/>
      <c r="AJ1489" s="66"/>
      <c r="AK1489" s="66"/>
      <c r="AL1489" s="66"/>
      <c r="AM1489" s="66"/>
      <c r="AN1489" s="66"/>
      <c r="AO1489" s="66"/>
      <c r="AP1489" s="66"/>
      <c r="AQ1489" s="66"/>
      <c r="AR1489" s="66"/>
      <c r="AS1489" s="66"/>
      <c r="AT1489" s="66"/>
      <c r="AU1489" s="66"/>
      <c r="AV1489" s="66"/>
      <c r="AW1489" s="66"/>
      <c r="AX1489" s="66"/>
      <c r="AY1489" s="66"/>
      <c r="AZ1489" s="66"/>
      <c r="BA1489" s="66"/>
      <c r="BB1489" s="66"/>
      <c r="BC1489" s="66"/>
      <c r="BD1489" s="66"/>
      <c r="BE1489" s="67"/>
      <c r="BF1489" s="67"/>
      <c r="BG1489" s="68"/>
      <c r="BI1489" s="69">
        <v>0</v>
      </c>
      <c r="BJ1489" s="70">
        <v>0</v>
      </c>
      <c r="BK1489" s="71">
        <v>0</v>
      </c>
      <c r="BL1489" s="71">
        <v>0</v>
      </c>
      <c r="BM1489" s="71">
        <v>0</v>
      </c>
      <c r="BN1489" s="72">
        <v>0</v>
      </c>
      <c r="BO1489" s="151" t="e">
        <f t="shared" si="87"/>
        <v>#DIV/0!</v>
      </c>
      <c r="BP1489" s="151" t="e">
        <f t="shared" si="88"/>
        <v>#DIV/0!</v>
      </c>
      <c r="BQ1489" s="71">
        <v>0</v>
      </c>
      <c r="BR1489" s="71">
        <v>0</v>
      </c>
      <c r="BS1489" s="71">
        <v>0</v>
      </c>
      <c r="BT1489" s="72">
        <v>0</v>
      </c>
      <c r="BU1489" s="151" t="e">
        <f t="shared" si="91"/>
        <v>#DIV/0!</v>
      </c>
      <c r="BV1489" s="151" t="e">
        <f t="shared" si="92"/>
        <v>#DIV/0!</v>
      </c>
    </row>
    <row r="1490" ht="30" customHeight="1" spans="1:74">
      <c r="A1490" s="55" t="s">
        <v>165</v>
      </c>
      <c r="B1490" s="56" t="s">
        <v>2247</v>
      </c>
      <c r="C1490" s="57" t="s">
        <v>2343</v>
      </c>
      <c r="D1490" s="59" t="s">
        <v>2394</v>
      </c>
      <c r="E1490" s="59" t="s">
        <v>2426</v>
      </c>
      <c r="F1490" s="59" t="str">
        <f>VLOOKUP(E1490,[1]库存!$B$1:$C$65536,2,FALSE)</f>
        <v>XE08 RSAB RH C状态</v>
      </c>
      <c r="G1490" s="59" t="s">
        <v>2427</v>
      </c>
      <c r="H1490" s="59" t="s">
        <v>2428</v>
      </c>
      <c r="I1490" s="59" t="s">
        <v>2425</v>
      </c>
      <c r="J1490" s="80" t="s">
        <v>65</v>
      </c>
      <c r="K1490" s="61"/>
      <c r="L1490" s="62">
        <v>0</v>
      </c>
      <c r="M1490" s="63">
        <v>1300</v>
      </c>
      <c r="N1490" s="64">
        <v>7</v>
      </c>
      <c r="O1490" s="62">
        <v>2</v>
      </c>
      <c r="P1490" s="65">
        <f t="shared" si="93"/>
        <v>0</v>
      </c>
      <c r="Q1490" s="66"/>
      <c r="R1490" s="66"/>
      <c r="S1490" s="66"/>
      <c r="T1490" s="66"/>
      <c r="U1490" s="66"/>
      <c r="V1490" s="66"/>
      <c r="W1490" s="66"/>
      <c r="X1490" s="66"/>
      <c r="Y1490" s="66"/>
      <c r="Z1490" s="66"/>
      <c r="AA1490" s="66"/>
      <c r="AB1490" s="66"/>
      <c r="AC1490" s="66"/>
      <c r="AD1490" s="66"/>
      <c r="AE1490" s="66"/>
      <c r="AF1490" s="66"/>
      <c r="AG1490" s="66"/>
      <c r="AH1490" s="66"/>
      <c r="AI1490" s="66"/>
      <c r="AJ1490" s="66"/>
      <c r="AK1490" s="66"/>
      <c r="AL1490" s="66"/>
      <c r="AM1490" s="66"/>
      <c r="AN1490" s="66"/>
      <c r="AO1490" s="66"/>
      <c r="AP1490" s="66"/>
      <c r="AQ1490" s="66"/>
      <c r="AR1490" s="66"/>
      <c r="AS1490" s="66"/>
      <c r="AT1490" s="66"/>
      <c r="AU1490" s="66"/>
      <c r="AV1490" s="66"/>
      <c r="AW1490" s="66"/>
      <c r="AX1490" s="66"/>
      <c r="AY1490" s="66"/>
      <c r="AZ1490" s="66"/>
      <c r="BA1490" s="66"/>
      <c r="BB1490" s="66"/>
      <c r="BC1490" s="66"/>
      <c r="BD1490" s="66"/>
      <c r="BE1490" s="67"/>
      <c r="BF1490" s="67"/>
      <c r="BG1490" s="68"/>
      <c r="BI1490" s="69">
        <v>0</v>
      </c>
      <c r="BJ1490" s="70">
        <v>0</v>
      </c>
      <c r="BK1490" s="71">
        <v>0</v>
      </c>
      <c r="BL1490" s="71">
        <v>0</v>
      </c>
      <c r="BM1490" s="71">
        <v>0</v>
      </c>
      <c r="BN1490" s="72">
        <v>0</v>
      </c>
      <c r="BO1490" s="151" t="e">
        <f t="shared" si="87"/>
        <v>#DIV/0!</v>
      </c>
      <c r="BP1490" s="151" t="e">
        <f t="shared" si="88"/>
        <v>#DIV/0!</v>
      </c>
      <c r="BQ1490" s="71">
        <v>0</v>
      </c>
      <c r="BR1490" s="71">
        <v>0</v>
      </c>
      <c r="BS1490" s="71">
        <v>0</v>
      </c>
      <c r="BT1490" s="72">
        <v>0</v>
      </c>
      <c r="BU1490" s="151" t="e">
        <f t="shared" si="91"/>
        <v>#DIV/0!</v>
      </c>
      <c r="BV1490" s="151" t="e">
        <f t="shared" si="92"/>
        <v>#DIV/0!</v>
      </c>
    </row>
    <row r="1491" ht="30" customHeight="1" spans="1:74">
      <c r="A1491" s="55">
        <v>0</v>
      </c>
      <c r="B1491" s="56">
        <v>0</v>
      </c>
      <c r="C1491" s="57">
        <v>0</v>
      </c>
      <c r="D1491" s="74"/>
      <c r="E1491" s="74"/>
      <c r="F1491" s="59" t="e">
        <f>VLOOKUP(E1491,[1]库存!$B$1:$C$65536,2,FALSE)</f>
        <v>#N/A</v>
      </c>
      <c r="G1491" s="59" t="e">
        <v>#N/A</v>
      </c>
      <c r="H1491" s="74"/>
      <c r="I1491" s="74"/>
      <c r="J1491" s="81"/>
      <c r="K1491" s="61"/>
      <c r="L1491" s="62">
        <v>0</v>
      </c>
      <c r="M1491" s="63">
        <v>0</v>
      </c>
      <c r="N1491" s="64">
        <v>0</v>
      </c>
      <c r="O1491" s="62">
        <v>0</v>
      </c>
      <c r="P1491" s="65">
        <f t="shared" si="93"/>
        <v>0</v>
      </c>
      <c r="Q1491" s="66"/>
      <c r="R1491" s="66"/>
      <c r="S1491" s="66"/>
      <c r="T1491" s="66"/>
      <c r="U1491" s="66"/>
      <c r="V1491" s="66"/>
      <c r="W1491" s="66"/>
      <c r="X1491" s="66"/>
      <c r="Y1491" s="66"/>
      <c r="Z1491" s="66"/>
      <c r="AA1491" s="66"/>
      <c r="AB1491" s="66"/>
      <c r="AC1491" s="66"/>
      <c r="AD1491" s="66"/>
      <c r="AE1491" s="66"/>
      <c r="AF1491" s="66"/>
      <c r="AG1491" s="66"/>
      <c r="AH1491" s="66"/>
      <c r="AI1491" s="66"/>
      <c r="AJ1491" s="66"/>
      <c r="AK1491" s="66"/>
      <c r="AL1491" s="66"/>
      <c r="AM1491" s="66"/>
      <c r="AN1491" s="66"/>
      <c r="AO1491" s="66"/>
      <c r="AP1491" s="66"/>
      <c r="AQ1491" s="66"/>
      <c r="AR1491" s="66"/>
      <c r="AS1491" s="66"/>
      <c r="AT1491" s="66"/>
      <c r="AU1491" s="66"/>
      <c r="AV1491" s="66"/>
      <c r="AW1491" s="66"/>
      <c r="AX1491" s="66"/>
      <c r="AY1491" s="66"/>
      <c r="AZ1491" s="66"/>
      <c r="BA1491" s="66"/>
      <c r="BB1491" s="66"/>
      <c r="BC1491" s="66"/>
      <c r="BD1491" s="66"/>
      <c r="BE1491" s="67"/>
      <c r="BF1491" s="67"/>
      <c r="BG1491" s="68"/>
      <c r="BI1491" s="69">
        <v>0</v>
      </c>
      <c r="BJ1491" s="70">
        <v>0</v>
      </c>
      <c r="BK1491" s="71">
        <v>0</v>
      </c>
      <c r="BL1491" s="71">
        <v>0</v>
      </c>
      <c r="BM1491" s="71">
        <v>0</v>
      </c>
      <c r="BN1491" s="72">
        <v>0</v>
      </c>
      <c r="BO1491" s="151" t="e">
        <f t="shared" si="87"/>
        <v>#DIV/0!</v>
      </c>
      <c r="BP1491" s="151" t="e">
        <f t="shared" si="88"/>
        <v>#DIV/0!</v>
      </c>
      <c r="BQ1491" s="71">
        <v>0</v>
      </c>
      <c r="BR1491" s="71">
        <v>0</v>
      </c>
      <c r="BS1491" s="71">
        <v>0</v>
      </c>
      <c r="BT1491" s="72">
        <v>0</v>
      </c>
      <c r="BU1491" s="151" t="e">
        <f t="shared" si="91"/>
        <v>#DIV/0!</v>
      </c>
      <c r="BV1491" s="151" t="e">
        <f t="shared" si="92"/>
        <v>#DIV/0!</v>
      </c>
    </row>
    <row r="1492" ht="30" customHeight="1" spans="1:74">
      <c r="A1492" s="55">
        <v>0</v>
      </c>
      <c r="B1492" s="56" t="s">
        <v>2247</v>
      </c>
      <c r="C1492" s="57" t="s">
        <v>2343</v>
      </c>
      <c r="D1492" s="59" t="s">
        <v>2394</v>
      </c>
      <c r="E1492" s="59"/>
      <c r="F1492" s="59" t="e">
        <f>VLOOKUP(E1492,[1]库存!$B$1:$C$65536,2,FALSE)</f>
        <v>#N/A</v>
      </c>
      <c r="G1492" s="59" t="e">
        <v>#N/A</v>
      </c>
      <c r="H1492" s="59" t="s">
        <v>2429</v>
      </c>
      <c r="I1492" s="59" t="s">
        <v>2430</v>
      </c>
      <c r="J1492" s="63"/>
      <c r="K1492" s="61"/>
      <c r="L1492" s="62">
        <v>0</v>
      </c>
      <c r="M1492" s="63">
        <v>500</v>
      </c>
      <c r="N1492" s="64">
        <v>8</v>
      </c>
      <c r="O1492" s="62">
        <v>0</v>
      </c>
      <c r="P1492" s="65">
        <f t="shared" si="93"/>
        <v>0</v>
      </c>
      <c r="Q1492" s="66"/>
      <c r="R1492" s="66"/>
      <c r="S1492" s="66"/>
      <c r="T1492" s="66"/>
      <c r="U1492" s="66"/>
      <c r="V1492" s="66"/>
      <c r="W1492" s="66"/>
      <c r="X1492" s="66"/>
      <c r="Y1492" s="66"/>
      <c r="Z1492" s="66"/>
      <c r="AA1492" s="66"/>
      <c r="AB1492" s="66"/>
      <c r="AC1492" s="66"/>
      <c r="AD1492" s="66"/>
      <c r="AE1492" s="66"/>
      <c r="AF1492" s="66"/>
      <c r="AG1492" s="66"/>
      <c r="AH1492" s="66"/>
      <c r="AI1492" s="66"/>
      <c r="AJ1492" s="66"/>
      <c r="AK1492" s="66"/>
      <c r="AL1492" s="66"/>
      <c r="AM1492" s="66"/>
      <c r="AN1492" s="66"/>
      <c r="AO1492" s="66"/>
      <c r="AP1492" s="66"/>
      <c r="AQ1492" s="66"/>
      <c r="AR1492" s="66"/>
      <c r="AS1492" s="66"/>
      <c r="AT1492" s="66"/>
      <c r="AU1492" s="66"/>
      <c r="AV1492" s="66"/>
      <c r="AW1492" s="66"/>
      <c r="AX1492" s="66"/>
      <c r="AY1492" s="66"/>
      <c r="AZ1492" s="66"/>
      <c r="BA1492" s="66"/>
      <c r="BB1492" s="66"/>
      <c r="BC1492" s="66"/>
      <c r="BD1492" s="66"/>
      <c r="BE1492" s="67"/>
      <c r="BF1492" s="67"/>
      <c r="BG1492" s="68"/>
      <c r="BI1492" s="69">
        <v>0</v>
      </c>
      <c r="BJ1492" s="70">
        <v>0</v>
      </c>
      <c r="BK1492" s="71">
        <v>0</v>
      </c>
      <c r="BL1492" s="71">
        <v>0</v>
      </c>
      <c r="BM1492" s="71">
        <v>0</v>
      </c>
      <c r="BN1492" s="72">
        <v>0</v>
      </c>
      <c r="BO1492" s="151" t="e">
        <f t="shared" si="87"/>
        <v>#DIV/0!</v>
      </c>
      <c r="BP1492" s="151" t="e">
        <f t="shared" si="88"/>
        <v>#DIV/0!</v>
      </c>
      <c r="BQ1492" s="71">
        <v>0</v>
      </c>
      <c r="BR1492" s="71">
        <v>0</v>
      </c>
      <c r="BS1492" s="71">
        <v>0</v>
      </c>
      <c r="BT1492" s="72">
        <v>0</v>
      </c>
      <c r="BU1492" s="151" t="e">
        <f t="shared" si="91"/>
        <v>#DIV/0!</v>
      </c>
      <c r="BV1492" s="151" t="e">
        <f t="shared" si="92"/>
        <v>#DIV/0!</v>
      </c>
    </row>
    <row r="1493" ht="30" customHeight="1" spans="1:74">
      <c r="A1493" s="55">
        <v>0</v>
      </c>
      <c r="B1493" s="56">
        <v>0</v>
      </c>
      <c r="C1493" s="57">
        <v>0</v>
      </c>
      <c r="D1493" s="74"/>
      <c r="E1493" s="74"/>
      <c r="F1493" s="59" t="e">
        <f>VLOOKUP(E1493,[1]库存!$B$1:$C$65536,2,FALSE)</f>
        <v>#N/A</v>
      </c>
      <c r="G1493" s="59" t="e">
        <v>#N/A</v>
      </c>
      <c r="H1493" s="74"/>
      <c r="I1493" s="74"/>
      <c r="J1493" s="87"/>
      <c r="K1493" s="61"/>
      <c r="L1493" s="62">
        <v>0</v>
      </c>
      <c r="M1493" s="63">
        <v>0</v>
      </c>
      <c r="N1493" s="64">
        <v>0</v>
      </c>
      <c r="O1493" s="62">
        <v>0</v>
      </c>
      <c r="P1493" s="65">
        <f t="shared" si="93"/>
        <v>0</v>
      </c>
      <c r="Q1493" s="66"/>
      <c r="R1493" s="66"/>
      <c r="S1493" s="66"/>
      <c r="T1493" s="66"/>
      <c r="U1493" s="66"/>
      <c r="V1493" s="66"/>
      <c r="W1493" s="66"/>
      <c r="X1493" s="66"/>
      <c r="Y1493" s="66"/>
      <c r="Z1493" s="66"/>
      <c r="AA1493" s="66"/>
      <c r="AB1493" s="66"/>
      <c r="AC1493" s="66"/>
      <c r="AD1493" s="66"/>
      <c r="AE1493" s="66"/>
      <c r="AF1493" s="66"/>
      <c r="AG1493" s="66"/>
      <c r="AH1493" s="66"/>
      <c r="AI1493" s="66"/>
      <c r="AJ1493" s="66"/>
      <c r="AK1493" s="66"/>
      <c r="AL1493" s="66"/>
      <c r="AM1493" s="66"/>
      <c r="AN1493" s="66"/>
      <c r="AO1493" s="66"/>
      <c r="AP1493" s="66"/>
      <c r="AQ1493" s="66"/>
      <c r="AR1493" s="66"/>
      <c r="AS1493" s="66"/>
      <c r="AT1493" s="66"/>
      <c r="AU1493" s="66"/>
      <c r="AV1493" s="66"/>
      <c r="AW1493" s="66"/>
      <c r="AX1493" s="66"/>
      <c r="AY1493" s="66"/>
      <c r="AZ1493" s="66"/>
      <c r="BA1493" s="66"/>
      <c r="BB1493" s="66"/>
      <c r="BC1493" s="66"/>
      <c r="BD1493" s="66"/>
      <c r="BE1493" s="67"/>
      <c r="BF1493" s="67"/>
      <c r="BG1493" s="68"/>
      <c r="BI1493" s="69">
        <v>0</v>
      </c>
      <c r="BJ1493" s="70">
        <v>0</v>
      </c>
      <c r="BK1493" s="71">
        <v>0</v>
      </c>
      <c r="BL1493" s="71">
        <v>0</v>
      </c>
      <c r="BM1493" s="71">
        <v>0</v>
      </c>
      <c r="BN1493" s="72">
        <v>0</v>
      </c>
      <c r="BO1493" s="151" t="e">
        <f t="shared" si="87"/>
        <v>#DIV/0!</v>
      </c>
      <c r="BP1493" s="151" t="e">
        <f t="shared" si="88"/>
        <v>#DIV/0!</v>
      </c>
      <c r="BQ1493" s="71">
        <v>0</v>
      </c>
      <c r="BR1493" s="71">
        <v>0</v>
      </c>
      <c r="BS1493" s="71">
        <v>0</v>
      </c>
      <c r="BT1493" s="72">
        <v>0</v>
      </c>
      <c r="BU1493" s="151" t="e">
        <f t="shared" si="91"/>
        <v>#DIV/0!</v>
      </c>
      <c r="BV1493" s="151" t="e">
        <f t="shared" si="92"/>
        <v>#DIV/0!</v>
      </c>
    </row>
    <row r="1494" ht="30" customHeight="1" spans="1:74">
      <c r="A1494" s="55">
        <v>0</v>
      </c>
      <c r="B1494" s="56" t="s">
        <v>2247</v>
      </c>
      <c r="C1494" s="57" t="s">
        <v>2343</v>
      </c>
      <c r="D1494" s="59" t="s">
        <v>2394</v>
      </c>
      <c r="E1494" s="59"/>
      <c r="F1494" s="59" t="e">
        <f>VLOOKUP(E1494,[1]库存!$B$1:$C$65536,2,FALSE)</f>
        <v>#N/A</v>
      </c>
      <c r="G1494" s="59" t="e">
        <v>#N/A</v>
      </c>
      <c r="H1494" s="59" t="s">
        <v>2431</v>
      </c>
      <c r="I1494" s="59" t="s">
        <v>2432</v>
      </c>
      <c r="J1494" s="63"/>
      <c r="K1494" s="61"/>
      <c r="L1494" s="62">
        <v>0</v>
      </c>
      <c r="M1494" s="63">
        <v>500</v>
      </c>
      <c r="N1494" s="64">
        <v>8</v>
      </c>
      <c r="O1494" s="62">
        <v>0</v>
      </c>
      <c r="P1494" s="65">
        <f t="shared" si="93"/>
        <v>0</v>
      </c>
      <c r="Q1494" s="66"/>
      <c r="R1494" s="66"/>
      <c r="S1494" s="66"/>
      <c r="T1494" s="66"/>
      <c r="U1494" s="66"/>
      <c r="V1494" s="66"/>
      <c r="W1494" s="66"/>
      <c r="X1494" s="66"/>
      <c r="Y1494" s="66"/>
      <c r="Z1494" s="66"/>
      <c r="AA1494" s="66"/>
      <c r="AB1494" s="66"/>
      <c r="AC1494" s="66"/>
      <c r="AD1494" s="66"/>
      <c r="AE1494" s="66"/>
      <c r="AF1494" s="66"/>
      <c r="AG1494" s="66"/>
      <c r="AH1494" s="66"/>
      <c r="AI1494" s="66"/>
      <c r="AJ1494" s="66"/>
      <c r="AK1494" s="66"/>
      <c r="AL1494" s="66"/>
      <c r="AM1494" s="66"/>
      <c r="AN1494" s="66"/>
      <c r="AO1494" s="66"/>
      <c r="AP1494" s="66"/>
      <c r="AQ1494" s="66"/>
      <c r="AR1494" s="66"/>
      <c r="AS1494" s="66"/>
      <c r="AT1494" s="66"/>
      <c r="AU1494" s="66"/>
      <c r="AV1494" s="66"/>
      <c r="AW1494" s="66"/>
      <c r="AX1494" s="66"/>
      <c r="AY1494" s="66"/>
      <c r="AZ1494" s="66"/>
      <c r="BA1494" s="66"/>
      <c r="BB1494" s="66"/>
      <c r="BC1494" s="66"/>
      <c r="BD1494" s="66"/>
      <c r="BE1494" s="67"/>
      <c r="BF1494" s="67"/>
      <c r="BG1494" s="68"/>
      <c r="BI1494" s="69">
        <v>0</v>
      </c>
      <c r="BJ1494" s="70">
        <v>0</v>
      </c>
      <c r="BK1494" s="71">
        <v>0</v>
      </c>
      <c r="BL1494" s="71">
        <v>0</v>
      </c>
      <c r="BM1494" s="71">
        <v>0</v>
      </c>
      <c r="BN1494" s="72">
        <v>0</v>
      </c>
      <c r="BO1494" s="151" t="e">
        <f t="shared" si="87"/>
        <v>#DIV/0!</v>
      </c>
      <c r="BP1494" s="151" t="e">
        <f t="shared" si="88"/>
        <v>#DIV/0!</v>
      </c>
      <c r="BQ1494" s="71">
        <v>0</v>
      </c>
      <c r="BR1494" s="71">
        <v>0</v>
      </c>
      <c r="BS1494" s="71">
        <v>0</v>
      </c>
      <c r="BT1494" s="72">
        <v>0</v>
      </c>
      <c r="BU1494" s="151" t="e">
        <f t="shared" si="91"/>
        <v>#DIV/0!</v>
      </c>
      <c r="BV1494" s="151" t="e">
        <f t="shared" si="92"/>
        <v>#DIV/0!</v>
      </c>
    </row>
    <row r="1495" ht="30" customHeight="1" spans="1:74">
      <c r="A1495" s="55">
        <v>0</v>
      </c>
      <c r="B1495" s="56">
        <v>0</v>
      </c>
      <c r="C1495" s="57">
        <v>0</v>
      </c>
      <c r="D1495" s="74"/>
      <c r="E1495" s="74"/>
      <c r="F1495" s="59" t="e">
        <f>VLOOKUP(E1495,[1]库存!$B$1:$C$65536,2,FALSE)</f>
        <v>#N/A</v>
      </c>
      <c r="G1495" s="59" t="e">
        <v>#N/A</v>
      </c>
      <c r="H1495" s="74"/>
      <c r="I1495" s="74"/>
      <c r="J1495" s="87"/>
      <c r="K1495" s="61"/>
      <c r="L1495" s="62">
        <v>0</v>
      </c>
      <c r="M1495" s="63">
        <v>0</v>
      </c>
      <c r="N1495" s="64">
        <v>0</v>
      </c>
      <c r="O1495" s="62">
        <v>0</v>
      </c>
      <c r="P1495" s="65">
        <f t="shared" si="93"/>
        <v>0</v>
      </c>
      <c r="Q1495" s="66"/>
      <c r="R1495" s="66"/>
      <c r="S1495" s="66"/>
      <c r="T1495" s="66"/>
      <c r="U1495" s="66"/>
      <c r="V1495" s="66"/>
      <c r="W1495" s="66"/>
      <c r="X1495" s="66"/>
      <c r="Y1495" s="66"/>
      <c r="Z1495" s="66"/>
      <c r="AA1495" s="66"/>
      <c r="AB1495" s="66"/>
      <c r="AC1495" s="66"/>
      <c r="AD1495" s="66"/>
      <c r="AE1495" s="66"/>
      <c r="AF1495" s="66"/>
      <c r="AG1495" s="66"/>
      <c r="AH1495" s="66"/>
      <c r="AI1495" s="66"/>
      <c r="AJ1495" s="66"/>
      <c r="AK1495" s="66"/>
      <c r="AL1495" s="66"/>
      <c r="AM1495" s="66"/>
      <c r="AN1495" s="66"/>
      <c r="AO1495" s="66"/>
      <c r="AP1495" s="66"/>
      <c r="AQ1495" s="66"/>
      <c r="AR1495" s="66"/>
      <c r="AS1495" s="66"/>
      <c r="AT1495" s="66"/>
      <c r="AU1495" s="66"/>
      <c r="AV1495" s="66"/>
      <c r="AW1495" s="66"/>
      <c r="AX1495" s="66"/>
      <c r="AY1495" s="66"/>
      <c r="AZ1495" s="66"/>
      <c r="BA1495" s="66"/>
      <c r="BB1495" s="66"/>
      <c r="BC1495" s="66"/>
      <c r="BD1495" s="66"/>
      <c r="BE1495" s="67"/>
      <c r="BF1495" s="67"/>
      <c r="BG1495" s="68"/>
      <c r="BI1495" s="69">
        <v>0</v>
      </c>
      <c r="BJ1495" s="70">
        <v>0</v>
      </c>
      <c r="BK1495" s="71">
        <v>0</v>
      </c>
      <c r="BL1495" s="71">
        <v>0</v>
      </c>
      <c r="BM1495" s="71">
        <v>0</v>
      </c>
      <c r="BN1495" s="72">
        <v>0</v>
      </c>
      <c r="BO1495" s="151" t="e">
        <f t="shared" si="87"/>
        <v>#DIV/0!</v>
      </c>
      <c r="BP1495" s="151" t="e">
        <f t="shared" si="88"/>
        <v>#DIV/0!</v>
      </c>
      <c r="BQ1495" s="71">
        <v>0</v>
      </c>
      <c r="BR1495" s="71">
        <v>0</v>
      </c>
      <c r="BS1495" s="71">
        <v>0</v>
      </c>
      <c r="BT1495" s="72">
        <v>0</v>
      </c>
      <c r="BU1495" s="151" t="e">
        <f t="shared" si="91"/>
        <v>#DIV/0!</v>
      </c>
      <c r="BV1495" s="151" t="e">
        <f t="shared" si="92"/>
        <v>#DIV/0!</v>
      </c>
    </row>
    <row r="1496" ht="30" customHeight="1" spans="1:74">
      <c r="A1496" s="55">
        <v>0</v>
      </c>
      <c r="B1496" s="56" t="s">
        <v>2247</v>
      </c>
      <c r="C1496" s="57" t="s">
        <v>2343</v>
      </c>
      <c r="D1496" s="187" t="s">
        <v>2394</v>
      </c>
      <c r="E1496" s="187" t="s">
        <v>2433</v>
      </c>
      <c r="F1496" s="187" t="e">
        <f>VLOOKUP(E1496,[1]库存!$B$1:$C$65536,2,FALSE)</f>
        <v>#N/A</v>
      </c>
      <c r="G1496" s="187" t="e">
        <v>#N/A</v>
      </c>
      <c r="H1496" s="187" t="s">
        <v>2434</v>
      </c>
      <c r="I1496" s="187" t="s">
        <v>2435</v>
      </c>
      <c r="J1496" s="243" t="s">
        <v>2436</v>
      </c>
      <c r="K1496" s="61"/>
      <c r="L1496" s="62">
        <v>0</v>
      </c>
      <c r="M1496" s="63">
        <v>1000</v>
      </c>
      <c r="N1496" s="64">
        <v>8</v>
      </c>
      <c r="O1496" s="62">
        <v>2</v>
      </c>
      <c r="P1496" s="65">
        <f t="shared" si="93"/>
        <v>0</v>
      </c>
      <c r="Q1496" s="66"/>
      <c r="R1496" s="66"/>
      <c r="S1496" s="66"/>
      <c r="T1496" s="66"/>
      <c r="U1496" s="66"/>
      <c r="V1496" s="66"/>
      <c r="W1496" s="66"/>
      <c r="X1496" s="66"/>
      <c r="Y1496" s="66"/>
      <c r="Z1496" s="66"/>
      <c r="AA1496" s="66"/>
      <c r="AB1496" s="66"/>
      <c r="AC1496" s="66"/>
      <c r="AD1496" s="66"/>
      <c r="AE1496" s="66"/>
      <c r="AF1496" s="66"/>
      <c r="AG1496" s="66"/>
      <c r="AH1496" s="66"/>
      <c r="AI1496" s="66"/>
      <c r="AJ1496" s="66"/>
      <c r="AK1496" s="66"/>
      <c r="AL1496" s="66"/>
      <c r="AM1496" s="66"/>
      <c r="AN1496" s="66"/>
      <c r="AO1496" s="66"/>
      <c r="AP1496" s="66"/>
      <c r="AQ1496" s="66"/>
      <c r="AR1496" s="66"/>
      <c r="AS1496" s="66"/>
      <c r="AT1496" s="66"/>
      <c r="AU1496" s="66"/>
      <c r="AV1496" s="66"/>
      <c r="AW1496" s="66"/>
      <c r="AX1496" s="66"/>
      <c r="AY1496" s="66"/>
      <c r="AZ1496" s="66"/>
      <c r="BA1496" s="66"/>
      <c r="BB1496" s="66"/>
      <c r="BC1496" s="66"/>
      <c r="BD1496" s="66"/>
      <c r="BE1496" s="67"/>
      <c r="BF1496" s="67"/>
      <c r="BG1496" s="68"/>
      <c r="BI1496" s="69">
        <v>0</v>
      </c>
      <c r="BJ1496" s="70">
        <v>0</v>
      </c>
      <c r="BK1496" s="71">
        <v>0</v>
      </c>
      <c r="BL1496" s="71">
        <v>0</v>
      </c>
      <c r="BM1496" s="71">
        <v>0</v>
      </c>
      <c r="BN1496" s="72">
        <v>0</v>
      </c>
      <c r="BO1496" s="151" t="e">
        <f t="shared" si="87"/>
        <v>#DIV/0!</v>
      </c>
      <c r="BP1496" s="151" t="e">
        <f t="shared" si="88"/>
        <v>#DIV/0!</v>
      </c>
      <c r="BQ1496" s="71">
        <v>0</v>
      </c>
      <c r="BR1496" s="71">
        <v>0</v>
      </c>
      <c r="BS1496" s="71">
        <v>0</v>
      </c>
      <c r="BT1496" s="72">
        <v>0</v>
      </c>
      <c r="BU1496" s="151" t="e">
        <f t="shared" si="91"/>
        <v>#DIV/0!</v>
      </c>
      <c r="BV1496" s="151" t="e">
        <f t="shared" si="92"/>
        <v>#DIV/0!</v>
      </c>
    </row>
    <row r="1497" ht="30" customHeight="1" spans="1:74">
      <c r="A1497" s="55">
        <v>0</v>
      </c>
      <c r="B1497" s="56">
        <v>0</v>
      </c>
      <c r="C1497" s="57">
        <v>0</v>
      </c>
      <c r="D1497" s="211"/>
      <c r="E1497" s="211"/>
      <c r="F1497" s="187" t="e">
        <f>VLOOKUP(E1497,[1]库存!$B$1:$C$65536,2,FALSE)</f>
        <v>#N/A</v>
      </c>
      <c r="G1497" s="187" t="e">
        <v>#N/A</v>
      </c>
      <c r="H1497" s="211"/>
      <c r="I1497" s="211"/>
      <c r="J1497" s="244"/>
      <c r="K1497" s="61"/>
      <c r="L1497" s="62">
        <v>0</v>
      </c>
      <c r="M1497" s="63">
        <v>0</v>
      </c>
      <c r="N1497" s="64">
        <v>0</v>
      </c>
      <c r="O1497" s="62">
        <v>0</v>
      </c>
      <c r="P1497" s="65">
        <f t="shared" si="93"/>
        <v>0</v>
      </c>
      <c r="Q1497" s="66"/>
      <c r="R1497" s="66"/>
      <c r="S1497" s="66"/>
      <c r="T1497" s="66"/>
      <c r="U1497" s="66"/>
      <c r="V1497" s="66"/>
      <c r="W1497" s="66"/>
      <c r="X1497" s="66"/>
      <c r="Y1497" s="66"/>
      <c r="Z1497" s="66"/>
      <c r="AA1497" s="66"/>
      <c r="AB1497" s="66"/>
      <c r="AC1497" s="66"/>
      <c r="AD1497" s="66"/>
      <c r="AE1497" s="66"/>
      <c r="AF1497" s="66"/>
      <c r="AG1497" s="66"/>
      <c r="AH1497" s="66"/>
      <c r="AI1497" s="66"/>
      <c r="AJ1497" s="66"/>
      <c r="AK1497" s="66"/>
      <c r="AL1497" s="66"/>
      <c r="AM1497" s="66"/>
      <c r="AN1497" s="66"/>
      <c r="AO1497" s="66"/>
      <c r="AP1497" s="66"/>
      <c r="AQ1497" s="66"/>
      <c r="AR1497" s="66"/>
      <c r="AS1497" s="66"/>
      <c r="AT1497" s="66"/>
      <c r="AU1497" s="66"/>
      <c r="AV1497" s="66"/>
      <c r="AW1497" s="66"/>
      <c r="AX1497" s="66"/>
      <c r="AY1497" s="66"/>
      <c r="AZ1497" s="66"/>
      <c r="BA1497" s="66"/>
      <c r="BB1497" s="66"/>
      <c r="BC1497" s="66"/>
      <c r="BD1497" s="66"/>
      <c r="BE1497" s="67"/>
      <c r="BF1497" s="67"/>
      <c r="BG1497" s="68"/>
      <c r="BI1497" s="69">
        <v>0</v>
      </c>
      <c r="BJ1497" s="70">
        <v>0</v>
      </c>
      <c r="BK1497" s="71">
        <v>0</v>
      </c>
      <c r="BL1497" s="71">
        <v>0</v>
      </c>
      <c r="BM1497" s="71">
        <v>0</v>
      </c>
      <c r="BN1497" s="72">
        <v>0</v>
      </c>
      <c r="BO1497" s="151" t="e">
        <f t="shared" si="87"/>
        <v>#DIV/0!</v>
      </c>
      <c r="BP1497" s="151" t="e">
        <f t="shared" si="88"/>
        <v>#DIV/0!</v>
      </c>
      <c r="BQ1497" s="71">
        <v>0</v>
      </c>
      <c r="BR1497" s="71">
        <v>0</v>
      </c>
      <c r="BS1497" s="71">
        <v>0</v>
      </c>
      <c r="BT1497" s="72">
        <v>0</v>
      </c>
      <c r="BU1497" s="151" t="e">
        <f t="shared" si="91"/>
        <v>#DIV/0!</v>
      </c>
      <c r="BV1497" s="151" t="e">
        <f t="shared" si="92"/>
        <v>#DIV/0!</v>
      </c>
    </row>
    <row r="1498" ht="30" customHeight="1" spans="1:74">
      <c r="A1498" s="55">
        <v>0</v>
      </c>
      <c r="B1498" s="56" t="s">
        <v>2247</v>
      </c>
      <c r="C1498" s="57" t="s">
        <v>2343</v>
      </c>
      <c r="D1498" s="187" t="s">
        <v>2394</v>
      </c>
      <c r="E1498" s="187" t="s">
        <v>2437</v>
      </c>
      <c r="F1498" s="187" t="e">
        <f>VLOOKUP(E1498,[1]库存!$B$1:$C$65536,2,FALSE)</f>
        <v>#N/A</v>
      </c>
      <c r="G1498" s="187" t="e">
        <v>#N/A</v>
      </c>
      <c r="H1498" s="187" t="s">
        <v>2438</v>
      </c>
      <c r="I1498" s="187" t="s">
        <v>2435</v>
      </c>
      <c r="J1498" s="244"/>
      <c r="K1498" s="61"/>
      <c r="L1498" s="62">
        <v>0</v>
      </c>
      <c r="M1498" s="63">
        <v>1000</v>
      </c>
      <c r="N1498" s="64">
        <v>8</v>
      </c>
      <c r="O1498" s="62">
        <v>2</v>
      </c>
      <c r="P1498" s="65">
        <f t="shared" si="93"/>
        <v>0</v>
      </c>
      <c r="Q1498" s="66"/>
      <c r="R1498" s="66"/>
      <c r="S1498" s="66"/>
      <c r="T1498" s="66"/>
      <c r="U1498" s="66"/>
      <c r="V1498" s="66"/>
      <c r="W1498" s="66"/>
      <c r="X1498" s="66"/>
      <c r="Y1498" s="66"/>
      <c r="Z1498" s="66"/>
      <c r="AA1498" s="66"/>
      <c r="AB1498" s="66"/>
      <c r="AC1498" s="66"/>
      <c r="AD1498" s="66"/>
      <c r="AE1498" s="66"/>
      <c r="AF1498" s="66"/>
      <c r="AG1498" s="66"/>
      <c r="AH1498" s="66"/>
      <c r="AI1498" s="66"/>
      <c r="AJ1498" s="66"/>
      <c r="AK1498" s="66"/>
      <c r="AL1498" s="66"/>
      <c r="AM1498" s="66"/>
      <c r="AN1498" s="66"/>
      <c r="AO1498" s="66"/>
      <c r="AP1498" s="66"/>
      <c r="AQ1498" s="66"/>
      <c r="AR1498" s="66"/>
      <c r="AS1498" s="66"/>
      <c r="AT1498" s="66"/>
      <c r="AU1498" s="66"/>
      <c r="AV1498" s="66"/>
      <c r="AW1498" s="66"/>
      <c r="AX1498" s="66"/>
      <c r="AY1498" s="66"/>
      <c r="AZ1498" s="66"/>
      <c r="BA1498" s="66"/>
      <c r="BB1498" s="66"/>
      <c r="BC1498" s="66"/>
      <c r="BD1498" s="66"/>
      <c r="BE1498" s="67"/>
      <c r="BF1498" s="67"/>
      <c r="BG1498" s="68"/>
      <c r="BI1498" s="69">
        <v>0</v>
      </c>
      <c r="BJ1498" s="70">
        <v>0</v>
      </c>
      <c r="BK1498" s="71">
        <v>0</v>
      </c>
      <c r="BL1498" s="71">
        <v>0</v>
      </c>
      <c r="BM1498" s="71">
        <v>0</v>
      </c>
      <c r="BN1498" s="72">
        <v>0</v>
      </c>
      <c r="BO1498" s="151" t="e">
        <f t="shared" ref="BO1498:BO1561" si="94">(BK1498+BL1498)/BJ1498</f>
        <v>#DIV/0!</v>
      </c>
      <c r="BP1498" s="151" t="e">
        <f t="shared" ref="BP1498:BP1561" si="95">BM1498/BJ1498</f>
        <v>#DIV/0!</v>
      </c>
      <c r="BQ1498" s="71">
        <v>0</v>
      </c>
      <c r="BR1498" s="71">
        <v>0</v>
      </c>
      <c r="BS1498" s="71">
        <v>0</v>
      </c>
      <c r="BT1498" s="72">
        <v>0</v>
      </c>
      <c r="BU1498" s="151" t="e">
        <f t="shared" si="91"/>
        <v>#DIV/0!</v>
      </c>
      <c r="BV1498" s="151" t="e">
        <f t="shared" si="92"/>
        <v>#DIV/0!</v>
      </c>
    </row>
    <row r="1499" ht="30" customHeight="1" spans="1:74">
      <c r="A1499" s="55">
        <v>0</v>
      </c>
      <c r="B1499" s="56">
        <v>0</v>
      </c>
      <c r="C1499" s="57">
        <v>0</v>
      </c>
      <c r="D1499" s="211"/>
      <c r="E1499" s="211"/>
      <c r="F1499" s="187" t="e">
        <f>VLOOKUP(E1499,[1]库存!$B$1:$C$65536,2,FALSE)</f>
        <v>#N/A</v>
      </c>
      <c r="G1499" s="187" t="e">
        <v>#N/A</v>
      </c>
      <c r="H1499" s="211"/>
      <c r="I1499" s="211"/>
      <c r="J1499" s="244"/>
      <c r="K1499" s="61"/>
      <c r="L1499" s="62">
        <v>0</v>
      </c>
      <c r="M1499" s="63">
        <v>0</v>
      </c>
      <c r="N1499" s="64">
        <v>0</v>
      </c>
      <c r="O1499" s="62">
        <v>0</v>
      </c>
      <c r="P1499" s="65">
        <f t="shared" si="93"/>
        <v>0</v>
      </c>
      <c r="Q1499" s="66"/>
      <c r="R1499" s="66"/>
      <c r="S1499" s="66"/>
      <c r="T1499" s="66"/>
      <c r="U1499" s="66"/>
      <c r="V1499" s="66"/>
      <c r="W1499" s="66"/>
      <c r="X1499" s="66"/>
      <c r="Y1499" s="66"/>
      <c r="Z1499" s="66"/>
      <c r="AA1499" s="66"/>
      <c r="AB1499" s="66"/>
      <c r="AC1499" s="66"/>
      <c r="AD1499" s="66"/>
      <c r="AE1499" s="66"/>
      <c r="AF1499" s="66"/>
      <c r="AG1499" s="66"/>
      <c r="AH1499" s="66"/>
      <c r="AI1499" s="66"/>
      <c r="AJ1499" s="66"/>
      <c r="AK1499" s="66"/>
      <c r="AL1499" s="66"/>
      <c r="AM1499" s="66"/>
      <c r="AN1499" s="66"/>
      <c r="AO1499" s="66"/>
      <c r="AP1499" s="66"/>
      <c r="AQ1499" s="66"/>
      <c r="AR1499" s="66"/>
      <c r="AS1499" s="66"/>
      <c r="AT1499" s="66"/>
      <c r="AU1499" s="66"/>
      <c r="AV1499" s="66"/>
      <c r="AW1499" s="66"/>
      <c r="AX1499" s="66"/>
      <c r="AY1499" s="66"/>
      <c r="AZ1499" s="66"/>
      <c r="BA1499" s="66"/>
      <c r="BB1499" s="66"/>
      <c r="BC1499" s="66"/>
      <c r="BD1499" s="66"/>
      <c r="BE1499" s="67"/>
      <c r="BF1499" s="67"/>
      <c r="BG1499" s="68"/>
      <c r="BI1499" s="69">
        <v>0</v>
      </c>
      <c r="BJ1499" s="70">
        <v>0</v>
      </c>
      <c r="BK1499" s="71">
        <v>0</v>
      </c>
      <c r="BL1499" s="71">
        <v>0</v>
      </c>
      <c r="BM1499" s="71">
        <v>0</v>
      </c>
      <c r="BN1499" s="72">
        <v>0</v>
      </c>
      <c r="BO1499" s="151" t="e">
        <f t="shared" si="94"/>
        <v>#DIV/0!</v>
      </c>
      <c r="BP1499" s="151" t="e">
        <f t="shared" si="95"/>
        <v>#DIV/0!</v>
      </c>
      <c r="BQ1499" s="71">
        <v>0</v>
      </c>
      <c r="BR1499" s="71">
        <v>0</v>
      </c>
      <c r="BS1499" s="71">
        <v>0</v>
      </c>
      <c r="BT1499" s="72">
        <v>0</v>
      </c>
      <c r="BU1499" s="151" t="e">
        <f t="shared" si="91"/>
        <v>#DIV/0!</v>
      </c>
      <c r="BV1499" s="151" t="e">
        <f t="shared" si="92"/>
        <v>#DIV/0!</v>
      </c>
    </row>
    <row r="1500" ht="30" customHeight="1" spans="1:74">
      <c r="A1500" s="55">
        <v>0</v>
      </c>
      <c r="B1500" s="56">
        <v>0</v>
      </c>
      <c r="C1500" s="57">
        <v>0</v>
      </c>
      <c r="D1500" s="210"/>
      <c r="E1500" s="88"/>
      <c r="F1500" s="59" t="e">
        <f>VLOOKUP(E1500,[1]库存!$B$1:$C$65536,2,FALSE)</f>
        <v>#N/A</v>
      </c>
      <c r="G1500" s="59" t="e">
        <v>#N/A</v>
      </c>
      <c r="H1500" s="238"/>
      <c r="I1500" s="239"/>
      <c r="J1500" s="90"/>
      <c r="K1500" s="61"/>
      <c r="L1500" s="62">
        <v>0</v>
      </c>
      <c r="M1500" s="63">
        <v>0</v>
      </c>
      <c r="N1500" s="64">
        <v>0</v>
      </c>
      <c r="O1500" s="62">
        <v>0</v>
      </c>
      <c r="P1500" s="65">
        <f t="shared" si="93"/>
        <v>0</v>
      </c>
      <c r="Q1500" s="66"/>
      <c r="R1500" s="66"/>
      <c r="S1500" s="66"/>
      <c r="T1500" s="66"/>
      <c r="U1500" s="66"/>
      <c r="V1500" s="66"/>
      <c r="W1500" s="66"/>
      <c r="X1500" s="66"/>
      <c r="Y1500" s="66"/>
      <c r="Z1500" s="66"/>
      <c r="AA1500" s="66"/>
      <c r="AB1500" s="66"/>
      <c r="AC1500" s="66"/>
      <c r="AD1500" s="66"/>
      <c r="AE1500" s="66"/>
      <c r="AF1500" s="66"/>
      <c r="AG1500" s="66"/>
      <c r="AH1500" s="66"/>
      <c r="AI1500" s="66"/>
      <c r="AJ1500" s="66"/>
      <c r="AK1500" s="66"/>
      <c r="AL1500" s="66"/>
      <c r="AM1500" s="66"/>
      <c r="AN1500" s="66"/>
      <c r="AO1500" s="66"/>
      <c r="AP1500" s="66"/>
      <c r="AQ1500" s="66"/>
      <c r="AR1500" s="66"/>
      <c r="AS1500" s="66"/>
      <c r="AT1500" s="66"/>
      <c r="AU1500" s="66"/>
      <c r="AV1500" s="66"/>
      <c r="AW1500" s="66"/>
      <c r="AX1500" s="66"/>
      <c r="AY1500" s="66"/>
      <c r="AZ1500" s="66"/>
      <c r="BA1500" s="66"/>
      <c r="BB1500" s="66"/>
      <c r="BC1500" s="66"/>
      <c r="BD1500" s="66"/>
      <c r="BE1500" s="67"/>
      <c r="BF1500" s="67"/>
      <c r="BG1500" s="68"/>
      <c r="BI1500" s="69">
        <v>0</v>
      </c>
      <c r="BJ1500" s="70">
        <v>0</v>
      </c>
      <c r="BK1500" s="71">
        <v>0</v>
      </c>
      <c r="BL1500" s="71">
        <v>0</v>
      </c>
      <c r="BM1500" s="71">
        <v>0</v>
      </c>
      <c r="BN1500" s="72">
        <v>0</v>
      </c>
      <c r="BO1500" s="151" t="e">
        <f t="shared" si="94"/>
        <v>#DIV/0!</v>
      </c>
      <c r="BP1500" s="151" t="e">
        <f t="shared" si="95"/>
        <v>#DIV/0!</v>
      </c>
      <c r="BQ1500" s="71">
        <v>0</v>
      </c>
      <c r="BR1500" s="71">
        <v>0</v>
      </c>
      <c r="BS1500" s="71">
        <v>0</v>
      </c>
      <c r="BT1500" s="72">
        <v>0</v>
      </c>
      <c r="BU1500" s="151" t="e">
        <f t="shared" si="91"/>
        <v>#DIV/0!</v>
      </c>
      <c r="BV1500" s="151" t="e">
        <f t="shared" si="92"/>
        <v>#DIV/0!</v>
      </c>
    </row>
    <row r="1501" ht="30" customHeight="1" spans="1:74">
      <c r="A1501" s="55" t="s">
        <v>211</v>
      </c>
      <c r="B1501" s="56" t="s">
        <v>2247</v>
      </c>
      <c r="C1501" s="57" t="s">
        <v>2343</v>
      </c>
      <c r="D1501" s="91" t="s">
        <v>2439</v>
      </c>
      <c r="E1501" s="91" t="s">
        <v>2440</v>
      </c>
      <c r="F1501" s="91" t="str">
        <f>VLOOKUP(E1501,[1]库存!$B$1:$C$65536,2,FALSE)</f>
        <v>SA3F SAB LH F状态</v>
      </c>
      <c r="G1501" s="91" t="s">
        <v>2441</v>
      </c>
      <c r="H1501" s="91" t="s">
        <v>2442</v>
      </c>
      <c r="I1501" s="91" t="s">
        <v>2443</v>
      </c>
      <c r="J1501" s="94"/>
      <c r="K1501" s="61"/>
      <c r="L1501" s="62">
        <v>2</v>
      </c>
      <c r="M1501" s="63">
        <v>1600</v>
      </c>
      <c r="N1501" s="64">
        <v>8</v>
      </c>
      <c r="O1501" s="62">
        <v>2</v>
      </c>
      <c r="P1501" s="65">
        <f t="shared" si="93"/>
        <v>0</v>
      </c>
      <c r="Q1501" s="66"/>
      <c r="R1501" s="103"/>
      <c r="S1501" s="66"/>
      <c r="T1501" s="103"/>
      <c r="U1501" s="66"/>
      <c r="V1501" s="103"/>
      <c r="W1501" s="66"/>
      <c r="X1501" s="103"/>
      <c r="Y1501" s="66"/>
      <c r="Z1501" s="103"/>
      <c r="AA1501" s="66"/>
      <c r="AB1501" s="103"/>
      <c r="AC1501" s="66"/>
      <c r="AD1501" s="103"/>
      <c r="AE1501" s="66"/>
      <c r="AF1501" s="103"/>
      <c r="AG1501" s="66"/>
      <c r="AH1501" s="103"/>
      <c r="AI1501" s="66"/>
      <c r="AJ1501" s="103"/>
      <c r="AK1501" s="66"/>
      <c r="AL1501" s="103"/>
      <c r="AM1501" s="66"/>
      <c r="AN1501" s="103"/>
      <c r="AO1501" s="66"/>
      <c r="AP1501" s="103"/>
      <c r="AQ1501" s="66"/>
      <c r="AR1501" s="103"/>
      <c r="AS1501" s="66"/>
      <c r="AT1501" s="103"/>
      <c r="AU1501" s="66"/>
      <c r="AV1501" s="103"/>
      <c r="AW1501" s="66"/>
      <c r="AX1501" s="103"/>
      <c r="AY1501" s="66"/>
      <c r="AZ1501" s="103"/>
      <c r="BA1501" s="66"/>
      <c r="BB1501" s="103"/>
      <c r="BC1501" s="66"/>
      <c r="BD1501" s="103"/>
      <c r="BE1501" s="105"/>
      <c r="BF1501" s="105"/>
      <c r="BG1501" s="68"/>
      <c r="BI1501" s="69">
        <v>0</v>
      </c>
      <c r="BJ1501" s="70">
        <v>0</v>
      </c>
      <c r="BK1501" s="71">
        <v>0</v>
      </c>
      <c r="BL1501" s="71">
        <v>0</v>
      </c>
      <c r="BM1501" s="71">
        <v>0</v>
      </c>
      <c r="BN1501" s="72">
        <v>0</v>
      </c>
      <c r="BO1501" s="151" t="e">
        <f t="shared" si="94"/>
        <v>#DIV/0!</v>
      </c>
      <c r="BP1501" s="151" t="e">
        <f t="shared" si="95"/>
        <v>#DIV/0!</v>
      </c>
      <c r="BQ1501" s="71">
        <v>0</v>
      </c>
      <c r="BR1501" s="71">
        <v>0</v>
      </c>
      <c r="BS1501" s="71">
        <v>0</v>
      </c>
      <c r="BT1501" s="72">
        <v>0</v>
      </c>
      <c r="BU1501" s="151" t="e">
        <f t="shared" si="91"/>
        <v>#DIV/0!</v>
      </c>
      <c r="BV1501" s="151" t="e">
        <f t="shared" si="92"/>
        <v>#DIV/0!</v>
      </c>
    </row>
    <row r="1502" ht="30" customHeight="1" spans="1:74">
      <c r="A1502" s="55">
        <v>0</v>
      </c>
      <c r="B1502" s="56">
        <v>0</v>
      </c>
      <c r="C1502" s="57">
        <v>0</v>
      </c>
      <c r="D1502" s="92"/>
      <c r="E1502" s="92"/>
      <c r="F1502" s="91" t="e">
        <f>VLOOKUP(E1502,[1]库存!$B$1:$C$65536,2,FALSE)</f>
        <v>#N/A</v>
      </c>
      <c r="G1502" s="91" t="e">
        <v>#N/A</v>
      </c>
      <c r="H1502" s="92"/>
      <c r="I1502" s="92"/>
      <c r="J1502" s="95"/>
      <c r="K1502" s="61"/>
      <c r="L1502" s="62">
        <v>0</v>
      </c>
      <c r="M1502" s="63">
        <v>0</v>
      </c>
      <c r="N1502" s="64">
        <v>0</v>
      </c>
      <c r="O1502" s="62">
        <v>0</v>
      </c>
      <c r="P1502" s="65">
        <f t="shared" si="93"/>
        <v>0</v>
      </c>
      <c r="Q1502" s="66"/>
      <c r="R1502" s="66"/>
      <c r="S1502" s="66"/>
      <c r="T1502" s="66"/>
      <c r="U1502" s="66"/>
      <c r="V1502" s="66"/>
      <c r="W1502" s="66"/>
      <c r="X1502" s="66"/>
      <c r="Y1502" s="66"/>
      <c r="Z1502" s="66"/>
      <c r="AA1502" s="66"/>
      <c r="AB1502" s="66"/>
      <c r="AC1502" s="66"/>
      <c r="AD1502" s="66"/>
      <c r="AE1502" s="66"/>
      <c r="AF1502" s="66"/>
      <c r="AG1502" s="66"/>
      <c r="AH1502" s="66"/>
      <c r="AI1502" s="66"/>
      <c r="AJ1502" s="66"/>
      <c r="AK1502" s="66"/>
      <c r="AL1502" s="66"/>
      <c r="AM1502" s="66"/>
      <c r="AN1502" s="66"/>
      <c r="AO1502" s="66"/>
      <c r="AP1502" s="66"/>
      <c r="AQ1502" s="66"/>
      <c r="AR1502" s="66"/>
      <c r="AS1502" s="66"/>
      <c r="AT1502" s="66"/>
      <c r="AU1502" s="66"/>
      <c r="AV1502" s="66"/>
      <c r="AW1502" s="66"/>
      <c r="AX1502" s="66"/>
      <c r="AY1502" s="66"/>
      <c r="AZ1502" s="66"/>
      <c r="BA1502" s="66"/>
      <c r="BB1502" s="66"/>
      <c r="BC1502" s="66"/>
      <c r="BD1502" s="66"/>
      <c r="BE1502" s="67"/>
      <c r="BF1502" s="67"/>
      <c r="BG1502" s="68"/>
      <c r="BI1502" s="69">
        <v>0</v>
      </c>
      <c r="BJ1502" s="70">
        <v>0</v>
      </c>
      <c r="BK1502" s="71">
        <v>0</v>
      </c>
      <c r="BL1502" s="71">
        <v>0</v>
      </c>
      <c r="BM1502" s="71">
        <v>0</v>
      </c>
      <c r="BN1502" s="72">
        <v>0</v>
      </c>
      <c r="BO1502" s="151" t="e">
        <f t="shared" si="94"/>
        <v>#DIV/0!</v>
      </c>
      <c r="BP1502" s="151" t="e">
        <f t="shared" si="95"/>
        <v>#DIV/0!</v>
      </c>
      <c r="BQ1502" s="71">
        <v>0</v>
      </c>
      <c r="BR1502" s="71">
        <v>0</v>
      </c>
      <c r="BS1502" s="71">
        <v>0</v>
      </c>
      <c r="BT1502" s="72">
        <v>0</v>
      </c>
      <c r="BU1502" s="151" t="e">
        <f t="shared" si="91"/>
        <v>#DIV/0!</v>
      </c>
      <c r="BV1502" s="151" t="e">
        <f t="shared" si="92"/>
        <v>#DIV/0!</v>
      </c>
    </row>
    <row r="1503" ht="30" customHeight="1" spans="1:74">
      <c r="A1503" s="55">
        <v>0</v>
      </c>
      <c r="B1503" s="56" t="s">
        <v>2247</v>
      </c>
      <c r="C1503" s="57" t="s">
        <v>2343</v>
      </c>
      <c r="D1503" s="59" t="s">
        <v>2439</v>
      </c>
      <c r="E1503" s="59"/>
      <c r="F1503" s="59" t="e">
        <f>VLOOKUP(E1503,[1]库存!$B$1:$C$65536,2,FALSE)</f>
        <v>#N/A</v>
      </c>
      <c r="G1503" s="59" t="e">
        <v>#N/A</v>
      </c>
      <c r="H1503" s="59" t="s">
        <v>2444</v>
      </c>
      <c r="I1503" s="59" t="s">
        <v>2443</v>
      </c>
      <c r="J1503" s="63"/>
      <c r="K1503" s="61"/>
      <c r="L1503" s="62">
        <v>2</v>
      </c>
      <c r="M1503" s="63">
        <v>1600</v>
      </c>
      <c r="N1503" s="64">
        <v>8</v>
      </c>
      <c r="O1503" s="62">
        <v>2</v>
      </c>
      <c r="P1503" s="65">
        <f t="shared" si="93"/>
        <v>0</v>
      </c>
      <c r="Q1503" s="66"/>
      <c r="R1503" s="66"/>
      <c r="S1503" s="66"/>
      <c r="T1503" s="66"/>
      <c r="U1503" s="66"/>
      <c r="V1503" s="66"/>
      <c r="W1503" s="66"/>
      <c r="X1503" s="66"/>
      <c r="Y1503" s="66"/>
      <c r="Z1503" s="66"/>
      <c r="AA1503" s="66"/>
      <c r="AB1503" s="66"/>
      <c r="AC1503" s="66"/>
      <c r="AD1503" s="66"/>
      <c r="AE1503" s="66"/>
      <c r="AF1503" s="66"/>
      <c r="AG1503" s="66"/>
      <c r="AH1503" s="66"/>
      <c r="AI1503" s="66"/>
      <c r="AJ1503" s="66"/>
      <c r="AK1503" s="66"/>
      <c r="AL1503" s="66"/>
      <c r="AM1503" s="66"/>
      <c r="AN1503" s="66"/>
      <c r="AO1503" s="66"/>
      <c r="AP1503" s="66"/>
      <c r="AQ1503" s="66"/>
      <c r="AR1503" s="66"/>
      <c r="AS1503" s="66"/>
      <c r="AT1503" s="66"/>
      <c r="AU1503" s="66"/>
      <c r="AV1503" s="66"/>
      <c r="AW1503" s="66"/>
      <c r="AX1503" s="66"/>
      <c r="AY1503" s="66"/>
      <c r="AZ1503" s="66"/>
      <c r="BA1503" s="66"/>
      <c r="BB1503" s="66"/>
      <c r="BC1503" s="66"/>
      <c r="BD1503" s="66"/>
      <c r="BE1503" s="67"/>
      <c r="BF1503" s="67"/>
      <c r="BG1503" s="68"/>
      <c r="BI1503" s="69">
        <v>0</v>
      </c>
      <c r="BJ1503" s="70">
        <v>0</v>
      </c>
      <c r="BK1503" s="71">
        <v>0</v>
      </c>
      <c r="BL1503" s="71">
        <v>0</v>
      </c>
      <c r="BM1503" s="71">
        <v>0</v>
      </c>
      <c r="BN1503" s="72">
        <v>0</v>
      </c>
      <c r="BO1503" s="151" t="e">
        <f t="shared" si="94"/>
        <v>#DIV/0!</v>
      </c>
      <c r="BP1503" s="151" t="e">
        <f t="shared" si="95"/>
        <v>#DIV/0!</v>
      </c>
      <c r="BQ1503" s="71">
        <v>0</v>
      </c>
      <c r="BR1503" s="71">
        <v>0</v>
      </c>
      <c r="BS1503" s="71">
        <v>0</v>
      </c>
      <c r="BT1503" s="72">
        <v>0</v>
      </c>
      <c r="BU1503" s="151" t="e">
        <f t="shared" si="91"/>
        <v>#DIV/0!</v>
      </c>
      <c r="BV1503" s="151" t="e">
        <f t="shared" si="92"/>
        <v>#DIV/0!</v>
      </c>
    </row>
    <row r="1504" ht="30" customHeight="1" spans="1:74">
      <c r="A1504" s="55">
        <v>0</v>
      </c>
      <c r="B1504" s="56">
        <v>0</v>
      </c>
      <c r="C1504" s="57">
        <v>0</v>
      </c>
      <c r="D1504" s="74"/>
      <c r="E1504" s="74"/>
      <c r="F1504" s="59" t="e">
        <f>VLOOKUP(E1504,[1]库存!$B$1:$C$65536,2,FALSE)</f>
        <v>#N/A</v>
      </c>
      <c r="G1504" s="59" t="e">
        <v>#N/A</v>
      </c>
      <c r="H1504" s="74"/>
      <c r="I1504" s="74"/>
      <c r="J1504" s="87"/>
      <c r="K1504" s="61"/>
      <c r="L1504" s="62">
        <v>0</v>
      </c>
      <c r="M1504" s="63">
        <v>0</v>
      </c>
      <c r="N1504" s="64">
        <v>0</v>
      </c>
      <c r="O1504" s="62">
        <v>0</v>
      </c>
      <c r="P1504" s="65">
        <f t="shared" si="93"/>
        <v>0</v>
      </c>
      <c r="Q1504" s="66"/>
      <c r="R1504" s="66"/>
      <c r="S1504" s="66"/>
      <c r="T1504" s="66"/>
      <c r="U1504" s="66"/>
      <c r="V1504" s="66"/>
      <c r="W1504" s="66"/>
      <c r="X1504" s="66"/>
      <c r="Y1504" s="66"/>
      <c r="Z1504" s="66"/>
      <c r="AA1504" s="66"/>
      <c r="AB1504" s="66"/>
      <c r="AC1504" s="66"/>
      <c r="AD1504" s="66"/>
      <c r="AE1504" s="66"/>
      <c r="AF1504" s="66"/>
      <c r="AG1504" s="66"/>
      <c r="AH1504" s="66"/>
      <c r="AI1504" s="66"/>
      <c r="AJ1504" s="66"/>
      <c r="AK1504" s="66"/>
      <c r="AL1504" s="66"/>
      <c r="AM1504" s="66"/>
      <c r="AN1504" s="66"/>
      <c r="AO1504" s="66"/>
      <c r="AP1504" s="66"/>
      <c r="AQ1504" s="66"/>
      <c r="AR1504" s="66"/>
      <c r="AS1504" s="66"/>
      <c r="AT1504" s="66"/>
      <c r="AU1504" s="66"/>
      <c r="AV1504" s="66"/>
      <c r="AW1504" s="66"/>
      <c r="AX1504" s="66"/>
      <c r="AY1504" s="66"/>
      <c r="AZ1504" s="66"/>
      <c r="BA1504" s="66"/>
      <c r="BB1504" s="66"/>
      <c r="BC1504" s="66"/>
      <c r="BD1504" s="66"/>
      <c r="BE1504" s="67"/>
      <c r="BF1504" s="67"/>
      <c r="BG1504" s="68"/>
      <c r="BI1504" s="69">
        <v>0</v>
      </c>
      <c r="BJ1504" s="70">
        <v>0</v>
      </c>
      <c r="BK1504" s="71">
        <v>0</v>
      </c>
      <c r="BL1504" s="71">
        <v>0</v>
      </c>
      <c r="BM1504" s="71">
        <v>0</v>
      </c>
      <c r="BN1504" s="72">
        <v>0</v>
      </c>
      <c r="BO1504" s="151" t="e">
        <f t="shared" si="94"/>
        <v>#DIV/0!</v>
      </c>
      <c r="BP1504" s="151" t="e">
        <f t="shared" si="95"/>
        <v>#DIV/0!</v>
      </c>
      <c r="BQ1504" s="71">
        <v>0</v>
      </c>
      <c r="BR1504" s="71">
        <v>0</v>
      </c>
      <c r="BS1504" s="71">
        <v>0</v>
      </c>
      <c r="BT1504" s="72">
        <v>0</v>
      </c>
      <c r="BU1504" s="151" t="e">
        <f t="shared" si="91"/>
        <v>#DIV/0!</v>
      </c>
      <c r="BV1504" s="151" t="e">
        <f t="shared" si="92"/>
        <v>#DIV/0!</v>
      </c>
    </row>
    <row r="1505" ht="30" customHeight="1" spans="1:74">
      <c r="A1505" s="55" t="s">
        <v>211</v>
      </c>
      <c r="B1505" s="56" t="s">
        <v>2247</v>
      </c>
      <c r="C1505" s="57" t="s">
        <v>2343</v>
      </c>
      <c r="D1505" s="59" t="s">
        <v>2439</v>
      </c>
      <c r="E1505" s="59" t="s">
        <v>2445</v>
      </c>
      <c r="F1505" s="59" t="str">
        <f>VLOOKUP(E1505,[1]库存!$B$1:$C$65536,2,FALSE)</f>
        <v>HTH-D1 SAB LH A状态</v>
      </c>
      <c r="G1505" s="59" t="s">
        <v>2446</v>
      </c>
      <c r="H1505" s="59" t="s">
        <v>2447</v>
      </c>
      <c r="I1505" s="59" t="s">
        <v>2448</v>
      </c>
      <c r="J1505" s="82" t="s">
        <v>2449</v>
      </c>
      <c r="K1505" s="61"/>
      <c r="L1505" s="62">
        <v>1</v>
      </c>
      <c r="M1505" s="63">
        <v>1400</v>
      </c>
      <c r="N1505" s="64">
        <v>12</v>
      </c>
      <c r="O1505" s="62">
        <v>1</v>
      </c>
      <c r="P1505" s="65">
        <f t="shared" si="93"/>
        <v>0</v>
      </c>
      <c r="Q1505" s="66"/>
      <c r="R1505" s="67"/>
      <c r="S1505" s="66">
        <v>1600</v>
      </c>
      <c r="T1505" s="67"/>
      <c r="U1505" s="66"/>
      <c r="V1505" s="67"/>
      <c r="W1505" s="66"/>
      <c r="X1505" s="67"/>
      <c r="Y1505" s="66"/>
      <c r="Z1505" s="67"/>
      <c r="AA1505" s="66"/>
      <c r="AB1505" s="67"/>
      <c r="AC1505" s="66"/>
      <c r="AD1505" s="67"/>
      <c r="AE1505" s="66"/>
      <c r="AF1505" s="67"/>
      <c r="AG1505" s="66"/>
      <c r="AH1505" s="67"/>
      <c r="AI1505" s="66"/>
      <c r="AJ1505" s="67"/>
      <c r="AK1505" s="66"/>
      <c r="AL1505" s="67"/>
      <c r="AM1505" s="66"/>
      <c r="AN1505" s="67"/>
      <c r="AO1505" s="66"/>
      <c r="AP1505" s="67"/>
      <c r="AQ1505" s="66"/>
      <c r="AR1505" s="67"/>
      <c r="AS1505" s="66"/>
      <c r="AT1505" s="67"/>
      <c r="AU1505" s="66"/>
      <c r="AV1505" s="67"/>
      <c r="AW1505" s="66"/>
      <c r="AX1505" s="67"/>
      <c r="AY1505" s="66"/>
      <c r="AZ1505" s="67"/>
      <c r="BA1505" s="66"/>
      <c r="BB1505" s="67"/>
      <c r="BC1505" s="66"/>
      <c r="BD1505" s="67"/>
      <c r="BE1505" s="67"/>
      <c r="BF1505" s="67"/>
      <c r="BG1505" s="68"/>
      <c r="BI1505" s="69">
        <v>0</v>
      </c>
      <c r="BJ1505" s="70">
        <v>0</v>
      </c>
      <c r="BK1505" s="71">
        <v>0</v>
      </c>
      <c r="BL1505" s="71">
        <v>0</v>
      </c>
      <c r="BM1505" s="71">
        <v>0</v>
      </c>
      <c r="BN1505" s="72">
        <v>0</v>
      </c>
      <c r="BO1505" s="151" t="e">
        <f t="shared" si="94"/>
        <v>#DIV/0!</v>
      </c>
      <c r="BP1505" s="151" t="e">
        <f t="shared" si="95"/>
        <v>#DIV/0!</v>
      </c>
      <c r="BQ1505" s="71">
        <v>0</v>
      </c>
      <c r="BR1505" s="71">
        <v>0</v>
      </c>
      <c r="BS1505" s="71">
        <v>0</v>
      </c>
      <c r="BT1505" s="72">
        <v>0</v>
      </c>
      <c r="BU1505" s="151" t="e">
        <f t="shared" si="91"/>
        <v>#DIV/0!</v>
      </c>
      <c r="BV1505" s="151" t="e">
        <f t="shared" si="92"/>
        <v>#DIV/0!</v>
      </c>
    </row>
    <row r="1506" ht="30" customHeight="1" spans="1:74">
      <c r="A1506" s="55">
        <v>0</v>
      </c>
      <c r="B1506" s="56">
        <v>0</v>
      </c>
      <c r="C1506" s="57">
        <v>0</v>
      </c>
      <c r="D1506" s="74"/>
      <c r="E1506" s="74"/>
      <c r="F1506" s="59" t="e">
        <f>VLOOKUP(E1506,[1]库存!$B$1:$C$65536,2,FALSE)</f>
        <v>#N/A</v>
      </c>
      <c r="G1506" s="59" t="e">
        <v>#N/A</v>
      </c>
      <c r="H1506" s="74"/>
      <c r="I1506" s="74"/>
      <c r="J1506" s="83"/>
      <c r="K1506" s="61"/>
      <c r="L1506" s="62">
        <v>0</v>
      </c>
      <c r="M1506" s="63">
        <v>0</v>
      </c>
      <c r="N1506" s="64">
        <v>0</v>
      </c>
      <c r="O1506" s="62">
        <v>0</v>
      </c>
      <c r="P1506" s="65">
        <f t="shared" si="93"/>
        <v>0</v>
      </c>
      <c r="Q1506" s="66"/>
      <c r="R1506" s="67"/>
      <c r="S1506" s="66" t="s">
        <v>2450</v>
      </c>
      <c r="T1506" s="67"/>
      <c r="U1506" s="66"/>
      <c r="V1506" s="67"/>
      <c r="W1506" s="66"/>
      <c r="X1506" s="67"/>
      <c r="Y1506" s="66"/>
      <c r="Z1506" s="67"/>
      <c r="AA1506" s="66"/>
      <c r="AB1506" s="67"/>
      <c r="AC1506" s="66"/>
      <c r="AD1506" s="67"/>
      <c r="AE1506" s="66"/>
      <c r="AF1506" s="67"/>
      <c r="AG1506" s="66"/>
      <c r="AH1506" s="67"/>
      <c r="AI1506" s="66"/>
      <c r="AJ1506" s="67"/>
      <c r="AK1506" s="66"/>
      <c r="AL1506" s="67"/>
      <c r="AM1506" s="66"/>
      <c r="AN1506" s="67"/>
      <c r="AO1506" s="66"/>
      <c r="AP1506" s="67"/>
      <c r="AQ1506" s="66"/>
      <c r="AR1506" s="67"/>
      <c r="AS1506" s="66"/>
      <c r="AT1506" s="67"/>
      <c r="AU1506" s="66"/>
      <c r="AV1506" s="67"/>
      <c r="AW1506" s="66"/>
      <c r="AX1506" s="67"/>
      <c r="AY1506" s="66"/>
      <c r="AZ1506" s="67"/>
      <c r="BA1506" s="66"/>
      <c r="BB1506" s="67"/>
      <c r="BC1506" s="66"/>
      <c r="BD1506" s="67"/>
      <c r="BE1506" s="67"/>
      <c r="BF1506" s="67"/>
      <c r="BG1506" s="68"/>
      <c r="BI1506" s="69">
        <v>0</v>
      </c>
      <c r="BJ1506" s="70">
        <v>0</v>
      </c>
      <c r="BK1506" s="71">
        <v>0</v>
      </c>
      <c r="BL1506" s="71">
        <v>0</v>
      </c>
      <c r="BM1506" s="71">
        <v>0</v>
      </c>
      <c r="BN1506" s="72">
        <v>0</v>
      </c>
      <c r="BO1506" s="151" t="e">
        <f t="shared" si="94"/>
        <v>#DIV/0!</v>
      </c>
      <c r="BP1506" s="151" t="e">
        <f t="shared" si="95"/>
        <v>#DIV/0!</v>
      </c>
      <c r="BQ1506" s="71">
        <v>0</v>
      </c>
      <c r="BR1506" s="71">
        <v>0</v>
      </c>
      <c r="BS1506" s="71">
        <v>0</v>
      </c>
      <c r="BT1506" s="72">
        <v>0</v>
      </c>
      <c r="BU1506" s="151" t="e">
        <f t="shared" si="91"/>
        <v>#DIV/0!</v>
      </c>
      <c r="BV1506" s="151" t="e">
        <f t="shared" si="92"/>
        <v>#DIV/0!</v>
      </c>
    </row>
    <row r="1507" ht="30" customHeight="1" spans="1:74">
      <c r="A1507" s="55" t="s">
        <v>211</v>
      </c>
      <c r="B1507" s="56" t="s">
        <v>2247</v>
      </c>
      <c r="C1507" s="57" t="s">
        <v>2343</v>
      </c>
      <c r="D1507" s="59" t="s">
        <v>2439</v>
      </c>
      <c r="E1507" s="59" t="s">
        <v>2451</v>
      </c>
      <c r="F1507" s="59" t="str">
        <f>VLOOKUP(E1507,[1]库存!$B$1:$C$65536,2,FALSE)</f>
        <v>HTH-D1 SAB RH A状态</v>
      </c>
      <c r="G1507" s="59" t="s">
        <v>2452</v>
      </c>
      <c r="H1507" s="59" t="s">
        <v>2453</v>
      </c>
      <c r="I1507" s="59" t="s">
        <v>2448</v>
      </c>
      <c r="J1507" s="83"/>
      <c r="K1507" s="61"/>
      <c r="L1507" s="62">
        <v>1</v>
      </c>
      <c r="M1507" s="63">
        <v>1400</v>
      </c>
      <c r="N1507" s="64">
        <v>12</v>
      </c>
      <c r="O1507" s="62">
        <v>1</v>
      </c>
      <c r="P1507" s="65">
        <f t="shared" si="93"/>
        <v>0</v>
      </c>
      <c r="Q1507" s="66"/>
      <c r="R1507" s="67"/>
      <c r="S1507" s="66"/>
      <c r="T1507" s="67"/>
      <c r="U1507" s="66">
        <v>1600</v>
      </c>
      <c r="V1507" s="67"/>
      <c r="W1507" s="66"/>
      <c r="X1507" s="67"/>
      <c r="Y1507" s="66"/>
      <c r="Z1507" s="67"/>
      <c r="AA1507" s="66"/>
      <c r="AB1507" s="67"/>
      <c r="AC1507" s="66"/>
      <c r="AD1507" s="67"/>
      <c r="AE1507" s="66"/>
      <c r="AF1507" s="67"/>
      <c r="AG1507" s="66"/>
      <c r="AH1507" s="67"/>
      <c r="AI1507" s="66"/>
      <c r="AJ1507" s="67"/>
      <c r="AK1507" s="66"/>
      <c r="AL1507" s="67"/>
      <c r="AM1507" s="66"/>
      <c r="AN1507" s="67"/>
      <c r="AO1507" s="66"/>
      <c r="AP1507" s="67"/>
      <c r="AQ1507" s="66"/>
      <c r="AR1507" s="67"/>
      <c r="AS1507" s="66"/>
      <c r="AT1507" s="67"/>
      <c r="AU1507" s="66"/>
      <c r="AV1507" s="67"/>
      <c r="AW1507" s="66"/>
      <c r="AX1507" s="67"/>
      <c r="AY1507" s="66"/>
      <c r="AZ1507" s="67"/>
      <c r="BA1507" s="66"/>
      <c r="BB1507" s="67"/>
      <c r="BC1507" s="66"/>
      <c r="BD1507" s="67"/>
      <c r="BE1507" s="67"/>
      <c r="BF1507" s="67"/>
      <c r="BG1507" s="68"/>
      <c r="BI1507" s="69">
        <v>0</v>
      </c>
      <c r="BJ1507" s="70">
        <v>0</v>
      </c>
      <c r="BK1507" s="71">
        <v>0</v>
      </c>
      <c r="BL1507" s="71">
        <v>0</v>
      </c>
      <c r="BM1507" s="71">
        <v>0</v>
      </c>
      <c r="BN1507" s="72">
        <v>0</v>
      </c>
      <c r="BO1507" s="151" t="e">
        <f t="shared" si="94"/>
        <v>#DIV/0!</v>
      </c>
      <c r="BP1507" s="151" t="e">
        <f t="shared" si="95"/>
        <v>#DIV/0!</v>
      </c>
      <c r="BQ1507" s="71">
        <v>0</v>
      </c>
      <c r="BR1507" s="71">
        <v>0</v>
      </c>
      <c r="BS1507" s="71">
        <v>0</v>
      </c>
      <c r="BT1507" s="72">
        <v>0</v>
      </c>
      <c r="BU1507" s="151" t="e">
        <f t="shared" si="91"/>
        <v>#DIV/0!</v>
      </c>
      <c r="BV1507" s="151" t="e">
        <f t="shared" si="92"/>
        <v>#DIV/0!</v>
      </c>
    </row>
    <row r="1508" ht="30" customHeight="1" spans="1:74">
      <c r="A1508" s="55">
        <v>0</v>
      </c>
      <c r="B1508" s="56">
        <v>0</v>
      </c>
      <c r="C1508" s="57">
        <v>0</v>
      </c>
      <c r="D1508" s="74"/>
      <c r="E1508" s="74"/>
      <c r="F1508" s="59" t="e">
        <f>VLOOKUP(E1508,[1]库存!$B$1:$C$65536,2,FALSE)</f>
        <v>#N/A</v>
      </c>
      <c r="G1508" s="59" t="e">
        <v>#N/A</v>
      </c>
      <c r="H1508" s="74"/>
      <c r="I1508" s="74"/>
      <c r="J1508" s="83"/>
      <c r="K1508" s="61"/>
      <c r="L1508" s="62">
        <v>0</v>
      </c>
      <c r="M1508" s="63">
        <v>0</v>
      </c>
      <c r="N1508" s="64">
        <v>0</v>
      </c>
      <c r="O1508" s="62">
        <v>0</v>
      </c>
      <c r="P1508" s="65">
        <f t="shared" si="93"/>
        <v>0</v>
      </c>
      <c r="Q1508" s="66"/>
      <c r="R1508" s="66"/>
      <c r="S1508" s="66"/>
      <c r="T1508" s="66"/>
      <c r="U1508" s="66" t="s">
        <v>2454</v>
      </c>
      <c r="V1508" s="66"/>
      <c r="W1508" s="66"/>
      <c r="X1508" s="66"/>
      <c r="Y1508" s="66"/>
      <c r="Z1508" s="66"/>
      <c r="AA1508" s="66"/>
      <c r="AB1508" s="66"/>
      <c r="AC1508" s="66"/>
      <c r="AD1508" s="66"/>
      <c r="AE1508" s="66"/>
      <c r="AF1508" s="66"/>
      <c r="AG1508" s="66"/>
      <c r="AH1508" s="66"/>
      <c r="AI1508" s="66"/>
      <c r="AJ1508" s="66"/>
      <c r="AK1508" s="66"/>
      <c r="AL1508" s="66"/>
      <c r="AM1508" s="66"/>
      <c r="AN1508" s="66"/>
      <c r="AO1508" s="66"/>
      <c r="AP1508" s="66"/>
      <c r="AQ1508" s="66"/>
      <c r="AR1508" s="66"/>
      <c r="AS1508" s="66"/>
      <c r="AT1508" s="66"/>
      <c r="AU1508" s="66"/>
      <c r="AV1508" s="66"/>
      <c r="AW1508" s="66"/>
      <c r="AX1508" s="66"/>
      <c r="AY1508" s="66"/>
      <c r="AZ1508" s="66"/>
      <c r="BA1508" s="66"/>
      <c r="BB1508" s="66"/>
      <c r="BC1508" s="66"/>
      <c r="BD1508" s="66"/>
      <c r="BE1508" s="67"/>
      <c r="BF1508" s="67"/>
      <c r="BG1508" s="68"/>
      <c r="BI1508" s="69">
        <v>0</v>
      </c>
      <c r="BJ1508" s="70">
        <v>0</v>
      </c>
      <c r="BK1508" s="71">
        <v>0</v>
      </c>
      <c r="BL1508" s="71">
        <v>0</v>
      </c>
      <c r="BM1508" s="71">
        <v>0</v>
      </c>
      <c r="BN1508" s="72">
        <v>0</v>
      </c>
      <c r="BO1508" s="151" t="e">
        <f t="shared" si="94"/>
        <v>#DIV/0!</v>
      </c>
      <c r="BP1508" s="151" t="e">
        <f t="shared" si="95"/>
        <v>#DIV/0!</v>
      </c>
      <c r="BQ1508" s="71">
        <v>0</v>
      </c>
      <c r="BR1508" s="71">
        <v>0</v>
      </c>
      <c r="BS1508" s="71">
        <v>0</v>
      </c>
      <c r="BT1508" s="72">
        <v>0</v>
      </c>
      <c r="BU1508" s="151" t="e">
        <f t="shared" si="91"/>
        <v>#DIV/0!</v>
      </c>
      <c r="BV1508" s="151" t="e">
        <f t="shared" si="92"/>
        <v>#DIV/0!</v>
      </c>
    </row>
    <row r="1509" ht="30" customHeight="1" spans="1:74">
      <c r="A1509" s="55" t="s">
        <v>211</v>
      </c>
      <c r="B1509" s="56" t="s">
        <v>2247</v>
      </c>
      <c r="C1509" s="57" t="s">
        <v>2343</v>
      </c>
      <c r="D1509" s="59" t="s">
        <v>2439</v>
      </c>
      <c r="E1509" s="59" t="s">
        <v>2455</v>
      </c>
      <c r="F1509" s="59" t="str">
        <f>VLOOKUP(E1509,[1]库存!$B$1:$C$65536,2,FALSE)</f>
        <v>X1 SAB LH</v>
      </c>
      <c r="G1509" s="59" t="s">
        <v>2456</v>
      </c>
      <c r="H1509" s="59" t="s">
        <v>2457</v>
      </c>
      <c r="I1509" s="59" t="s">
        <v>2458</v>
      </c>
      <c r="J1509" s="97" t="s">
        <v>65</v>
      </c>
      <c r="K1509" s="61"/>
      <c r="L1509" s="62">
        <v>1</v>
      </c>
      <c r="M1509" s="63">
        <v>1400</v>
      </c>
      <c r="N1509" s="64">
        <v>12</v>
      </c>
      <c r="O1509" s="62">
        <v>1</v>
      </c>
      <c r="P1509" s="65">
        <f t="shared" si="93"/>
        <v>0</v>
      </c>
      <c r="Q1509" s="66"/>
      <c r="R1509" s="66"/>
      <c r="S1509" s="66"/>
      <c r="T1509" s="66"/>
      <c r="U1509" s="66"/>
      <c r="V1509" s="66"/>
      <c r="W1509" s="66"/>
      <c r="X1509" s="66"/>
      <c r="Y1509" s="66"/>
      <c r="Z1509" s="66"/>
      <c r="AA1509" s="66"/>
      <c r="AB1509" s="66"/>
      <c r="AC1509" s="66"/>
      <c r="AD1509" s="66"/>
      <c r="AE1509" s="66"/>
      <c r="AF1509" s="66"/>
      <c r="AG1509" s="66"/>
      <c r="AH1509" s="66"/>
      <c r="AI1509" s="66"/>
      <c r="AJ1509" s="66"/>
      <c r="AK1509" s="66"/>
      <c r="AL1509" s="66"/>
      <c r="AM1509" s="66"/>
      <c r="AN1509" s="66"/>
      <c r="AO1509" s="66"/>
      <c r="AP1509" s="66"/>
      <c r="AQ1509" s="66"/>
      <c r="AR1509" s="66"/>
      <c r="AS1509" s="66"/>
      <c r="AT1509" s="66"/>
      <c r="AU1509" s="66"/>
      <c r="AV1509" s="66"/>
      <c r="AW1509" s="66"/>
      <c r="AX1509" s="66"/>
      <c r="AY1509" s="66"/>
      <c r="AZ1509" s="66"/>
      <c r="BA1509" s="66"/>
      <c r="BB1509" s="66"/>
      <c r="BC1509" s="66"/>
      <c r="BD1509" s="66"/>
      <c r="BE1509" s="67"/>
      <c r="BF1509" s="67"/>
      <c r="BG1509" s="68"/>
      <c r="BI1509" s="69">
        <v>0</v>
      </c>
      <c r="BJ1509" s="70">
        <v>0</v>
      </c>
      <c r="BK1509" s="71">
        <v>0</v>
      </c>
      <c r="BL1509" s="71">
        <v>0</v>
      </c>
      <c r="BM1509" s="71">
        <v>0</v>
      </c>
      <c r="BN1509" s="72">
        <v>0</v>
      </c>
      <c r="BO1509" s="151" t="e">
        <f t="shared" si="94"/>
        <v>#DIV/0!</v>
      </c>
      <c r="BP1509" s="151" t="e">
        <f t="shared" si="95"/>
        <v>#DIV/0!</v>
      </c>
      <c r="BQ1509" s="71">
        <v>0</v>
      </c>
      <c r="BR1509" s="71">
        <v>0</v>
      </c>
      <c r="BS1509" s="71">
        <v>0</v>
      </c>
      <c r="BT1509" s="72">
        <v>0</v>
      </c>
      <c r="BU1509" s="151" t="e">
        <f t="shared" si="91"/>
        <v>#DIV/0!</v>
      </c>
      <c r="BV1509" s="151" t="e">
        <f t="shared" si="92"/>
        <v>#DIV/0!</v>
      </c>
    </row>
    <row r="1510" ht="30" customHeight="1" spans="1:74">
      <c r="A1510" s="55">
        <v>0</v>
      </c>
      <c r="B1510" s="56">
        <v>0</v>
      </c>
      <c r="C1510" s="57">
        <v>0</v>
      </c>
      <c r="D1510" s="74"/>
      <c r="E1510" s="74"/>
      <c r="F1510" s="59" t="e">
        <f>VLOOKUP(E1510,[1]库存!$B$1:$C$65536,2,FALSE)</f>
        <v>#N/A</v>
      </c>
      <c r="G1510" s="59" t="e">
        <v>#N/A</v>
      </c>
      <c r="H1510" s="74"/>
      <c r="I1510" s="74"/>
      <c r="J1510" s="98"/>
      <c r="K1510" s="61"/>
      <c r="L1510" s="62">
        <v>0</v>
      </c>
      <c r="M1510" s="63">
        <v>0</v>
      </c>
      <c r="N1510" s="64">
        <v>0</v>
      </c>
      <c r="O1510" s="62">
        <v>0</v>
      </c>
      <c r="P1510" s="65">
        <f t="shared" si="93"/>
        <v>0</v>
      </c>
      <c r="Q1510" s="66"/>
      <c r="R1510" s="66"/>
      <c r="S1510" s="66"/>
      <c r="T1510" s="66"/>
      <c r="U1510" s="66"/>
      <c r="V1510" s="66"/>
      <c r="W1510" s="66"/>
      <c r="X1510" s="66"/>
      <c r="Y1510" s="66"/>
      <c r="Z1510" s="66"/>
      <c r="AA1510" s="66"/>
      <c r="AB1510" s="66"/>
      <c r="AC1510" s="66"/>
      <c r="AD1510" s="66"/>
      <c r="AE1510" s="66"/>
      <c r="AF1510" s="66"/>
      <c r="AG1510" s="66"/>
      <c r="AH1510" s="66"/>
      <c r="AI1510" s="66"/>
      <c r="AJ1510" s="66"/>
      <c r="AK1510" s="66"/>
      <c r="AL1510" s="66"/>
      <c r="AM1510" s="66"/>
      <c r="AN1510" s="66"/>
      <c r="AO1510" s="66"/>
      <c r="AP1510" s="66"/>
      <c r="AQ1510" s="66"/>
      <c r="AR1510" s="66"/>
      <c r="AS1510" s="66"/>
      <c r="AT1510" s="66"/>
      <c r="AU1510" s="66"/>
      <c r="AV1510" s="66"/>
      <c r="AW1510" s="66"/>
      <c r="AX1510" s="66"/>
      <c r="AY1510" s="66"/>
      <c r="AZ1510" s="66"/>
      <c r="BA1510" s="66"/>
      <c r="BB1510" s="66"/>
      <c r="BC1510" s="66"/>
      <c r="BD1510" s="66"/>
      <c r="BE1510" s="67"/>
      <c r="BF1510" s="67"/>
      <c r="BG1510" s="68"/>
      <c r="BI1510" s="69">
        <v>0</v>
      </c>
      <c r="BJ1510" s="70">
        <v>0</v>
      </c>
      <c r="BK1510" s="71">
        <v>0</v>
      </c>
      <c r="BL1510" s="71">
        <v>0</v>
      </c>
      <c r="BM1510" s="71">
        <v>0</v>
      </c>
      <c r="BN1510" s="72">
        <v>0</v>
      </c>
      <c r="BO1510" s="151" t="e">
        <f t="shared" si="94"/>
        <v>#DIV/0!</v>
      </c>
      <c r="BP1510" s="151" t="e">
        <f t="shared" si="95"/>
        <v>#DIV/0!</v>
      </c>
      <c r="BQ1510" s="71">
        <v>0</v>
      </c>
      <c r="BR1510" s="71">
        <v>0</v>
      </c>
      <c r="BS1510" s="71">
        <v>0</v>
      </c>
      <c r="BT1510" s="72">
        <v>0</v>
      </c>
      <c r="BU1510" s="151" t="e">
        <f t="shared" si="91"/>
        <v>#DIV/0!</v>
      </c>
      <c r="BV1510" s="151" t="e">
        <f t="shared" si="92"/>
        <v>#DIV/0!</v>
      </c>
    </row>
    <row r="1511" ht="30" customHeight="1" spans="1:74">
      <c r="A1511" s="55" t="s">
        <v>211</v>
      </c>
      <c r="B1511" s="56" t="s">
        <v>2247</v>
      </c>
      <c r="C1511" s="57" t="s">
        <v>2343</v>
      </c>
      <c r="D1511" s="59" t="s">
        <v>2439</v>
      </c>
      <c r="E1511" s="59" t="s">
        <v>2459</v>
      </c>
      <c r="F1511" s="59" t="str">
        <f>VLOOKUP(E1511,[1]库存!$B$1:$C$65536,2,FALSE)</f>
        <v>X1 SAB RH</v>
      </c>
      <c r="G1511" s="59" t="s">
        <v>2460</v>
      </c>
      <c r="H1511" s="59" t="s">
        <v>2461</v>
      </c>
      <c r="I1511" s="59" t="s">
        <v>2458</v>
      </c>
      <c r="J1511" s="97" t="s">
        <v>65</v>
      </c>
      <c r="K1511" s="61"/>
      <c r="L1511" s="62">
        <v>1</v>
      </c>
      <c r="M1511" s="63">
        <v>1400</v>
      </c>
      <c r="N1511" s="64">
        <v>12</v>
      </c>
      <c r="O1511" s="62">
        <v>1</v>
      </c>
      <c r="P1511" s="65">
        <f t="shared" si="93"/>
        <v>0</v>
      </c>
      <c r="Q1511" s="66"/>
      <c r="R1511" s="66"/>
      <c r="S1511" s="66"/>
      <c r="T1511" s="66"/>
      <c r="U1511" s="66"/>
      <c r="V1511" s="66"/>
      <c r="W1511" s="66"/>
      <c r="X1511" s="66"/>
      <c r="Y1511" s="66"/>
      <c r="Z1511" s="66"/>
      <c r="AA1511" s="66"/>
      <c r="AB1511" s="66"/>
      <c r="AC1511" s="66"/>
      <c r="AD1511" s="66"/>
      <c r="AE1511" s="66"/>
      <c r="AF1511" s="66"/>
      <c r="AG1511" s="66"/>
      <c r="AH1511" s="66"/>
      <c r="AI1511" s="66"/>
      <c r="AJ1511" s="66"/>
      <c r="AK1511" s="66"/>
      <c r="AL1511" s="66"/>
      <c r="AM1511" s="66"/>
      <c r="AN1511" s="66"/>
      <c r="AO1511" s="66"/>
      <c r="AP1511" s="66"/>
      <c r="AQ1511" s="66"/>
      <c r="AR1511" s="66"/>
      <c r="AS1511" s="66"/>
      <c r="AT1511" s="66"/>
      <c r="AU1511" s="66"/>
      <c r="AV1511" s="66"/>
      <c r="AW1511" s="66"/>
      <c r="AX1511" s="66"/>
      <c r="AY1511" s="66"/>
      <c r="AZ1511" s="66"/>
      <c r="BA1511" s="66"/>
      <c r="BB1511" s="66"/>
      <c r="BC1511" s="66"/>
      <c r="BD1511" s="66"/>
      <c r="BE1511" s="67"/>
      <c r="BF1511" s="67"/>
      <c r="BG1511" s="68"/>
      <c r="BI1511" s="69">
        <v>0</v>
      </c>
      <c r="BJ1511" s="70">
        <v>0</v>
      </c>
      <c r="BK1511" s="71">
        <v>0</v>
      </c>
      <c r="BL1511" s="71">
        <v>0</v>
      </c>
      <c r="BM1511" s="71">
        <v>0</v>
      </c>
      <c r="BN1511" s="72">
        <v>0</v>
      </c>
      <c r="BO1511" s="151" t="e">
        <f t="shared" si="94"/>
        <v>#DIV/0!</v>
      </c>
      <c r="BP1511" s="151" t="e">
        <f t="shared" si="95"/>
        <v>#DIV/0!</v>
      </c>
      <c r="BQ1511" s="71">
        <v>0</v>
      </c>
      <c r="BR1511" s="71">
        <v>0</v>
      </c>
      <c r="BS1511" s="71">
        <v>0</v>
      </c>
      <c r="BT1511" s="72">
        <v>0</v>
      </c>
      <c r="BU1511" s="151" t="e">
        <f t="shared" si="91"/>
        <v>#DIV/0!</v>
      </c>
      <c r="BV1511" s="151" t="e">
        <f t="shared" si="92"/>
        <v>#DIV/0!</v>
      </c>
    </row>
    <row r="1512" ht="30" customHeight="1" spans="1:74">
      <c r="A1512" s="55">
        <v>0</v>
      </c>
      <c r="B1512" s="56">
        <v>0</v>
      </c>
      <c r="C1512" s="57">
        <v>0</v>
      </c>
      <c r="D1512" s="74"/>
      <c r="E1512" s="74"/>
      <c r="F1512" s="59" t="e">
        <f>VLOOKUP(E1512,[1]库存!$B$1:$C$65536,2,FALSE)</f>
        <v>#N/A</v>
      </c>
      <c r="G1512" s="59" t="e">
        <v>#N/A</v>
      </c>
      <c r="H1512" s="74"/>
      <c r="I1512" s="74"/>
      <c r="J1512" s="98"/>
      <c r="K1512" s="61"/>
      <c r="L1512" s="62">
        <v>0</v>
      </c>
      <c r="M1512" s="63">
        <v>0</v>
      </c>
      <c r="N1512" s="64">
        <v>0</v>
      </c>
      <c r="O1512" s="62">
        <v>0</v>
      </c>
      <c r="P1512" s="65">
        <f t="shared" si="93"/>
        <v>0</v>
      </c>
      <c r="Q1512" s="66"/>
      <c r="R1512" s="66"/>
      <c r="S1512" s="66"/>
      <c r="T1512" s="66"/>
      <c r="U1512" s="66"/>
      <c r="V1512" s="66"/>
      <c r="W1512" s="66"/>
      <c r="X1512" s="66"/>
      <c r="Y1512" s="66"/>
      <c r="Z1512" s="66"/>
      <c r="AA1512" s="66"/>
      <c r="AB1512" s="66"/>
      <c r="AC1512" s="66"/>
      <c r="AD1512" s="66"/>
      <c r="AE1512" s="66"/>
      <c r="AF1512" s="66"/>
      <c r="AG1512" s="66"/>
      <c r="AH1512" s="66"/>
      <c r="AI1512" s="66"/>
      <c r="AJ1512" s="66"/>
      <c r="AK1512" s="66"/>
      <c r="AL1512" s="66"/>
      <c r="AM1512" s="66"/>
      <c r="AN1512" s="66"/>
      <c r="AO1512" s="66"/>
      <c r="AP1512" s="66"/>
      <c r="AQ1512" s="66"/>
      <c r="AR1512" s="66"/>
      <c r="AS1512" s="66"/>
      <c r="AT1512" s="66"/>
      <c r="AU1512" s="66"/>
      <c r="AV1512" s="66"/>
      <c r="AW1512" s="66"/>
      <c r="AX1512" s="66"/>
      <c r="AY1512" s="66"/>
      <c r="AZ1512" s="66"/>
      <c r="BA1512" s="66"/>
      <c r="BB1512" s="66"/>
      <c r="BC1512" s="66"/>
      <c r="BD1512" s="66"/>
      <c r="BE1512" s="67"/>
      <c r="BF1512" s="67"/>
      <c r="BG1512" s="68"/>
      <c r="BI1512" s="69">
        <v>0</v>
      </c>
      <c r="BJ1512" s="70">
        <v>0</v>
      </c>
      <c r="BK1512" s="71">
        <v>0</v>
      </c>
      <c r="BL1512" s="71">
        <v>0</v>
      </c>
      <c r="BM1512" s="71">
        <v>0</v>
      </c>
      <c r="BN1512" s="72">
        <v>0</v>
      </c>
      <c r="BO1512" s="151" t="e">
        <f t="shared" si="94"/>
        <v>#DIV/0!</v>
      </c>
      <c r="BP1512" s="151" t="e">
        <f t="shared" si="95"/>
        <v>#DIV/0!</v>
      </c>
      <c r="BQ1512" s="71">
        <v>0</v>
      </c>
      <c r="BR1512" s="71">
        <v>0</v>
      </c>
      <c r="BS1512" s="71">
        <v>0</v>
      </c>
      <c r="BT1512" s="72">
        <v>0</v>
      </c>
      <c r="BU1512" s="151" t="e">
        <f t="shared" si="91"/>
        <v>#DIV/0!</v>
      </c>
      <c r="BV1512" s="151" t="e">
        <f t="shared" si="92"/>
        <v>#DIV/0!</v>
      </c>
    </row>
    <row r="1513" ht="30" customHeight="1" spans="1:74">
      <c r="A1513" s="55">
        <v>0</v>
      </c>
      <c r="B1513" s="56" t="s">
        <v>2247</v>
      </c>
      <c r="C1513" s="57" t="s">
        <v>2343</v>
      </c>
      <c r="D1513" s="59" t="s">
        <v>2439</v>
      </c>
      <c r="E1513" s="59"/>
      <c r="F1513" s="59" t="e">
        <f>VLOOKUP(E1513,[1]库存!$B$1:$C$65536,2,FALSE)</f>
        <v>#N/A</v>
      </c>
      <c r="G1513" s="59" t="e">
        <v>#N/A</v>
      </c>
      <c r="H1513" s="59" t="s">
        <v>2462</v>
      </c>
      <c r="I1513" s="59" t="s">
        <v>2463</v>
      </c>
      <c r="J1513" s="63"/>
      <c r="K1513" s="61"/>
      <c r="L1513" s="62">
        <v>1</v>
      </c>
      <c r="M1513" s="63">
        <v>1400</v>
      </c>
      <c r="N1513" s="64">
        <v>12</v>
      </c>
      <c r="O1513" s="62">
        <v>1</v>
      </c>
      <c r="P1513" s="65">
        <f t="shared" si="93"/>
        <v>0</v>
      </c>
      <c r="Q1513" s="66"/>
      <c r="R1513" s="66"/>
      <c r="S1513" s="66"/>
      <c r="T1513" s="66"/>
      <c r="U1513" s="66"/>
      <c r="V1513" s="66"/>
      <c r="W1513" s="66"/>
      <c r="X1513" s="66"/>
      <c r="Y1513" s="66"/>
      <c r="Z1513" s="66"/>
      <c r="AA1513" s="66"/>
      <c r="AB1513" s="66"/>
      <c r="AC1513" s="66"/>
      <c r="AD1513" s="66"/>
      <c r="AE1513" s="66"/>
      <c r="AF1513" s="66"/>
      <c r="AG1513" s="66"/>
      <c r="AH1513" s="66"/>
      <c r="AI1513" s="66"/>
      <c r="AJ1513" s="66"/>
      <c r="AK1513" s="66"/>
      <c r="AL1513" s="66"/>
      <c r="AM1513" s="66"/>
      <c r="AN1513" s="66"/>
      <c r="AO1513" s="66"/>
      <c r="AP1513" s="66"/>
      <c r="AQ1513" s="66"/>
      <c r="AR1513" s="66"/>
      <c r="AS1513" s="66"/>
      <c r="AT1513" s="66"/>
      <c r="AU1513" s="66"/>
      <c r="AV1513" s="66"/>
      <c r="AW1513" s="66"/>
      <c r="AX1513" s="66"/>
      <c r="AY1513" s="66"/>
      <c r="AZ1513" s="66"/>
      <c r="BA1513" s="66"/>
      <c r="BB1513" s="66"/>
      <c r="BC1513" s="66"/>
      <c r="BD1513" s="66"/>
      <c r="BE1513" s="67"/>
      <c r="BF1513" s="67"/>
      <c r="BG1513" s="68"/>
      <c r="BI1513" s="69">
        <v>0</v>
      </c>
      <c r="BJ1513" s="70">
        <v>0</v>
      </c>
      <c r="BK1513" s="71">
        <v>0</v>
      </c>
      <c r="BL1513" s="71">
        <v>0</v>
      </c>
      <c r="BM1513" s="71">
        <v>0</v>
      </c>
      <c r="BN1513" s="72">
        <v>0</v>
      </c>
      <c r="BO1513" s="151" t="e">
        <f t="shared" si="94"/>
        <v>#DIV/0!</v>
      </c>
      <c r="BP1513" s="151" t="e">
        <f t="shared" si="95"/>
        <v>#DIV/0!</v>
      </c>
      <c r="BQ1513" s="71">
        <v>0</v>
      </c>
      <c r="BR1513" s="71">
        <v>0</v>
      </c>
      <c r="BS1513" s="71">
        <v>0</v>
      </c>
      <c r="BT1513" s="72">
        <v>0</v>
      </c>
      <c r="BU1513" s="151" t="e">
        <f t="shared" si="91"/>
        <v>#DIV/0!</v>
      </c>
      <c r="BV1513" s="151" t="e">
        <f t="shared" si="92"/>
        <v>#DIV/0!</v>
      </c>
    </row>
    <row r="1514" ht="30" customHeight="1" spans="1:74">
      <c r="A1514" s="55">
        <v>0</v>
      </c>
      <c r="B1514" s="56">
        <v>0</v>
      </c>
      <c r="C1514" s="57">
        <v>0</v>
      </c>
      <c r="D1514" s="74"/>
      <c r="E1514" s="74"/>
      <c r="F1514" s="59" t="e">
        <f>VLOOKUP(E1514,[1]库存!$B$1:$C$65536,2,FALSE)</f>
        <v>#N/A</v>
      </c>
      <c r="G1514" s="59" t="e">
        <v>#N/A</v>
      </c>
      <c r="H1514" s="74"/>
      <c r="I1514" s="74"/>
      <c r="J1514" s="87"/>
      <c r="K1514" s="61"/>
      <c r="L1514" s="62">
        <v>0</v>
      </c>
      <c r="M1514" s="63">
        <v>0</v>
      </c>
      <c r="N1514" s="64">
        <v>0</v>
      </c>
      <c r="O1514" s="62">
        <v>0</v>
      </c>
      <c r="P1514" s="65">
        <f t="shared" si="93"/>
        <v>0</v>
      </c>
      <c r="Q1514" s="66"/>
      <c r="R1514" s="66"/>
      <c r="S1514" s="66"/>
      <c r="T1514" s="66"/>
      <c r="U1514" s="66"/>
      <c r="V1514" s="66"/>
      <c r="W1514" s="66"/>
      <c r="X1514" s="66"/>
      <c r="Y1514" s="66"/>
      <c r="Z1514" s="66"/>
      <c r="AA1514" s="66"/>
      <c r="AB1514" s="66"/>
      <c r="AC1514" s="66"/>
      <c r="AD1514" s="66"/>
      <c r="AE1514" s="66"/>
      <c r="AF1514" s="66"/>
      <c r="AG1514" s="66"/>
      <c r="AH1514" s="66"/>
      <c r="AI1514" s="66"/>
      <c r="AJ1514" s="66"/>
      <c r="AK1514" s="66"/>
      <c r="AL1514" s="66"/>
      <c r="AM1514" s="66"/>
      <c r="AN1514" s="66"/>
      <c r="AO1514" s="66"/>
      <c r="AP1514" s="66"/>
      <c r="AQ1514" s="66"/>
      <c r="AR1514" s="66"/>
      <c r="AS1514" s="66"/>
      <c r="AT1514" s="66"/>
      <c r="AU1514" s="66"/>
      <c r="AV1514" s="66"/>
      <c r="AW1514" s="66"/>
      <c r="AX1514" s="66"/>
      <c r="AY1514" s="66"/>
      <c r="AZ1514" s="66"/>
      <c r="BA1514" s="66"/>
      <c r="BB1514" s="66"/>
      <c r="BC1514" s="66"/>
      <c r="BD1514" s="66"/>
      <c r="BE1514" s="67"/>
      <c r="BF1514" s="67"/>
      <c r="BG1514" s="68"/>
      <c r="BI1514" s="69">
        <v>0</v>
      </c>
      <c r="BJ1514" s="70">
        <v>0</v>
      </c>
      <c r="BK1514" s="71">
        <v>0</v>
      </c>
      <c r="BL1514" s="71">
        <v>0</v>
      </c>
      <c r="BM1514" s="71">
        <v>0</v>
      </c>
      <c r="BN1514" s="72">
        <v>0</v>
      </c>
      <c r="BO1514" s="151" t="e">
        <f t="shared" si="94"/>
        <v>#DIV/0!</v>
      </c>
      <c r="BP1514" s="151" t="e">
        <f t="shared" si="95"/>
        <v>#DIV/0!</v>
      </c>
      <c r="BQ1514" s="71">
        <v>0</v>
      </c>
      <c r="BR1514" s="71">
        <v>0</v>
      </c>
      <c r="BS1514" s="71">
        <v>0</v>
      </c>
      <c r="BT1514" s="72">
        <v>0</v>
      </c>
      <c r="BU1514" s="151" t="e">
        <f t="shared" si="91"/>
        <v>#DIV/0!</v>
      </c>
      <c r="BV1514" s="151" t="e">
        <f t="shared" si="92"/>
        <v>#DIV/0!</v>
      </c>
    </row>
    <row r="1515" ht="30" customHeight="1" spans="1:74">
      <c r="A1515" s="55">
        <v>0</v>
      </c>
      <c r="B1515" s="56" t="s">
        <v>2247</v>
      </c>
      <c r="C1515" s="57" t="s">
        <v>2343</v>
      </c>
      <c r="D1515" s="59" t="s">
        <v>2439</v>
      </c>
      <c r="E1515" s="59"/>
      <c r="F1515" s="59" t="e">
        <f>VLOOKUP(E1515,[1]库存!$B$1:$C$65536,2,FALSE)</f>
        <v>#N/A</v>
      </c>
      <c r="G1515" s="59" t="e">
        <v>#N/A</v>
      </c>
      <c r="H1515" s="59" t="s">
        <v>2464</v>
      </c>
      <c r="I1515" s="59" t="s">
        <v>2465</v>
      </c>
      <c r="J1515" s="63"/>
      <c r="K1515" s="61"/>
      <c r="L1515" s="62">
        <v>1</v>
      </c>
      <c r="M1515" s="63">
        <v>1400</v>
      </c>
      <c r="N1515" s="64">
        <v>12</v>
      </c>
      <c r="O1515" s="62">
        <v>1</v>
      </c>
      <c r="P1515" s="65">
        <f t="shared" si="93"/>
        <v>0</v>
      </c>
      <c r="Q1515" s="66"/>
      <c r="R1515" s="66"/>
      <c r="S1515" s="66"/>
      <c r="T1515" s="66"/>
      <c r="U1515" s="66"/>
      <c r="V1515" s="66"/>
      <c r="W1515" s="66"/>
      <c r="X1515" s="66"/>
      <c r="Y1515" s="66"/>
      <c r="Z1515" s="66"/>
      <c r="AA1515" s="66"/>
      <c r="AB1515" s="66"/>
      <c r="AC1515" s="66"/>
      <c r="AD1515" s="66"/>
      <c r="AE1515" s="66"/>
      <c r="AF1515" s="66"/>
      <c r="AG1515" s="66"/>
      <c r="AH1515" s="66"/>
      <c r="AI1515" s="66"/>
      <c r="AJ1515" s="66"/>
      <c r="AK1515" s="66"/>
      <c r="AL1515" s="66"/>
      <c r="AM1515" s="66"/>
      <c r="AN1515" s="66"/>
      <c r="AO1515" s="66"/>
      <c r="AP1515" s="66"/>
      <c r="AQ1515" s="66"/>
      <c r="AR1515" s="66"/>
      <c r="AS1515" s="66"/>
      <c r="AT1515" s="66"/>
      <c r="AU1515" s="66"/>
      <c r="AV1515" s="66"/>
      <c r="AW1515" s="66"/>
      <c r="AX1515" s="66"/>
      <c r="AY1515" s="66"/>
      <c r="AZ1515" s="66"/>
      <c r="BA1515" s="66"/>
      <c r="BB1515" s="66"/>
      <c r="BC1515" s="66"/>
      <c r="BD1515" s="66"/>
      <c r="BE1515" s="67"/>
      <c r="BF1515" s="67"/>
      <c r="BG1515" s="68"/>
      <c r="BI1515" s="69">
        <v>0</v>
      </c>
      <c r="BJ1515" s="70">
        <v>0</v>
      </c>
      <c r="BK1515" s="71">
        <v>0</v>
      </c>
      <c r="BL1515" s="71">
        <v>0</v>
      </c>
      <c r="BM1515" s="71">
        <v>0</v>
      </c>
      <c r="BN1515" s="72">
        <v>0</v>
      </c>
      <c r="BO1515" s="151" t="e">
        <f t="shared" si="94"/>
        <v>#DIV/0!</v>
      </c>
      <c r="BP1515" s="151" t="e">
        <f t="shared" si="95"/>
        <v>#DIV/0!</v>
      </c>
      <c r="BQ1515" s="71">
        <v>0</v>
      </c>
      <c r="BR1515" s="71">
        <v>0</v>
      </c>
      <c r="BS1515" s="71">
        <v>0</v>
      </c>
      <c r="BT1515" s="72">
        <v>0</v>
      </c>
      <c r="BU1515" s="151" t="e">
        <f t="shared" si="91"/>
        <v>#DIV/0!</v>
      </c>
      <c r="BV1515" s="151" t="e">
        <f t="shared" si="92"/>
        <v>#DIV/0!</v>
      </c>
    </row>
    <row r="1516" ht="30" customHeight="1" spans="1:74">
      <c r="A1516" s="55">
        <v>0</v>
      </c>
      <c r="B1516" s="56">
        <v>0</v>
      </c>
      <c r="C1516" s="57">
        <v>0</v>
      </c>
      <c r="D1516" s="74"/>
      <c r="E1516" s="74"/>
      <c r="F1516" s="59" t="e">
        <f>VLOOKUP(E1516,[1]库存!$B$1:$C$65536,2,FALSE)</f>
        <v>#N/A</v>
      </c>
      <c r="G1516" s="59" t="e">
        <v>#N/A</v>
      </c>
      <c r="H1516" s="74"/>
      <c r="I1516" s="74"/>
      <c r="J1516" s="87"/>
      <c r="K1516" s="61"/>
      <c r="L1516" s="62">
        <v>0</v>
      </c>
      <c r="M1516" s="63">
        <v>0</v>
      </c>
      <c r="N1516" s="64">
        <v>0</v>
      </c>
      <c r="O1516" s="62">
        <v>0</v>
      </c>
      <c r="P1516" s="65">
        <f t="shared" si="93"/>
        <v>0</v>
      </c>
      <c r="Q1516" s="66"/>
      <c r="R1516" s="66"/>
      <c r="S1516" s="66"/>
      <c r="T1516" s="66"/>
      <c r="U1516" s="66"/>
      <c r="V1516" s="66"/>
      <c r="W1516" s="66"/>
      <c r="X1516" s="66"/>
      <c r="Y1516" s="66"/>
      <c r="Z1516" s="66"/>
      <c r="AA1516" s="66"/>
      <c r="AB1516" s="66"/>
      <c r="AC1516" s="66"/>
      <c r="AD1516" s="66"/>
      <c r="AE1516" s="66"/>
      <c r="AF1516" s="66"/>
      <c r="AG1516" s="66"/>
      <c r="AH1516" s="66"/>
      <c r="AI1516" s="66"/>
      <c r="AJ1516" s="66"/>
      <c r="AK1516" s="66"/>
      <c r="AL1516" s="66"/>
      <c r="AM1516" s="66"/>
      <c r="AN1516" s="66"/>
      <c r="AO1516" s="66"/>
      <c r="AP1516" s="66"/>
      <c r="AQ1516" s="66"/>
      <c r="AR1516" s="66"/>
      <c r="AS1516" s="66"/>
      <c r="AT1516" s="66"/>
      <c r="AU1516" s="66"/>
      <c r="AV1516" s="66"/>
      <c r="AW1516" s="66"/>
      <c r="AX1516" s="66"/>
      <c r="AY1516" s="66"/>
      <c r="AZ1516" s="66"/>
      <c r="BA1516" s="66"/>
      <c r="BB1516" s="66"/>
      <c r="BC1516" s="66"/>
      <c r="BD1516" s="66"/>
      <c r="BE1516" s="67"/>
      <c r="BF1516" s="67"/>
      <c r="BG1516" s="68"/>
      <c r="BI1516" s="69">
        <v>0</v>
      </c>
      <c r="BJ1516" s="70">
        <v>0</v>
      </c>
      <c r="BK1516" s="71">
        <v>0</v>
      </c>
      <c r="BL1516" s="71">
        <v>0</v>
      </c>
      <c r="BM1516" s="71">
        <v>0</v>
      </c>
      <c r="BN1516" s="72">
        <v>0</v>
      </c>
      <c r="BO1516" s="151" t="e">
        <f t="shared" si="94"/>
        <v>#DIV/0!</v>
      </c>
      <c r="BP1516" s="151" t="e">
        <f t="shared" si="95"/>
        <v>#DIV/0!</v>
      </c>
      <c r="BQ1516" s="71">
        <v>0</v>
      </c>
      <c r="BR1516" s="71">
        <v>0</v>
      </c>
      <c r="BS1516" s="71">
        <v>0</v>
      </c>
      <c r="BT1516" s="72">
        <v>0</v>
      </c>
      <c r="BU1516" s="151" t="e">
        <f t="shared" si="91"/>
        <v>#DIV/0!</v>
      </c>
      <c r="BV1516" s="151" t="e">
        <f t="shared" si="92"/>
        <v>#DIV/0!</v>
      </c>
    </row>
    <row r="1517" ht="30" customHeight="1" spans="1:74">
      <c r="A1517" s="55">
        <v>0</v>
      </c>
      <c r="B1517" s="56" t="s">
        <v>2247</v>
      </c>
      <c r="C1517" s="57" t="s">
        <v>2343</v>
      </c>
      <c r="D1517" s="59" t="s">
        <v>2439</v>
      </c>
      <c r="E1517" s="59" t="s">
        <v>2466</v>
      </c>
      <c r="F1517" s="59" t="e">
        <f>VLOOKUP(E1517,[1]库存!$B$1:$C$65536,2,FALSE)</f>
        <v>#N/A</v>
      </c>
      <c r="G1517" s="59" t="e">
        <v>#N/A</v>
      </c>
      <c r="H1517" s="59" t="s">
        <v>2467</v>
      </c>
      <c r="I1517" s="59" t="s">
        <v>2448</v>
      </c>
      <c r="J1517" s="60" t="s">
        <v>658</v>
      </c>
      <c r="K1517" s="61"/>
      <c r="L1517" s="62">
        <v>1</v>
      </c>
      <c r="M1517" s="63">
        <v>1400</v>
      </c>
      <c r="N1517" s="64">
        <v>7</v>
      </c>
      <c r="O1517" s="62">
        <v>2</v>
      </c>
      <c r="P1517" s="65">
        <f t="shared" si="93"/>
        <v>0</v>
      </c>
      <c r="Q1517" s="66"/>
      <c r="R1517" s="66"/>
      <c r="S1517" s="66"/>
      <c r="T1517" s="66"/>
      <c r="U1517" s="66"/>
      <c r="V1517" s="66"/>
      <c r="W1517" s="66"/>
      <c r="X1517" s="66"/>
      <c r="Y1517" s="66"/>
      <c r="Z1517" s="66"/>
      <c r="AA1517" s="66"/>
      <c r="AB1517" s="66"/>
      <c r="AC1517" s="66"/>
      <c r="AD1517" s="66"/>
      <c r="AE1517" s="66"/>
      <c r="AF1517" s="66"/>
      <c r="AG1517" s="66"/>
      <c r="AH1517" s="66"/>
      <c r="AI1517" s="66"/>
      <c r="AJ1517" s="66"/>
      <c r="AK1517" s="66"/>
      <c r="AL1517" s="66"/>
      <c r="AM1517" s="66"/>
      <c r="AN1517" s="66"/>
      <c r="AO1517" s="66"/>
      <c r="AP1517" s="66"/>
      <c r="AQ1517" s="66"/>
      <c r="AR1517" s="66"/>
      <c r="AS1517" s="66"/>
      <c r="AT1517" s="66"/>
      <c r="AU1517" s="66"/>
      <c r="AV1517" s="66"/>
      <c r="AW1517" s="66"/>
      <c r="AX1517" s="66"/>
      <c r="AY1517" s="66"/>
      <c r="AZ1517" s="66"/>
      <c r="BA1517" s="66"/>
      <c r="BB1517" s="66"/>
      <c r="BC1517" s="66"/>
      <c r="BD1517" s="66"/>
      <c r="BE1517" s="67"/>
      <c r="BF1517" s="67"/>
      <c r="BG1517" s="68"/>
      <c r="BI1517" s="69">
        <v>0</v>
      </c>
      <c r="BJ1517" s="70">
        <v>0</v>
      </c>
      <c r="BK1517" s="71">
        <v>0</v>
      </c>
      <c r="BL1517" s="71">
        <v>0</v>
      </c>
      <c r="BM1517" s="71">
        <v>0</v>
      </c>
      <c r="BN1517" s="72">
        <v>0</v>
      </c>
      <c r="BO1517" s="151" t="e">
        <f t="shared" si="94"/>
        <v>#DIV/0!</v>
      </c>
      <c r="BP1517" s="151" t="e">
        <f t="shared" si="95"/>
        <v>#DIV/0!</v>
      </c>
      <c r="BQ1517" s="71">
        <v>0</v>
      </c>
      <c r="BR1517" s="71">
        <v>0</v>
      </c>
      <c r="BS1517" s="71">
        <v>0</v>
      </c>
      <c r="BT1517" s="72">
        <v>0</v>
      </c>
      <c r="BU1517" s="151" t="e">
        <f t="shared" si="91"/>
        <v>#DIV/0!</v>
      </c>
      <c r="BV1517" s="151" t="e">
        <f t="shared" si="92"/>
        <v>#DIV/0!</v>
      </c>
    </row>
    <row r="1518" ht="30" customHeight="1" spans="1:74">
      <c r="A1518" s="55">
        <v>0</v>
      </c>
      <c r="B1518" s="56">
        <v>0</v>
      </c>
      <c r="C1518" s="57">
        <v>0</v>
      </c>
      <c r="D1518" s="74"/>
      <c r="E1518" s="74"/>
      <c r="F1518" s="59" t="e">
        <f>VLOOKUP(E1518,[1]库存!$B$1:$C$65536,2,FALSE)</f>
        <v>#N/A</v>
      </c>
      <c r="G1518" s="59" t="e">
        <v>#N/A</v>
      </c>
      <c r="H1518" s="74"/>
      <c r="I1518" s="74"/>
      <c r="J1518" s="75"/>
      <c r="K1518" s="61"/>
      <c r="L1518" s="62">
        <v>0</v>
      </c>
      <c r="M1518" s="63">
        <v>0</v>
      </c>
      <c r="N1518" s="64">
        <v>0</v>
      </c>
      <c r="O1518" s="62">
        <v>0</v>
      </c>
      <c r="P1518" s="65">
        <f t="shared" si="93"/>
        <v>0</v>
      </c>
      <c r="Q1518" s="66"/>
      <c r="R1518" s="66"/>
      <c r="S1518" s="66"/>
      <c r="T1518" s="66"/>
      <c r="U1518" s="66"/>
      <c r="V1518" s="66"/>
      <c r="W1518" s="66"/>
      <c r="X1518" s="66"/>
      <c r="Y1518" s="66"/>
      <c r="Z1518" s="66"/>
      <c r="AA1518" s="66"/>
      <c r="AB1518" s="66"/>
      <c r="AC1518" s="66"/>
      <c r="AD1518" s="66"/>
      <c r="AE1518" s="66"/>
      <c r="AF1518" s="66"/>
      <c r="AG1518" s="66"/>
      <c r="AH1518" s="66"/>
      <c r="AI1518" s="66"/>
      <c r="AJ1518" s="66"/>
      <c r="AK1518" s="66"/>
      <c r="AL1518" s="66"/>
      <c r="AM1518" s="66"/>
      <c r="AN1518" s="66"/>
      <c r="AO1518" s="66"/>
      <c r="AP1518" s="66"/>
      <c r="AQ1518" s="66"/>
      <c r="AR1518" s="66"/>
      <c r="AS1518" s="66"/>
      <c r="AT1518" s="66"/>
      <c r="AU1518" s="66"/>
      <c r="AV1518" s="66"/>
      <c r="AW1518" s="66"/>
      <c r="AX1518" s="66"/>
      <c r="AY1518" s="66"/>
      <c r="AZ1518" s="66"/>
      <c r="BA1518" s="66"/>
      <c r="BB1518" s="66"/>
      <c r="BC1518" s="66"/>
      <c r="BD1518" s="66"/>
      <c r="BE1518" s="67"/>
      <c r="BF1518" s="67"/>
      <c r="BG1518" s="68"/>
      <c r="BI1518" s="69">
        <v>0</v>
      </c>
      <c r="BJ1518" s="70">
        <v>0</v>
      </c>
      <c r="BK1518" s="71">
        <v>0</v>
      </c>
      <c r="BL1518" s="71">
        <v>0</v>
      </c>
      <c r="BM1518" s="71">
        <v>0</v>
      </c>
      <c r="BN1518" s="72">
        <v>0</v>
      </c>
      <c r="BO1518" s="151" t="e">
        <f t="shared" si="94"/>
        <v>#DIV/0!</v>
      </c>
      <c r="BP1518" s="151" t="e">
        <f t="shared" si="95"/>
        <v>#DIV/0!</v>
      </c>
      <c r="BQ1518" s="71">
        <v>0</v>
      </c>
      <c r="BR1518" s="71">
        <v>0</v>
      </c>
      <c r="BS1518" s="71">
        <v>0</v>
      </c>
      <c r="BT1518" s="72">
        <v>0</v>
      </c>
      <c r="BU1518" s="151" t="e">
        <f t="shared" si="91"/>
        <v>#DIV/0!</v>
      </c>
      <c r="BV1518" s="151" t="e">
        <f t="shared" si="92"/>
        <v>#DIV/0!</v>
      </c>
    </row>
    <row r="1519" ht="30" customHeight="1" spans="1:74">
      <c r="A1519" s="55">
        <v>0</v>
      </c>
      <c r="B1519" s="56" t="s">
        <v>2247</v>
      </c>
      <c r="C1519" s="57" t="s">
        <v>2343</v>
      </c>
      <c r="D1519" s="59" t="s">
        <v>2439</v>
      </c>
      <c r="E1519" s="59" t="s">
        <v>2468</v>
      </c>
      <c r="F1519" s="59" t="e">
        <f>VLOOKUP(E1519,[1]库存!$B$1:$C$65536,2,FALSE)</f>
        <v>#N/A</v>
      </c>
      <c r="G1519" s="59" t="e">
        <v>#N/A</v>
      </c>
      <c r="H1519" s="59" t="s">
        <v>2469</v>
      </c>
      <c r="I1519" s="59" t="s">
        <v>2448</v>
      </c>
      <c r="J1519" s="75"/>
      <c r="K1519" s="61"/>
      <c r="L1519" s="62">
        <v>1</v>
      </c>
      <c r="M1519" s="63">
        <v>1400</v>
      </c>
      <c r="N1519" s="64">
        <v>7</v>
      </c>
      <c r="O1519" s="62">
        <v>2</v>
      </c>
      <c r="P1519" s="65">
        <f t="shared" si="93"/>
        <v>0</v>
      </c>
      <c r="Q1519" s="66"/>
      <c r="R1519" s="66"/>
      <c r="S1519" s="66"/>
      <c r="T1519" s="66"/>
      <c r="U1519" s="66"/>
      <c r="V1519" s="66"/>
      <c r="W1519" s="66"/>
      <c r="X1519" s="66"/>
      <c r="Y1519" s="66"/>
      <c r="Z1519" s="66"/>
      <c r="AA1519" s="66"/>
      <c r="AB1519" s="66"/>
      <c r="AC1519" s="66"/>
      <c r="AD1519" s="66"/>
      <c r="AE1519" s="66"/>
      <c r="AF1519" s="66"/>
      <c r="AG1519" s="66"/>
      <c r="AH1519" s="66"/>
      <c r="AI1519" s="66"/>
      <c r="AJ1519" s="66"/>
      <c r="AK1519" s="66"/>
      <c r="AL1519" s="66"/>
      <c r="AM1519" s="66"/>
      <c r="AN1519" s="66"/>
      <c r="AO1519" s="66"/>
      <c r="AP1519" s="66"/>
      <c r="AQ1519" s="66"/>
      <c r="AR1519" s="66"/>
      <c r="AS1519" s="66"/>
      <c r="AT1519" s="66"/>
      <c r="AU1519" s="66"/>
      <c r="AV1519" s="66"/>
      <c r="AW1519" s="66"/>
      <c r="AX1519" s="66"/>
      <c r="AY1519" s="66"/>
      <c r="AZ1519" s="66"/>
      <c r="BA1519" s="66"/>
      <c r="BB1519" s="66"/>
      <c r="BC1519" s="66"/>
      <c r="BD1519" s="66"/>
      <c r="BE1519" s="67"/>
      <c r="BF1519" s="67"/>
      <c r="BG1519" s="68"/>
      <c r="BI1519" s="69">
        <v>0</v>
      </c>
      <c r="BJ1519" s="70">
        <v>0</v>
      </c>
      <c r="BK1519" s="71">
        <v>0</v>
      </c>
      <c r="BL1519" s="71">
        <v>0</v>
      </c>
      <c r="BM1519" s="71">
        <v>0</v>
      </c>
      <c r="BN1519" s="72">
        <v>0</v>
      </c>
      <c r="BO1519" s="151" t="e">
        <f t="shared" si="94"/>
        <v>#DIV/0!</v>
      </c>
      <c r="BP1519" s="151" t="e">
        <f t="shared" si="95"/>
        <v>#DIV/0!</v>
      </c>
      <c r="BQ1519" s="71">
        <v>0</v>
      </c>
      <c r="BR1519" s="71">
        <v>0</v>
      </c>
      <c r="BS1519" s="71">
        <v>0</v>
      </c>
      <c r="BT1519" s="72">
        <v>0</v>
      </c>
      <c r="BU1519" s="151" t="e">
        <f t="shared" si="91"/>
        <v>#DIV/0!</v>
      </c>
      <c r="BV1519" s="151" t="e">
        <f t="shared" si="92"/>
        <v>#DIV/0!</v>
      </c>
    </row>
    <row r="1520" ht="30" customHeight="1" spans="1:74">
      <c r="A1520" s="55">
        <v>0</v>
      </c>
      <c r="B1520" s="56">
        <v>0</v>
      </c>
      <c r="C1520" s="57">
        <v>0</v>
      </c>
      <c r="D1520" s="74"/>
      <c r="E1520" s="74"/>
      <c r="F1520" s="59" t="e">
        <f>VLOOKUP(E1520,[1]库存!$B$1:$C$65536,2,FALSE)</f>
        <v>#N/A</v>
      </c>
      <c r="G1520" s="59" t="e">
        <v>#N/A</v>
      </c>
      <c r="H1520" s="74"/>
      <c r="I1520" s="74"/>
      <c r="J1520" s="75"/>
      <c r="K1520" s="61"/>
      <c r="L1520" s="62">
        <v>0</v>
      </c>
      <c r="M1520" s="63">
        <v>0</v>
      </c>
      <c r="N1520" s="64">
        <v>0</v>
      </c>
      <c r="O1520" s="62">
        <v>0</v>
      </c>
      <c r="P1520" s="65">
        <f t="shared" si="93"/>
        <v>0</v>
      </c>
      <c r="Q1520" s="66"/>
      <c r="R1520" s="66"/>
      <c r="S1520" s="66"/>
      <c r="T1520" s="66"/>
      <c r="U1520" s="66"/>
      <c r="V1520" s="66"/>
      <c r="W1520" s="66"/>
      <c r="X1520" s="66"/>
      <c r="Y1520" s="66"/>
      <c r="Z1520" s="66"/>
      <c r="AA1520" s="66"/>
      <c r="AB1520" s="66"/>
      <c r="AC1520" s="66"/>
      <c r="AD1520" s="66"/>
      <c r="AE1520" s="66"/>
      <c r="AF1520" s="66"/>
      <c r="AG1520" s="66"/>
      <c r="AH1520" s="66"/>
      <c r="AI1520" s="66"/>
      <c r="AJ1520" s="66"/>
      <c r="AK1520" s="66"/>
      <c r="AL1520" s="66"/>
      <c r="AM1520" s="66"/>
      <c r="AN1520" s="66"/>
      <c r="AO1520" s="66"/>
      <c r="AP1520" s="66"/>
      <c r="AQ1520" s="66"/>
      <c r="AR1520" s="66"/>
      <c r="AS1520" s="66"/>
      <c r="AT1520" s="66"/>
      <c r="AU1520" s="66"/>
      <c r="AV1520" s="66"/>
      <c r="AW1520" s="66"/>
      <c r="AX1520" s="66"/>
      <c r="AY1520" s="66"/>
      <c r="AZ1520" s="66"/>
      <c r="BA1520" s="66"/>
      <c r="BB1520" s="66"/>
      <c r="BC1520" s="66"/>
      <c r="BD1520" s="66"/>
      <c r="BE1520" s="67"/>
      <c r="BF1520" s="67"/>
      <c r="BG1520" s="68"/>
      <c r="BI1520" s="69">
        <v>0</v>
      </c>
      <c r="BJ1520" s="70">
        <v>0</v>
      </c>
      <c r="BK1520" s="71">
        <v>0</v>
      </c>
      <c r="BL1520" s="71">
        <v>0</v>
      </c>
      <c r="BM1520" s="71">
        <v>0</v>
      </c>
      <c r="BN1520" s="72">
        <v>0</v>
      </c>
      <c r="BO1520" s="151" t="e">
        <f t="shared" si="94"/>
        <v>#DIV/0!</v>
      </c>
      <c r="BP1520" s="151" t="e">
        <f t="shared" si="95"/>
        <v>#DIV/0!</v>
      </c>
      <c r="BQ1520" s="71">
        <v>0</v>
      </c>
      <c r="BR1520" s="71">
        <v>0</v>
      </c>
      <c r="BS1520" s="71">
        <v>0</v>
      </c>
      <c r="BT1520" s="72">
        <v>0</v>
      </c>
      <c r="BU1520" s="151" t="e">
        <f t="shared" si="91"/>
        <v>#DIV/0!</v>
      </c>
      <c r="BV1520" s="151" t="e">
        <f t="shared" si="92"/>
        <v>#DIV/0!</v>
      </c>
    </row>
    <row r="1521" ht="30" customHeight="1" spans="1:75 16331:16349">
      <c r="A1521" s="55">
        <v>0</v>
      </c>
      <c r="B1521" s="56">
        <v>0</v>
      </c>
      <c r="C1521" s="57">
        <v>0</v>
      </c>
      <c r="D1521" s="210"/>
      <c r="E1521" s="88"/>
      <c r="F1521" s="59" t="e">
        <f>VLOOKUP(E1521,[1]库存!$B$1:$C$65536,2,FALSE)</f>
        <v>#N/A</v>
      </c>
      <c r="G1521" s="59" t="e">
        <v>#N/A</v>
      </c>
      <c r="H1521" s="238"/>
      <c r="I1521" s="239"/>
      <c r="J1521" s="245"/>
      <c r="K1521" s="61"/>
      <c r="L1521" s="62">
        <v>0</v>
      </c>
      <c r="M1521" s="63">
        <v>0</v>
      </c>
      <c r="N1521" s="64">
        <v>0</v>
      </c>
      <c r="O1521" s="62">
        <v>0</v>
      </c>
      <c r="P1521" s="65">
        <f t="shared" si="93"/>
        <v>0</v>
      </c>
      <c r="Q1521" s="66"/>
      <c r="R1521" s="66"/>
      <c r="S1521" s="66"/>
      <c r="T1521" s="66"/>
      <c r="U1521" s="66"/>
      <c r="V1521" s="66"/>
      <c r="W1521" s="66"/>
      <c r="X1521" s="66"/>
      <c r="Y1521" s="66"/>
      <c r="Z1521" s="66"/>
      <c r="AA1521" s="66"/>
      <c r="AB1521" s="66"/>
      <c r="AC1521" s="66"/>
      <c r="AD1521" s="66"/>
      <c r="AE1521" s="66"/>
      <c r="AF1521" s="66"/>
      <c r="AG1521" s="66"/>
      <c r="AH1521" s="66"/>
      <c r="AI1521" s="66"/>
      <c r="AJ1521" s="66"/>
      <c r="AK1521" s="66"/>
      <c r="AL1521" s="66"/>
      <c r="AM1521" s="66"/>
      <c r="AN1521" s="66"/>
      <c r="AO1521" s="66"/>
      <c r="AP1521" s="66"/>
      <c r="AQ1521" s="66"/>
      <c r="AR1521" s="66"/>
      <c r="AS1521" s="66"/>
      <c r="AT1521" s="66"/>
      <c r="AU1521" s="66"/>
      <c r="AV1521" s="66"/>
      <c r="AW1521" s="66"/>
      <c r="AX1521" s="66"/>
      <c r="AY1521" s="66"/>
      <c r="AZ1521" s="66"/>
      <c r="BA1521" s="66"/>
      <c r="BB1521" s="66"/>
      <c r="BC1521" s="66"/>
      <c r="BD1521" s="66"/>
      <c r="BE1521" s="67"/>
      <c r="BF1521" s="67"/>
      <c r="BG1521" s="68"/>
      <c r="BI1521" s="69">
        <v>0</v>
      </c>
      <c r="BJ1521" s="70">
        <v>0</v>
      </c>
      <c r="BK1521" s="71">
        <v>0</v>
      </c>
      <c r="BL1521" s="71">
        <v>0</v>
      </c>
      <c r="BM1521" s="71">
        <v>0</v>
      </c>
      <c r="BN1521" s="72">
        <v>0</v>
      </c>
      <c r="BO1521" s="151" t="e">
        <f t="shared" si="94"/>
        <v>#DIV/0!</v>
      </c>
      <c r="BP1521" s="151" t="e">
        <f t="shared" si="95"/>
        <v>#DIV/0!</v>
      </c>
      <c r="BQ1521" s="71">
        <v>0</v>
      </c>
      <c r="BR1521" s="71">
        <v>0</v>
      </c>
      <c r="BS1521" s="71">
        <v>0</v>
      </c>
      <c r="BT1521" s="72">
        <v>0</v>
      </c>
      <c r="BU1521" s="151" t="e">
        <f t="shared" si="91"/>
        <v>#DIV/0!</v>
      </c>
      <c r="BV1521" s="151" t="e">
        <f t="shared" si="92"/>
        <v>#DIV/0!</v>
      </c>
    </row>
    <row r="1522" s="1" customFormat="1" ht="30" customHeight="1" spans="1:75 16331:16349">
      <c r="A1522" s="110">
        <v>0</v>
      </c>
      <c r="B1522" s="111" t="s">
        <v>2247</v>
      </c>
      <c r="C1522" s="112" t="s">
        <v>2248</v>
      </c>
      <c r="D1522" s="113" t="s">
        <v>2470</v>
      </c>
      <c r="E1522" s="113" t="s">
        <v>2471</v>
      </c>
      <c r="F1522" s="113" t="str">
        <f>VLOOKUP(E1522,[1]库存!$B$1:$C$65536,2,FALSE)</f>
        <v>M3 PAB 导流袋 C状态</v>
      </c>
      <c r="G1522" s="113" t="s">
        <v>2472</v>
      </c>
      <c r="H1522" s="113" t="s">
        <v>2473</v>
      </c>
      <c r="I1522" s="113"/>
      <c r="J1522" s="117"/>
      <c r="K1522" s="115"/>
      <c r="L1522" s="116">
        <v>4</v>
      </c>
      <c r="M1522" s="117">
        <v>1000</v>
      </c>
      <c r="N1522" s="114">
        <v>1</v>
      </c>
      <c r="O1522" s="116">
        <v>4</v>
      </c>
      <c r="P1522" s="65">
        <f t="shared" si="93"/>
        <v>0</v>
      </c>
      <c r="Q1522" s="67"/>
      <c r="R1522" s="67"/>
      <c r="S1522" s="67"/>
      <c r="T1522" s="67"/>
      <c r="U1522" s="67"/>
      <c r="V1522" s="67"/>
      <c r="W1522" s="67"/>
      <c r="X1522" s="67"/>
      <c r="Y1522" s="67"/>
      <c r="Z1522" s="67"/>
      <c r="AA1522" s="67"/>
      <c r="AB1522" s="67"/>
      <c r="AC1522" s="67"/>
      <c r="AD1522" s="67"/>
      <c r="AE1522" s="67"/>
      <c r="AF1522" s="67"/>
      <c r="AG1522" s="67"/>
      <c r="AH1522" s="67"/>
      <c r="AI1522" s="67"/>
      <c r="AJ1522" s="67"/>
      <c r="AK1522" s="67"/>
      <c r="AL1522" s="67"/>
      <c r="AM1522" s="67"/>
      <c r="AN1522" s="67"/>
      <c r="AO1522" s="67"/>
      <c r="AP1522" s="67"/>
      <c r="AQ1522" s="67"/>
      <c r="AR1522" s="67"/>
      <c r="AS1522" s="67"/>
      <c r="AT1522" s="67"/>
      <c r="AU1522" s="67"/>
      <c r="AV1522" s="67"/>
      <c r="AW1522" s="67"/>
      <c r="AX1522" s="67"/>
      <c r="AY1522" s="67"/>
      <c r="AZ1522" s="67"/>
      <c r="BA1522" s="67"/>
      <c r="BB1522" s="67"/>
      <c r="BC1522" s="67"/>
      <c r="BD1522" s="67"/>
      <c r="BE1522" s="67"/>
      <c r="BF1522" s="67"/>
      <c r="BG1522" s="118"/>
      <c r="BH1522" s="119"/>
      <c r="BI1522" s="120">
        <v>0</v>
      </c>
      <c r="BJ1522" s="121">
        <v>0</v>
      </c>
      <c r="BK1522" s="122">
        <v>0</v>
      </c>
      <c r="BL1522" s="122">
        <v>0</v>
      </c>
      <c r="BM1522" s="122">
        <v>0</v>
      </c>
      <c r="BN1522" s="123">
        <v>0</v>
      </c>
      <c r="BO1522" s="204" t="e">
        <f t="shared" si="94"/>
        <v>#DIV/0!</v>
      </c>
      <c r="BP1522" s="204" t="e">
        <f t="shared" si="95"/>
        <v>#DIV/0!</v>
      </c>
      <c r="BQ1522" s="122">
        <v>0</v>
      </c>
      <c r="BR1522" s="122">
        <v>0</v>
      </c>
      <c r="BS1522" s="122">
        <v>0</v>
      </c>
      <c r="BT1522" s="123">
        <v>0</v>
      </c>
      <c r="BU1522" s="204" t="e">
        <f t="shared" si="91"/>
        <v>#DIV/0!</v>
      </c>
      <c r="BV1522" s="204" t="e">
        <f t="shared" si="92"/>
        <v>#DIV/0!</v>
      </c>
      <c r="BW1522" s="125"/>
      <c r="XDC1522" s="126"/>
      <c r="XDD1522" s="126"/>
      <c r="XDE1522" s="126"/>
      <c r="XDF1522" s="126"/>
      <c r="XDG1522" s="126"/>
      <c r="XDH1522" s="126"/>
      <c r="XDI1522" s="126"/>
      <c r="XDJ1522" s="126"/>
      <c r="XDK1522" s="126"/>
      <c r="XDL1522" s="126"/>
      <c r="XDM1522" s="126"/>
      <c r="XDN1522" s="126"/>
      <c r="XDO1522" s="126"/>
      <c r="XDP1522" s="126"/>
      <c r="XDQ1522" s="126"/>
      <c r="XDR1522" s="126"/>
      <c r="XDS1522" s="126"/>
      <c r="XDT1522" s="126"/>
      <c r="XDU1522" s="126"/>
    </row>
    <row r="1523" s="1" customFormat="1" ht="30" customHeight="1" spans="1:75 16331:16349">
      <c r="A1523" s="110">
        <v>0</v>
      </c>
      <c r="B1523" s="111">
        <v>0</v>
      </c>
      <c r="C1523" s="112">
        <v>0</v>
      </c>
      <c r="D1523" s="127"/>
      <c r="E1523" s="127"/>
      <c r="F1523" s="113" t="e">
        <f>VLOOKUP(E1523,[1]库存!$B$1:$C$65536,2,FALSE)</f>
        <v>#N/A</v>
      </c>
      <c r="G1523" s="113" t="e">
        <v>#N/A</v>
      </c>
      <c r="H1523" s="127"/>
      <c r="I1523" s="127"/>
      <c r="J1523" s="162"/>
      <c r="K1523" s="115"/>
      <c r="L1523" s="116">
        <v>0</v>
      </c>
      <c r="M1523" s="117">
        <v>0</v>
      </c>
      <c r="N1523" s="114">
        <v>0</v>
      </c>
      <c r="O1523" s="116">
        <v>0</v>
      </c>
      <c r="P1523" s="65">
        <f t="shared" si="93"/>
        <v>0</v>
      </c>
      <c r="Q1523" s="67"/>
      <c r="R1523" s="67"/>
      <c r="S1523" s="67"/>
      <c r="T1523" s="67"/>
      <c r="U1523" s="67"/>
      <c r="V1523" s="67"/>
      <c r="W1523" s="67"/>
      <c r="X1523" s="67"/>
      <c r="Y1523" s="67"/>
      <c r="Z1523" s="67"/>
      <c r="AA1523" s="67"/>
      <c r="AB1523" s="67"/>
      <c r="AC1523" s="67"/>
      <c r="AD1523" s="67"/>
      <c r="AE1523" s="67"/>
      <c r="AF1523" s="67"/>
      <c r="AG1523" s="67"/>
      <c r="AH1523" s="67"/>
      <c r="AI1523" s="67"/>
      <c r="AJ1523" s="67"/>
      <c r="AK1523" s="67"/>
      <c r="AL1523" s="67"/>
      <c r="AM1523" s="67"/>
      <c r="AN1523" s="67"/>
      <c r="AO1523" s="67"/>
      <c r="AP1523" s="67"/>
      <c r="AQ1523" s="67"/>
      <c r="AR1523" s="67"/>
      <c r="AS1523" s="67"/>
      <c r="AT1523" s="67"/>
      <c r="AU1523" s="67"/>
      <c r="AV1523" s="67"/>
      <c r="AW1523" s="67"/>
      <c r="AX1523" s="67"/>
      <c r="AY1523" s="67"/>
      <c r="AZ1523" s="67"/>
      <c r="BA1523" s="67"/>
      <c r="BB1523" s="67"/>
      <c r="BC1523" s="67"/>
      <c r="BD1523" s="67"/>
      <c r="BE1523" s="67"/>
      <c r="BF1523" s="67"/>
      <c r="BG1523" s="118"/>
      <c r="BH1523" s="119"/>
      <c r="BI1523" s="120">
        <v>0</v>
      </c>
      <c r="BJ1523" s="121">
        <v>0</v>
      </c>
      <c r="BK1523" s="122">
        <v>0</v>
      </c>
      <c r="BL1523" s="122">
        <v>0</v>
      </c>
      <c r="BM1523" s="122">
        <v>0</v>
      </c>
      <c r="BN1523" s="123">
        <v>0</v>
      </c>
      <c r="BO1523" s="204" t="e">
        <f t="shared" si="94"/>
        <v>#DIV/0!</v>
      </c>
      <c r="BP1523" s="204" t="e">
        <f t="shared" si="95"/>
        <v>#DIV/0!</v>
      </c>
      <c r="BQ1523" s="122">
        <v>0</v>
      </c>
      <c r="BR1523" s="122">
        <v>0</v>
      </c>
      <c r="BS1523" s="122">
        <v>0</v>
      </c>
      <c r="BT1523" s="123">
        <v>0</v>
      </c>
      <c r="BU1523" s="204" t="e">
        <f t="shared" si="91"/>
        <v>#DIV/0!</v>
      </c>
      <c r="BV1523" s="204" t="e">
        <f t="shared" si="92"/>
        <v>#DIV/0!</v>
      </c>
      <c r="BW1523" s="125"/>
      <c r="XDC1523" s="126"/>
      <c r="XDD1523" s="126"/>
      <c r="XDE1523" s="126"/>
      <c r="XDF1523" s="126"/>
      <c r="XDG1523" s="126"/>
      <c r="XDH1523" s="126"/>
      <c r="XDI1523" s="126"/>
      <c r="XDJ1523" s="126"/>
      <c r="XDK1523" s="126"/>
      <c r="XDL1523" s="126"/>
      <c r="XDM1523" s="126"/>
      <c r="XDN1523" s="126"/>
      <c r="XDO1523" s="126"/>
      <c r="XDP1523" s="126"/>
      <c r="XDQ1523" s="126"/>
      <c r="XDR1523" s="126"/>
      <c r="XDS1523" s="126"/>
      <c r="XDT1523" s="126"/>
      <c r="XDU1523" s="126"/>
    </row>
    <row r="1524" s="1" customFormat="1" ht="30" customHeight="1" spans="1:75 16331:16349">
      <c r="A1524" s="110" t="s">
        <v>165</v>
      </c>
      <c r="B1524" s="111" t="s">
        <v>2247</v>
      </c>
      <c r="C1524" s="112" t="s">
        <v>2248</v>
      </c>
      <c r="D1524" s="113" t="s">
        <v>2474</v>
      </c>
      <c r="E1524" s="113" t="s">
        <v>2475</v>
      </c>
      <c r="F1524" s="113" t="str">
        <f>VLOOKUP(E1524,[1]库存!$B$1:$C$65536,2,FALSE)</f>
        <v>M3 PAB C状态</v>
      </c>
      <c r="G1524" s="113" t="s">
        <v>2476</v>
      </c>
      <c r="H1524" s="113" t="s">
        <v>2477</v>
      </c>
      <c r="I1524" s="113" t="s">
        <v>2478</v>
      </c>
      <c r="J1524" s="246" t="s">
        <v>2479</v>
      </c>
      <c r="K1524" s="115"/>
      <c r="L1524" s="116">
        <v>4</v>
      </c>
      <c r="M1524" s="117">
        <v>1000</v>
      </c>
      <c r="N1524" s="114">
        <v>38</v>
      </c>
      <c r="O1524" s="116">
        <v>4</v>
      </c>
      <c r="P1524" s="65">
        <f t="shared" si="93"/>
        <v>0</v>
      </c>
      <c r="Q1524" s="67"/>
      <c r="R1524" s="67"/>
      <c r="S1524" s="67"/>
      <c r="T1524" s="67"/>
      <c r="U1524" s="67"/>
      <c r="V1524" s="67"/>
      <c r="W1524" s="67"/>
      <c r="X1524" s="67"/>
      <c r="Y1524" s="67"/>
      <c r="Z1524" s="67"/>
      <c r="AA1524" s="67"/>
      <c r="AB1524" s="67"/>
      <c r="AC1524" s="67"/>
      <c r="AD1524" s="67"/>
      <c r="AE1524" s="67"/>
      <c r="AF1524" s="67"/>
      <c r="AG1524" s="67"/>
      <c r="AH1524" s="67"/>
      <c r="AI1524" s="67"/>
      <c r="AJ1524" s="67"/>
      <c r="AK1524" s="67"/>
      <c r="AL1524" s="67"/>
      <c r="AM1524" s="67"/>
      <c r="AN1524" s="67"/>
      <c r="AO1524" s="67"/>
      <c r="AP1524" s="67"/>
      <c r="AQ1524" s="67"/>
      <c r="AR1524" s="67"/>
      <c r="AS1524" s="67"/>
      <c r="AT1524" s="67"/>
      <c r="AU1524" s="67"/>
      <c r="AV1524" s="67"/>
      <c r="AW1524" s="67"/>
      <c r="AX1524" s="67"/>
      <c r="AY1524" s="67"/>
      <c r="AZ1524" s="67"/>
      <c r="BA1524" s="67"/>
      <c r="BB1524" s="67"/>
      <c r="BC1524" s="67"/>
      <c r="BD1524" s="67"/>
      <c r="BE1524" s="67"/>
      <c r="BF1524" s="67"/>
      <c r="BG1524" s="118"/>
      <c r="BH1524" s="119"/>
      <c r="BI1524" s="120">
        <v>0</v>
      </c>
      <c r="BJ1524" s="121">
        <v>0</v>
      </c>
      <c r="BK1524" s="122">
        <v>0</v>
      </c>
      <c r="BL1524" s="122">
        <v>0</v>
      </c>
      <c r="BM1524" s="122">
        <v>0</v>
      </c>
      <c r="BN1524" s="123">
        <v>0</v>
      </c>
      <c r="BO1524" s="204" t="e">
        <f t="shared" si="94"/>
        <v>#DIV/0!</v>
      </c>
      <c r="BP1524" s="204" t="e">
        <f t="shared" si="95"/>
        <v>#DIV/0!</v>
      </c>
      <c r="BQ1524" s="122">
        <v>0</v>
      </c>
      <c r="BR1524" s="122">
        <v>0</v>
      </c>
      <c r="BS1524" s="122">
        <v>0</v>
      </c>
      <c r="BT1524" s="123">
        <v>0</v>
      </c>
      <c r="BU1524" s="204" t="e">
        <f t="shared" si="91"/>
        <v>#DIV/0!</v>
      </c>
      <c r="BV1524" s="204" t="e">
        <f t="shared" si="92"/>
        <v>#DIV/0!</v>
      </c>
      <c r="BW1524" s="125"/>
      <c r="XDC1524" s="126"/>
      <c r="XDD1524" s="126"/>
      <c r="XDE1524" s="126"/>
      <c r="XDF1524" s="126"/>
      <c r="XDG1524" s="126"/>
      <c r="XDH1524" s="126"/>
      <c r="XDI1524" s="126"/>
      <c r="XDJ1524" s="126"/>
      <c r="XDK1524" s="126"/>
      <c r="XDL1524" s="126"/>
      <c r="XDM1524" s="126"/>
      <c r="XDN1524" s="126"/>
      <c r="XDO1524" s="126"/>
      <c r="XDP1524" s="126"/>
      <c r="XDQ1524" s="126"/>
      <c r="XDR1524" s="126"/>
      <c r="XDS1524" s="126"/>
      <c r="XDT1524" s="126"/>
      <c r="XDU1524" s="126"/>
    </row>
    <row r="1525" s="1" customFormat="1" ht="30" customHeight="1" spans="1:75 16331:16349">
      <c r="A1525" s="110">
        <v>0</v>
      </c>
      <c r="B1525" s="111">
        <v>0</v>
      </c>
      <c r="C1525" s="112">
        <v>0</v>
      </c>
      <c r="D1525" s="127"/>
      <c r="E1525" s="127"/>
      <c r="F1525" s="113" t="e">
        <f>VLOOKUP(E1525,[1]库存!$B$1:$C$65536,2,FALSE)</f>
        <v>#N/A</v>
      </c>
      <c r="G1525" s="113" t="e">
        <v>#N/A</v>
      </c>
      <c r="H1525" s="127"/>
      <c r="I1525" s="127"/>
      <c r="J1525" s="247"/>
      <c r="K1525" s="115"/>
      <c r="L1525" s="116">
        <v>0</v>
      </c>
      <c r="M1525" s="117">
        <v>0</v>
      </c>
      <c r="N1525" s="114">
        <v>0</v>
      </c>
      <c r="O1525" s="116">
        <v>0</v>
      </c>
      <c r="P1525" s="65">
        <f t="shared" si="93"/>
        <v>0</v>
      </c>
      <c r="Q1525" s="67"/>
      <c r="R1525" s="67"/>
      <c r="S1525" s="67"/>
      <c r="T1525" s="67"/>
      <c r="U1525" s="67"/>
      <c r="V1525" s="67"/>
      <c r="W1525" s="67"/>
      <c r="X1525" s="67"/>
      <c r="Y1525" s="67"/>
      <c r="Z1525" s="67"/>
      <c r="AA1525" s="67"/>
      <c r="AB1525" s="67"/>
      <c r="AC1525" s="67"/>
      <c r="AD1525" s="67"/>
      <c r="AE1525" s="67"/>
      <c r="AF1525" s="67"/>
      <c r="AG1525" s="67"/>
      <c r="AH1525" s="67"/>
      <c r="AI1525" s="67"/>
      <c r="AJ1525" s="67"/>
      <c r="AK1525" s="67"/>
      <c r="AL1525" s="67"/>
      <c r="AM1525" s="67"/>
      <c r="AN1525" s="67"/>
      <c r="AO1525" s="67"/>
      <c r="AP1525" s="67"/>
      <c r="AQ1525" s="67"/>
      <c r="AR1525" s="67"/>
      <c r="AS1525" s="67"/>
      <c r="AT1525" s="67"/>
      <c r="AU1525" s="67"/>
      <c r="AV1525" s="67"/>
      <c r="AW1525" s="67"/>
      <c r="AX1525" s="67"/>
      <c r="AY1525" s="67"/>
      <c r="AZ1525" s="67"/>
      <c r="BA1525" s="67"/>
      <c r="BB1525" s="67"/>
      <c r="BC1525" s="67"/>
      <c r="BD1525" s="67"/>
      <c r="BE1525" s="67"/>
      <c r="BF1525" s="67"/>
      <c r="BG1525" s="118"/>
      <c r="BH1525" s="119"/>
      <c r="BI1525" s="120">
        <v>0</v>
      </c>
      <c r="BJ1525" s="121">
        <v>0</v>
      </c>
      <c r="BK1525" s="122">
        <v>0</v>
      </c>
      <c r="BL1525" s="122">
        <v>0</v>
      </c>
      <c r="BM1525" s="122">
        <v>0</v>
      </c>
      <c r="BN1525" s="123">
        <v>0</v>
      </c>
      <c r="BO1525" s="204" t="e">
        <f t="shared" si="94"/>
        <v>#DIV/0!</v>
      </c>
      <c r="BP1525" s="204" t="e">
        <f t="shared" si="95"/>
        <v>#DIV/0!</v>
      </c>
      <c r="BQ1525" s="122">
        <v>0</v>
      </c>
      <c r="BR1525" s="122">
        <v>0</v>
      </c>
      <c r="BS1525" s="122">
        <v>0</v>
      </c>
      <c r="BT1525" s="123">
        <v>0</v>
      </c>
      <c r="BU1525" s="204" t="e">
        <f t="shared" si="91"/>
        <v>#DIV/0!</v>
      </c>
      <c r="BV1525" s="204" t="e">
        <f t="shared" si="92"/>
        <v>#DIV/0!</v>
      </c>
      <c r="BW1525" s="125"/>
      <c r="XDC1525" s="126"/>
      <c r="XDD1525" s="126"/>
      <c r="XDE1525" s="126"/>
      <c r="XDF1525" s="126"/>
      <c r="XDG1525" s="126"/>
      <c r="XDH1525" s="126"/>
      <c r="XDI1525" s="126"/>
      <c r="XDJ1525" s="126"/>
      <c r="XDK1525" s="126"/>
      <c r="XDL1525" s="126"/>
      <c r="XDM1525" s="126"/>
      <c r="XDN1525" s="126"/>
      <c r="XDO1525" s="126"/>
      <c r="XDP1525" s="126"/>
      <c r="XDQ1525" s="126"/>
      <c r="XDR1525" s="126"/>
      <c r="XDS1525" s="126"/>
      <c r="XDT1525" s="126"/>
      <c r="XDU1525" s="126"/>
    </row>
    <row r="1526" ht="30" customHeight="1" spans="1:75 16331:16349">
      <c r="A1526" s="55">
        <v>0</v>
      </c>
      <c r="B1526" s="56">
        <v>0</v>
      </c>
      <c r="C1526" s="57">
        <v>0</v>
      </c>
      <c r="D1526" s="210"/>
      <c r="E1526" s="88"/>
      <c r="F1526" s="59" t="e">
        <f>VLOOKUP(E1526,[1]库存!$B$1:$C$65536,2,FALSE)</f>
        <v>#N/A</v>
      </c>
      <c r="G1526" s="59" t="e">
        <v>#N/A</v>
      </c>
      <c r="H1526" s="238"/>
      <c r="I1526" s="239"/>
      <c r="J1526" s="90"/>
      <c r="K1526" s="61"/>
      <c r="L1526" s="62">
        <v>0</v>
      </c>
      <c r="M1526" s="63">
        <v>0</v>
      </c>
      <c r="N1526" s="64">
        <v>0</v>
      </c>
      <c r="O1526" s="62">
        <v>0</v>
      </c>
      <c r="P1526" s="65">
        <f t="shared" si="93"/>
        <v>0</v>
      </c>
      <c r="Q1526" s="66"/>
      <c r="R1526" s="66"/>
      <c r="S1526" s="66"/>
      <c r="T1526" s="66"/>
      <c r="U1526" s="66"/>
      <c r="V1526" s="66"/>
      <c r="W1526" s="66"/>
      <c r="X1526" s="66"/>
      <c r="Y1526" s="66"/>
      <c r="Z1526" s="66"/>
      <c r="AA1526" s="66"/>
      <c r="AB1526" s="66"/>
      <c r="AC1526" s="66"/>
      <c r="AD1526" s="66"/>
      <c r="AE1526" s="66"/>
      <c r="AF1526" s="66"/>
      <c r="AG1526" s="66"/>
      <c r="AH1526" s="66"/>
      <c r="AI1526" s="66"/>
      <c r="AJ1526" s="66"/>
      <c r="AK1526" s="66"/>
      <c r="AL1526" s="66"/>
      <c r="AM1526" s="66"/>
      <c r="AN1526" s="66"/>
      <c r="AO1526" s="66"/>
      <c r="AP1526" s="66"/>
      <c r="AQ1526" s="66"/>
      <c r="AR1526" s="66"/>
      <c r="AS1526" s="66"/>
      <c r="AT1526" s="66"/>
      <c r="AU1526" s="66"/>
      <c r="AV1526" s="66"/>
      <c r="AW1526" s="66"/>
      <c r="AX1526" s="66"/>
      <c r="AY1526" s="66"/>
      <c r="AZ1526" s="66"/>
      <c r="BA1526" s="66"/>
      <c r="BB1526" s="66"/>
      <c r="BC1526" s="66"/>
      <c r="BD1526" s="66"/>
      <c r="BE1526" s="67"/>
      <c r="BF1526" s="67"/>
      <c r="BG1526" s="68"/>
      <c r="BI1526" s="69">
        <v>0</v>
      </c>
      <c r="BJ1526" s="70">
        <v>0</v>
      </c>
      <c r="BK1526" s="71">
        <v>0</v>
      </c>
      <c r="BL1526" s="71">
        <v>0</v>
      </c>
      <c r="BM1526" s="71">
        <v>0</v>
      </c>
      <c r="BN1526" s="72">
        <v>0</v>
      </c>
      <c r="BO1526" s="151" t="e">
        <f t="shared" si="94"/>
        <v>#DIV/0!</v>
      </c>
      <c r="BP1526" s="151" t="e">
        <f t="shared" si="95"/>
        <v>#DIV/0!</v>
      </c>
      <c r="BQ1526" s="71">
        <v>0</v>
      </c>
      <c r="BR1526" s="71">
        <v>0</v>
      </c>
      <c r="BS1526" s="71">
        <v>0</v>
      </c>
      <c r="BT1526" s="72">
        <v>0</v>
      </c>
      <c r="BU1526" s="151" t="e">
        <f t="shared" si="91"/>
        <v>#DIV/0!</v>
      </c>
      <c r="BV1526" s="151" t="e">
        <f t="shared" si="92"/>
        <v>#DIV/0!</v>
      </c>
    </row>
    <row r="1527" ht="30" customHeight="1" spans="1:75 16331:16349">
      <c r="A1527" s="55" t="s">
        <v>246</v>
      </c>
      <c r="B1527" s="56" t="s">
        <v>2247</v>
      </c>
      <c r="C1527" s="57" t="s">
        <v>2343</v>
      </c>
      <c r="D1527" s="91" t="s">
        <v>2480</v>
      </c>
      <c r="E1527" s="91" t="s">
        <v>2481</v>
      </c>
      <c r="F1527" s="91" t="str">
        <f>VLOOKUP(E1527,[1]库存!$B$1:$C$65536,2,FALSE)</f>
        <v>CHANGAN E12 RSAB LH A状态</v>
      </c>
      <c r="G1527" s="91" t="s">
        <v>2482</v>
      </c>
      <c r="H1527" s="91" t="s">
        <v>2483</v>
      </c>
      <c r="I1527" s="91" t="s">
        <v>2484</v>
      </c>
      <c r="J1527" s="64"/>
      <c r="K1527" s="61"/>
      <c r="L1527" s="62">
        <v>2</v>
      </c>
      <c r="M1527" s="63">
        <v>1200</v>
      </c>
      <c r="N1527" s="64">
        <v>11</v>
      </c>
      <c r="O1527" s="62">
        <v>2</v>
      </c>
      <c r="P1527" s="65">
        <f t="shared" si="93"/>
        <v>0</v>
      </c>
      <c r="Q1527" s="66"/>
      <c r="R1527" s="66"/>
      <c r="S1527" s="66"/>
      <c r="T1527" s="66"/>
      <c r="U1527" s="66"/>
      <c r="V1527" s="66"/>
      <c r="W1527" s="66"/>
      <c r="X1527" s="66"/>
      <c r="Y1527" s="66"/>
      <c r="Z1527" s="66"/>
      <c r="AA1527" s="66"/>
      <c r="AB1527" s="66"/>
      <c r="AC1527" s="66"/>
      <c r="AD1527" s="66"/>
      <c r="AE1527" s="66"/>
      <c r="AF1527" s="66"/>
      <c r="AG1527" s="66"/>
      <c r="AH1527" s="66"/>
      <c r="AI1527" s="66"/>
      <c r="AJ1527" s="66"/>
      <c r="AK1527" s="66"/>
      <c r="AL1527" s="66"/>
      <c r="AM1527" s="66"/>
      <c r="AN1527" s="66"/>
      <c r="AO1527" s="66"/>
      <c r="AP1527" s="66"/>
      <c r="AQ1527" s="66"/>
      <c r="AR1527" s="66"/>
      <c r="AS1527" s="66"/>
      <c r="AT1527" s="66"/>
      <c r="AU1527" s="66"/>
      <c r="AV1527" s="66"/>
      <c r="AW1527" s="66"/>
      <c r="AX1527" s="66"/>
      <c r="AY1527" s="66"/>
      <c r="AZ1527" s="66"/>
      <c r="BA1527" s="66"/>
      <c r="BB1527" s="66"/>
      <c r="BC1527" s="66"/>
      <c r="BD1527" s="66"/>
      <c r="BE1527" s="67"/>
      <c r="BF1527" s="67"/>
      <c r="BG1527" s="68"/>
      <c r="BI1527" s="69">
        <v>0</v>
      </c>
      <c r="BJ1527" s="70">
        <v>0</v>
      </c>
      <c r="BK1527" s="71">
        <v>0</v>
      </c>
      <c r="BL1527" s="71">
        <v>0</v>
      </c>
      <c r="BM1527" s="71">
        <v>0</v>
      </c>
      <c r="BN1527" s="72">
        <v>0</v>
      </c>
      <c r="BO1527" s="151" t="e">
        <f t="shared" si="94"/>
        <v>#DIV/0!</v>
      </c>
      <c r="BP1527" s="151" t="e">
        <f t="shared" si="95"/>
        <v>#DIV/0!</v>
      </c>
      <c r="BQ1527" s="71">
        <v>0</v>
      </c>
      <c r="BR1527" s="71">
        <v>0</v>
      </c>
      <c r="BS1527" s="71">
        <v>0</v>
      </c>
      <c r="BT1527" s="72">
        <v>0</v>
      </c>
      <c r="BU1527" s="151" t="e">
        <f t="shared" si="91"/>
        <v>#DIV/0!</v>
      </c>
      <c r="BV1527" s="151" t="e">
        <f t="shared" si="92"/>
        <v>#DIV/0!</v>
      </c>
    </row>
    <row r="1528" ht="30" customHeight="1" spans="1:75 16331:16349">
      <c r="A1528" s="55">
        <v>0</v>
      </c>
      <c r="B1528" s="56">
        <v>0</v>
      </c>
      <c r="C1528" s="57">
        <v>0</v>
      </c>
      <c r="D1528" s="154"/>
      <c r="E1528" s="154"/>
      <c r="F1528" s="91" t="e">
        <f>VLOOKUP(E1528,[1]库存!$B$1:$C$65536,2,FALSE)</f>
        <v>#N/A</v>
      </c>
      <c r="G1528" s="91" t="e">
        <v>#N/A</v>
      </c>
      <c r="H1528" s="154"/>
      <c r="I1528" s="154"/>
      <c r="J1528" s="93"/>
      <c r="K1528" s="61"/>
      <c r="L1528" s="62">
        <v>0</v>
      </c>
      <c r="M1528" s="63">
        <v>0</v>
      </c>
      <c r="N1528" s="64">
        <v>0</v>
      </c>
      <c r="O1528" s="62">
        <v>0</v>
      </c>
      <c r="P1528" s="65">
        <f t="shared" si="93"/>
        <v>0</v>
      </c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  <c r="AD1528" s="66"/>
      <c r="AE1528" s="66"/>
      <c r="AF1528" s="66"/>
      <c r="AG1528" s="66"/>
      <c r="AH1528" s="66"/>
      <c r="AI1528" s="66"/>
      <c r="AJ1528" s="66"/>
      <c r="AK1528" s="66"/>
      <c r="AL1528" s="66"/>
      <c r="AM1528" s="66"/>
      <c r="AN1528" s="66"/>
      <c r="AO1528" s="66"/>
      <c r="AP1528" s="66"/>
      <c r="AQ1528" s="66"/>
      <c r="AR1528" s="66"/>
      <c r="AS1528" s="66"/>
      <c r="AT1528" s="66"/>
      <c r="AU1528" s="66"/>
      <c r="AV1528" s="66"/>
      <c r="AW1528" s="66"/>
      <c r="AX1528" s="66"/>
      <c r="AY1528" s="66"/>
      <c r="AZ1528" s="66"/>
      <c r="BA1528" s="66"/>
      <c r="BB1528" s="66"/>
      <c r="BC1528" s="66"/>
      <c r="BD1528" s="66"/>
      <c r="BE1528" s="67"/>
      <c r="BF1528" s="67"/>
      <c r="BG1528" s="68"/>
      <c r="BI1528" s="69">
        <v>0</v>
      </c>
      <c r="BJ1528" s="70">
        <v>0</v>
      </c>
      <c r="BK1528" s="71">
        <v>0</v>
      </c>
      <c r="BL1528" s="71">
        <v>0</v>
      </c>
      <c r="BM1528" s="71">
        <v>0</v>
      </c>
      <c r="BN1528" s="72">
        <v>0</v>
      </c>
      <c r="BO1528" s="151" t="e">
        <f t="shared" si="94"/>
        <v>#DIV/0!</v>
      </c>
      <c r="BP1528" s="151" t="e">
        <f t="shared" si="95"/>
        <v>#DIV/0!</v>
      </c>
      <c r="BQ1528" s="71">
        <v>0</v>
      </c>
      <c r="BR1528" s="71">
        <v>0</v>
      </c>
      <c r="BS1528" s="71">
        <v>0</v>
      </c>
      <c r="BT1528" s="72">
        <v>0</v>
      </c>
      <c r="BU1528" s="151" t="e">
        <f t="shared" si="91"/>
        <v>#DIV/0!</v>
      </c>
      <c r="BV1528" s="151" t="e">
        <f t="shared" si="92"/>
        <v>#DIV/0!</v>
      </c>
    </row>
    <row r="1529" ht="30" customHeight="1" spans="1:75 16331:16349">
      <c r="A1529" s="55" t="s">
        <v>246</v>
      </c>
      <c r="B1529" s="56" t="s">
        <v>2247</v>
      </c>
      <c r="C1529" s="57" t="s">
        <v>2343</v>
      </c>
      <c r="D1529" s="91" t="s">
        <v>2480</v>
      </c>
      <c r="E1529" s="91" t="s">
        <v>2485</v>
      </c>
      <c r="F1529" s="91" t="str">
        <f>VLOOKUP(E1529,[1]库存!$B$1:$C$65536,2,FALSE)</f>
        <v>CHANGAN E12 RSAB RH A状态</v>
      </c>
      <c r="G1529" s="91" t="s">
        <v>2486</v>
      </c>
      <c r="H1529" s="91" t="s">
        <v>2487</v>
      </c>
      <c r="I1529" s="91" t="s">
        <v>2484</v>
      </c>
      <c r="J1529" s="56"/>
      <c r="K1529" s="61"/>
      <c r="L1529" s="62">
        <v>2</v>
      </c>
      <c r="M1529" s="63">
        <v>1200</v>
      </c>
      <c r="N1529" s="64">
        <v>11</v>
      </c>
      <c r="O1529" s="62">
        <v>2</v>
      </c>
      <c r="P1529" s="65">
        <f t="shared" si="93"/>
        <v>0</v>
      </c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  <c r="AD1529" s="66"/>
      <c r="AE1529" s="66"/>
      <c r="AF1529" s="66"/>
      <c r="AG1529" s="66"/>
      <c r="AH1529" s="66"/>
      <c r="AI1529" s="66"/>
      <c r="AJ1529" s="66"/>
      <c r="AK1529" s="66"/>
      <c r="AL1529" s="66"/>
      <c r="AM1529" s="66"/>
      <c r="AN1529" s="66"/>
      <c r="AO1529" s="66"/>
      <c r="AP1529" s="66"/>
      <c r="AQ1529" s="66"/>
      <c r="AR1529" s="66"/>
      <c r="AS1529" s="66"/>
      <c r="AT1529" s="66"/>
      <c r="AU1529" s="66"/>
      <c r="AV1529" s="66"/>
      <c r="AW1529" s="66"/>
      <c r="AX1529" s="66"/>
      <c r="AY1529" s="66"/>
      <c r="AZ1529" s="66"/>
      <c r="BA1529" s="66"/>
      <c r="BB1529" s="66"/>
      <c r="BC1529" s="66"/>
      <c r="BD1529" s="66"/>
      <c r="BE1529" s="67"/>
      <c r="BF1529" s="67"/>
      <c r="BG1529" s="68"/>
      <c r="BI1529" s="69">
        <v>0</v>
      </c>
      <c r="BJ1529" s="70">
        <v>0</v>
      </c>
      <c r="BK1529" s="71">
        <v>0</v>
      </c>
      <c r="BL1529" s="71">
        <v>0</v>
      </c>
      <c r="BM1529" s="71">
        <v>0</v>
      </c>
      <c r="BN1529" s="72">
        <v>0</v>
      </c>
      <c r="BO1529" s="151" t="e">
        <f t="shared" si="94"/>
        <v>#DIV/0!</v>
      </c>
      <c r="BP1529" s="151" t="e">
        <f t="shared" si="95"/>
        <v>#DIV/0!</v>
      </c>
      <c r="BQ1529" s="71">
        <v>0</v>
      </c>
      <c r="BR1529" s="71">
        <v>0</v>
      </c>
      <c r="BS1529" s="71">
        <v>0</v>
      </c>
      <c r="BT1529" s="72">
        <v>0</v>
      </c>
      <c r="BU1529" s="151" t="e">
        <f t="shared" ref="BU1529:BU1592" si="96">(BQ1529+BR1529)/BJ1529</f>
        <v>#DIV/0!</v>
      </c>
      <c r="BV1529" s="151" t="e">
        <f t="shared" ref="BV1529:BV1592" si="97">BS1529/BJ1529</f>
        <v>#DIV/0!</v>
      </c>
    </row>
    <row r="1530" ht="30" customHeight="1" spans="1:75 16331:16349">
      <c r="A1530" s="55">
        <v>0</v>
      </c>
      <c r="B1530" s="56">
        <v>0</v>
      </c>
      <c r="C1530" s="57">
        <v>0</v>
      </c>
      <c r="D1530" s="154"/>
      <c r="E1530" s="154"/>
      <c r="F1530" s="91" t="e">
        <f>VLOOKUP(E1530,[1]库存!$B$1:$C$65536,2,FALSE)</f>
        <v>#N/A</v>
      </c>
      <c r="G1530" s="91" t="e">
        <v>#N/A</v>
      </c>
      <c r="H1530" s="154"/>
      <c r="I1530" s="154"/>
      <c r="J1530" s="56"/>
      <c r="K1530" s="61"/>
      <c r="L1530" s="62">
        <v>0</v>
      </c>
      <c r="M1530" s="63">
        <v>0</v>
      </c>
      <c r="N1530" s="64">
        <v>0</v>
      </c>
      <c r="O1530" s="62">
        <v>0</v>
      </c>
      <c r="P1530" s="65">
        <f t="shared" si="93"/>
        <v>0</v>
      </c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  <c r="AD1530" s="66"/>
      <c r="AE1530" s="66"/>
      <c r="AF1530" s="66"/>
      <c r="AG1530" s="66"/>
      <c r="AH1530" s="66"/>
      <c r="AI1530" s="66"/>
      <c r="AJ1530" s="66"/>
      <c r="AK1530" s="66"/>
      <c r="AL1530" s="66"/>
      <c r="AM1530" s="66"/>
      <c r="AN1530" s="66"/>
      <c r="AO1530" s="66"/>
      <c r="AP1530" s="66"/>
      <c r="AQ1530" s="66"/>
      <c r="AR1530" s="66"/>
      <c r="AS1530" s="66"/>
      <c r="AT1530" s="66"/>
      <c r="AU1530" s="66"/>
      <c r="AV1530" s="66"/>
      <c r="AW1530" s="66"/>
      <c r="AX1530" s="66"/>
      <c r="AY1530" s="66"/>
      <c r="AZ1530" s="66"/>
      <c r="BA1530" s="66"/>
      <c r="BB1530" s="66"/>
      <c r="BC1530" s="66"/>
      <c r="BD1530" s="66"/>
      <c r="BE1530" s="67"/>
      <c r="BF1530" s="67"/>
      <c r="BG1530" s="68"/>
      <c r="BI1530" s="69">
        <v>0</v>
      </c>
      <c r="BJ1530" s="70">
        <v>0</v>
      </c>
      <c r="BK1530" s="71">
        <v>0</v>
      </c>
      <c r="BL1530" s="71">
        <v>0</v>
      </c>
      <c r="BM1530" s="71">
        <v>0</v>
      </c>
      <c r="BN1530" s="72">
        <v>0</v>
      </c>
      <c r="BO1530" s="151" t="e">
        <f t="shared" si="94"/>
        <v>#DIV/0!</v>
      </c>
      <c r="BP1530" s="151" t="e">
        <f t="shared" si="95"/>
        <v>#DIV/0!</v>
      </c>
      <c r="BQ1530" s="71">
        <v>0</v>
      </c>
      <c r="BR1530" s="71">
        <v>0</v>
      </c>
      <c r="BS1530" s="71">
        <v>0</v>
      </c>
      <c r="BT1530" s="72">
        <v>0</v>
      </c>
      <c r="BU1530" s="151" t="e">
        <f t="shared" si="96"/>
        <v>#DIV/0!</v>
      </c>
      <c r="BV1530" s="151" t="e">
        <f t="shared" si="97"/>
        <v>#DIV/0!</v>
      </c>
    </row>
    <row r="1531" ht="30" customHeight="1" spans="1:75 16331:16349">
      <c r="A1531" s="55" t="s">
        <v>165</v>
      </c>
      <c r="B1531" s="56" t="s">
        <v>2247</v>
      </c>
      <c r="C1531" s="57" t="s">
        <v>2343</v>
      </c>
      <c r="D1531" s="59" t="s">
        <v>2480</v>
      </c>
      <c r="E1531" s="59" t="s">
        <v>2488</v>
      </c>
      <c r="F1531" s="59" t="str">
        <f>VLOOKUP(E1531,[1]库存!$B$1:$C$65536,2,FALSE)</f>
        <v>RENAULT BBG FSAB LH</v>
      </c>
      <c r="G1531" s="59" t="s">
        <v>2489</v>
      </c>
      <c r="H1531" s="59" t="s">
        <v>2490</v>
      </c>
      <c r="I1531" s="59" t="s">
        <v>2491</v>
      </c>
      <c r="J1531" s="63"/>
      <c r="K1531" s="61"/>
      <c r="L1531" s="62">
        <v>2</v>
      </c>
      <c r="M1531" s="63">
        <v>1050</v>
      </c>
      <c r="N1531" s="64">
        <v>10</v>
      </c>
      <c r="O1531" s="62">
        <v>2</v>
      </c>
      <c r="P1531" s="65">
        <f t="shared" si="93"/>
        <v>0</v>
      </c>
      <c r="Q1531" s="66"/>
      <c r="R1531" s="66"/>
      <c r="S1531" s="66"/>
      <c r="T1531" s="66"/>
      <c r="U1531" s="66"/>
      <c r="V1531" s="66"/>
      <c r="W1531" s="66"/>
      <c r="X1531" s="66"/>
      <c r="Y1531" s="66"/>
      <c r="Z1531" s="66"/>
      <c r="AA1531" s="66"/>
      <c r="AB1531" s="66"/>
      <c r="AC1531" s="66"/>
      <c r="AD1531" s="66"/>
      <c r="AE1531" s="66"/>
      <c r="AF1531" s="66"/>
      <c r="AG1531" s="66"/>
      <c r="AH1531" s="66"/>
      <c r="AI1531" s="66"/>
      <c r="AJ1531" s="66"/>
      <c r="AK1531" s="66"/>
      <c r="AL1531" s="66"/>
      <c r="AM1531" s="66"/>
      <c r="AN1531" s="66"/>
      <c r="AO1531" s="66"/>
      <c r="AP1531" s="66"/>
      <c r="AQ1531" s="66"/>
      <c r="AR1531" s="66"/>
      <c r="AS1531" s="66"/>
      <c r="AT1531" s="66"/>
      <c r="AU1531" s="66"/>
      <c r="AV1531" s="66"/>
      <c r="AW1531" s="66"/>
      <c r="AX1531" s="66"/>
      <c r="AY1531" s="66"/>
      <c r="AZ1531" s="66"/>
      <c r="BA1531" s="66"/>
      <c r="BB1531" s="66"/>
      <c r="BC1531" s="66"/>
      <c r="BD1531" s="66"/>
      <c r="BE1531" s="67"/>
      <c r="BF1531" s="67"/>
      <c r="BG1531" s="68"/>
      <c r="BI1531" s="69">
        <v>0</v>
      </c>
      <c r="BJ1531" s="70">
        <v>0</v>
      </c>
      <c r="BK1531" s="71">
        <v>0</v>
      </c>
      <c r="BL1531" s="71">
        <v>0</v>
      </c>
      <c r="BM1531" s="71">
        <v>0</v>
      </c>
      <c r="BN1531" s="72">
        <v>0</v>
      </c>
      <c r="BO1531" s="151" t="e">
        <f t="shared" si="94"/>
        <v>#DIV/0!</v>
      </c>
      <c r="BP1531" s="151" t="e">
        <f t="shared" si="95"/>
        <v>#DIV/0!</v>
      </c>
      <c r="BQ1531" s="71">
        <v>0</v>
      </c>
      <c r="BR1531" s="71">
        <v>0</v>
      </c>
      <c r="BS1531" s="71">
        <v>0</v>
      </c>
      <c r="BT1531" s="72">
        <v>0</v>
      </c>
      <c r="BU1531" s="151" t="e">
        <f t="shared" si="96"/>
        <v>#DIV/0!</v>
      </c>
      <c r="BV1531" s="151" t="e">
        <f t="shared" si="97"/>
        <v>#DIV/0!</v>
      </c>
    </row>
    <row r="1532" ht="30" customHeight="1" spans="1:75 16331:16349">
      <c r="A1532" s="55">
        <v>0</v>
      </c>
      <c r="B1532" s="56">
        <v>0</v>
      </c>
      <c r="C1532" s="57">
        <v>0</v>
      </c>
      <c r="D1532" s="152"/>
      <c r="E1532" s="152"/>
      <c r="F1532" s="59" t="e">
        <f>VLOOKUP(E1532,[1]库存!$B$1:$C$65536,2,FALSE)</f>
        <v>#N/A</v>
      </c>
      <c r="G1532" s="59" t="e">
        <v>#N/A</v>
      </c>
      <c r="H1532" s="152"/>
      <c r="I1532" s="74"/>
      <c r="J1532" s="87"/>
      <c r="K1532" s="61"/>
      <c r="L1532" s="62">
        <v>0</v>
      </c>
      <c r="M1532" s="63">
        <v>0</v>
      </c>
      <c r="N1532" s="64">
        <v>0</v>
      </c>
      <c r="O1532" s="62">
        <v>0</v>
      </c>
      <c r="P1532" s="65">
        <f t="shared" si="93"/>
        <v>0</v>
      </c>
      <c r="Q1532" s="66"/>
      <c r="R1532" s="66"/>
      <c r="S1532" s="66"/>
      <c r="T1532" s="66"/>
      <c r="U1532" s="66"/>
      <c r="V1532" s="66"/>
      <c r="W1532" s="66"/>
      <c r="X1532" s="66"/>
      <c r="Y1532" s="66"/>
      <c r="Z1532" s="66"/>
      <c r="AA1532" s="66"/>
      <c r="AB1532" s="66"/>
      <c r="AC1532" s="66"/>
      <c r="AD1532" s="66"/>
      <c r="AE1532" s="66"/>
      <c r="AF1532" s="66"/>
      <c r="AG1532" s="66"/>
      <c r="AH1532" s="66"/>
      <c r="AI1532" s="66"/>
      <c r="AJ1532" s="66"/>
      <c r="AK1532" s="66"/>
      <c r="AL1532" s="66"/>
      <c r="AM1532" s="66"/>
      <c r="AN1532" s="66"/>
      <c r="AO1532" s="66"/>
      <c r="AP1532" s="66"/>
      <c r="AQ1532" s="66"/>
      <c r="AR1532" s="66"/>
      <c r="AS1532" s="66"/>
      <c r="AT1532" s="66"/>
      <c r="AU1532" s="66"/>
      <c r="AV1532" s="66"/>
      <c r="AW1532" s="66"/>
      <c r="AX1532" s="66"/>
      <c r="AY1532" s="66"/>
      <c r="AZ1532" s="66"/>
      <c r="BA1532" s="66"/>
      <c r="BB1532" s="66"/>
      <c r="BC1532" s="66"/>
      <c r="BD1532" s="66"/>
      <c r="BE1532" s="67"/>
      <c r="BF1532" s="67"/>
      <c r="BG1532" s="68"/>
      <c r="BI1532" s="69">
        <v>0</v>
      </c>
      <c r="BJ1532" s="70">
        <v>0</v>
      </c>
      <c r="BK1532" s="71">
        <v>0</v>
      </c>
      <c r="BL1532" s="71">
        <v>0</v>
      </c>
      <c r="BM1532" s="71">
        <v>0</v>
      </c>
      <c r="BN1532" s="72">
        <v>0</v>
      </c>
      <c r="BO1532" s="151" t="e">
        <f t="shared" si="94"/>
        <v>#DIV/0!</v>
      </c>
      <c r="BP1532" s="151" t="e">
        <f t="shared" si="95"/>
        <v>#DIV/0!</v>
      </c>
      <c r="BQ1532" s="71">
        <v>0</v>
      </c>
      <c r="BR1532" s="71">
        <v>0</v>
      </c>
      <c r="BS1532" s="71">
        <v>0</v>
      </c>
      <c r="BT1532" s="72">
        <v>0</v>
      </c>
      <c r="BU1532" s="151" t="e">
        <f t="shared" si="96"/>
        <v>#DIV/0!</v>
      </c>
      <c r="BV1532" s="151" t="e">
        <f t="shared" si="97"/>
        <v>#DIV/0!</v>
      </c>
    </row>
    <row r="1533" ht="30" customHeight="1" spans="1:75 16331:16349">
      <c r="A1533" s="55" t="s">
        <v>165</v>
      </c>
      <c r="B1533" s="56" t="s">
        <v>2247</v>
      </c>
      <c r="C1533" s="57" t="s">
        <v>2343</v>
      </c>
      <c r="D1533" s="59" t="s">
        <v>2480</v>
      </c>
      <c r="E1533" s="59" t="s">
        <v>2492</v>
      </c>
      <c r="F1533" s="59" t="str">
        <f>VLOOKUP(E1533,[1]库存!$B$1:$C$65536,2,FALSE)</f>
        <v>RENAULT BBG FSAB RH</v>
      </c>
      <c r="G1533" s="59" t="s">
        <v>2493</v>
      </c>
      <c r="H1533" s="59" t="s">
        <v>2494</v>
      </c>
      <c r="I1533" s="59" t="s">
        <v>2491</v>
      </c>
      <c r="J1533" s="63"/>
      <c r="K1533" s="61"/>
      <c r="L1533" s="62">
        <v>2</v>
      </c>
      <c r="M1533" s="63">
        <v>1050</v>
      </c>
      <c r="N1533" s="64">
        <v>10</v>
      </c>
      <c r="O1533" s="62">
        <v>2</v>
      </c>
      <c r="P1533" s="65">
        <f t="shared" si="93"/>
        <v>0</v>
      </c>
      <c r="Q1533" s="66"/>
      <c r="R1533" s="66"/>
      <c r="S1533" s="66"/>
      <c r="T1533" s="66"/>
      <c r="U1533" s="66"/>
      <c r="V1533" s="66"/>
      <c r="W1533" s="66"/>
      <c r="X1533" s="66"/>
      <c r="Y1533" s="66"/>
      <c r="Z1533" s="66"/>
      <c r="AA1533" s="66"/>
      <c r="AB1533" s="66"/>
      <c r="AC1533" s="66"/>
      <c r="AD1533" s="66"/>
      <c r="AE1533" s="66"/>
      <c r="AF1533" s="66"/>
      <c r="AG1533" s="66"/>
      <c r="AH1533" s="66"/>
      <c r="AI1533" s="66"/>
      <c r="AJ1533" s="66"/>
      <c r="AK1533" s="66"/>
      <c r="AL1533" s="66"/>
      <c r="AM1533" s="66"/>
      <c r="AN1533" s="66"/>
      <c r="AO1533" s="66"/>
      <c r="AP1533" s="66"/>
      <c r="AQ1533" s="66"/>
      <c r="AR1533" s="66"/>
      <c r="AS1533" s="66"/>
      <c r="AT1533" s="66"/>
      <c r="AU1533" s="66"/>
      <c r="AV1533" s="66"/>
      <c r="AW1533" s="66"/>
      <c r="AX1533" s="66"/>
      <c r="AY1533" s="66"/>
      <c r="AZ1533" s="66"/>
      <c r="BA1533" s="66"/>
      <c r="BB1533" s="66"/>
      <c r="BC1533" s="66"/>
      <c r="BD1533" s="66"/>
      <c r="BE1533" s="67"/>
      <c r="BF1533" s="67"/>
      <c r="BG1533" s="68"/>
      <c r="BI1533" s="69">
        <v>0</v>
      </c>
      <c r="BJ1533" s="70">
        <v>0</v>
      </c>
      <c r="BK1533" s="71">
        <v>0</v>
      </c>
      <c r="BL1533" s="71">
        <v>0</v>
      </c>
      <c r="BM1533" s="71">
        <v>0</v>
      </c>
      <c r="BN1533" s="72">
        <v>0</v>
      </c>
      <c r="BO1533" s="151" t="e">
        <f t="shared" si="94"/>
        <v>#DIV/0!</v>
      </c>
      <c r="BP1533" s="151" t="e">
        <f t="shared" si="95"/>
        <v>#DIV/0!</v>
      </c>
      <c r="BQ1533" s="71">
        <v>0</v>
      </c>
      <c r="BR1533" s="71">
        <v>0</v>
      </c>
      <c r="BS1533" s="71">
        <v>0</v>
      </c>
      <c r="BT1533" s="72">
        <v>0</v>
      </c>
      <c r="BU1533" s="151" t="e">
        <f t="shared" si="96"/>
        <v>#DIV/0!</v>
      </c>
      <c r="BV1533" s="151" t="e">
        <f t="shared" si="97"/>
        <v>#DIV/0!</v>
      </c>
    </row>
    <row r="1534" ht="30" customHeight="1" spans="1:75 16331:16349">
      <c r="A1534" s="55">
        <v>0</v>
      </c>
      <c r="B1534" s="56">
        <v>0</v>
      </c>
      <c r="C1534" s="57">
        <v>0</v>
      </c>
      <c r="D1534" s="152"/>
      <c r="E1534" s="152"/>
      <c r="F1534" s="59" t="e">
        <f>VLOOKUP(E1534,[1]库存!$B$1:$C$65536,2,FALSE)</f>
        <v>#N/A</v>
      </c>
      <c r="G1534" s="59" t="e">
        <v>#N/A</v>
      </c>
      <c r="H1534" s="152"/>
      <c r="I1534" s="74"/>
      <c r="J1534" s="87"/>
      <c r="K1534" s="61"/>
      <c r="L1534" s="62">
        <v>0</v>
      </c>
      <c r="M1534" s="63">
        <v>0</v>
      </c>
      <c r="N1534" s="64">
        <v>0</v>
      </c>
      <c r="O1534" s="62">
        <v>0</v>
      </c>
      <c r="P1534" s="65">
        <f t="shared" si="93"/>
        <v>0</v>
      </c>
      <c r="Q1534" s="66"/>
      <c r="R1534" s="66"/>
      <c r="S1534" s="66"/>
      <c r="T1534" s="66"/>
      <c r="U1534" s="66"/>
      <c r="V1534" s="66"/>
      <c r="W1534" s="66"/>
      <c r="X1534" s="66"/>
      <c r="Y1534" s="66"/>
      <c r="Z1534" s="66"/>
      <c r="AA1534" s="66"/>
      <c r="AB1534" s="66"/>
      <c r="AC1534" s="66"/>
      <c r="AD1534" s="66"/>
      <c r="AE1534" s="66"/>
      <c r="AF1534" s="66"/>
      <c r="AG1534" s="66"/>
      <c r="AH1534" s="66"/>
      <c r="AI1534" s="66"/>
      <c r="AJ1534" s="66"/>
      <c r="AK1534" s="66"/>
      <c r="AL1534" s="66"/>
      <c r="AM1534" s="66"/>
      <c r="AN1534" s="66"/>
      <c r="AO1534" s="66"/>
      <c r="AP1534" s="66"/>
      <c r="AQ1534" s="66"/>
      <c r="AR1534" s="66"/>
      <c r="AS1534" s="66"/>
      <c r="AT1534" s="66"/>
      <c r="AU1534" s="66"/>
      <c r="AV1534" s="66"/>
      <c r="AW1534" s="66"/>
      <c r="AX1534" s="66"/>
      <c r="AY1534" s="66"/>
      <c r="AZ1534" s="66"/>
      <c r="BA1534" s="66"/>
      <c r="BB1534" s="66"/>
      <c r="BC1534" s="66"/>
      <c r="BD1534" s="66"/>
      <c r="BE1534" s="67"/>
      <c r="BF1534" s="67"/>
      <c r="BG1534" s="68"/>
      <c r="BI1534" s="69">
        <v>0</v>
      </c>
      <c r="BJ1534" s="70">
        <v>0</v>
      </c>
      <c r="BK1534" s="71">
        <v>0</v>
      </c>
      <c r="BL1534" s="71">
        <v>0</v>
      </c>
      <c r="BM1534" s="71">
        <v>0</v>
      </c>
      <c r="BN1534" s="72">
        <v>0</v>
      </c>
      <c r="BO1534" s="151" t="e">
        <f t="shared" si="94"/>
        <v>#DIV/0!</v>
      </c>
      <c r="BP1534" s="151" t="e">
        <f t="shared" si="95"/>
        <v>#DIV/0!</v>
      </c>
      <c r="BQ1534" s="71">
        <v>0</v>
      </c>
      <c r="BR1534" s="71">
        <v>0</v>
      </c>
      <c r="BS1534" s="71">
        <v>0</v>
      </c>
      <c r="BT1534" s="72">
        <v>0</v>
      </c>
      <c r="BU1534" s="151" t="e">
        <f t="shared" si="96"/>
        <v>#DIV/0!</v>
      </c>
      <c r="BV1534" s="151" t="e">
        <f t="shared" si="97"/>
        <v>#DIV/0!</v>
      </c>
    </row>
    <row r="1535" ht="30" customHeight="1" spans="1:75 16331:16349">
      <c r="A1535" s="55" t="s">
        <v>410</v>
      </c>
      <c r="B1535" s="56" t="s">
        <v>2247</v>
      </c>
      <c r="C1535" s="57" t="s">
        <v>2343</v>
      </c>
      <c r="D1535" s="59" t="s">
        <v>2480</v>
      </c>
      <c r="E1535" s="59" t="s">
        <v>2495</v>
      </c>
      <c r="F1535" s="59" t="str">
        <f>VLOOKUP(E1535,[1]库存!$B$1:$C$65536,2,FALSE)</f>
        <v>Xpeng H93 SAB LH</v>
      </c>
      <c r="G1535" s="59" t="s">
        <v>2496</v>
      </c>
      <c r="H1535" s="59" t="s">
        <v>2497</v>
      </c>
      <c r="I1535" s="59" t="s">
        <v>250</v>
      </c>
      <c r="J1535" s="80" t="s">
        <v>2498</v>
      </c>
      <c r="K1535" s="61"/>
      <c r="L1535" s="62">
        <v>2</v>
      </c>
      <c r="M1535" s="63">
        <v>900</v>
      </c>
      <c r="N1535" s="64">
        <v>12</v>
      </c>
      <c r="O1535" s="62">
        <v>2</v>
      </c>
      <c r="P1535" s="65">
        <f t="shared" si="93"/>
        <v>0</v>
      </c>
      <c r="Q1535" s="66"/>
      <c r="R1535" s="66"/>
      <c r="S1535" s="66"/>
      <c r="T1535" s="66"/>
      <c r="U1535" s="66"/>
      <c r="V1535" s="66"/>
      <c r="W1535" s="66"/>
      <c r="X1535" s="66"/>
      <c r="Y1535" s="66"/>
      <c r="Z1535" s="66"/>
      <c r="AA1535" s="66"/>
      <c r="AB1535" s="66"/>
      <c r="AC1535" s="66"/>
      <c r="AD1535" s="66"/>
      <c r="AE1535" s="66"/>
      <c r="AF1535" s="66"/>
      <c r="AG1535" s="66"/>
      <c r="AH1535" s="66"/>
      <c r="AI1535" s="66"/>
      <c r="AJ1535" s="66"/>
      <c r="AK1535" s="66"/>
      <c r="AL1535" s="66"/>
      <c r="AM1535" s="66"/>
      <c r="AN1535" s="66"/>
      <c r="AO1535" s="66"/>
      <c r="AP1535" s="66"/>
      <c r="AQ1535" s="66"/>
      <c r="AR1535" s="66"/>
      <c r="AS1535" s="66"/>
      <c r="AT1535" s="66"/>
      <c r="AU1535" s="66"/>
      <c r="AV1535" s="66"/>
      <c r="AW1535" s="66"/>
      <c r="AX1535" s="66"/>
      <c r="AY1535" s="66"/>
      <c r="AZ1535" s="66"/>
      <c r="BA1535" s="66"/>
      <c r="BB1535" s="66"/>
      <c r="BC1535" s="66"/>
      <c r="BD1535" s="66"/>
      <c r="BE1535" s="67"/>
      <c r="BF1535" s="67"/>
      <c r="BG1535" s="68"/>
      <c r="BI1535" s="69">
        <v>0</v>
      </c>
      <c r="BJ1535" s="70">
        <v>0</v>
      </c>
      <c r="BK1535" s="71">
        <v>0</v>
      </c>
      <c r="BL1535" s="71">
        <v>0</v>
      </c>
      <c r="BM1535" s="71">
        <v>0</v>
      </c>
      <c r="BN1535" s="72">
        <v>0</v>
      </c>
      <c r="BO1535" s="151" t="e">
        <f t="shared" si="94"/>
        <v>#DIV/0!</v>
      </c>
      <c r="BP1535" s="151" t="e">
        <f t="shared" si="95"/>
        <v>#DIV/0!</v>
      </c>
      <c r="BQ1535" s="71">
        <v>0</v>
      </c>
      <c r="BR1535" s="71">
        <v>0</v>
      </c>
      <c r="BS1535" s="71">
        <v>0</v>
      </c>
      <c r="BT1535" s="72">
        <v>0</v>
      </c>
      <c r="BU1535" s="151" t="e">
        <f t="shared" si="96"/>
        <v>#DIV/0!</v>
      </c>
      <c r="BV1535" s="151" t="e">
        <f t="shared" si="97"/>
        <v>#DIV/0!</v>
      </c>
    </row>
    <row r="1536" ht="30" customHeight="1" spans="1:75 16331:16349">
      <c r="A1536" s="55">
        <v>0</v>
      </c>
      <c r="B1536" s="56">
        <v>0</v>
      </c>
      <c r="C1536" s="57">
        <v>0</v>
      </c>
      <c r="D1536" s="152"/>
      <c r="E1536" s="152"/>
      <c r="F1536" s="59" t="e">
        <f>VLOOKUP(E1536,[1]库存!$B$1:$C$65536,2,FALSE)</f>
        <v>#N/A</v>
      </c>
      <c r="G1536" s="59" t="e">
        <v>#N/A</v>
      </c>
      <c r="H1536" s="152"/>
      <c r="I1536" s="152"/>
      <c r="J1536" s="81"/>
      <c r="K1536" s="61"/>
      <c r="L1536" s="62">
        <v>0</v>
      </c>
      <c r="M1536" s="63">
        <v>0</v>
      </c>
      <c r="N1536" s="64">
        <v>0</v>
      </c>
      <c r="O1536" s="62">
        <v>0</v>
      </c>
      <c r="P1536" s="65">
        <f t="shared" si="93"/>
        <v>0</v>
      </c>
      <c r="Q1536" s="66"/>
      <c r="R1536" s="66"/>
      <c r="S1536" s="66"/>
      <c r="T1536" s="66"/>
      <c r="U1536" s="66"/>
      <c r="V1536" s="66"/>
      <c r="W1536" s="66"/>
      <c r="X1536" s="66"/>
      <c r="Y1536" s="66"/>
      <c r="Z1536" s="66"/>
      <c r="AA1536" s="66"/>
      <c r="AB1536" s="66"/>
      <c r="AC1536" s="66"/>
      <c r="AD1536" s="66"/>
      <c r="AE1536" s="66"/>
      <c r="AF1536" s="66"/>
      <c r="AG1536" s="66"/>
      <c r="AH1536" s="66"/>
      <c r="AI1536" s="66"/>
      <c r="AJ1536" s="66"/>
      <c r="AK1536" s="66"/>
      <c r="AL1536" s="66"/>
      <c r="AM1536" s="66"/>
      <c r="AN1536" s="66"/>
      <c r="AO1536" s="66"/>
      <c r="AP1536" s="66"/>
      <c r="AQ1536" s="66"/>
      <c r="AR1536" s="66"/>
      <c r="AS1536" s="66"/>
      <c r="AT1536" s="66"/>
      <c r="AU1536" s="66"/>
      <c r="AV1536" s="66"/>
      <c r="AW1536" s="66"/>
      <c r="AX1536" s="66"/>
      <c r="AY1536" s="66"/>
      <c r="AZ1536" s="66"/>
      <c r="BA1536" s="66"/>
      <c r="BB1536" s="66"/>
      <c r="BC1536" s="66"/>
      <c r="BD1536" s="66"/>
      <c r="BE1536" s="67"/>
      <c r="BF1536" s="67"/>
      <c r="BG1536" s="68"/>
      <c r="BI1536" s="69">
        <v>0</v>
      </c>
      <c r="BJ1536" s="70">
        <v>0</v>
      </c>
      <c r="BK1536" s="71">
        <v>0</v>
      </c>
      <c r="BL1536" s="71">
        <v>0</v>
      </c>
      <c r="BM1536" s="71">
        <v>0</v>
      </c>
      <c r="BN1536" s="72">
        <v>0</v>
      </c>
      <c r="BO1536" s="151" t="e">
        <f t="shared" si="94"/>
        <v>#DIV/0!</v>
      </c>
      <c r="BP1536" s="151" t="e">
        <f t="shared" si="95"/>
        <v>#DIV/0!</v>
      </c>
      <c r="BQ1536" s="71">
        <v>0</v>
      </c>
      <c r="BR1536" s="71">
        <v>0</v>
      </c>
      <c r="BS1536" s="71">
        <v>0</v>
      </c>
      <c r="BT1536" s="72">
        <v>0</v>
      </c>
      <c r="BU1536" s="151" t="e">
        <f t="shared" si="96"/>
        <v>#DIV/0!</v>
      </c>
      <c r="BV1536" s="151" t="e">
        <f t="shared" si="97"/>
        <v>#DIV/0!</v>
      </c>
    </row>
    <row r="1537" ht="30" customHeight="1" spans="1:74">
      <c r="A1537" s="55" t="s">
        <v>410</v>
      </c>
      <c r="B1537" s="56" t="s">
        <v>2247</v>
      </c>
      <c r="C1537" s="57" t="s">
        <v>2343</v>
      </c>
      <c r="D1537" s="59" t="s">
        <v>2480</v>
      </c>
      <c r="E1537" s="59" t="s">
        <v>2499</v>
      </c>
      <c r="F1537" s="59" t="str">
        <f>VLOOKUP(E1537,[1]库存!$B$1:$C$65536,2,FALSE)</f>
        <v>Xpeng H93 SAB RH</v>
      </c>
      <c r="G1537" s="59" t="s">
        <v>2500</v>
      </c>
      <c r="H1537" s="59" t="s">
        <v>2501</v>
      </c>
      <c r="I1537" s="59" t="s">
        <v>250</v>
      </c>
      <c r="J1537" s="81"/>
      <c r="K1537" s="61"/>
      <c r="L1537" s="62">
        <v>2</v>
      </c>
      <c r="M1537" s="63">
        <v>900</v>
      </c>
      <c r="N1537" s="64">
        <v>12</v>
      </c>
      <c r="O1537" s="62">
        <v>2</v>
      </c>
      <c r="P1537" s="65">
        <f t="shared" si="93"/>
        <v>0</v>
      </c>
      <c r="Q1537" s="66"/>
      <c r="R1537" s="66"/>
      <c r="S1537" s="66"/>
      <c r="T1537" s="66"/>
      <c r="U1537" s="66"/>
      <c r="V1537" s="66"/>
      <c r="W1537" s="66"/>
      <c r="X1537" s="66"/>
      <c r="Y1537" s="66"/>
      <c r="Z1537" s="66"/>
      <c r="AA1537" s="66"/>
      <c r="AB1537" s="66"/>
      <c r="AC1537" s="66"/>
      <c r="AD1537" s="66"/>
      <c r="AE1537" s="66"/>
      <c r="AF1537" s="66"/>
      <c r="AG1537" s="66"/>
      <c r="AH1537" s="66"/>
      <c r="AI1537" s="66"/>
      <c r="AJ1537" s="66"/>
      <c r="AK1537" s="66"/>
      <c r="AL1537" s="66"/>
      <c r="AM1537" s="66"/>
      <c r="AN1537" s="66"/>
      <c r="AO1537" s="66"/>
      <c r="AP1537" s="66"/>
      <c r="AQ1537" s="66"/>
      <c r="AR1537" s="66"/>
      <c r="AS1537" s="66"/>
      <c r="AT1537" s="66"/>
      <c r="AU1537" s="66"/>
      <c r="AV1537" s="66"/>
      <c r="AW1537" s="66"/>
      <c r="AX1537" s="66"/>
      <c r="AY1537" s="66"/>
      <c r="AZ1537" s="66"/>
      <c r="BA1537" s="66"/>
      <c r="BB1537" s="66"/>
      <c r="BC1537" s="66"/>
      <c r="BD1537" s="66"/>
      <c r="BE1537" s="67"/>
      <c r="BF1537" s="67"/>
      <c r="BG1537" s="68"/>
      <c r="BI1537" s="69">
        <v>0</v>
      </c>
      <c r="BJ1537" s="70">
        <v>0</v>
      </c>
      <c r="BK1537" s="71">
        <v>0</v>
      </c>
      <c r="BL1537" s="71">
        <v>0</v>
      </c>
      <c r="BM1537" s="71">
        <v>0</v>
      </c>
      <c r="BN1537" s="72">
        <v>0</v>
      </c>
      <c r="BO1537" s="151" t="e">
        <f t="shared" si="94"/>
        <v>#DIV/0!</v>
      </c>
      <c r="BP1537" s="151" t="e">
        <f t="shared" si="95"/>
        <v>#DIV/0!</v>
      </c>
      <c r="BQ1537" s="71">
        <v>0</v>
      </c>
      <c r="BR1537" s="71">
        <v>0</v>
      </c>
      <c r="BS1537" s="71">
        <v>0</v>
      </c>
      <c r="BT1537" s="72">
        <v>0</v>
      </c>
      <c r="BU1537" s="151" t="e">
        <f t="shared" si="96"/>
        <v>#DIV/0!</v>
      </c>
      <c r="BV1537" s="151" t="e">
        <f t="shared" si="97"/>
        <v>#DIV/0!</v>
      </c>
    </row>
    <row r="1538" ht="30" customHeight="1" spans="1:74">
      <c r="A1538" s="55">
        <v>0</v>
      </c>
      <c r="B1538" s="56">
        <v>0</v>
      </c>
      <c r="C1538" s="57">
        <v>0</v>
      </c>
      <c r="D1538" s="152"/>
      <c r="E1538" s="152"/>
      <c r="F1538" s="59" t="e">
        <f>VLOOKUP(E1538,[1]库存!$B$1:$C$65536,2,FALSE)</f>
        <v>#N/A</v>
      </c>
      <c r="G1538" s="59" t="e">
        <v>#N/A</v>
      </c>
      <c r="H1538" s="152"/>
      <c r="I1538" s="152"/>
      <c r="J1538" s="81"/>
      <c r="K1538" s="61"/>
      <c r="L1538" s="62">
        <v>0</v>
      </c>
      <c r="M1538" s="63">
        <v>0</v>
      </c>
      <c r="N1538" s="64">
        <v>0</v>
      </c>
      <c r="O1538" s="62">
        <v>0</v>
      </c>
      <c r="P1538" s="65">
        <f t="shared" si="93"/>
        <v>0</v>
      </c>
      <c r="Q1538" s="66"/>
      <c r="R1538" s="66"/>
      <c r="S1538" s="66"/>
      <c r="T1538" s="66"/>
      <c r="U1538" s="66"/>
      <c r="V1538" s="66"/>
      <c r="W1538" s="66"/>
      <c r="X1538" s="66"/>
      <c r="Y1538" s="66"/>
      <c r="Z1538" s="66"/>
      <c r="AA1538" s="66"/>
      <c r="AB1538" s="66"/>
      <c r="AC1538" s="66"/>
      <c r="AD1538" s="66"/>
      <c r="AE1538" s="66"/>
      <c r="AF1538" s="66"/>
      <c r="AG1538" s="66"/>
      <c r="AH1538" s="66"/>
      <c r="AI1538" s="66"/>
      <c r="AJ1538" s="66"/>
      <c r="AK1538" s="66"/>
      <c r="AL1538" s="66"/>
      <c r="AM1538" s="66"/>
      <c r="AN1538" s="66"/>
      <c r="AO1538" s="66"/>
      <c r="AP1538" s="66"/>
      <c r="AQ1538" s="66"/>
      <c r="AR1538" s="66"/>
      <c r="AS1538" s="66"/>
      <c r="AT1538" s="66"/>
      <c r="AU1538" s="66"/>
      <c r="AV1538" s="66"/>
      <c r="AW1538" s="66"/>
      <c r="AX1538" s="66"/>
      <c r="AY1538" s="66"/>
      <c r="AZ1538" s="66"/>
      <c r="BA1538" s="66"/>
      <c r="BB1538" s="66"/>
      <c r="BC1538" s="66"/>
      <c r="BD1538" s="66"/>
      <c r="BE1538" s="67"/>
      <c r="BF1538" s="67"/>
      <c r="BG1538" s="68"/>
      <c r="BI1538" s="69">
        <v>0</v>
      </c>
      <c r="BJ1538" s="70">
        <v>0</v>
      </c>
      <c r="BK1538" s="71">
        <v>0</v>
      </c>
      <c r="BL1538" s="71">
        <v>0</v>
      </c>
      <c r="BM1538" s="71">
        <v>0</v>
      </c>
      <c r="BN1538" s="72">
        <v>0</v>
      </c>
      <c r="BO1538" s="151" t="e">
        <f t="shared" si="94"/>
        <v>#DIV/0!</v>
      </c>
      <c r="BP1538" s="151" t="e">
        <f t="shared" si="95"/>
        <v>#DIV/0!</v>
      </c>
      <c r="BQ1538" s="71">
        <v>0</v>
      </c>
      <c r="BR1538" s="71">
        <v>0</v>
      </c>
      <c r="BS1538" s="71">
        <v>0</v>
      </c>
      <c r="BT1538" s="72">
        <v>0</v>
      </c>
      <c r="BU1538" s="151" t="e">
        <f t="shared" si="96"/>
        <v>#DIV/0!</v>
      </c>
      <c r="BV1538" s="151" t="e">
        <f t="shared" si="97"/>
        <v>#DIV/0!</v>
      </c>
    </row>
    <row r="1539" ht="30" customHeight="1" spans="1:74">
      <c r="A1539" s="55" t="s">
        <v>165</v>
      </c>
      <c r="B1539" s="56" t="s">
        <v>2247</v>
      </c>
      <c r="C1539" s="57" t="s">
        <v>2343</v>
      </c>
      <c r="D1539" s="59" t="s">
        <v>2480</v>
      </c>
      <c r="E1539" s="59" t="s">
        <v>2502</v>
      </c>
      <c r="F1539" s="59" t="str">
        <f>VLOOKUP(E1539,[1]库存!$B$1:$C$65536,2,FALSE)</f>
        <v>LIXIANG W01 SAB LH</v>
      </c>
      <c r="G1539" s="59" t="s">
        <v>2503</v>
      </c>
      <c r="H1539" s="59" t="s">
        <v>2504</v>
      </c>
      <c r="I1539" s="59" t="s">
        <v>2505</v>
      </c>
      <c r="J1539" s="63"/>
      <c r="K1539" s="61"/>
      <c r="L1539" s="62">
        <v>2</v>
      </c>
      <c r="M1539" s="63">
        <v>1100</v>
      </c>
      <c r="N1539" s="64">
        <v>11</v>
      </c>
      <c r="O1539" s="62">
        <v>2</v>
      </c>
      <c r="P1539" s="65">
        <f t="shared" si="93"/>
        <v>0</v>
      </c>
      <c r="Q1539" s="66"/>
      <c r="R1539" s="66"/>
      <c r="S1539" s="66"/>
      <c r="T1539" s="66"/>
      <c r="U1539" s="66"/>
      <c r="V1539" s="66"/>
      <c r="W1539" s="66"/>
      <c r="X1539" s="66"/>
      <c r="Y1539" s="66"/>
      <c r="Z1539" s="66"/>
      <c r="AA1539" s="66"/>
      <c r="AB1539" s="66"/>
      <c r="AC1539" s="66"/>
      <c r="AD1539" s="66"/>
      <c r="AE1539" s="66"/>
      <c r="AF1539" s="66"/>
      <c r="AG1539" s="66"/>
      <c r="AH1539" s="66"/>
      <c r="AI1539" s="66"/>
      <c r="AJ1539" s="66"/>
      <c r="AK1539" s="66"/>
      <c r="AL1539" s="66"/>
      <c r="AM1539" s="66"/>
      <c r="AN1539" s="66"/>
      <c r="AO1539" s="66"/>
      <c r="AP1539" s="66"/>
      <c r="AQ1539" s="66"/>
      <c r="AR1539" s="66"/>
      <c r="AS1539" s="66"/>
      <c r="AT1539" s="66"/>
      <c r="AU1539" s="66"/>
      <c r="AV1539" s="66"/>
      <c r="AW1539" s="66"/>
      <c r="AX1539" s="66"/>
      <c r="AY1539" s="66"/>
      <c r="AZ1539" s="66"/>
      <c r="BA1539" s="66"/>
      <c r="BB1539" s="66"/>
      <c r="BC1539" s="66"/>
      <c r="BD1539" s="66"/>
      <c r="BE1539" s="67"/>
      <c r="BF1539" s="67"/>
      <c r="BG1539" s="68"/>
      <c r="BI1539" s="69">
        <v>0</v>
      </c>
      <c r="BJ1539" s="70">
        <v>0</v>
      </c>
      <c r="BK1539" s="71">
        <v>0</v>
      </c>
      <c r="BL1539" s="71">
        <v>0</v>
      </c>
      <c r="BM1539" s="71">
        <v>0</v>
      </c>
      <c r="BN1539" s="72">
        <v>0</v>
      </c>
      <c r="BO1539" s="151" t="e">
        <f t="shared" si="94"/>
        <v>#DIV/0!</v>
      </c>
      <c r="BP1539" s="151" t="e">
        <f t="shared" si="95"/>
        <v>#DIV/0!</v>
      </c>
      <c r="BQ1539" s="71">
        <v>0</v>
      </c>
      <c r="BR1539" s="71">
        <v>0</v>
      </c>
      <c r="BS1539" s="71">
        <v>0</v>
      </c>
      <c r="BT1539" s="72">
        <v>0</v>
      </c>
      <c r="BU1539" s="151" t="e">
        <f t="shared" si="96"/>
        <v>#DIV/0!</v>
      </c>
      <c r="BV1539" s="151" t="e">
        <f t="shared" si="97"/>
        <v>#DIV/0!</v>
      </c>
    </row>
    <row r="1540" ht="30" customHeight="1" spans="1:74">
      <c r="A1540" s="55">
        <v>0</v>
      </c>
      <c r="B1540" s="56">
        <v>0</v>
      </c>
      <c r="C1540" s="57">
        <v>0</v>
      </c>
      <c r="D1540" s="152"/>
      <c r="E1540" s="152"/>
      <c r="F1540" s="59" t="e">
        <f>VLOOKUP(E1540,[1]库存!$B$1:$C$65536,2,FALSE)</f>
        <v>#N/A</v>
      </c>
      <c r="G1540" s="59" t="e">
        <v>#N/A</v>
      </c>
      <c r="H1540" s="152"/>
      <c r="I1540" s="152"/>
      <c r="J1540" s="87"/>
      <c r="K1540" s="61"/>
      <c r="L1540" s="62">
        <v>0</v>
      </c>
      <c r="M1540" s="63">
        <v>0</v>
      </c>
      <c r="N1540" s="64">
        <v>0</v>
      </c>
      <c r="O1540" s="62">
        <v>0</v>
      </c>
      <c r="P1540" s="65">
        <f t="shared" si="93"/>
        <v>0</v>
      </c>
      <c r="Q1540" s="66"/>
      <c r="R1540" s="66"/>
      <c r="S1540" s="66"/>
      <c r="T1540" s="66"/>
      <c r="U1540" s="66"/>
      <c r="V1540" s="66"/>
      <c r="W1540" s="66"/>
      <c r="X1540" s="66"/>
      <c r="Y1540" s="66"/>
      <c r="Z1540" s="66"/>
      <c r="AA1540" s="66"/>
      <c r="AB1540" s="66"/>
      <c r="AC1540" s="66"/>
      <c r="AD1540" s="66"/>
      <c r="AE1540" s="66"/>
      <c r="AF1540" s="66"/>
      <c r="AG1540" s="66"/>
      <c r="AH1540" s="66"/>
      <c r="AI1540" s="66"/>
      <c r="AJ1540" s="66"/>
      <c r="AK1540" s="66"/>
      <c r="AL1540" s="66"/>
      <c r="AM1540" s="66"/>
      <c r="AN1540" s="66"/>
      <c r="AO1540" s="66"/>
      <c r="AP1540" s="66"/>
      <c r="AQ1540" s="66"/>
      <c r="AR1540" s="66"/>
      <c r="AS1540" s="66"/>
      <c r="AT1540" s="66"/>
      <c r="AU1540" s="66"/>
      <c r="AV1540" s="66"/>
      <c r="AW1540" s="66"/>
      <c r="AX1540" s="66"/>
      <c r="AY1540" s="66"/>
      <c r="AZ1540" s="66"/>
      <c r="BA1540" s="66"/>
      <c r="BB1540" s="66"/>
      <c r="BC1540" s="66"/>
      <c r="BD1540" s="66"/>
      <c r="BE1540" s="67"/>
      <c r="BF1540" s="67"/>
      <c r="BG1540" s="68"/>
      <c r="BI1540" s="69">
        <v>0</v>
      </c>
      <c r="BJ1540" s="70">
        <v>0</v>
      </c>
      <c r="BK1540" s="71">
        <v>0</v>
      </c>
      <c r="BL1540" s="71">
        <v>0</v>
      </c>
      <c r="BM1540" s="71">
        <v>0</v>
      </c>
      <c r="BN1540" s="72">
        <v>0</v>
      </c>
      <c r="BO1540" s="151" t="e">
        <f t="shared" si="94"/>
        <v>#DIV/0!</v>
      </c>
      <c r="BP1540" s="151" t="e">
        <f t="shared" si="95"/>
        <v>#DIV/0!</v>
      </c>
      <c r="BQ1540" s="71">
        <v>0</v>
      </c>
      <c r="BR1540" s="71">
        <v>0</v>
      </c>
      <c r="BS1540" s="71">
        <v>0</v>
      </c>
      <c r="BT1540" s="72">
        <v>0</v>
      </c>
      <c r="BU1540" s="151" t="e">
        <f t="shared" si="96"/>
        <v>#DIV/0!</v>
      </c>
      <c r="BV1540" s="151" t="e">
        <f t="shared" si="97"/>
        <v>#DIV/0!</v>
      </c>
    </row>
    <row r="1541" ht="30" customHeight="1" spans="1:74">
      <c r="A1541" s="55" t="s">
        <v>165</v>
      </c>
      <c r="B1541" s="56" t="s">
        <v>2247</v>
      </c>
      <c r="C1541" s="57" t="s">
        <v>2343</v>
      </c>
      <c r="D1541" s="59" t="s">
        <v>2480</v>
      </c>
      <c r="E1541" s="59" t="s">
        <v>2506</v>
      </c>
      <c r="F1541" s="59" t="str">
        <f>VLOOKUP(E1541,[1]库存!$B$1:$C$65536,2,FALSE)</f>
        <v>LIXIANG W01 SAB RH</v>
      </c>
      <c r="G1541" s="59" t="s">
        <v>2507</v>
      </c>
      <c r="H1541" s="59" t="s">
        <v>2508</v>
      </c>
      <c r="I1541" s="59" t="s">
        <v>2505</v>
      </c>
      <c r="J1541" s="63"/>
      <c r="K1541" s="61"/>
      <c r="L1541" s="62">
        <v>2</v>
      </c>
      <c r="M1541" s="63">
        <v>1100</v>
      </c>
      <c r="N1541" s="64">
        <v>11</v>
      </c>
      <c r="O1541" s="62">
        <v>2</v>
      </c>
      <c r="P1541" s="65">
        <f t="shared" si="93"/>
        <v>0</v>
      </c>
      <c r="Q1541" s="66"/>
      <c r="R1541" s="66"/>
      <c r="S1541" s="66"/>
      <c r="T1541" s="66"/>
      <c r="U1541" s="66"/>
      <c r="V1541" s="66"/>
      <c r="W1541" s="66"/>
      <c r="X1541" s="66"/>
      <c r="Y1541" s="66"/>
      <c r="Z1541" s="66"/>
      <c r="AA1541" s="66"/>
      <c r="AB1541" s="66"/>
      <c r="AC1541" s="66"/>
      <c r="AD1541" s="66"/>
      <c r="AE1541" s="66"/>
      <c r="AF1541" s="66"/>
      <c r="AG1541" s="66"/>
      <c r="AH1541" s="66"/>
      <c r="AI1541" s="66"/>
      <c r="AJ1541" s="66"/>
      <c r="AK1541" s="66"/>
      <c r="AL1541" s="66"/>
      <c r="AM1541" s="66"/>
      <c r="AN1541" s="66"/>
      <c r="AO1541" s="66"/>
      <c r="AP1541" s="66"/>
      <c r="AQ1541" s="66"/>
      <c r="AR1541" s="66"/>
      <c r="AS1541" s="66"/>
      <c r="AT1541" s="66"/>
      <c r="AU1541" s="66"/>
      <c r="AV1541" s="66"/>
      <c r="AW1541" s="66"/>
      <c r="AX1541" s="66"/>
      <c r="AY1541" s="66"/>
      <c r="AZ1541" s="66"/>
      <c r="BA1541" s="66"/>
      <c r="BB1541" s="66"/>
      <c r="BC1541" s="66"/>
      <c r="BD1541" s="66"/>
      <c r="BE1541" s="67"/>
      <c r="BF1541" s="67"/>
      <c r="BG1541" s="68"/>
      <c r="BI1541" s="69">
        <v>0</v>
      </c>
      <c r="BJ1541" s="70">
        <v>0</v>
      </c>
      <c r="BK1541" s="71">
        <v>0</v>
      </c>
      <c r="BL1541" s="71">
        <v>0</v>
      </c>
      <c r="BM1541" s="71">
        <v>0</v>
      </c>
      <c r="BN1541" s="72">
        <v>0</v>
      </c>
      <c r="BO1541" s="151" t="e">
        <f t="shared" si="94"/>
        <v>#DIV/0!</v>
      </c>
      <c r="BP1541" s="151" t="e">
        <f t="shared" si="95"/>
        <v>#DIV/0!</v>
      </c>
      <c r="BQ1541" s="71">
        <v>0</v>
      </c>
      <c r="BR1541" s="71">
        <v>0</v>
      </c>
      <c r="BS1541" s="71">
        <v>0</v>
      </c>
      <c r="BT1541" s="72">
        <v>0</v>
      </c>
      <c r="BU1541" s="151" t="e">
        <f t="shared" si="96"/>
        <v>#DIV/0!</v>
      </c>
      <c r="BV1541" s="151" t="e">
        <f t="shared" si="97"/>
        <v>#DIV/0!</v>
      </c>
    </row>
    <row r="1542" ht="30" customHeight="1" spans="1:74">
      <c r="A1542" s="55">
        <v>0</v>
      </c>
      <c r="B1542" s="56">
        <v>0</v>
      </c>
      <c r="C1542" s="57">
        <v>0</v>
      </c>
      <c r="D1542" s="152"/>
      <c r="E1542" s="152"/>
      <c r="F1542" s="59" t="e">
        <f>VLOOKUP(E1542,[1]库存!$B$1:$C$65536,2,FALSE)</f>
        <v>#N/A</v>
      </c>
      <c r="G1542" s="59" t="e">
        <v>#N/A</v>
      </c>
      <c r="H1542" s="152"/>
      <c r="I1542" s="152"/>
      <c r="J1542" s="87"/>
      <c r="K1542" s="61"/>
      <c r="L1542" s="62">
        <v>0</v>
      </c>
      <c r="M1542" s="63">
        <v>0</v>
      </c>
      <c r="N1542" s="64">
        <v>0</v>
      </c>
      <c r="O1542" s="62">
        <v>0</v>
      </c>
      <c r="P1542" s="65">
        <f t="shared" ref="P1542:P1605" si="98">SUM(AG1542:AJ1542)</f>
        <v>0</v>
      </c>
      <c r="Q1542" s="66"/>
      <c r="R1542" s="66"/>
      <c r="S1542" s="66"/>
      <c r="T1542" s="66"/>
      <c r="U1542" s="66"/>
      <c r="V1542" s="66"/>
      <c r="W1542" s="66"/>
      <c r="X1542" s="66"/>
      <c r="Y1542" s="66"/>
      <c r="Z1542" s="66"/>
      <c r="AA1542" s="66"/>
      <c r="AB1542" s="66"/>
      <c r="AC1542" s="66"/>
      <c r="AD1542" s="66"/>
      <c r="AE1542" s="66"/>
      <c r="AF1542" s="66"/>
      <c r="AG1542" s="66"/>
      <c r="AH1542" s="66"/>
      <c r="AI1542" s="66"/>
      <c r="AJ1542" s="66"/>
      <c r="AK1542" s="66"/>
      <c r="AL1542" s="66"/>
      <c r="AM1542" s="66"/>
      <c r="AN1542" s="66"/>
      <c r="AO1542" s="66"/>
      <c r="AP1542" s="66"/>
      <c r="AQ1542" s="66"/>
      <c r="AR1542" s="66"/>
      <c r="AS1542" s="66"/>
      <c r="AT1542" s="66"/>
      <c r="AU1542" s="66"/>
      <c r="AV1542" s="66"/>
      <c r="AW1542" s="66"/>
      <c r="AX1542" s="66"/>
      <c r="AY1542" s="66"/>
      <c r="AZ1542" s="66"/>
      <c r="BA1542" s="66"/>
      <c r="BB1542" s="66"/>
      <c r="BC1542" s="66"/>
      <c r="BD1542" s="66"/>
      <c r="BE1542" s="67"/>
      <c r="BF1542" s="67"/>
      <c r="BG1542" s="68"/>
      <c r="BI1542" s="69">
        <v>0</v>
      </c>
      <c r="BJ1542" s="70">
        <v>0</v>
      </c>
      <c r="BK1542" s="71">
        <v>0</v>
      </c>
      <c r="BL1542" s="71">
        <v>0</v>
      </c>
      <c r="BM1542" s="71">
        <v>0</v>
      </c>
      <c r="BN1542" s="72">
        <v>0</v>
      </c>
      <c r="BO1542" s="151" t="e">
        <f t="shared" si="94"/>
        <v>#DIV/0!</v>
      </c>
      <c r="BP1542" s="151" t="e">
        <f t="shared" si="95"/>
        <v>#DIV/0!</v>
      </c>
      <c r="BQ1542" s="71">
        <v>0</v>
      </c>
      <c r="BR1542" s="71">
        <v>0</v>
      </c>
      <c r="BS1542" s="71">
        <v>0</v>
      </c>
      <c r="BT1542" s="72">
        <v>0</v>
      </c>
      <c r="BU1542" s="151" t="e">
        <f t="shared" si="96"/>
        <v>#DIV/0!</v>
      </c>
      <c r="BV1542" s="151" t="e">
        <f t="shared" si="97"/>
        <v>#DIV/0!</v>
      </c>
    </row>
    <row r="1543" ht="30" customHeight="1" spans="1:74">
      <c r="A1543" s="55">
        <v>0</v>
      </c>
      <c r="B1543" s="56">
        <v>0</v>
      </c>
      <c r="C1543" s="57">
        <v>0</v>
      </c>
      <c r="D1543" s="210"/>
      <c r="E1543" s="88"/>
      <c r="F1543" s="59" t="e">
        <f>VLOOKUP(E1543,[1]库存!$B$1:$C$65536,2,FALSE)</f>
        <v>#N/A</v>
      </c>
      <c r="G1543" s="59" t="e">
        <v>#N/A</v>
      </c>
      <c r="H1543" s="238"/>
      <c r="I1543" s="239"/>
      <c r="J1543" s="90"/>
      <c r="K1543" s="61"/>
      <c r="L1543" s="62">
        <v>0</v>
      </c>
      <c r="M1543" s="63">
        <v>0</v>
      </c>
      <c r="N1543" s="64">
        <v>0</v>
      </c>
      <c r="O1543" s="62">
        <v>0</v>
      </c>
      <c r="P1543" s="65">
        <f t="shared" si="98"/>
        <v>0</v>
      </c>
      <c r="Q1543" s="66"/>
      <c r="R1543" s="66"/>
      <c r="S1543" s="66"/>
      <c r="T1543" s="66"/>
      <c r="U1543" s="66"/>
      <c r="V1543" s="66"/>
      <c r="W1543" s="66"/>
      <c r="X1543" s="66"/>
      <c r="Y1543" s="66"/>
      <c r="Z1543" s="66"/>
      <c r="AA1543" s="66"/>
      <c r="AB1543" s="66"/>
      <c r="AC1543" s="66"/>
      <c r="AD1543" s="66"/>
      <c r="AE1543" s="66"/>
      <c r="AF1543" s="66"/>
      <c r="AG1543" s="66"/>
      <c r="AH1543" s="66"/>
      <c r="AI1543" s="66"/>
      <c r="AJ1543" s="66"/>
      <c r="AK1543" s="66"/>
      <c r="AL1543" s="66"/>
      <c r="AM1543" s="66"/>
      <c r="AN1543" s="66"/>
      <c r="AO1543" s="66"/>
      <c r="AP1543" s="66"/>
      <c r="AQ1543" s="66"/>
      <c r="AR1543" s="66"/>
      <c r="AS1543" s="66"/>
      <c r="AT1543" s="66"/>
      <c r="AU1543" s="66"/>
      <c r="AV1543" s="66"/>
      <c r="AW1543" s="66"/>
      <c r="AX1543" s="66"/>
      <c r="AY1543" s="66"/>
      <c r="AZ1543" s="66"/>
      <c r="BA1543" s="66"/>
      <c r="BB1543" s="66"/>
      <c r="BC1543" s="66"/>
      <c r="BD1543" s="66"/>
      <c r="BE1543" s="67"/>
      <c r="BF1543" s="67"/>
      <c r="BG1543" s="68"/>
      <c r="BI1543" s="69">
        <v>0</v>
      </c>
      <c r="BJ1543" s="70">
        <v>0</v>
      </c>
      <c r="BK1543" s="71">
        <v>0</v>
      </c>
      <c r="BL1543" s="71">
        <v>0</v>
      </c>
      <c r="BM1543" s="71">
        <v>0</v>
      </c>
      <c r="BN1543" s="72">
        <v>0</v>
      </c>
      <c r="BO1543" s="151" t="e">
        <f t="shared" si="94"/>
        <v>#DIV/0!</v>
      </c>
      <c r="BP1543" s="151" t="e">
        <f t="shared" si="95"/>
        <v>#DIV/0!</v>
      </c>
      <c r="BQ1543" s="71">
        <v>0</v>
      </c>
      <c r="BR1543" s="71">
        <v>0</v>
      </c>
      <c r="BS1543" s="71">
        <v>0</v>
      </c>
      <c r="BT1543" s="72">
        <v>0</v>
      </c>
      <c r="BU1543" s="151" t="e">
        <f t="shared" si="96"/>
        <v>#DIV/0!</v>
      </c>
      <c r="BV1543" s="151" t="e">
        <f t="shared" si="97"/>
        <v>#DIV/0!</v>
      </c>
    </row>
    <row r="1544" ht="30" customHeight="1" spans="1:74">
      <c r="A1544" s="55">
        <v>0</v>
      </c>
      <c r="B1544" s="56" t="s">
        <v>2247</v>
      </c>
      <c r="C1544" s="57" t="s">
        <v>2343</v>
      </c>
      <c r="D1544" s="59" t="s">
        <v>2509</v>
      </c>
      <c r="E1544" s="59"/>
      <c r="F1544" s="59" t="e">
        <f>VLOOKUP(E1544,[1]库存!$B$1:$C$65536,2,FALSE)</f>
        <v>#N/A</v>
      </c>
      <c r="G1544" s="59" t="e">
        <v>#N/A</v>
      </c>
      <c r="H1544" s="59" t="s">
        <v>2510</v>
      </c>
      <c r="I1544" s="59" t="s">
        <v>2208</v>
      </c>
      <c r="J1544" s="63"/>
      <c r="K1544" s="61"/>
      <c r="L1544" s="62">
        <v>2</v>
      </c>
      <c r="M1544" s="63">
        <v>500</v>
      </c>
      <c r="N1544" s="64">
        <v>14</v>
      </c>
      <c r="O1544" s="62">
        <v>2</v>
      </c>
      <c r="P1544" s="65">
        <f t="shared" si="98"/>
        <v>0</v>
      </c>
      <c r="Q1544" s="66"/>
      <c r="R1544" s="66"/>
      <c r="S1544" s="66"/>
      <c r="T1544" s="66"/>
      <c r="U1544" s="66"/>
      <c r="V1544" s="66"/>
      <c r="W1544" s="66"/>
      <c r="X1544" s="66"/>
      <c r="Y1544" s="66"/>
      <c r="Z1544" s="66"/>
      <c r="AA1544" s="66"/>
      <c r="AB1544" s="66"/>
      <c r="AC1544" s="66"/>
      <c r="AD1544" s="66"/>
      <c r="AE1544" s="66"/>
      <c r="AF1544" s="66"/>
      <c r="AG1544" s="66"/>
      <c r="AH1544" s="66"/>
      <c r="AI1544" s="66"/>
      <c r="AJ1544" s="66"/>
      <c r="AK1544" s="66"/>
      <c r="AL1544" s="66"/>
      <c r="AM1544" s="66"/>
      <c r="AN1544" s="66"/>
      <c r="AO1544" s="66"/>
      <c r="AP1544" s="66"/>
      <c r="AQ1544" s="66"/>
      <c r="AR1544" s="66"/>
      <c r="AS1544" s="66"/>
      <c r="AT1544" s="66"/>
      <c r="AU1544" s="66"/>
      <c r="AV1544" s="66"/>
      <c r="AW1544" s="66"/>
      <c r="AX1544" s="66"/>
      <c r="AY1544" s="66"/>
      <c r="AZ1544" s="66"/>
      <c r="BA1544" s="66"/>
      <c r="BB1544" s="66"/>
      <c r="BC1544" s="66"/>
      <c r="BD1544" s="66"/>
      <c r="BE1544" s="67"/>
      <c r="BF1544" s="67"/>
      <c r="BG1544" s="68"/>
      <c r="BI1544" s="69">
        <v>0</v>
      </c>
      <c r="BJ1544" s="70">
        <v>0</v>
      </c>
      <c r="BK1544" s="71">
        <v>0</v>
      </c>
      <c r="BL1544" s="71">
        <v>0</v>
      </c>
      <c r="BM1544" s="71">
        <v>0</v>
      </c>
      <c r="BN1544" s="72">
        <v>0</v>
      </c>
      <c r="BO1544" s="151" t="e">
        <f t="shared" si="94"/>
        <v>#DIV/0!</v>
      </c>
      <c r="BP1544" s="151" t="e">
        <f t="shared" si="95"/>
        <v>#DIV/0!</v>
      </c>
      <c r="BQ1544" s="71">
        <v>0</v>
      </c>
      <c r="BR1544" s="71">
        <v>0</v>
      </c>
      <c r="BS1544" s="71">
        <v>0</v>
      </c>
      <c r="BT1544" s="72">
        <v>0</v>
      </c>
      <c r="BU1544" s="151" t="e">
        <f t="shared" si="96"/>
        <v>#DIV/0!</v>
      </c>
      <c r="BV1544" s="151" t="e">
        <f t="shared" si="97"/>
        <v>#DIV/0!</v>
      </c>
    </row>
    <row r="1545" ht="30" customHeight="1" spans="1:74">
      <c r="A1545" s="55">
        <v>0</v>
      </c>
      <c r="B1545" s="56">
        <v>0</v>
      </c>
      <c r="C1545" s="57">
        <v>0</v>
      </c>
      <c r="D1545" s="74"/>
      <c r="E1545" s="74"/>
      <c r="F1545" s="59" t="e">
        <f>VLOOKUP(E1545,[1]库存!$B$1:$C$65536,2,FALSE)</f>
        <v>#N/A</v>
      </c>
      <c r="G1545" s="59" t="e">
        <v>#N/A</v>
      </c>
      <c r="H1545" s="74"/>
      <c r="I1545" s="74"/>
      <c r="J1545" s="87"/>
      <c r="K1545" s="61"/>
      <c r="L1545" s="62">
        <v>0</v>
      </c>
      <c r="M1545" s="63">
        <v>0</v>
      </c>
      <c r="N1545" s="64">
        <v>0</v>
      </c>
      <c r="O1545" s="62">
        <v>0</v>
      </c>
      <c r="P1545" s="65">
        <f t="shared" si="98"/>
        <v>0</v>
      </c>
      <c r="Q1545" s="66"/>
      <c r="R1545" s="66"/>
      <c r="S1545" s="66"/>
      <c r="T1545" s="66"/>
      <c r="U1545" s="66"/>
      <c r="V1545" s="66"/>
      <c r="W1545" s="66"/>
      <c r="X1545" s="66"/>
      <c r="Y1545" s="66"/>
      <c r="Z1545" s="66"/>
      <c r="AA1545" s="66"/>
      <c r="AB1545" s="66"/>
      <c r="AC1545" s="66"/>
      <c r="AD1545" s="66"/>
      <c r="AE1545" s="66"/>
      <c r="AF1545" s="66"/>
      <c r="AG1545" s="66"/>
      <c r="AH1545" s="66"/>
      <c r="AI1545" s="66"/>
      <c r="AJ1545" s="66"/>
      <c r="AK1545" s="66"/>
      <c r="AL1545" s="66"/>
      <c r="AM1545" s="66"/>
      <c r="AN1545" s="66"/>
      <c r="AO1545" s="66"/>
      <c r="AP1545" s="66"/>
      <c r="AQ1545" s="66"/>
      <c r="AR1545" s="66"/>
      <c r="AS1545" s="66"/>
      <c r="AT1545" s="66"/>
      <c r="AU1545" s="66"/>
      <c r="AV1545" s="66"/>
      <c r="AW1545" s="66"/>
      <c r="AX1545" s="66"/>
      <c r="AY1545" s="66"/>
      <c r="AZ1545" s="66"/>
      <c r="BA1545" s="66"/>
      <c r="BB1545" s="66"/>
      <c r="BC1545" s="66"/>
      <c r="BD1545" s="66"/>
      <c r="BE1545" s="67"/>
      <c r="BF1545" s="67"/>
      <c r="BG1545" s="68"/>
      <c r="BI1545" s="69">
        <v>0</v>
      </c>
      <c r="BJ1545" s="70">
        <v>0</v>
      </c>
      <c r="BK1545" s="71">
        <v>0</v>
      </c>
      <c r="BL1545" s="71">
        <v>0</v>
      </c>
      <c r="BM1545" s="71">
        <v>0</v>
      </c>
      <c r="BN1545" s="72">
        <v>0</v>
      </c>
      <c r="BO1545" s="151" t="e">
        <f t="shared" si="94"/>
        <v>#DIV/0!</v>
      </c>
      <c r="BP1545" s="151" t="e">
        <f t="shared" si="95"/>
        <v>#DIV/0!</v>
      </c>
      <c r="BQ1545" s="71">
        <v>0</v>
      </c>
      <c r="BR1545" s="71">
        <v>0</v>
      </c>
      <c r="BS1545" s="71">
        <v>0</v>
      </c>
      <c r="BT1545" s="72">
        <v>0</v>
      </c>
      <c r="BU1545" s="151" t="e">
        <f t="shared" si="96"/>
        <v>#DIV/0!</v>
      </c>
      <c r="BV1545" s="151" t="e">
        <f t="shared" si="97"/>
        <v>#DIV/0!</v>
      </c>
    </row>
    <row r="1546" ht="30" customHeight="1" spans="1:74">
      <c r="A1546" s="55">
        <v>0</v>
      </c>
      <c r="B1546" s="56" t="s">
        <v>2247</v>
      </c>
      <c r="C1546" s="57" t="s">
        <v>2343</v>
      </c>
      <c r="D1546" s="59" t="s">
        <v>2509</v>
      </c>
      <c r="E1546" s="59"/>
      <c r="F1546" s="59" t="e">
        <f>VLOOKUP(E1546,[1]库存!$B$1:$C$65536,2,FALSE)</f>
        <v>#N/A</v>
      </c>
      <c r="G1546" s="59" t="e">
        <v>#N/A</v>
      </c>
      <c r="H1546" s="59" t="s">
        <v>1216</v>
      </c>
      <c r="I1546" s="59" t="s">
        <v>1217</v>
      </c>
      <c r="J1546" s="63"/>
      <c r="K1546" s="61"/>
      <c r="L1546" s="62">
        <v>2</v>
      </c>
      <c r="M1546" s="63">
        <v>500</v>
      </c>
      <c r="N1546" s="64">
        <v>14</v>
      </c>
      <c r="O1546" s="62">
        <v>2</v>
      </c>
      <c r="P1546" s="65">
        <f t="shared" si="98"/>
        <v>0</v>
      </c>
      <c r="Q1546" s="66"/>
      <c r="R1546" s="66"/>
      <c r="S1546" s="66"/>
      <c r="T1546" s="66"/>
      <c r="U1546" s="66"/>
      <c r="V1546" s="66"/>
      <c r="W1546" s="66"/>
      <c r="X1546" s="66"/>
      <c r="Y1546" s="66"/>
      <c r="Z1546" s="66"/>
      <c r="AA1546" s="66"/>
      <c r="AB1546" s="66"/>
      <c r="AC1546" s="66"/>
      <c r="AD1546" s="66"/>
      <c r="AE1546" s="66"/>
      <c r="AF1546" s="66"/>
      <c r="AG1546" s="66"/>
      <c r="AH1546" s="66"/>
      <c r="AI1546" s="66"/>
      <c r="AJ1546" s="66"/>
      <c r="AK1546" s="66"/>
      <c r="AL1546" s="66"/>
      <c r="AM1546" s="66"/>
      <c r="AN1546" s="66"/>
      <c r="AO1546" s="66"/>
      <c r="AP1546" s="66"/>
      <c r="AQ1546" s="66"/>
      <c r="AR1546" s="66"/>
      <c r="AS1546" s="66"/>
      <c r="AT1546" s="66"/>
      <c r="AU1546" s="66"/>
      <c r="AV1546" s="66"/>
      <c r="AW1546" s="66"/>
      <c r="AX1546" s="66"/>
      <c r="AY1546" s="66"/>
      <c r="AZ1546" s="66"/>
      <c r="BA1546" s="66"/>
      <c r="BB1546" s="66"/>
      <c r="BC1546" s="66"/>
      <c r="BD1546" s="66"/>
      <c r="BE1546" s="67"/>
      <c r="BF1546" s="67"/>
      <c r="BG1546" s="68"/>
      <c r="BI1546" s="69">
        <v>0</v>
      </c>
      <c r="BJ1546" s="70">
        <v>0</v>
      </c>
      <c r="BK1546" s="71">
        <v>0</v>
      </c>
      <c r="BL1546" s="71">
        <v>0</v>
      </c>
      <c r="BM1546" s="71">
        <v>0</v>
      </c>
      <c r="BN1546" s="72">
        <v>0</v>
      </c>
      <c r="BO1546" s="151" t="e">
        <f t="shared" si="94"/>
        <v>#DIV/0!</v>
      </c>
      <c r="BP1546" s="151" t="e">
        <f t="shared" si="95"/>
        <v>#DIV/0!</v>
      </c>
      <c r="BQ1546" s="71">
        <v>0</v>
      </c>
      <c r="BR1546" s="71">
        <v>0</v>
      </c>
      <c r="BS1546" s="71">
        <v>0</v>
      </c>
      <c r="BT1546" s="72">
        <v>0</v>
      </c>
      <c r="BU1546" s="151" t="e">
        <f t="shared" si="96"/>
        <v>#DIV/0!</v>
      </c>
      <c r="BV1546" s="151" t="e">
        <f t="shared" si="97"/>
        <v>#DIV/0!</v>
      </c>
    </row>
    <row r="1547" ht="30" customHeight="1" spans="1:74">
      <c r="A1547" s="55">
        <v>0</v>
      </c>
      <c r="B1547" s="56">
        <v>0</v>
      </c>
      <c r="C1547" s="57">
        <v>0</v>
      </c>
      <c r="D1547" s="74"/>
      <c r="E1547" s="74"/>
      <c r="F1547" s="59" t="e">
        <f>VLOOKUP(E1547,[1]库存!$B$1:$C$65536,2,FALSE)</f>
        <v>#N/A</v>
      </c>
      <c r="G1547" s="59" t="e">
        <v>#N/A</v>
      </c>
      <c r="H1547" s="74"/>
      <c r="I1547" s="74"/>
      <c r="J1547" s="87"/>
      <c r="K1547" s="61"/>
      <c r="L1547" s="62">
        <v>0</v>
      </c>
      <c r="M1547" s="63">
        <v>0</v>
      </c>
      <c r="N1547" s="64">
        <v>0</v>
      </c>
      <c r="O1547" s="62">
        <v>0</v>
      </c>
      <c r="P1547" s="65">
        <f t="shared" si="98"/>
        <v>0</v>
      </c>
      <c r="Q1547" s="66"/>
      <c r="R1547" s="66"/>
      <c r="S1547" s="66"/>
      <c r="T1547" s="66"/>
      <c r="U1547" s="66"/>
      <c r="V1547" s="66"/>
      <c r="W1547" s="66"/>
      <c r="X1547" s="66"/>
      <c r="Y1547" s="66"/>
      <c r="Z1547" s="66"/>
      <c r="AA1547" s="66"/>
      <c r="AB1547" s="66"/>
      <c r="AC1547" s="66"/>
      <c r="AD1547" s="66"/>
      <c r="AE1547" s="66"/>
      <c r="AF1547" s="66"/>
      <c r="AG1547" s="66"/>
      <c r="AH1547" s="66"/>
      <c r="AI1547" s="66"/>
      <c r="AJ1547" s="66"/>
      <c r="AK1547" s="66"/>
      <c r="AL1547" s="66"/>
      <c r="AM1547" s="66"/>
      <c r="AN1547" s="66"/>
      <c r="AO1547" s="66"/>
      <c r="AP1547" s="66"/>
      <c r="AQ1547" s="66"/>
      <c r="AR1547" s="66"/>
      <c r="AS1547" s="66"/>
      <c r="AT1547" s="66"/>
      <c r="AU1547" s="66"/>
      <c r="AV1547" s="66"/>
      <c r="AW1547" s="66"/>
      <c r="AX1547" s="66"/>
      <c r="AY1547" s="66"/>
      <c r="AZ1547" s="66"/>
      <c r="BA1547" s="66"/>
      <c r="BB1547" s="66"/>
      <c r="BC1547" s="66"/>
      <c r="BD1547" s="66"/>
      <c r="BE1547" s="67"/>
      <c r="BF1547" s="67"/>
      <c r="BG1547" s="68"/>
      <c r="BI1547" s="69">
        <v>0</v>
      </c>
      <c r="BJ1547" s="70">
        <v>0</v>
      </c>
      <c r="BK1547" s="71">
        <v>0</v>
      </c>
      <c r="BL1547" s="71">
        <v>0</v>
      </c>
      <c r="BM1547" s="71">
        <v>0</v>
      </c>
      <c r="BN1547" s="72">
        <v>0</v>
      </c>
      <c r="BO1547" s="151" t="e">
        <f t="shared" si="94"/>
        <v>#DIV/0!</v>
      </c>
      <c r="BP1547" s="151" t="e">
        <f t="shared" si="95"/>
        <v>#DIV/0!</v>
      </c>
      <c r="BQ1547" s="71">
        <v>0</v>
      </c>
      <c r="BR1547" s="71">
        <v>0</v>
      </c>
      <c r="BS1547" s="71">
        <v>0</v>
      </c>
      <c r="BT1547" s="72">
        <v>0</v>
      </c>
      <c r="BU1547" s="151" t="e">
        <f t="shared" si="96"/>
        <v>#DIV/0!</v>
      </c>
      <c r="BV1547" s="151" t="e">
        <f t="shared" si="97"/>
        <v>#DIV/0!</v>
      </c>
    </row>
    <row r="1548" ht="30" customHeight="1" spans="1:74">
      <c r="A1548" s="55">
        <v>0</v>
      </c>
      <c r="B1548" s="56" t="s">
        <v>2247</v>
      </c>
      <c r="C1548" s="57" t="s">
        <v>2343</v>
      </c>
      <c r="D1548" s="59" t="s">
        <v>2509</v>
      </c>
      <c r="E1548" s="59"/>
      <c r="F1548" s="59" t="e">
        <f>VLOOKUP(E1548,[1]库存!$B$1:$C$65536,2,FALSE)</f>
        <v>#N/A</v>
      </c>
      <c r="G1548" s="59" t="e">
        <v>#N/A</v>
      </c>
      <c r="H1548" s="59" t="s">
        <v>1218</v>
      </c>
      <c r="I1548" s="59" t="s">
        <v>1219</v>
      </c>
      <c r="J1548" s="63"/>
      <c r="K1548" s="61"/>
      <c r="L1548" s="62">
        <v>2</v>
      </c>
      <c r="M1548" s="63">
        <v>500</v>
      </c>
      <c r="N1548" s="64">
        <v>14</v>
      </c>
      <c r="O1548" s="62">
        <v>2</v>
      </c>
      <c r="P1548" s="65">
        <f t="shared" si="98"/>
        <v>0</v>
      </c>
      <c r="Q1548" s="66"/>
      <c r="R1548" s="66"/>
      <c r="S1548" s="66"/>
      <c r="T1548" s="66"/>
      <c r="U1548" s="66"/>
      <c r="V1548" s="66"/>
      <c r="W1548" s="66"/>
      <c r="X1548" s="66"/>
      <c r="Y1548" s="66"/>
      <c r="Z1548" s="66"/>
      <c r="AA1548" s="66"/>
      <c r="AB1548" s="66"/>
      <c r="AC1548" s="66"/>
      <c r="AD1548" s="66"/>
      <c r="AE1548" s="66"/>
      <c r="AF1548" s="66"/>
      <c r="AG1548" s="66"/>
      <c r="AH1548" s="66"/>
      <c r="AI1548" s="66"/>
      <c r="AJ1548" s="66"/>
      <c r="AK1548" s="66"/>
      <c r="AL1548" s="66"/>
      <c r="AM1548" s="66"/>
      <c r="AN1548" s="66"/>
      <c r="AO1548" s="66"/>
      <c r="AP1548" s="66"/>
      <c r="AQ1548" s="66"/>
      <c r="AR1548" s="66"/>
      <c r="AS1548" s="66"/>
      <c r="AT1548" s="66"/>
      <c r="AU1548" s="66"/>
      <c r="AV1548" s="66"/>
      <c r="AW1548" s="66"/>
      <c r="AX1548" s="66"/>
      <c r="AY1548" s="66"/>
      <c r="AZ1548" s="66"/>
      <c r="BA1548" s="66"/>
      <c r="BB1548" s="66"/>
      <c r="BC1548" s="66"/>
      <c r="BD1548" s="66"/>
      <c r="BE1548" s="67"/>
      <c r="BF1548" s="67"/>
      <c r="BG1548" s="68"/>
      <c r="BI1548" s="69">
        <v>0</v>
      </c>
      <c r="BJ1548" s="70">
        <v>0</v>
      </c>
      <c r="BK1548" s="71">
        <v>0</v>
      </c>
      <c r="BL1548" s="71">
        <v>0</v>
      </c>
      <c r="BM1548" s="71">
        <v>0</v>
      </c>
      <c r="BN1548" s="72">
        <v>0</v>
      </c>
      <c r="BO1548" s="151" t="e">
        <f t="shared" si="94"/>
        <v>#DIV/0!</v>
      </c>
      <c r="BP1548" s="151" t="e">
        <f t="shared" si="95"/>
        <v>#DIV/0!</v>
      </c>
      <c r="BQ1548" s="71">
        <v>0</v>
      </c>
      <c r="BR1548" s="71">
        <v>0</v>
      </c>
      <c r="BS1548" s="71">
        <v>0</v>
      </c>
      <c r="BT1548" s="72">
        <v>0</v>
      </c>
      <c r="BU1548" s="151" t="e">
        <f t="shared" si="96"/>
        <v>#DIV/0!</v>
      </c>
      <c r="BV1548" s="151" t="e">
        <f t="shared" si="97"/>
        <v>#DIV/0!</v>
      </c>
    </row>
    <row r="1549" ht="30" customHeight="1" spans="1:74">
      <c r="A1549" s="55">
        <v>0</v>
      </c>
      <c r="B1549" s="56">
        <v>0</v>
      </c>
      <c r="C1549" s="57">
        <v>0</v>
      </c>
      <c r="D1549" s="74"/>
      <c r="E1549" s="74"/>
      <c r="F1549" s="59" t="e">
        <f>VLOOKUP(E1549,[1]库存!$B$1:$C$65536,2,FALSE)</f>
        <v>#N/A</v>
      </c>
      <c r="G1549" s="59" t="e">
        <v>#N/A</v>
      </c>
      <c r="H1549" s="74"/>
      <c r="I1549" s="74"/>
      <c r="J1549" s="87"/>
      <c r="K1549" s="61"/>
      <c r="L1549" s="62">
        <v>0</v>
      </c>
      <c r="M1549" s="63">
        <v>0</v>
      </c>
      <c r="N1549" s="64">
        <v>0</v>
      </c>
      <c r="O1549" s="62">
        <v>0</v>
      </c>
      <c r="P1549" s="65">
        <f t="shared" si="98"/>
        <v>0</v>
      </c>
      <c r="Q1549" s="66"/>
      <c r="R1549" s="66"/>
      <c r="S1549" s="66"/>
      <c r="T1549" s="66"/>
      <c r="U1549" s="66"/>
      <c r="V1549" s="66"/>
      <c r="W1549" s="66"/>
      <c r="X1549" s="66"/>
      <c r="Y1549" s="66"/>
      <c r="Z1549" s="66"/>
      <c r="AA1549" s="66"/>
      <c r="AB1549" s="66"/>
      <c r="AC1549" s="66"/>
      <c r="AD1549" s="66"/>
      <c r="AE1549" s="66"/>
      <c r="AF1549" s="66"/>
      <c r="AG1549" s="66"/>
      <c r="AH1549" s="66"/>
      <c r="AI1549" s="66"/>
      <c r="AJ1549" s="66"/>
      <c r="AK1549" s="66"/>
      <c r="AL1549" s="66"/>
      <c r="AM1549" s="66"/>
      <c r="AN1549" s="66"/>
      <c r="AO1549" s="66"/>
      <c r="AP1549" s="66"/>
      <c r="AQ1549" s="66"/>
      <c r="AR1549" s="66"/>
      <c r="AS1549" s="66"/>
      <c r="AT1549" s="66"/>
      <c r="AU1549" s="66"/>
      <c r="AV1549" s="66"/>
      <c r="AW1549" s="66"/>
      <c r="AX1549" s="66"/>
      <c r="AY1549" s="66"/>
      <c r="AZ1549" s="66"/>
      <c r="BA1549" s="66"/>
      <c r="BB1549" s="66"/>
      <c r="BC1549" s="66"/>
      <c r="BD1549" s="66"/>
      <c r="BE1549" s="67"/>
      <c r="BF1549" s="67"/>
      <c r="BG1549" s="68"/>
      <c r="BI1549" s="69">
        <v>0</v>
      </c>
      <c r="BJ1549" s="70">
        <v>0</v>
      </c>
      <c r="BK1549" s="71">
        <v>0</v>
      </c>
      <c r="BL1549" s="71">
        <v>0</v>
      </c>
      <c r="BM1549" s="71">
        <v>0</v>
      </c>
      <c r="BN1549" s="72">
        <v>0</v>
      </c>
      <c r="BO1549" s="151" t="e">
        <f t="shared" si="94"/>
        <v>#DIV/0!</v>
      </c>
      <c r="BP1549" s="151" t="e">
        <f t="shared" si="95"/>
        <v>#DIV/0!</v>
      </c>
      <c r="BQ1549" s="71">
        <v>0</v>
      </c>
      <c r="BR1549" s="71">
        <v>0</v>
      </c>
      <c r="BS1549" s="71">
        <v>0</v>
      </c>
      <c r="BT1549" s="72">
        <v>0</v>
      </c>
      <c r="BU1549" s="151" t="e">
        <f t="shared" si="96"/>
        <v>#DIV/0!</v>
      </c>
      <c r="BV1549" s="151" t="e">
        <f t="shared" si="97"/>
        <v>#DIV/0!</v>
      </c>
    </row>
    <row r="1550" ht="30" customHeight="1" spans="1:74">
      <c r="A1550" s="55">
        <v>0</v>
      </c>
      <c r="B1550" s="56">
        <v>0</v>
      </c>
      <c r="C1550" s="57">
        <v>0</v>
      </c>
      <c r="D1550" s="210"/>
      <c r="E1550" s="88"/>
      <c r="F1550" s="59" t="e">
        <f>VLOOKUP(E1550,[1]库存!$B$1:$C$65536,2,FALSE)</f>
        <v>#N/A</v>
      </c>
      <c r="G1550" s="59" t="e">
        <v>#N/A</v>
      </c>
      <c r="H1550" s="238"/>
      <c r="I1550" s="239"/>
      <c r="J1550" s="90"/>
      <c r="K1550" s="61"/>
      <c r="L1550" s="62">
        <v>0</v>
      </c>
      <c r="M1550" s="63">
        <v>0</v>
      </c>
      <c r="N1550" s="64">
        <v>0</v>
      </c>
      <c r="O1550" s="62">
        <v>0</v>
      </c>
      <c r="P1550" s="65">
        <f t="shared" si="98"/>
        <v>0</v>
      </c>
      <c r="Q1550" s="66"/>
      <c r="R1550" s="66"/>
      <c r="S1550" s="66"/>
      <c r="T1550" s="66"/>
      <c r="U1550" s="66"/>
      <c r="V1550" s="66"/>
      <c r="W1550" s="66"/>
      <c r="X1550" s="66"/>
      <c r="Y1550" s="66"/>
      <c r="Z1550" s="66"/>
      <c r="AA1550" s="66"/>
      <c r="AB1550" s="66"/>
      <c r="AC1550" s="66"/>
      <c r="AD1550" s="66"/>
      <c r="AE1550" s="66"/>
      <c r="AF1550" s="66"/>
      <c r="AG1550" s="66"/>
      <c r="AH1550" s="66"/>
      <c r="AI1550" s="66"/>
      <c r="AJ1550" s="66"/>
      <c r="AK1550" s="66"/>
      <c r="AL1550" s="66"/>
      <c r="AM1550" s="66"/>
      <c r="AN1550" s="66"/>
      <c r="AO1550" s="66"/>
      <c r="AP1550" s="66"/>
      <c r="AQ1550" s="66"/>
      <c r="AR1550" s="66"/>
      <c r="AS1550" s="66"/>
      <c r="AT1550" s="66"/>
      <c r="AU1550" s="66"/>
      <c r="AV1550" s="66"/>
      <c r="AW1550" s="66"/>
      <c r="AX1550" s="66"/>
      <c r="AY1550" s="66"/>
      <c r="AZ1550" s="66"/>
      <c r="BA1550" s="66"/>
      <c r="BB1550" s="66"/>
      <c r="BC1550" s="66"/>
      <c r="BD1550" s="66"/>
      <c r="BE1550" s="67"/>
      <c r="BF1550" s="67"/>
      <c r="BG1550" s="68"/>
      <c r="BI1550" s="69">
        <v>0</v>
      </c>
      <c r="BJ1550" s="70">
        <v>0</v>
      </c>
      <c r="BK1550" s="71">
        <v>0</v>
      </c>
      <c r="BL1550" s="71">
        <v>0</v>
      </c>
      <c r="BM1550" s="71">
        <v>0</v>
      </c>
      <c r="BN1550" s="72">
        <v>0</v>
      </c>
      <c r="BO1550" s="151" t="e">
        <f t="shared" si="94"/>
        <v>#DIV/0!</v>
      </c>
      <c r="BP1550" s="151" t="e">
        <f t="shared" si="95"/>
        <v>#DIV/0!</v>
      </c>
      <c r="BQ1550" s="71">
        <v>0</v>
      </c>
      <c r="BR1550" s="71">
        <v>0</v>
      </c>
      <c r="BS1550" s="71">
        <v>0</v>
      </c>
      <c r="BT1550" s="72">
        <v>0</v>
      </c>
      <c r="BU1550" s="151" t="e">
        <f t="shared" si="96"/>
        <v>#DIV/0!</v>
      </c>
      <c r="BV1550" s="151" t="e">
        <f t="shared" si="97"/>
        <v>#DIV/0!</v>
      </c>
    </row>
    <row r="1551" ht="30" customHeight="1" spans="1:74">
      <c r="A1551" s="55" t="s">
        <v>410</v>
      </c>
      <c r="B1551" s="56" t="s">
        <v>2247</v>
      </c>
      <c r="C1551" s="57" t="s">
        <v>2261</v>
      </c>
      <c r="D1551" s="59" t="s">
        <v>2511</v>
      </c>
      <c r="E1551" s="59" t="s">
        <v>2512</v>
      </c>
      <c r="F1551" s="59" t="str">
        <f>VLOOKUP(E1551,[1]库存!$B$1:$C$65536,2,FALSE)</f>
        <v>H93AEVR PAB</v>
      </c>
      <c r="G1551" s="59" t="s">
        <v>2513</v>
      </c>
      <c r="H1551" s="59" t="s">
        <v>2514</v>
      </c>
      <c r="I1551" s="59"/>
      <c r="J1551" s="199"/>
      <c r="K1551" s="61"/>
      <c r="L1551" s="62">
        <v>2</v>
      </c>
      <c r="M1551" s="63">
        <v>800</v>
      </c>
      <c r="N1551" s="64">
        <f>31-2</f>
        <v>29</v>
      </c>
      <c r="O1551" s="62">
        <v>2</v>
      </c>
      <c r="P1551" s="65">
        <f t="shared" si="98"/>
        <v>0</v>
      </c>
      <c r="Q1551" s="66"/>
      <c r="R1551" s="66"/>
      <c r="S1551" s="66">
        <v>0</v>
      </c>
      <c r="T1551" s="66"/>
      <c r="U1551" s="66">
        <v>700</v>
      </c>
      <c r="V1551" s="66"/>
      <c r="W1551" s="66"/>
      <c r="X1551" s="66"/>
      <c r="Y1551" s="66"/>
      <c r="Z1551" s="66"/>
      <c r="AA1551" s="66"/>
      <c r="AB1551" s="66"/>
      <c r="AC1551" s="66"/>
      <c r="AD1551" s="66"/>
      <c r="AE1551" s="66"/>
      <c r="AF1551" s="66"/>
      <c r="AG1551" s="66"/>
      <c r="AH1551" s="66"/>
      <c r="AI1551" s="66"/>
      <c r="AJ1551" s="66"/>
      <c r="AK1551" s="66"/>
      <c r="AL1551" s="66"/>
      <c r="AM1551" s="66"/>
      <c r="AN1551" s="66"/>
      <c r="AO1551" s="66"/>
      <c r="AP1551" s="66"/>
      <c r="AQ1551" s="66"/>
      <c r="AR1551" s="66"/>
      <c r="AS1551" s="66"/>
      <c r="AT1551" s="66"/>
      <c r="AU1551" s="66"/>
      <c r="AV1551" s="66"/>
      <c r="AW1551" s="66"/>
      <c r="AX1551" s="66"/>
      <c r="AY1551" s="66"/>
      <c r="AZ1551" s="66"/>
      <c r="BA1551" s="66"/>
      <c r="BB1551" s="66"/>
      <c r="BC1551" s="66"/>
      <c r="BD1551" s="66"/>
      <c r="BE1551" s="67"/>
      <c r="BF1551" s="67"/>
      <c r="BG1551" s="68"/>
      <c r="BI1551" s="69">
        <v>0</v>
      </c>
      <c r="BJ1551" s="70">
        <v>0</v>
      </c>
      <c r="BK1551" s="71">
        <v>0</v>
      </c>
      <c r="BL1551" s="71">
        <v>0</v>
      </c>
      <c r="BM1551" s="71">
        <v>0</v>
      </c>
      <c r="BN1551" s="72">
        <v>0</v>
      </c>
      <c r="BO1551" s="151" t="e">
        <f t="shared" si="94"/>
        <v>#DIV/0!</v>
      </c>
      <c r="BP1551" s="151" t="e">
        <f t="shared" si="95"/>
        <v>#DIV/0!</v>
      </c>
      <c r="BQ1551" s="71">
        <v>0</v>
      </c>
      <c r="BR1551" s="71">
        <v>0</v>
      </c>
      <c r="BS1551" s="71">
        <v>0</v>
      </c>
      <c r="BT1551" s="72">
        <v>0</v>
      </c>
      <c r="BU1551" s="151" t="e">
        <f t="shared" si="96"/>
        <v>#DIV/0!</v>
      </c>
      <c r="BV1551" s="151" t="e">
        <f t="shared" si="97"/>
        <v>#DIV/0!</v>
      </c>
    </row>
    <row r="1552" ht="30" customHeight="1" spans="1:74">
      <c r="A1552" s="55">
        <v>0</v>
      </c>
      <c r="B1552" s="56">
        <v>0</v>
      </c>
      <c r="C1552" s="57">
        <v>0</v>
      </c>
      <c r="D1552" s="74"/>
      <c r="E1552" s="74"/>
      <c r="F1552" s="59" t="e">
        <f>VLOOKUP(E1552,[1]库存!$B$1:$C$65536,2,FALSE)</f>
        <v>#N/A</v>
      </c>
      <c r="G1552" s="59" t="e">
        <v>#N/A</v>
      </c>
      <c r="H1552" s="74"/>
      <c r="I1552" s="74"/>
      <c r="J1552" s="200"/>
      <c r="K1552" s="61"/>
      <c r="L1552" s="62">
        <v>0</v>
      </c>
      <c r="M1552" s="63">
        <v>0</v>
      </c>
      <c r="N1552" s="64">
        <v>0</v>
      </c>
      <c r="O1552" s="62">
        <v>0</v>
      </c>
      <c r="P1552" s="65">
        <f t="shared" si="98"/>
        <v>0</v>
      </c>
      <c r="Q1552" s="66"/>
      <c r="R1552" s="66"/>
      <c r="S1552" s="66"/>
      <c r="T1552" s="66"/>
      <c r="U1552" s="66">
        <v>725</v>
      </c>
      <c r="V1552" s="66"/>
      <c r="W1552" s="66"/>
      <c r="X1552" s="66"/>
      <c r="Y1552" s="66"/>
      <c r="Z1552" s="66"/>
      <c r="AA1552" s="66"/>
      <c r="AB1552" s="66"/>
      <c r="AC1552" s="66"/>
      <c r="AD1552" s="66"/>
      <c r="AE1552" s="66"/>
      <c r="AF1552" s="66"/>
      <c r="AG1552" s="66"/>
      <c r="AH1552" s="66"/>
      <c r="AI1552" s="66"/>
      <c r="AJ1552" s="66"/>
      <c r="AK1552" s="66"/>
      <c r="AL1552" s="66"/>
      <c r="AM1552" s="66"/>
      <c r="AN1552" s="66"/>
      <c r="AO1552" s="66"/>
      <c r="AP1552" s="66"/>
      <c r="AQ1552" s="66"/>
      <c r="AR1552" s="66"/>
      <c r="AS1552" s="66"/>
      <c r="AT1552" s="66"/>
      <c r="AU1552" s="66"/>
      <c r="AV1552" s="66"/>
      <c r="AW1552" s="66"/>
      <c r="AX1552" s="66"/>
      <c r="AY1552" s="66"/>
      <c r="AZ1552" s="66"/>
      <c r="BA1552" s="66"/>
      <c r="BB1552" s="66"/>
      <c r="BC1552" s="66"/>
      <c r="BD1552" s="66"/>
      <c r="BE1552" s="67"/>
      <c r="BF1552" s="67"/>
      <c r="BG1552" s="68"/>
      <c r="BI1552" s="69">
        <v>0</v>
      </c>
      <c r="BJ1552" s="70">
        <v>0</v>
      </c>
      <c r="BK1552" s="71">
        <v>0</v>
      </c>
      <c r="BL1552" s="71">
        <v>0</v>
      </c>
      <c r="BM1552" s="71">
        <v>0</v>
      </c>
      <c r="BN1552" s="72">
        <v>0</v>
      </c>
      <c r="BO1552" s="151" t="e">
        <f t="shared" si="94"/>
        <v>#DIV/0!</v>
      </c>
      <c r="BP1552" s="151" t="e">
        <f t="shared" si="95"/>
        <v>#DIV/0!</v>
      </c>
      <c r="BQ1552" s="71">
        <v>0</v>
      </c>
      <c r="BR1552" s="71">
        <v>0</v>
      </c>
      <c r="BS1552" s="71">
        <v>0</v>
      </c>
      <c r="BT1552" s="72">
        <v>0</v>
      </c>
      <c r="BU1552" s="151" t="e">
        <f t="shared" si="96"/>
        <v>#DIV/0!</v>
      </c>
      <c r="BV1552" s="151" t="e">
        <f t="shared" si="97"/>
        <v>#DIV/0!</v>
      </c>
    </row>
    <row r="1553" ht="30" customHeight="1" spans="1:74">
      <c r="A1553" s="55" t="s">
        <v>246</v>
      </c>
      <c r="B1553" s="56" t="s">
        <v>2247</v>
      </c>
      <c r="C1553" s="57" t="s">
        <v>2261</v>
      </c>
      <c r="D1553" s="59" t="s">
        <v>2511</v>
      </c>
      <c r="E1553" s="59" t="s">
        <v>2515</v>
      </c>
      <c r="F1553" s="59" t="str">
        <f>VLOOKUP(E1553,[1]库存!$B$1:$C$65536,2,FALSE)</f>
        <v>GWM C01-1 PAB A状态</v>
      </c>
      <c r="G1553" s="59" t="s">
        <v>2516</v>
      </c>
      <c r="H1553" s="59" t="s">
        <v>2517</v>
      </c>
      <c r="I1553" s="59" t="s">
        <v>1160</v>
      </c>
      <c r="J1553" s="201" t="s">
        <v>2518</v>
      </c>
      <c r="K1553" s="61"/>
      <c r="L1553" s="62">
        <v>2</v>
      </c>
      <c r="M1553" s="63">
        <v>700</v>
      </c>
      <c r="N1553" s="64">
        <v>23.5</v>
      </c>
      <c r="O1553" s="62">
        <v>2</v>
      </c>
      <c r="P1553" s="65">
        <f t="shared" si="98"/>
        <v>0</v>
      </c>
      <c r="Q1553" s="66"/>
      <c r="R1553" s="66"/>
      <c r="S1553" s="66"/>
      <c r="T1553" s="66"/>
      <c r="U1553" s="66"/>
      <c r="V1553" s="66"/>
      <c r="W1553" s="66"/>
      <c r="X1553" s="66"/>
      <c r="Y1553" s="66"/>
      <c r="Z1553" s="66"/>
      <c r="AA1553" s="66"/>
      <c r="AB1553" s="66"/>
      <c r="AC1553" s="66"/>
      <c r="AD1553" s="66"/>
      <c r="AE1553" s="66"/>
      <c r="AF1553" s="66"/>
      <c r="AG1553" s="66"/>
      <c r="AH1553" s="66"/>
      <c r="AI1553" s="66"/>
      <c r="AJ1553" s="66"/>
      <c r="AK1553" s="66"/>
      <c r="AL1553" s="66"/>
      <c r="AM1553" s="66"/>
      <c r="AN1553" s="66"/>
      <c r="AO1553" s="66"/>
      <c r="AP1553" s="66"/>
      <c r="AQ1553" s="66"/>
      <c r="AR1553" s="66"/>
      <c r="AS1553" s="66"/>
      <c r="AT1553" s="66"/>
      <c r="AU1553" s="66"/>
      <c r="AV1553" s="66"/>
      <c r="AW1553" s="66"/>
      <c r="AX1553" s="66"/>
      <c r="AY1553" s="66"/>
      <c r="AZ1553" s="66"/>
      <c r="BA1553" s="66"/>
      <c r="BB1553" s="66"/>
      <c r="BC1553" s="66"/>
      <c r="BD1553" s="66"/>
      <c r="BE1553" s="67"/>
      <c r="BF1553" s="67"/>
      <c r="BG1553" s="68"/>
      <c r="BI1553" s="69">
        <v>0</v>
      </c>
      <c r="BJ1553" s="70">
        <v>0</v>
      </c>
      <c r="BK1553" s="71">
        <v>0</v>
      </c>
      <c r="BL1553" s="71">
        <v>0</v>
      </c>
      <c r="BM1553" s="71">
        <v>0</v>
      </c>
      <c r="BN1553" s="72">
        <v>0</v>
      </c>
      <c r="BO1553" s="151" t="e">
        <f t="shared" si="94"/>
        <v>#DIV/0!</v>
      </c>
      <c r="BP1553" s="151" t="e">
        <f t="shared" si="95"/>
        <v>#DIV/0!</v>
      </c>
      <c r="BQ1553" s="71">
        <v>0</v>
      </c>
      <c r="BR1553" s="71">
        <v>0</v>
      </c>
      <c r="BS1553" s="71">
        <v>0</v>
      </c>
      <c r="BT1553" s="72">
        <v>0</v>
      </c>
      <c r="BU1553" s="151" t="e">
        <f t="shared" si="96"/>
        <v>#DIV/0!</v>
      </c>
      <c r="BV1553" s="151" t="e">
        <f t="shared" si="97"/>
        <v>#DIV/0!</v>
      </c>
    </row>
    <row r="1554" ht="30" customHeight="1" spans="1:74">
      <c r="A1554" s="55">
        <v>0</v>
      </c>
      <c r="B1554" s="56">
        <v>0</v>
      </c>
      <c r="C1554" s="57">
        <v>0</v>
      </c>
      <c r="D1554" s="74"/>
      <c r="E1554" s="74"/>
      <c r="F1554" s="59" t="e">
        <f>VLOOKUP(E1554,[1]库存!$B$1:$C$65536,2,FALSE)</f>
        <v>#N/A</v>
      </c>
      <c r="G1554" s="59" t="e">
        <v>#N/A</v>
      </c>
      <c r="H1554" s="74"/>
      <c r="I1554" s="74"/>
      <c r="J1554" s="202"/>
      <c r="K1554" s="61"/>
      <c r="L1554" s="62">
        <v>0</v>
      </c>
      <c r="M1554" s="63">
        <v>0</v>
      </c>
      <c r="N1554" s="64">
        <v>0</v>
      </c>
      <c r="O1554" s="62">
        <v>0</v>
      </c>
      <c r="P1554" s="65">
        <f t="shared" si="98"/>
        <v>0</v>
      </c>
      <c r="Q1554" s="66"/>
      <c r="R1554" s="66"/>
      <c r="S1554" s="66"/>
      <c r="T1554" s="66"/>
      <c r="U1554" s="66"/>
      <c r="V1554" s="66"/>
      <c r="W1554" s="66"/>
      <c r="X1554" s="66"/>
      <c r="Y1554" s="66"/>
      <c r="Z1554" s="66"/>
      <c r="AA1554" s="66"/>
      <c r="AB1554" s="66"/>
      <c r="AC1554" s="66"/>
      <c r="AD1554" s="66"/>
      <c r="AE1554" s="66"/>
      <c r="AF1554" s="66"/>
      <c r="AG1554" s="66"/>
      <c r="AH1554" s="66"/>
      <c r="AI1554" s="66"/>
      <c r="AJ1554" s="66"/>
      <c r="AK1554" s="66"/>
      <c r="AL1554" s="66"/>
      <c r="AM1554" s="66"/>
      <c r="AN1554" s="66"/>
      <c r="AO1554" s="66"/>
      <c r="AP1554" s="66"/>
      <c r="AQ1554" s="66"/>
      <c r="AR1554" s="66"/>
      <c r="AS1554" s="66"/>
      <c r="AT1554" s="66"/>
      <c r="AU1554" s="66"/>
      <c r="AV1554" s="66"/>
      <c r="AW1554" s="66"/>
      <c r="AX1554" s="66"/>
      <c r="AY1554" s="66"/>
      <c r="AZ1554" s="66"/>
      <c r="BA1554" s="66"/>
      <c r="BB1554" s="66"/>
      <c r="BC1554" s="66"/>
      <c r="BD1554" s="66"/>
      <c r="BE1554" s="67"/>
      <c r="BF1554" s="67"/>
      <c r="BG1554" s="68"/>
      <c r="BI1554" s="69">
        <v>0</v>
      </c>
      <c r="BJ1554" s="70">
        <v>0</v>
      </c>
      <c r="BK1554" s="71">
        <v>0</v>
      </c>
      <c r="BL1554" s="71">
        <v>0</v>
      </c>
      <c r="BM1554" s="71">
        <v>0</v>
      </c>
      <c r="BN1554" s="72">
        <v>0</v>
      </c>
      <c r="BO1554" s="151" t="e">
        <f t="shared" si="94"/>
        <v>#DIV/0!</v>
      </c>
      <c r="BP1554" s="151" t="e">
        <f t="shared" si="95"/>
        <v>#DIV/0!</v>
      </c>
      <c r="BQ1554" s="71">
        <v>0</v>
      </c>
      <c r="BR1554" s="71">
        <v>0</v>
      </c>
      <c r="BS1554" s="71">
        <v>0</v>
      </c>
      <c r="BT1554" s="72">
        <v>0</v>
      </c>
      <c r="BU1554" s="151" t="e">
        <f t="shared" si="96"/>
        <v>#DIV/0!</v>
      </c>
      <c r="BV1554" s="151" t="e">
        <f t="shared" si="97"/>
        <v>#DIV/0!</v>
      </c>
    </row>
    <row r="1555" ht="30" customHeight="1" spans="1:74">
      <c r="A1555" s="55">
        <v>0</v>
      </c>
      <c r="B1555" s="56" t="s">
        <v>2247</v>
      </c>
      <c r="C1555" s="57" t="s">
        <v>2261</v>
      </c>
      <c r="D1555" s="59" t="s">
        <v>2511</v>
      </c>
      <c r="E1555" s="59"/>
      <c r="F1555" s="59" t="e">
        <f>VLOOKUP(E1555,[1]库存!$B$1:$C$65536,2,FALSE)</f>
        <v>#N/A</v>
      </c>
      <c r="G1555" s="59" t="e">
        <v>#N/A</v>
      </c>
      <c r="H1555" s="59" t="s">
        <v>2519</v>
      </c>
      <c r="I1555" s="59" t="s">
        <v>2520</v>
      </c>
      <c r="J1555" s="201" t="s">
        <v>2518</v>
      </c>
      <c r="K1555" s="61"/>
      <c r="L1555" s="62">
        <v>2</v>
      </c>
      <c r="M1555" s="63">
        <v>700</v>
      </c>
      <c r="N1555" s="64">
        <v>23.5</v>
      </c>
      <c r="O1555" s="62">
        <v>2</v>
      </c>
      <c r="P1555" s="65">
        <f t="shared" si="98"/>
        <v>0</v>
      </c>
      <c r="Q1555" s="66"/>
      <c r="R1555" s="66"/>
      <c r="S1555" s="66"/>
      <c r="T1555" s="66"/>
      <c r="U1555" s="66"/>
      <c r="V1555" s="66"/>
      <c r="W1555" s="66"/>
      <c r="X1555" s="66"/>
      <c r="Y1555" s="66"/>
      <c r="Z1555" s="66"/>
      <c r="AA1555" s="66"/>
      <c r="AB1555" s="66"/>
      <c r="AC1555" s="66"/>
      <c r="AD1555" s="66"/>
      <c r="AE1555" s="66"/>
      <c r="AF1555" s="66"/>
      <c r="AG1555" s="66"/>
      <c r="AH1555" s="66"/>
      <c r="AI1555" s="66"/>
      <c r="AJ1555" s="66"/>
      <c r="AK1555" s="66"/>
      <c r="AL1555" s="66"/>
      <c r="AM1555" s="66"/>
      <c r="AN1555" s="66"/>
      <c r="AO1555" s="66"/>
      <c r="AP1555" s="66"/>
      <c r="AQ1555" s="66"/>
      <c r="AR1555" s="66"/>
      <c r="AS1555" s="66"/>
      <c r="AT1555" s="66"/>
      <c r="AU1555" s="66"/>
      <c r="AV1555" s="66"/>
      <c r="AW1555" s="66"/>
      <c r="AX1555" s="66"/>
      <c r="AY1555" s="66"/>
      <c r="AZ1555" s="66"/>
      <c r="BA1555" s="66"/>
      <c r="BB1555" s="66"/>
      <c r="BC1555" s="66"/>
      <c r="BD1555" s="66"/>
      <c r="BE1555" s="67"/>
      <c r="BF1555" s="67"/>
      <c r="BG1555" s="68"/>
      <c r="BI1555" s="69">
        <v>0</v>
      </c>
      <c r="BJ1555" s="70">
        <v>0</v>
      </c>
      <c r="BK1555" s="71">
        <v>0</v>
      </c>
      <c r="BL1555" s="71">
        <v>0</v>
      </c>
      <c r="BM1555" s="71">
        <v>0</v>
      </c>
      <c r="BN1555" s="72">
        <v>0</v>
      </c>
      <c r="BO1555" s="151" t="e">
        <f t="shared" si="94"/>
        <v>#DIV/0!</v>
      </c>
      <c r="BP1555" s="151" t="e">
        <f t="shared" si="95"/>
        <v>#DIV/0!</v>
      </c>
      <c r="BQ1555" s="71">
        <v>0</v>
      </c>
      <c r="BR1555" s="71">
        <v>0</v>
      </c>
      <c r="BS1555" s="71">
        <v>0</v>
      </c>
      <c r="BT1555" s="72">
        <v>0</v>
      </c>
      <c r="BU1555" s="151" t="e">
        <f t="shared" si="96"/>
        <v>#DIV/0!</v>
      </c>
      <c r="BV1555" s="151" t="e">
        <f t="shared" si="97"/>
        <v>#DIV/0!</v>
      </c>
    </row>
    <row r="1556" ht="30" customHeight="1" spans="1:74">
      <c r="A1556" s="55">
        <v>0</v>
      </c>
      <c r="B1556" s="56">
        <v>0</v>
      </c>
      <c r="C1556" s="57">
        <v>0</v>
      </c>
      <c r="D1556" s="74"/>
      <c r="E1556" s="74"/>
      <c r="F1556" s="59" t="e">
        <f>VLOOKUP(E1556,[1]库存!$B$1:$C$65536,2,FALSE)</f>
        <v>#N/A</v>
      </c>
      <c r="G1556" s="59" t="e">
        <v>#N/A</v>
      </c>
      <c r="H1556" s="74"/>
      <c r="I1556" s="74"/>
      <c r="J1556" s="202"/>
      <c r="K1556" s="61"/>
      <c r="L1556" s="62">
        <v>0</v>
      </c>
      <c r="M1556" s="63">
        <v>0</v>
      </c>
      <c r="N1556" s="64">
        <v>0</v>
      </c>
      <c r="O1556" s="62">
        <v>0</v>
      </c>
      <c r="P1556" s="65">
        <f t="shared" si="98"/>
        <v>0</v>
      </c>
      <c r="Q1556" s="66"/>
      <c r="R1556" s="66"/>
      <c r="S1556" s="66"/>
      <c r="T1556" s="66"/>
      <c r="U1556" s="66"/>
      <c r="V1556" s="66"/>
      <c r="W1556" s="66"/>
      <c r="X1556" s="66"/>
      <c r="Y1556" s="66"/>
      <c r="Z1556" s="66"/>
      <c r="AA1556" s="66"/>
      <c r="AB1556" s="66"/>
      <c r="AC1556" s="66"/>
      <c r="AD1556" s="66"/>
      <c r="AE1556" s="66"/>
      <c r="AF1556" s="66"/>
      <c r="AG1556" s="66"/>
      <c r="AH1556" s="66"/>
      <c r="AI1556" s="66"/>
      <c r="AJ1556" s="66"/>
      <c r="AK1556" s="66"/>
      <c r="AL1556" s="66"/>
      <c r="AM1556" s="66"/>
      <c r="AN1556" s="66"/>
      <c r="AO1556" s="66"/>
      <c r="AP1556" s="66"/>
      <c r="AQ1556" s="66"/>
      <c r="AR1556" s="66"/>
      <c r="AS1556" s="66"/>
      <c r="AT1556" s="66"/>
      <c r="AU1556" s="66"/>
      <c r="AV1556" s="66"/>
      <c r="AW1556" s="66"/>
      <c r="AX1556" s="66"/>
      <c r="AY1556" s="66"/>
      <c r="AZ1556" s="66"/>
      <c r="BA1556" s="66"/>
      <c r="BB1556" s="66"/>
      <c r="BC1556" s="66"/>
      <c r="BD1556" s="66"/>
      <c r="BE1556" s="67"/>
      <c r="BF1556" s="67"/>
      <c r="BG1556" s="68"/>
      <c r="BI1556" s="69">
        <v>0</v>
      </c>
      <c r="BJ1556" s="70">
        <v>0</v>
      </c>
      <c r="BK1556" s="71">
        <v>0</v>
      </c>
      <c r="BL1556" s="71">
        <v>0</v>
      </c>
      <c r="BM1556" s="71">
        <v>0</v>
      </c>
      <c r="BN1556" s="72">
        <v>0</v>
      </c>
      <c r="BO1556" s="151" t="e">
        <f t="shared" si="94"/>
        <v>#DIV/0!</v>
      </c>
      <c r="BP1556" s="151" t="e">
        <f t="shared" si="95"/>
        <v>#DIV/0!</v>
      </c>
      <c r="BQ1556" s="71">
        <v>0</v>
      </c>
      <c r="BR1556" s="71">
        <v>0</v>
      </c>
      <c r="BS1556" s="71">
        <v>0</v>
      </c>
      <c r="BT1556" s="72">
        <v>0</v>
      </c>
      <c r="BU1556" s="151" t="e">
        <f t="shared" si="96"/>
        <v>#DIV/0!</v>
      </c>
      <c r="BV1556" s="151" t="e">
        <f t="shared" si="97"/>
        <v>#DIV/0!</v>
      </c>
    </row>
    <row r="1557" ht="30" customHeight="1" spans="1:74">
      <c r="A1557" s="55">
        <v>0</v>
      </c>
      <c r="B1557" s="56" t="s">
        <v>2247</v>
      </c>
      <c r="C1557" s="57" t="s">
        <v>2261</v>
      </c>
      <c r="D1557" s="59" t="s">
        <v>2511</v>
      </c>
      <c r="E1557" s="59"/>
      <c r="F1557" s="59" t="e">
        <f>VLOOKUP(E1557,[1]库存!$B$1:$C$65536,2,FALSE)</f>
        <v>#N/A</v>
      </c>
      <c r="G1557" s="59" t="e">
        <v>#N/A</v>
      </c>
      <c r="H1557" s="59" t="s">
        <v>2521</v>
      </c>
      <c r="I1557" s="59" t="s">
        <v>2522</v>
      </c>
      <c r="J1557" s="201" t="s">
        <v>2518</v>
      </c>
      <c r="K1557" s="61"/>
      <c r="L1557" s="62">
        <v>2</v>
      </c>
      <c r="M1557" s="63">
        <v>700</v>
      </c>
      <c r="N1557" s="64">
        <v>23.5</v>
      </c>
      <c r="O1557" s="62">
        <v>2</v>
      </c>
      <c r="P1557" s="65">
        <f t="shared" si="98"/>
        <v>0</v>
      </c>
      <c r="Q1557" s="66"/>
      <c r="R1557" s="66"/>
      <c r="S1557" s="66"/>
      <c r="T1557" s="66"/>
      <c r="U1557" s="66"/>
      <c r="V1557" s="66"/>
      <c r="W1557" s="66"/>
      <c r="X1557" s="66"/>
      <c r="Y1557" s="66"/>
      <c r="Z1557" s="66"/>
      <c r="AA1557" s="66"/>
      <c r="AB1557" s="66"/>
      <c r="AC1557" s="66"/>
      <c r="AD1557" s="66"/>
      <c r="AE1557" s="66"/>
      <c r="AF1557" s="66"/>
      <c r="AG1557" s="66"/>
      <c r="AH1557" s="66"/>
      <c r="AI1557" s="66"/>
      <c r="AJ1557" s="66"/>
      <c r="AK1557" s="66"/>
      <c r="AL1557" s="66"/>
      <c r="AM1557" s="66"/>
      <c r="AN1557" s="66"/>
      <c r="AO1557" s="66"/>
      <c r="AP1557" s="66"/>
      <c r="AQ1557" s="66"/>
      <c r="AR1557" s="66"/>
      <c r="AS1557" s="66"/>
      <c r="AT1557" s="66"/>
      <c r="AU1557" s="66"/>
      <c r="AV1557" s="66"/>
      <c r="AW1557" s="66"/>
      <c r="AX1557" s="66"/>
      <c r="AY1557" s="66"/>
      <c r="AZ1557" s="66"/>
      <c r="BA1557" s="66"/>
      <c r="BB1557" s="66"/>
      <c r="BC1557" s="66"/>
      <c r="BD1557" s="66"/>
      <c r="BE1557" s="67"/>
      <c r="BF1557" s="67"/>
      <c r="BG1557" s="68"/>
      <c r="BI1557" s="69">
        <v>0</v>
      </c>
      <c r="BJ1557" s="70">
        <v>0</v>
      </c>
      <c r="BK1557" s="71">
        <v>0</v>
      </c>
      <c r="BL1557" s="71">
        <v>0</v>
      </c>
      <c r="BM1557" s="71">
        <v>0</v>
      </c>
      <c r="BN1557" s="72">
        <v>0</v>
      </c>
      <c r="BO1557" s="151" t="e">
        <f t="shared" si="94"/>
        <v>#DIV/0!</v>
      </c>
      <c r="BP1557" s="151" t="e">
        <f t="shared" si="95"/>
        <v>#DIV/0!</v>
      </c>
      <c r="BQ1557" s="71">
        <v>0</v>
      </c>
      <c r="BR1557" s="71">
        <v>0</v>
      </c>
      <c r="BS1557" s="71">
        <v>0</v>
      </c>
      <c r="BT1557" s="72">
        <v>0</v>
      </c>
      <c r="BU1557" s="151" t="e">
        <f t="shared" si="96"/>
        <v>#DIV/0!</v>
      </c>
      <c r="BV1557" s="151" t="e">
        <f t="shared" si="97"/>
        <v>#DIV/0!</v>
      </c>
    </row>
    <row r="1558" ht="30" customHeight="1" spans="1:74">
      <c r="A1558" s="55">
        <v>0</v>
      </c>
      <c r="B1558" s="56">
        <v>0</v>
      </c>
      <c r="C1558" s="57">
        <v>0</v>
      </c>
      <c r="D1558" s="74"/>
      <c r="E1558" s="74"/>
      <c r="F1558" s="59" t="e">
        <f>VLOOKUP(E1558,[1]库存!$B$1:$C$65536,2,FALSE)</f>
        <v>#N/A</v>
      </c>
      <c r="G1558" s="59" t="e">
        <v>#N/A</v>
      </c>
      <c r="H1558" s="74"/>
      <c r="I1558" s="74"/>
      <c r="J1558" s="202"/>
      <c r="K1558" s="61"/>
      <c r="L1558" s="62">
        <v>0</v>
      </c>
      <c r="M1558" s="63">
        <v>0</v>
      </c>
      <c r="N1558" s="64">
        <v>0</v>
      </c>
      <c r="O1558" s="62">
        <v>0</v>
      </c>
      <c r="P1558" s="65">
        <f t="shared" si="98"/>
        <v>0</v>
      </c>
      <c r="Q1558" s="66"/>
      <c r="R1558" s="66"/>
      <c r="S1558" s="66"/>
      <c r="T1558" s="66"/>
      <c r="U1558" s="66"/>
      <c r="V1558" s="66"/>
      <c r="W1558" s="66"/>
      <c r="X1558" s="66"/>
      <c r="Y1558" s="66"/>
      <c r="Z1558" s="66"/>
      <c r="AA1558" s="66"/>
      <c r="AB1558" s="66"/>
      <c r="AC1558" s="66"/>
      <c r="AD1558" s="66"/>
      <c r="AE1558" s="66"/>
      <c r="AF1558" s="66"/>
      <c r="AG1558" s="66"/>
      <c r="AH1558" s="66"/>
      <c r="AI1558" s="66"/>
      <c r="AJ1558" s="66"/>
      <c r="AK1558" s="66"/>
      <c r="AL1558" s="66"/>
      <c r="AM1558" s="66"/>
      <c r="AN1558" s="66"/>
      <c r="AO1558" s="66"/>
      <c r="AP1558" s="66"/>
      <c r="AQ1558" s="66"/>
      <c r="AR1558" s="66"/>
      <c r="AS1558" s="66"/>
      <c r="AT1558" s="66"/>
      <c r="AU1558" s="66"/>
      <c r="AV1558" s="66"/>
      <c r="AW1558" s="66"/>
      <c r="AX1558" s="66"/>
      <c r="AY1558" s="66"/>
      <c r="AZ1558" s="66"/>
      <c r="BA1558" s="66"/>
      <c r="BB1558" s="66"/>
      <c r="BC1558" s="66"/>
      <c r="BD1558" s="66"/>
      <c r="BE1558" s="67"/>
      <c r="BF1558" s="67"/>
      <c r="BG1558" s="68"/>
      <c r="BI1558" s="69">
        <v>0</v>
      </c>
      <c r="BJ1558" s="70">
        <v>0</v>
      </c>
      <c r="BK1558" s="71">
        <v>0</v>
      </c>
      <c r="BL1558" s="71">
        <v>0</v>
      </c>
      <c r="BM1558" s="71">
        <v>0</v>
      </c>
      <c r="BN1558" s="72">
        <v>0</v>
      </c>
      <c r="BO1558" s="151" t="e">
        <f t="shared" si="94"/>
        <v>#DIV/0!</v>
      </c>
      <c r="BP1558" s="151" t="e">
        <f t="shared" si="95"/>
        <v>#DIV/0!</v>
      </c>
      <c r="BQ1558" s="71">
        <v>0</v>
      </c>
      <c r="BR1558" s="71">
        <v>0</v>
      </c>
      <c r="BS1558" s="71">
        <v>0</v>
      </c>
      <c r="BT1558" s="72">
        <v>0</v>
      </c>
      <c r="BU1558" s="151" t="e">
        <f t="shared" si="96"/>
        <v>#DIV/0!</v>
      </c>
      <c r="BV1558" s="151" t="e">
        <f t="shared" si="97"/>
        <v>#DIV/0!</v>
      </c>
    </row>
    <row r="1559" ht="30" customHeight="1" spans="1:74">
      <c r="A1559" s="55" t="s">
        <v>410</v>
      </c>
      <c r="B1559" s="56" t="s">
        <v>2247</v>
      </c>
      <c r="C1559" s="57" t="s">
        <v>2261</v>
      </c>
      <c r="D1559" s="59" t="s">
        <v>2511</v>
      </c>
      <c r="E1559" s="59" t="s">
        <v>2523</v>
      </c>
      <c r="F1559" s="59" t="str">
        <f>VLOOKUP(E1559,[1]库存!$B$1:$C$65536,2,FALSE)</f>
        <v>XPG H93 PAB E状态</v>
      </c>
      <c r="G1559" s="59" t="s">
        <v>2524</v>
      </c>
      <c r="H1559" s="59" t="s">
        <v>2525</v>
      </c>
      <c r="I1559" s="59" t="s">
        <v>419</v>
      </c>
      <c r="J1559" s="199"/>
      <c r="K1559" s="61"/>
      <c r="L1559" s="62">
        <v>2</v>
      </c>
      <c r="M1559" s="63">
        <v>700</v>
      </c>
      <c r="N1559" s="64">
        <v>26</v>
      </c>
      <c r="O1559" s="62">
        <v>2</v>
      </c>
      <c r="P1559" s="65">
        <f t="shared" si="98"/>
        <v>0</v>
      </c>
      <c r="Q1559" s="66"/>
      <c r="R1559" s="66"/>
      <c r="S1559" s="66"/>
      <c r="T1559" s="66"/>
      <c r="U1559" s="66"/>
      <c r="V1559" s="66"/>
      <c r="W1559" s="66"/>
      <c r="X1559" s="66"/>
      <c r="Y1559" s="66"/>
      <c r="Z1559" s="66"/>
      <c r="AA1559" s="66"/>
      <c r="AB1559" s="66"/>
      <c r="AC1559" s="66"/>
      <c r="AD1559" s="66"/>
      <c r="AE1559" s="66"/>
      <c r="AF1559" s="66"/>
      <c r="AG1559" s="66"/>
      <c r="AH1559" s="66"/>
      <c r="AI1559" s="66"/>
      <c r="AJ1559" s="66"/>
      <c r="AK1559" s="66"/>
      <c r="AL1559" s="66"/>
      <c r="AM1559" s="66"/>
      <c r="AN1559" s="66"/>
      <c r="AO1559" s="66"/>
      <c r="AP1559" s="66"/>
      <c r="AQ1559" s="66"/>
      <c r="AR1559" s="66"/>
      <c r="AS1559" s="66"/>
      <c r="AT1559" s="66"/>
      <c r="AU1559" s="66"/>
      <c r="AV1559" s="66"/>
      <c r="AW1559" s="66"/>
      <c r="AX1559" s="66"/>
      <c r="AY1559" s="66"/>
      <c r="AZ1559" s="66"/>
      <c r="BA1559" s="66"/>
      <c r="BB1559" s="66"/>
      <c r="BC1559" s="66"/>
      <c r="BD1559" s="66"/>
      <c r="BE1559" s="67"/>
      <c r="BF1559" s="67"/>
      <c r="BG1559" s="68"/>
      <c r="BI1559" s="69">
        <v>0</v>
      </c>
      <c r="BJ1559" s="70">
        <v>0</v>
      </c>
      <c r="BK1559" s="71">
        <v>0</v>
      </c>
      <c r="BL1559" s="71">
        <v>0</v>
      </c>
      <c r="BM1559" s="71">
        <v>0</v>
      </c>
      <c r="BN1559" s="72">
        <v>0</v>
      </c>
      <c r="BO1559" s="151" t="e">
        <f t="shared" si="94"/>
        <v>#DIV/0!</v>
      </c>
      <c r="BP1559" s="151" t="e">
        <f t="shared" si="95"/>
        <v>#DIV/0!</v>
      </c>
      <c r="BQ1559" s="71">
        <v>0</v>
      </c>
      <c r="BR1559" s="71">
        <v>0</v>
      </c>
      <c r="BS1559" s="71">
        <v>0</v>
      </c>
      <c r="BT1559" s="72">
        <v>0</v>
      </c>
      <c r="BU1559" s="151" t="e">
        <f t="shared" si="96"/>
        <v>#DIV/0!</v>
      </c>
      <c r="BV1559" s="151" t="e">
        <f t="shared" si="97"/>
        <v>#DIV/0!</v>
      </c>
    </row>
    <row r="1560" ht="30" customHeight="1" spans="1:74">
      <c r="A1560" s="55">
        <v>0</v>
      </c>
      <c r="B1560" s="56">
        <v>0</v>
      </c>
      <c r="C1560" s="57">
        <v>0</v>
      </c>
      <c r="D1560" s="74"/>
      <c r="E1560" s="74"/>
      <c r="F1560" s="59" t="e">
        <f>VLOOKUP(E1560,[1]库存!$B$1:$C$65536,2,FALSE)</f>
        <v>#N/A</v>
      </c>
      <c r="G1560" s="59" t="e">
        <v>#N/A</v>
      </c>
      <c r="H1560" s="74"/>
      <c r="I1560" s="74"/>
      <c r="J1560" s="200"/>
      <c r="K1560" s="61"/>
      <c r="L1560" s="62">
        <v>0</v>
      </c>
      <c r="M1560" s="63">
        <v>0</v>
      </c>
      <c r="N1560" s="64">
        <v>0</v>
      </c>
      <c r="O1560" s="62">
        <v>0</v>
      </c>
      <c r="P1560" s="65">
        <f t="shared" si="98"/>
        <v>0</v>
      </c>
      <c r="Q1560" s="66"/>
      <c r="R1560" s="66"/>
      <c r="S1560" s="66"/>
      <c r="T1560" s="66"/>
      <c r="U1560" s="66"/>
      <c r="V1560" s="66"/>
      <c r="W1560" s="66"/>
      <c r="X1560" s="66"/>
      <c r="Y1560" s="66"/>
      <c r="Z1560" s="66"/>
      <c r="AA1560" s="66"/>
      <c r="AB1560" s="66"/>
      <c r="AC1560" s="66"/>
      <c r="AD1560" s="66"/>
      <c r="AE1560" s="66"/>
      <c r="AF1560" s="66"/>
      <c r="AG1560" s="66"/>
      <c r="AH1560" s="66"/>
      <c r="AI1560" s="66"/>
      <c r="AJ1560" s="66"/>
      <c r="AK1560" s="66"/>
      <c r="AL1560" s="66"/>
      <c r="AM1560" s="66"/>
      <c r="AN1560" s="66"/>
      <c r="AO1560" s="66"/>
      <c r="AP1560" s="66"/>
      <c r="AQ1560" s="66"/>
      <c r="AR1560" s="66"/>
      <c r="AS1560" s="66"/>
      <c r="AT1560" s="66"/>
      <c r="AU1560" s="66"/>
      <c r="AV1560" s="66"/>
      <c r="AW1560" s="66"/>
      <c r="AX1560" s="66"/>
      <c r="AY1560" s="66"/>
      <c r="AZ1560" s="66"/>
      <c r="BA1560" s="66"/>
      <c r="BB1560" s="66"/>
      <c r="BC1560" s="66"/>
      <c r="BD1560" s="66"/>
      <c r="BE1560" s="67"/>
      <c r="BF1560" s="67"/>
      <c r="BG1560" s="68"/>
      <c r="BI1560" s="69">
        <v>0</v>
      </c>
      <c r="BJ1560" s="70">
        <v>0</v>
      </c>
      <c r="BK1560" s="71">
        <v>0</v>
      </c>
      <c r="BL1560" s="71">
        <v>0</v>
      </c>
      <c r="BM1560" s="71">
        <v>0</v>
      </c>
      <c r="BN1560" s="72">
        <v>0</v>
      </c>
      <c r="BO1560" s="151" t="e">
        <f t="shared" si="94"/>
        <v>#DIV/0!</v>
      </c>
      <c r="BP1560" s="151" t="e">
        <f t="shared" si="95"/>
        <v>#DIV/0!</v>
      </c>
      <c r="BQ1560" s="71">
        <v>0</v>
      </c>
      <c r="BR1560" s="71">
        <v>0</v>
      </c>
      <c r="BS1560" s="71">
        <v>0</v>
      </c>
      <c r="BT1560" s="72">
        <v>0</v>
      </c>
      <c r="BU1560" s="151" t="e">
        <f t="shared" si="96"/>
        <v>#DIV/0!</v>
      </c>
      <c r="BV1560" s="151" t="e">
        <f t="shared" si="97"/>
        <v>#DIV/0!</v>
      </c>
    </row>
    <row r="1561" ht="30" customHeight="1" spans="1:74">
      <c r="A1561" s="55">
        <v>0</v>
      </c>
      <c r="B1561" s="56" t="s">
        <v>2247</v>
      </c>
      <c r="C1561" s="57" t="s">
        <v>2261</v>
      </c>
      <c r="D1561" s="141" t="s">
        <v>2511</v>
      </c>
      <c r="E1561" s="141" t="s">
        <v>2526</v>
      </c>
      <c r="F1561" s="141" t="e">
        <f>VLOOKUP(E1561,[1]库存!$B$1:$C$65536,2,FALSE)</f>
        <v>#N/A</v>
      </c>
      <c r="G1561" s="141" t="e">
        <v>#N/A</v>
      </c>
      <c r="H1561" s="141" t="s">
        <v>2527</v>
      </c>
      <c r="I1561" s="141" t="s">
        <v>419</v>
      </c>
      <c r="J1561" s="100" t="s">
        <v>2528</v>
      </c>
      <c r="K1561" s="61"/>
      <c r="L1561" s="62">
        <v>2</v>
      </c>
      <c r="M1561" s="63">
        <v>700</v>
      </c>
      <c r="N1561" s="64">
        <v>22</v>
      </c>
      <c r="O1561" s="62">
        <v>2</v>
      </c>
      <c r="P1561" s="65">
        <f t="shared" si="98"/>
        <v>0</v>
      </c>
      <c r="Q1561" s="66"/>
      <c r="R1561" s="66"/>
      <c r="S1561" s="66"/>
      <c r="T1561" s="66"/>
      <c r="U1561" s="66"/>
      <c r="V1561" s="66"/>
      <c r="W1561" s="66"/>
      <c r="X1561" s="66"/>
      <c r="Y1561" s="66"/>
      <c r="Z1561" s="66"/>
      <c r="AA1561" s="66"/>
      <c r="AB1561" s="66"/>
      <c r="AC1561" s="66"/>
      <c r="AD1561" s="66"/>
      <c r="AE1561" s="66"/>
      <c r="AF1561" s="66"/>
      <c r="AG1561" s="66"/>
      <c r="AH1561" s="66"/>
      <c r="AI1561" s="66"/>
      <c r="AJ1561" s="66"/>
      <c r="AK1561" s="66"/>
      <c r="AL1561" s="66"/>
      <c r="AM1561" s="66"/>
      <c r="AN1561" s="66"/>
      <c r="AO1561" s="66"/>
      <c r="AP1561" s="66"/>
      <c r="AQ1561" s="66"/>
      <c r="AR1561" s="66"/>
      <c r="AS1561" s="66"/>
      <c r="AT1561" s="66"/>
      <c r="AU1561" s="66"/>
      <c r="AV1561" s="66"/>
      <c r="AW1561" s="66"/>
      <c r="AX1561" s="66"/>
      <c r="AY1561" s="66"/>
      <c r="AZ1561" s="66"/>
      <c r="BA1561" s="66"/>
      <c r="BB1561" s="66"/>
      <c r="BC1561" s="66"/>
      <c r="BD1561" s="66"/>
      <c r="BE1561" s="67"/>
      <c r="BF1561" s="67"/>
      <c r="BG1561" s="68"/>
      <c r="BI1561" s="69">
        <v>0</v>
      </c>
      <c r="BJ1561" s="70">
        <v>0</v>
      </c>
      <c r="BK1561" s="71">
        <v>0</v>
      </c>
      <c r="BL1561" s="71">
        <v>0</v>
      </c>
      <c r="BM1561" s="71">
        <v>0</v>
      </c>
      <c r="BN1561" s="72">
        <v>0</v>
      </c>
      <c r="BO1561" s="151" t="e">
        <f t="shared" si="94"/>
        <v>#DIV/0!</v>
      </c>
      <c r="BP1561" s="151" t="e">
        <f t="shared" si="95"/>
        <v>#DIV/0!</v>
      </c>
      <c r="BQ1561" s="71">
        <v>0</v>
      </c>
      <c r="BR1561" s="71">
        <v>0</v>
      </c>
      <c r="BS1561" s="71">
        <v>0</v>
      </c>
      <c r="BT1561" s="72">
        <v>0</v>
      </c>
      <c r="BU1561" s="151" t="e">
        <f t="shared" si="96"/>
        <v>#DIV/0!</v>
      </c>
      <c r="BV1561" s="151" t="e">
        <f t="shared" si="97"/>
        <v>#DIV/0!</v>
      </c>
    </row>
    <row r="1562" ht="30" customHeight="1" spans="1:74">
      <c r="A1562" s="55">
        <v>0</v>
      </c>
      <c r="B1562" s="56">
        <v>0</v>
      </c>
      <c r="C1562" s="57">
        <v>0</v>
      </c>
      <c r="D1562" s="161"/>
      <c r="E1562" s="161"/>
      <c r="F1562" s="141" t="e">
        <f>VLOOKUP(E1562,[1]库存!$B$1:$C$65536,2,FALSE)</f>
        <v>#N/A</v>
      </c>
      <c r="G1562" s="141" t="e">
        <v>#N/A</v>
      </c>
      <c r="H1562" s="161"/>
      <c r="I1562" s="161"/>
      <c r="J1562" s="101"/>
      <c r="K1562" s="61"/>
      <c r="L1562" s="62">
        <v>0</v>
      </c>
      <c r="M1562" s="63">
        <v>0</v>
      </c>
      <c r="N1562" s="64">
        <v>0</v>
      </c>
      <c r="O1562" s="62">
        <v>0</v>
      </c>
      <c r="P1562" s="65">
        <f t="shared" si="98"/>
        <v>0</v>
      </c>
      <c r="Q1562" s="66"/>
      <c r="R1562" s="66"/>
      <c r="S1562" s="66"/>
      <c r="T1562" s="66"/>
      <c r="U1562" s="66"/>
      <c r="V1562" s="66"/>
      <c r="W1562" s="66"/>
      <c r="X1562" s="66"/>
      <c r="Y1562" s="66"/>
      <c r="Z1562" s="66"/>
      <c r="AA1562" s="66"/>
      <c r="AB1562" s="66"/>
      <c r="AC1562" s="66"/>
      <c r="AD1562" s="66"/>
      <c r="AE1562" s="66"/>
      <c r="AF1562" s="66"/>
      <c r="AG1562" s="66"/>
      <c r="AH1562" s="66"/>
      <c r="AI1562" s="66"/>
      <c r="AJ1562" s="66"/>
      <c r="AK1562" s="66"/>
      <c r="AL1562" s="66"/>
      <c r="AM1562" s="66"/>
      <c r="AN1562" s="66"/>
      <c r="AO1562" s="66"/>
      <c r="AP1562" s="66"/>
      <c r="AQ1562" s="66"/>
      <c r="AR1562" s="66"/>
      <c r="AS1562" s="66"/>
      <c r="AT1562" s="66"/>
      <c r="AU1562" s="66"/>
      <c r="AV1562" s="66"/>
      <c r="AW1562" s="66"/>
      <c r="AX1562" s="66"/>
      <c r="AY1562" s="66"/>
      <c r="AZ1562" s="66"/>
      <c r="BA1562" s="66"/>
      <c r="BB1562" s="66"/>
      <c r="BC1562" s="66"/>
      <c r="BD1562" s="66"/>
      <c r="BE1562" s="67"/>
      <c r="BF1562" s="67"/>
      <c r="BG1562" s="68"/>
      <c r="BI1562" s="69">
        <v>0</v>
      </c>
      <c r="BJ1562" s="70">
        <v>0</v>
      </c>
      <c r="BK1562" s="71">
        <v>0</v>
      </c>
      <c r="BL1562" s="71">
        <v>0</v>
      </c>
      <c r="BM1562" s="71">
        <v>0</v>
      </c>
      <c r="BN1562" s="72">
        <v>0</v>
      </c>
      <c r="BO1562" s="151" t="e">
        <f t="shared" ref="BO1562:BO1625" si="99">(BK1562+BL1562)/BJ1562</f>
        <v>#DIV/0!</v>
      </c>
      <c r="BP1562" s="151" t="e">
        <f t="shared" ref="BP1562:BP1625" si="100">BM1562/BJ1562</f>
        <v>#DIV/0!</v>
      </c>
      <c r="BQ1562" s="71">
        <v>0</v>
      </c>
      <c r="BR1562" s="71">
        <v>0</v>
      </c>
      <c r="BS1562" s="71">
        <v>0</v>
      </c>
      <c r="BT1562" s="72">
        <v>0</v>
      </c>
      <c r="BU1562" s="151" t="e">
        <f t="shared" si="96"/>
        <v>#DIV/0!</v>
      </c>
      <c r="BV1562" s="151" t="e">
        <f t="shared" si="97"/>
        <v>#DIV/0!</v>
      </c>
    </row>
    <row r="1563" ht="30" customHeight="1" spans="1:74">
      <c r="A1563" s="55">
        <v>0</v>
      </c>
      <c r="B1563" s="56">
        <v>0</v>
      </c>
      <c r="C1563" s="57">
        <v>0</v>
      </c>
      <c r="D1563" s="210"/>
      <c r="E1563" s="88"/>
      <c r="F1563" s="59" t="e">
        <f>VLOOKUP(E1563,[1]库存!$B$1:$C$65536,2,FALSE)</f>
        <v>#N/A</v>
      </c>
      <c r="G1563" s="59" t="e">
        <v>#N/A</v>
      </c>
      <c r="H1563" s="238"/>
      <c r="I1563" s="239"/>
      <c r="J1563" s="90"/>
      <c r="K1563" s="61"/>
      <c r="L1563" s="62">
        <v>0</v>
      </c>
      <c r="M1563" s="63">
        <v>0</v>
      </c>
      <c r="N1563" s="64">
        <v>0</v>
      </c>
      <c r="O1563" s="62">
        <v>0</v>
      </c>
      <c r="P1563" s="65">
        <f t="shared" si="98"/>
        <v>0</v>
      </c>
      <c r="Q1563" s="66"/>
      <c r="R1563" s="66"/>
      <c r="S1563" s="66"/>
      <c r="T1563" s="66"/>
      <c r="U1563" s="66"/>
      <c r="V1563" s="66"/>
      <c r="W1563" s="66"/>
      <c r="X1563" s="66"/>
      <c r="Y1563" s="66"/>
      <c r="Z1563" s="66"/>
      <c r="AA1563" s="66"/>
      <c r="AB1563" s="66"/>
      <c r="AC1563" s="66"/>
      <c r="AD1563" s="66"/>
      <c r="AE1563" s="66"/>
      <c r="AF1563" s="66"/>
      <c r="AG1563" s="66"/>
      <c r="AH1563" s="66"/>
      <c r="AI1563" s="66"/>
      <c r="AJ1563" s="66"/>
      <c r="AK1563" s="66"/>
      <c r="AL1563" s="66"/>
      <c r="AM1563" s="66"/>
      <c r="AN1563" s="66"/>
      <c r="AO1563" s="66"/>
      <c r="AP1563" s="66"/>
      <c r="AQ1563" s="66"/>
      <c r="AR1563" s="66"/>
      <c r="AS1563" s="66"/>
      <c r="AT1563" s="66"/>
      <c r="AU1563" s="66"/>
      <c r="AV1563" s="66"/>
      <c r="AW1563" s="66"/>
      <c r="AX1563" s="66"/>
      <c r="AY1563" s="66"/>
      <c r="AZ1563" s="66"/>
      <c r="BA1563" s="66"/>
      <c r="BB1563" s="66"/>
      <c r="BC1563" s="66"/>
      <c r="BD1563" s="66"/>
      <c r="BE1563" s="67"/>
      <c r="BF1563" s="67"/>
      <c r="BG1563" s="68"/>
      <c r="BI1563" s="69">
        <v>0</v>
      </c>
      <c r="BJ1563" s="70">
        <v>0</v>
      </c>
      <c r="BK1563" s="71">
        <v>0</v>
      </c>
      <c r="BL1563" s="71">
        <v>0</v>
      </c>
      <c r="BM1563" s="71">
        <v>0</v>
      </c>
      <c r="BN1563" s="72">
        <v>0</v>
      </c>
      <c r="BO1563" s="151" t="e">
        <f t="shared" si="99"/>
        <v>#DIV/0!</v>
      </c>
      <c r="BP1563" s="151" t="e">
        <f t="shared" si="100"/>
        <v>#DIV/0!</v>
      </c>
      <c r="BQ1563" s="71">
        <v>0</v>
      </c>
      <c r="BR1563" s="71">
        <v>0</v>
      </c>
      <c r="BS1563" s="71">
        <v>0</v>
      </c>
      <c r="BT1563" s="72">
        <v>0</v>
      </c>
      <c r="BU1563" s="151" t="e">
        <f t="shared" si="96"/>
        <v>#DIV/0!</v>
      </c>
      <c r="BV1563" s="151" t="e">
        <f t="shared" si="97"/>
        <v>#DIV/0!</v>
      </c>
    </row>
    <row r="1564" ht="30" customHeight="1" spans="1:74">
      <c r="A1564" s="55" t="s">
        <v>165</v>
      </c>
      <c r="B1564" s="56" t="s">
        <v>2247</v>
      </c>
      <c r="C1564" s="57" t="s">
        <v>2261</v>
      </c>
      <c r="D1564" s="91" t="s">
        <v>2529</v>
      </c>
      <c r="E1564" s="91" t="s">
        <v>2530</v>
      </c>
      <c r="F1564" s="91" t="str">
        <f>VLOOKUP(E1564,[1]库存!$B$1:$C$65536,2,FALSE)</f>
        <v>P177 PAB</v>
      </c>
      <c r="G1564" s="91" t="s">
        <v>2531</v>
      </c>
      <c r="H1564" s="91" t="s">
        <v>2532</v>
      </c>
      <c r="I1564" s="91" t="s">
        <v>2533</v>
      </c>
      <c r="J1564" s="63"/>
      <c r="K1564" s="61"/>
      <c r="L1564" s="62">
        <v>2</v>
      </c>
      <c r="M1564" s="63">
        <v>800</v>
      </c>
      <c r="N1564" s="64">
        <v>22</v>
      </c>
      <c r="O1564" s="62">
        <v>2</v>
      </c>
      <c r="P1564" s="65">
        <f t="shared" si="98"/>
        <v>0</v>
      </c>
      <c r="Q1564" s="103"/>
      <c r="R1564" s="66"/>
      <c r="S1564" s="103"/>
      <c r="T1564" s="66"/>
      <c r="U1564" s="103"/>
      <c r="V1564" s="66"/>
      <c r="W1564" s="103"/>
      <c r="X1564" s="66"/>
      <c r="Y1564" s="103"/>
      <c r="Z1564" s="66"/>
      <c r="AA1564" s="103"/>
      <c r="AB1564" s="66"/>
      <c r="AC1564" s="103"/>
      <c r="AD1564" s="66"/>
      <c r="AE1564" s="103"/>
      <c r="AF1564" s="66"/>
      <c r="AG1564" s="103"/>
      <c r="AH1564" s="66"/>
      <c r="AI1564" s="103"/>
      <c r="AJ1564" s="66"/>
      <c r="AK1564" s="103"/>
      <c r="AL1564" s="66"/>
      <c r="AM1564" s="103"/>
      <c r="AN1564" s="66"/>
      <c r="AO1564" s="103"/>
      <c r="AP1564" s="66"/>
      <c r="AQ1564" s="103"/>
      <c r="AR1564" s="66"/>
      <c r="AS1564" s="103"/>
      <c r="AT1564" s="66"/>
      <c r="AU1564" s="103"/>
      <c r="AV1564" s="66"/>
      <c r="AW1564" s="103"/>
      <c r="AX1564" s="66"/>
      <c r="AY1564" s="103"/>
      <c r="AZ1564" s="66"/>
      <c r="BA1564" s="103"/>
      <c r="BB1564" s="66"/>
      <c r="BC1564" s="103"/>
      <c r="BD1564" s="66"/>
      <c r="BE1564" s="67"/>
      <c r="BF1564" s="67"/>
      <c r="BG1564" s="68"/>
      <c r="BI1564" s="69">
        <v>0</v>
      </c>
      <c r="BJ1564" s="70">
        <v>0</v>
      </c>
      <c r="BK1564" s="71">
        <v>0</v>
      </c>
      <c r="BL1564" s="71">
        <v>0</v>
      </c>
      <c r="BM1564" s="71">
        <v>0</v>
      </c>
      <c r="BN1564" s="72">
        <v>0</v>
      </c>
      <c r="BO1564" s="151" t="e">
        <f t="shared" si="99"/>
        <v>#DIV/0!</v>
      </c>
      <c r="BP1564" s="151" t="e">
        <f t="shared" si="100"/>
        <v>#DIV/0!</v>
      </c>
      <c r="BQ1564" s="71">
        <v>0</v>
      </c>
      <c r="BR1564" s="71">
        <v>0</v>
      </c>
      <c r="BS1564" s="71">
        <v>0</v>
      </c>
      <c r="BT1564" s="72">
        <v>0</v>
      </c>
      <c r="BU1564" s="151" t="e">
        <f t="shared" si="96"/>
        <v>#DIV/0!</v>
      </c>
      <c r="BV1564" s="151" t="e">
        <f t="shared" si="97"/>
        <v>#DIV/0!</v>
      </c>
    </row>
    <row r="1565" ht="30" customHeight="1" spans="1:74">
      <c r="A1565" s="55">
        <v>0</v>
      </c>
      <c r="B1565" s="56">
        <v>0</v>
      </c>
      <c r="C1565" s="57">
        <v>0</v>
      </c>
      <c r="D1565" s="92"/>
      <c r="E1565" s="92"/>
      <c r="F1565" s="91" t="e">
        <f>VLOOKUP(E1565,[1]库存!$B$1:$C$65536,2,FALSE)</f>
        <v>#N/A</v>
      </c>
      <c r="G1565" s="91" t="e">
        <v>#N/A</v>
      </c>
      <c r="H1565" s="92"/>
      <c r="I1565" s="92"/>
      <c r="J1565" s="87"/>
      <c r="K1565" s="61"/>
      <c r="L1565" s="62">
        <v>0</v>
      </c>
      <c r="M1565" s="63">
        <v>0</v>
      </c>
      <c r="N1565" s="64">
        <v>0</v>
      </c>
      <c r="O1565" s="62">
        <v>0</v>
      </c>
      <c r="P1565" s="65">
        <f t="shared" si="98"/>
        <v>0</v>
      </c>
      <c r="Q1565" s="66"/>
      <c r="R1565" s="66"/>
      <c r="S1565" s="66"/>
      <c r="T1565" s="66"/>
      <c r="U1565" s="66"/>
      <c r="V1565" s="66"/>
      <c r="W1565" s="66"/>
      <c r="X1565" s="66"/>
      <c r="Y1565" s="66"/>
      <c r="Z1565" s="66"/>
      <c r="AA1565" s="66"/>
      <c r="AB1565" s="66"/>
      <c r="AC1565" s="66"/>
      <c r="AD1565" s="66"/>
      <c r="AE1565" s="66"/>
      <c r="AF1565" s="66"/>
      <c r="AG1565" s="66"/>
      <c r="AH1565" s="66"/>
      <c r="AI1565" s="66"/>
      <c r="AJ1565" s="66"/>
      <c r="AK1565" s="66"/>
      <c r="AL1565" s="66"/>
      <c r="AM1565" s="66"/>
      <c r="AN1565" s="66"/>
      <c r="AO1565" s="66"/>
      <c r="AP1565" s="66"/>
      <c r="AQ1565" s="66"/>
      <c r="AR1565" s="66"/>
      <c r="AS1565" s="66"/>
      <c r="AT1565" s="66"/>
      <c r="AU1565" s="66"/>
      <c r="AV1565" s="66"/>
      <c r="AW1565" s="66"/>
      <c r="AX1565" s="66"/>
      <c r="AY1565" s="66"/>
      <c r="AZ1565" s="66"/>
      <c r="BA1565" s="66"/>
      <c r="BB1565" s="66"/>
      <c r="BC1565" s="66"/>
      <c r="BD1565" s="66"/>
      <c r="BE1565" s="67"/>
      <c r="BF1565" s="67"/>
      <c r="BG1565" s="68"/>
      <c r="BI1565" s="69">
        <v>0</v>
      </c>
      <c r="BJ1565" s="70">
        <v>0</v>
      </c>
      <c r="BK1565" s="71">
        <v>0</v>
      </c>
      <c r="BL1565" s="71">
        <v>0</v>
      </c>
      <c r="BM1565" s="71">
        <v>0</v>
      </c>
      <c r="BN1565" s="72">
        <v>0</v>
      </c>
      <c r="BO1565" s="151" t="e">
        <f t="shared" si="99"/>
        <v>#DIV/0!</v>
      </c>
      <c r="BP1565" s="151" t="e">
        <f t="shared" si="100"/>
        <v>#DIV/0!</v>
      </c>
      <c r="BQ1565" s="71">
        <v>0</v>
      </c>
      <c r="BR1565" s="71">
        <v>0</v>
      </c>
      <c r="BS1565" s="71">
        <v>0</v>
      </c>
      <c r="BT1565" s="72">
        <v>0</v>
      </c>
      <c r="BU1565" s="151" t="e">
        <f t="shared" si="96"/>
        <v>#DIV/0!</v>
      </c>
      <c r="BV1565" s="151" t="e">
        <f t="shared" si="97"/>
        <v>#DIV/0!</v>
      </c>
    </row>
    <row r="1566" ht="30" customHeight="1" spans="1:74">
      <c r="A1566" s="55">
        <v>0</v>
      </c>
      <c r="B1566" s="56">
        <v>0</v>
      </c>
      <c r="C1566" s="57">
        <v>0</v>
      </c>
      <c r="D1566" s="210"/>
      <c r="E1566" s="88"/>
      <c r="F1566" s="59" t="e">
        <f>VLOOKUP(E1566,[1]库存!$B$1:$C$65536,2,FALSE)</f>
        <v>#N/A</v>
      </c>
      <c r="G1566" s="59" t="e">
        <v>#N/A</v>
      </c>
      <c r="H1566" s="238"/>
      <c r="I1566" s="239"/>
      <c r="J1566" s="90"/>
      <c r="K1566" s="61"/>
      <c r="L1566" s="62">
        <v>0</v>
      </c>
      <c r="M1566" s="63">
        <v>0</v>
      </c>
      <c r="N1566" s="64">
        <v>0</v>
      </c>
      <c r="O1566" s="62">
        <v>0</v>
      </c>
      <c r="P1566" s="65">
        <f t="shared" si="98"/>
        <v>0</v>
      </c>
      <c r="Q1566" s="66"/>
      <c r="R1566" s="66"/>
      <c r="S1566" s="66"/>
      <c r="T1566" s="66"/>
      <c r="U1566" s="66"/>
      <c r="V1566" s="66"/>
      <c r="W1566" s="66"/>
      <c r="X1566" s="66"/>
      <c r="Y1566" s="66"/>
      <c r="Z1566" s="66"/>
      <c r="AA1566" s="66"/>
      <c r="AB1566" s="66"/>
      <c r="AC1566" s="66"/>
      <c r="AD1566" s="66"/>
      <c r="AE1566" s="66"/>
      <c r="AF1566" s="66"/>
      <c r="AG1566" s="66"/>
      <c r="AH1566" s="66"/>
      <c r="AI1566" s="66"/>
      <c r="AJ1566" s="66"/>
      <c r="AK1566" s="66"/>
      <c r="AL1566" s="66"/>
      <c r="AM1566" s="66"/>
      <c r="AN1566" s="66"/>
      <c r="AO1566" s="66"/>
      <c r="AP1566" s="66"/>
      <c r="AQ1566" s="66"/>
      <c r="AR1566" s="66"/>
      <c r="AS1566" s="66"/>
      <c r="AT1566" s="66"/>
      <c r="AU1566" s="66"/>
      <c r="AV1566" s="66"/>
      <c r="AW1566" s="66"/>
      <c r="AX1566" s="66"/>
      <c r="AY1566" s="66"/>
      <c r="AZ1566" s="66"/>
      <c r="BA1566" s="66"/>
      <c r="BB1566" s="66"/>
      <c r="BC1566" s="66"/>
      <c r="BD1566" s="66"/>
      <c r="BE1566" s="67"/>
      <c r="BF1566" s="67"/>
      <c r="BG1566" s="68"/>
      <c r="BI1566" s="69">
        <v>0</v>
      </c>
      <c r="BJ1566" s="70">
        <v>0</v>
      </c>
      <c r="BK1566" s="71">
        <v>0</v>
      </c>
      <c r="BL1566" s="71">
        <v>0</v>
      </c>
      <c r="BM1566" s="71">
        <v>0</v>
      </c>
      <c r="BN1566" s="72">
        <v>0</v>
      </c>
      <c r="BO1566" s="151" t="e">
        <f t="shared" si="99"/>
        <v>#DIV/0!</v>
      </c>
      <c r="BP1566" s="151" t="e">
        <f t="shared" si="100"/>
        <v>#DIV/0!</v>
      </c>
      <c r="BQ1566" s="71">
        <v>0</v>
      </c>
      <c r="BR1566" s="71">
        <v>0</v>
      </c>
      <c r="BS1566" s="71">
        <v>0</v>
      </c>
      <c r="BT1566" s="72">
        <v>0</v>
      </c>
      <c r="BU1566" s="151" t="e">
        <f t="shared" si="96"/>
        <v>#DIV/0!</v>
      </c>
      <c r="BV1566" s="151" t="e">
        <f t="shared" si="97"/>
        <v>#DIV/0!</v>
      </c>
    </row>
    <row r="1567" ht="30" customHeight="1" spans="1:74">
      <c r="A1567" s="55" t="s">
        <v>96</v>
      </c>
      <c r="B1567" s="56" t="s">
        <v>2247</v>
      </c>
      <c r="C1567" s="57" t="s">
        <v>2261</v>
      </c>
      <c r="D1567" s="91" t="s">
        <v>2534</v>
      </c>
      <c r="E1567" s="91" t="s">
        <v>2535</v>
      </c>
      <c r="F1567" s="91" t="str">
        <f>VLOOKUP(E1567,[1]库存!$B$1:$C$65536,2,FALSE)</f>
        <v>GEELY SMART HX11 PAB LH B状态</v>
      </c>
      <c r="G1567" s="91" t="s">
        <v>2536</v>
      </c>
      <c r="H1567" s="91" t="s">
        <v>2537</v>
      </c>
      <c r="I1567" s="91" t="s">
        <v>2538</v>
      </c>
      <c r="J1567" s="248" t="s">
        <v>2539</v>
      </c>
      <c r="K1567" s="61"/>
      <c r="L1567" s="62">
        <v>2</v>
      </c>
      <c r="M1567" s="63">
        <v>700</v>
      </c>
      <c r="N1567" s="64">
        <v>17</v>
      </c>
      <c r="O1567" s="62">
        <v>2</v>
      </c>
      <c r="P1567" s="65">
        <f t="shared" si="98"/>
        <v>0</v>
      </c>
      <c r="Q1567" s="66">
        <v>750</v>
      </c>
      <c r="R1567" s="66"/>
      <c r="S1567" s="66">
        <v>2</v>
      </c>
      <c r="T1567" s="66"/>
      <c r="U1567" s="66"/>
      <c r="V1567" s="66"/>
      <c r="W1567" s="66"/>
      <c r="X1567" s="66"/>
      <c r="Y1567" s="66"/>
      <c r="Z1567" s="66"/>
      <c r="AA1567" s="66"/>
      <c r="AB1567" s="66"/>
      <c r="AC1567" s="66"/>
      <c r="AD1567" s="66"/>
      <c r="AE1567" s="66"/>
      <c r="AF1567" s="66"/>
      <c r="AG1567" s="66"/>
      <c r="AH1567" s="66"/>
      <c r="AI1567" s="66"/>
      <c r="AJ1567" s="66"/>
      <c r="AK1567" s="66"/>
      <c r="AL1567" s="66"/>
      <c r="AM1567" s="66"/>
      <c r="AN1567" s="66"/>
      <c r="AO1567" s="66"/>
      <c r="AP1567" s="66"/>
      <c r="AQ1567" s="66"/>
      <c r="AR1567" s="66"/>
      <c r="AS1567" s="66"/>
      <c r="AT1567" s="66"/>
      <c r="AU1567" s="66"/>
      <c r="AV1567" s="66"/>
      <c r="AW1567" s="66"/>
      <c r="AX1567" s="66"/>
      <c r="AY1567" s="66"/>
      <c r="AZ1567" s="66"/>
      <c r="BA1567" s="66"/>
      <c r="BB1567" s="66"/>
      <c r="BC1567" s="66"/>
      <c r="BD1567" s="66"/>
      <c r="BE1567" s="67"/>
      <c r="BF1567" s="67"/>
      <c r="BG1567" s="68"/>
      <c r="BI1567" s="69">
        <v>0</v>
      </c>
      <c r="BJ1567" s="70">
        <v>0</v>
      </c>
      <c r="BK1567" s="71">
        <v>0</v>
      </c>
      <c r="BL1567" s="71">
        <v>0</v>
      </c>
      <c r="BM1567" s="71">
        <v>0</v>
      </c>
      <c r="BN1567" s="72">
        <v>0</v>
      </c>
      <c r="BO1567" s="151" t="e">
        <f t="shared" si="99"/>
        <v>#DIV/0!</v>
      </c>
      <c r="BP1567" s="151" t="e">
        <f t="shared" si="100"/>
        <v>#DIV/0!</v>
      </c>
      <c r="BQ1567" s="71">
        <v>0</v>
      </c>
      <c r="BR1567" s="71">
        <v>0</v>
      </c>
      <c r="BS1567" s="71">
        <v>0</v>
      </c>
      <c r="BT1567" s="72">
        <v>0</v>
      </c>
      <c r="BU1567" s="151" t="e">
        <f t="shared" si="96"/>
        <v>#DIV/0!</v>
      </c>
      <c r="BV1567" s="151" t="e">
        <f t="shared" si="97"/>
        <v>#DIV/0!</v>
      </c>
    </row>
    <row r="1568" ht="30" customHeight="1" spans="1:74">
      <c r="A1568" s="55">
        <v>0</v>
      </c>
      <c r="B1568" s="56">
        <v>0</v>
      </c>
      <c r="C1568" s="57">
        <v>0</v>
      </c>
      <c r="D1568" s="92"/>
      <c r="E1568" s="92"/>
      <c r="F1568" s="91" t="e">
        <f>VLOOKUP(E1568,[1]库存!$B$1:$C$65536,2,FALSE)</f>
        <v>#N/A</v>
      </c>
      <c r="G1568" s="91" t="e">
        <v>#N/A</v>
      </c>
      <c r="H1568" s="92"/>
      <c r="I1568" s="92"/>
      <c r="J1568" s="249"/>
      <c r="K1568" s="61"/>
      <c r="L1568" s="62">
        <v>0</v>
      </c>
      <c r="M1568" s="63">
        <v>0</v>
      </c>
      <c r="N1568" s="64">
        <v>0</v>
      </c>
      <c r="O1568" s="62">
        <v>0</v>
      </c>
      <c r="P1568" s="65">
        <f t="shared" si="98"/>
        <v>0</v>
      </c>
      <c r="Q1568" s="66">
        <v>852</v>
      </c>
      <c r="R1568" s="66"/>
      <c r="S1568" s="66">
        <v>2</v>
      </c>
      <c r="T1568" s="66"/>
      <c r="U1568" s="66"/>
      <c r="V1568" s="66"/>
      <c r="W1568" s="66"/>
      <c r="X1568" s="66"/>
      <c r="Y1568" s="66"/>
      <c r="Z1568" s="66"/>
      <c r="AA1568" s="66"/>
      <c r="AB1568" s="66"/>
      <c r="AC1568" s="66"/>
      <c r="AD1568" s="66"/>
      <c r="AE1568" s="66"/>
      <c r="AF1568" s="66"/>
      <c r="AG1568" s="66"/>
      <c r="AH1568" s="66"/>
      <c r="AI1568" s="66"/>
      <c r="AJ1568" s="66"/>
      <c r="AK1568" s="66"/>
      <c r="AL1568" s="66"/>
      <c r="AM1568" s="66"/>
      <c r="AN1568" s="66"/>
      <c r="AO1568" s="66"/>
      <c r="AP1568" s="66"/>
      <c r="AQ1568" s="66"/>
      <c r="AR1568" s="66"/>
      <c r="AS1568" s="66"/>
      <c r="AT1568" s="66"/>
      <c r="AU1568" s="66"/>
      <c r="AV1568" s="66"/>
      <c r="AW1568" s="66"/>
      <c r="AX1568" s="66"/>
      <c r="AY1568" s="66"/>
      <c r="AZ1568" s="66"/>
      <c r="BA1568" s="66"/>
      <c r="BB1568" s="66"/>
      <c r="BC1568" s="66"/>
      <c r="BD1568" s="66"/>
      <c r="BE1568" s="67"/>
      <c r="BF1568" s="67"/>
      <c r="BG1568" s="68"/>
      <c r="BI1568" s="69">
        <v>0</v>
      </c>
      <c r="BJ1568" s="70">
        <v>0</v>
      </c>
      <c r="BK1568" s="71">
        <v>0</v>
      </c>
      <c r="BL1568" s="71">
        <v>0</v>
      </c>
      <c r="BM1568" s="71">
        <v>0</v>
      </c>
      <c r="BN1568" s="72">
        <v>0</v>
      </c>
      <c r="BO1568" s="151" t="e">
        <f t="shared" si="99"/>
        <v>#DIV/0!</v>
      </c>
      <c r="BP1568" s="151" t="e">
        <f t="shared" si="100"/>
        <v>#DIV/0!</v>
      </c>
      <c r="BQ1568" s="71">
        <v>0</v>
      </c>
      <c r="BR1568" s="71">
        <v>0</v>
      </c>
      <c r="BS1568" s="71">
        <v>0</v>
      </c>
      <c r="BT1568" s="72">
        <v>0</v>
      </c>
      <c r="BU1568" s="151" t="e">
        <f t="shared" si="96"/>
        <v>#DIV/0!</v>
      </c>
      <c r="BV1568" s="151" t="e">
        <f t="shared" si="97"/>
        <v>#DIV/0!</v>
      </c>
    </row>
    <row r="1569" ht="30" customHeight="1" spans="1:75 16331:16349">
      <c r="A1569" s="55" t="s">
        <v>96</v>
      </c>
      <c r="B1569" s="56" t="s">
        <v>2247</v>
      </c>
      <c r="C1569" s="57" t="s">
        <v>2261</v>
      </c>
      <c r="D1569" s="59" t="s">
        <v>2534</v>
      </c>
      <c r="E1569" s="59" t="s">
        <v>2540</v>
      </c>
      <c r="F1569" s="59" t="str">
        <f>VLOOKUP(E1569,[1]库存!$B$1:$C$65536,2,FALSE)</f>
        <v>GEELY SMART HX11 PAB RH B状态</v>
      </c>
      <c r="G1569" s="59" t="s">
        <v>2541</v>
      </c>
      <c r="H1569" s="59" t="s">
        <v>2542</v>
      </c>
      <c r="I1569" s="59" t="s">
        <v>1567</v>
      </c>
      <c r="J1569" s="80" t="s">
        <v>65</v>
      </c>
      <c r="K1569" s="61"/>
      <c r="L1569" s="62">
        <v>2</v>
      </c>
      <c r="M1569" s="63">
        <v>700</v>
      </c>
      <c r="N1569" s="64">
        <v>17</v>
      </c>
      <c r="O1569" s="62">
        <v>2</v>
      </c>
      <c r="P1569" s="65">
        <f t="shared" si="98"/>
        <v>0</v>
      </c>
      <c r="Q1569" s="66"/>
      <c r="R1569" s="66"/>
      <c r="S1569" s="66"/>
      <c r="T1569" s="66"/>
      <c r="U1569" s="66"/>
      <c r="V1569" s="66"/>
      <c r="W1569" s="66"/>
      <c r="X1569" s="66"/>
      <c r="Y1569" s="66"/>
      <c r="Z1569" s="66"/>
      <c r="AA1569" s="66"/>
      <c r="AB1569" s="66"/>
      <c r="AC1569" s="66"/>
      <c r="AD1569" s="66"/>
      <c r="AE1569" s="66"/>
      <c r="AF1569" s="66"/>
      <c r="AG1569" s="66"/>
      <c r="AH1569" s="66"/>
      <c r="AI1569" s="66"/>
      <c r="AJ1569" s="66"/>
      <c r="AK1569" s="66"/>
      <c r="AL1569" s="66"/>
      <c r="AM1569" s="66"/>
      <c r="AN1569" s="66"/>
      <c r="AO1569" s="66"/>
      <c r="AP1569" s="66"/>
      <c r="AQ1569" s="66"/>
      <c r="AR1569" s="66"/>
      <c r="AS1569" s="66"/>
      <c r="AT1569" s="66"/>
      <c r="AU1569" s="66"/>
      <c r="AV1569" s="66"/>
      <c r="AW1569" s="66"/>
      <c r="AX1569" s="66"/>
      <c r="AY1569" s="66"/>
      <c r="AZ1569" s="66"/>
      <c r="BA1569" s="66"/>
      <c r="BB1569" s="66"/>
      <c r="BC1569" s="66"/>
      <c r="BD1569" s="66"/>
      <c r="BE1569" s="67"/>
      <c r="BF1569" s="67"/>
      <c r="BG1569" s="68"/>
      <c r="BI1569" s="69">
        <v>0</v>
      </c>
      <c r="BJ1569" s="70">
        <v>0</v>
      </c>
      <c r="BK1569" s="71">
        <v>0</v>
      </c>
      <c r="BL1569" s="71">
        <v>0</v>
      </c>
      <c r="BM1569" s="71">
        <v>0</v>
      </c>
      <c r="BN1569" s="72">
        <v>0</v>
      </c>
      <c r="BO1569" s="151" t="e">
        <f t="shared" si="99"/>
        <v>#DIV/0!</v>
      </c>
      <c r="BP1569" s="151" t="e">
        <f t="shared" si="100"/>
        <v>#DIV/0!</v>
      </c>
      <c r="BQ1569" s="71">
        <v>0</v>
      </c>
      <c r="BR1569" s="71">
        <v>0</v>
      </c>
      <c r="BS1569" s="71">
        <v>0</v>
      </c>
      <c r="BT1569" s="72">
        <v>0</v>
      </c>
      <c r="BU1569" s="151" t="e">
        <f t="shared" si="96"/>
        <v>#DIV/0!</v>
      </c>
      <c r="BV1569" s="151" t="e">
        <f t="shared" si="97"/>
        <v>#DIV/0!</v>
      </c>
    </row>
    <row r="1570" ht="30" customHeight="1" spans="1:75 16331:16349">
      <c r="A1570" s="55">
        <v>0</v>
      </c>
      <c r="B1570" s="56">
        <v>0</v>
      </c>
      <c r="C1570" s="57">
        <v>0</v>
      </c>
      <c r="D1570" s="74"/>
      <c r="E1570" s="74"/>
      <c r="F1570" s="59" t="e">
        <f>VLOOKUP(E1570,[1]库存!$B$1:$C$65536,2,FALSE)</f>
        <v>#N/A</v>
      </c>
      <c r="G1570" s="59" t="e">
        <v>#N/A</v>
      </c>
      <c r="H1570" s="74"/>
      <c r="I1570" s="74"/>
      <c r="J1570" s="81"/>
      <c r="K1570" s="61"/>
      <c r="L1570" s="62">
        <v>0</v>
      </c>
      <c r="M1570" s="63">
        <v>0</v>
      </c>
      <c r="N1570" s="64">
        <v>0</v>
      </c>
      <c r="O1570" s="62">
        <v>0</v>
      </c>
      <c r="P1570" s="65">
        <f t="shared" si="98"/>
        <v>0</v>
      </c>
      <c r="Q1570" s="66"/>
      <c r="R1570" s="66"/>
      <c r="S1570" s="66"/>
      <c r="T1570" s="66"/>
      <c r="U1570" s="66"/>
      <c r="V1570" s="66"/>
      <c r="W1570" s="66"/>
      <c r="X1570" s="66"/>
      <c r="Y1570" s="66"/>
      <c r="Z1570" s="66"/>
      <c r="AA1570" s="66"/>
      <c r="AB1570" s="66"/>
      <c r="AC1570" s="66"/>
      <c r="AD1570" s="66"/>
      <c r="AE1570" s="66"/>
      <c r="AF1570" s="66"/>
      <c r="AG1570" s="66"/>
      <c r="AH1570" s="66"/>
      <c r="AI1570" s="66"/>
      <c r="AJ1570" s="66"/>
      <c r="AK1570" s="66"/>
      <c r="AL1570" s="66"/>
      <c r="AM1570" s="66"/>
      <c r="AN1570" s="66"/>
      <c r="AO1570" s="66"/>
      <c r="AP1570" s="66"/>
      <c r="AQ1570" s="66"/>
      <c r="AR1570" s="66"/>
      <c r="AS1570" s="66"/>
      <c r="AT1570" s="66"/>
      <c r="AU1570" s="66"/>
      <c r="AV1570" s="66"/>
      <c r="AW1570" s="66"/>
      <c r="AX1570" s="66"/>
      <c r="AY1570" s="66"/>
      <c r="AZ1570" s="66"/>
      <c r="BA1570" s="66"/>
      <c r="BB1570" s="66"/>
      <c r="BC1570" s="66"/>
      <c r="BD1570" s="66"/>
      <c r="BE1570" s="67"/>
      <c r="BF1570" s="67"/>
      <c r="BG1570" s="68"/>
      <c r="BI1570" s="69">
        <v>0</v>
      </c>
      <c r="BJ1570" s="70">
        <v>0</v>
      </c>
      <c r="BK1570" s="71">
        <v>0</v>
      </c>
      <c r="BL1570" s="71">
        <v>0</v>
      </c>
      <c r="BM1570" s="71">
        <v>0</v>
      </c>
      <c r="BN1570" s="72">
        <v>0</v>
      </c>
      <c r="BO1570" s="151" t="e">
        <f t="shared" si="99"/>
        <v>#DIV/0!</v>
      </c>
      <c r="BP1570" s="151" t="e">
        <f t="shared" si="100"/>
        <v>#DIV/0!</v>
      </c>
      <c r="BQ1570" s="71">
        <v>0</v>
      </c>
      <c r="BR1570" s="71">
        <v>0</v>
      </c>
      <c r="BS1570" s="71">
        <v>0</v>
      </c>
      <c r="BT1570" s="72">
        <v>0</v>
      </c>
      <c r="BU1570" s="151" t="e">
        <f t="shared" si="96"/>
        <v>#DIV/0!</v>
      </c>
      <c r="BV1570" s="151" t="e">
        <f t="shared" si="97"/>
        <v>#DIV/0!</v>
      </c>
    </row>
    <row r="1571" ht="30" customHeight="1" spans="1:75 16331:16349">
      <c r="A1571" s="55">
        <v>0</v>
      </c>
      <c r="B1571" s="56">
        <v>0</v>
      </c>
      <c r="C1571" s="57">
        <v>0</v>
      </c>
      <c r="D1571" s="210"/>
      <c r="E1571" s="88"/>
      <c r="F1571" s="59" t="e">
        <f>VLOOKUP(E1571,[1]库存!$B$1:$C$65536,2,FALSE)</f>
        <v>#N/A</v>
      </c>
      <c r="G1571" s="59" t="e">
        <v>#N/A</v>
      </c>
      <c r="H1571" s="238"/>
      <c r="I1571" s="239"/>
      <c r="J1571" s="90"/>
      <c r="K1571" s="61"/>
      <c r="L1571" s="62">
        <v>0</v>
      </c>
      <c r="M1571" s="63">
        <v>0</v>
      </c>
      <c r="N1571" s="64">
        <v>0</v>
      </c>
      <c r="O1571" s="62">
        <v>0</v>
      </c>
      <c r="P1571" s="65">
        <f t="shared" si="98"/>
        <v>0</v>
      </c>
      <c r="Q1571" s="66"/>
      <c r="R1571" s="66"/>
      <c r="S1571" s="66"/>
      <c r="T1571" s="66"/>
      <c r="U1571" s="66"/>
      <c r="V1571" s="66"/>
      <c r="W1571" s="66"/>
      <c r="X1571" s="66"/>
      <c r="Y1571" s="66"/>
      <c r="Z1571" s="66"/>
      <c r="AA1571" s="66"/>
      <c r="AB1571" s="66"/>
      <c r="AC1571" s="66"/>
      <c r="AD1571" s="66"/>
      <c r="AE1571" s="66"/>
      <c r="AF1571" s="66"/>
      <c r="AG1571" s="66"/>
      <c r="AH1571" s="66"/>
      <c r="AI1571" s="66"/>
      <c r="AJ1571" s="66"/>
      <c r="AK1571" s="66"/>
      <c r="AL1571" s="66"/>
      <c r="AM1571" s="66"/>
      <c r="AN1571" s="66"/>
      <c r="AO1571" s="66"/>
      <c r="AP1571" s="66"/>
      <c r="AQ1571" s="66"/>
      <c r="AR1571" s="66"/>
      <c r="AS1571" s="66"/>
      <c r="AT1571" s="66"/>
      <c r="AU1571" s="66"/>
      <c r="AV1571" s="66"/>
      <c r="AW1571" s="66"/>
      <c r="AX1571" s="66"/>
      <c r="AY1571" s="66"/>
      <c r="AZ1571" s="66"/>
      <c r="BA1571" s="66"/>
      <c r="BB1571" s="66"/>
      <c r="BC1571" s="66"/>
      <c r="BD1571" s="66"/>
      <c r="BE1571" s="67"/>
      <c r="BF1571" s="67"/>
      <c r="BG1571" s="68"/>
      <c r="BI1571" s="69">
        <v>0</v>
      </c>
      <c r="BJ1571" s="70">
        <v>0</v>
      </c>
      <c r="BK1571" s="71">
        <v>0</v>
      </c>
      <c r="BL1571" s="71">
        <v>0</v>
      </c>
      <c r="BM1571" s="71">
        <v>0</v>
      </c>
      <c r="BN1571" s="72">
        <v>0</v>
      </c>
      <c r="BO1571" s="151" t="e">
        <f t="shared" si="99"/>
        <v>#DIV/0!</v>
      </c>
      <c r="BP1571" s="151" t="e">
        <f t="shared" si="100"/>
        <v>#DIV/0!</v>
      </c>
      <c r="BQ1571" s="71">
        <v>0</v>
      </c>
      <c r="BR1571" s="71">
        <v>0</v>
      </c>
      <c r="BS1571" s="71">
        <v>0</v>
      </c>
      <c r="BT1571" s="72">
        <v>0</v>
      </c>
      <c r="BU1571" s="151" t="e">
        <f t="shared" si="96"/>
        <v>#DIV/0!</v>
      </c>
      <c r="BV1571" s="151" t="e">
        <f t="shared" si="97"/>
        <v>#DIV/0!</v>
      </c>
    </row>
    <row r="1572" ht="30" customHeight="1" spans="1:75 16331:16349">
      <c r="A1572" s="55" t="s">
        <v>96</v>
      </c>
      <c r="B1572" s="56" t="s">
        <v>2247</v>
      </c>
      <c r="C1572" s="57" t="s">
        <v>2343</v>
      </c>
      <c r="D1572" s="59" t="s">
        <v>2543</v>
      </c>
      <c r="E1572" s="59" t="s">
        <v>2544</v>
      </c>
      <c r="F1572" s="59" t="str">
        <f>VLOOKUP(E1572,[1]库存!$B$1:$C$65536,2,FALSE)</f>
        <v>Anhui X6 RSAB LH</v>
      </c>
      <c r="G1572" s="59" t="s">
        <v>2545</v>
      </c>
      <c r="H1572" s="59" t="s">
        <v>2546</v>
      </c>
      <c r="I1572" s="59" t="s">
        <v>2547</v>
      </c>
      <c r="J1572" s="60" t="s">
        <v>2548</v>
      </c>
      <c r="K1572" s="61"/>
      <c r="L1572" s="62">
        <v>0</v>
      </c>
      <c r="M1572" s="63">
        <v>1200</v>
      </c>
      <c r="N1572" s="64">
        <v>14</v>
      </c>
      <c r="O1572" s="62">
        <v>2</v>
      </c>
      <c r="P1572" s="65">
        <f t="shared" si="98"/>
        <v>0</v>
      </c>
      <c r="Q1572" s="66"/>
      <c r="R1572" s="66"/>
      <c r="S1572" s="66"/>
      <c r="T1572" s="66"/>
      <c r="U1572" s="66"/>
      <c r="V1572" s="66"/>
      <c r="W1572" s="66"/>
      <c r="X1572" s="66"/>
      <c r="Y1572" s="66"/>
      <c r="Z1572" s="66"/>
      <c r="AA1572" s="66"/>
      <c r="AB1572" s="66"/>
      <c r="AC1572" s="66"/>
      <c r="AD1572" s="66"/>
      <c r="AE1572" s="66"/>
      <c r="AF1572" s="66"/>
      <c r="AG1572" s="66"/>
      <c r="AH1572" s="66"/>
      <c r="AI1572" s="66"/>
      <c r="AJ1572" s="66"/>
      <c r="AK1572" s="66"/>
      <c r="AL1572" s="66"/>
      <c r="AM1572" s="66"/>
      <c r="AN1572" s="66"/>
      <c r="AO1572" s="66"/>
      <c r="AP1572" s="66"/>
      <c r="AQ1572" s="66"/>
      <c r="AR1572" s="66"/>
      <c r="AS1572" s="66"/>
      <c r="AT1572" s="66"/>
      <c r="AU1572" s="66"/>
      <c r="AV1572" s="66"/>
      <c r="AW1572" s="66"/>
      <c r="AX1572" s="66"/>
      <c r="AY1572" s="66"/>
      <c r="AZ1572" s="66"/>
      <c r="BA1572" s="66"/>
      <c r="BB1572" s="66"/>
      <c r="BC1572" s="66"/>
      <c r="BD1572" s="66"/>
      <c r="BE1572" s="67"/>
      <c r="BF1572" s="67"/>
      <c r="BG1572" s="68"/>
      <c r="BI1572" s="69">
        <v>0</v>
      </c>
      <c r="BJ1572" s="70">
        <v>0</v>
      </c>
      <c r="BK1572" s="71">
        <v>0</v>
      </c>
      <c r="BL1572" s="71">
        <v>0</v>
      </c>
      <c r="BM1572" s="71">
        <v>0</v>
      </c>
      <c r="BN1572" s="72">
        <v>0</v>
      </c>
      <c r="BO1572" s="151" t="e">
        <f t="shared" si="99"/>
        <v>#DIV/0!</v>
      </c>
      <c r="BP1572" s="151" t="e">
        <f t="shared" si="100"/>
        <v>#DIV/0!</v>
      </c>
      <c r="BQ1572" s="71">
        <v>0</v>
      </c>
      <c r="BR1572" s="71">
        <v>0</v>
      </c>
      <c r="BS1572" s="71">
        <v>0</v>
      </c>
      <c r="BT1572" s="72">
        <v>0</v>
      </c>
      <c r="BU1572" s="151" t="e">
        <f t="shared" si="96"/>
        <v>#DIV/0!</v>
      </c>
      <c r="BV1572" s="151" t="e">
        <f t="shared" si="97"/>
        <v>#DIV/0!</v>
      </c>
    </row>
    <row r="1573" ht="30" customHeight="1" spans="1:75 16331:16349">
      <c r="A1573" s="55">
        <v>0</v>
      </c>
      <c r="B1573" s="56">
        <v>0</v>
      </c>
      <c r="C1573" s="57">
        <v>0</v>
      </c>
      <c r="D1573" s="74"/>
      <c r="E1573" s="74"/>
      <c r="F1573" s="59" t="e">
        <f>VLOOKUP(E1573,[1]库存!$B$1:$C$65536,2,FALSE)</f>
        <v>#N/A</v>
      </c>
      <c r="G1573" s="59" t="e">
        <v>#N/A</v>
      </c>
      <c r="H1573" s="74"/>
      <c r="I1573" s="74"/>
      <c r="J1573" s="75"/>
      <c r="K1573" s="61"/>
      <c r="L1573" s="62">
        <v>0</v>
      </c>
      <c r="M1573" s="63">
        <v>0</v>
      </c>
      <c r="N1573" s="64">
        <v>0</v>
      </c>
      <c r="O1573" s="62">
        <v>0</v>
      </c>
      <c r="P1573" s="65">
        <f t="shared" si="98"/>
        <v>0</v>
      </c>
      <c r="Q1573" s="66"/>
      <c r="R1573" s="66"/>
      <c r="S1573" s="66"/>
      <c r="T1573" s="66"/>
      <c r="U1573" s="66"/>
      <c r="V1573" s="66"/>
      <c r="W1573" s="66"/>
      <c r="X1573" s="66"/>
      <c r="Y1573" s="66"/>
      <c r="Z1573" s="66"/>
      <c r="AA1573" s="66"/>
      <c r="AB1573" s="66"/>
      <c r="AC1573" s="66"/>
      <c r="AD1573" s="66"/>
      <c r="AE1573" s="66"/>
      <c r="AF1573" s="66"/>
      <c r="AG1573" s="66"/>
      <c r="AH1573" s="66"/>
      <c r="AI1573" s="66"/>
      <c r="AJ1573" s="66"/>
      <c r="AK1573" s="66"/>
      <c r="AL1573" s="66"/>
      <c r="AM1573" s="66"/>
      <c r="AN1573" s="66"/>
      <c r="AO1573" s="66"/>
      <c r="AP1573" s="66"/>
      <c r="AQ1573" s="66"/>
      <c r="AR1573" s="66"/>
      <c r="AS1573" s="66"/>
      <c r="AT1573" s="66"/>
      <c r="AU1573" s="66"/>
      <c r="AV1573" s="66"/>
      <c r="AW1573" s="66"/>
      <c r="AX1573" s="66"/>
      <c r="AY1573" s="66"/>
      <c r="AZ1573" s="66"/>
      <c r="BA1573" s="66"/>
      <c r="BB1573" s="66"/>
      <c r="BC1573" s="66"/>
      <c r="BD1573" s="66"/>
      <c r="BE1573" s="67"/>
      <c r="BF1573" s="67"/>
      <c r="BG1573" s="68"/>
      <c r="BI1573" s="69">
        <v>0</v>
      </c>
      <c r="BJ1573" s="70">
        <v>0</v>
      </c>
      <c r="BK1573" s="71">
        <v>0</v>
      </c>
      <c r="BL1573" s="71">
        <v>0</v>
      </c>
      <c r="BM1573" s="71">
        <v>0</v>
      </c>
      <c r="BN1573" s="72">
        <v>0</v>
      </c>
      <c r="BO1573" s="151" t="e">
        <f t="shared" si="99"/>
        <v>#DIV/0!</v>
      </c>
      <c r="BP1573" s="151" t="e">
        <f t="shared" si="100"/>
        <v>#DIV/0!</v>
      </c>
      <c r="BQ1573" s="71">
        <v>0</v>
      </c>
      <c r="BR1573" s="71">
        <v>0</v>
      </c>
      <c r="BS1573" s="71">
        <v>0</v>
      </c>
      <c r="BT1573" s="72">
        <v>0</v>
      </c>
      <c r="BU1573" s="151" t="e">
        <f t="shared" si="96"/>
        <v>#DIV/0!</v>
      </c>
      <c r="BV1573" s="151" t="e">
        <f t="shared" si="97"/>
        <v>#DIV/0!</v>
      </c>
    </row>
    <row r="1574" ht="30" customHeight="1" spans="1:75 16331:16349">
      <c r="A1574" s="55" t="s">
        <v>96</v>
      </c>
      <c r="B1574" s="56" t="s">
        <v>2247</v>
      </c>
      <c r="C1574" s="57" t="s">
        <v>2343</v>
      </c>
      <c r="D1574" s="59" t="s">
        <v>2543</v>
      </c>
      <c r="E1574" s="59" t="s">
        <v>2549</v>
      </c>
      <c r="F1574" s="59" t="str">
        <f>VLOOKUP(E1574,[1]库存!$B$1:$C$65536,2,FALSE)</f>
        <v>Anhui X6 RSAB RH</v>
      </c>
      <c r="G1574" s="59" t="s">
        <v>2550</v>
      </c>
      <c r="H1574" s="59" t="s">
        <v>2551</v>
      </c>
      <c r="I1574" s="59" t="s">
        <v>2547</v>
      </c>
      <c r="J1574" s="75"/>
      <c r="K1574" s="61"/>
      <c r="L1574" s="62">
        <v>0</v>
      </c>
      <c r="M1574" s="63">
        <v>1200</v>
      </c>
      <c r="N1574" s="64">
        <v>14</v>
      </c>
      <c r="O1574" s="62">
        <v>2</v>
      </c>
      <c r="P1574" s="65">
        <f t="shared" si="98"/>
        <v>0</v>
      </c>
      <c r="Q1574" s="66"/>
      <c r="R1574" s="66"/>
      <c r="S1574" s="66"/>
      <c r="T1574" s="66"/>
      <c r="U1574" s="66"/>
      <c r="V1574" s="66"/>
      <c r="W1574" s="66"/>
      <c r="X1574" s="66"/>
      <c r="Y1574" s="66"/>
      <c r="Z1574" s="66"/>
      <c r="AA1574" s="66"/>
      <c r="AB1574" s="66"/>
      <c r="AC1574" s="66"/>
      <c r="AD1574" s="66"/>
      <c r="AE1574" s="66"/>
      <c r="AF1574" s="66"/>
      <c r="AG1574" s="66"/>
      <c r="AH1574" s="66"/>
      <c r="AI1574" s="66"/>
      <c r="AJ1574" s="66"/>
      <c r="AK1574" s="66"/>
      <c r="AL1574" s="66"/>
      <c r="AM1574" s="66"/>
      <c r="AN1574" s="66"/>
      <c r="AO1574" s="66"/>
      <c r="AP1574" s="66"/>
      <c r="AQ1574" s="66"/>
      <c r="AR1574" s="66"/>
      <c r="AS1574" s="66"/>
      <c r="AT1574" s="66"/>
      <c r="AU1574" s="66"/>
      <c r="AV1574" s="66"/>
      <c r="AW1574" s="66"/>
      <c r="AX1574" s="66"/>
      <c r="AY1574" s="66"/>
      <c r="AZ1574" s="66"/>
      <c r="BA1574" s="66"/>
      <c r="BB1574" s="66"/>
      <c r="BC1574" s="66"/>
      <c r="BD1574" s="66"/>
      <c r="BE1574" s="67"/>
      <c r="BF1574" s="67"/>
      <c r="BG1574" s="68"/>
      <c r="BI1574" s="69">
        <v>0</v>
      </c>
      <c r="BJ1574" s="70">
        <v>0</v>
      </c>
      <c r="BK1574" s="71">
        <v>0</v>
      </c>
      <c r="BL1574" s="71">
        <v>0</v>
      </c>
      <c r="BM1574" s="71">
        <v>0</v>
      </c>
      <c r="BN1574" s="72">
        <v>0</v>
      </c>
      <c r="BO1574" s="151" t="e">
        <f t="shared" si="99"/>
        <v>#DIV/0!</v>
      </c>
      <c r="BP1574" s="151" t="e">
        <f t="shared" si="100"/>
        <v>#DIV/0!</v>
      </c>
      <c r="BQ1574" s="71">
        <v>0</v>
      </c>
      <c r="BR1574" s="71">
        <v>0</v>
      </c>
      <c r="BS1574" s="71">
        <v>0</v>
      </c>
      <c r="BT1574" s="72">
        <v>0</v>
      </c>
      <c r="BU1574" s="151" t="e">
        <f t="shared" si="96"/>
        <v>#DIV/0!</v>
      </c>
      <c r="BV1574" s="151" t="e">
        <f t="shared" si="97"/>
        <v>#DIV/0!</v>
      </c>
    </row>
    <row r="1575" ht="30" customHeight="1" spans="1:75 16331:16349">
      <c r="A1575" s="55">
        <v>0</v>
      </c>
      <c r="B1575" s="56">
        <v>0</v>
      </c>
      <c r="C1575" s="57">
        <v>0</v>
      </c>
      <c r="D1575" s="74"/>
      <c r="E1575" s="74"/>
      <c r="F1575" s="59" t="e">
        <f>VLOOKUP(E1575,[1]库存!$B$1:$C$65536,2,FALSE)</f>
        <v>#N/A</v>
      </c>
      <c r="G1575" s="59" t="e">
        <v>#N/A</v>
      </c>
      <c r="H1575" s="74"/>
      <c r="I1575" s="74"/>
      <c r="J1575" s="75"/>
      <c r="K1575" s="61"/>
      <c r="L1575" s="62">
        <v>0</v>
      </c>
      <c r="M1575" s="63">
        <v>0</v>
      </c>
      <c r="N1575" s="64">
        <v>0</v>
      </c>
      <c r="O1575" s="62">
        <v>0</v>
      </c>
      <c r="P1575" s="65">
        <f t="shared" si="98"/>
        <v>0</v>
      </c>
      <c r="Q1575" s="66"/>
      <c r="R1575" s="66"/>
      <c r="S1575" s="66"/>
      <c r="T1575" s="66"/>
      <c r="U1575" s="66"/>
      <c r="V1575" s="66"/>
      <c r="W1575" s="66"/>
      <c r="X1575" s="66"/>
      <c r="Y1575" s="66"/>
      <c r="Z1575" s="66"/>
      <c r="AA1575" s="66"/>
      <c r="AB1575" s="66"/>
      <c r="AC1575" s="66"/>
      <c r="AD1575" s="66"/>
      <c r="AE1575" s="66"/>
      <c r="AF1575" s="66"/>
      <c r="AG1575" s="66"/>
      <c r="AH1575" s="66"/>
      <c r="AI1575" s="66"/>
      <c r="AJ1575" s="66"/>
      <c r="AK1575" s="66"/>
      <c r="AL1575" s="66"/>
      <c r="AM1575" s="66"/>
      <c r="AN1575" s="66"/>
      <c r="AO1575" s="66"/>
      <c r="AP1575" s="66"/>
      <c r="AQ1575" s="66"/>
      <c r="AR1575" s="66"/>
      <c r="AS1575" s="66"/>
      <c r="AT1575" s="66"/>
      <c r="AU1575" s="66"/>
      <c r="AV1575" s="66"/>
      <c r="AW1575" s="66"/>
      <c r="AX1575" s="66"/>
      <c r="AY1575" s="66"/>
      <c r="AZ1575" s="66"/>
      <c r="BA1575" s="66"/>
      <c r="BB1575" s="66"/>
      <c r="BC1575" s="66"/>
      <c r="BD1575" s="66"/>
      <c r="BE1575" s="67"/>
      <c r="BF1575" s="67"/>
      <c r="BG1575" s="68"/>
      <c r="BI1575" s="69">
        <v>0</v>
      </c>
      <c r="BJ1575" s="70">
        <v>0</v>
      </c>
      <c r="BK1575" s="71">
        <v>0</v>
      </c>
      <c r="BL1575" s="71">
        <v>0</v>
      </c>
      <c r="BM1575" s="71">
        <v>0</v>
      </c>
      <c r="BN1575" s="72">
        <v>0</v>
      </c>
      <c r="BO1575" s="151" t="e">
        <f t="shared" si="99"/>
        <v>#DIV/0!</v>
      </c>
      <c r="BP1575" s="151" t="e">
        <f t="shared" si="100"/>
        <v>#DIV/0!</v>
      </c>
      <c r="BQ1575" s="71">
        <v>0</v>
      </c>
      <c r="BR1575" s="71">
        <v>0</v>
      </c>
      <c r="BS1575" s="71">
        <v>0</v>
      </c>
      <c r="BT1575" s="72">
        <v>0</v>
      </c>
      <c r="BU1575" s="151" t="e">
        <f t="shared" si="96"/>
        <v>#DIV/0!</v>
      </c>
      <c r="BV1575" s="151" t="e">
        <f t="shared" si="97"/>
        <v>#DIV/0!</v>
      </c>
    </row>
    <row r="1576" s="1" customFormat="1" ht="30" customHeight="1" spans="1:75 16331:16349">
      <c r="A1576" s="110" t="s">
        <v>96</v>
      </c>
      <c r="B1576" s="111" t="s">
        <v>2247</v>
      </c>
      <c r="C1576" s="112" t="s">
        <v>2343</v>
      </c>
      <c r="D1576" s="113" t="s">
        <v>2543</v>
      </c>
      <c r="E1576" s="113" t="s">
        <v>2552</v>
      </c>
      <c r="F1576" s="113" t="str">
        <f>VLOOKUP(E1576,[1]库存!$B$1:$C$65536,2,FALSE)</f>
        <v>SGM E2LB-2 FSAB LH</v>
      </c>
      <c r="G1576" s="113" t="s">
        <v>2553</v>
      </c>
      <c r="H1576" s="113" t="s">
        <v>2554</v>
      </c>
      <c r="I1576" s="113" t="s">
        <v>2555</v>
      </c>
      <c r="J1576" s="82" t="s">
        <v>2548</v>
      </c>
      <c r="K1576" s="115"/>
      <c r="L1576" s="116">
        <v>0</v>
      </c>
      <c r="M1576" s="117">
        <v>1000</v>
      </c>
      <c r="N1576" s="114">
        <v>14</v>
      </c>
      <c r="O1576" s="116">
        <v>2</v>
      </c>
      <c r="P1576" s="65">
        <f t="shared" si="98"/>
        <v>0</v>
      </c>
      <c r="Q1576" s="67"/>
      <c r="R1576" s="67"/>
      <c r="S1576" s="67"/>
      <c r="T1576" s="67"/>
      <c r="U1576" s="67"/>
      <c r="V1576" s="67"/>
      <c r="W1576" s="67"/>
      <c r="X1576" s="67"/>
      <c r="Y1576" s="67"/>
      <c r="Z1576" s="67"/>
      <c r="AA1576" s="67"/>
      <c r="AB1576" s="67"/>
      <c r="AC1576" s="67"/>
      <c r="AD1576" s="67"/>
      <c r="AE1576" s="67"/>
      <c r="AF1576" s="67"/>
      <c r="AG1576" s="67"/>
      <c r="AH1576" s="67"/>
      <c r="AI1576" s="67"/>
      <c r="AJ1576" s="67"/>
      <c r="AK1576" s="67"/>
      <c r="AL1576" s="67"/>
      <c r="AM1576" s="67"/>
      <c r="AN1576" s="67"/>
      <c r="AO1576" s="67"/>
      <c r="AP1576" s="67"/>
      <c r="AQ1576" s="67"/>
      <c r="AR1576" s="67"/>
      <c r="AS1576" s="67"/>
      <c r="AT1576" s="67"/>
      <c r="AU1576" s="67"/>
      <c r="AV1576" s="67"/>
      <c r="AW1576" s="67"/>
      <c r="AX1576" s="67"/>
      <c r="AY1576" s="67"/>
      <c r="AZ1576" s="67"/>
      <c r="BA1576" s="67"/>
      <c r="BB1576" s="67"/>
      <c r="BC1576" s="67"/>
      <c r="BD1576" s="67"/>
      <c r="BE1576" s="67"/>
      <c r="BF1576" s="67"/>
      <c r="BG1576" s="118"/>
      <c r="BH1576" s="119"/>
      <c r="BI1576" s="120">
        <v>0</v>
      </c>
      <c r="BJ1576" s="121">
        <v>0</v>
      </c>
      <c r="BK1576" s="122">
        <v>0</v>
      </c>
      <c r="BL1576" s="122">
        <v>0</v>
      </c>
      <c r="BM1576" s="122">
        <v>0</v>
      </c>
      <c r="BN1576" s="123">
        <v>0</v>
      </c>
      <c r="BO1576" s="204" t="e">
        <f t="shared" si="99"/>
        <v>#DIV/0!</v>
      </c>
      <c r="BP1576" s="204" t="e">
        <f t="shared" si="100"/>
        <v>#DIV/0!</v>
      </c>
      <c r="BQ1576" s="122">
        <v>0</v>
      </c>
      <c r="BR1576" s="122">
        <v>0</v>
      </c>
      <c r="BS1576" s="122">
        <v>0</v>
      </c>
      <c r="BT1576" s="123">
        <v>0</v>
      </c>
      <c r="BU1576" s="204" t="e">
        <f t="shared" si="96"/>
        <v>#DIV/0!</v>
      </c>
      <c r="BV1576" s="204" t="e">
        <f t="shared" si="97"/>
        <v>#DIV/0!</v>
      </c>
      <c r="BW1576" s="125"/>
      <c r="XDC1576" s="126"/>
      <c r="XDD1576" s="126"/>
      <c r="XDE1576" s="126"/>
      <c r="XDF1576" s="126"/>
      <c r="XDG1576" s="126"/>
      <c r="XDH1576" s="126"/>
      <c r="XDI1576" s="126"/>
      <c r="XDJ1576" s="126"/>
      <c r="XDK1576" s="126"/>
      <c r="XDL1576" s="126"/>
      <c r="XDM1576" s="126"/>
      <c r="XDN1576" s="126"/>
      <c r="XDO1576" s="126"/>
      <c r="XDP1576" s="126"/>
      <c r="XDQ1576" s="126"/>
      <c r="XDR1576" s="126"/>
      <c r="XDS1576" s="126"/>
      <c r="XDT1576" s="126"/>
      <c r="XDU1576" s="126"/>
    </row>
    <row r="1577" s="1" customFormat="1" ht="30" customHeight="1" spans="1:75 16331:16349">
      <c r="A1577" s="110">
        <v>0</v>
      </c>
      <c r="B1577" s="111">
        <v>0</v>
      </c>
      <c r="C1577" s="112">
        <v>0</v>
      </c>
      <c r="D1577" s="127"/>
      <c r="E1577" s="127"/>
      <c r="F1577" s="113" t="e">
        <f>VLOOKUP(E1577,[1]库存!$B$1:$C$65536,2,FALSE)</f>
        <v>#N/A</v>
      </c>
      <c r="G1577" s="113" t="e">
        <v>#N/A</v>
      </c>
      <c r="H1577" s="127"/>
      <c r="I1577" s="127"/>
      <c r="J1577" s="83"/>
      <c r="K1577" s="115"/>
      <c r="L1577" s="116">
        <v>0</v>
      </c>
      <c r="M1577" s="117">
        <v>0</v>
      </c>
      <c r="N1577" s="114">
        <v>0</v>
      </c>
      <c r="O1577" s="116">
        <v>0</v>
      </c>
      <c r="P1577" s="65">
        <f t="shared" si="98"/>
        <v>0</v>
      </c>
      <c r="Q1577" s="67"/>
      <c r="R1577" s="67"/>
      <c r="S1577" s="67"/>
      <c r="T1577" s="67"/>
      <c r="U1577" s="67"/>
      <c r="V1577" s="67"/>
      <c r="W1577" s="67"/>
      <c r="X1577" s="67"/>
      <c r="Y1577" s="67"/>
      <c r="Z1577" s="67"/>
      <c r="AA1577" s="67"/>
      <c r="AB1577" s="67"/>
      <c r="AC1577" s="67"/>
      <c r="AD1577" s="67"/>
      <c r="AE1577" s="67"/>
      <c r="AF1577" s="67"/>
      <c r="AG1577" s="67"/>
      <c r="AH1577" s="67"/>
      <c r="AI1577" s="67"/>
      <c r="AJ1577" s="67"/>
      <c r="AK1577" s="67"/>
      <c r="AL1577" s="67"/>
      <c r="AM1577" s="67"/>
      <c r="AN1577" s="67"/>
      <c r="AO1577" s="67"/>
      <c r="AP1577" s="67"/>
      <c r="AQ1577" s="67"/>
      <c r="AR1577" s="67"/>
      <c r="AS1577" s="67"/>
      <c r="AT1577" s="67"/>
      <c r="AU1577" s="67"/>
      <c r="AV1577" s="67"/>
      <c r="AW1577" s="67"/>
      <c r="AX1577" s="67"/>
      <c r="AY1577" s="67"/>
      <c r="AZ1577" s="67"/>
      <c r="BA1577" s="67"/>
      <c r="BB1577" s="67"/>
      <c r="BC1577" s="67"/>
      <c r="BD1577" s="67"/>
      <c r="BE1577" s="67"/>
      <c r="BF1577" s="67"/>
      <c r="BG1577" s="118"/>
      <c r="BH1577" s="119"/>
      <c r="BI1577" s="120">
        <v>0</v>
      </c>
      <c r="BJ1577" s="121">
        <v>0</v>
      </c>
      <c r="BK1577" s="122">
        <v>0</v>
      </c>
      <c r="BL1577" s="122">
        <v>0</v>
      </c>
      <c r="BM1577" s="122">
        <v>0</v>
      </c>
      <c r="BN1577" s="123">
        <v>0</v>
      </c>
      <c r="BO1577" s="204" t="e">
        <f t="shared" si="99"/>
        <v>#DIV/0!</v>
      </c>
      <c r="BP1577" s="204" t="e">
        <f t="shared" si="100"/>
        <v>#DIV/0!</v>
      </c>
      <c r="BQ1577" s="122">
        <v>0</v>
      </c>
      <c r="BR1577" s="122">
        <v>0</v>
      </c>
      <c r="BS1577" s="122">
        <v>0</v>
      </c>
      <c r="BT1577" s="123">
        <v>0</v>
      </c>
      <c r="BU1577" s="204" t="e">
        <f t="shared" si="96"/>
        <v>#DIV/0!</v>
      </c>
      <c r="BV1577" s="204" t="e">
        <f t="shared" si="97"/>
        <v>#DIV/0!</v>
      </c>
      <c r="BW1577" s="125"/>
      <c r="XDC1577" s="126"/>
      <c r="XDD1577" s="126"/>
      <c r="XDE1577" s="126"/>
      <c r="XDF1577" s="126"/>
      <c r="XDG1577" s="126"/>
      <c r="XDH1577" s="126"/>
      <c r="XDI1577" s="126"/>
      <c r="XDJ1577" s="126"/>
      <c r="XDK1577" s="126"/>
      <c r="XDL1577" s="126"/>
      <c r="XDM1577" s="126"/>
      <c r="XDN1577" s="126"/>
      <c r="XDO1577" s="126"/>
      <c r="XDP1577" s="126"/>
      <c r="XDQ1577" s="126"/>
      <c r="XDR1577" s="126"/>
      <c r="XDS1577" s="126"/>
      <c r="XDT1577" s="126"/>
      <c r="XDU1577" s="126"/>
    </row>
    <row r="1578" s="1" customFormat="1" ht="30" customHeight="1" spans="1:75 16331:16349">
      <c r="A1578" s="110" t="s">
        <v>96</v>
      </c>
      <c r="B1578" s="111" t="s">
        <v>2247</v>
      </c>
      <c r="C1578" s="112" t="s">
        <v>2343</v>
      </c>
      <c r="D1578" s="113" t="s">
        <v>2543</v>
      </c>
      <c r="E1578" s="113" t="s">
        <v>2556</v>
      </c>
      <c r="F1578" s="113" t="str">
        <f>VLOOKUP(E1578,[1]库存!$B$1:$C$65536,2,FALSE)</f>
        <v>SGM E2LB-2 FSAB RH</v>
      </c>
      <c r="G1578" s="113" t="s">
        <v>2557</v>
      </c>
      <c r="H1578" s="113" t="s">
        <v>2558</v>
      </c>
      <c r="I1578" s="113" t="s">
        <v>2555</v>
      </c>
      <c r="J1578" s="83"/>
      <c r="K1578" s="115"/>
      <c r="L1578" s="116">
        <v>0</v>
      </c>
      <c r="M1578" s="117">
        <v>1000</v>
      </c>
      <c r="N1578" s="114">
        <v>14</v>
      </c>
      <c r="O1578" s="116">
        <v>2</v>
      </c>
      <c r="P1578" s="65">
        <f t="shared" si="98"/>
        <v>0</v>
      </c>
      <c r="Q1578" s="67"/>
      <c r="R1578" s="67"/>
      <c r="S1578" s="67"/>
      <c r="T1578" s="67"/>
      <c r="U1578" s="67"/>
      <c r="V1578" s="67"/>
      <c r="W1578" s="67"/>
      <c r="X1578" s="67"/>
      <c r="Y1578" s="67"/>
      <c r="Z1578" s="67"/>
      <c r="AA1578" s="67"/>
      <c r="AB1578" s="67"/>
      <c r="AC1578" s="67"/>
      <c r="AD1578" s="67"/>
      <c r="AE1578" s="67"/>
      <c r="AF1578" s="67"/>
      <c r="AG1578" s="67"/>
      <c r="AH1578" s="67"/>
      <c r="AI1578" s="67"/>
      <c r="AJ1578" s="67"/>
      <c r="AK1578" s="67"/>
      <c r="AL1578" s="67"/>
      <c r="AM1578" s="67"/>
      <c r="AN1578" s="67"/>
      <c r="AO1578" s="67"/>
      <c r="AP1578" s="67"/>
      <c r="AQ1578" s="67"/>
      <c r="AR1578" s="67"/>
      <c r="AS1578" s="67"/>
      <c r="AT1578" s="67"/>
      <c r="AU1578" s="67"/>
      <c r="AV1578" s="67"/>
      <c r="AW1578" s="67"/>
      <c r="AX1578" s="67"/>
      <c r="AY1578" s="67"/>
      <c r="AZ1578" s="67"/>
      <c r="BA1578" s="67"/>
      <c r="BB1578" s="67"/>
      <c r="BC1578" s="67"/>
      <c r="BD1578" s="67"/>
      <c r="BE1578" s="67"/>
      <c r="BF1578" s="67"/>
      <c r="BG1578" s="118"/>
      <c r="BH1578" s="119"/>
      <c r="BI1578" s="120">
        <v>0</v>
      </c>
      <c r="BJ1578" s="121">
        <v>0</v>
      </c>
      <c r="BK1578" s="122">
        <v>0</v>
      </c>
      <c r="BL1578" s="122">
        <v>0</v>
      </c>
      <c r="BM1578" s="122">
        <v>0</v>
      </c>
      <c r="BN1578" s="123">
        <v>0</v>
      </c>
      <c r="BO1578" s="204" t="e">
        <f t="shared" si="99"/>
        <v>#DIV/0!</v>
      </c>
      <c r="BP1578" s="204" t="e">
        <f t="shared" si="100"/>
        <v>#DIV/0!</v>
      </c>
      <c r="BQ1578" s="122">
        <v>0</v>
      </c>
      <c r="BR1578" s="122">
        <v>0</v>
      </c>
      <c r="BS1578" s="122">
        <v>0</v>
      </c>
      <c r="BT1578" s="123">
        <v>0</v>
      </c>
      <c r="BU1578" s="204" t="e">
        <f t="shared" si="96"/>
        <v>#DIV/0!</v>
      </c>
      <c r="BV1578" s="204" t="e">
        <f t="shared" si="97"/>
        <v>#DIV/0!</v>
      </c>
      <c r="BW1578" s="125"/>
      <c r="XDC1578" s="126"/>
      <c r="XDD1578" s="126"/>
      <c r="XDE1578" s="126"/>
      <c r="XDF1578" s="126"/>
      <c r="XDG1578" s="126"/>
      <c r="XDH1578" s="126"/>
      <c r="XDI1578" s="126"/>
      <c r="XDJ1578" s="126"/>
      <c r="XDK1578" s="126"/>
      <c r="XDL1578" s="126"/>
      <c r="XDM1578" s="126"/>
      <c r="XDN1578" s="126"/>
      <c r="XDO1578" s="126"/>
      <c r="XDP1578" s="126"/>
      <c r="XDQ1578" s="126"/>
      <c r="XDR1578" s="126"/>
      <c r="XDS1578" s="126"/>
      <c r="XDT1578" s="126"/>
      <c r="XDU1578" s="126"/>
    </row>
    <row r="1579" s="1" customFormat="1" ht="30" customHeight="1" spans="1:75 16331:16349">
      <c r="A1579" s="110">
        <v>0</v>
      </c>
      <c r="B1579" s="111">
        <v>0</v>
      </c>
      <c r="C1579" s="112">
        <v>0</v>
      </c>
      <c r="D1579" s="127"/>
      <c r="E1579" s="127"/>
      <c r="F1579" s="113" t="e">
        <f>VLOOKUP(E1579,[1]库存!$B$1:$C$65536,2,FALSE)</f>
        <v>#N/A</v>
      </c>
      <c r="G1579" s="113" t="e">
        <v>#N/A</v>
      </c>
      <c r="H1579" s="127"/>
      <c r="I1579" s="127"/>
      <c r="J1579" s="83"/>
      <c r="K1579" s="115"/>
      <c r="L1579" s="116">
        <v>0</v>
      </c>
      <c r="M1579" s="117">
        <v>0</v>
      </c>
      <c r="N1579" s="114">
        <v>0</v>
      </c>
      <c r="O1579" s="116">
        <v>0</v>
      </c>
      <c r="P1579" s="65">
        <f t="shared" si="98"/>
        <v>0</v>
      </c>
      <c r="Q1579" s="67"/>
      <c r="R1579" s="67"/>
      <c r="S1579" s="67"/>
      <c r="T1579" s="67"/>
      <c r="U1579" s="67"/>
      <c r="V1579" s="67"/>
      <c r="W1579" s="67"/>
      <c r="X1579" s="67"/>
      <c r="Y1579" s="67"/>
      <c r="Z1579" s="67"/>
      <c r="AA1579" s="67"/>
      <c r="AB1579" s="67"/>
      <c r="AC1579" s="67"/>
      <c r="AD1579" s="67"/>
      <c r="AE1579" s="67"/>
      <c r="AF1579" s="67"/>
      <c r="AG1579" s="67"/>
      <c r="AH1579" s="67"/>
      <c r="AI1579" s="67"/>
      <c r="AJ1579" s="67"/>
      <c r="AK1579" s="67"/>
      <c r="AL1579" s="67"/>
      <c r="AM1579" s="67"/>
      <c r="AN1579" s="67"/>
      <c r="AO1579" s="67"/>
      <c r="AP1579" s="67"/>
      <c r="AQ1579" s="67"/>
      <c r="AR1579" s="67"/>
      <c r="AS1579" s="67"/>
      <c r="AT1579" s="67"/>
      <c r="AU1579" s="67"/>
      <c r="AV1579" s="67"/>
      <c r="AW1579" s="67"/>
      <c r="AX1579" s="67"/>
      <c r="AY1579" s="67"/>
      <c r="AZ1579" s="67"/>
      <c r="BA1579" s="67"/>
      <c r="BB1579" s="67"/>
      <c r="BC1579" s="67"/>
      <c r="BD1579" s="67"/>
      <c r="BE1579" s="67"/>
      <c r="BF1579" s="67"/>
      <c r="BG1579" s="118"/>
      <c r="BH1579" s="119"/>
      <c r="BI1579" s="120">
        <v>0</v>
      </c>
      <c r="BJ1579" s="121">
        <v>0</v>
      </c>
      <c r="BK1579" s="122">
        <v>0</v>
      </c>
      <c r="BL1579" s="122">
        <v>0</v>
      </c>
      <c r="BM1579" s="122">
        <v>0</v>
      </c>
      <c r="BN1579" s="123">
        <v>0</v>
      </c>
      <c r="BO1579" s="204" t="e">
        <f t="shared" si="99"/>
        <v>#DIV/0!</v>
      </c>
      <c r="BP1579" s="204" t="e">
        <f t="shared" si="100"/>
        <v>#DIV/0!</v>
      </c>
      <c r="BQ1579" s="122">
        <v>0</v>
      </c>
      <c r="BR1579" s="122">
        <v>0</v>
      </c>
      <c r="BS1579" s="122">
        <v>0</v>
      </c>
      <c r="BT1579" s="123">
        <v>0</v>
      </c>
      <c r="BU1579" s="204" t="e">
        <f t="shared" si="96"/>
        <v>#DIV/0!</v>
      </c>
      <c r="BV1579" s="204" t="e">
        <f t="shared" si="97"/>
        <v>#DIV/0!</v>
      </c>
      <c r="BW1579" s="125"/>
      <c r="XDC1579" s="126"/>
      <c r="XDD1579" s="126"/>
      <c r="XDE1579" s="126"/>
      <c r="XDF1579" s="126"/>
      <c r="XDG1579" s="126"/>
      <c r="XDH1579" s="126"/>
      <c r="XDI1579" s="126"/>
      <c r="XDJ1579" s="126"/>
      <c r="XDK1579" s="126"/>
      <c r="XDL1579" s="126"/>
      <c r="XDM1579" s="126"/>
      <c r="XDN1579" s="126"/>
      <c r="XDO1579" s="126"/>
      <c r="XDP1579" s="126"/>
      <c r="XDQ1579" s="126"/>
      <c r="XDR1579" s="126"/>
      <c r="XDS1579" s="126"/>
      <c r="XDT1579" s="126"/>
      <c r="XDU1579" s="126"/>
    </row>
    <row r="1580" s="1" customFormat="1" ht="30" customHeight="1" spans="1:75 16331:16349">
      <c r="A1580" s="110" t="s">
        <v>96</v>
      </c>
      <c r="B1580" s="111" t="s">
        <v>2247</v>
      </c>
      <c r="C1580" s="112" t="s">
        <v>2343</v>
      </c>
      <c r="D1580" s="113" t="s">
        <v>2543</v>
      </c>
      <c r="E1580" s="113" t="s">
        <v>2559</v>
      </c>
      <c r="F1580" s="113" t="str">
        <f>VLOOKUP(E1580,[1]库存!$B$1:$C$65536,2,FALSE)</f>
        <v>SGM E2LB-2 RSAB LH</v>
      </c>
      <c r="G1580" s="113" t="s">
        <v>2560</v>
      </c>
      <c r="H1580" s="113" t="s">
        <v>2561</v>
      </c>
      <c r="I1580" s="113" t="s">
        <v>1640</v>
      </c>
      <c r="J1580" s="80" t="s">
        <v>65</v>
      </c>
      <c r="K1580" s="115"/>
      <c r="L1580" s="116">
        <v>0</v>
      </c>
      <c r="M1580" s="117">
        <v>1000</v>
      </c>
      <c r="N1580" s="114">
        <v>14</v>
      </c>
      <c r="O1580" s="116">
        <v>2</v>
      </c>
      <c r="P1580" s="65">
        <f t="shared" si="98"/>
        <v>0</v>
      </c>
      <c r="Q1580" s="67"/>
      <c r="R1580" s="67"/>
      <c r="S1580" s="67"/>
      <c r="T1580" s="67"/>
      <c r="U1580" s="67"/>
      <c r="V1580" s="67"/>
      <c r="W1580" s="67"/>
      <c r="X1580" s="67"/>
      <c r="Y1580" s="67"/>
      <c r="Z1580" s="67"/>
      <c r="AA1580" s="67"/>
      <c r="AB1580" s="67"/>
      <c r="AC1580" s="67"/>
      <c r="AD1580" s="67"/>
      <c r="AE1580" s="67"/>
      <c r="AF1580" s="67"/>
      <c r="AG1580" s="67"/>
      <c r="AH1580" s="67"/>
      <c r="AI1580" s="67"/>
      <c r="AJ1580" s="67"/>
      <c r="AK1580" s="67"/>
      <c r="AL1580" s="67"/>
      <c r="AM1580" s="67"/>
      <c r="AN1580" s="67"/>
      <c r="AO1580" s="67"/>
      <c r="AP1580" s="67"/>
      <c r="AQ1580" s="67"/>
      <c r="AR1580" s="67"/>
      <c r="AS1580" s="67"/>
      <c r="AT1580" s="67"/>
      <c r="AU1580" s="67"/>
      <c r="AV1580" s="67"/>
      <c r="AW1580" s="67"/>
      <c r="AX1580" s="67"/>
      <c r="AY1580" s="67"/>
      <c r="AZ1580" s="67"/>
      <c r="BA1580" s="67"/>
      <c r="BB1580" s="67"/>
      <c r="BC1580" s="67"/>
      <c r="BD1580" s="67"/>
      <c r="BE1580" s="67"/>
      <c r="BF1580" s="67"/>
      <c r="BG1580" s="118"/>
      <c r="BH1580" s="119"/>
      <c r="BI1580" s="120">
        <v>0</v>
      </c>
      <c r="BJ1580" s="121">
        <v>0</v>
      </c>
      <c r="BK1580" s="122">
        <v>0</v>
      </c>
      <c r="BL1580" s="122">
        <v>0</v>
      </c>
      <c r="BM1580" s="122">
        <v>0</v>
      </c>
      <c r="BN1580" s="123">
        <v>0</v>
      </c>
      <c r="BO1580" s="204" t="e">
        <f t="shared" si="99"/>
        <v>#DIV/0!</v>
      </c>
      <c r="BP1580" s="204" t="e">
        <f t="shared" si="100"/>
        <v>#DIV/0!</v>
      </c>
      <c r="BQ1580" s="122">
        <v>0</v>
      </c>
      <c r="BR1580" s="122">
        <v>0</v>
      </c>
      <c r="BS1580" s="122">
        <v>0</v>
      </c>
      <c r="BT1580" s="123">
        <v>0</v>
      </c>
      <c r="BU1580" s="204" t="e">
        <f t="shared" si="96"/>
        <v>#DIV/0!</v>
      </c>
      <c r="BV1580" s="204" t="e">
        <f t="shared" si="97"/>
        <v>#DIV/0!</v>
      </c>
      <c r="BW1580" s="125"/>
      <c r="XDC1580" s="126"/>
      <c r="XDD1580" s="126"/>
      <c r="XDE1580" s="126"/>
      <c r="XDF1580" s="126"/>
      <c r="XDG1580" s="126"/>
      <c r="XDH1580" s="126"/>
      <c r="XDI1580" s="126"/>
      <c r="XDJ1580" s="126"/>
      <c r="XDK1580" s="126"/>
      <c r="XDL1580" s="126"/>
      <c r="XDM1580" s="126"/>
      <c r="XDN1580" s="126"/>
      <c r="XDO1580" s="126"/>
      <c r="XDP1580" s="126"/>
      <c r="XDQ1580" s="126"/>
      <c r="XDR1580" s="126"/>
      <c r="XDS1580" s="126"/>
      <c r="XDT1580" s="126"/>
      <c r="XDU1580" s="126"/>
    </row>
    <row r="1581" s="1" customFormat="1" ht="30" customHeight="1" spans="1:75 16331:16349">
      <c r="A1581" s="110">
        <v>0</v>
      </c>
      <c r="B1581" s="111">
        <v>0</v>
      </c>
      <c r="C1581" s="112">
        <v>0</v>
      </c>
      <c r="D1581" s="127"/>
      <c r="E1581" s="127"/>
      <c r="F1581" s="113" t="e">
        <f>VLOOKUP(E1581,[1]库存!$B$1:$C$65536,2,FALSE)</f>
        <v>#N/A</v>
      </c>
      <c r="G1581" s="113" t="e">
        <v>#N/A</v>
      </c>
      <c r="H1581" s="127"/>
      <c r="I1581" s="127"/>
      <c r="J1581" s="81"/>
      <c r="K1581" s="115"/>
      <c r="L1581" s="116">
        <v>0</v>
      </c>
      <c r="M1581" s="117">
        <v>0</v>
      </c>
      <c r="N1581" s="114">
        <v>0</v>
      </c>
      <c r="O1581" s="116">
        <v>0</v>
      </c>
      <c r="P1581" s="65">
        <f t="shared" si="98"/>
        <v>0</v>
      </c>
      <c r="Q1581" s="67"/>
      <c r="R1581" s="67"/>
      <c r="S1581" s="67"/>
      <c r="T1581" s="67"/>
      <c r="U1581" s="67"/>
      <c r="V1581" s="67"/>
      <c r="W1581" s="67"/>
      <c r="X1581" s="67"/>
      <c r="Y1581" s="67"/>
      <c r="Z1581" s="67"/>
      <c r="AA1581" s="67"/>
      <c r="AB1581" s="67"/>
      <c r="AC1581" s="67"/>
      <c r="AD1581" s="67"/>
      <c r="AE1581" s="67"/>
      <c r="AF1581" s="67"/>
      <c r="AG1581" s="67"/>
      <c r="AH1581" s="67"/>
      <c r="AI1581" s="67"/>
      <c r="AJ1581" s="67"/>
      <c r="AK1581" s="67"/>
      <c r="AL1581" s="67"/>
      <c r="AM1581" s="67"/>
      <c r="AN1581" s="67"/>
      <c r="AO1581" s="67"/>
      <c r="AP1581" s="67"/>
      <c r="AQ1581" s="67"/>
      <c r="AR1581" s="67"/>
      <c r="AS1581" s="67"/>
      <c r="AT1581" s="67"/>
      <c r="AU1581" s="67"/>
      <c r="AV1581" s="67"/>
      <c r="AW1581" s="67"/>
      <c r="AX1581" s="67"/>
      <c r="AY1581" s="67"/>
      <c r="AZ1581" s="67"/>
      <c r="BA1581" s="67"/>
      <c r="BB1581" s="67"/>
      <c r="BC1581" s="67"/>
      <c r="BD1581" s="67"/>
      <c r="BE1581" s="67"/>
      <c r="BF1581" s="67"/>
      <c r="BG1581" s="118"/>
      <c r="BH1581" s="119"/>
      <c r="BI1581" s="120">
        <v>0</v>
      </c>
      <c r="BJ1581" s="121">
        <v>0</v>
      </c>
      <c r="BK1581" s="122">
        <v>0</v>
      </c>
      <c r="BL1581" s="122">
        <v>0</v>
      </c>
      <c r="BM1581" s="122">
        <v>0</v>
      </c>
      <c r="BN1581" s="123">
        <v>0</v>
      </c>
      <c r="BO1581" s="204" t="e">
        <f t="shared" si="99"/>
        <v>#DIV/0!</v>
      </c>
      <c r="BP1581" s="204" t="e">
        <f t="shared" si="100"/>
        <v>#DIV/0!</v>
      </c>
      <c r="BQ1581" s="122">
        <v>0</v>
      </c>
      <c r="BR1581" s="122">
        <v>0</v>
      </c>
      <c r="BS1581" s="122">
        <v>0</v>
      </c>
      <c r="BT1581" s="123">
        <v>0</v>
      </c>
      <c r="BU1581" s="204" t="e">
        <f t="shared" si="96"/>
        <v>#DIV/0!</v>
      </c>
      <c r="BV1581" s="204" t="e">
        <f t="shared" si="97"/>
        <v>#DIV/0!</v>
      </c>
      <c r="BW1581" s="125"/>
      <c r="XDC1581" s="126"/>
      <c r="XDD1581" s="126"/>
      <c r="XDE1581" s="126"/>
      <c r="XDF1581" s="126"/>
      <c r="XDG1581" s="126"/>
      <c r="XDH1581" s="126"/>
      <c r="XDI1581" s="126"/>
      <c r="XDJ1581" s="126"/>
      <c r="XDK1581" s="126"/>
      <c r="XDL1581" s="126"/>
      <c r="XDM1581" s="126"/>
      <c r="XDN1581" s="126"/>
      <c r="XDO1581" s="126"/>
      <c r="XDP1581" s="126"/>
      <c r="XDQ1581" s="126"/>
      <c r="XDR1581" s="126"/>
      <c r="XDS1581" s="126"/>
      <c r="XDT1581" s="126"/>
      <c r="XDU1581" s="126"/>
    </row>
    <row r="1582" s="1" customFormat="1" ht="30" customHeight="1" spans="1:75 16331:16349">
      <c r="A1582" s="110" t="s">
        <v>96</v>
      </c>
      <c r="B1582" s="111" t="s">
        <v>2247</v>
      </c>
      <c r="C1582" s="112" t="s">
        <v>2343</v>
      </c>
      <c r="D1582" s="113" t="s">
        <v>2543</v>
      </c>
      <c r="E1582" s="113" t="s">
        <v>2562</v>
      </c>
      <c r="F1582" s="113" t="str">
        <f>VLOOKUP(E1582,[1]库存!$B$1:$C$65536,2,FALSE)</f>
        <v>SGM E2LB-2 RSAB RH</v>
      </c>
      <c r="G1582" s="113" t="s">
        <v>2563</v>
      </c>
      <c r="H1582" s="113" t="s">
        <v>2564</v>
      </c>
      <c r="I1582" s="113" t="s">
        <v>1640</v>
      </c>
      <c r="J1582" s="80" t="s">
        <v>65</v>
      </c>
      <c r="K1582" s="115"/>
      <c r="L1582" s="116">
        <v>0</v>
      </c>
      <c r="M1582" s="117">
        <v>1000</v>
      </c>
      <c r="N1582" s="114">
        <v>14</v>
      </c>
      <c r="O1582" s="116">
        <v>2</v>
      </c>
      <c r="P1582" s="65">
        <f t="shared" si="98"/>
        <v>0</v>
      </c>
      <c r="Q1582" s="67"/>
      <c r="R1582" s="67"/>
      <c r="S1582" s="67"/>
      <c r="T1582" s="67"/>
      <c r="U1582" s="67"/>
      <c r="V1582" s="67"/>
      <c r="W1582" s="67"/>
      <c r="X1582" s="67"/>
      <c r="Y1582" s="67"/>
      <c r="Z1582" s="67"/>
      <c r="AA1582" s="67"/>
      <c r="AB1582" s="67"/>
      <c r="AC1582" s="67"/>
      <c r="AD1582" s="67"/>
      <c r="AE1582" s="67"/>
      <c r="AF1582" s="67"/>
      <c r="AG1582" s="67"/>
      <c r="AH1582" s="67"/>
      <c r="AI1582" s="67"/>
      <c r="AJ1582" s="67"/>
      <c r="AK1582" s="67"/>
      <c r="AL1582" s="67"/>
      <c r="AM1582" s="67"/>
      <c r="AN1582" s="67"/>
      <c r="AO1582" s="67"/>
      <c r="AP1582" s="67"/>
      <c r="AQ1582" s="67"/>
      <c r="AR1582" s="67"/>
      <c r="AS1582" s="67"/>
      <c r="AT1582" s="67"/>
      <c r="AU1582" s="67"/>
      <c r="AV1582" s="67"/>
      <c r="AW1582" s="67"/>
      <c r="AX1582" s="67"/>
      <c r="AY1582" s="67"/>
      <c r="AZ1582" s="67"/>
      <c r="BA1582" s="67"/>
      <c r="BB1582" s="67"/>
      <c r="BC1582" s="67"/>
      <c r="BD1582" s="67"/>
      <c r="BE1582" s="67"/>
      <c r="BF1582" s="67"/>
      <c r="BG1582" s="118"/>
      <c r="BH1582" s="119"/>
      <c r="BI1582" s="120">
        <v>0</v>
      </c>
      <c r="BJ1582" s="121">
        <v>0</v>
      </c>
      <c r="BK1582" s="122">
        <v>0</v>
      </c>
      <c r="BL1582" s="122">
        <v>0</v>
      </c>
      <c r="BM1582" s="122">
        <v>0</v>
      </c>
      <c r="BN1582" s="123">
        <v>0</v>
      </c>
      <c r="BO1582" s="204" t="e">
        <f t="shared" si="99"/>
        <v>#DIV/0!</v>
      </c>
      <c r="BP1582" s="204" t="e">
        <f t="shared" si="100"/>
        <v>#DIV/0!</v>
      </c>
      <c r="BQ1582" s="122">
        <v>0</v>
      </c>
      <c r="BR1582" s="122">
        <v>0</v>
      </c>
      <c r="BS1582" s="122">
        <v>0</v>
      </c>
      <c r="BT1582" s="123">
        <v>0</v>
      </c>
      <c r="BU1582" s="204" t="e">
        <f t="shared" si="96"/>
        <v>#DIV/0!</v>
      </c>
      <c r="BV1582" s="204" t="e">
        <f t="shared" si="97"/>
        <v>#DIV/0!</v>
      </c>
      <c r="BW1582" s="125"/>
      <c r="XDC1582" s="126"/>
      <c r="XDD1582" s="126"/>
      <c r="XDE1582" s="126"/>
      <c r="XDF1582" s="126"/>
      <c r="XDG1582" s="126"/>
      <c r="XDH1582" s="126"/>
      <c r="XDI1582" s="126"/>
      <c r="XDJ1582" s="126"/>
      <c r="XDK1582" s="126"/>
      <c r="XDL1582" s="126"/>
      <c r="XDM1582" s="126"/>
      <c r="XDN1582" s="126"/>
      <c r="XDO1582" s="126"/>
      <c r="XDP1582" s="126"/>
      <c r="XDQ1582" s="126"/>
      <c r="XDR1582" s="126"/>
      <c r="XDS1582" s="126"/>
      <c r="XDT1582" s="126"/>
      <c r="XDU1582" s="126"/>
    </row>
    <row r="1583" s="1" customFormat="1" ht="30" customHeight="1" spans="1:75 16331:16349">
      <c r="A1583" s="110">
        <v>0</v>
      </c>
      <c r="B1583" s="111">
        <v>0</v>
      </c>
      <c r="C1583" s="112">
        <v>0</v>
      </c>
      <c r="D1583" s="127"/>
      <c r="E1583" s="127"/>
      <c r="F1583" s="113" t="e">
        <f>VLOOKUP(E1583,[1]库存!$B$1:$C$65536,2,FALSE)</f>
        <v>#N/A</v>
      </c>
      <c r="G1583" s="113" t="e">
        <v>#N/A</v>
      </c>
      <c r="H1583" s="127"/>
      <c r="I1583" s="127"/>
      <c r="J1583" s="81"/>
      <c r="K1583" s="115"/>
      <c r="L1583" s="116">
        <v>0</v>
      </c>
      <c r="M1583" s="117">
        <v>0</v>
      </c>
      <c r="N1583" s="114">
        <v>0</v>
      </c>
      <c r="O1583" s="116">
        <v>0</v>
      </c>
      <c r="P1583" s="65">
        <f t="shared" si="98"/>
        <v>0</v>
      </c>
      <c r="Q1583" s="67"/>
      <c r="R1583" s="67"/>
      <c r="S1583" s="67"/>
      <c r="T1583" s="67"/>
      <c r="U1583" s="67"/>
      <c r="V1583" s="67"/>
      <c r="W1583" s="67"/>
      <c r="X1583" s="67"/>
      <c r="Y1583" s="67"/>
      <c r="Z1583" s="67"/>
      <c r="AA1583" s="67"/>
      <c r="AB1583" s="67"/>
      <c r="AC1583" s="67"/>
      <c r="AD1583" s="67"/>
      <c r="AE1583" s="67"/>
      <c r="AF1583" s="67"/>
      <c r="AG1583" s="67"/>
      <c r="AH1583" s="67"/>
      <c r="AI1583" s="67"/>
      <c r="AJ1583" s="67"/>
      <c r="AK1583" s="67"/>
      <c r="AL1583" s="67"/>
      <c r="AM1583" s="67"/>
      <c r="AN1583" s="67"/>
      <c r="AO1583" s="67"/>
      <c r="AP1583" s="67"/>
      <c r="AQ1583" s="67"/>
      <c r="AR1583" s="67"/>
      <c r="AS1583" s="67"/>
      <c r="AT1583" s="67"/>
      <c r="AU1583" s="67"/>
      <c r="AV1583" s="67"/>
      <c r="AW1583" s="67"/>
      <c r="AX1583" s="67"/>
      <c r="AY1583" s="67"/>
      <c r="AZ1583" s="67"/>
      <c r="BA1583" s="67"/>
      <c r="BB1583" s="67"/>
      <c r="BC1583" s="67"/>
      <c r="BD1583" s="67"/>
      <c r="BE1583" s="67"/>
      <c r="BF1583" s="67"/>
      <c r="BG1583" s="118"/>
      <c r="BH1583" s="119"/>
      <c r="BI1583" s="120">
        <v>0</v>
      </c>
      <c r="BJ1583" s="121">
        <v>0</v>
      </c>
      <c r="BK1583" s="122">
        <v>0</v>
      </c>
      <c r="BL1583" s="122">
        <v>0</v>
      </c>
      <c r="BM1583" s="122">
        <v>0</v>
      </c>
      <c r="BN1583" s="123">
        <v>0</v>
      </c>
      <c r="BO1583" s="204" t="e">
        <f t="shared" si="99"/>
        <v>#DIV/0!</v>
      </c>
      <c r="BP1583" s="204" t="e">
        <f t="shared" si="100"/>
        <v>#DIV/0!</v>
      </c>
      <c r="BQ1583" s="122">
        <v>0</v>
      </c>
      <c r="BR1583" s="122">
        <v>0</v>
      </c>
      <c r="BS1583" s="122">
        <v>0</v>
      </c>
      <c r="BT1583" s="123">
        <v>0</v>
      </c>
      <c r="BU1583" s="204" t="e">
        <f t="shared" si="96"/>
        <v>#DIV/0!</v>
      </c>
      <c r="BV1583" s="204" t="e">
        <f t="shared" si="97"/>
        <v>#DIV/0!</v>
      </c>
      <c r="BW1583" s="125"/>
      <c r="XDC1583" s="126"/>
      <c r="XDD1583" s="126"/>
      <c r="XDE1583" s="126"/>
      <c r="XDF1583" s="126"/>
      <c r="XDG1583" s="126"/>
      <c r="XDH1583" s="126"/>
      <c r="XDI1583" s="126"/>
      <c r="XDJ1583" s="126"/>
      <c r="XDK1583" s="126"/>
      <c r="XDL1583" s="126"/>
      <c r="XDM1583" s="126"/>
      <c r="XDN1583" s="126"/>
      <c r="XDO1583" s="126"/>
      <c r="XDP1583" s="126"/>
      <c r="XDQ1583" s="126"/>
      <c r="XDR1583" s="126"/>
      <c r="XDS1583" s="126"/>
      <c r="XDT1583" s="126"/>
      <c r="XDU1583" s="126"/>
    </row>
    <row r="1584" ht="30" customHeight="1" spans="1:75 16331:16349">
      <c r="A1584" s="55">
        <v>0</v>
      </c>
      <c r="B1584" s="56">
        <v>0</v>
      </c>
      <c r="C1584" s="57">
        <v>0</v>
      </c>
      <c r="D1584" s="210"/>
      <c r="E1584" s="88"/>
      <c r="F1584" s="59" t="e">
        <f>VLOOKUP(E1584,[1]库存!$B$1:$C$65536,2,FALSE)</f>
        <v>#N/A</v>
      </c>
      <c r="G1584" s="59" t="e">
        <v>#N/A</v>
      </c>
      <c r="H1584" s="238"/>
      <c r="I1584" s="239"/>
      <c r="J1584" s="90"/>
      <c r="K1584" s="61"/>
      <c r="L1584" s="62">
        <v>0</v>
      </c>
      <c r="M1584" s="63">
        <v>0</v>
      </c>
      <c r="N1584" s="64">
        <v>0</v>
      </c>
      <c r="O1584" s="62">
        <v>0</v>
      </c>
      <c r="P1584" s="65">
        <f t="shared" si="98"/>
        <v>0</v>
      </c>
      <c r="Q1584" s="66"/>
      <c r="R1584" s="66"/>
      <c r="S1584" s="66"/>
      <c r="T1584" s="66"/>
      <c r="U1584" s="66"/>
      <c r="V1584" s="66"/>
      <c r="W1584" s="66"/>
      <c r="X1584" s="66"/>
      <c r="Y1584" s="66"/>
      <c r="Z1584" s="66"/>
      <c r="AA1584" s="66"/>
      <c r="AB1584" s="66"/>
      <c r="AC1584" s="66"/>
      <c r="AD1584" s="66"/>
      <c r="AE1584" s="66"/>
      <c r="AF1584" s="66"/>
      <c r="AG1584" s="66"/>
      <c r="AH1584" s="66"/>
      <c r="AI1584" s="66"/>
      <c r="AJ1584" s="66"/>
      <c r="AK1584" s="66"/>
      <c r="AL1584" s="66"/>
      <c r="AM1584" s="66"/>
      <c r="AN1584" s="66"/>
      <c r="AO1584" s="66"/>
      <c r="AP1584" s="66"/>
      <c r="AQ1584" s="66"/>
      <c r="AR1584" s="66"/>
      <c r="AS1584" s="66"/>
      <c r="AT1584" s="66"/>
      <c r="AU1584" s="66"/>
      <c r="AV1584" s="66"/>
      <c r="AW1584" s="66"/>
      <c r="AX1584" s="66"/>
      <c r="AY1584" s="66"/>
      <c r="AZ1584" s="66"/>
      <c r="BA1584" s="66"/>
      <c r="BB1584" s="66"/>
      <c r="BC1584" s="66"/>
      <c r="BD1584" s="66"/>
      <c r="BE1584" s="67"/>
      <c r="BF1584" s="67"/>
      <c r="BG1584" s="68"/>
      <c r="BI1584" s="69">
        <v>0</v>
      </c>
      <c r="BJ1584" s="70">
        <v>0</v>
      </c>
      <c r="BK1584" s="71">
        <v>0</v>
      </c>
      <c r="BL1584" s="71">
        <v>0</v>
      </c>
      <c r="BM1584" s="71">
        <v>0</v>
      </c>
      <c r="BN1584" s="72">
        <v>0</v>
      </c>
      <c r="BO1584" s="151" t="e">
        <f t="shared" si="99"/>
        <v>#DIV/0!</v>
      </c>
      <c r="BP1584" s="151" t="e">
        <f t="shared" si="100"/>
        <v>#DIV/0!</v>
      </c>
      <c r="BQ1584" s="71">
        <v>0</v>
      </c>
      <c r="BR1584" s="71">
        <v>0</v>
      </c>
      <c r="BS1584" s="71">
        <v>0</v>
      </c>
      <c r="BT1584" s="72">
        <v>0</v>
      </c>
      <c r="BU1584" s="151" t="e">
        <f t="shared" si="96"/>
        <v>#DIV/0!</v>
      </c>
      <c r="BV1584" s="151" t="e">
        <f t="shared" si="97"/>
        <v>#DIV/0!</v>
      </c>
    </row>
    <row r="1585" ht="30" customHeight="1" spans="1:74">
      <c r="A1585" s="55">
        <v>0</v>
      </c>
      <c r="B1585" s="56" t="s">
        <v>2247</v>
      </c>
      <c r="C1585" s="57" t="s">
        <v>2343</v>
      </c>
      <c r="D1585" s="91" t="s">
        <v>2565</v>
      </c>
      <c r="E1585" s="91" t="s">
        <v>2566</v>
      </c>
      <c r="F1585" s="91" t="str">
        <f>VLOOKUP(E1585,[1]库存!$B$1:$C$65536,2,FALSE)</f>
        <v>Chery E0V 3ROW RSAB LH</v>
      </c>
      <c r="G1585" s="91" t="s">
        <v>2567</v>
      </c>
      <c r="H1585" s="91" t="s">
        <v>2568</v>
      </c>
      <c r="I1585" s="91" t="s">
        <v>2569</v>
      </c>
      <c r="J1585" s="63"/>
      <c r="K1585" s="61"/>
      <c r="L1585" s="62">
        <v>0</v>
      </c>
      <c r="M1585" s="63">
        <v>1000</v>
      </c>
      <c r="N1585" s="64">
        <v>12</v>
      </c>
      <c r="O1585" s="62">
        <v>2</v>
      </c>
      <c r="P1585" s="65">
        <f t="shared" si="98"/>
        <v>0</v>
      </c>
      <c r="Q1585" s="66"/>
      <c r="R1585" s="66"/>
      <c r="S1585" s="66"/>
      <c r="T1585" s="66"/>
      <c r="U1585" s="66"/>
      <c r="V1585" s="66"/>
      <c r="W1585" s="66"/>
      <c r="X1585" s="66"/>
      <c r="Y1585" s="66"/>
      <c r="Z1585" s="66"/>
      <c r="AA1585" s="66"/>
      <c r="AB1585" s="66"/>
      <c r="AC1585" s="66"/>
      <c r="AD1585" s="66"/>
      <c r="AE1585" s="66"/>
      <c r="AF1585" s="66"/>
      <c r="AG1585" s="66"/>
      <c r="AH1585" s="66"/>
      <c r="AI1585" s="66"/>
      <c r="AJ1585" s="66"/>
      <c r="AK1585" s="66"/>
      <c r="AL1585" s="66"/>
      <c r="AM1585" s="66"/>
      <c r="AN1585" s="66"/>
      <c r="AO1585" s="66"/>
      <c r="AP1585" s="66"/>
      <c r="AQ1585" s="66"/>
      <c r="AR1585" s="66"/>
      <c r="AS1585" s="66"/>
      <c r="AT1585" s="66"/>
      <c r="AU1585" s="66"/>
      <c r="AV1585" s="66"/>
      <c r="AW1585" s="66"/>
      <c r="AX1585" s="66"/>
      <c r="AY1585" s="66"/>
      <c r="AZ1585" s="66"/>
      <c r="BA1585" s="66"/>
      <c r="BB1585" s="66"/>
      <c r="BC1585" s="66"/>
      <c r="BD1585" s="66"/>
      <c r="BE1585" s="67"/>
      <c r="BF1585" s="67"/>
      <c r="BG1585" s="68"/>
      <c r="BI1585" s="69">
        <v>0</v>
      </c>
      <c r="BJ1585" s="70">
        <v>0</v>
      </c>
      <c r="BK1585" s="71">
        <v>0</v>
      </c>
      <c r="BL1585" s="71">
        <v>0</v>
      </c>
      <c r="BM1585" s="71">
        <v>0</v>
      </c>
      <c r="BN1585" s="72">
        <v>0</v>
      </c>
      <c r="BO1585" s="151" t="e">
        <f t="shared" si="99"/>
        <v>#DIV/0!</v>
      </c>
      <c r="BP1585" s="151" t="e">
        <f t="shared" si="100"/>
        <v>#DIV/0!</v>
      </c>
      <c r="BQ1585" s="71">
        <v>0</v>
      </c>
      <c r="BR1585" s="71">
        <v>0</v>
      </c>
      <c r="BS1585" s="71">
        <v>0</v>
      </c>
      <c r="BT1585" s="72">
        <v>0</v>
      </c>
      <c r="BU1585" s="151" t="e">
        <f t="shared" si="96"/>
        <v>#DIV/0!</v>
      </c>
      <c r="BV1585" s="151" t="e">
        <f t="shared" si="97"/>
        <v>#DIV/0!</v>
      </c>
    </row>
    <row r="1586" ht="30" customHeight="1" spans="1:74">
      <c r="A1586" s="55">
        <v>0</v>
      </c>
      <c r="B1586" s="56">
        <v>0</v>
      </c>
      <c r="C1586" s="57">
        <v>0</v>
      </c>
      <c r="D1586" s="92"/>
      <c r="E1586" s="92"/>
      <c r="F1586" s="91" t="e">
        <f>VLOOKUP(E1586,[1]库存!$B$1:$C$65536,2,FALSE)</f>
        <v>#N/A</v>
      </c>
      <c r="G1586" s="91" t="e">
        <v>#N/A</v>
      </c>
      <c r="H1586" s="92"/>
      <c r="I1586" s="92"/>
      <c r="J1586" s="87"/>
      <c r="K1586" s="61"/>
      <c r="L1586" s="62">
        <v>0</v>
      </c>
      <c r="M1586" s="63">
        <v>0</v>
      </c>
      <c r="N1586" s="64">
        <v>0</v>
      </c>
      <c r="O1586" s="62">
        <v>0</v>
      </c>
      <c r="P1586" s="65">
        <f t="shared" si="98"/>
        <v>0</v>
      </c>
      <c r="Q1586" s="66"/>
      <c r="R1586" s="66"/>
      <c r="S1586" s="66"/>
      <c r="T1586" s="66"/>
      <c r="U1586" s="66"/>
      <c r="V1586" s="66"/>
      <c r="W1586" s="66"/>
      <c r="X1586" s="66"/>
      <c r="Y1586" s="66"/>
      <c r="Z1586" s="66"/>
      <c r="AA1586" s="66"/>
      <c r="AB1586" s="66"/>
      <c r="AC1586" s="66"/>
      <c r="AD1586" s="66"/>
      <c r="AE1586" s="66"/>
      <c r="AF1586" s="66"/>
      <c r="AG1586" s="66"/>
      <c r="AH1586" s="66"/>
      <c r="AI1586" s="66"/>
      <c r="AJ1586" s="66"/>
      <c r="AK1586" s="66"/>
      <c r="AL1586" s="66"/>
      <c r="AM1586" s="66"/>
      <c r="AN1586" s="66"/>
      <c r="AO1586" s="66"/>
      <c r="AP1586" s="66"/>
      <c r="AQ1586" s="66"/>
      <c r="AR1586" s="66"/>
      <c r="AS1586" s="66"/>
      <c r="AT1586" s="66"/>
      <c r="AU1586" s="66"/>
      <c r="AV1586" s="66"/>
      <c r="AW1586" s="66"/>
      <c r="AX1586" s="66"/>
      <c r="AY1586" s="66"/>
      <c r="AZ1586" s="66"/>
      <c r="BA1586" s="66"/>
      <c r="BB1586" s="66"/>
      <c r="BC1586" s="66"/>
      <c r="BD1586" s="66"/>
      <c r="BE1586" s="67"/>
      <c r="BF1586" s="67"/>
      <c r="BG1586" s="68"/>
      <c r="BI1586" s="69">
        <v>0</v>
      </c>
      <c r="BJ1586" s="70">
        <v>0</v>
      </c>
      <c r="BK1586" s="71">
        <v>0</v>
      </c>
      <c r="BL1586" s="71">
        <v>0</v>
      </c>
      <c r="BM1586" s="71">
        <v>0</v>
      </c>
      <c r="BN1586" s="72">
        <v>0</v>
      </c>
      <c r="BO1586" s="151" t="e">
        <f t="shared" si="99"/>
        <v>#DIV/0!</v>
      </c>
      <c r="BP1586" s="151" t="e">
        <f t="shared" si="100"/>
        <v>#DIV/0!</v>
      </c>
      <c r="BQ1586" s="71">
        <v>0</v>
      </c>
      <c r="BR1586" s="71">
        <v>0</v>
      </c>
      <c r="BS1586" s="71">
        <v>0</v>
      </c>
      <c r="BT1586" s="72">
        <v>0</v>
      </c>
      <c r="BU1586" s="151" t="e">
        <f t="shared" si="96"/>
        <v>#DIV/0!</v>
      </c>
      <c r="BV1586" s="151" t="e">
        <f t="shared" si="97"/>
        <v>#DIV/0!</v>
      </c>
    </row>
    <row r="1587" ht="30" customHeight="1" spans="1:74">
      <c r="A1587" s="55">
        <v>0</v>
      </c>
      <c r="B1587" s="56" t="s">
        <v>2247</v>
      </c>
      <c r="C1587" s="57" t="s">
        <v>2343</v>
      </c>
      <c r="D1587" s="91" t="s">
        <v>2565</v>
      </c>
      <c r="E1587" s="91" t="s">
        <v>2570</v>
      </c>
      <c r="F1587" s="91" t="str">
        <f>VLOOKUP(E1587,[1]库存!$B$1:$C$65536,2,FALSE)</f>
        <v>Chery E0V 3ROW RSAB RH</v>
      </c>
      <c r="G1587" s="91" t="s">
        <v>2571</v>
      </c>
      <c r="H1587" s="91" t="s">
        <v>2572</v>
      </c>
      <c r="I1587" s="91" t="s">
        <v>2569</v>
      </c>
      <c r="J1587" s="63"/>
      <c r="K1587" s="61"/>
      <c r="L1587" s="62">
        <v>0</v>
      </c>
      <c r="M1587" s="63">
        <v>1000</v>
      </c>
      <c r="N1587" s="64">
        <v>12</v>
      </c>
      <c r="O1587" s="62">
        <v>2</v>
      </c>
      <c r="P1587" s="65">
        <f t="shared" si="98"/>
        <v>0</v>
      </c>
      <c r="Q1587" s="66"/>
      <c r="R1587" s="66"/>
      <c r="S1587" s="66"/>
      <c r="T1587" s="66"/>
      <c r="U1587" s="66"/>
      <c r="V1587" s="66"/>
      <c r="W1587" s="66"/>
      <c r="X1587" s="66"/>
      <c r="Y1587" s="66"/>
      <c r="Z1587" s="66"/>
      <c r="AA1587" s="66">
        <v>1100</v>
      </c>
      <c r="AB1587" s="66"/>
      <c r="AC1587" s="66">
        <v>1200</v>
      </c>
      <c r="AD1587" s="66"/>
      <c r="AE1587" s="66"/>
      <c r="AF1587" s="66"/>
      <c r="AG1587" s="66"/>
      <c r="AH1587" s="66"/>
      <c r="AI1587" s="66"/>
      <c r="AJ1587" s="66"/>
      <c r="AK1587" s="66"/>
      <c r="AL1587" s="66"/>
      <c r="AM1587" s="66"/>
      <c r="AN1587" s="66"/>
      <c r="AO1587" s="66"/>
      <c r="AP1587" s="66"/>
      <c r="AQ1587" s="66"/>
      <c r="AR1587" s="66"/>
      <c r="AS1587" s="66"/>
      <c r="AT1587" s="66"/>
      <c r="AU1587" s="66"/>
      <c r="AV1587" s="66"/>
      <c r="AW1587" s="66"/>
      <c r="AX1587" s="66"/>
      <c r="AY1587" s="66"/>
      <c r="AZ1587" s="66"/>
      <c r="BA1587" s="66"/>
      <c r="BB1587" s="66"/>
      <c r="BC1587" s="66"/>
      <c r="BD1587" s="66"/>
      <c r="BE1587" s="67"/>
      <c r="BF1587" s="67"/>
      <c r="BG1587" s="68"/>
      <c r="BI1587" s="69">
        <v>0</v>
      </c>
      <c r="BJ1587" s="70">
        <v>0</v>
      </c>
      <c r="BK1587" s="71">
        <v>0</v>
      </c>
      <c r="BL1587" s="71">
        <v>0</v>
      </c>
      <c r="BM1587" s="71">
        <v>0</v>
      </c>
      <c r="BN1587" s="72">
        <v>0</v>
      </c>
      <c r="BO1587" s="151" t="e">
        <f t="shared" si="99"/>
        <v>#DIV/0!</v>
      </c>
      <c r="BP1587" s="151" t="e">
        <f t="shared" si="100"/>
        <v>#DIV/0!</v>
      </c>
      <c r="BQ1587" s="71">
        <v>0</v>
      </c>
      <c r="BR1587" s="71">
        <v>0</v>
      </c>
      <c r="BS1587" s="71">
        <v>0</v>
      </c>
      <c r="BT1587" s="72">
        <v>0</v>
      </c>
      <c r="BU1587" s="151" t="e">
        <f t="shared" si="96"/>
        <v>#DIV/0!</v>
      </c>
      <c r="BV1587" s="151" t="e">
        <f t="shared" si="97"/>
        <v>#DIV/0!</v>
      </c>
    </row>
    <row r="1588" ht="30" customHeight="1" spans="1:74">
      <c r="A1588" s="55">
        <v>0</v>
      </c>
      <c r="B1588" s="56">
        <v>0</v>
      </c>
      <c r="C1588" s="57">
        <v>0</v>
      </c>
      <c r="D1588" s="92"/>
      <c r="E1588" s="92"/>
      <c r="F1588" s="91" t="e">
        <f>VLOOKUP(E1588,[1]库存!$B$1:$C$65536,2,FALSE)</f>
        <v>#N/A</v>
      </c>
      <c r="G1588" s="91" t="e">
        <v>#N/A</v>
      </c>
      <c r="H1588" s="92"/>
      <c r="I1588" s="92"/>
      <c r="J1588" s="87"/>
      <c r="K1588" s="61"/>
      <c r="L1588" s="62">
        <v>0</v>
      </c>
      <c r="M1588" s="63">
        <v>0</v>
      </c>
      <c r="N1588" s="64">
        <v>0</v>
      </c>
      <c r="O1588" s="62">
        <v>0</v>
      </c>
      <c r="P1588" s="65">
        <f t="shared" si="98"/>
        <v>0</v>
      </c>
      <c r="R1588" s="66"/>
      <c r="T1588" s="66"/>
      <c r="V1588" s="66"/>
      <c r="X1588" s="66"/>
      <c r="Z1588" s="66"/>
      <c r="AA1588" s="12">
        <v>1230</v>
      </c>
      <c r="AB1588" s="66"/>
      <c r="AC1588" s="12">
        <v>1083</v>
      </c>
      <c r="AD1588" s="66"/>
      <c r="AF1588" s="66"/>
      <c r="AH1588" s="66"/>
      <c r="AJ1588" s="66"/>
      <c r="AL1588" s="66"/>
      <c r="AN1588" s="66"/>
      <c r="AP1588" s="66"/>
      <c r="AR1588" s="66"/>
      <c r="AT1588" s="66"/>
      <c r="AV1588" s="66"/>
      <c r="AX1588" s="66"/>
      <c r="AZ1588" s="66"/>
      <c r="BB1588" s="66"/>
      <c r="BD1588" s="66"/>
      <c r="BF1588" s="67"/>
      <c r="BG1588" s="68"/>
      <c r="BI1588" s="69">
        <v>0</v>
      </c>
      <c r="BJ1588" s="70">
        <v>0</v>
      </c>
      <c r="BK1588" s="71">
        <v>0</v>
      </c>
      <c r="BL1588" s="71">
        <v>0</v>
      </c>
      <c r="BM1588" s="71">
        <v>0</v>
      </c>
      <c r="BN1588" s="72">
        <v>0</v>
      </c>
      <c r="BO1588" s="151" t="e">
        <f t="shared" si="99"/>
        <v>#DIV/0!</v>
      </c>
      <c r="BP1588" s="151" t="e">
        <f t="shared" si="100"/>
        <v>#DIV/0!</v>
      </c>
      <c r="BQ1588" s="71">
        <v>0</v>
      </c>
      <c r="BR1588" s="71">
        <v>0</v>
      </c>
      <c r="BS1588" s="71">
        <v>0</v>
      </c>
      <c r="BT1588" s="72">
        <v>0</v>
      </c>
      <c r="BU1588" s="151" t="e">
        <f t="shared" si="96"/>
        <v>#DIV/0!</v>
      </c>
      <c r="BV1588" s="151" t="e">
        <f t="shared" si="97"/>
        <v>#DIV/0!</v>
      </c>
    </row>
    <row r="1589" ht="30" customHeight="1" spans="1:74">
      <c r="A1589" s="55" t="s">
        <v>165</v>
      </c>
      <c r="B1589" s="56" t="s">
        <v>2247</v>
      </c>
      <c r="C1589" s="57" t="s">
        <v>2343</v>
      </c>
      <c r="D1589" s="59" t="s">
        <v>2565</v>
      </c>
      <c r="E1589" s="59" t="s">
        <v>2573</v>
      </c>
      <c r="F1589" s="59" t="str">
        <f>VLOOKUP(E1589,[1]库存!$B$1:$C$65536,2,FALSE)</f>
        <v>NIO Gemini SAB LH B状态</v>
      </c>
      <c r="G1589" s="59" t="s">
        <v>2574</v>
      </c>
      <c r="H1589" s="59" t="s">
        <v>2575</v>
      </c>
      <c r="I1589" s="59" t="s">
        <v>2576</v>
      </c>
      <c r="J1589" s="80" t="s">
        <v>65</v>
      </c>
      <c r="K1589" s="61"/>
      <c r="L1589" s="62">
        <v>0</v>
      </c>
      <c r="M1589" s="63">
        <v>800</v>
      </c>
      <c r="N1589" s="64">
        <v>12</v>
      </c>
      <c r="O1589" s="62">
        <v>2</v>
      </c>
      <c r="P1589" s="65">
        <f t="shared" si="98"/>
        <v>0</v>
      </c>
      <c r="Q1589" s="66"/>
      <c r="R1589" s="66"/>
      <c r="S1589" s="66"/>
      <c r="T1589" s="66"/>
      <c r="U1589" s="66"/>
      <c r="V1589" s="66"/>
      <c r="W1589" s="66"/>
      <c r="X1589" s="66"/>
      <c r="Y1589" s="66"/>
      <c r="Z1589" s="66"/>
      <c r="AA1589" s="66"/>
      <c r="AB1589" s="66"/>
      <c r="AC1589" s="66"/>
      <c r="AD1589" s="66"/>
      <c r="AE1589" s="66"/>
      <c r="AF1589" s="66"/>
      <c r="AG1589" s="66"/>
      <c r="AH1589" s="66"/>
      <c r="AI1589" s="66"/>
      <c r="AJ1589" s="66"/>
      <c r="AK1589" s="66"/>
      <c r="AL1589" s="66"/>
      <c r="AM1589" s="66"/>
      <c r="AN1589" s="66"/>
      <c r="AO1589" s="66"/>
      <c r="AP1589" s="66"/>
      <c r="AQ1589" s="66"/>
      <c r="AR1589" s="66"/>
      <c r="AS1589" s="66"/>
      <c r="AT1589" s="66"/>
      <c r="AU1589" s="66"/>
      <c r="AV1589" s="66"/>
      <c r="AW1589" s="66"/>
      <c r="AX1589" s="66"/>
      <c r="AY1589" s="66"/>
      <c r="AZ1589" s="66"/>
      <c r="BA1589" s="66"/>
      <c r="BB1589" s="66"/>
      <c r="BC1589" s="66"/>
      <c r="BD1589" s="66"/>
      <c r="BE1589" s="67"/>
      <c r="BF1589" s="67"/>
      <c r="BG1589" s="68"/>
      <c r="BI1589" s="69">
        <v>0</v>
      </c>
      <c r="BJ1589" s="70">
        <v>0</v>
      </c>
      <c r="BK1589" s="71">
        <v>0</v>
      </c>
      <c r="BL1589" s="71">
        <v>0</v>
      </c>
      <c r="BM1589" s="71">
        <v>0</v>
      </c>
      <c r="BN1589" s="72">
        <v>0</v>
      </c>
      <c r="BO1589" s="151" t="e">
        <f t="shared" si="99"/>
        <v>#DIV/0!</v>
      </c>
      <c r="BP1589" s="151" t="e">
        <f t="shared" si="100"/>
        <v>#DIV/0!</v>
      </c>
      <c r="BQ1589" s="71">
        <v>0</v>
      </c>
      <c r="BR1589" s="71">
        <v>0</v>
      </c>
      <c r="BS1589" s="71">
        <v>0</v>
      </c>
      <c r="BT1589" s="72">
        <v>0</v>
      </c>
      <c r="BU1589" s="151" t="e">
        <f t="shared" si="96"/>
        <v>#DIV/0!</v>
      </c>
      <c r="BV1589" s="151" t="e">
        <f t="shared" si="97"/>
        <v>#DIV/0!</v>
      </c>
    </row>
    <row r="1590" ht="30" customHeight="1" spans="1:74">
      <c r="A1590" s="55">
        <v>0</v>
      </c>
      <c r="B1590" s="56">
        <v>0</v>
      </c>
      <c r="C1590" s="57">
        <v>0</v>
      </c>
      <c r="D1590" s="74"/>
      <c r="E1590" s="74"/>
      <c r="F1590" s="59" t="e">
        <f>VLOOKUP(E1590,[1]库存!$B$1:$C$65536,2,FALSE)</f>
        <v>#N/A</v>
      </c>
      <c r="G1590" s="59" t="e">
        <v>#N/A</v>
      </c>
      <c r="H1590" s="74"/>
      <c r="I1590" s="74"/>
      <c r="J1590" s="81"/>
      <c r="K1590" s="61"/>
      <c r="L1590" s="62">
        <v>0</v>
      </c>
      <c r="M1590" s="63">
        <v>0</v>
      </c>
      <c r="N1590" s="64">
        <v>0</v>
      </c>
      <c r="O1590" s="62">
        <v>0</v>
      </c>
      <c r="P1590" s="65">
        <f t="shared" si="98"/>
        <v>0</v>
      </c>
      <c r="Q1590" s="66"/>
      <c r="R1590" s="66"/>
      <c r="S1590" s="66"/>
      <c r="T1590" s="66"/>
      <c r="U1590" s="66"/>
      <c r="V1590" s="66"/>
      <c r="W1590" s="66"/>
      <c r="X1590" s="66"/>
      <c r="Y1590" s="66"/>
      <c r="Z1590" s="66"/>
      <c r="AA1590" s="66"/>
      <c r="AB1590" s="66"/>
      <c r="AC1590" s="66"/>
      <c r="AD1590" s="66"/>
      <c r="AE1590" s="66"/>
      <c r="AF1590" s="66"/>
      <c r="AG1590" s="66"/>
      <c r="AH1590" s="66"/>
      <c r="AI1590" s="66"/>
      <c r="AJ1590" s="66"/>
      <c r="AK1590" s="66"/>
      <c r="AL1590" s="66"/>
      <c r="AM1590" s="66"/>
      <c r="AN1590" s="66"/>
      <c r="AO1590" s="66"/>
      <c r="AP1590" s="66"/>
      <c r="AQ1590" s="66"/>
      <c r="AR1590" s="66"/>
      <c r="AS1590" s="66"/>
      <c r="AT1590" s="66"/>
      <c r="AU1590" s="66"/>
      <c r="AV1590" s="66"/>
      <c r="AW1590" s="66"/>
      <c r="AX1590" s="66"/>
      <c r="AY1590" s="66"/>
      <c r="AZ1590" s="66"/>
      <c r="BA1590" s="66"/>
      <c r="BB1590" s="66"/>
      <c r="BC1590" s="66"/>
      <c r="BD1590" s="66"/>
      <c r="BE1590" s="67"/>
      <c r="BF1590" s="67"/>
      <c r="BG1590" s="68"/>
      <c r="BI1590" s="69">
        <v>0</v>
      </c>
      <c r="BJ1590" s="70">
        <v>0</v>
      </c>
      <c r="BK1590" s="71">
        <v>0</v>
      </c>
      <c r="BL1590" s="71">
        <v>0</v>
      </c>
      <c r="BM1590" s="71">
        <v>0</v>
      </c>
      <c r="BN1590" s="72">
        <v>0</v>
      </c>
      <c r="BO1590" s="151" t="e">
        <f t="shared" si="99"/>
        <v>#DIV/0!</v>
      </c>
      <c r="BP1590" s="151" t="e">
        <f t="shared" si="100"/>
        <v>#DIV/0!</v>
      </c>
      <c r="BQ1590" s="71">
        <v>0</v>
      </c>
      <c r="BR1590" s="71">
        <v>0</v>
      </c>
      <c r="BS1590" s="71">
        <v>0</v>
      </c>
      <c r="BT1590" s="72">
        <v>0</v>
      </c>
      <c r="BU1590" s="151" t="e">
        <f t="shared" si="96"/>
        <v>#DIV/0!</v>
      </c>
      <c r="BV1590" s="151" t="e">
        <f t="shared" si="97"/>
        <v>#DIV/0!</v>
      </c>
    </row>
    <row r="1591" ht="30" customHeight="1" spans="1:74">
      <c r="A1591" s="55" t="s">
        <v>165</v>
      </c>
      <c r="B1591" s="56" t="s">
        <v>2247</v>
      </c>
      <c r="C1591" s="57" t="s">
        <v>2343</v>
      </c>
      <c r="D1591" s="59" t="s">
        <v>2565</v>
      </c>
      <c r="E1591" s="59" t="s">
        <v>2577</v>
      </c>
      <c r="F1591" s="59" t="str">
        <f>VLOOKUP(E1591,[1]库存!$B$1:$C$65536,2,FALSE)</f>
        <v>NIO Gemini SAB RH B状态</v>
      </c>
      <c r="G1591" s="59" t="s">
        <v>2578</v>
      </c>
      <c r="H1591" s="59" t="s">
        <v>2575</v>
      </c>
      <c r="I1591" s="59" t="s">
        <v>2576</v>
      </c>
      <c r="J1591" s="80" t="s">
        <v>65</v>
      </c>
      <c r="K1591" s="61"/>
      <c r="L1591" s="62">
        <v>0</v>
      </c>
      <c r="M1591" s="63">
        <v>800</v>
      </c>
      <c r="N1591" s="64">
        <v>12</v>
      </c>
      <c r="O1591" s="62">
        <v>2</v>
      </c>
      <c r="P1591" s="65">
        <f t="shared" si="98"/>
        <v>0</v>
      </c>
      <c r="Q1591" s="66"/>
      <c r="R1591" s="66"/>
      <c r="S1591" s="66"/>
      <c r="T1591" s="66"/>
      <c r="U1591" s="66"/>
      <c r="V1591" s="66"/>
      <c r="W1591" s="66"/>
      <c r="X1591" s="66"/>
      <c r="Y1591" s="66"/>
      <c r="Z1591" s="66"/>
      <c r="AA1591" s="66"/>
      <c r="AB1591" s="66"/>
      <c r="AC1591" s="66"/>
      <c r="AD1591" s="66"/>
      <c r="AE1591" s="66"/>
      <c r="AF1591" s="66"/>
      <c r="AG1591" s="66"/>
      <c r="AH1591" s="66"/>
      <c r="AI1591" s="66"/>
      <c r="AJ1591" s="66"/>
      <c r="AK1591" s="66"/>
      <c r="AL1591" s="66"/>
      <c r="AM1591" s="66"/>
      <c r="AN1591" s="66"/>
      <c r="AO1591" s="66"/>
      <c r="AP1591" s="66"/>
      <c r="AQ1591" s="66"/>
      <c r="AR1591" s="66"/>
      <c r="AS1591" s="66"/>
      <c r="AT1591" s="66"/>
      <c r="AU1591" s="66"/>
      <c r="AV1591" s="66"/>
      <c r="AW1591" s="66"/>
      <c r="AX1591" s="66"/>
      <c r="AY1591" s="66"/>
      <c r="AZ1591" s="66"/>
      <c r="BA1591" s="66"/>
      <c r="BB1591" s="66"/>
      <c r="BC1591" s="66"/>
      <c r="BD1591" s="66"/>
      <c r="BE1591" s="67"/>
      <c r="BF1591" s="67"/>
      <c r="BG1591" s="68"/>
      <c r="BI1591" s="69">
        <v>0</v>
      </c>
      <c r="BJ1591" s="70">
        <v>0</v>
      </c>
      <c r="BK1591" s="71">
        <v>0</v>
      </c>
      <c r="BL1591" s="71">
        <v>0</v>
      </c>
      <c r="BM1591" s="71">
        <v>0</v>
      </c>
      <c r="BN1591" s="72">
        <v>0</v>
      </c>
      <c r="BO1591" s="151" t="e">
        <f t="shared" si="99"/>
        <v>#DIV/0!</v>
      </c>
      <c r="BP1591" s="151" t="e">
        <f t="shared" si="100"/>
        <v>#DIV/0!</v>
      </c>
      <c r="BQ1591" s="71">
        <v>0</v>
      </c>
      <c r="BR1591" s="71">
        <v>0</v>
      </c>
      <c r="BS1591" s="71">
        <v>0</v>
      </c>
      <c r="BT1591" s="72">
        <v>0</v>
      </c>
      <c r="BU1591" s="151" t="e">
        <f t="shared" si="96"/>
        <v>#DIV/0!</v>
      </c>
      <c r="BV1591" s="151" t="e">
        <f t="shared" si="97"/>
        <v>#DIV/0!</v>
      </c>
    </row>
    <row r="1592" ht="30" customHeight="1" spans="1:74">
      <c r="A1592" s="55">
        <v>0</v>
      </c>
      <c r="B1592" s="56">
        <v>0</v>
      </c>
      <c r="C1592" s="57">
        <v>0</v>
      </c>
      <c r="D1592" s="74"/>
      <c r="E1592" s="74"/>
      <c r="F1592" s="59" t="e">
        <f>VLOOKUP(E1592,[1]库存!$B$1:$C$65536,2,FALSE)</f>
        <v>#N/A</v>
      </c>
      <c r="G1592" s="59" t="e">
        <v>#N/A</v>
      </c>
      <c r="H1592" s="74"/>
      <c r="I1592" s="74"/>
      <c r="J1592" s="81"/>
      <c r="K1592" s="61"/>
      <c r="L1592" s="62">
        <v>0</v>
      </c>
      <c r="M1592" s="63">
        <v>0</v>
      </c>
      <c r="N1592" s="64">
        <v>0</v>
      </c>
      <c r="O1592" s="62">
        <v>0</v>
      </c>
      <c r="P1592" s="65">
        <f t="shared" si="98"/>
        <v>0</v>
      </c>
      <c r="R1592" s="66"/>
      <c r="T1592" s="66"/>
      <c r="V1592" s="66"/>
      <c r="X1592" s="66"/>
      <c r="Z1592" s="66"/>
      <c r="AB1592" s="66"/>
      <c r="AD1592" s="66"/>
      <c r="AF1592" s="66"/>
      <c r="AH1592" s="66"/>
      <c r="AJ1592" s="66"/>
      <c r="AL1592" s="66"/>
      <c r="AN1592" s="66"/>
      <c r="AP1592" s="66"/>
      <c r="AR1592" s="66"/>
      <c r="AT1592" s="66"/>
      <c r="AV1592" s="66"/>
      <c r="AX1592" s="66"/>
      <c r="AZ1592" s="66"/>
      <c r="BB1592" s="66"/>
      <c r="BD1592" s="66"/>
      <c r="BF1592" s="67"/>
      <c r="BG1592" s="68"/>
      <c r="BI1592" s="69">
        <v>0</v>
      </c>
      <c r="BJ1592" s="70">
        <v>0</v>
      </c>
      <c r="BK1592" s="71">
        <v>0</v>
      </c>
      <c r="BL1592" s="71">
        <v>0</v>
      </c>
      <c r="BM1592" s="71">
        <v>0</v>
      </c>
      <c r="BN1592" s="72">
        <v>0</v>
      </c>
      <c r="BO1592" s="151" t="e">
        <f t="shared" si="99"/>
        <v>#DIV/0!</v>
      </c>
      <c r="BP1592" s="151" t="e">
        <f t="shared" si="100"/>
        <v>#DIV/0!</v>
      </c>
      <c r="BQ1592" s="71">
        <v>0</v>
      </c>
      <c r="BR1592" s="71">
        <v>0</v>
      </c>
      <c r="BS1592" s="71">
        <v>0</v>
      </c>
      <c r="BT1592" s="72">
        <v>0</v>
      </c>
      <c r="BU1592" s="151" t="e">
        <f t="shared" si="96"/>
        <v>#DIV/0!</v>
      </c>
      <c r="BV1592" s="151" t="e">
        <f t="shared" si="97"/>
        <v>#DIV/0!</v>
      </c>
    </row>
    <row r="1593" ht="30" customHeight="1" spans="1:74">
      <c r="A1593" s="55" t="s">
        <v>165</v>
      </c>
      <c r="B1593" s="56" t="s">
        <v>2247</v>
      </c>
      <c r="C1593" s="57" t="s">
        <v>2343</v>
      </c>
      <c r="D1593" s="59" t="s">
        <v>2565</v>
      </c>
      <c r="E1593" s="59" t="s">
        <v>2579</v>
      </c>
      <c r="F1593" s="59" t="str">
        <f>VLOOKUP(E1593,[1]库存!$B$1:$C$65536,2,FALSE)</f>
        <v>Lyra SAB LH</v>
      </c>
      <c r="G1593" s="59" t="s">
        <v>2580</v>
      </c>
      <c r="H1593" s="59" t="s">
        <v>2581</v>
      </c>
      <c r="I1593" s="59" t="s">
        <v>2576</v>
      </c>
      <c r="J1593" s="80" t="s">
        <v>65</v>
      </c>
      <c r="K1593" s="61"/>
      <c r="L1593" s="62">
        <v>0</v>
      </c>
      <c r="M1593" s="63">
        <v>1000</v>
      </c>
      <c r="N1593" s="64">
        <v>12</v>
      </c>
      <c r="O1593" s="62">
        <v>2</v>
      </c>
      <c r="P1593" s="65">
        <f t="shared" si="98"/>
        <v>0</v>
      </c>
      <c r="Q1593" s="66"/>
      <c r="R1593" s="66"/>
      <c r="S1593" s="66"/>
      <c r="T1593" s="66"/>
      <c r="U1593" s="66"/>
      <c r="V1593" s="66"/>
      <c r="W1593" s="66"/>
      <c r="X1593" s="66"/>
      <c r="Y1593" s="66"/>
      <c r="Z1593" s="66"/>
      <c r="AA1593" s="66"/>
      <c r="AB1593" s="66"/>
      <c r="AC1593" s="66"/>
      <c r="AD1593" s="66"/>
      <c r="AE1593" s="66"/>
      <c r="AF1593" s="66"/>
      <c r="AG1593" s="66"/>
      <c r="AH1593" s="66"/>
      <c r="AI1593" s="66"/>
      <c r="AJ1593" s="66"/>
      <c r="AK1593" s="66"/>
      <c r="AL1593" s="66"/>
      <c r="AM1593" s="66"/>
      <c r="AN1593" s="66"/>
      <c r="AO1593" s="66"/>
      <c r="AP1593" s="66"/>
      <c r="AQ1593" s="66"/>
      <c r="AR1593" s="66"/>
      <c r="AS1593" s="66"/>
      <c r="AT1593" s="66"/>
      <c r="AU1593" s="66"/>
      <c r="AV1593" s="66"/>
      <c r="AW1593" s="66"/>
      <c r="AX1593" s="66"/>
      <c r="AY1593" s="66"/>
      <c r="AZ1593" s="66"/>
      <c r="BA1593" s="66"/>
      <c r="BB1593" s="66"/>
      <c r="BC1593" s="66"/>
      <c r="BD1593" s="66"/>
      <c r="BE1593" s="67"/>
      <c r="BF1593" s="67"/>
      <c r="BG1593" s="68"/>
      <c r="BI1593" s="69">
        <v>0</v>
      </c>
      <c r="BJ1593" s="70">
        <v>0</v>
      </c>
      <c r="BK1593" s="71">
        <v>0</v>
      </c>
      <c r="BL1593" s="71">
        <v>0</v>
      </c>
      <c r="BM1593" s="71">
        <v>0</v>
      </c>
      <c r="BN1593" s="72">
        <v>0</v>
      </c>
      <c r="BO1593" s="151" t="e">
        <f t="shared" si="99"/>
        <v>#DIV/0!</v>
      </c>
      <c r="BP1593" s="151" t="e">
        <f t="shared" si="100"/>
        <v>#DIV/0!</v>
      </c>
      <c r="BQ1593" s="71">
        <v>0</v>
      </c>
      <c r="BR1593" s="71">
        <v>0</v>
      </c>
      <c r="BS1593" s="71">
        <v>0</v>
      </c>
      <c r="BT1593" s="72">
        <v>0</v>
      </c>
      <c r="BU1593" s="151" t="e">
        <f t="shared" ref="BU1593:BU1656" si="101">(BQ1593+BR1593)/BJ1593</f>
        <v>#DIV/0!</v>
      </c>
      <c r="BV1593" s="151" t="e">
        <f t="shared" ref="BV1593:BV1656" si="102">BS1593/BJ1593</f>
        <v>#DIV/0!</v>
      </c>
    </row>
    <row r="1594" ht="30" customHeight="1" spans="1:74">
      <c r="A1594" s="55">
        <v>0</v>
      </c>
      <c r="B1594" s="56">
        <v>0</v>
      </c>
      <c r="C1594" s="57">
        <v>0</v>
      </c>
      <c r="D1594" s="74"/>
      <c r="E1594" s="74"/>
      <c r="F1594" s="59" t="e">
        <f>VLOOKUP(E1594,[1]库存!$B$1:$C$65536,2,FALSE)</f>
        <v>#N/A</v>
      </c>
      <c r="G1594" s="59" t="e">
        <v>#N/A</v>
      </c>
      <c r="H1594" s="74"/>
      <c r="I1594" s="74"/>
      <c r="J1594" s="81"/>
      <c r="K1594" s="61"/>
      <c r="L1594" s="62">
        <v>0</v>
      </c>
      <c r="M1594" s="63">
        <v>0</v>
      </c>
      <c r="N1594" s="64">
        <v>0</v>
      </c>
      <c r="O1594" s="62">
        <v>0</v>
      </c>
      <c r="P1594" s="65">
        <f t="shared" si="98"/>
        <v>0</v>
      </c>
      <c r="Q1594" s="66"/>
      <c r="R1594" s="66"/>
      <c r="S1594" s="66"/>
      <c r="T1594" s="66"/>
      <c r="U1594" s="66"/>
      <c r="V1594" s="66"/>
      <c r="W1594" s="66"/>
      <c r="X1594" s="66"/>
      <c r="Y1594" s="66"/>
      <c r="Z1594" s="66"/>
      <c r="AA1594" s="66"/>
      <c r="AB1594" s="66"/>
      <c r="AC1594" s="66"/>
      <c r="AD1594" s="66"/>
      <c r="AE1594" s="66"/>
      <c r="AF1594" s="66"/>
      <c r="AG1594" s="66"/>
      <c r="AH1594" s="66"/>
      <c r="AI1594" s="66"/>
      <c r="AJ1594" s="66"/>
      <c r="AK1594" s="66"/>
      <c r="AL1594" s="66"/>
      <c r="AM1594" s="66"/>
      <c r="AN1594" s="66"/>
      <c r="AO1594" s="66"/>
      <c r="AP1594" s="66"/>
      <c r="AQ1594" s="66"/>
      <c r="AR1594" s="66"/>
      <c r="AS1594" s="66"/>
      <c r="AT1594" s="66"/>
      <c r="AU1594" s="66"/>
      <c r="AV1594" s="66"/>
      <c r="AW1594" s="66"/>
      <c r="AX1594" s="66"/>
      <c r="AY1594" s="66"/>
      <c r="AZ1594" s="66"/>
      <c r="BA1594" s="66"/>
      <c r="BB1594" s="66"/>
      <c r="BC1594" s="66"/>
      <c r="BD1594" s="66"/>
      <c r="BE1594" s="67"/>
      <c r="BF1594" s="67"/>
      <c r="BG1594" s="68"/>
      <c r="BI1594" s="69">
        <v>0</v>
      </c>
      <c r="BJ1594" s="70">
        <v>0</v>
      </c>
      <c r="BK1594" s="71">
        <v>0</v>
      </c>
      <c r="BL1594" s="71">
        <v>0</v>
      </c>
      <c r="BM1594" s="71">
        <v>0</v>
      </c>
      <c r="BN1594" s="72">
        <v>0</v>
      </c>
      <c r="BO1594" s="151" t="e">
        <f t="shared" si="99"/>
        <v>#DIV/0!</v>
      </c>
      <c r="BP1594" s="151" t="e">
        <f t="shared" si="100"/>
        <v>#DIV/0!</v>
      </c>
      <c r="BQ1594" s="71">
        <v>0</v>
      </c>
      <c r="BR1594" s="71">
        <v>0</v>
      </c>
      <c r="BS1594" s="71">
        <v>0</v>
      </c>
      <c r="BT1594" s="72">
        <v>0</v>
      </c>
      <c r="BU1594" s="151" t="e">
        <f t="shared" si="101"/>
        <v>#DIV/0!</v>
      </c>
      <c r="BV1594" s="151" t="e">
        <f t="shared" si="102"/>
        <v>#DIV/0!</v>
      </c>
    </row>
    <row r="1595" ht="30" customHeight="1" spans="1:74">
      <c r="A1595" s="55" t="s">
        <v>165</v>
      </c>
      <c r="B1595" s="56" t="s">
        <v>2247</v>
      </c>
      <c r="C1595" s="57" t="s">
        <v>2343</v>
      </c>
      <c r="D1595" s="59" t="s">
        <v>2565</v>
      </c>
      <c r="E1595" s="59" t="s">
        <v>2582</v>
      </c>
      <c r="F1595" s="59" t="str">
        <f>VLOOKUP(E1595,[1]库存!$B$1:$C$65536,2,FALSE)</f>
        <v>Lyra SAB RH</v>
      </c>
      <c r="G1595" s="59" t="s">
        <v>2583</v>
      </c>
      <c r="H1595" s="59" t="s">
        <v>2584</v>
      </c>
      <c r="I1595" s="59" t="s">
        <v>2576</v>
      </c>
      <c r="J1595" s="80" t="s">
        <v>65</v>
      </c>
      <c r="K1595" s="61"/>
      <c r="L1595" s="62">
        <v>0</v>
      </c>
      <c r="M1595" s="63">
        <v>1000</v>
      </c>
      <c r="N1595" s="64">
        <v>12</v>
      </c>
      <c r="O1595" s="62">
        <v>2</v>
      </c>
      <c r="P1595" s="65">
        <f t="shared" si="98"/>
        <v>0</v>
      </c>
      <c r="Q1595" s="66"/>
      <c r="R1595" s="66"/>
      <c r="S1595" s="66"/>
      <c r="T1595" s="66"/>
      <c r="U1595" s="66"/>
      <c r="V1595" s="66"/>
      <c r="W1595" s="66"/>
      <c r="X1595" s="66"/>
      <c r="Y1595" s="66"/>
      <c r="Z1595" s="66"/>
      <c r="AA1595" s="66"/>
      <c r="AB1595" s="66"/>
      <c r="AC1595" s="66"/>
      <c r="AD1595" s="66"/>
      <c r="AE1595" s="66"/>
      <c r="AF1595" s="66"/>
      <c r="AG1595" s="66"/>
      <c r="AH1595" s="66"/>
      <c r="AI1595" s="66"/>
      <c r="AJ1595" s="66"/>
      <c r="AK1595" s="66"/>
      <c r="AL1595" s="66"/>
      <c r="AM1595" s="66"/>
      <c r="AN1595" s="66"/>
      <c r="AO1595" s="66"/>
      <c r="AP1595" s="66"/>
      <c r="AQ1595" s="66"/>
      <c r="AR1595" s="66"/>
      <c r="AS1595" s="66"/>
      <c r="AT1595" s="66"/>
      <c r="AU1595" s="66"/>
      <c r="AV1595" s="66"/>
      <c r="AW1595" s="66"/>
      <c r="AX1595" s="66"/>
      <c r="AY1595" s="66"/>
      <c r="AZ1595" s="66"/>
      <c r="BA1595" s="66"/>
      <c r="BB1595" s="66"/>
      <c r="BC1595" s="66"/>
      <c r="BD1595" s="66"/>
      <c r="BE1595" s="67"/>
      <c r="BF1595" s="67"/>
      <c r="BG1595" s="68"/>
      <c r="BI1595" s="69">
        <v>0</v>
      </c>
      <c r="BJ1595" s="70">
        <v>0</v>
      </c>
      <c r="BK1595" s="71">
        <v>0</v>
      </c>
      <c r="BL1595" s="71">
        <v>0</v>
      </c>
      <c r="BM1595" s="71">
        <v>0</v>
      </c>
      <c r="BN1595" s="72">
        <v>0</v>
      </c>
      <c r="BO1595" s="151" t="e">
        <f t="shared" si="99"/>
        <v>#DIV/0!</v>
      </c>
      <c r="BP1595" s="151" t="e">
        <f t="shared" si="100"/>
        <v>#DIV/0!</v>
      </c>
      <c r="BQ1595" s="71">
        <v>0</v>
      </c>
      <c r="BR1595" s="71">
        <v>0</v>
      </c>
      <c r="BS1595" s="71">
        <v>0</v>
      </c>
      <c r="BT1595" s="72">
        <v>0</v>
      </c>
      <c r="BU1595" s="151" t="e">
        <f t="shared" si="101"/>
        <v>#DIV/0!</v>
      </c>
      <c r="BV1595" s="151" t="e">
        <f t="shared" si="102"/>
        <v>#DIV/0!</v>
      </c>
    </row>
    <row r="1596" ht="30" customHeight="1" spans="1:74">
      <c r="A1596" s="55">
        <v>0</v>
      </c>
      <c r="B1596" s="56">
        <v>0</v>
      </c>
      <c r="C1596" s="57">
        <v>0</v>
      </c>
      <c r="D1596" s="74"/>
      <c r="E1596" s="74"/>
      <c r="F1596" s="59" t="e">
        <f>VLOOKUP(E1596,[1]库存!$B$1:$C$65536,2,FALSE)</f>
        <v>#N/A</v>
      </c>
      <c r="G1596" s="59" t="e">
        <v>#N/A</v>
      </c>
      <c r="H1596" s="74"/>
      <c r="I1596" s="74"/>
      <c r="J1596" s="81"/>
      <c r="K1596" s="61"/>
      <c r="L1596" s="62">
        <v>0</v>
      </c>
      <c r="M1596" s="63">
        <v>0</v>
      </c>
      <c r="N1596" s="64">
        <v>0</v>
      </c>
      <c r="O1596" s="62">
        <v>0</v>
      </c>
      <c r="P1596" s="65">
        <f t="shared" si="98"/>
        <v>0</v>
      </c>
      <c r="R1596" s="66"/>
      <c r="T1596" s="66"/>
      <c r="V1596" s="66"/>
      <c r="X1596" s="66"/>
      <c r="Z1596" s="66"/>
      <c r="AB1596" s="66"/>
      <c r="AD1596" s="66"/>
      <c r="AF1596" s="66"/>
      <c r="AH1596" s="66"/>
      <c r="AJ1596" s="66"/>
      <c r="AL1596" s="66"/>
      <c r="AN1596" s="66"/>
      <c r="AP1596" s="66"/>
      <c r="AR1596" s="66"/>
      <c r="AT1596" s="66"/>
      <c r="AV1596" s="66"/>
      <c r="AX1596" s="66"/>
      <c r="AZ1596" s="66"/>
      <c r="BB1596" s="66"/>
      <c r="BD1596" s="66"/>
      <c r="BF1596" s="67"/>
      <c r="BG1596" s="68"/>
      <c r="BI1596" s="69">
        <v>0</v>
      </c>
      <c r="BJ1596" s="70">
        <v>0</v>
      </c>
      <c r="BK1596" s="71">
        <v>0</v>
      </c>
      <c r="BL1596" s="71">
        <v>0</v>
      </c>
      <c r="BM1596" s="71">
        <v>0</v>
      </c>
      <c r="BN1596" s="72">
        <v>0</v>
      </c>
      <c r="BO1596" s="151" t="e">
        <f t="shared" si="99"/>
        <v>#DIV/0!</v>
      </c>
      <c r="BP1596" s="151" t="e">
        <f t="shared" si="100"/>
        <v>#DIV/0!</v>
      </c>
      <c r="BQ1596" s="71">
        <v>0</v>
      </c>
      <c r="BR1596" s="71">
        <v>0</v>
      </c>
      <c r="BS1596" s="71">
        <v>0</v>
      </c>
      <c r="BT1596" s="72">
        <v>0</v>
      </c>
      <c r="BU1596" s="151" t="e">
        <f t="shared" si="101"/>
        <v>#DIV/0!</v>
      </c>
      <c r="BV1596" s="151" t="e">
        <f t="shared" si="102"/>
        <v>#DIV/0!</v>
      </c>
    </row>
    <row r="1597" ht="30" customHeight="1" spans="1:74">
      <c r="A1597" s="55" t="s">
        <v>165</v>
      </c>
      <c r="B1597" s="56" t="s">
        <v>2247</v>
      </c>
      <c r="C1597" s="57" t="s">
        <v>2343</v>
      </c>
      <c r="D1597" s="59" t="s">
        <v>2565</v>
      </c>
      <c r="E1597" s="59" t="s">
        <v>2585</v>
      </c>
      <c r="F1597" s="59" t="str">
        <f>VLOOKUP(E1597,[1]库存!$B$1:$C$65536,2,FALSE)</f>
        <v>POLESTAR P611 SAB LH</v>
      </c>
      <c r="G1597" s="59" t="s">
        <v>2586</v>
      </c>
      <c r="H1597" s="59" t="s">
        <v>2587</v>
      </c>
      <c r="I1597" s="59" t="s">
        <v>2588</v>
      </c>
      <c r="J1597" s="63"/>
      <c r="K1597" s="61"/>
      <c r="L1597" s="62">
        <v>0</v>
      </c>
      <c r="M1597" s="63">
        <v>1000</v>
      </c>
      <c r="N1597" s="64">
        <v>10</v>
      </c>
      <c r="O1597" s="62">
        <v>2</v>
      </c>
      <c r="P1597" s="65">
        <f t="shared" si="98"/>
        <v>0</v>
      </c>
      <c r="Q1597" s="66"/>
      <c r="R1597" s="66"/>
      <c r="S1597" s="66"/>
      <c r="T1597" s="66"/>
      <c r="U1597" s="66"/>
      <c r="V1597" s="66"/>
      <c r="W1597" s="66"/>
      <c r="X1597" s="66"/>
      <c r="Y1597" s="66"/>
      <c r="Z1597" s="66"/>
      <c r="AA1597" s="66"/>
      <c r="AB1597" s="66"/>
      <c r="AC1597" s="66"/>
      <c r="AD1597" s="66"/>
      <c r="AE1597" s="66"/>
      <c r="AF1597" s="66"/>
      <c r="AG1597" s="66"/>
      <c r="AH1597" s="66"/>
      <c r="AI1597" s="66"/>
      <c r="AJ1597" s="66"/>
      <c r="AK1597" s="66"/>
      <c r="AL1597" s="66"/>
      <c r="AM1597" s="66"/>
      <c r="AN1597" s="66"/>
      <c r="AO1597" s="66"/>
      <c r="AP1597" s="66"/>
      <c r="AQ1597" s="66"/>
      <c r="AR1597" s="66"/>
      <c r="AS1597" s="66"/>
      <c r="AT1597" s="66"/>
      <c r="AU1597" s="66"/>
      <c r="AV1597" s="66"/>
      <c r="AW1597" s="66"/>
      <c r="AX1597" s="66"/>
      <c r="AY1597" s="66"/>
      <c r="AZ1597" s="66"/>
      <c r="BA1597" s="66"/>
      <c r="BB1597" s="66"/>
      <c r="BC1597" s="66"/>
      <c r="BD1597" s="66"/>
      <c r="BE1597" s="67"/>
      <c r="BF1597" s="67"/>
      <c r="BG1597" s="68"/>
      <c r="BI1597" s="69">
        <v>0</v>
      </c>
      <c r="BJ1597" s="70">
        <v>0</v>
      </c>
      <c r="BK1597" s="71">
        <v>0</v>
      </c>
      <c r="BL1597" s="71">
        <v>0</v>
      </c>
      <c r="BM1597" s="71">
        <v>0</v>
      </c>
      <c r="BN1597" s="72">
        <v>0</v>
      </c>
      <c r="BO1597" s="151" t="e">
        <f t="shared" si="99"/>
        <v>#DIV/0!</v>
      </c>
      <c r="BP1597" s="151" t="e">
        <f t="shared" si="100"/>
        <v>#DIV/0!</v>
      </c>
      <c r="BQ1597" s="71">
        <v>0</v>
      </c>
      <c r="BR1597" s="71">
        <v>0</v>
      </c>
      <c r="BS1597" s="71">
        <v>0</v>
      </c>
      <c r="BT1597" s="72">
        <v>0</v>
      </c>
      <c r="BU1597" s="151" t="e">
        <f t="shared" si="101"/>
        <v>#DIV/0!</v>
      </c>
      <c r="BV1597" s="151" t="e">
        <f t="shared" si="102"/>
        <v>#DIV/0!</v>
      </c>
    </row>
    <row r="1598" ht="30" customHeight="1" spans="1:74">
      <c r="A1598" s="55">
        <v>0</v>
      </c>
      <c r="B1598" s="56">
        <v>0</v>
      </c>
      <c r="C1598" s="57">
        <v>0</v>
      </c>
      <c r="D1598" s="74"/>
      <c r="E1598" s="74"/>
      <c r="F1598" s="59" t="e">
        <f>VLOOKUP(E1598,[1]库存!$B$1:$C$65536,2,FALSE)</f>
        <v>#N/A</v>
      </c>
      <c r="G1598" s="59" t="e">
        <v>#N/A</v>
      </c>
      <c r="H1598" s="74"/>
      <c r="I1598" s="74"/>
      <c r="J1598" s="87"/>
      <c r="K1598" s="61"/>
      <c r="L1598" s="62">
        <v>0</v>
      </c>
      <c r="M1598" s="63">
        <v>0</v>
      </c>
      <c r="N1598" s="64">
        <v>0</v>
      </c>
      <c r="O1598" s="62">
        <v>0</v>
      </c>
      <c r="P1598" s="65">
        <f t="shared" si="98"/>
        <v>0</v>
      </c>
      <c r="Q1598" s="66"/>
      <c r="R1598" s="66"/>
      <c r="S1598" s="66"/>
      <c r="T1598" s="66"/>
      <c r="U1598" s="66"/>
      <c r="V1598" s="66"/>
      <c r="W1598" s="66"/>
      <c r="X1598" s="66"/>
      <c r="Y1598" s="66"/>
      <c r="Z1598" s="66"/>
      <c r="AA1598" s="66"/>
      <c r="AB1598" s="66"/>
      <c r="AC1598" s="66"/>
      <c r="AD1598" s="66"/>
      <c r="AE1598" s="66"/>
      <c r="AF1598" s="66"/>
      <c r="AG1598" s="66"/>
      <c r="AH1598" s="66"/>
      <c r="AI1598" s="66"/>
      <c r="AJ1598" s="66"/>
      <c r="AK1598" s="66"/>
      <c r="AL1598" s="66"/>
      <c r="AM1598" s="66"/>
      <c r="AN1598" s="66"/>
      <c r="AO1598" s="66"/>
      <c r="AP1598" s="66"/>
      <c r="AQ1598" s="66"/>
      <c r="AR1598" s="66"/>
      <c r="AS1598" s="66"/>
      <c r="AT1598" s="66"/>
      <c r="AU1598" s="66"/>
      <c r="AV1598" s="66"/>
      <c r="AW1598" s="66"/>
      <c r="AX1598" s="66"/>
      <c r="AY1598" s="66"/>
      <c r="AZ1598" s="66"/>
      <c r="BA1598" s="66"/>
      <c r="BB1598" s="66"/>
      <c r="BC1598" s="66"/>
      <c r="BD1598" s="66"/>
      <c r="BE1598" s="67"/>
      <c r="BF1598" s="67"/>
      <c r="BG1598" s="68"/>
      <c r="BI1598" s="69">
        <v>0</v>
      </c>
      <c r="BJ1598" s="70">
        <v>0</v>
      </c>
      <c r="BK1598" s="71">
        <v>0</v>
      </c>
      <c r="BL1598" s="71">
        <v>0</v>
      </c>
      <c r="BM1598" s="71">
        <v>0</v>
      </c>
      <c r="BN1598" s="72">
        <v>0</v>
      </c>
      <c r="BO1598" s="151" t="e">
        <f t="shared" si="99"/>
        <v>#DIV/0!</v>
      </c>
      <c r="BP1598" s="151" t="e">
        <f t="shared" si="100"/>
        <v>#DIV/0!</v>
      </c>
      <c r="BQ1598" s="71">
        <v>0</v>
      </c>
      <c r="BR1598" s="71">
        <v>0</v>
      </c>
      <c r="BS1598" s="71">
        <v>0</v>
      </c>
      <c r="BT1598" s="72">
        <v>0</v>
      </c>
      <c r="BU1598" s="151" t="e">
        <f t="shared" si="101"/>
        <v>#DIV/0!</v>
      </c>
      <c r="BV1598" s="151" t="e">
        <f t="shared" si="102"/>
        <v>#DIV/0!</v>
      </c>
    </row>
    <row r="1599" ht="30" customHeight="1" spans="1:74">
      <c r="A1599" s="55" t="s">
        <v>165</v>
      </c>
      <c r="B1599" s="56" t="s">
        <v>2247</v>
      </c>
      <c r="C1599" s="57" t="s">
        <v>2343</v>
      </c>
      <c r="D1599" s="59" t="s">
        <v>2565</v>
      </c>
      <c r="E1599" s="59" t="s">
        <v>2589</v>
      </c>
      <c r="F1599" s="59" t="str">
        <f>VLOOKUP(E1599,[1]库存!$B$1:$C$65536,2,FALSE)</f>
        <v>POLESTAR P611 SAB RH</v>
      </c>
      <c r="G1599" s="59" t="s">
        <v>2590</v>
      </c>
      <c r="H1599" s="59" t="s">
        <v>2591</v>
      </c>
      <c r="I1599" s="59" t="s">
        <v>2588</v>
      </c>
      <c r="J1599" s="63"/>
      <c r="K1599" s="61"/>
      <c r="L1599" s="62">
        <v>0</v>
      </c>
      <c r="M1599" s="63">
        <v>1000</v>
      </c>
      <c r="N1599" s="64">
        <v>10</v>
      </c>
      <c r="O1599" s="62">
        <v>2</v>
      </c>
      <c r="P1599" s="65">
        <f t="shared" si="98"/>
        <v>0</v>
      </c>
      <c r="Q1599" s="66"/>
      <c r="R1599" s="66"/>
      <c r="S1599" s="66"/>
      <c r="T1599" s="66"/>
      <c r="U1599" s="66"/>
      <c r="V1599" s="66"/>
      <c r="W1599" s="66"/>
      <c r="X1599" s="66"/>
      <c r="Y1599" s="66"/>
      <c r="Z1599" s="66"/>
      <c r="AA1599" s="66"/>
      <c r="AB1599" s="66"/>
      <c r="AC1599" s="66"/>
      <c r="AD1599" s="66"/>
      <c r="AE1599" s="66"/>
      <c r="AF1599" s="66"/>
      <c r="AG1599" s="66"/>
      <c r="AH1599" s="66"/>
      <c r="AI1599" s="66"/>
      <c r="AJ1599" s="66"/>
      <c r="AK1599" s="66"/>
      <c r="AL1599" s="66"/>
      <c r="AM1599" s="66"/>
      <c r="AN1599" s="66"/>
      <c r="AO1599" s="66"/>
      <c r="AP1599" s="66"/>
      <c r="AQ1599" s="66"/>
      <c r="AR1599" s="66"/>
      <c r="AS1599" s="66"/>
      <c r="AT1599" s="66"/>
      <c r="AU1599" s="66"/>
      <c r="AV1599" s="66"/>
      <c r="AW1599" s="66"/>
      <c r="AX1599" s="66"/>
      <c r="AY1599" s="66"/>
      <c r="AZ1599" s="66"/>
      <c r="BA1599" s="66"/>
      <c r="BB1599" s="66"/>
      <c r="BC1599" s="66"/>
      <c r="BD1599" s="66"/>
      <c r="BE1599" s="67"/>
      <c r="BF1599" s="67"/>
      <c r="BG1599" s="68"/>
      <c r="BI1599" s="69">
        <v>0</v>
      </c>
      <c r="BJ1599" s="70">
        <v>0</v>
      </c>
      <c r="BK1599" s="71">
        <v>0</v>
      </c>
      <c r="BL1599" s="71">
        <v>0</v>
      </c>
      <c r="BM1599" s="71">
        <v>0</v>
      </c>
      <c r="BN1599" s="72">
        <v>0</v>
      </c>
      <c r="BO1599" s="151" t="e">
        <f t="shared" si="99"/>
        <v>#DIV/0!</v>
      </c>
      <c r="BP1599" s="151" t="e">
        <f t="shared" si="100"/>
        <v>#DIV/0!</v>
      </c>
      <c r="BQ1599" s="71">
        <v>0</v>
      </c>
      <c r="BR1599" s="71">
        <v>0</v>
      </c>
      <c r="BS1599" s="71">
        <v>0</v>
      </c>
      <c r="BT1599" s="72">
        <v>0</v>
      </c>
      <c r="BU1599" s="151" t="e">
        <f t="shared" si="101"/>
        <v>#DIV/0!</v>
      </c>
      <c r="BV1599" s="151" t="e">
        <f t="shared" si="102"/>
        <v>#DIV/0!</v>
      </c>
    </row>
    <row r="1600" ht="30" customHeight="1" spans="1:74">
      <c r="A1600" s="55">
        <v>0</v>
      </c>
      <c r="B1600" s="56">
        <v>0</v>
      </c>
      <c r="C1600" s="57">
        <v>0</v>
      </c>
      <c r="D1600" s="74"/>
      <c r="E1600" s="74"/>
      <c r="F1600" s="59" t="e">
        <f>VLOOKUP(E1600,[1]库存!$B$1:$C$65536,2,FALSE)</f>
        <v>#N/A</v>
      </c>
      <c r="G1600" s="59" t="e">
        <v>#N/A</v>
      </c>
      <c r="H1600" s="74"/>
      <c r="I1600" s="74"/>
      <c r="J1600" s="87"/>
      <c r="K1600" s="61"/>
      <c r="L1600" s="62">
        <v>0</v>
      </c>
      <c r="M1600" s="63">
        <v>0</v>
      </c>
      <c r="N1600" s="64">
        <v>0</v>
      </c>
      <c r="O1600" s="62">
        <v>0</v>
      </c>
      <c r="P1600" s="65">
        <f t="shared" si="98"/>
        <v>0</v>
      </c>
      <c r="R1600" s="66"/>
      <c r="T1600" s="66"/>
      <c r="V1600" s="66"/>
      <c r="X1600" s="66"/>
      <c r="Z1600" s="66"/>
      <c r="AB1600" s="66"/>
      <c r="AD1600" s="66"/>
      <c r="AF1600" s="66"/>
      <c r="AH1600" s="66"/>
      <c r="AJ1600" s="66"/>
      <c r="AL1600" s="66"/>
      <c r="AN1600" s="66"/>
      <c r="AP1600" s="66"/>
      <c r="AR1600" s="66"/>
      <c r="AT1600" s="66"/>
      <c r="AV1600" s="66"/>
      <c r="AX1600" s="66"/>
      <c r="AZ1600" s="66"/>
      <c r="BB1600" s="66"/>
      <c r="BD1600" s="66"/>
      <c r="BF1600" s="67"/>
      <c r="BG1600" s="68"/>
      <c r="BI1600" s="69">
        <v>0</v>
      </c>
      <c r="BJ1600" s="70">
        <v>0</v>
      </c>
      <c r="BK1600" s="71">
        <v>0</v>
      </c>
      <c r="BL1600" s="71">
        <v>0</v>
      </c>
      <c r="BM1600" s="71">
        <v>0</v>
      </c>
      <c r="BN1600" s="72">
        <v>0</v>
      </c>
      <c r="BO1600" s="151" t="e">
        <f t="shared" si="99"/>
        <v>#DIV/0!</v>
      </c>
      <c r="BP1600" s="151" t="e">
        <f t="shared" si="100"/>
        <v>#DIV/0!</v>
      </c>
      <c r="BQ1600" s="71">
        <v>0</v>
      </c>
      <c r="BR1600" s="71">
        <v>0</v>
      </c>
      <c r="BS1600" s="71">
        <v>0</v>
      </c>
      <c r="BT1600" s="72">
        <v>0</v>
      </c>
      <c r="BU1600" s="151" t="e">
        <f t="shared" si="101"/>
        <v>#DIV/0!</v>
      </c>
      <c r="BV1600" s="151" t="e">
        <f t="shared" si="102"/>
        <v>#DIV/0!</v>
      </c>
    </row>
    <row r="1601" ht="30" customHeight="1" spans="1:74">
      <c r="A1601" s="55">
        <v>0</v>
      </c>
      <c r="B1601" s="56">
        <v>0</v>
      </c>
      <c r="C1601" s="57">
        <v>0</v>
      </c>
      <c r="D1601" s="210"/>
      <c r="E1601" s="88"/>
      <c r="F1601" s="59" t="e">
        <f>VLOOKUP(E1601,[1]库存!$B$1:$C$65536,2,FALSE)</f>
        <v>#N/A</v>
      </c>
      <c r="G1601" s="59" t="e">
        <v>#N/A</v>
      </c>
      <c r="H1601" s="238"/>
      <c r="I1601" s="239"/>
      <c r="J1601" s="90"/>
      <c r="K1601" s="61"/>
      <c r="L1601" s="62">
        <v>0</v>
      </c>
      <c r="M1601" s="63">
        <v>0</v>
      </c>
      <c r="N1601" s="64">
        <v>0</v>
      </c>
      <c r="O1601" s="62">
        <v>0</v>
      </c>
      <c r="P1601" s="65">
        <f t="shared" si="98"/>
        <v>0</v>
      </c>
      <c r="Q1601" s="66"/>
      <c r="R1601" s="66"/>
      <c r="S1601" s="66"/>
      <c r="T1601" s="66"/>
      <c r="U1601" s="66"/>
      <c r="V1601" s="66"/>
      <c r="W1601" s="66"/>
      <c r="X1601" s="66"/>
      <c r="Y1601" s="66"/>
      <c r="Z1601" s="66"/>
      <c r="AA1601" s="66"/>
      <c r="AB1601" s="66"/>
      <c r="AC1601" s="66"/>
      <c r="AD1601" s="66"/>
      <c r="AE1601" s="66"/>
      <c r="AF1601" s="66"/>
      <c r="AG1601" s="66"/>
      <c r="AH1601" s="66"/>
      <c r="AI1601" s="66"/>
      <c r="AJ1601" s="66"/>
      <c r="AK1601" s="66"/>
      <c r="AL1601" s="66"/>
      <c r="AM1601" s="66"/>
      <c r="AN1601" s="66"/>
      <c r="AO1601" s="66"/>
      <c r="AP1601" s="66"/>
      <c r="AQ1601" s="66"/>
      <c r="AR1601" s="66"/>
      <c r="AS1601" s="66"/>
      <c r="AT1601" s="66"/>
      <c r="AU1601" s="66"/>
      <c r="AV1601" s="66"/>
      <c r="AW1601" s="66"/>
      <c r="AX1601" s="66"/>
      <c r="AY1601" s="66"/>
      <c r="AZ1601" s="66"/>
      <c r="BA1601" s="66"/>
      <c r="BB1601" s="66"/>
      <c r="BC1601" s="66"/>
      <c r="BD1601" s="66"/>
      <c r="BE1601" s="67"/>
      <c r="BF1601" s="67"/>
      <c r="BG1601" s="68"/>
      <c r="BI1601" s="69">
        <v>0</v>
      </c>
      <c r="BJ1601" s="70">
        <v>0</v>
      </c>
      <c r="BK1601" s="71">
        <v>0</v>
      </c>
      <c r="BL1601" s="71">
        <v>0</v>
      </c>
      <c r="BM1601" s="71">
        <v>0</v>
      </c>
      <c r="BN1601" s="72">
        <v>0</v>
      </c>
      <c r="BO1601" s="151" t="e">
        <f t="shared" si="99"/>
        <v>#DIV/0!</v>
      </c>
      <c r="BP1601" s="151" t="e">
        <f t="shared" si="100"/>
        <v>#DIV/0!</v>
      </c>
      <c r="BQ1601" s="71">
        <v>0</v>
      </c>
      <c r="BR1601" s="71">
        <v>0</v>
      </c>
      <c r="BS1601" s="71">
        <v>0</v>
      </c>
      <c r="BT1601" s="72">
        <v>0</v>
      </c>
      <c r="BU1601" s="151" t="e">
        <f t="shared" si="101"/>
        <v>#DIV/0!</v>
      </c>
      <c r="BV1601" s="151" t="e">
        <f t="shared" si="102"/>
        <v>#DIV/0!</v>
      </c>
    </row>
    <row r="1602" ht="30" customHeight="1" spans="1:74">
      <c r="A1602" s="55" t="s">
        <v>165</v>
      </c>
      <c r="B1602" s="56" t="s">
        <v>2247</v>
      </c>
      <c r="C1602" s="57" t="s">
        <v>2343</v>
      </c>
      <c r="D1602" s="91" t="s">
        <v>2592</v>
      </c>
      <c r="E1602" s="91" t="s">
        <v>2593</v>
      </c>
      <c r="F1602" s="91" t="str">
        <f>VLOOKUP(E1602,[1]库存!$B$1:$C$65536,2,FALSE)</f>
        <v>NIO Pegasus SAB LH A状态</v>
      </c>
      <c r="G1602" s="91" t="s">
        <v>2594</v>
      </c>
      <c r="H1602" s="91" t="s">
        <v>2595</v>
      </c>
      <c r="I1602" s="91" t="s">
        <v>2596</v>
      </c>
      <c r="J1602" s="63"/>
      <c r="K1602" s="61"/>
      <c r="L1602" s="62">
        <v>0</v>
      </c>
      <c r="M1602" s="63">
        <v>1200</v>
      </c>
      <c r="N1602" s="64">
        <v>12</v>
      </c>
      <c r="O1602" s="62">
        <v>2</v>
      </c>
      <c r="P1602" s="65">
        <f t="shared" si="98"/>
        <v>0</v>
      </c>
      <c r="Q1602" s="66"/>
      <c r="R1602" s="66"/>
      <c r="S1602" s="66"/>
      <c r="T1602" s="66"/>
      <c r="U1602" s="66"/>
      <c r="V1602" s="66"/>
      <c r="W1602" s="66"/>
      <c r="X1602" s="66"/>
      <c r="Y1602" s="66"/>
      <c r="Z1602" s="66"/>
      <c r="AA1602" s="66"/>
      <c r="AB1602" s="66"/>
      <c r="AC1602" s="66"/>
      <c r="AD1602" s="66"/>
      <c r="AE1602" s="66"/>
      <c r="AF1602" s="66"/>
      <c r="AG1602" s="66"/>
      <c r="AH1602" s="66"/>
      <c r="AI1602" s="66"/>
      <c r="AJ1602" s="66"/>
      <c r="AK1602" s="66"/>
      <c r="AL1602" s="66"/>
      <c r="AM1602" s="66"/>
      <c r="AN1602" s="66"/>
      <c r="AO1602" s="66"/>
      <c r="AP1602" s="66"/>
      <c r="AQ1602" s="66"/>
      <c r="AR1602" s="66"/>
      <c r="AS1602" s="66"/>
      <c r="AT1602" s="66"/>
      <c r="AU1602" s="66"/>
      <c r="AV1602" s="66"/>
      <c r="AW1602" s="66"/>
      <c r="AX1602" s="66"/>
      <c r="AY1602" s="66"/>
      <c r="AZ1602" s="66"/>
      <c r="BA1602" s="66"/>
      <c r="BB1602" s="66"/>
      <c r="BC1602" s="66"/>
      <c r="BD1602" s="66"/>
      <c r="BE1602" s="67"/>
      <c r="BF1602" s="67"/>
      <c r="BG1602" s="68"/>
      <c r="BI1602" s="69">
        <v>0</v>
      </c>
      <c r="BJ1602" s="70">
        <v>0</v>
      </c>
      <c r="BK1602" s="71">
        <v>0</v>
      </c>
      <c r="BL1602" s="71">
        <v>0</v>
      </c>
      <c r="BM1602" s="71">
        <v>0</v>
      </c>
      <c r="BN1602" s="72">
        <v>0</v>
      </c>
      <c r="BO1602" s="151" t="e">
        <f t="shared" si="99"/>
        <v>#DIV/0!</v>
      </c>
      <c r="BP1602" s="151" t="e">
        <f t="shared" si="100"/>
        <v>#DIV/0!</v>
      </c>
      <c r="BQ1602" s="71">
        <v>0</v>
      </c>
      <c r="BR1602" s="71">
        <v>0</v>
      </c>
      <c r="BS1602" s="71">
        <v>0</v>
      </c>
      <c r="BT1602" s="72">
        <v>0</v>
      </c>
      <c r="BU1602" s="151" t="e">
        <f t="shared" si="101"/>
        <v>#DIV/0!</v>
      </c>
      <c r="BV1602" s="151" t="e">
        <f t="shared" si="102"/>
        <v>#DIV/0!</v>
      </c>
    </row>
    <row r="1603" ht="30" customHeight="1" spans="1:74">
      <c r="A1603" s="55">
        <v>0</v>
      </c>
      <c r="B1603" s="56">
        <v>0</v>
      </c>
      <c r="C1603" s="57">
        <v>0</v>
      </c>
      <c r="D1603" s="92"/>
      <c r="E1603" s="92"/>
      <c r="F1603" s="91" t="e">
        <f>VLOOKUP(E1603,[1]库存!$B$1:$C$65536,2,FALSE)</f>
        <v>#N/A</v>
      </c>
      <c r="G1603" s="91" t="e">
        <v>#N/A</v>
      </c>
      <c r="H1603" s="92"/>
      <c r="I1603" s="92"/>
      <c r="J1603" s="87"/>
      <c r="K1603" s="61"/>
      <c r="L1603" s="62">
        <v>0</v>
      </c>
      <c r="M1603" s="63">
        <v>0</v>
      </c>
      <c r="N1603" s="64">
        <v>0</v>
      </c>
      <c r="O1603" s="62">
        <v>0</v>
      </c>
      <c r="P1603" s="65">
        <f t="shared" si="98"/>
        <v>0</v>
      </c>
      <c r="Q1603" s="66"/>
      <c r="R1603" s="66"/>
      <c r="S1603" s="66"/>
      <c r="T1603" s="66"/>
      <c r="U1603" s="66"/>
      <c r="V1603" s="66"/>
      <c r="W1603" s="66"/>
      <c r="X1603" s="66"/>
      <c r="Y1603" s="66"/>
      <c r="Z1603" s="66"/>
      <c r="AA1603" s="66"/>
      <c r="AB1603" s="66"/>
      <c r="AC1603" s="66"/>
      <c r="AD1603" s="66"/>
      <c r="AE1603" s="66"/>
      <c r="AF1603" s="66"/>
      <c r="AG1603" s="66"/>
      <c r="AH1603" s="66"/>
      <c r="AI1603" s="66"/>
      <c r="AJ1603" s="66"/>
      <c r="AK1603" s="66"/>
      <c r="AL1603" s="66"/>
      <c r="AM1603" s="66"/>
      <c r="AN1603" s="66"/>
      <c r="AO1603" s="66"/>
      <c r="AP1603" s="66"/>
      <c r="AQ1603" s="66"/>
      <c r="AR1603" s="66"/>
      <c r="AS1603" s="66"/>
      <c r="AT1603" s="66"/>
      <c r="AU1603" s="66"/>
      <c r="AV1603" s="66"/>
      <c r="AW1603" s="66"/>
      <c r="AX1603" s="66"/>
      <c r="AY1603" s="66"/>
      <c r="AZ1603" s="66"/>
      <c r="BA1603" s="66"/>
      <c r="BB1603" s="66"/>
      <c r="BC1603" s="66"/>
      <c r="BD1603" s="66"/>
      <c r="BE1603" s="67"/>
      <c r="BF1603" s="67"/>
      <c r="BG1603" s="68"/>
      <c r="BI1603" s="69">
        <v>0</v>
      </c>
      <c r="BJ1603" s="70">
        <v>0</v>
      </c>
      <c r="BK1603" s="71">
        <v>0</v>
      </c>
      <c r="BL1603" s="71">
        <v>0</v>
      </c>
      <c r="BM1603" s="71">
        <v>0</v>
      </c>
      <c r="BN1603" s="72">
        <v>0</v>
      </c>
      <c r="BO1603" s="151" t="e">
        <f t="shared" si="99"/>
        <v>#DIV/0!</v>
      </c>
      <c r="BP1603" s="151" t="e">
        <f t="shared" si="100"/>
        <v>#DIV/0!</v>
      </c>
      <c r="BQ1603" s="71">
        <v>0</v>
      </c>
      <c r="BR1603" s="71">
        <v>0</v>
      </c>
      <c r="BS1603" s="71">
        <v>0</v>
      </c>
      <c r="BT1603" s="72">
        <v>0</v>
      </c>
      <c r="BU1603" s="151" t="e">
        <f t="shared" si="101"/>
        <v>#DIV/0!</v>
      </c>
      <c r="BV1603" s="151" t="e">
        <f t="shared" si="102"/>
        <v>#DIV/0!</v>
      </c>
    </row>
    <row r="1604" ht="30" customHeight="1" spans="1:74">
      <c r="A1604" s="55" t="s">
        <v>165</v>
      </c>
      <c r="B1604" s="56" t="s">
        <v>2247</v>
      </c>
      <c r="C1604" s="57" t="s">
        <v>2343</v>
      </c>
      <c r="D1604" s="91" t="s">
        <v>2592</v>
      </c>
      <c r="E1604" s="91" t="s">
        <v>2597</v>
      </c>
      <c r="F1604" s="91" t="str">
        <f>VLOOKUP(E1604,[1]库存!$B$1:$C$65536,2,FALSE)</f>
        <v>NIO Pegasus SAB RH A状态</v>
      </c>
      <c r="G1604" s="91" t="s">
        <v>2598</v>
      </c>
      <c r="H1604" s="91" t="s">
        <v>2599</v>
      </c>
      <c r="I1604" s="91" t="s">
        <v>2596</v>
      </c>
      <c r="J1604" s="63"/>
      <c r="K1604" s="61"/>
      <c r="L1604" s="62">
        <v>0</v>
      </c>
      <c r="M1604" s="63">
        <v>1200</v>
      </c>
      <c r="N1604" s="64">
        <v>12</v>
      </c>
      <c r="O1604" s="62">
        <v>2</v>
      </c>
      <c r="P1604" s="65">
        <f t="shared" si="98"/>
        <v>0</v>
      </c>
      <c r="Q1604" s="66"/>
      <c r="R1604" s="66"/>
      <c r="S1604" s="66"/>
      <c r="T1604" s="66"/>
      <c r="U1604" s="66"/>
      <c r="V1604" s="66"/>
      <c r="W1604" s="66"/>
      <c r="X1604" s="66"/>
      <c r="Y1604" s="66"/>
      <c r="Z1604" s="66"/>
      <c r="AA1604" s="66"/>
      <c r="AB1604" s="66"/>
      <c r="AC1604" s="66"/>
      <c r="AD1604" s="66"/>
      <c r="AE1604" s="66"/>
      <c r="AF1604" s="66"/>
      <c r="AG1604" s="66"/>
      <c r="AH1604" s="66"/>
      <c r="AI1604" s="66"/>
      <c r="AJ1604" s="66"/>
      <c r="AK1604" s="66"/>
      <c r="AL1604" s="66"/>
      <c r="AM1604" s="66"/>
      <c r="AN1604" s="66"/>
      <c r="AO1604" s="66"/>
      <c r="AP1604" s="66"/>
      <c r="AQ1604" s="66"/>
      <c r="AR1604" s="66"/>
      <c r="AS1604" s="66"/>
      <c r="AT1604" s="66"/>
      <c r="AU1604" s="66"/>
      <c r="AV1604" s="66"/>
      <c r="AW1604" s="66"/>
      <c r="AX1604" s="66"/>
      <c r="AY1604" s="66"/>
      <c r="AZ1604" s="66"/>
      <c r="BA1604" s="66"/>
      <c r="BB1604" s="66"/>
      <c r="BC1604" s="66"/>
      <c r="BD1604" s="66"/>
      <c r="BE1604" s="67"/>
      <c r="BF1604" s="67"/>
      <c r="BG1604" s="68"/>
      <c r="BI1604" s="69">
        <v>0</v>
      </c>
      <c r="BJ1604" s="70">
        <v>0</v>
      </c>
      <c r="BK1604" s="71">
        <v>0</v>
      </c>
      <c r="BL1604" s="71">
        <v>0</v>
      </c>
      <c r="BM1604" s="71">
        <v>0</v>
      </c>
      <c r="BN1604" s="72">
        <v>0</v>
      </c>
      <c r="BO1604" s="151" t="e">
        <f t="shared" si="99"/>
        <v>#DIV/0!</v>
      </c>
      <c r="BP1604" s="151" t="e">
        <f t="shared" si="100"/>
        <v>#DIV/0!</v>
      </c>
      <c r="BQ1604" s="71">
        <v>0</v>
      </c>
      <c r="BR1604" s="71">
        <v>0</v>
      </c>
      <c r="BS1604" s="71">
        <v>0</v>
      </c>
      <c r="BT1604" s="72">
        <v>0</v>
      </c>
      <c r="BU1604" s="151" t="e">
        <f t="shared" si="101"/>
        <v>#DIV/0!</v>
      </c>
      <c r="BV1604" s="151" t="e">
        <f t="shared" si="102"/>
        <v>#DIV/0!</v>
      </c>
    </row>
    <row r="1605" ht="30" customHeight="1" spans="1:74">
      <c r="A1605" s="55">
        <v>0</v>
      </c>
      <c r="B1605" s="56">
        <v>0</v>
      </c>
      <c r="C1605" s="57">
        <v>0</v>
      </c>
      <c r="D1605" s="92"/>
      <c r="E1605" s="92"/>
      <c r="F1605" s="91" t="e">
        <f>VLOOKUP(E1605,[1]库存!$B$1:$C$65536,2,FALSE)</f>
        <v>#N/A</v>
      </c>
      <c r="G1605" s="91" t="e">
        <v>#N/A</v>
      </c>
      <c r="H1605" s="92"/>
      <c r="I1605" s="92"/>
      <c r="J1605" s="87"/>
      <c r="K1605" s="61"/>
      <c r="L1605" s="62">
        <v>0</v>
      </c>
      <c r="M1605" s="63">
        <v>0</v>
      </c>
      <c r="N1605" s="64">
        <v>0</v>
      </c>
      <c r="O1605" s="62">
        <v>0</v>
      </c>
      <c r="P1605" s="65">
        <f t="shared" si="98"/>
        <v>0</v>
      </c>
      <c r="R1605" s="66"/>
      <c r="T1605" s="66"/>
      <c r="V1605" s="66"/>
      <c r="X1605" s="66"/>
      <c r="Z1605" s="66"/>
      <c r="AB1605" s="66"/>
      <c r="AD1605" s="66"/>
      <c r="AF1605" s="66"/>
      <c r="AH1605" s="66"/>
      <c r="AJ1605" s="66"/>
      <c r="AL1605" s="66"/>
      <c r="AN1605" s="66"/>
      <c r="AP1605" s="66"/>
      <c r="AR1605" s="66"/>
      <c r="AT1605" s="66"/>
      <c r="AV1605" s="66"/>
      <c r="AX1605" s="66"/>
      <c r="AZ1605" s="66"/>
      <c r="BB1605" s="66"/>
      <c r="BD1605" s="66"/>
      <c r="BF1605" s="67"/>
      <c r="BG1605" s="68"/>
      <c r="BI1605" s="69">
        <v>0</v>
      </c>
      <c r="BJ1605" s="70">
        <v>0</v>
      </c>
      <c r="BK1605" s="71">
        <v>0</v>
      </c>
      <c r="BL1605" s="71">
        <v>0</v>
      </c>
      <c r="BM1605" s="71">
        <v>0</v>
      </c>
      <c r="BN1605" s="72">
        <v>0</v>
      </c>
      <c r="BO1605" s="151" t="e">
        <f t="shared" si="99"/>
        <v>#DIV/0!</v>
      </c>
      <c r="BP1605" s="151" t="e">
        <f t="shared" si="100"/>
        <v>#DIV/0!</v>
      </c>
      <c r="BQ1605" s="71">
        <v>0</v>
      </c>
      <c r="BR1605" s="71">
        <v>0</v>
      </c>
      <c r="BS1605" s="71">
        <v>0</v>
      </c>
      <c r="BT1605" s="72">
        <v>0</v>
      </c>
      <c r="BU1605" s="151" t="e">
        <f t="shared" si="101"/>
        <v>#DIV/0!</v>
      </c>
      <c r="BV1605" s="151" t="e">
        <f t="shared" si="102"/>
        <v>#DIV/0!</v>
      </c>
    </row>
    <row r="1606" ht="30" customHeight="1" spans="1:74">
      <c r="A1606" s="55" t="s">
        <v>165</v>
      </c>
      <c r="B1606" s="56" t="s">
        <v>2247</v>
      </c>
      <c r="C1606" s="57" t="s">
        <v>2343</v>
      </c>
      <c r="D1606" s="91" t="s">
        <v>2592</v>
      </c>
      <c r="E1606" s="91" t="s">
        <v>2600</v>
      </c>
      <c r="F1606" s="91" t="str">
        <f>VLOOKUP(E1606,[1]库存!$B$1:$C$65536,2,FALSE)</f>
        <v>VW 316/8 FSAB LH A状态</v>
      </c>
      <c r="G1606" s="91" t="s">
        <v>2601</v>
      </c>
      <c r="H1606" s="91" t="s">
        <v>2602</v>
      </c>
      <c r="I1606" s="91" t="s">
        <v>2603</v>
      </c>
      <c r="J1606" s="63"/>
      <c r="K1606" s="61"/>
      <c r="L1606" s="62">
        <v>0</v>
      </c>
      <c r="M1606" s="63">
        <v>1050</v>
      </c>
      <c r="N1606" s="64">
        <v>11</v>
      </c>
      <c r="O1606" s="62">
        <v>2</v>
      </c>
      <c r="P1606" s="65">
        <f t="shared" ref="P1606:P1669" si="103">SUM(AG1606:AJ1606)</f>
        <v>0</v>
      </c>
      <c r="Q1606" s="66"/>
      <c r="R1606" s="66"/>
      <c r="S1606" s="66"/>
      <c r="T1606" s="66"/>
      <c r="U1606" s="66"/>
      <c r="V1606" s="66"/>
      <c r="W1606" s="66"/>
      <c r="X1606" s="66"/>
      <c r="Y1606" s="66"/>
      <c r="Z1606" s="66"/>
      <c r="AA1606" s="66"/>
      <c r="AB1606" s="66"/>
      <c r="AC1606" s="66"/>
      <c r="AD1606" s="66"/>
      <c r="AE1606" s="66"/>
      <c r="AF1606" s="66"/>
      <c r="AG1606" s="66"/>
      <c r="AH1606" s="66"/>
      <c r="AI1606" s="66"/>
      <c r="AJ1606" s="66"/>
      <c r="AK1606" s="66"/>
      <c r="AL1606" s="66"/>
      <c r="AM1606" s="66"/>
      <c r="AN1606" s="66"/>
      <c r="AO1606" s="66"/>
      <c r="AP1606" s="66"/>
      <c r="AQ1606" s="66"/>
      <c r="AR1606" s="66"/>
      <c r="AS1606" s="66"/>
      <c r="AT1606" s="66"/>
      <c r="AU1606" s="66"/>
      <c r="AV1606" s="66"/>
      <c r="AW1606" s="66"/>
      <c r="AX1606" s="66"/>
      <c r="AY1606" s="66"/>
      <c r="AZ1606" s="66"/>
      <c r="BA1606" s="66"/>
      <c r="BB1606" s="66"/>
      <c r="BC1606" s="66"/>
      <c r="BD1606" s="66"/>
      <c r="BE1606" s="67"/>
      <c r="BF1606" s="67"/>
      <c r="BG1606" s="68"/>
      <c r="BI1606" s="69">
        <v>0</v>
      </c>
      <c r="BJ1606" s="70">
        <v>0</v>
      </c>
      <c r="BK1606" s="71">
        <v>0</v>
      </c>
      <c r="BL1606" s="71">
        <v>0</v>
      </c>
      <c r="BM1606" s="71">
        <v>0</v>
      </c>
      <c r="BN1606" s="72">
        <v>0</v>
      </c>
      <c r="BO1606" s="151" t="e">
        <f t="shared" si="99"/>
        <v>#DIV/0!</v>
      </c>
      <c r="BP1606" s="151" t="e">
        <f t="shared" si="100"/>
        <v>#DIV/0!</v>
      </c>
      <c r="BQ1606" s="71">
        <v>0</v>
      </c>
      <c r="BR1606" s="71">
        <v>0</v>
      </c>
      <c r="BS1606" s="71">
        <v>0</v>
      </c>
      <c r="BT1606" s="72">
        <v>0</v>
      </c>
      <c r="BU1606" s="151" t="e">
        <f t="shared" si="101"/>
        <v>#DIV/0!</v>
      </c>
      <c r="BV1606" s="151" t="e">
        <f t="shared" si="102"/>
        <v>#DIV/0!</v>
      </c>
    </row>
    <row r="1607" ht="30" customHeight="1" spans="1:74">
      <c r="A1607" s="55">
        <v>0</v>
      </c>
      <c r="B1607" s="56">
        <v>0</v>
      </c>
      <c r="C1607" s="57">
        <v>0</v>
      </c>
      <c r="D1607" s="92"/>
      <c r="E1607" s="92"/>
      <c r="F1607" s="91" t="e">
        <f>VLOOKUP(E1607,[1]库存!$B$1:$C$65536,2,FALSE)</f>
        <v>#N/A</v>
      </c>
      <c r="G1607" s="91" t="e">
        <v>#N/A</v>
      </c>
      <c r="H1607" s="92"/>
      <c r="I1607" s="92"/>
      <c r="J1607" s="87"/>
      <c r="K1607" s="61"/>
      <c r="L1607" s="62">
        <v>0</v>
      </c>
      <c r="M1607" s="63">
        <v>0</v>
      </c>
      <c r="N1607" s="64">
        <v>0</v>
      </c>
      <c r="O1607" s="62">
        <v>0</v>
      </c>
      <c r="P1607" s="65">
        <f t="shared" si="103"/>
        <v>0</v>
      </c>
      <c r="Q1607" s="66"/>
      <c r="R1607" s="66"/>
      <c r="S1607" s="66"/>
      <c r="T1607" s="66"/>
      <c r="U1607" s="66"/>
      <c r="V1607" s="66"/>
      <c r="W1607" s="66"/>
      <c r="X1607" s="66"/>
      <c r="Y1607" s="66"/>
      <c r="Z1607" s="66"/>
      <c r="AA1607" s="66"/>
      <c r="AB1607" s="66"/>
      <c r="AC1607" s="66"/>
      <c r="AD1607" s="66"/>
      <c r="AE1607" s="66"/>
      <c r="AF1607" s="66"/>
      <c r="AG1607" s="66"/>
      <c r="AH1607" s="66"/>
      <c r="AI1607" s="66"/>
      <c r="AJ1607" s="66"/>
      <c r="AK1607" s="66"/>
      <c r="AL1607" s="66"/>
      <c r="AM1607" s="66"/>
      <c r="AN1607" s="66"/>
      <c r="AO1607" s="66"/>
      <c r="AP1607" s="66"/>
      <c r="AQ1607" s="66"/>
      <c r="AR1607" s="66"/>
      <c r="AS1607" s="66"/>
      <c r="AT1607" s="66"/>
      <c r="AU1607" s="66"/>
      <c r="AV1607" s="66"/>
      <c r="AW1607" s="66"/>
      <c r="AX1607" s="66"/>
      <c r="AY1607" s="66"/>
      <c r="AZ1607" s="66"/>
      <c r="BA1607" s="66"/>
      <c r="BB1607" s="66"/>
      <c r="BC1607" s="66"/>
      <c r="BD1607" s="66"/>
      <c r="BE1607" s="67"/>
      <c r="BF1607" s="67"/>
      <c r="BG1607" s="68"/>
      <c r="BI1607" s="69">
        <v>0</v>
      </c>
      <c r="BJ1607" s="70">
        <v>0</v>
      </c>
      <c r="BK1607" s="71">
        <v>0</v>
      </c>
      <c r="BL1607" s="71">
        <v>0</v>
      </c>
      <c r="BM1607" s="71">
        <v>0</v>
      </c>
      <c r="BN1607" s="72">
        <v>0</v>
      </c>
      <c r="BO1607" s="151" t="e">
        <f t="shared" si="99"/>
        <v>#DIV/0!</v>
      </c>
      <c r="BP1607" s="151" t="e">
        <f t="shared" si="100"/>
        <v>#DIV/0!</v>
      </c>
      <c r="BQ1607" s="71">
        <v>0</v>
      </c>
      <c r="BR1607" s="71">
        <v>0</v>
      </c>
      <c r="BS1607" s="71">
        <v>0</v>
      </c>
      <c r="BT1607" s="72">
        <v>0</v>
      </c>
      <c r="BU1607" s="151" t="e">
        <f t="shared" si="101"/>
        <v>#DIV/0!</v>
      </c>
      <c r="BV1607" s="151" t="e">
        <f t="shared" si="102"/>
        <v>#DIV/0!</v>
      </c>
    </row>
    <row r="1608" ht="30" customHeight="1" spans="1:74">
      <c r="A1608" s="55" t="s">
        <v>165</v>
      </c>
      <c r="B1608" s="56" t="s">
        <v>2247</v>
      </c>
      <c r="C1608" s="57" t="s">
        <v>2343</v>
      </c>
      <c r="D1608" s="91" t="s">
        <v>2592</v>
      </c>
      <c r="E1608" s="91" t="s">
        <v>2604</v>
      </c>
      <c r="F1608" s="91" t="str">
        <f>VLOOKUP(E1608,[1]库存!$B$1:$C$65536,2,FALSE)</f>
        <v>VW 316/8 FSAB RH A状态</v>
      </c>
      <c r="G1608" s="91" t="s">
        <v>2605</v>
      </c>
      <c r="H1608" s="91" t="s">
        <v>2606</v>
      </c>
      <c r="I1608" s="91" t="s">
        <v>2603</v>
      </c>
      <c r="J1608" s="63"/>
      <c r="K1608" s="61"/>
      <c r="L1608" s="62">
        <v>0</v>
      </c>
      <c r="M1608" s="63">
        <v>1050</v>
      </c>
      <c r="N1608" s="64">
        <v>11</v>
      </c>
      <c r="O1608" s="62">
        <v>2</v>
      </c>
      <c r="P1608" s="65">
        <f t="shared" si="103"/>
        <v>0</v>
      </c>
      <c r="Q1608" s="66"/>
      <c r="R1608" s="66"/>
      <c r="S1608" s="66"/>
      <c r="T1608" s="66"/>
      <c r="U1608" s="66"/>
      <c r="V1608" s="66"/>
      <c r="W1608" s="66"/>
      <c r="X1608" s="66"/>
      <c r="Y1608" s="66"/>
      <c r="Z1608" s="66"/>
      <c r="AA1608" s="66"/>
      <c r="AB1608" s="66"/>
      <c r="AC1608" s="66"/>
      <c r="AD1608" s="66"/>
      <c r="AE1608" s="66"/>
      <c r="AF1608" s="66"/>
      <c r="AG1608" s="66"/>
      <c r="AH1608" s="66"/>
      <c r="AI1608" s="66"/>
      <c r="AJ1608" s="66"/>
      <c r="AK1608" s="66"/>
      <c r="AL1608" s="66"/>
      <c r="AM1608" s="66"/>
      <c r="AN1608" s="66"/>
      <c r="AO1608" s="66"/>
      <c r="AP1608" s="66"/>
      <c r="AQ1608" s="66"/>
      <c r="AR1608" s="66"/>
      <c r="AS1608" s="66"/>
      <c r="AT1608" s="66"/>
      <c r="AU1608" s="66"/>
      <c r="AV1608" s="66"/>
      <c r="AW1608" s="66"/>
      <c r="AX1608" s="66"/>
      <c r="AY1608" s="66"/>
      <c r="AZ1608" s="66"/>
      <c r="BA1608" s="66"/>
      <c r="BB1608" s="66"/>
      <c r="BC1608" s="66"/>
      <c r="BD1608" s="66"/>
      <c r="BE1608" s="67"/>
      <c r="BF1608" s="67"/>
      <c r="BG1608" s="68"/>
      <c r="BI1608" s="69">
        <v>0</v>
      </c>
      <c r="BJ1608" s="70">
        <v>0</v>
      </c>
      <c r="BK1608" s="71">
        <v>0</v>
      </c>
      <c r="BL1608" s="71">
        <v>0</v>
      </c>
      <c r="BM1608" s="71">
        <v>0</v>
      </c>
      <c r="BN1608" s="72">
        <v>0</v>
      </c>
      <c r="BO1608" s="151" t="e">
        <f t="shared" si="99"/>
        <v>#DIV/0!</v>
      </c>
      <c r="BP1608" s="151" t="e">
        <f t="shared" si="100"/>
        <v>#DIV/0!</v>
      </c>
      <c r="BQ1608" s="71">
        <v>0</v>
      </c>
      <c r="BR1608" s="71">
        <v>0</v>
      </c>
      <c r="BS1608" s="71">
        <v>0</v>
      </c>
      <c r="BT1608" s="72">
        <v>0</v>
      </c>
      <c r="BU1608" s="151" t="e">
        <f t="shared" si="101"/>
        <v>#DIV/0!</v>
      </c>
      <c r="BV1608" s="151" t="e">
        <f t="shared" si="102"/>
        <v>#DIV/0!</v>
      </c>
    </row>
    <row r="1609" ht="30" customHeight="1" spans="1:74">
      <c r="A1609" s="55">
        <v>0</v>
      </c>
      <c r="B1609" s="56">
        <v>0</v>
      </c>
      <c r="C1609" s="57">
        <v>0</v>
      </c>
      <c r="D1609" s="92"/>
      <c r="E1609" s="92"/>
      <c r="F1609" s="91" t="e">
        <f>VLOOKUP(E1609,[1]库存!$B$1:$C$65536,2,FALSE)</f>
        <v>#N/A</v>
      </c>
      <c r="G1609" s="91" t="e">
        <v>#N/A</v>
      </c>
      <c r="H1609" s="92"/>
      <c r="I1609" s="92"/>
      <c r="J1609" s="87"/>
      <c r="K1609" s="61"/>
      <c r="L1609" s="62">
        <v>0</v>
      </c>
      <c r="M1609" s="63">
        <v>0</v>
      </c>
      <c r="N1609" s="64">
        <v>0</v>
      </c>
      <c r="O1609" s="62">
        <v>0</v>
      </c>
      <c r="P1609" s="65">
        <f t="shared" si="103"/>
        <v>0</v>
      </c>
      <c r="R1609" s="66"/>
      <c r="T1609" s="66"/>
      <c r="V1609" s="66"/>
      <c r="X1609" s="66"/>
      <c r="Z1609" s="66"/>
      <c r="AB1609" s="66"/>
      <c r="AD1609" s="66"/>
      <c r="AF1609" s="66"/>
      <c r="AH1609" s="66"/>
      <c r="AJ1609" s="66"/>
      <c r="AL1609" s="66"/>
      <c r="AN1609" s="66"/>
      <c r="AP1609" s="66"/>
      <c r="AR1609" s="66"/>
      <c r="AT1609" s="66"/>
      <c r="AV1609" s="66"/>
      <c r="AX1609" s="66"/>
      <c r="AZ1609" s="66"/>
      <c r="BB1609" s="66"/>
      <c r="BD1609" s="66"/>
      <c r="BF1609" s="67"/>
      <c r="BG1609" s="68"/>
      <c r="BI1609" s="69">
        <v>0</v>
      </c>
      <c r="BJ1609" s="70">
        <v>0</v>
      </c>
      <c r="BK1609" s="71">
        <v>0</v>
      </c>
      <c r="BL1609" s="71">
        <v>0</v>
      </c>
      <c r="BM1609" s="71">
        <v>0</v>
      </c>
      <c r="BN1609" s="72">
        <v>0</v>
      </c>
      <c r="BO1609" s="151" t="e">
        <f t="shared" si="99"/>
        <v>#DIV/0!</v>
      </c>
      <c r="BP1609" s="151" t="e">
        <f t="shared" si="100"/>
        <v>#DIV/0!</v>
      </c>
      <c r="BQ1609" s="71">
        <v>0</v>
      </c>
      <c r="BR1609" s="71">
        <v>0</v>
      </c>
      <c r="BS1609" s="71">
        <v>0</v>
      </c>
      <c r="BT1609" s="72">
        <v>0</v>
      </c>
      <c r="BU1609" s="151" t="e">
        <f t="shared" si="101"/>
        <v>#DIV/0!</v>
      </c>
      <c r="BV1609" s="151" t="e">
        <f t="shared" si="102"/>
        <v>#DIV/0!</v>
      </c>
    </row>
    <row r="1610" ht="30" customHeight="1" spans="1:74">
      <c r="A1610" s="55" t="s">
        <v>165</v>
      </c>
      <c r="B1610" s="56" t="s">
        <v>2247</v>
      </c>
      <c r="C1610" s="57" t="s">
        <v>2343</v>
      </c>
      <c r="D1610" s="59" t="s">
        <v>2592</v>
      </c>
      <c r="E1610" s="59" t="s">
        <v>2607</v>
      </c>
      <c r="F1610" s="59" t="str">
        <f>VLOOKUP(E1610,[1]库存!$B$1:$C$65536,2,FALSE)</f>
        <v>Changan E11 SAB LH D状态</v>
      </c>
      <c r="G1610" s="59" t="s">
        <v>2608</v>
      </c>
      <c r="H1610" s="59" t="s">
        <v>2609</v>
      </c>
      <c r="I1610" s="59" t="s">
        <v>2610</v>
      </c>
      <c r="J1610" s="63"/>
      <c r="K1610" s="61"/>
      <c r="L1610" s="62">
        <v>0</v>
      </c>
      <c r="M1610" s="63">
        <v>1050</v>
      </c>
      <c r="N1610" s="64">
        <v>12</v>
      </c>
      <c r="O1610" s="62">
        <v>2</v>
      </c>
      <c r="P1610" s="65">
        <f t="shared" si="103"/>
        <v>0</v>
      </c>
      <c r="Q1610" s="66"/>
      <c r="R1610" s="66"/>
      <c r="S1610" s="66"/>
      <c r="T1610" s="66"/>
      <c r="U1610" s="66"/>
      <c r="V1610" s="66"/>
      <c r="W1610" s="66"/>
      <c r="X1610" s="66"/>
      <c r="Y1610" s="66"/>
      <c r="Z1610" s="66"/>
      <c r="AA1610" s="66"/>
      <c r="AB1610" s="66"/>
      <c r="AC1610" s="66"/>
      <c r="AD1610" s="66"/>
      <c r="AE1610" s="66"/>
      <c r="AF1610" s="66"/>
      <c r="AG1610" s="66"/>
      <c r="AH1610" s="66"/>
      <c r="AI1610" s="66"/>
      <c r="AJ1610" s="66"/>
      <c r="AK1610" s="66"/>
      <c r="AL1610" s="66"/>
      <c r="AM1610" s="66"/>
      <c r="AN1610" s="66"/>
      <c r="AO1610" s="66"/>
      <c r="AP1610" s="66"/>
      <c r="AQ1610" s="66"/>
      <c r="AR1610" s="66"/>
      <c r="AS1610" s="66"/>
      <c r="AT1610" s="66"/>
      <c r="AU1610" s="66"/>
      <c r="AV1610" s="66"/>
      <c r="AW1610" s="66"/>
      <c r="AX1610" s="66"/>
      <c r="AY1610" s="66"/>
      <c r="AZ1610" s="66"/>
      <c r="BA1610" s="66"/>
      <c r="BB1610" s="66"/>
      <c r="BC1610" s="66"/>
      <c r="BD1610" s="66"/>
      <c r="BE1610" s="67"/>
      <c r="BF1610" s="67"/>
      <c r="BG1610" s="68"/>
      <c r="BI1610" s="69">
        <v>0</v>
      </c>
      <c r="BJ1610" s="70">
        <v>0</v>
      </c>
      <c r="BK1610" s="71">
        <v>0</v>
      </c>
      <c r="BL1610" s="71">
        <v>0</v>
      </c>
      <c r="BM1610" s="71">
        <v>0</v>
      </c>
      <c r="BN1610" s="72">
        <v>0</v>
      </c>
      <c r="BO1610" s="151" t="e">
        <f t="shared" si="99"/>
        <v>#DIV/0!</v>
      </c>
      <c r="BP1610" s="151" t="e">
        <f t="shared" si="100"/>
        <v>#DIV/0!</v>
      </c>
      <c r="BQ1610" s="71">
        <v>0</v>
      </c>
      <c r="BR1610" s="71">
        <v>0</v>
      </c>
      <c r="BS1610" s="71">
        <v>0</v>
      </c>
      <c r="BT1610" s="72">
        <v>0</v>
      </c>
      <c r="BU1610" s="151" t="e">
        <f t="shared" si="101"/>
        <v>#DIV/0!</v>
      </c>
      <c r="BV1610" s="151" t="e">
        <f t="shared" si="102"/>
        <v>#DIV/0!</v>
      </c>
    </row>
    <row r="1611" ht="30" customHeight="1" spans="1:74">
      <c r="A1611" s="55">
        <v>0</v>
      </c>
      <c r="B1611" s="56">
        <v>0</v>
      </c>
      <c r="C1611" s="57">
        <v>0</v>
      </c>
      <c r="D1611" s="74"/>
      <c r="E1611" s="74"/>
      <c r="F1611" s="59" t="e">
        <f>VLOOKUP(E1611,[1]库存!$B$1:$C$65536,2,FALSE)</f>
        <v>#N/A</v>
      </c>
      <c r="G1611" s="59" t="e">
        <v>#N/A</v>
      </c>
      <c r="H1611" s="74"/>
      <c r="I1611" s="74"/>
      <c r="J1611" s="87"/>
      <c r="K1611" s="61"/>
      <c r="L1611" s="62">
        <v>0</v>
      </c>
      <c r="M1611" s="63">
        <v>0</v>
      </c>
      <c r="N1611" s="64">
        <v>0</v>
      </c>
      <c r="O1611" s="62">
        <v>0</v>
      </c>
      <c r="P1611" s="65">
        <f t="shared" si="103"/>
        <v>0</v>
      </c>
      <c r="Q1611" s="66"/>
      <c r="R1611" s="66"/>
      <c r="S1611" s="66"/>
      <c r="T1611" s="66"/>
      <c r="U1611" s="66"/>
      <c r="V1611" s="66"/>
      <c r="W1611" s="66"/>
      <c r="X1611" s="66"/>
      <c r="Y1611" s="66"/>
      <c r="Z1611" s="66"/>
      <c r="AA1611" s="66"/>
      <c r="AB1611" s="66"/>
      <c r="AC1611" s="66"/>
      <c r="AD1611" s="66"/>
      <c r="AE1611" s="66"/>
      <c r="AF1611" s="66"/>
      <c r="AG1611" s="66"/>
      <c r="AH1611" s="66"/>
      <c r="AI1611" s="66"/>
      <c r="AJ1611" s="66"/>
      <c r="AK1611" s="66"/>
      <c r="AL1611" s="66"/>
      <c r="AM1611" s="66"/>
      <c r="AN1611" s="66"/>
      <c r="AO1611" s="66"/>
      <c r="AP1611" s="66"/>
      <c r="AQ1611" s="66"/>
      <c r="AR1611" s="66"/>
      <c r="AS1611" s="66"/>
      <c r="AT1611" s="66"/>
      <c r="AU1611" s="66"/>
      <c r="AV1611" s="66"/>
      <c r="AW1611" s="66"/>
      <c r="AX1611" s="66"/>
      <c r="AY1611" s="66"/>
      <c r="AZ1611" s="66"/>
      <c r="BA1611" s="66"/>
      <c r="BB1611" s="66"/>
      <c r="BC1611" s="66"/>
      <c r="BD1611" s="66"/>
      <c r="BE1611" s="67"/>
      <c r="BF1611" s="67"/>
      <c r="BG1611" s="68"/>
      <c r="BI1611" s="69">
        <v>0</v>
      </c>
      <c r="BJ1611" s="70">
        <v>0</v>
      </c>
      <c r="BK1611" s="71">
        <v>0</v>
      </c>
      <c r="BL1611" s="71">
        <v>0</v>
      </c>
      <c r="BM1611" s="71">
        <v>0</v>
      </c>
      <c r="BN1611" s="72">
        <v>0</v>
      </c>
      <c r="BO1611" s="151" t="e">
        <f t="shared" si="99"/>
        <v>#DIV/0!</v>
      </c>
      <c r="BP1611" s="151" t="e">
        <f t="shared" si="100"/>
        <v>#DIV/0!</v>
      </c>
      <c r="BQ1611" s="71">
        <v>0</v>
      </c>
      <c r="BR1611" s="71">
        <v>0</v>
      </c>
      <c r="BS1611" s="71">
        <v>0</v>
      </c>
      <c r="BT1611" s="72">
        <v>0</v>
      </c>
      <c r="BU1611" s="151" t="e">
        <f t="shared" si="101"/>
        <v>#DIV/0!</v>
      </c>
      <c r="BV1611" s="151" t="e">
        <f t="shared" si="102"/>
        <v>#DIV/0!</v>
      </c>
    </row>
    <row r="1612" ht="30" customHeight="1" spans="1:74">
      <c r="A1612" s="55" t="s">
        <v>165</v>
      </c>
      <c r="B1612" s="56" t="s">
        <v>2247</v>
      </c>
      <c r="C1612" s="57" t="s">
        <v>2343</v>
      </c>
      <c r="D1612" s="59" t="s">
        <v>2592</v>
      </c>
      <c r="E1612" s="59" t="s">
        <v>2611</v>
      </c>
      <c r="F1612" s="59" t="str">
        <f>VLOOKUP(E1612,[1]库存!$B$1:$C$65536,2,FALSE)</f>
        <v>Changan E11 SAB RH D状态</v>
      </c>
      <c r="G1612" s="59" t="s">
        <v>2612</v>
      </c>
      <c r="H1612" s="59" t="s">
        <v>2613</v>
      </c>
      <c r="I1612" s="59" t="s">
        <v>2610</v>
      </c>
      <c r="J1612" s="63"/>
      <c r="K1612" s="61"/>
      <c r="L1612" s="62">
        <v>0</v>
      </c>
      <c r="M1612" s="63">
        <v>1050</v>
      </c>
      <c r="N1612" s="64">
        <v>12</v>
      </c>
      <c r="O1612" s="62">
        <v>2</v>
      </c>
      <c r="P1612" s="65">
        <f t="shared" si="103"/>
        <v>0</v>
      </c>
      <c r="Q1612" s="66"/>
      <c r="R1612" s="66"/>
      <c r="S1612" s="66"/>
      <c r="T1612" s="66"/>
      <c r="U1612" s="66"/>
      <c r="V1612" s="66"/>
      <c r="W1612" s="66"/>
      <c r="X1612" s="66"/>
      <c r="Y1612" s="66"/>
      <c r="Z1612" s="66"/>
      <c r="AA1612" s="66"/>
      <c r="AB1612" s="66"/>
      <c r="AC1612" s="66"/>
      <c r="AD1612" s="66"/>
      <c r="AE1612" s="66"/>
      <c r="AF1612" s="66"/>
      <c r="AG1612" s="66"/>
      <c r="AH1612" s="66"/>
      <c r="AI1612" s="66"/>
      <c r="AJ1612" s="66"/>
      <c r="AK1612" s="66"/>
      <c r="AL1612" s="66"/>
      <c r="AM1612" s="66"/>
      <c r="AN1612" s="66"/>
      <c r="AO1612" s="66"/>
      <c r="AP1612" s="66"/>
      <c r="AQ1612" s="66"/>
      <c r="AR1612" s="66"/>
      <c r="AS1612" s="66"/>
      <c r="AT1612" s="66"/>
      <c r="AU1612" s="66"/>
      <c r="AV1612" s="66"/>
      <c r="AW1612" s="66"/>
      <c r="AX1612" s="66"/>
      <c r="AY1612" s="66"/>
      <c r="AZ1612" s="66"/>
      <c r="BA1612" s="66"/>
      <c r="BB1612" s="66"/>
      <c r="BC1612" s="66"/>
      <c r="BD1612" s="66"/>
      <c r="BE1612" s="67"/>
      <c r="BF1612" s="67"/>
      <c r="BG1612" s="68"/>
      <c r="BI1612" s="69">
        <v>0</v>
      </c>
      <c r="BJ1612" s="70">
        <v>0</v>
      </c>
      <c r="BK1612" s="71">
        <v>0</v>
      </c>
      <c r="BL1612" s="71">
        <v>0</v>
      </c>
      <c r="BM1612" s="71">
        <v>0</v>
      </c>
      <c r="BN1612" s="72">
        <v>0</v>
      </c>
      <c r="BO1612" s="151" t="e">
        <f t="shared" si="99"/>
        <v>#DIV/0!</v>
      </c>
      <c r="BP1612" s="151" t="e">
        <f t="shared" si="100"/>
        <v>#DIV/0!</v>
      </c>
      <c r="BQ1612" s="71">
        <v>0</v>
      </c>
      <c r="BR1612" s="71">
        <v>0</v>
      </c>
      <c r="BS1612" s="71">
        <v>0</v>
      </c>
      <c r="BT1612" s="72">
        <v>0</v>
      </c>
      <c r="BU1612" s="151" t="e">
        <f t="shared" si="101"/>
        <v>#DIV/0!</v>
      </c>
      <c r="BV1612" s="151" t="e">
        <f t="shared" si="102"/>
        <v>#DIV/0!</v>
      </c>
    </row>
    <row r="1613" ht="30" customHeight="1" spans="1:74">
      <c r="A1613" s="55">
        <v>0</v>
      </c>
      <c r="B1613" s="56">
        <v>0</v>
      </c>
      <c r="C1613" s="57">
        <v>0</v>
      </c>
      <c r="D1613" s="74"/>
      <c r="E1613" s="74"/>
      <c r="F1613" s="59" t="e">
        <f>VLOOKUP(E1613,[1]库存!$B$1:$C$65536,2,FALSE)</f>
        <v>#N/A</v>
      </c>
      <c r="G1613" s="59" t="e">
        <v>#N/A</v>
      </c>
      <c r="H1613" s="74"/>
      <c r="I1613" s="74"/>
      <c r="J1613" s="87"/>
      <c r="K1613" s="61"/>
      <c r="L1613" s="62">
        <v>0</v>
      </c>
      <c r="M1613" s="63">
        <v>0</v>
      </c>
      <c r="N1613" s="64">
        <v>0</v>
      </c>
      <c r="O1613" s="62">
        <v>0</v>
      </c>
      <c r="P1613" s="65">
        <f t="shared" si="103"/>
        <v>0</v>
      </c>
      <c r="R1613" s="66"/>
      <c r="T1613" s="66"/>
      <c r="V1613" s="66"/>
      <c r="X1613" s="66"/>
      <c r="Z1613" s="66"/>
      <c r="AB1613" s="66"/>
      <c r="AD1613" s="66"/>
      <c r="AF1613" s="66"/>
      <c r="AH1613" s="66"/>
      <c r="AJ1613" s="66"/>
      <c r="AL1613" s="66"/>
      <c r="AN1613" s="66"/>
      <c r="AP1613" s="66"/>
      <c r="AR1613" s="66"/>
      <c r="AT1613" s="66"/>
      <c r="AV1613" s="66"/>
      <c r="AX1613" s="66"/>
      <c r="AZ1613" s="66"/>
      <c r="BB1613" s="66"/>
      <c r="BD1613" s="66"/>
      <c r="BF1613" s="67"/>
      <c r="BG1613" s="68"/>
      <c r="BI1613" s="69">
        <v>0</v>
      </c>
      <c r="BJ1613" s="70">
        <v>0</v>
      </c>
      <c r="BK1613" s="71">
        <v>0</v>
      </c>
      <c r="BL1613" s="71">
        <v>0</v>
      </c>
      <c r="BM1613" s="71">
        <v>0</v>
      </c>
      <c r="BN1613" s="72">
        <v>0</v>
      </c>
      <c r="BO1613" s="151" t="e">
        <f t="shared" si="99"/>
        <v>#DIV/0!</v>
      </c>
      <c r="BP1613" s="151" t="e">
        <f t="shared" si="100"/>
        <v>#DIV/0!</v>
      </c>
      <c r="BQ1613" s="71">
        <v>0</v>
      </c>
      <c r="BR1613" s="71">
        <v>0</v>
      </c>
      <c r="BS1613" s="71">
        <v>0</v>
      </c>
      <c r="BT1613" s="72">
        <v>0</v>
      </c>
      <c r="BU1613" s="151" t="e">
        <f t="shared" si="101"/>
        <v>#DIV/0!</v>
      </c>
      <c r="BV1613" s="151" t="e">
        <f t="shared" si="102"/>
        <v>#DIV/0!</v>
      </c>
    </row>
    <row r="1614" ht="30" customHeight="1" spans="1:74">
      <c r="A1614" s="55" t="s">
        <v>165</v>
      </c>
      <c r="B1614" s="56" t="s">
        <v>2247</v>
      </c>
      <c r="C1614" s="57" t="s">
        <v>2343</v>
      </c>
      <c r="D1614" s="59" t="s">
        <v>2592</v>
      </c>
      <c r="E1614" s="59" t="s">
        <v>2614</v>
      </c>
      <c r="F1614" s="59" t="str">
        <f>VLOOKUP(E1614,[1]库存!$B$1:$C$65536,2,FALSE)</f>
        <v>NIO ARIES SAB LH A状态</v>
      </c>
      <c r="G1614" s="59" t="s">
        <v>2615</v>
      </c>
      <c r="H1614" s="59" t="s">
        <v>2616</v>
      </c>
      <c r="I1614" s="59" t="s">
        <v>2366</v>
      </c>
      <c r="J1614" s="80" t="s">
        <v>65</v>
      </c>
      <c r="K1614" s="61"/>
      <c r="L1614" s="62">
        <v>2</v>
      </c>
      <c r="M1614" s="63">
        <v>900</v>
      </c>
      <c r="N1614" s="64">
        <v>17</v>
      </c>
      <c r="O1614" s="62">
        <v>2</v>
      </c>
      <c r="P1614" s="65">
        <f t="shared" si="103"/>
        <v>0</v>
      </c>
      <c r="Q1614" s="66"/>
      <c r="R1614" s="66"/>
      <c r="S1614" s="66"/>
      <c r="T1614" s="66"/>
      <c r="U1614" s="66"/>
      <c r="V1614" s="66"/>
      <c r="W1614" s="66"/>
      <c r="X1614" s="66"/>
      <c r="Y1614" s="66"/>
      <c r="Z1614" s="66"/>
      <c r="AA1614" s="66"/>
      <c r="AB1614" s="66"/>
      <c r="AC1614" s="66"/>
      <c r="AD1614" s="66"/>
      <c r="AE1614" s="66"/>
      <c r="AF1614" s="66"/>
      <c r="AG1614" s="66"/>
      <c r="AH1614" s="66"/>
      <c r="AI1614" s="66"/>
      <c r="AJ1614" s="66"/>
      <c r="AK1614" s="66"/>
      <c r="AL1614" s="66"/>
      <c r="AM1614" s="66"/>
      <c r="AN1614" s="66"/>
      <c r="AO1614" s="66"/>
      <c r="AP1614" s="66"/>
      <c r="AQ1614" s="66"/>
      <c r="AR1614" s="66"/>
      <c r="AS1614" s="66"/>
      <c r="AT1614" s="66"/>
      <c r="AU1614" s="66"/>
      <c r="AV1614" s="66"/>
      <c r="AW1614" s="66"/>
      <c r="AX1614" s="66"/>
      <c r="AY1614" s="66"/>
      <c r="AZ1614" s="66"/>
      <c r="BA1614" s="66"/>
      <c r="BB1614" s="66"/>
      <c r="BC1614" s="66"/>
      <c r="BD1614" s="66"/>
      <c r="BE1614" s="67"/>
      <c r="BF1614" s="67"/>
      <c r="BG1614" s="68"/>
      <c r="BI1614" s="69">
        <v>0</v>
      </c>
      <c r="BJ1614" s="70">
        <v>0</v>
      </c>
      <c r="BK1614" s="71">
        <v>0</v>
      </c>
      <c r="BL1614" s="71">
        <v>0</v>
      </c>
      <c r="BM1614" s="71">
        <v>0</v>
      </c>
      <c r="BN1614" s="72">
        <v>0</v>
      </c>
      <c r="BO1614" s="151" t="e">
        <f t="shared" si="99"/>
        <v>#DIV/0!</v>
      </c>
      <c r="BP1614" s="151" t="e">
        <f t="shared" si="100"/>
        <v>#DIV/0!</v>
      </c>
      <c r="BQ1614" s="71">
        <v>0</v>
      </c>
      <c r="BR1614" s="71">
        <v>0</v>
      </c>
      <c r="BS1614" s="71">
        <v>0</v>
      </c>
      <c r="BT1614" s="72">
        <v>0</v>
      </c>
      <c r="BU1614" s="151" t="e">
        <f t="shared" si="101"/>
        <v>#DIV/0!</v>
      </c>
      <c r="BV1614" s="151" t="e">
        <f t="shared" si="102"/>
        <v>#DIV/0!</v>
      </c>
    </row>
    <row r="1615" ht="30" customHeight="1" spans="1:74">
      <c r="A1615" s="55">
        <v>0</v>
      </c>
      <c r="B1615" s="56">
        <v>0</v>
      </c>
      <c r="C1615" s="57">
        <v>0</v>
      </c>
      <c r="D1615" s="74"/>
      <c r="E1615" s="74"/>
      <c r="F1615" s="59" t="e">
        <f>VLOOKUP(E1615,[1]库存!$B$1:$C$65536,2,FALSE)</f>
        <v>#N/A</v>
      </c>
      <c r="G1615" s="59" t="e">
        <v>#N/A</v>
      </c>
      <c r="H1615" s="74"/>
      <c r="I1615" s="74"/>
      <c r="J1615" s="81"/>
      <c r="K1615" s="61"/>
      <c r="L1615" s="62">
        <v>0</v>
      </c>
      <c r="M1615" s="63">
        <v>0</v>
      </c>
      <c r="N1615" s="64">
        <v>0</v>
      </c>
      <c r="O1615" s="62">
        <v>0</v>
      </c>
      <c r="P1615" s="65">
        <f t="shared" si="103"/>
        <v>0</v>
      </c>
      <c r="Q1615" s="66"/>
      <c r="R1615" s="66"/>
      <c r="S1615" s="66"/>
      <c r="T1615" s="66"/>
      <c r="U1615" s="66"/>
      <c r="V1615" s="66"/>
      <c r="W1615" s="66"/>
      <c r="X1615" s="66"/>
      <c r="Y1615" s="66"/>
      <c r="Z1615" s="66"/>
      <c r="AA1615" s="66"/>
      <c r="AB1615" s="66"/>
      <c r="AC1615" s="66"/>
      <c r="AD1615" s="66"/>
      <c r="AE1615" s="66"/>
      <c r="AF1615" s="66"/>
      <c r="AG1615" s="66"/>
      <c r="AH1615" s="66"/>
      <c r="AI1615" s="66"/>
      <c r="AJ1615" s="66"/>
      <c r="AK1615" s="66"/>
      <c r="AL1615" s="66"/>
      <c r="AM1615" s="66"/>
      <c r="AN1615" s="66"/>
      <c r="AO1615" s="66"/>
      <c r="AP1615" s="66"/>
      <c r="AQ1615" s="66"/>
      <c r="AR1615" s="66"/>
      <c r="AS1615" s="66"/>
      <c r="AT1615" s="66"/>
      <c r="AU1615" s="66"/>
      <c r="AV1615" s="66"/>
      <c r="AW1615" s="66"/>
      <c r="AX1615" s="66"/>
      <c r="AY1615" s="66"/>
      <c r="AZ1615" s="66"/>
      <c r="BA1615" s="66"/>
      <c r="BB1615" s="66"/>
      <c r="BC1615" s="66"/>
      <c r="BD1615" s="66"/>
      <c r="BE1615" s="67"/>
      <c r="BF1615" s="67"/>
      <c r="BG1615" s="68"/>
      <c r="BI1615" s="69">
        <v>0</v>
      </c>
      <c r="BJ1615" s="70">
        <v>0</v>
      </c>
      <c r="BK1615" s="71">
        <v>0</v>
      </c>
      <c r="BL1615" s="71">
        <v>0</v>
      </c>
      <c r="BM1615" s="71">
        <v>0</v>
      </c>
      <c r="BN1615" s="72">
        <v>0</v>
      </c>
      <c r="BO1615" s="151" t="e">
        <f t="shared" si="99"/>
        <v>#DIV/0!</v>
      </c>
      <c r="BP1615" s="151" t="e">
        <f t="shared" si="100"/>
        <v>#DIV/0!</v>
      </c>
      <c r="BQ1615" s="71">
        <v>0</v>
      </c>
      <c r="BR1615" s="71">
        <v>0</v>
      </c>
      <c r="BS1615" s="71">
        <v>0</v>
      </c>
      <c r="BT1615" s="72">
        <v>0</v>
      </c>
      <c r="BU1615" s="151" t="e">
        <f t="shared" si="101"/>
        <v>#DIV/0!</v>
      </c>
      <c r="BV1615" s="151" t="e">
        <f t="shared" si="102"/>
        <v>#DIV/0!</v>
      </c>
    </row>
    <row r="1616" ht="30" customHeight="1" spans="1:74">
      <c r="A1616" s="55" t="s">
        <v>165</v>
      </c>
      <c r="B1616" s="56" t="s">
        <v>2247</v>
      </c>
      <c r="C1616" s="57" t="s">
        <v>2343</v>
      </c>
      <c r="D1616" s="59" t="s">
        <v>2592</v>
      </c>
      <c r="E1616" s="59" t="s">
        <v>2617</v>
      </c>
      <c r="F1616" s="59" t="str">
        <f>VLOOKUP(E1616,[1]库存!$B$1:$C$65536,2,FALSE)</f>
        <v>NIO ARIES SAB RH A状态</v>
      </c>
      <c r="G1616" s="59" t="s">
        <v>2618</v>
      </c>
      <c r="H1616" s="59" t="s">
        <v>2619</v>
      </c>
      <c r="I1616" s="59" t="s">
        <v>2366</v>
      </c>
      <c r="J1616" s="80" t="s">
        <v>65</v>
      </c>
      <c r="K1616" s="61"/>
      <c r="L1616" s="62">
        <v>2</v>
      </c>
      <c r="M1616" s="63">
        <v>900</v>
      </c>
      <c r="N1616" s="64">
        <v>17</v>
      </c>
      <c r="O1616" s="62">
        <v>2</v>
      </c>
      <c r="P1616" s="65">
        <f t="shared" si="103"/>
        <v>0</v>
      </c>
      <c r="Q1616" s="66"/>
      <c r="R1616" s="66"/>
      <c r="S1616" s="66"/>
      <c r="T1616" s="66"/>
      <c r="U1616" s="66"/>
      <c r="V1616" s="66"/>
      <c r="W1616" s="66"/>
      <c r="X1616" s="66"/>
      <c r="Y1616" s="66"/>
      <c r="Z1616" s="66"/>
      <c r="AA1616" s="66"/>
      <c r="AB1616" s="66"/>
      <c r="AC1616" s="66"/>
      <c r="AD1616" s="66"/>
      <c r="AE1616" s="66"/>
      <c r="AF1616" s="66"/>
      <c r="AG1616" s="66"/>
      <c r="AH1616" s="66"/>
      <c r="AI1616" s="66"/>
      <c r="AJ1616" s="66"/>
      <c r="AK1616" s="66"/>
      <c r="AL1616" s="66"/>
      <c r="AM1616" s="66"/>
      <c r="AN1616" s="66"/>
      <c r="AO1616" s="66"/>
      <c r="AP1616" s="66"/>
      <c r="AQ1616" s="66"/>
      <c r="AR1616" s="66"/>
      <c r="AS1616" s="66"/>
      <c r="AT1616" s="66"/>
      <c r="AU1616" s="66"/>
      <c r="AV1616" s="66"/>
      <c r="AW1616" s="66"/>
      <c r="AX1616" s="66"/>
      <c r="AY1616" s="66"/>
      <c r="AZ1616" s="66"/>
      <c r="BA1616" s="66"/>
      <c r="BB1616" s="66"/>
      <c r="BC1616" s="66"/>
      <c r="BD1616" s="66"/>
      <c r="BE1616" s="67"/>
      <c r="BF1616" s="67"/>
      <c r="BG1616" s="68"/>
      <c r="BI1616" s="69">
        <v>0</v>
      </c>
      <c r="BJ1616" s="70">
        <v>0</v>
      </c>
      <c r="BK1616" s="71">
        <v>0</v>
      </c>
      <c r="BL1616" s="71">
        <v>0</v>
      </c>
      <c r="BM1616" s="71">
        <v>0</v>
      </c>
      <c r="BN1616" s="72">
        <v>0</v>
      </c>
      <c r="BO1616" s="151" t="e">
        <f t="shared" si="99"/>
        <v>#DIV/0!</v>
      </c>
      <c r="BP1616" s="151" t="e">
        <f t="shared" si="100"/>
        <v>#DIV/0!</v>
      </c>
      <c r="BQ1616" s="71">
        <v>0</v>
      </c>
      <c r="BR1616" s="71">
        <v>0</v>
      </c>
      <c r="BS1616" s="71">
        <v>0</v>
      </c>
      <c r="BT1616" s="72">
        <v>0</v>
      </c>
      <c r="BU1616" s="151" t="e">
        <f t="shared" si="101"/>
        <v>#DIV/0!</v>
      </c>
      <c r="BV1616" s="151" t="e">
        <f t="shared" si="102"/>
        <v>#DIV/0!</v>
      </c>
    </row>
    <row r="1617" ht="30" customHeight="1" spans="1:75">
      <c r="A1617" s="55">
        <v>0</v>
      </c>
      <c r="B1617" s="56">
        <v>0</v>
      </c>
      <c r="C1617" s="57">
        <v>0</v>
      </c>
      <c r="D1617" s="74"/>
      <c r="E1617" s="74"/>
      <c r="F1617" s="59" t="e">
        <f>VLOOKUP(E1617,[1]库存!$B$1:$C$65536,2,FALSE)</f>
        <v>#N/A</v>
      </c>
      <c r="G1617" s="59" t="e">
        <v>#N/A</v>
      </c>
      <c r="H1617" s="74"/>
      <c r="I1617" s="74"/>
      <c r="J1617" s="81"/>
      <c r="K1617" s="61"/>
      <c r="L1617" s="62">
        <v>0</v>
      </c>
      <c r="M1617" s="63">
        <v>0</v>
      </c>
      <c r="N1617" s="64">
        <v>0</v>
      </c>
      <c r="O1617" s="62">
        <v>0</v>
      </c>
      <c r="P1617" s="65">
        <f t="shared" si="103"/>
        <v>0</v>
      </c>
      <c r="R1617" s="66"/>
      <c r="T1617" s="66"/>
      <c r="V1617" s="66"/>
      <c r="X1617" s="66"/>
      <c r="Z1617" s="66"/>
      <c r="AB1617" s="66"/>
      <c r="AD1617" s="66"/>
      <c r="AF1617" s="66"/>
      <c r="AH1617" s="66"/>
      <c r="AJ1617" s="66"/>
      <c r="AL1617" s="66"/>
      <c r="AN1617" s="66"/>
      <c r="AP1617" s="66"/>
      <c r="AR1617" s="66"/>
      <c r="AT1617" s="66"/>
      <c r="AV1617" s="66"/>
      <c r="AX1617" s="66"/>
      <c r="AZ1617" s="66"/>
      <c r="BB1617" s="66"/>
      <c r="BD1617" s="66"/>
      <c r="BF1617" s="67"/>
      <c r="BG1617" s="68"/>
      <c r="BI1617" s="69">
        <v>0</v>
      </c>
      <c r="BJ1617" s="70">
        <v>0</v>
      </c>
      <c r="BK1617" s="71">
        <v>0</v>
      </c>
      <c r="BL1617" s="71">
        <v>0</v>
      </c>
      <c r="BM1617" s="71">
        <v>0</v>
      </c>
      <c r="BN1617" s="72">
        <v>0</v>
      </c>
      <c r="BO1617" s="151" t="e">
        <f t="shared" si="99"/>
        <v>#DIV/0!</v>
      </c>
      <c r="BP1617" s="151" t="e">
        <f t="shared" si="100"/>
        <v>#DIV/0!</v>
      </c>
      <c r="BQ1617" s="71">
        <v>0</v>
      </c>
      <c r="BR1617" s="71">
        <v>0</v>
      </c>
      <c r="BS1617" s="71">
        <v>0</v>
      </c>
      <c r="BT1617" s="72">
        <v>0</v>
      </c>
      <c r="BU1617" s="151" t="e">
        <f t="shared" si="101"/>
        <v>#DIV/0!</v>
      </c>
      <c r="BV1617" s="151" t="e">
        <f t="shared" si="102"/>
        <v>#DIV/0!</v>
      </c>
    </row>
    <row r="1618" ht="30" customHeight="1" spans="1:75">
      <c r="A1618" s="55">
        <v>0</v>
      </c>
      <c r="B1618" s="56">
        <v>0</v>
      </c>
      <c r="C1618" s="57">
        <v>0</v>
      </c>
      <c r="D1618" s="210"/>
      <c r="E1618" s="88"/>
      <c r="F1618" s="59" t="e">
        <f>VLOOKUP(E1618,[1]库存!$B$1:$C$65536,2,FALSE)</f>
        <v>#N/A</v>
      </c>
      <c r="G1618" s="59" t="e">
        <v>#N/A</v>
      </c>
      <c r="H1618" s="238"/>
      <c r="I1618" s="239"/>
      <c r="J1618" s="90"/>
      <c r="K1618" s="61"/>
      <c r="L1618" s="62">
        <v>0</v>
      </c>
      <c r="M1618" s="63">
        <v>0</v>
      </c>
      <c r="N1618" s="64">
        <v>0</v>
      </c>
      <c r="O1618" s="62">
        <v>0</v>
      </c>
      <c r="P1618" s="65">
        <f t="shared" si="103"/>
        <v>0</v>
      </c>
      <c r="Q1618" s="66"/>
      <c r="R1618" s="66"/>
      <c r="S1618" s="66"/>
      <c r="T1618" s="66"/>
      <c r="U1618" s="66"/>
      <c r="V1618" s="66"/>
      <c r="W1618" s="66"/>
      <c r="X1618" s="66"/>
      <c r="Y1618" s="66"/>
      <c r="Z1618" s="66"/>
      <c r="AA1618" s="66"/>
      <c r="AB1618" s="66"/>
      <c r="AC1618" s="66"/>
      <c r="AD1618" s="66"/>
      <c r="AE1618" s="66"/>
      <c r="AF1618" s="66"/>
      <c r="AG1618" s="66"/>
      <c r="AH1618" s="66"/>
      <c r="AI1618" s="66"/>
      <c r="AJ1618" s="66"/>
      <c r="AK1618" s="66"/>
      <c r="AL1618" s="66"/>
      <c r="AM1618" s="66"/>
      <c r="AN1618" s="66"/>
      <c r="AO1618" s="66"/>
      <c r="AP1618" s="66"/>
      <c r="AQ1618" s="66"/>
      <c r="AR1618" s="66"/>
      <c r="AS1618" s="66"/>
      <c r="AT1618" s="66"/>
      <c r="AU1618" s="66"/>
      <c r="AV1618" s="66"/>
      <c r="AW1618" s="66"/>
      <c r="AX1618" s="66"/>
      <c r="AY1618" s="66"/>
      <c r="AZ1618" s="66"/>
      <c r="BA1618" s="66"/>
      <c r="BB1618" s="66"/>
      <c r="BC1618" s="66"/>
      <c r="BD1618" s="66"/>
      <c r="BE1618" s="67"/>
      <c r="BF1618" s="67"/>
      <c r="BG1618" s="68"/>
      <c r="BI1618" s="69">
        <v>0</v>
      </c>
      <c r="BJ1618" s="70">
        <v>0</v>
      </c>
      <c r="BK1618" s="71">
        <v>0</v>
      </c>
      <c r="BL1618" s="71">
        <v>0</v>
      </c>
      <c r="BM1618" s="71">
        <v>0</v>
      </c>
      <c r="BN1618" s="72">
        <v>0</v>
      </c>
      <c r="BO1618" s="151" t="e">
        <f t="shared" si="99"/>
        <v>#DIV/0!</v>
      </c>
      <c r="BP1618" s="151" t="e">
        <f t="shared" si="100"/>
        <v>#DIV/0!</v>
      </c>
      <c r="BQ1618" s="71">
        <v>0</v>
      </c>
      <c r="BR1618" s="71">
        <v>0</v>
      </c>
      <c r="BS1618" s="71">
        <v>0</v>
      </c>
      <c r="BT1618" s="72">
        <v>0</v>
      </c>
      <c r="BU1618" s="151" t="e">
        <f t="shared" si="101"/>
        <v>#DIV/0!</v>
      </c>
      <c r="BV1618" s="151" t="e">
        <f t="shared" si="102"/>
        <v>#DIV/0!</v>
      </c>
    </row>
    <row r="1619" ht="30" customHeight="1" spans="1:75">
      <c r="A1619" s="55" t="s">
        <v>246</v>
      </c>
      <c r="B1619" s="56" t="s">
        <v>2247</v>
      </c>
      <c r="C1619" s="57" t="s">
        <v>2343</v>
      </c>
      <c r="D1619" s="91" t="s">
        <v>2620</v>
      </c>
      <c r="E1619" s="91" t="s">
        <v>2621</v>
      </c>
      <c r="F1619" s="91" t="str">
        <f>VLOOKUP(E1619,[1]库存!$B$1:$C$65536,2,FALSE)</f>
        <v>Changan C673 ICA FSAB LH</v>
      </c>
      <c r="G1619" s="91" t="s">
        <v>2622</v>
      </c>
      <c r="H1619" s="91" t="s">
        <v>2623</v>
      </c>
      <c r="I1619" s="91" t="s">
        <v>2610</v>
      </c>
      <c r="J1619" s="80" t="s">
        <v>2624</v>
      </c>
      <c r="K1619" s="61"/>
      <c r="L1619" s="62">
        <v>2</v>
      </c>
      <c r="M1619" s="63">
        <v>1050</v>
      </c>
      <c r="N1619" s="64">
        <v>12</v>
      </c>
      <c r="O1619" s="62">
        <v>2</v>
      </c>
      <c r="P1619" s="65">
        <f t="shared" si="103"/>
        <v>0</v>
      </c>
      <c r="Q1619" s="103"/>
      <c r="R1619" s="66"/>
      <c r="S1619" s="103"/>
      <c r="T1619" s="66"/>
      <c r="U1619" s="103"/>
      <c r="V1619" s="66"/>
      <c r="W1619" s="103"/>
      <c r="X1619" s="66"/>
      <c r="Y1619" s="103"/>
      <c r="Z1619" s="66"/>
      <c r="AA1619" s="103"/>
      <c r="AB1619" s="66"/>
      <c r="AC1619" s="103"/>
      <c r="AD1619" s="66"/>
      <c r="AE1619" s="103"/>
      <c r="AF1619" s="66"/>
      <c r="AG1619" s="103"/>
      <c r="AH1619" s="66"/>
      <c r="AI1619" s="103"/>
      <c r="AJ1619" s="66"/>
      <c r="AK1619" s="103"/>
      <c r="AL1619" s="66"/>
      <c r="AM1619" s="103"/>
      <c r="AN1619" s="66"/>
      <c r="AO1619" s="103"/>
      <c r="AP1619" s="66"/>
      <c r="AQ1619" s="103"/>
      <c r="AR1619" s="66"/>
      <c r="AS1619" s="103"/>
      <c r="AT1619" s="66"/>
      <c r="AU1619" s="103"/>
      <c r="AV1619" s="66"/>
      <c r="AW1619" s="103"/>
      <c r="AX1619" s="66"/>
      <c r="AY1619" s="103"/>
      <c r="AZ1619" s="66"/>
      <c r="BA1619" s="103"/>
      <c r="BB1619" s="66"/>
      <c r="BC1619" s="103"/>
      <c r="BD1619" s="66"/>
      <c r="BE1619" s="105"/>
      <c r="BF1619" s="67"/>
      <c r="BG1619" s="68"/>
      <c r="BI1619" s="69">
        <v>0</v>
      </c>
      <c r="BJ1619" s="70">
        <v>0</v>
      </c>
      <c r="BK1619" s="71">
        <v>0</v>
      </c>
      <c r="BL1619" s="71">
        <v>0</v>
      </c>
      <c r="BM1619" s="71">
        <v>0</v>
      </c>
      <c r="BN1619" s="72">
        <v>0</v>
      </c>
      <c r="BO1619" s="151" t="e">
        <f t="shared" si="99"/>
        <v>#DIV/0!</v>
      </c>
      <c r="BP1619" s="151" t="e">
        <f t="shared" si="100"/>
        <v>#DIV/0!</v>
      </c>
      <c r="BQ1619" s="71">
        <v>0</v>
      </c>
      <c r="BR1619" s="71">
        <v>0</v>
      </c>
      <c r="BS1619" s="71">
        <v>0</v>
      </c>
      <c r="BT1619" s="72">
        <v>0</v>
      </c>
      <c r="BU1619" s="151" t="e">
        <f t="shared" si="101"/>
        <v>#DIV/0!</v>
      </c>
      <c r="BV1619" s="151" t="e">
        <f t="shared" si="102"/>
        <v>#DIV/0!</v>
      </c>
    </row>
    <row r="1620" ht="30" customHeight="1" spans="1:75">
      <c r="A1620" s="55">
        <v>0</v>
      </c>
      <c r="B1620" s="56">
        <v>0</v>
      </c>
      <c r="C1620" s="57">
        <v>0</v>
      </c>
      <c r="D1620" s="92"/>
      <c r="E1620" s="92"/>
      <c r="F1620" s="91" t="e">
        <f>VLOOKUP(E1620,[1]库存!$B$1:$C$65536,2,FALSE)</f>
        <v>#N/A</v>
      </c>
      <c r="G1620" s="91" t="e">
        <v>#N/A</v>
      </c>
      <c r="H1620" s="92"/>
      <c r="I1620" s="92"/>
      <c r="J1620" s="81"/>
      <c r="K1620" s="61"/>
      <c r="L1620" s="62">
        <v>0</v>
      </c>
      <c r="M1620" s="63">
        <v>0</v>
      </c>
      <c r="N1620" s="64">
        <v>0</v>
      </c>
      <c r="O1620" s="62">
        <v>0</v>
      </c>
      <c r="P1620" s="65">
        <f t="shared" si="103"/>
        <v>0</v>
      </c>
      <c r="Q1620" s="66"/>
      <c r="R1620" s="66"/>
      <c r="S1620" s="66"/>
      <c r="T1620" s="66"/>
      <c r="U1620" s="66"/>
      <c r="V1620" s="66"/>
      <c r="W1620" s="66"/>
      <c r="X1620" s="66"/>
      <c r="Y1620" s="66"/>
      <c r="Z1620" s="66"/>
      <c r="AA1620" s="66"/>
      <c r="AB1620" s="66"/>
      <c r="AC1620" s="66"/>
      <c r="AD1620" s="66"/>
      <c r="AE1620" s="66"/>
      <c r="AF1620" s="66"/>
      <c r="AG1620" s="66"/>
      <c r="AH1620" s="66"/>
      <c r="AI1620" s="66"/>
      <c r="AJ1620" s="66"/>
      <c r="AK1620" s="66"/>
      <c r="AL1620" s="66"/>
      <c r="AM1620" s="66"/>
      <c r="AN1620" s="66"/>
      <c r="AO1620" s="66"/>
      <c r="AP1620" s="66"/>
      <c r="AQ1620" s="66"/>
      <c r="AR1620" s="66"/>
      <c r="AS1620" s="66"/>
      <c r="AT1620" s="66"/>
      <c r="AU1620" s="66"/>
      <c r="AV1620" s="66"/>
      <c r="AW1620" s="66"/>
      <c r="AX1620" s="66"/>
      <c r="AY1620" s="66"/>
      <c r="AZ1620" s="66"/>
      <c r="BA1620" s="66"/>
      <c r="BB1620" s="66"/>
      <c r="BC1620" s="66"/>
      <c r="BD1620" s="66"/>
      <c r="BE1620" s="67"/>
      <c r="BF1620" s="67"/>
      <c r="BG1620" s="68"/>
      <c r="BI1620" s="69">
        <v>0</v>
      </c>
      <c r="BJ1620" s="70">
        <v>0</v>
      </c>
      <c r="BK1620" s="71">
        <v>0</v>
      </c>
      <c r="BL1620" s="71">
        <v>0</v>
      </c>
      <c r="BM1620" s="71">
        <v>0</v>
      </c>
      <c r="BN1620" s="72">
        <v>0</v>
      </c>
      <c r="BO1620" s="151" t="e">
        <f t="shared" si="99"/>
        <v>#DIV/0!</v>
      </c>
      <c r="BP1620" s="151" t="e">
        <f t="shared" si="100"/>
        <v>#DIV/0!</v>
      </c>
      <c r="BQ1620" s="71">
        <v>0</v>
      </c>
      <c r="BR1620" s="71">
        <v>0</v>
      </c>
      <c r="BS1620" s="71">
        <v>0</v>
      </c>
      <c r="BT1620" s="72">
        <v>0</v>
      </c>
      <c r="BU1620" s="151" t="e">
        <f t="shared" si="101"/>
        <v>#DIV/0!</v>
      </c>
      <c r="BV1620" s="151" t="e">
        <f t="shared" si="102"/>
        <v>#DIV/0!</v>
      </c>
    </row>
    <row r="1621" ht="30" customHeight="1" spans="1:75">
      <c r="A1621" s="55" t="s">
        <v>246</v>
      </c>
      <c r="B1621" s="56" t="s">
        <v>2247</v>
      </c>
      <c r="C1621" s="57" t="s">
        <v>2343</v>
      </c>
      <c r="D1621" s="91" t="s">
        <v>2620</v>
      </c>
      <c r="E1621" s="91" t="s">
        <v>2625</v>
      </c>
      <c r="F1621" s="91" t="str">
        <f>VLOOKUP(E1621,[1]库存!$B$1:$C$65536,2,FALSE)</f>
        <v>Changan C673 ICA FSAB RH</v>
      </c>
      <c r="G1621" s="91" t="s">
        <v>2626</v>
      </c>
      <c r="H1621" s="91" t="s">
        <v>2627</v>
      </c>
      <c r="I1621" s="91" t="s">
        <v>2610</v>
      </c>
      <c r="J1621" s="81"/>
      <c r="K1621" s="61"/>
      <c r="L1621" s="62">
        <v>2</v>
      </c>
      <c r="M1621" s="63">
        <v>1000</v>
      </c>
      <c r="N1621" s="64">
        <v>12</v>
      </c>
      <c r="O1621" s="62">
        <v>2</v>
      </c>
      <c r="P1621" s="65">
        <f t="shared" si="103"/>
        <v>0</v>
      </c>
      <c r="Q1621" s="103"/>
      <c r="R1621" s="66"/>
      <c r="S1621" s="103"/>
      <c r="T1621" s="66"/>
      <c r="U1621" s="103"/>
      <c r="V1621" s="66"/>
      <c r="W1621" s="103"/>
      <c r="X1621" s="66"/>
      <c r="Y1621" s="103"/>
      <c r="Z1621" s="66"/>
      <c r="AA1621" s="103"/>
      <c r="AB1621" s="66"/>
      <c r="AC1621" s="103"/>
      <c r="AD1621" s="66"/>
      <c r="AE1621" s="103"/>
      <c r="AF1621" s="66"/>
      <c r="AG1621" s="103"/>
      <c r="AH1621" s="66"/>
      <c r="AI1621" s="103"/>
      <c r="AJ1621" s="66"/>
      <c r="AK1621" s="103"/>
      <c r="AL1621" s="66"/>
      <c r="AM1621" s="103"/>
      <c r="AN1621" s="66"/>
      <c r="AO1621" s="103"/>
      <c r="AP1621" s="66"/>
      <c r="AQ1621" s="103"/>
      <c r="AR1621" s="66"/>
      <c r="AS1621" s="103"/>
      <c r="AT1621" s="66"/>
      <c r="AU1621" s="103"/>
      <c r="AV1621" s="66"/>
      <c r="AW1621" s="103"/>
      <c r="AX1621" s="66"/>
      <c r="AY1621" s="103"/>
      <c r="AZ1621" s="66"/>
      <c r="BA1621" s="103"/>
      <c r="BB1621" s="66"/>
      <c r="BC1621" s="103"/>
      <c r="BD1621" s="66"/>
      <c r="BE1621" s="105"/>
      <c r="BF1621" s="67"/>
      <c r="BG1621" s="68"/>
      <c r="BI1621" s="69">
        <v>0</v>
      </c>
      <c r="BJ1621" s="70">
        <v>0</v>
      </c>
      <c r="BK1621" s="71">
        <v>0</v>
      </c>
      <c r="BL1621" s="71">
        <v>0</v>
      </c>
      <c r="BM1621" s="71">
        <v>0</v>
      </c>
      <c r="BN1621" s="72">
        <v>0</v>
      </c>
      <c r="BO1621" s="151" t="e">
        <f t="shared" si="99"/>
        <v>#DIV/0!</v>
      </c>
      <c r="BP1621" s="151" t="e">
        <f t="shared" si="100"/>
        <v>#DIV/0!</v>
      </c>
      <c r="BQ1621" s="71">
        <v>0</v>
      </c>
      <c r="BR1621" s="71">
        <v>0</v>
      </c>
      <c r="BS1621" s="71">
        <v>0</v>
      </c>
      <c r="BT1621" s="72">
        <v>0</v>
      </c>
      <c r="BU1621" s="151" t="e">
        <f t="shared" si="101"/>
        <v>#DIV/0!</v>
      </c>
      <c r="BV1621" s="151" t="e">
        <f t="shared" si="102"/>
        <v>#DIV/0!</v>
      </c>
      <c r="BW1621" s="14" t="s">
        <v>2628</v>
      </c>
    </row>
    <row r="1622" ht="30" customHeight="1" spans="1:75">
      <c r="A1622" s="55">
        <v>0</v>
      </c>
      <c r="B1622" s="56">
        <v>0</v>
      </c>
      <c r="C1622" s="57">
        <v>0</v>
      </c>
      <c r="D1622" s="92"/>
      <c r="E1622" s="92"/>
      <c r="F1622" s="91" t="e">
        <f>VLOOKUP(E1622,[1]库存!$B$1:$C$65536,2,FALSE)</f>
        <v>#N/A</v>
      </c>
      <c r="G1622" s="91" t="e">
        <v>#N/A</v>
      </c>
      <c r="H1622" s="92"/>
      <c r="I1622" s="92"/>
      <c r="J1622" s="81"/>
      <c r="K1622" s="61"/>
      <c r="L1622" s="62">
        <v>0</v>
      </c>
      <c r="M1622" s="63">
        <v>0</v>
      </c>
      <c r="N1622" s="64">
        <v>0</v>
      </c>
      <c r="O1622" s="62">
        <v>0</v>
      </c>
      <c r="P1622" s="65">
        <f t="shared" si="103"/>
        <v>0</v>
      </c>
      <c r="R1622" s="66"/>
      <c r="T1622" s="66"/>
      <c r="V1622" s="66"/>
      <c r="X1622" s="66"/>
      <c r="Y1622" s="66"/>
      <c r="Z1622" s="66"/>
      <c r="AB1622" s="66"/>
      <c r="AD1622" s="66"/>
      <c r="AF1622" s="66"/>
      <c r="AH1622" s="66"/>
      <c r="AJ1622" s="66"/>
      <c r="AL1622" s="66"/>
      <c r="AM1622" s="66"/>
      <c r="AN1622" s="66"/>
      <c r="AP1622" s="66"/>
      <c r="AR1622" s="66"/>
      <c r="AT1622" s="66"/>
      <c r="AV1622" s="66"/>
      <c r="AX1622" s="66"/>
      <c r="AZ1622" s="66"/>
      <c r="BA1622" s="66"/>
      <c r="BB1622" s="66"/>
      <c r="BD1622" s="66"/>
      <c r="BF1622" s="67"/>
      <c r="BG1622" s="68"/>
      <c r="BI1622" s="69">
        <v>0</v>
      </c>
      <c r="BJ1622" s="70">
        <v>0</v>
      </c>
      <c r="BK1622" s="71">
        <v>0</v>
      </c>
      <c r="BL1622" s="71">
        <v>0</v>
      </c>
      <c r="BM1622" s="71">
        <v>0</v>
      </c>
      <c r="BN1622" s="72">
        <v>0</v>
      </c>
      <c r="BO1622" s="151" t="e">
        <f t="shared" si="99"/>
        <v>#DIV/0!</v>
      </c>
      <c r="BP1622" s="151" t="e">
        <f t="shared" si="100"/>
        <v>#DIV/0!</v>
      </c>
      <c r="BQ1622" s="71">
        <v>0</v>
      </c>
      <c r="BR1622" s="71">
        <v>0</v>
      </c>
      <c r="BS1622" s="71">
        <v>0</v>
      </c>
      <c r="BT1622" s="72">
        <v>0</v>
      </c>
      <c r="BU1622" s="151" t="e">
        <f t="shared" si="101"/>
        <v>#DIV/0!</v>
      </c>
      <c r="BV1622" s="151" t="e">
        <f t="shared" si="102"/>
        <v>#DIV/0!</v>
      </c>
    </row>
    <row r="1623" ht="30" customHeight="1" spans="1:75">
      <c r="A1623" s="55" t="s">
        <v>165</v>
      </c>
      <c r="B1623" s="56" t="s">
        <v>2247</v>
      </c>
      <c r="C1623" s="57" t="s">
        <v>2343</v>
      </c>
      <c r="D1623" s="59" t="s">
        <v>2620</v>
      </c>
      <c r="E1623" s="59" t="s">
        <v>2629</v>
      </c>
      <c r="F1623" s="59" t="str">
        <f>VLOOKUP(E1623,[1]库存!$B$1:$C$65536,2,FALSE)</f>
        <v>NIO LEO RSAB LH A状态</v>
      </c>
      <c r="G1623" s="59" t="s">
        <v>2630</v>
      </c>
      <c r="H1623" s="59" t="s">
        <v>2631</v>
      </c>
      <c r="I1623" s="59" t="s">
        <v>429</v>
      </c>
      <c r="J1623" s="97" t="s">
        <v>2632</v>
      </c>
      <c r="K1623" s="61"/>
      <c r="L1623" s="62">
        <v>2</v>
      </c>
      <c r="M1623" s="63">
        <v>1150</v>
      </c>
      <c r="N1623" s="64">
        <v>12</v>
      </c>
      <c r="O1623" s="62">
        <v>2</v>
      </c>
      <c r="P1623" s="65">
        <f t="shared" si="103"/>
        <v>0</v>
      </c>
      <c r="Q1623" s="66"/>
      <c r="R1623" s="66"/>
      <c r="S1623" s="66"/>
      <c r="T1623" s="66"/>
      <c r="U1623" s="66"/>
      <c r="V1623" s="66"/>
      <c r="W1623" s="66"/>
      <c r="X1623" s="66"/>
      <c r="Y1623" s="66"/>
      <c r="Z1623" s="66"/>
      <c r="AA1623" s="66"/>
      <c r="AB1623" s="66"/>
      <c r="AC1623" s="66"/>
      <c r="AD1623" s="66"/>
      <c r="AE1623" s="66"/>
      <c r="AF1623" s="66"/>
      <c r="AG1623" s="66"/>
      <c r="AH1623" s="66"/>
      <c r="AI1623" s="66"/>
      <c r="AJ1623" s="66"/>
      <c r="AK1623" s="66"/>
      <c r="AL1623" s="66"/>
      <c r="AM1623" s="66"/>
      <c r="AN1623" s="66"/>
      <c r="AO1623" s="66"/>
      <c r="AP1623" s="66"/>
      <c r="AQ1623" s="66"/>
      <c r="AR1623" s="66"/>
      <c r="AS1623" s="66"/>
      <c r="AT1623" s="66"/>
      <c r="AU1623" s="66"/>
      <c r="AV1623" s="66"/>
      <c r="AW1623" s="66"/>
      <c r="AX1623" s="66"/>
      <c r="AY1623" s="66"/>
      <c r="AZ1623" s="66"/>
      <c r="BA1623" s="66"/>
      <c r="BB1623" s="66"/>
      <c r="BC1623" s="66"/>
      <c r="BD1623" s="66"/>
      <c r="BE1623" s="67"/>
      <c r="BF1623" s="67"/>
      <c r="BG1623" s="68"/>
      <c r="BI1623" s="69">
        <v>0</v>
      </c>
      <c r="BJ1623" s="70">
        <v>0</v>
      </c>
      <c r="BK1623" s="71">
        <v>0</v>
      </c>
      <c r="BL1623" s="71">
        <v>0</v>
      </c>
      <c r="BM1623" s="71">
        <v>0</v>
      </c>
      <c r="BN1623" s="72">
        <v>0</v>
      </c>
      <c r="BO1623" s="151" t="e">
        <f t="shared" si="99"/>
        <v>#DIV/0!</v>
      </c>
      <c r="BP1623" s="151" t="e">
        <f t="shared" si="100"/>
        <v>#DIV/0!</v>
      </c>
      <c r="BQ1623" s="71">
        <v>0</v>
      </c>
      <c r="BR1623" s="71">
        <v>0</v>
      </c>
      <c r="BS1623" s="71">
        <v>0</v>
      </c>
      <c r="BT1623" s="72">
        <v>0</v>
      </c>
      <c r="BU1623" s="151" t="e">
        <f t="shared" si="101"/>
        <v>#DIV/0!</v>
      </c>
      <c r="BV1623" s="151" t="e">
        <f t="shared" si="102"/>
        <v>#DIV/0!</v>
      </c>
      <c r="BW1623" s="14" t="s">
        <v>2633</v>
      </c>
    </row>
    <row r="1624" ht="30" customHeight="1" spans="1:75">
      <c r="A1624" s="55">
        <v>0</v>
      </c>
      <c r="B1624" s="56">
        <v>0</v>
      </c>
      <c r="C1624" s="57">
        <v>0</v>
      </c>
      <c r="D1624" s="74"/>
      <c r="E1624" s="74"/>
      <c r="F1624" s="59" t="e">
        <f>VLOOKUP(E1624,[1]库存!$B$1:$C$65536,2,FALSE)</f>
        <v>#N/A</v>
      </c>
      <c r="G1624" s="59" t="e">
        <v>#N/A</v>
      </c>
      <c r="H1624" s="74"/>
      <c r="I1624" s="74"/>
      <c r="J1624" s="98"/>
      <c r="K1624" s="61"/>
      <c r="L1624" s="62">
        <v>0</v>
      </c>
      <c r="M1624" s="63">
        <v>0</v>
      </c>
      <c r="N1624" s="64">
        <v>0</v>
      </c>
      <c r="O1624" s="62">
        <v>0</v>
      </c>
      <c r="P1624" s="65">
        <f t="shared" si="103"/>
        <v>0</v>
      </c>
      <c r="Q1624" s="66"/>
      <c r="R1624" s="66"/>
      <c r="S1624" s="66"/>
      <c r="T1624" s="66"/>
      <c r="U1624" s="66"/>
      <c r="V1624" s="66"/>
      <c r="W1624" s="66"/>
      <c r="X1624" s="66"/>
      <c r="Y1624" s="66"/>
      <c r="Z1624" s="66"/>
      <c r="AA1624" s="66"/>
      <c r="AB1624" s="66"/>
      <c r="AC1624" s="66"/>
      <c r="AD1624" s="66"/>
      <c r="AE1624" s="66"/>
      <c r="AF1624" s="66"/>
      <c r="AG1624" s="66"/>
      <c r="AH1624" s="66"/>
      <c r="AI1624" s="66"/>
      <c r="AJ1624" s="66"/>
      <c r="AK1624" s="66"/>
      <c r="AL1624" s="66"/>
      <c r="AM1624" s="66"/>
      <c r="AN1624" s="66"/>
      <c r="AO1624" s="66"/>
      <c r="AP1624" s="66"/>
      <c r="AQ1624" s="66"/>
      <c r="AR1624" s="66"/>
      <c r="AS1624" s="66"/>
      <c r="AT1624" s="66"/>
      <c r="AU1624" s="66"/>
      <c r="AV1624" s="66"/>
      <c r="AW1624" s="66"/>
      <c r="AX1624" s="66"/>
      <c r="AY1624" s="66"/>
      <c r="AZ1624" s="66"/>
      <c r="BA1624" s="66"/>
      <c r="BB1624" s="66"/>
      <c r="BC1624" s="66"/>
      <c r="BD1624" s="66"/>
      <c r="BE1624" s="67"/>
      <c r="BF1624" s="67"/>
      <c r="BG1624" s="68"/>
      <c r="BI1624" s="69">
        <v>0</v>
      </c>
      <c r="BJ1624" s="70">
        <v>0</v>
      </c>
      <c r="BK1624" s="71">
        <v>0</v>
      </c>
      <c r="BL1624" s="71">
        <v>0</v>
      </c>
      <c r="BM1624" s="71">
        <v>0</v>
      </c>
      <c r="BN1624" s="72">
        <v>0</v>
      </c>
      <c r="BO1624" s="151" t="e">
        <f t="shared" si="99"/>
        <v>#DIV/0!</v>
      </c>
      <c r="BP1624" s="151" t="e">
        <f t="shared" si="100"/>
        <v>#DIV/0!</v>
      </c>
      <c r="BQ1624" s="71">
        <v>0</v>
      </c>
      <c r="BR1624" s="71">
        <v>0</v>
      </c>
      <c r="BS1624" s="71">
        <v>0</v>
      </c>
      <c r="BT1624" s="72">
        <v>0</v>
      </c>
      <c r="BU1624" s="151" t="e">
        <f t="shared" si="101"/>
        <v>#DIV/0!</v>
      </c>
      <c r="BV1624" s="151" t="e">
        <f t="shared" si="102"/>
        <v>#DIV/0!</v>
      </c>
    </row>
    <row r="1625" ht="30" customHeight="1" spans="1:75">
      <c r="A1625" s="55" t="s">
        <v>165</v>
      </c>
      <c r="B1625" s="56" t="s">
        <v>2247</v>
      </c>
      <c r="C1625" s="57" t="s">
        <v>2343</v>
      </c>
      <c r="D1625" s="59" t="s">
        <v>2620</v>
      </c>
      <c r="E1625" s="59" t="s">
        <v>2634</v>
      </c>
      <c r="F1625" s="59" t="str">
        <f>VLOOKUP(E1625,[1]库存!$B$1:$C$65536,2,FALSE)</f>
        <v>NIO LEO RSAB RH A状态</v>
      </c>
      <c r="G1625" s="59" t="s">
        <v>2635</v>
      </c>
      <c r="H1625" s="59" t="s">
        <v>2636</v>
      </c>
      <c r="I1625" s="59" t="s">
        <v>429</v>
      </c>
      <c r="J1625" s="98"/>
      <c r="K1625" s="61"/>
      <c r="L1625" s="62">
        <v>2</v>
      </c>
      <c r="M1625" s="63">
        <v>1150</v>
      </c>
      <c r="N1625" s="64">
        <v>12</v>
      </c>
      <c r="O1625" s="62">
        <v>2</v>
      </c>
      <c r="P1625" s="65">
        <f t="shared" si="103"/>
        <v>0</v>
      </c>
      <c r="Q1625" s="66"/>
      <c r="R1625" s="66"/>
      <c r="S1625" s="66"/>
      <c r="T1625" s="66"/>
      <c r="U1625" s="66"/>
      <c r="V1625" s="66"/>
      <c r="W1625" s="66"/>
      <c r="X1625" s="66"/>
      <c r="Y1625" s="66"/>
      <c r="Z1625" s="66"/>
      <c r="AA1625" s="66"/>
      <c r="AB1625" s="66"/>
      <c r="AC1625" s="66"/>
      <c r="AD1625" s="66"/>
      <c r="AE1625" s="66"/>
      <c r="AF1625" s="66"/>
      <c r="AG1625" s="66"/>
      <c r="AH1625" s="66"/>
      <c r="AI1625" s="66"/>
      <c r="AJ1625" s="66"/>
      <c r="AK1625" s="66"/>
      <c r="AL1625" s="66"/>
      <c r="AM1625" s="66"/>
      <c r="AN1625" s="66"/>
      <c r="AO1625" s="66"/>
      <c r="AP1625" s="66"/>
      <c r="AQ1625" s="66"/>
      <c r="AR1625" s="66"/>
      <c r="AS1625" s="66"/>
      <c r="AT1625" s="66"/>
      <c r="AU1625" s="66"/>
      <c r="AV1625" s="66"/>
      <c r="AW1625" s="66"/>
      <c r="AX1625" s="66"/>
      <c r="AY1625" s="66"/>
      <c r="AZ1625" s="66"/>
      <c r="BA1625" s="66"/>
      <c r="BB1625" s="66"/>
      <c r="BC1625" s="66"/>
      <c r="BD1625" s="66"/>
      <c r="BE1625" s="67"/>
      <c r="BF1625" s="67"/>
      <c r="BG1625" s="68"/>
      <c r="BI1625" s="69">
        <v>0</v>
      </c>
      <c r="BJ1625" s="70">
        <v>0</v>
      </c>
      <c r="BK1625" s="71">
        <v>0</v>
      </c>
      <c r="BL1625" s="71">
        <v>0</v>
      </c>
      <c r="BM1625" s="71">
        <v>0</v>
      </c>
      <c r="BN1625" s="72">
        <v>0</v>
      </c>
      <c r="BO1625" s="151" t="e">
        <f t="shared" si="99"/>
        <v>#DIV/0!</v>
      </c>
      <c r="BP1625" s="151" t="e">
        <f t="shared" si="100"/>
        <v>#DIV/0!</v>
      </c>
      <c r="BQ1625" s="71">
        <v>0</v>
      </c>
      <c r="BR1625" s="71">
        <v>0</v>
      </c>
      <c r="BS1625" s="71">
        <v>0</v>
      </c>
      <c r="BT1625" s="72">
        <v>0</v>
      </c>
      <c r="BU1625" s="151" t="e">
        <f t="shared" si="101"/>
        <v>#DIV/0!</v>
      </c>
      <c r="BV1625" s="151" t="e">
        <f t="shared" si="102"/>
        <v>#DIV/0!</v>
      </c>
    </row>
    <row r="1626" ht="30" customHeight="1" spans="1:75">
      <c r="A1626" s="55">
        <v>0</v>
      </c>
      <c r="B1626" s="56">
        <v>0</v>
      </c>
      <c r="C1626" s="57">
        <v>0</v>
      </c>
      <c r="D1626" s="74"/>
      <c r="E1626" s="74"/>
      <c r="F1626" s="59" t="e">
        <f>VLOOKUP(E1626,[1]库存!$B$1:$C$65536,2,FALSE)</f>
        <v>#N/A</v>
      </c>
      <c r="G1626" s="59" t="e">
        <v>#N/A</v>
      </c>
      <c r="H1626" s="74"/>
      <c r="I1626" s="74"/>
      <c r="J1626" s="98"/>
      <c r="K1626" s="61"/>
      <c r="L1626" s="62">
        <v>0</v>
      </c>
      <c r="M1626" s="63">
        <v>0</v>
      </c>
      <c r="N1626" s="64">
        <v>0</v>
      </c>
      <c r="O1626" s="62">
        <v>0</v>
      </c>
      <c r="P1626" s="65">
        <f t="shared" si="103"/>
        <v>0</v>
      </c>
      <c r="Q1626" s="66"/>
      <c r="R1626" s="66"/>
      <c r="S1626" s="66"/>
      <c r="T1626" s="66"/>
      <c r="U1626" s="66"/>
      <c r="V1626" s="66"/>
      <c r="W1626" s="66"/>
      <c r="X1626" s="66"/>
      <c r="Y1626" s="66"/>
      <c r="Z1626" s="66"/>
      <c r="AA1626" s="66"/>
      <c r="AB1626" s="66"/>
      <c r="AC1626" s="66"/>
      <c r="AD1626" s="66"/>
      <c r="AE1626" s="66"/>
      <c r="AF1626" s="66"/>
      <c r="AG1626" s="66"/>
      <c r="AH1626" s="66"/>
      <c r="AI1626" s="66"/>
      <c r="AJ1626" s="66"/>
      <c r="AK1626" s="66"/>
      <c r="AL1626" s="66"/>
      <c r="AM1626" s="66"/>
      <c r="AN1626" s="66"/>
      <c r="AO1626" s="66"/>
      <c r="AP1626" s="66"/>
      <c r="AQ1626" s="66"/>
      <c r="AR1626" s="66"/>
      <c r="AS1626" s="66"/>
      <c r="AT1626" s="66"/>
      <c r="AU1626" s="66"/>
      <c r="AV1626" s="66"/>
      <c r="AW1626" s="66"/>
      <c r="AX1626" s="66"/>
      <c r="AY1626" s="66"/>
      <c r="AZ1626" s="66"/>
      <c r="BA1626" s="66"/>
      <c r="BB1626" s="66"/>
      <c r="BC1626" s="66"/>
      <c r="BD1626" s="66"/>
      <c r="BE1626" s="67"/>
      <c r="BF1626" s="67"/>
      <c r="BG1626" s="68"/>
      <c r="BI1626" s="69">
        <v>0</v>
      </c>
      <c r="BJ1626" s="70">
        <v>0</v>
      </c>
      <c r="BK1626" s="71">
        <v>0</v>
      </c>
      <c r="BL1626" s="71">
        <v>0</v>
      </c>
      <c r="BM1626" s="71">
        <v>0</v>
      </c>
      <c r="BN1626" s="72">
        <v>0</v>
      </c>
      <c r="BO1626" s="151" t="e">
        <f t="shared" ref="BO1626:BO1689" si="104">(BK1626+BL1626)/BJ1626</f>
        <v>#DIV/0!</v>
      </c>
      <c r="BP1626" s="151" t="e">
        <f t="shared" ref="BP1626:BP1689" si="105">BM1626/BJ1626</f>
        <v>#DIV/0!</v>
      </c>
      <c r="BQ1626" s="71">
        <v>0</v>
      </c>
      <c r="BR1626" s="71">
        <v>0</v>
      </c>
      <c r="BS1626" s="71">
        <v>0</v>
      </c>
      <c r="BT1626" s="72">
        <v>0</v>
      </c>
      <c r="BU1626" s="151" t="e">
        <f t="shared" si="101"/>
        <v>#DIV/0!</v>
      </c>
      <c r="BV1626" s="151" t="e">
        <f t="shared" si="102"/>
        <v>#DIV/0!</v>
      </c>
    </row>
    <row r="1627" ht="30" customHeight="1" spans="1:75">
      <c r="A1627" s="55">
        <v>0</v>
      </c>
      <c r="B1627" s="56" t="s">
        <v>2247</v>
      </c>
      <c r="C1627" s="57" t="s">
        <v>2343</v>
      </c>
      <c r="D1627" s="59" t="s">
        <v>2620</v>
      </c>
      <c r="E1627" s="59" t="s">
        <v>2637</v>
      </c>
      <c r="F1627" s="59" t="str">
        <f>VLOOKUP(E1627,[1]库存!$B$1:$C$65536,2,FALSE)</f>
        <v>E16 FSAB LH B状态</v>
      </c>
      <c r="G1627" s="59" t="s">
        <v>2638</v>
      </c>
      <c r="H1627" s="59" t="s">
        <v>2639</v>
      </c>
      <c r="I1627" s="59" t="s">
        <v>2640</v>
      </c>
      <c r="J1627" s="60" t="s">
        <v>2641</v>
      </c>
      <c r="K1627" s="61"/>
      <c r="L1627" s="62">
        <v>2</v>
      </c>
      <c r="M1627" s="63">
        <v>1100</v>
      </c>
      <c r="N1627" s="64">
        <v>12</v>
      </c>
      <c r="O1627" s="62">
        <v>2</v>
      </c>
      <c r="P1627" s="65">
        <f t="shared" si="103"/>
        <v>0</v>
      </c>
      <c r="Q1627" s="66"/>
      <c r="R1627" s="66"/>
      <c r="S1627" s="66"/>
      <c r="T1627" s="66"/>
      <c r="U1627" s="66"/>
      <c r="V1627" s="66"/>
      <c r="W1627" s="66"/>
      <c r="X1627" s="66"/>
      <c r="Y1627" s="66"/>
      <c r="Z1627" s="66"/>
      <c r="AA1627" s="66"/>
      <c r="AB1627" s="66"/>
      <c r="AC1627" s="66"/>
      <c r="AD1627" s="66"/>
      <c r="AE1627" s="66"/>
      <c r="AF1627" s="66"/>
      <c r="AG1627" s="66"/>
      <c r="AH1627" s="66"/>
      <c r="AI1627" s="66"/>
      <c r="AJ1627" s="66"/>
      <c r="AK1627" s="66"/>
      <c r="AL1627" s="66"/>
      <c r="AM1627" s="66"/>
      <c r="AN1627" s="66"/>
      <c r="AO1627" s="66"/>
      <c r="AP1627" s="66"/>
      <c r="AQ1627" s="66"/>
      <c r="AR1627" s="66"/>
      <c r="AS1627" s="66"/>
      <c r="AT1627" s="66"/>
      <c r="AU1627" s="66"/>
      <c r="AV1627" s="66"/>
      <c r="AW1627" s="66"/>
      <c r="AX1627" s="66"/>
      <c r="AY1627" s="66"/>
      <c r="AZ1627" s="66"/>
      <c r="BA1627" s="66"/>
      <c r="BB1627" s="66"/>
      <c r="BC1627" s="66"/>
      <c r="BD1627" s="66"/>
      <c r="BE1627" s="67"/>
      <c r="BF1627" s="67"/>
      <c r="BG1627" s="68"/>
      <c r="BI1627" s="69">
        <v>0</v>
      </c>
      <c r="BJ1627" s="70">
        <v>0</v>
      </c>
      <c r="BK1627" s="71">
        <v>0</v>
      </c>
      <c r="BL1627" s="71">
        <v>0</v>
      </c>
      <c r="BM1627" s="71">
        <v>0</v>
      </c>
      <c r="BN1627" s="72">
        <v>0</v>
      </c>
      <c r="BO1627" s="151" t="e">
        <f t="shared" si="104"/>
        <v>#DIV/0!</v>
      </c>
      <c r="BP1627" s="151" t="e">
        <f t="shared" si="105"/>
        <v>#DIV/0!</v>
      </c>
      <c r="BQ1627" s="71">
        <v>0</v>
      </c>
      <c r="BR1627" s="71">
        <v>0</v>
      </c>
      <c r="BS1627" s="71">
        <v>0</v>
      </c>
      <c r="BT1627" s="72">
        <v>0</v>
      </c>
      <c r="BU1627" s="151" t="e">
        <f t="shared" si="101"/>
        <v>#DIV/0!</v>
      </c>
      <c r="BV1627" s="151" t="e">
        <f t="shared" si="102"/>
        <v>#DIV/0!</v>
      </c>
    </row>
    <row r="1628" ht="30" customHeight="1" spans="1:75">
      <c r="A1628" s="55">
        <v>0</v>
      </c>
      <c r="B1628" s="56">
        <v>0</v>
      </c>
      <c r="C1628" s="57">
        <v>0</v>
      </c>
      <c r="D1628" s="74"/>
      <c r="E1628" s="74"/>
      <c r="F1628" s="59" t="e">
        <f>VLOOKUP(E1628,[1]库存!$B$1:$C$65536,2,FALSE)</f>
        <v>#N/A</v>
      </c>
      <c r="G1628" s="59" t="e">
        <v>#N/A</v>
      </c>
      <c r="H1628" s="74"/>
      <c r="I1628" s="74"/>
      <c r="J1628" s="75"/>
      <c r="K1628" s="61"/>
      <c r="L1628" s="62">
        <v>0</v>
      </c>
      <c r="M1628" s="63">
        <v>0</v>
      </c>
      <c r="N1628" s="64">
        <v>0</v>
      </c>
      <c r="O1628" s="62">
        <v>0</v>
      </c>
      <c r="P1628" s="65">
        <f t="shared" si="103"/>
        <v>0</v>
      </c>
      <c r="Q1628" s="66"/>
      <c r="R1628" s="66"/>
      <c r="S1628" s="66"/>
      <c r="T1628" s="66"/>
      <c r="U1628" s="66"/>
      <c r="V1628" s="66"/>
      <c r="W1628" s="66"/>
      <c r="X1628" s="66"/>
      <c r="Y1628" s="66"/>
      <c r="Z1628" s="66"/>
      <c r="AA1628" s="66"/>
      <c r="AB1628" s="66"/>
      <c r="AC1628" s="66"/>
      <c r="AD1628" s="66"/>
      <c r="AE1628" s="66"/>
      <c r="AF1628" s="66"/>
      <c r="AG1628" s="66"/>
      <c r="AH1628" s="66"/>
      <c r="AI1628" s="66"/>
      <c r="AJ1628" s="66"/>
      <c r="AK1628" s="66"/>
      <c r="AL1628" s="66"/>
      <c r="AM1628" s="66"/>
      <c r="AN1628" s="66"/>
      <c r="AO1628" s="66"/>
      <c r="AP1628" s="66"/>
      <c r="AQ1628" s="66"/>
      <c r="AR1628" s="66"/>
      <c r="AS1628" s="66"/>
      <c r="AT1628" s="66"/>
      <c r="AU1628" s="66"/>
      <c r="AV1628" s="66"/>
      <c r="AW1628" s="66"/>
      <c r="AX1628" s="66"/>
      <c r="AY1628" s="66"/>
      <c r="AZ1628" s="66"/>
      <c r="BA1628" s="66"/>
      <c r="BB1628" s="66"/>
      <c r="BC1628" s="66"/>
      <c r="BD1628" s="66"/>
      <c r="BE1628" s="67"/>
      <c r="BF1628" s="67"/>
      <c r="BG1628" s="68"/>
      <c r="BI1628" s="69">
        <v>0</v>
      </c>
      <c r="BJ1628" s="70">
        <v>0</v>
      </c>
      <c r="BK1628" s="71">
        <v>0</v>
      </c>
      <c r="BL1628" s="71">
        <v>0</v>
      </c>
      <c r="BM1628" s="71">
        <v>0</v>
      </c>
      <c r="BN1628" s="72">
        <v>0</v>
      </c>
      <c r="BO1628" s="151" t="e">
        <f t="shared" si="104"/>
        <v>#DIV/0!</v>
      </c>
      <c r="BP1628" s="151" t="e">
        <f t="shared" si="105"/>
        <v>#DIV/0!</v>
      </c>
      <c r="BQ1628" s="71">
        <v>0</v>
      </c>
      <c r="BR1628" s="71">
        <v>0</v>
      </c>
      <c r="BS1628" s="71">
        <v>0</v>
      </c>
      <c r="BT1628" s="72">
        <v>0</v>
      </c>
      <c r="BU1628" s="151" t="e">
        <f t="shared" si="101"/>
        <v>#DIV/0!</v>
      </c>
      <c r="BV1628" s="151" t="e">
        <f t="shared" si="102"/>
        <v>#DIV/0!</v>
      </c>
    </row>
    <row r="1629" ht="30" customHeight="1" spans="1:75">
      <c r="A1629" s="55">
        <v>0</v>
      </c>
      <c r="B1629" s="56" t="s">
        <v>2247</v>
      </c>
      <c r="C1629" s="57" t="s">
        <v>2343</v>
      </c>
      <c r="D1629" s="59" t="s">
        <v>2620</v>
      </c>
      <c r="E1629" s="59" t="s">
        <v>2642</v>
      </c>
      <c r="F1629" s="59" t="str">
        <f>VLOOKUP(E1629,[1]库存!$B$1:$C$65536,2,FALSE)</f>
        <v>E16 FSAB RH B状态</v>
      </c>
      <c r="G1629" s="59" t="s">
        <v>2643</v>
      </c>
      <c r="H1629" s="59" t="s">
        <v>2644</v>
      </c>
      <c r="I1629" s="59" t="s">
        <v>2640</v>
      </c>
      <c r="J1629" s="75"/>
      <c r="K1629" s="61"/>
      <c r="L1629" s="62">
        <v>2</v>
      </c>
      <c r="M1629" s="63">
        <v>1100</v>
      </c>
      <c r="N1629" s="64">
        <v>12</v>
      </c>
      <c r="O1629" s="62">
        <v>2</v>
      </c>
      <c r="P1629" s="65">
        <f t="shared" si="103"/>
        <v>0</v>
      </c>
      <c r="Q1629" s="66"/>
      <c r="R1629" s="66"/>
      <c r="S1629" s="66"/>
      <c r="T1629" s="66"/>
      <c r="U1629" s="66"/>
      <c r="V1629" s="66"/>
      <c r="W1629" s="66"/>
      <c r="X1629" s="66"/>
      <c r="Y1629" s="66"/>
      <c r="Z1629" s="66"/>
      <c r="AA1629" s="66"/>
      <c r="AB1629" s="66"/>
      <c r="AC1629" s="66"/>
      <c r="AD1629" s="66"/>
      <c r="AE1629" s="66"/>
      <c r="AF1629" s="66"/>
      <c r="AG1629" s="66"/>
      <c r="AH1629" s="66"/>
      <c r="AI1629" s="66"/>
      <c r="AJ1629" s="66"/>
      <c r="AK1629" s="66"/>
      <c r="AL1629" s="66"/>
      <c r="AM1629" s="66"/>
      <c r="AN1629" s="66"/>
      <c r="AO1629" s="66"/>
      <c r="AP1629" s="66"/>
      <c r="AQ1629" s="66"/>
      <c r="AR1629" s="66"/>
      <c r="AS1629" s="66"/>
      <c r="AT1629" s="66"/>
      <c r="AU1629" s="66"/>
      <c r="AV1629" s="66"/>
      <c r="AW1629" s="66"/>
      <c r="AX1629" s="66"/>
      <c r="AY1629" s="66"/>
      <c r="AZ1629" s="66"/>
      <c r="BA1629" s="66"/>
      <c r="BB1629" s="66"/>
      <c r="BC1629" s="66"/>
      <c r="BD1629" s="66"/>
      <c r="BE1629" s="67"/>
      <c r="BF1629" s="67"/>
      <c r="BG1629" s="68"/>
      <c r="BI1629" s="69">
        <v>0</v>
      </c>
      <c r="BJ1629" s="70">
        <v>0</v>
      </c>
      <c r="BK1629" s="71">
        <v>0</v>
      </c>
      <c r="BL1629" s="71">
        <v>0</v>
      </c>
      <c r="BM1629" s="71">
        <v>0</v>
      </c>
      <c r="BN1629" s="72">
        <v>0</v>
      </c>
      <c r="BO1629" s="151" t="e">
        <f t="shared" si="104"/>
        <v>#DIV/0!</v>
      </c>
      <c r="BP1629" s="151" t="e">
        <f t="shared" si="105"/>
        <v>#DIV/0!</v>
      </c>
      <c r="BQ1629" s="71">
        <v>0</v>
      </c>
      <c r="BR1629" s="71">
        <v>0</v>
      </c>
      <c r="BS1629" s="71">
        <v>0</v>
      </c>
      <c r="BT1629" s="72">
        <v>0</v>
      </c>
      <c r="BU1629" s="151" t="e">
        <f t="shared" si="101"/>
        <v>#DIV/0!</v>
      </c>
      <c r="BV1629" s="151" t="e">
        <f t="shared" si="102"/>
        <v>#DIV/0!</v>
      </c>
    </row>
    <row r="1630" ht="30" customHeight="1" spans="1:75">
      <c r="A1630" s="55">
        <v>0</v>
      </c>
      <c r="B1630" s="56">
        <v>0</v>
      </c>
      <c r="C1630" s="57">
        <v>0</v>
      </c>
      <c r="D1630" s="74"/>
      <c r="E1630" s="74"/>
      <c r="F1630" s="59" t="e">
        <f>VLOOKUP(E1630,[1]库存!$B$1:$C$65536,2,FALSE)</f>
        <v>#N/A</v>
      </c>
      <c r="G1630" s="59" t="e">
        <v>#N/A</v>
      </c>
      <c r="H1630" s="74"/>
      <c r="I1630" s="74"/>
      <c r="J1630" s="75"/>
      <c r="K1630" s="61"/>
      <c r="L1630" s="62">
        <v>0</v>
      </c>
      <c r="M1630" s="63">
        <v>0</v>
      </c>
      <c r="N1630" s="64">
        <v>0</v>
      </c>
      <c r="O1630" s="62">
        <v>0</v>
      </c>
      <c r="P1630" s="65">
        <f t="shared" si="103"/>
        <v>0</v>
      </c>
      <c r="R1630" s="66"/>
      <c r="T1630" s="66"/>
      <c r="V1630" s="66"/>
      <c r="X1630" s="66"/>
      <c r="Z1630" s="66"/>
      <c r="AB1630" s="66"/>
      <c r="AD1630" s="66"/>
      <c r="AF1630" s="66"/>
      <c r="AH1630" s="66"/>
      <c r="AJ1630" s="66"/>
      <c r="AL1630" s="66"/>
      <c r="AN1630" s="66"/>
      <c r="AP1630" s="66"/>
      <c r="AR1630" s="66"/>
      <c r="AT1630" s="66"/>
      <c r="AV1630" s="66"/>
      <c r="AX1630" s="66"/>
      <c r="AZ1630" s="66"/>
      <c r="BB1630" s="66"/>
      <c r="BD1630" s="66"/>
      <c r="BF1630" s="67"/>
      <c r="BG1630" s="68"/>
      <c r="BI1630" s="69">
        <v>0</v>
      </c>
      <c r="BJ1630" s="70">
        <v>0</v>
      </c>
      <c r="BK1630" s="71">
        <v>0</v>
      </c>
      <c r="BL1630" s="71">
        <v>0</v>
      </c>
      <c r="BM1630" s="71">
        <v>0</v>
      </c>
      <c r="BN1630" s="72">
        <v>0</v>
      </c>
      <c r="BO1630" s="151" t="e">
        <f t="shared" si="104"/>
        <v>#DIV/0!</v>
      </c>
      <c r="BP1630" s="151" t="e">
        <f t="shared" si="105"/>
        <v>#DIV/0!</v>
      </c>
      <c r="BQ1630" s="71">
        <v>0</v>
      </c>
      <c r="BR1630" s="71">
        <v>0</v>
      </c>
      <c r="BS1630" s="71">
        <v>0</v>
      </c>
      <c r="BT1630" s="72">
        <v>0</v>
      </c>
      <c r="BU1630" s="151" t="e">
        <f t="shared" si="101"/>
        <v>#DIV/0!</v>
      </c>
      <c r="BV1630" s="151" t="e">
        <f t="shared" si="102"/>
        <v>#DIV/0!</v>
      </c>
    </row>
    <row r="1631" ht="30" customHeight="1" spans="1:75">
      <c r="A1631" s="55" t="s">
        <v>410</v>
      </c>
      <c r="B1631" s="56" t="s">
        <v>2247</v>
      </c>
      <c r="C1631" s="57" t="s">
        <v>2343</v>
      </c>
      <c r="D1631" s="59" t="s">
        <v>2620</v>
      </c>
      <c r="E1631" s="59" t="s">
        <v>2645</v>
      </c>
      <c r="F1631" s="59" t="str">
        <f>VLOOKUP(E1631,[1]库存!$B$1:$C$65536,2,FALSE)</f>
        <v>Xpeng E28A SAB LH A状态</v>
      </c>
      <c r="G1631" s="59" t="s">
        <v>2646</v>
      </c>
      <c r="H1631" s="59" t="s">
        <v>2647</v>
      </c>
      <c r="I1631" s="59" t="s">
        <v>170</v>
      </c>
      <c r="J1631" s="80" t="s">
        <v>65</v>
      </c>
      <c r="K1631" s="61"/>
      <c r="L1631" s="62">
        <v>2</v>
      </c>
      <c r="M1631" s="63">
        <v>1000</v>
      </c>
      <c r="N1631" s="64">
        <v>14</v>
      </c>
      <c r="O1631" s="62">
        <v>2</v>
      </c>
      <c r="P1631" s="65">
        <f t="shared" si="103"/>
        <v>0</v>
      </c>
      <c r="Q1631" s="66"/>
      <c r="R1631" s="66"/>
      <c r="S1631" s="66"/>
      <c r="T1631" s="66"/>
      <c r="U1631" s="66"/>
      <c r="V1631" s="66"/>
      <c r="W1631" s="66"/>
      <c r="X1631" s="66"/>
      <c r="Y1631" s="66"/>
      <c r="Z1631" s="66"/>
      <c r="AA1631" s="66"/>
      <c r="AB1631" s="66"/>
      <c r="AC1631" s="66"/>
      <c r="AD1631" s="66"/>
      <c r="AE1631" s="66"/>
      <c r="AF1631" s="66"/>
      <c r="AG1631" s="66"/>
      <c r="AH1631" s="66"/>
      <c r="AI1631" s="66"/>
      <c r="AJ1631" s="66"/>
      <c r="AK1631" s="66"/>
      <c r="AL1631" s="66"/>
      <c r="AM1631" s="66"/>
      <c r="AN1631" s="66"/>
      <c r="AO1631" s="66"/>
      <c r="AP1631" s="66"/>
      <c r="AQ1631" s="66"/>
      <c r="AR1631" s="66"/>
      <c r="AS1631" s="66"/>
      <c r="AT1631" s="66"/>
      <c r="AU1631" s="66"/>
      <c r="AV1631" s="66"/>
      <c r="AW1631" s="66"/>
      <c r="AX1631" s="66"/>
      <c r="AY1631" s="66"/>
      <c r="AZ1631" s="66"/>
      <c r="BA1631" s="66"/>
      <c r="BB1631" s="66"/>
      <c r="BC1631" s="66"/>
      <c r="BD1631" s="66"/>
      <c r="BE1631" s="67"/>
      <c r="BF1631" s="67"/>
      <c r="BG1631" s="68"/>
      <c r="BI1631" s="69">
        <v>0</v>
      </c>
      <c r="BJ1631" s="70">
        <v>0</v>
      </c>
      <c r="BK1631" s="71">
        <v>0</v>
      </c>
      <c r="BL1631" s="71">
        <v>0</v>
      </c>
      <c r="BM1631" s="71">
        <v>0</v>
      </c>
      <c r="BN1631" s="72">
        <v>0</v>
      </c>
      <c r="BO1631" s="151" t="e">
        <f t="shared" si="104"/>
        <v>#DIV/0!</v>
      </c>
      <c r="BP1631" s="151" t="e">
        <f t="shared" si="105"/>
        <v>#DIV/0!</v>
      </c>
      <c r="BQ1631" s="71">
        <v>0</v>
      </c>
      <c r="BR1631" s="71">
        <v>0</v>
      </c>
      <c r="BS1631" s="71">
        <v>0</v>
      </c>
      <c r="BT1631" s="72">
        <v>0</v>
      </c>
      <c r="BU1631" s="151" t="e">
        <f t="shared" si="101"/>
        <v>#DIV/0!</v>
      </c>
      <c r="BV1631" s="151" t="e">
        <f t="shared" si="102"/>
        <v>#DIV/0!</v>
      </c>
    </row>
    <row r="1632" ht="30" customHeight="1" spans="1:75">
      <c r="A1632" s="55">
        <v>0</v>
      </c>
      <c r="B1632" s="56">
        <v>0</v>
      </c>
      <c r="C1632" s="57">
        <v>0</v>
      </c>
      <c r="D1632" s="74"/>
      <c r="E1632" s="74"/>
      <c r="F1632" s="59" t="e">
        <f>VLOOKUP(E1632,[1]库存!$B$1:$C$65536,2,FALSE)</f>
        <v>#N/A</v>
      </c>
      <c r="G1632" s="59" t="e">
        <v>#N/A</v>
      </c>
      <c r="H1632" s="74"/>
      <c r="I1632" s="74"/>
      <c r="J1632" s="81"/>
      <c r="K1632" s="61"/>
      <c r="L1632" s="62">
        <v>0</v>
      </c>
      <c r="M1632" s="63">
        <v>0</v>
      </c>
      <c r="N1632" s="64">
        <v>0</v>
      </c>
      <c r="O1632" s="62">
        <v>0</v>
      </c>
      <c r="P1632" s="65">
        <f t="shared" si="103"/>
        <v>0</v>
      </c>
      <c r="Q1632" s="66"/>
      <c r="R1632" s="66"/>
      <c r="S1632" s="66"/>
      <c r="T1632" s="66"/>
      <c r="U1632" s="66"/>
      <c r="V1632" s="66"/>
      <c r="W1632" s="66"/>
      <c r="X1632" s="66"/>
      <c r="Y1632" s="66"/>
      <c r="Z1632" s="66"/>
      <c r="AA1632" s="66"/>
      <c r="AB1632" s="66"/>
      <c r="AC1632" s="66"/>
      <c r="AD1632" s="66"/>
      <c r="AE1632" s="66"/>
      <c r="AF1632" s="66"/>
      <c r="AG1632" s="66"/>
      <c r="AH1632" s="66"/>
      <c r="AI1632" s="66"/>
      <c r="AJ1632" s="66"/>
      <c r="AK1632" s="66"/>
      <c r="AL1632" s="66"/>
      <c r="AM1632" s="66"/>
      <c r="AN1632" s="66"/>
      <c r="AO1632" s="66"/>
      <c r="AP1632" s="66"/>
      <c r="AQ1632" s="66"/>
      <c r="AR1632" s="66"/>
      <c r="AS1632" s="66"/>
      <c r="AT1632" s="66"/>
      <c r="AU1632" s="66"/>
      <c r="AV1632" s="66"/>
      <c r="AW1632" s="66"/>
      <c r="AX1632" s="66"/>
      <c r="AY1632" s="66"/>
      <c r="AZ1632" s="66"/>
      <c r="BA1632" s="66"/>
      <c r="BB1632" s="66"/>
      <c r="BC1632" s="66"/>
      <c r="BD1632" s="66"/>
      <c r="BE1632" s="67"/>
      <c r="BF1632" s="67"/>
      <c r="BG1632" s="68"/>
      <c r="BI1632" s="69">
        <v>0</v>
      </c>
      <c r="BJ1632" s="70">
        <v>0</v>
      </c>
      <c r="BK1632" s="71">
        <v>0</v>
      </c>
      <c r="BL1632" s="71">
        <v>0</v>
      </c>
      <c r="BM1632" s="71">
        <v>0</v>
      </c>
      <c r="BN1632" s="72">
        <v>0</v>
      </c>
      <c r="BO1632" s="151" t="e">
        <f t="shared" si="104"/>
        <v>#DIV/0!</v>
      </c>
      <c r="BP1632" s="151" t="e">
        <f t="shared" si="105"/>
        <v>#DIV/0!</v>
      </c>
      <c r="BQ1632" s="71">
        <v>0</v>
      </c>
      <c r="BR1632" s="71">
        <v>0</v>
      </c>
      <c r="BS1632" s="71">
        <v>0</v>
      </c>
      <c r="BT1632" s="72">
        <v>0</v>
      </c>
      <c r="BU1632" s="151" t="e">
        <f t="shared" si="101"/>
        <v>#DIV/0!</v>
      </c>
      <c r="BV1632" s="151" t="e">
        <f t="shared" si="102"/>
        <v>#DIV/0!</v>
      </c>
    </row>
    <row r="1633" ht="30" customHeight="1" spans="1:74">
      <c r="A1633" s="55" t="s">
        <v>410</v>
      </c>
      <c r="B1633" s="56" t="s">
        <v>2247</v>
      </c>
      <c r="C1633" s="57" t="s">
        <v>2343</v>
      </c>
      <c r="D1633" s="59" t="s">
        <v>2620</v>
      </c>
      <c r="E1633" s="59" t="s">
        <v>2648</v>
      </c>
      <c r="F1633" s="59" t="str">
        <f>VLOOKUP(E1633,[1]库存!$B$1:$C$65536,2,FALSE)</f>
        <v>Xpeng E28A SAB RH A状态</v>
      </c>
      <c r="G1633" s="59" t="s">
        <v>2649</v>
      </c>
      <c r="H1633" s="59" t="s">
        <v>2650</v>
      </c>
      <c r="I1633" s="59" t="s">
        <v>170</v>
      </c>
      <c r="J1633" s="80" t="s">
        <v>65</v>
      </c>
      <c r="K1633" s="61"/>
      <c r="L1633" s="62">
        <v>2</v>
      </c>
      <c r="M1633" s="63">
        <v>1000</v>
      </c>
      <c r="N1633" s="64">
        <v>14</v>
      </c>
      <c r="O1633" s="62">
        <v>2</v>
      </c>
      <c r="P1633" s="65">
        <f t="shared" si="103"/>
        <v>0</v>
      </c>
      <c r="Q1633" s="66"/>
      <c r="R1633" s="66"/>
      <c r="S1633" s="66"/>
      <c r="T1633" s="66"/>
      <c r="U1633" s="66"/>
      <c r="V1633" s="66"/>
      <c r="W1633" s="66"/>
      <c r="X1633" s="66"/>
      <c r="Y1633" s="66"/>
      <c r="Z1633" s="66"/>
      <c r="AA1633" s="66"/>
      <c r="AB1633" s="66"/>
      <c r="AC1633" s="66"/>
      <c r="AD1633" s="66"/>
      <c r="AE1633" s="66"/>
      <c r="AF1633" s="66"/>
      <c r="AG1633" s="66"/>
      <c r="AH1633" s="66"/>
      <c r="AI1633" s="66"/>
      <c r="AJ1633" s="66"/>
      <c r="AK1633" s="66"/>
      <c r="AL1633" s="66"/>
      <c r="AM1633" s="66"/>
      <c r="AN1633" s="66"/>
      <c r="AO1633" s="66"/>
      <c r="AP1633" s="66"/>
      <c r="AQ1633" s="66"/>
      <c r="AR1633" s="66"/>
      <c r="AS1633" s="66"/>
      <c r="AT1633" s="66"/>
      <c r="AU1633" s="66"/>
      <c r="AV1633" s="66"/>
      <c r="AW1633" s="66"/>
      <c r="AX1633" s="66"/>
      <c r="AY1633" s="66"/>
      <c r="AZ1633" s="66"/>
      <c r="BA1633" s="66"/>
      <c r="BB1633" s="66"/>
      <c r="BC1633" s="66"/>
      <c r="BD1633" s="66"/>
      <c r="BE1633" s="67"/>
      <c r="BF1633" s="67"/>
      <c r="BG1633" s="68"/>
      <c r="BI1633" s="69">
        <v>0</v>
      </c>
      <c r="BJ1633" s="70">
        <v>0</v>
      </c>
      <c r="BK1633" s="71">
        <v>0</v>
      </c>
      <c r="BL1633" s="71">
        <v>0</v>
      </c>
      <c r="BM1633" s="71">
        <v>0</v>
      </c>
      <c r="BN1633" s="72">
        <v>0</v>
      </c>
      <c r="BO1633" s="151" t="e">
        <f t="shared" si="104"/>
        <v>#DIV/0!</v>
      </c>
      <c r="BP1633" s="151" t="e">
        <f t="shared" si="105"/>
        <v>#DIV/0!</v>
      </c>
      <c r="BQ1633" s="71">
        <v>0</v>
      </c>
      <c r="BR1633" s="71">
        <v>0</v>
      </c>
      <c r="BS1633" s="71">
        <v>0</v>
      </c>
      <c r="BT1633" s="72">
        <v>0</v>
      </c>
      <c r="BU1633" s="151" t="e">
        <f t="shared" si="101"/>
        <v>#DIV/0!</v>
      </c>
      <c r="BV1633" s="151" t="e">
        <f t="shared" si="102"/>
        <v>#DIV/0!</v>
      </c>
    </row>
    <row r="1634" ht="30" customHeight="1" spans="1:74">
      <c r="A1634" s="55">
        <v>0</v>
      </c>
      <c r="B1634" s="56">
        <v>0</v>
      </c>
      <c r="C1634" s="57">
        <v>0</v>
      </c>
      <c r="D1634" s="74"/>
      <c r="E1634" s="74"/>
      <c r="F1634" s="59" t="e">
        <f>VLOOKUP(E1634,[1]库存!$B$1:$C$65536,2,FALSE)</f>
        <v>#N/A</v>
      </c>
      <c r="G1634" s="59" t="e">
        <v>#N/A</v>
      </c>
      <c r="H1634" s="74"/>
      <c r="I1634" s="74"/>
      <c r="J1634" s="81"/>
      <c r="K1634" s="61"/>
      <c r="L1634" s="62">
        <v>0</v>
      </c>
      <c r="M1634" s="63">
        <v>0</v>
      </c>
      <c r="N1634" s="64">
        <v>0</v>
      </c>
      <c r="O1634" s="62">
        <v>0</v>
      </c>
      <c r="P1634" s="65">
        <f t="shared" si="103"/>
        <v>0</v>
      </c>
      <c r="R1634" s="66"/>
      <c r="T1634" s="66"/>
      <c r="V1634" s="66"/>
      <c r="X1634" s="66"/>
      <c r="Z1634" s="66"/>
      <c r="AB1634" s="66"/>
      <c r="AD1634" s="66"/>
      <c r="AF1634" s="66"/>
      <c r="AH1634" s="66"/>
      <c r="AJ1634" s="66"/>
      <c r="AL1634" s="66"/>
      <c r="AN1634" s="66"/>
      <c r="AP1634" s="66"/>
      <c r="AR1634" s="66"/>
      <c r="AT1634" s="66"/>
      <c r="AV1634" s="66"/>
      <c r="AX1634" s="66"/>
      <c r="AZ1634" s="66"/>
      <c r="BB1634" s="66"/>
      <c r="BD1634" s="66"/>
      <c r="BF1634" s="67"/>
      <c r="BG1634" s="68"/>
      <c r="BI1634" s="69">
        <v>0</v>
      </c>
      <c r="BJ1634" s="70">
        <v>0</v>
      </c>
      <c r="BK1634" s="71">
        <v>0</v>
      </c>
      <c r="BL1634" s="71">
        <v>0</v>
      </c>
      <c r="BM1634" s="71">
        <v>0</v>
      </c>
      <c r="BN1634" s="72">
        <v>0</v>
      </c>
      <c r="BO1634" s="151" t="e">
        <f t="shared" si="104"/>
        <v>#DIV/0!</v>
      </c>
      <c r="BP1634" s="151" t="e">
        <f t="shared" si="105"/>
        <v>#DIV/0!</v>
      </c>
      <c r="BQ1634" s="71">
        <v>0</v>
      </c>
      <c r="BR1634" s="71">
        <v>0</v>
      </c>
      <c r="BS1634" s="71">
        <v>0</v>
      </c>
      <c r="BT1634" s="72">
        <v>0</v>
      </c>
      <c r="BU1634" s="151" t="e">
        <f t="shared" si="101"/>
        <v>#DIV/0!</v>
      </c>
      <c r="BV1634" s="151" t="e">
        <f t="shared" si="102"/>
        <v>#DIV/0!</v>
      </c>
    </row>
    <row r="1635" ht="30" customHeight="1" spans="1:74">
      <c r="A1635" s="55">
        <v>0</v>
      </c>
      <c r="B1635" s="56" t="s">
        <v>2247</v>
      </c>
      <c r="C1635" s="57" t="s">
        <v>2343</v>
      </c>
      <c r="D1635" s="59" t="s">
        <v>2620</v>
      </c>
      <c r="E1635" s="59" t="s">
        <v>2651</v>
      </c>
      <c r="F1635" s="59" t="str">
        <f>VLOOKUP(E1635,[1]库存!$B$1:$C$65536,2,FALSE)</f>
        <v>CHANGAN E12 FSAB LH B状态</v>
      </c>
      <c r="G1635" s="59" t="s">
        <v>2652</v>
      </c>
      <c r="H1635" s="59" t="s">
        <v>2653</v>
      </c>
      <c r="I1635" s="59" t="s">
        <v>2610</v>
      </c>
      <c r="J1635" s="80" t="s">
        <v>65</v>
      </c>
      <c r="K1635" s="61"/>
      <c r="L1635" s="62">
        <v>2</v>
      </c>
      <c r="M1635" s="63">
        <v>1050</v>
      </c>
      <c r="N1635" s="64">
        <v>10</v>
      </c>
      <c r="O1635" s="62">
        <v>2</v>
      </c>
      <c r="P1635" s="65">
        <f t="shared" si="103"/>
        <v>0</v>
      </c>
      <c r="Q1635" s="103"/>
      <c r="R1635" s="66"/>
      <c r="S1635" s="103"/>
      <c r="T1635" s="66"/>
      <c r="U1635" s="103"/>
      <c r="V1635" s="66"/>
      <c r="W1635" s="103"/>
      <c r="X1635" s="66"/>
      <c r="Y1635" s="103"/>
      <c r="Z1635" s="66"/>
      <c r="AA1635" s="103"/>
      <c r="AB1635" s="66"/>
      <c r="AC1635" s="103"/>
      <c r="AD1635" s="66"/>
      <c r="AE1635" s="103"/>
      <c r="AF1635" s="66"/>
      <c r="AG1635" s="103"/>
      <c r="AH1635" s="66"/>
      <c r="AI1635" s="103"/>
      <c r="AJ1635" s="66"/>
      <c r="AK1635" s="103"/>
      <c r="AL1635" s="66"/>
      <c r="AM1635" s="103"/>
      <c r="AN1635" s="66"/>
      <c r="AO1635" s="103"/>
      <c r="AP1635" s="66"/>
      <c r="AQ1635" s="103"/>
      <c r="AR1635" s="66"/>
      <c r="AS1635" s="103"/>
      <c r="AT1635" s="66"/>
      <c r="AU1635" s="103"/>
      <c r="AV1635" s="66"/>
      <c r="AW1635" s="103"/>
      <c r="AX1635" s="66"/>
      <c r="AY1635" s="103"/>
      <c r="AZ1635" s="66"/>
      <c r="BA1635" s="103"/>
      <c r="BB1635" s="66"/>
      <c r="BC1635" s="103"/>
      <c r="BD1635" s="66"/>
      <c r="BE1635" s="105"/>
      <c r="BF1635" s="67"/>
      <c r="BG1635" s="68"/>
      <c r="BI1635" s="69">
        <v>0</v>
      </c>
      <c r="BJ1635" s="70">
        <v>0</v>
      </c>
      <c r="BK1635" s="71">
        <v>0</v>
      </c>
      <c r="BL1635" s="71">
        <v>0</v>
      </c>
      <c r="BM1635" s="71">
        <v>0</v>
      </c>
      <c r="BN1635" s="72">
        <v>0</v>
      </c>
      <c r="BO1635" s="151" t="e">
        <f t="shared" si="104"/>
        <v>#DIV/0!</v>
      </c>
      <c r="BP1635" s="151" t="e">
        <f t="shared" si="105"/>
        <v>#DIV/0!</v>
      </c>
      <c r="BQ1635" s="71">
        <v>0</v>
      </c>
      <c r="BR1635" s="71">
        <v>0</v>
      </c>
      <c r="BS1635" s="71">
        <v>0</v>
      </c>
      <c r="BT1635" s="72">
        <v>0</v>
      </c>
      <c r="BU1635" s="151" t="e">
        <f t="shared" si="101"/>
        <v>#DIV/0!</v>
      </c>
      <c r="BV1635" s="151" t="e">
        <f t="shared" si="102"/>
        <v>#DIV/0!</v>
      </c>
    </row>
    <row r="1636" ht="30" customHeight="1" spans="1:74">
      <c r="A1636" s="55">
        <v>0</v>
      </c>
      <c r="B1636" s="56">
        <v>0</v>
      </c>
      <c r="C1636" s="57">
        <v>0</v>
      </c>
      <c r="D1636" s="74"/>
      <c r="E1636" s="74"/>
      <c r="F1636" s="59" t="e">
        <f>VLOOKUP(E1636,[1]库存!$B$1:$C$65536,2,FALSE)</f>
        <v>#N/A</v>
      </c>
      <c r="G1636" s="59" t="e">
        <v>#N/A</v>
      </c>
      <c r="H1636" s="74"/>
      <c r="I1636" s="74"/>
      <c r="J1636" s="81"/>
      <c r="K1636" s="61"/>
      <c r="L1636" s="62">
        <v>0</v>
      </c>
      <c r="M1636" s="63">
        <v>0</v>
      </c>
      <c r="N1636" s="64">
        <v>0</v>
      </c>
      <c r="O1636" s="62">
        <v>0</v>
      </c>
      <c r="P1636" s="65">
        <f t="shared" si="103"/>
        <v>0</v>
      </c>
      <c r="Q1636" s="103"/>
      <c r="R1636" s="66"/>
      <c r="S1636" s="103"/>
      <c r="T1636" s="66"/>
      <c r="U1636" s="103"/>
      <c r="V1636" s="66"/>
      <c r="W1636" s="103"/>
      <c r="X1636" s="66"/>
      <c r="Y1636" s="103"/>
      <c r="Z1636" s="66"/>
      <c r="AA1636" s="103"/>
      <c r="AB1636" s="66"/>
      <c r="AC1636" s="103"/>
      <c r="AD1636" s="66"/>
      <c r="AE1636" s="103"/>
      <c r="AF1636" s="66"/>
      <c r="AG1636" s="103"/>
      <c r="AH1636" s="66"/>
      <c r="AI1636" s="103"/>
      <c r="AJ1636" s="66"/>
      <c r="AK1636" s="103"/>
      <c r="AL1636" s="66"/>
      <c r="AM1636" s="103"/>
      <c r="AN1636" s="66"/>
      <c r="AO1636" s="103"/>
      <c r="AP1636" s="66"/>
      <c r="AQ1636" s="103"/>
      <c r="AR1636" s="66"/>
      <c r="AS1636" s="103"/>
      <c r="AT1636" s="66"/>
      <c r="AU1636" s="103"/>
      <c r="AV1636" s="66"/>
      <c r="AW1636" s="103"/>
      <c r="AX1636" s="66"/>
      <c r="AY1636" s="103"/>
      <c r="AZ1636" s="66"/>
      <c r="BA1636" s="103"/>
      <c r="BB1636" s="66"/>
      <c r="BC1636" s="103"/>
      <c r="BD1636" s="66"/>
      <c r="BE1636" s="105"/>
      <c r="BF1636" s="67"/>
      <c r="BG1636" s="68"/>
      <c r="BI1636" s="69">
        <v>0</v>
      </c>
      <c r="BJ1636" s="70">
        <v>0</v>
      </c>
      <c r="BK1636" s="71">
        <v>0</v>
      </c>
      <c r="BL1636" s="71">
        <v>0</v>
      </c>
      <c r="BM1636" s="71">
        <v>0</v>
      </c>
      <c r="BN1636" s="72">
        <v>0</v>
      </c>
      <c r="BO1636" s="151" t="e">
        <f t="shared" si="104"/>
        <v>#DIV/0!</v>
      </c>
      <c r="BP1636" s="151" t="e">
        <f t="shared" si="105"/>
        <v>#DIV/0!</v>
      </c>
      <c r="BQ1636" s="71">
        <v>0</v>
      </c>
      <c r="BR1636" s="71">
        <v>0</v>
      </c>
      <c r="BS1636" s="71">
        <v>0</v>
      </c>
      <c r="BT1636" s="72">
        <v>0</v>
      </c>
      <c r="BU1636" s="151" t="e">
        <f t="shared" si="101"/>
        <v>#DIV/0!</v>
      </c>
      <c r="BV1636" s="151" t="e">
        <f t="shared" si="102"/>
        <v>#DIV/0!</v>
      </c>
    </row>
    <row r="1637" ht="30" customHeight="1" spans="1:74">
      <c r="A1637" s="55">
        <v>0</v>
      </c>
      <c r="B1637" s="56" t="s">
        <v>2247</v>
      </c>
      <c r="C1637" s="57" t="s">
        <v>2343</v>
      </c>
      <c r="D1637" s="59" t="s">
        <v>2620</v>
      </c>
      <c r="E1637" s="59" t="s">
        <v>2654</v>
      </c>
      <c r="F1637" s="59" t="str">
        <f>VLOOKUP(E1637,[1]库存!$B$1:$C$65536,2,FALSE)</f>
        <v>CHANGAN E12 FSAB RH B状态</v>
      </c>
      <c r="G1637" s="59" t="s">
        <v>2655</v>
      </c>
      <c r="H1637" s="59" t="s">
        <v>2656</v>
      </c>
      <c r="I1637" s="59" t="s">
        <v>2610</v>
      </c>
      <c r="J1637" s="80" t="s">
        <v>65</v>
      </c>
      <c r="K1637" s="61"/>
      <c r="L1637" s="62">
        <v>2</v>
      </c>
      <c r="M1637" s="63">
        <v>1050</v>
      </c>
      <c r="N1637" s="64">
        <v>10</v>
      </c>
      <c r="O1637" s="62">
        <v>2</v>
      </c>
      <c r="P1637" s="65">
        <f t="shared" si="103"/>
        <v>0</v>
      </c>
      <c r="Q1637" s="103"/>
      <c r="R1637" s="66"/>
      <c r="S1637" s="103"/>
      <c r="T1637" s="66"/>
      <c r="U1637" s="103"/>
      <c r="V1637" s="66"/>
      <c r="W1637" s="103"/>
      <c r="X1637" s="66"/>
      <c r="Y1637" s="103"/>
      <c r="Z1637" s="66"/>
      <c r="AA1637" s="103"/>
      <c r="AB1637" s="66"/>
      <c r="AC1637" s="103"/>
      <c r="AD1637" s="66"/>
      <c r="AE1637" s="103"/>
      <c r="AF1637" s="66"/>
      <c r="AG1637" s="103"/>
      <c r="AH1637" s="66"/>
      <c r="AI1637" s="103"/>
      <c r="AJ1637" s="66"/>
      <c r="AK1637" s="103"/>
      <c r="AL1637" s="66"/>
      <c r="AM1637" s="103"/>
      <c r="AN1637" s="66"/>
      <c r="AO1637" s="103"/>
      <c r="AP1637" s="66"/>
      <c r="AQ1637" s="103"/>
      <c r="AR1637" s="66"/>
      <c r="AS1637" s="103"/>
      <c r="AT1637" s="66"/>
      <c r="AU1637" s="103"/>
      <c r="AV1637" s="66"/>
      <c r="AW1637" s="103"/>
      <c r="AX1637" s="66"/>
      <c r="AY1637" s="103"/>
      <c r="AZ1637" s="66"/>
      <c r="BA1637" s="103"/>
      <c r="BB1637" s="66"/>
      <c r="BC1637" s="103"/>
      <c r="BD1637" s="66"/>
      <c r="BE1637" s="105"/>
      <c r="BF1637" s="67"/>
      <c r="BG1637" s="68"/>
      <c r="BI1637" s="69">
        <v>0</v>
      </c>
      <c r="BJ1637" s="70">
        <v>0</v>
      </c>
      <c r="BK1637" s="71">
        <v>0</v>
      </c>
      <c r="BL1637" s="71">
        <v>0</v>
      </c>
      <c r="BM1637" s="71">
        <v>0</v>
      </c>
      <c r="BN1637" s="72">
        <v>0</v>
      </c>
      <c r="BO1637" s="151" t="e">
        <f t="shared" si="104"/>
        <v>#DIV/0!</v>
      </c>
      <c r="BP1637" s="151" t="e">
        <f t="shared" si="105"/>
        <v>#DIV/0!</v>
      </c>
      <c r="BQ1637" s="71">
        <v>0</v>
      </c>
      <c r="BR1637" s="71">
        <v>0</v>
      </c>
      <c r="BS1637" s="71">
        <v>0</v>
      </c>
      <c r="BT1637" s="72">
        <v>0</v>
      </c>
      <c r="BU1637" s="151" t="e">
        <f t="shared" si="101"/>
        <v>#DIV/0!</v>
      </c>
      <c r="BV1637" s="151" t="e">
        <f t="shared" si="102"/>
        <v>#DIV/0!</v>
      </c>
    </row>
    <row r="1638" ht="30" customHeight="1" spans="1:74">
      <c r="A1638" s="55">
        <v>0</v>
      </c>
      <c r="B1638" s="56">
        <v>0</v>
      </c>
      <c r="C1638" s="57">
        <v>0</v>
      </c>
      <c r="D1638" s="74"/>
      <c r="E1638" s="74"/>
      <c r="F1638" s="59" t="e">
        <f>VLOOKUP(E1638,[1]库存!$B$1:$C$65536,2,FALSE)</f>
        <v>#N/A</v>
      </c>
      <c r="G1638" s="59" t="e">
        <v>#N/A</v>
      </c>
      <c r="H1638" s="74"/>
      <c r="I1638" s="74"/>
      <c r="J1638" s="81"/>
      <c r="K1638" s="61"/>
      <c r="L1638" s="62">
        <v>0</v>
      </c>
      <c r="M1638" s="63">
        <v>0</v>
      </c>
      <c r="N1638" s="64">
        <v>0</v>
      </c>
      <c r="O1638" s="62">
        <v>0</v>
      </c>
      <c r="P1638" s="65">
        <f t="shared" si="103"/>
        <v>0</v>
      </c>
      <c r="Q1638" s="66"/>
      <c r="R1638" s="66"/>
      <c r="S1638" s="66"/>
      <c r="T1638" s="66"/>
      <c r="U1638" s="66"/>
      <c r="V1638" s="66"/>
      <c r="W1638" s="66"/>
      <c r="X1638" s="66"/>
      <c r="Y1638" s="66"/>
      <c r="Z1638" s="66"/>
      <c r="AA1638" s="66"/>
      <c r="AB1638" s="66"/>
      <c r="AC1638" s="66"/>
      <c r="AD1638" s="66"/>
      <c r="AE1638" s="66"/>
      <c r="AF1638" s="66"/>
      <c r="AG1638" s="66"/>
      <c r="AH1638" s="66"/>
      <c r="AI1638" s="66"/>
      <c r="AJ1638" s="66"/>
      <c r="AK1638" s="66"/>
      <c r="AL1638" s="66"/>
      <c r="AM1638" s="66"/>
      <c r="AN1638" s="66"/>
      <c r="AO1638" s="66"/>
      <c r="AP1638" s="66"/>
      <c r="AQ1638" s="66"/>
      <c r="AR1638" s="66"/>
      <c r="AS1638" s="66"/>
      <c r="AT1638" s="66"/>
      <c r="AU1638" s="66"/>
      <c r="AV1638" s="66"/>
      <c r="AW1638" s="66"/>
      <c r="AX1638" s="66"/>
      <c r="AY1638" s="66"/>
      <c r="AZ1638" s="66"/>
      <c r="BA1638" s="66"/>
      <c r="BB1638" s="66"/>
      <c r="BC1638" s="66"/>
      <c r="BD1638" s="66"/>
      <c r="BE1638" s="67"/>
      <c r="BF1638" s="67"/>
      <c r="BG1638" s="68"/>
      <c r="BI1638" s="69">
        <v>0</v>
      </c>
      <c r="BJ1638" s="70">
        <v>0</v>
      </c>
      <c r="BK1638" s="71">
        <v>0</v>
      </c>
      <c r="BL1638" s="71">
        <v>0</v>
      </c>
      <c r="BM1638" s="71">
        <v>0</v>
      </c>
      <c r="BN1638" s="72">
        <v>0</v>
      </c>
      <c r="BO1638" s="151" t="e">
        <f t="shared" si="104"/>
        <v>#DIV/0!</v>
      </c>
      <c r="BP1638" s="151" t="e">
        <f t="shared" si="105"/>
        <v>#DIV/0!</v>
      </c>
      <c r="BQ1638" s="71">
        <v>0</v>
      </c>
      <c r="BR1638" s="71">
        <v>0</v>
      </c>
      <c r="BS1638" s="71">
        <v>0</v>
      </c>
      <c r="BT1638" s="72">
        <v>0</v>
      </c>
      <c r="BU1638" s="151" t="e">
        <f t="shared" si="101"/>
        <v>#DIV/0!</v>
      </c>
      <c r="BV1638" s="151" t="e">
        <f t="shared" si="102"/>
        <v>#DIV/0!</v>
      </c>
    </row>
    <row r="1639" ht="30" customHeight="1" spans="1:74">
      <c r="A1639" s="55">
        <v>0</v>
      </c>
      <c r="B1639" s="56" t="s">
        <v>2247</v>
      </c>
      <c r="C1639" s="57" t="s">
        <v>2343</v>
      </c>
      <c r="D1639" s="59" t="s">
        <v>2620</v>
      </c>
      <c r="E1639" s="59"/>
      <c r="F1639" s="59" t="e">
        <f>VLOOKUP(E1639,[1]库存!$B$1:$C$65536,2,FALSE)</f>
        <v>#N/A</v>
      </c>
      <c r="G1639" s="59" t="e">
        <v>#N/A</v>
      </c>
      <c r="H1639" s="59" t="s">
        <v>2657</v>
      </c>
      <c r="I1639" s="59" t="s">
        <v>2658</v>
      </c>
      <c r="J1639" s="63"/>
      <c r="K1639" s="61"/>
      <c r="L1639" s="62">
        <v>2</v>
      </c>
      <c r="M1639" s="63">
        <v>1050</v>
      </c>
      <c r="N1639" s="64">
        <v>10</v>
      </c>
      <c r="O1639" s="62">
        <v>2</v>
      </c>
      <c r="P1639" s="65">
        <f t="shared" si="103"/>
        <v>0</v>
      </c>
      <c r="Q1639" s="66"/>
      <c r="R1639" s="66"/>
      <c r="S1639" s="66"/>
      <c r="T1639" s="66"/>
      <c r="U1639" s="66"/>
      <c r="V1639" s="66"/>
      <c r="W1639" s="66"/>
      <c r="X1639" s="66"/>
      <c r="Y1639" s="66"/>
      <c r="Z1639" s="66"/>
      <c r="AA1639" s="66"/>
      <c r="AB1639" s="66"/>
      <c r="AC1639" s="66"/>
      <c r="AD1639" s="66"/>
      <c r="AE1639" s="66"/>
      <c r="AF1639" s="66"/>
      <c r="AG1639" s="66"/>
      <c r="AH1639" s="66"/>
      <c r="AI1639" s="66"/>
      <c r="AJ1639" s="66"/>
      <c r="AK1639" s="66"/>
      <c r="AL1639" s="66"/>
      <c r="AM1639" s="66"/>
      <c r="AN1639" s="66"/>
      <c r="AO1639" s="66"/>
      <c r="AP1639" s="66"/>
      <c r="AQ1639" s="66"/>
      <c r="AR1639" s="66"/>
      <c r="AS1639" s="66"/>
      <c r="AT1639" s="66"/>
      <c r="AU1639" s="66"/>
      <c r="AV1639" s="66"/>
      <c r="AW1639" s="66"/>
      <c r="AX1639" s="66"/>
      <c r="AY1639" s="66"/>
      <c r="AZ1639" s="66"/>
      <c r="BA1639" s="66"/>
      <c r="BB1639" s="66"/>
      <c r="BC1639" s="66"/>
      <c r="BD1639" s="66"/>
      <c r="BE1639" s="67"/>
      <c r="BF1639" s="67"/>
      <c r="BG1639" s="68"/>
      <c r="BI1639" s="69">
        <v>0</v>
      </c>
      <c r="BJ1639" s="70">
        <v>0</v>
      </c>
      <c r="BK1639" s="71">
        <v>0</v>
      </c>
      <c r="BL1639" s="71">
        <v>0</v>
      </c>
      <c r="BM1639" s="71">
        <v>0</v>
      </c>
      <c r="BN1639" s="72">
        <v>0</v>
      </c>
      <c r="BO1639" s="151" t="e">
        <f t="shared" si="104"/>
        <v>#DIV/0!</v>
      </c>
      <c r="BP1639" s="151" t="e">
        <f t="shared" si="105"/>
        <v>#DIV/0!</v>
      </c>
      <c r="BQ1639" s="71">
        <v>0</v>
      </c>
      <c r="BR1639" s="71">
        <v>0</v>
      </c>
      <c r="BS1639" s="71">
        <v>0</v>
      </c>
      <c r="BT1639" s="72">
        <v>0</v>
      </c>
      <c r="BU1639" s="151" t="e">
        <f t="shared" si="101"/>
        <v>#DIV/0!</v>
      </c>
      <c r="BV1639" s="151" t="e">
        <f t="shared" si="102"/>
        <v>#DIV/0!</v>
      </c>
    </row>
    <row r="1640" ht="30" customHeight="1" spans="1:74">
      <c r="A1640" s="55">
        <v>0</v>
      </c>
      <c r="B1640" s="56">
        <v>0</v>
      </c>
      <c r="C1640" s="57">
        <v>0</v>
      </c>
      <c r="D1640" s="74"/>
      <c r="E1640" s="74"/>
      <c r="F1640" s="59" t="e">
        <f>VLOOKUP(E1640,[1]库存!$B$1:$C$65536,2,FALSE)</f>
        <v>#N/A</v>
      </c>
      <c r="G1640" s="59" t="e">
        <v>#N/A</v>
      </c>
      <c r="H1640" s="74"/>
      <c r="I1640" s="74"/>
      <c r="J1640" s="87"/>
      <c r="K1640" s="61"/>
      <c r="L1640" s="62">
        <v>0</v>
      </c>
      <c r="M1640" s="63">
        <v>0</v>
      </c>
      <c r="N1640" s="64">
        <v>0</v>
      </c>
      <c r="O1640" s="62">
        <v>0</v>
      </c>
      <c r="P1640" s="65">
        <f t="shared" si="103"/>
        <v>0</v>
      </c>
      <c r="Q1640" s="66"/>
      <c r="R1640" s="66"/>
      <c r="S1640" s="66"/>
      <c r="T1640" s="66"/>
      <c r="U1640" s="66"/>
      <c r="V1640" s="66"/>
      <c r="W1640" s="66"/>
      <c r="X1640" s="66"/>
      <c r="Y1640" s="66"/>
      <c r="Z1640" s="66"/>
      <c r="AA1640" s="66"/>
      <c r="AB1640" s="66"/>
      <c r="AC1640" s="66"/>
      <c r="AD1640" s="66"/>
      <c r="AE1640" s="66"/>
      <c r="AF1640" s="66"/>
      <c r="AG1640" s="66"/>
      <c r="AH1640" s="66"/>
      <c r="AI1640" s="66"/>
      <c r="AJ1640" s="66"/>
      <c r="AK1640" s="66"/>
      <c r="AL1640" s="66"/>
      <c r="AM1640" s="66"/>
      <c r="AN1640" s="66"/>
      <c r="AO1640" s="66"/>
      <c r="AP1640" s="66"/>
      <c r="AQ1640" s="66"/>
      <c r="AR1640" s="66"/>
      <c r="AS1640" s="66"/>
      <c r="AT1640" s="66"/>
      <c r="AU1640" s="66"/>
      <c r="AV1640" s="66"/>
      <c r="AW1640" s="66"/>
      <c r="AX1640" s="66"/>
      <c r="AY1640" s="66"/>
      <c r="AZ1640" s="66"/>
      <c r="BA1640" s="66"/>
      <c r="BB1640" s="66"/>
      <c r="BC1640" s="66"/>
      <c r="BD1640" s="66"/>
      <c r="BE1640" s="67"/>
      <c r="BF1640" s="67"/>
      <c r="BG1640" s="68"/>
      <c r="BI1640" s="69">
        <v>0</v>
      </c>
      <c r="BJ1640" s="70">
        <v>0</v>
      </c>
      <c r="BK1640" s="71">
        <v>0</v>
      </c>
      <c r="BL1640" s="71">
        <v>0</v>
      </c>
      <c r="BM1640" s="71">
        <v>0</v>
      </c>
      <c r="BN1640" s="72">
        <v>0</v>
      </c>
      <c r="BO1640" s="151" t="e">
        <f t="shared" si="104"/>
        <v>#DIV/0!</v>
      </c>
      <c r="BP1640" s="151" t="e">
        <f t="shared" si="105"/>
        <v>#DIV/0!</v>
      </c>
      <c r="BQ1640" s="71">
        <v>0</v>
      </c>
      <c r="BR1640" s="71">
        <v>0</v>
      </c>
      <c r="BS1640" s="71">
        <v>0</v>
      </c>
      <c r="BT1640" s="72">
        <v>0</v>
      </c>
      <c r="BU1640" s="151" t="e">
        <f t="shared" si="101"/>
        <v>#DIV/0!</v>
      </c>
      <c r="BV1640" s="151" t="e">
        <f t="shared" si="102"/>
        <v>#DIV/0!</v>
      </c>
    </row>
    <row r="1641" ht="30" customHeight="1" spans="1:74">
      <c r="A1641" s="55">
        <v>0</v>
      </c>
      <c r="B1641" s="56" t="s">
        <v>2247</v>
      </c>
      <c r="C1641" s="57" t="s">
        <v>2343</v>
      </c>
      <c r="D1641" s="59" t="s">
        <v>2620</v>
      </c>
      <c r="E1641" s="59"/>
      <c r="F1641" s="59" t="e">
        <f>VLOOKUP(E1641,[1]库存!$B$1:$C$65536,2,FALSE)</f>
        <v>#N/A</v>
      </c>
      <c r="G1641" s="59" t="e">
        <v>#N/A</v>
      </c>
      <c r="H1641" s="59" t="s">
        <v>2659</v>
      </c>
      <c r="I1641" s="59" t="s">
        <v>2660</v>
      </c>
      <c r="J1641" s="63"/>
      <c r="K1641" s="61"/>
      <c r="L1641" s="62">
        <v>2</v>
      </c>
      <c r="M1641" s="63">
        <v>1050</v>
      </c>
      <c r="N1641" s="64">
        <v>10</v>
      </c>
      <c r="O1641" s="62">
        <v>2</v>
      </c>
      <c r="P1641" s="65">
        <f t="shared" si="103"/>
        <v>0</v>
      </c>
      <c r="Q1641" s="66"/>
      <c r="R1641" s="66"/>
      <c r="S1641" s="66"/>
      <c r="T1641" s="66"/>
      <c r="U1641" s="66"/>
      <c r="V1641" s="66"/>
      <c r="W1641" s="66"/>
      <c r="X1641" s="66"/>
      <c r="Y1641" s="66"/>
      <c r="Z1641" s="66"/>
      <c r="AA1641" s="66"/>
      <c r="AB1641" s="66"/>
      <c r="AC1641" s="66"/>
      <c r="AD1641" s="66"/>
      <c r="AE1641" s="66"/>
      <c r="AF1641" s="66"/>
      <c r="AG1641" s="66"/>
      <c r="AH1641" s="66"/>
      <c r="AI1641" s="66"/>
      <c r="AJ1641" s="66"/>
      <c r="AK1641" s="66"/>
      <c r="AL1641" s="66"/>
      <c r="AM1641" s="66"/>
      <c r="AN1641" s="66"/>
      <c r="AO1641" s="66"/>
      <c r="AP1641" s="66"/>
      <c r="AQ1641" s="66"/>
      <c r="AR1641" s="66"/>
      <c r="AS1641" s="66"/>
      <c r="AT1641" s="66"/>
      <c r="AU1641" s="66"/>
      <c r="AV1641" s="66"/>
      <c r="AW1641" s="66"/>
      <c r="AX1641" s="66"/>
      <c r="AY1641" s="66"/>
      <c r="AZ1641" s="66"/>
      <c r="BA1641" s="66"/>
      <c r="BB1641" s="66"/>
      <c r="BC1641" s="66"/>
      <c r="BD1641" s="66"/>
      <c r="BE1641" s="67"/>
      <c r="BF1641" s="67"/>
      <c r="BG1641" s="68"/>
      <c r="BI1641" s="69">
        <v>0</v>
      </c>
      <c r="BJ1641" s="70">
        <v>0</v>
      </c>
      <c r="BK1641" s="71">
        <v>0</v>
      </c>
      <c r="BL1641" s="71">
        <v>0</v>
      </c>
      <c r="BM1641" s="71">
        <v>0</v>
      </c>
      <c r="BN1641" s="72">
        <v>0</v>
      </c>
      <c r="BO1641" s="151" t="e">
        <f t="shared" si="104"/>
        <v>#DIV/0!</v>
      </c>
      <c r="BP1641" s="151" t="e">
        <f t="shared" si="105"/>
        <v>#DIV/0!</v>
      </c>
      <c r="BQ1641" s="71">
        <v>0</v>
      </c>
      <c r="BR1641" s="71">
        <v>0</v>
      </c>
      <c r="BS1641" s="71">
        <v>0</v>
      </c>
      <c r="BT1641" s="72">
        <v>0</v>
      </c>
      <c r="BU1641" s="151" t="e">
        <f t="shared" si="101"/>
        <v>#DIV/0!</v>
      </c>
      <c r="BV1641" s="151" t="e">
        <f t="shared" si="102"/>
        <v>#DIV/0!</v>
      </c>
    </row>
    <row r="1642" ht="30" customHeight="1" spans="1:74">
      <c r="A1642" s="55">
        <v>0</v>
      </c>
      <c r="B1642" s="56">
        <v>0</v>
      </c>
      <c r="C1642" s="57">
        <v>0</v>
      </c>
      <c r="D1642" s="74"/>
      <c r="E1642" s="74"/>
      <c r="F1642" s="59" t="e">
        <f>VLOOKUP(E1642,[1]库存!$B$1:$C$65536,2,FALSE)</f>
        <v>#N/A</v>
      </c>
      <c r="G1642" s="59" t="e">
        <v>#N/A</v>
      </c>
      <c r="H1642" s="74"/>
      <c r="I1642" s="74"/>
      <c r="J1642" s="87"/>
      <c r="K1642" s="61"/>
      <c r="L1642" s="62">
        <v>0</v>
      </c>
      <c r="M1642" s="63">
        <v>0</v>
      </c>
      <c r="N1642" s="64">
        <v>0</v>
      </c>
      <c r="O1642" s="62">
        <v>0</v>
      </c>
      <c r="P1642" s="65">
        <f t="shared" si="103"/>
        <v>0</v>
      </c>
      <c r="Q1642" s="66"/>
      <c r="R1642" s="66"/>
      <c r="S1642" s="66"/>
      <c r="T1642" s="66"/>
      <c r="U1642" s="66"/>
      <c r="V1642" s="66"/>
      <c r="W1642" s="66"/>
      <c r="X1642" s="66"/>
      <c r="Y1642" s="66"/>
      <c r="Z1642" s="66"/>
      <c r="AA1642" s="66"/>
      <c r="AB1642" s="66"/>
      <c r="AC1642" s="66"/>
      <c r="AD1642" s="66"/>
      <c r="AE1642" s="66"/>
      <c r="AF1642" s="66"/>
      <c r="AG1642" s="66"/>
      <c r="AH1642" s="66"/>
      <c r="AI1642" s="66"/>
      <c r="AJ1642" s="66"/>
      <c r="AK1642" s="66"/>
      <c r="AL1642" s="66"/>
      <c r="AM1642" s="66"/>
      <c r="AN1642" s="66"/>
      <c r="AO1642" s="66"/>
      <c r="AP1642" s="66"/>
      <c r="AQ1642" s="66"/>
      <c r="AR1642" s="66"/>
      <c r="AS1642" s="66"/>
      <c r="AT1642" s="66"/>
      <c r="AU1642" s="66"/>
      <c r="AV1642" s="66"/>
      <c r="AW1642" s="66"/>
      <c r="AX1642" s="66"/>
      <c r="AY1642" s="66"/>
      <c r="AZ1642" s="66"/>
      <c r="BA1642" s="66"/>
      <c r="BB1642" s="66"/>
      <c r="BC1642" s="66"/>
      <c r="BD1642" s="66"/>
      <c r="BE1642" s="67"/>
      <c r="BF1642" s="67"/>
      <c r="BG1642" s="68"/>
      <c r="BI1642" s="69">
        <v>0</v>
      </c>
      <c r="BJ1642" s="70">
        <v>0</v>
      </c>
      <c r="BK1642" s="71">
        <v>0</v>
      </c>
      <c r="BL1642" s="71">
        <v>0</v>
      </c>
      <c r="BM1642" s="71">
        <v>0</v>
      </c>
      <c r="BN1642" s="72">
        <v>0</v>
      </c>
      <c r="BO1642" s="151" t="e">
        <f t="shared" si="104"/>
        <v>#DIV/0!</v>
      </c>
      <c r="BP1642" s="151" t="e">
        <f t="shared" si="105"/>
        <v>#DIV/0!</v>
      </c>
      <c r="BQ1642" s="71">
        <v>0</v>
      </c>
      <c r="BR1642" s="71">
        <v>0</v>
      </c>
      <c r="BS1642" s="71">
        <v>0</v>
      </c>
      <c r="BT1642" s="72">
        <v>0</v>
      </c>
      <c r="BU1642" s="151" t="e">
        <f t="shared" si="101"/>
        <v>#DIV/0!</v>
      </c>
      <c r="BV1642" s="151" t="e">
        <f t="shared" si="102"/>
        <v>#DIV/0!</v>
      </c>
    </row>
    <row r="1643" ht="30" customHeight="1" spans="1:74">
      <c r="A1643" s="55">
        <v>0</v>
      </c>
      <c r="B1643" s="56" t="s">
        <v>2247</v>
      </c>
      <c r="C1643" s="57" t="s">
        <v>2343</v>
      </c>
      <c r="D1643" s="59" t="s">
        <v>2620</v>
      </c>
      <c r="E1643" s="59"/>
      <c r="F1643" s="59" t="e">
        <f>VLOOKUP(E1643,[1]库存!$B$1:$C$65536,2,FALSE)</f>
        <v>#N/A</v>
      </c>
      <c r="G1643" s="59" t="e">
        <v>#N/A</v>
      </c>
      <c r="H1643" s="59" t="s">
        <v>2661</v>
      </c>
      <c r="I1643" s="59" t="s">
        <v>2662</v>
      </c>
      <c r="J1643" s="63"/>
      <c r="K1643" s="61"/>
      <c r="L1643" s="62">
        <v>2</v>
      </c>
      <c r="M1643" s="63">
        <v>1000</v>
      </c>
      <c r="N1643" s="64">
        <v>14</v>
      </c>
      <c r="O1643" s="62">
        <v>2</v>
      </c>
      <c r="P1643" s="65">
        <f t="shared" si="103"/>
        <v>0</v>
      </c>
      <c r="Q1643" s="66"/>
      <c r="R1643" s="66"/>
      <c r="S1643" s="66"/>
      <c r="T1643" s="66"/>
      <c r="U1643" s="66"/>
      <c r="V1643" s="66"/>
      <c r="W1643" s="66"/>
      <c r="X1643" s="66"/>
      <c r="Y1643" s="66"/>
      <c r="Z1643" s="66"/>
      <c r="AA1643" s="66"/>
      <c r="AB1643" s="66"/>
      <c r="AC1643" s="66"/>
      <c r="AD1643" s="66"/>
      <c r="AE1643" s="66"/>
      <c r="AF1643" s="66"/>
      <c r="AG1643" s="66"/>
      <c r="AH1643" s="66"/>
      <c r="AI1643" s="66"/>
      <c r="AJ1643" s="66"/>
      <c r="AK1643" s="66"/>
      <c r="AL1643" s="66"/>
      <c r="AM1643" s="66"/>
      <c r="AN1643" s="66"/>
      <c r="AO1643" s="66"/>
      <c r="AP1643" s="66"/>
      <c r="AQ1643" s="66"/>
      <c r="AR1643" s="66"/>
      <c r="AS1643" s="66"/>
      <c r="AT1643" s="66"/>
      <c r="AU1643" s="66"/>
      <c r="AV1643" s="66"/>
      <c r="AW1643" s="66"/>
      <c r="AX1643" s="66"/>
      <c r="AY1643" s="66"/>
      <c r="AZ1643" s="66"/>
      <c r="BA1643" s="66"/>
      <c r="BB1643" s="66"/>
      <c r="BC1643" s="66"/>
      <c r="BD1643" s="66"/>
      <c r="BE1643" s="67"/>
      <c r="BF1643" s="67"/>
      <c r="BG1643" s="68"/>
      <c r="BI1643" s="69">
        <v>0</v>
      </c>
      <c r="BJ1643" s="70">
        <v>0</v>
      </c>
      <c r="BK1643" s="71">
        <v>0</v>
      </c>
      <c r="BL1643" s="71">
        <v>0</v>
      </c>
      <c r="BM1643" s="71">
        <v>0</v>
      </c>
      <c r="BN1643" s="72">
        <v>0</v>
      </c>
      <c r="BO1643" s="151" t="e">
        <f t="shared" si="104"/>
        <v>#DIV/0!</v>
      </c>
      <c r="BP1643" s="151" t="e">
        <f t="shared" si="105"/>
        <v>#DIV/0!</v>
      </c>
      <c r="BQ1643" s="71">
        <v>0</v>
      </c>
      <c r="BR1643" s="71">
        <v>0</v>
      </c>
      <c r="BS1643" s="71">
        <v>0</v>
      </c>
      <c r="BT1643" s="72">
        <v>0</v>
      </c>
      <c r="BU1643" s="151" t="e">
        <f t="shared" si="101"/>
        <v>#DIV/0!</v>
      </c>
      <c r="BV1643" s="151" t="e">
        <f t="shared" si="102"/>
        <v>#DIV/0!</v>
      </c>
    </row>
    <row r="1644" ht="30" customHeight="1" spans="1:74">
      <c r="A1644" s="55">
        <v>0</v>
      </c>
      <c r="B1644" s="56">
        <v>0</v>
      </c>
      <c r="C1644" s="57">
        <v>0</v>
      </c>
      <c r="D1644" s="74"/>
      <c r="E1644" s="74"/>
      <c r="F1644" s="59" t="e">
        <f>VLOOKUP(E1644,[1]库存!$B$1:$C$65536,2,FALSE)</f>
        <v>#N/A</v>
      </c>
      <c r="G1644" s="59" t="e">
        <v>#N/A</v>
      </c>
      <c r="H1644" s="74"/>
      <c r="I1644" s="74"/>
      <c r="J1644" s="87"/>
      <c r="K1644" s="61"/>
      <c r="L1644" s="62">
        <v>0</v>
      </c>
      <c r="M1644" s="63">
        <v>0</v>
      </c>
      <c r="N1644" s="64">
        <v>0</v>
      </c>
      <c r="O1644" s="62">
        <v>0</v>
      </c>
      <c r="P1644" s="65">
        <f t="shared" si="103"/>
        <v>0</v>
      </c>
      <c r="Q1644" s="66"/>
      <c r="R1644" s="66"/>
      <c r="S1644" s="66"/>
      <c r="T1644" s="66"/>
      <c r="U1644" s="66"/>
      <c r="V1644" s="66"/>
      <c r="W1644" s="66"/>
      <c r="X1644" s="66"/>
      <c r="Y1644" s="66"/>
      <c r="Z1644" s="66"/>
      <c r="AA1644" s="66"/>
      <c r="AB1644" s="66"/>
      <c r="AC1644" s="66"/>
      <c r="AD1644" s="66"/>
      <c r="AE1644" s="66"/>
      <c r="AF1644" s="66"/>
      <c r="AG1644" s="66"/>
      <c r="AH1644" s="66"/>
      <c r="AI1644" s="66"/>
      <c r="AJ1644" s="66"/>
      <c r="AK1644" s="66"/>
      <c r="AL1644" s="66"/>
      <c r="AM1644" s="66"/>
      <c r="AN1644" s="66"/>
      <c r="AO1644" s="66"/>
      <c r="AP1644" s="66"/>
      <c r="AQ1644" s="66"/>
      <c r="AR1644" s="66"/>
      <c r="AS1644" s="66"/>
      <c r="AT1644" s="66"/>
      <c r="AU1644" s="66"/>
      <c r="AV1644" s="66"/>
      <c r="AW1644" s="66"/>
      <c r="AX1644" s="66"/>
      <c r="AY1644" s="66"/>
      <c r="AZ1644" s="66"/>
      <c r="BA1644" s="66"/>
      <c r="BB1644" s="66"/>
      <c r="BC1644" s="66"/>
      <c r="BD1644" s="66"/>
      <c r="BE1644" s="67"/>
      <c r="BF1644" s="67"/>
      <c r="BG1644" s="68"/>
      <c r="BI1644" s="69">
        <v>0</v>
      </c>
      <c r="BJ1644" s="70">
        <v>0</v>
      </c>
      <c r="BK1644" s="71">
        <v>0</v>
      </c>
      <c r="BL1644" s="71">
        <v>0</v>
      </c>
      <c r="BM1644" s="71">
        <v>0</v>
      </c>
      <c r="BN1644" s="72">
        <v>0</v>
      </c>
      <c r="BO1644" s="151" t="e">
        <f t="shared" si="104"/>
        <v>#DIV/0!</v>
      </c>
      <c r="BP1644" s="151" t="e">
        <f t="shared" si="105"/>
        <v>#DIV/0!</v>
      </c>
      <c r="BQ1644" s="71">
        <v>0</v>
      </c>
      <c r="BR1644" s="71">
        <v>0</v>
      </c>
      <c r="BS1644" s="71">
        <v>0</v>
      </c>
      <c r="BT1644" s="72">
        <v>0</v>
      </c>
      <c r="BU1644" s="151" t="e">
        <f t="shared" si="101"/>
        <v>#DIV/0!</v>
      </c>
      <c r="BV1644" s="151" t="e">
        <f t="shared" si="102"/>
        <v>#DIV/0!</v>
      </c>
    </row>
    <row r="1645" ht="30" customHeight="1" spans="1:74">
      <c r="A1645" s="55">
        <v>0</v>
      </c>
      <c r="B1645" s="56" t="s">
        <v>2247</v>
      </c>
      <c r="C1645" s="57" t="s">
        <v>2343</v>
      </c>
      <c r="D1645" s="59" t="s">
        <v>2620</v>
      </c>
      <c r="E1645" s="59"/>
      <c r="F1645" s="59" t="e">
        <f>VLOOKUP(E1645,[1]库存!$B$1:$C$65536,2,FALSE)</f>
        <v>#N/A</v>
      </c>
      <c r="G1645" s="59" t="e">
        <v>#N/A</v>
      </c>
      <c r="H1645" s="59" t="s">
        <v>2663</v>
      </c>
      <c r="I1645" s="59" t="s">
        <v>2664</v>
      </c>
      <c r="J1645" s="63"/>
      <c r="K1645" s="61"/>
      <c r="L1645" s="62">
        <v>2</v>
      </c>
      <c r="M1645" s="63">
        <v>1000</v>
      </c>
      <c r="N1645" s="64">
        <v>14</v>
      </c>
      <c r="O1645" s="62">
        <v>2</v>
      </c>
      <c r="P1645" s="65">
        <f t="shared" si="103"/>
        <v>0</v>
      </c>
      <c r="Q1645" s="66"/>
      <c r="R1645" s="66"/>
      <c r="S1645" s="66"/>
      <c r="T1645" s="66"/>
      <c r="U1645" s="66"/>
      <c r="V1645" s="66"/>
      <c r="W1645" s="66"/>
      <c r="X1645" s="66"/>
      <c r="Y1645" s="66"/>
      <c r="Z1645" s="66"/>
      <c r="AA1645" s="66"/>
      <c r="AB1645" s="66"/>
      <c r="AC1645" s="66"/>
      <c r="AD1645" s="66"/>
      <c r="AE1645" s="66"/>
      <c r="AF1645" s="66"/>
      <c r="AG1645" s="66"/>
      <c r="AH1645" s="66"/>
      <c r="AI1645" s="66"/>
      <c r="AJ1645" s="66"/>
      <c r="AK1645" s="66"/>
      <c r="AL1645" s="66"/>
      <c r="AM1645" s="66"/>
      <c r="AN1645" s="66"/>
      <c r="AO1645" s="66"/>
      <c r="AP1645" s="66"/>
      <c r="AQ1645" s="66"/>
      <c r="AR1645" s="66"/>
      <c r="AS1645" s="66"/>
      <c r="AT1645" s="66"/>
      <c r="AU1645" s="66"/>
      <c r="AV1645" s="66"/>
      <c r="AW1645" s="66"/>
      <c r="AX1645" s="66"/>
      <c r="AY1645" s="66"/>
      <c r="AZ1645" s="66"/>
      <c r="BA1645" s="66"/>
      <c r="BB1645" s="66"/>
      <c r="BC1645" s="66"/>
      <c r="BD1645" s="66"/>
      <c r="BE1645" s="67"/>
      <c r="BF1645" s="67"/>
      <c r="BG1645" s="68"/>
      <c r="BI1645" s="69">
        <v>0</v>
      </c>
      <c r="BJ1645" s="70">
        <v>0</v>
      </c>
      <c r="BK1645" s="71">
        <v>0</v>
      </c>
      <c r="BL1645" s="71">
        <v>0</v>
      </c>
      <c r="BM1645" s="71">
        <v>0</v>
      </c>
      <c r="BN1645" s="72">
        <v>0</v>
      </c>
      <c r="BO1645" s="151" t="e">
        <f t="shared" si="104"/>
        <v>#DIV/0!</v>
      </c>
      <c r="BP1645" s="151" t="e">
        <f t="shared" si="105"/>
        <v>#DIV/0!</v>
      </c>
      <c r="BQ1645" s="71">
        <v>0</v>
      </c>
      <c r="BR1645" s="71">
        <v>0</v>
      </c>
      <c r="BS1645" s="71">
        <v>0</v>
      </c>
      <c r="BT1645" s="72">
        <v>0</v>
      </c>
      <c r="BU1645" s="151" t="e">
        <f t="shared" si="101"/>
        <v>#DIV/0!</v>
      </c>
      <c r="BV1645" s="151" t="e">
        <f t="shared" si="102"/>
        <v>#DIV/0!</v>
      </c>
    </row>
    <row r="1646" ht="30" customHeight="1" spans="1:74">
      <c r="A1646" s="55">
        <v>0</v>
      </c>
      <c r="B1646" s="56">
        <v>0</v>
      </c>
      <c r="C1646" s="57">
        <v>0</v>
      </c>
      <c r="D1646" s="74"/>
      <c r="E1646" s="74"/>
      <c r="F1646" s="59" t="e">
        <f>VLOOKUP(E1646,[1]库存!$B$1:$C$65536,2,FALSE)</f>
        <v>#N/A</v>
      </c>
      <c r="G1646" s="59" t="e">
        <v>#N/A</v>
      </c>
      <c r="H1646" s="74"/>
      <c r="I1646" s="74"/>
      <c r="J1646" s="87"/>
      <c r="K1646" s="61"/>
      <c r="L1646" s="62">
        <v>0</v>
      </c>
      <c r="M1646" s="63">
        <v>0</v>
      </c>
      <c r="N1646" s="64">
        <v>0</v>
      </c>
      <c r="O1646" s="62">
        <v>0</v>
      </c>
      <c r="P1646" s="65">
        <f t="shared" si="103"/>
        <v>0</v>
      </c>
      <c r="R1646" s="66"/>
      <c r="T1646" s="66"/>
      <c r="V1646" s="66"/>
      <c r="X1646" s="66"/>
      <c r="Z1646" s="66"/>
      <c r="AB1646" s="66"/>
      <c r="AD1646" s="66"/>
      <c r="AF1646" s="66"/>
      <c r="AH1646" s="66"/>
      <c r="AJ1646" s="66"/>
      <c r="AL1646" s="66"/>
      <c r="AN1646" s="66"/>
      <c r="AP1646" s="66"/>
      <c r="AR1646" s="66"/>
      <c r="AT1646" s="66"/>
      <c r="AV1646" s="66"/>
      <c r="AX1646" s="66"/>
      <c r="AZ1646" s="66"/>
      <c r="BB1646" s="66"/>
      <c r="BD1646" s="66"/>
      <c r="BF1646" s="67"/>
      <c r="BG1646" s="68"/>
      <c r="BI1646" s="69">
        <v>0</v>
      </c>
      <c r="BJ1646" s="70">
        <v>0</v>
      </c>
      <c r="BK1646" s="71">
        <v>0</v>
      </c>
      <c r="BL1646" s="71">
        <v>0</v>
      </c>
      <c r="BM1646" s="71">
        <v>0</v>
      </c>
      <c r="BN1646" s="72">
        <v>0</v>
      </c>
      <c r="BO1646" s="151" t="e">
        <f t="shared" si="104"/>
        <v>#DIV/0!</v>
      </c>
      <c r="BP1646" s="151" t="e">
        <f t="shared" si="105"/>
        <v>#DIV/0!</v>
      </c>
      <c r="BQ1646" s="71">
        <v>0</v>
      </c>
      <c r="BR1646" s="71">
        <v>0</v>
      </c>
      <c r="BS1646" s="71">
        <v>0</v>
      </c>
      <c r="BT1646" s="72">
        <v>0</v>
      </c>
      <c r="BU1646" s="151" t="e">
        <f t="shared" si="101"/>
        <v>#DIV/0!</v>
      </c>
      <c r="BV1646" s="151" t="e">
        <f t="shared" si="102"/>
        <v>#DIV/0!</v>
      </c>
    </row>
    <row r="1647" ht="30" customHeight="1" spans="1:74">
      <c r="A1647" s="55">
        <v>0</v>
      </c>
      <c r="B1647" s="56">
        <v>0</v>
      </c>
      <c r="C1647" s="57">
        <v>0</v>
      </c>
      <c r="D1647" s="210"/>
      <c r="E1647" s="88"/>
      <c r="F1647" s="59" t="e">
        <f>VLOOKUP(E1647,[1]库存!$B$1:$C$65536,2,FALSE)</f>
        <v>#N/A</v>
      </c>
      <c r="G1647" s="59" t="e">
        <v>#N/A</v>
      </c>
      <c r="H1647" s="238"/>
      <c r="I1647" s="239"/>
      <c r="J1647" s="90"/>
      <c r="K1647" s="61"/>
      <c r="L1647" s="62">
        <v>0</v>
      </c>
      <c r="M1647" s="63">
        <v>0</v>
      </c>
      <c r="N1647" s="64">
        <v>0</v>
      </c>
      <c r="O1647" s="62">
        <v>0</v>
      </c>
      <c r="P1647" s="65">
        <f t="shared" si="103"/>
        <v>0</v>
      </c>
      <c r="Q1647" s="66"/>
      <c r="R1647" s="66"/>
      <c r="S1647" s="66"/>
      <c r="T1647" s="66"/>
      <c r="U1647" s="66"/>
      <c r="V1647" s="66"/>
      <c r="W1647" s="66"/>
      <c r="X1647" s="66"/>
      <c r="Y1647" s="66"/>
      <c r="Z1647" s="66"/>
      <c r="AA1647" s="66"/>
      <c r="AB1647" s="66"/>
      <c r="AC1647" s="66"/>
      <c r="AD1647" s="66"/>
      <c r="AE1647" s="66"/>
      <c r="AF1647" s="66"/>
      <c r="AG1647" s="66"/>
      <c r="AH1647" s="66"/>
      <c r="AI1647" s="66"/>
      <c r="AJ1647" s="66"/>
      <c r="AK1647" s="66"/>
      <c r="AL1647" s="66"/>
      <c r="AM1647" s="66"/>
      <c r="AN1647" s="66"/>
      <c r="AO1647" s="66"/>
      <c r="AP1647" s="66"/>
      <c r="AQ1647" s="66"/>
      <c r="AR1647" s="66"/>
      <c r="AS1647" s="66"/>
      <c r="AT1647" s="66"/>
      <c r="AU1647" s="66"/>
      <c r="AV1647" s="66"/>
      <c r="AW1647" s="66"/>
      <c r="AX1647" s="66"/>
      <c r="AY1647" s="66"/>
      <c r="AZ1647" s="66"/>
      <c r="BA1647" s="66"/>
      <c r="BB1647" s="66"/>
      <c r="BC1647" s="66"/>
      <c r="BD1647" s="66"/>
      <c r="BE1647" s="67"/>
      <c r="BF1647" s="67"/>
      <c r="BG1647" s="68"/>
      <c r="BI1647" s="69">
        <v>0</v>
      </c>
      <c r="BJ1647" s="70">
        <v>0</v>
      </c>
      <c r="BK1647" s="71">
        <v>0</v>
      </c>
      <c r="BL1647" s="71">
        <v>0</v>
      </c>
      <c r="BM1647" s="71">
        <v>0</v>
      </c>
      <c r="BN1647" s="72">
        <v>0</v>
      </c>
      <c r="BO1647" s="151" t="e">
        <f t="shared" si="104"/>
        <v>#DIV/0!</v>
      </c>
      <c r="BP1647" s="151" t="e">
        <f t="shared" si="105"/>
        <v>#DIV/0!</v>
      </c>
      <c r="BQ1647" s="71">
        <v>0</v>
      </c>
      <c r="BR1647" s="71">
        <v>0</v>
      </c>
      <c r="BS1647" s="71">
        <v>0</v>
      </c>
      <c r="BT1647" s="72">
        <v>0</v>
      </c>
      <c r="BU1647" s="151" t="e">
        <f t="shared" si="101"/>
        <v>#DIV/0!</v>
      </c>
      <c r="BV1647" s="151" t="e">
        <f t="shared" si="102"/>
        <v>#DIV/0!</v>
      </c>
    </row>
    <row r="1648" ht="30" customHeight="1" spans="1:74">
      <c r="A1648" s="55" t="s">
        <v>165</v>
      </c>
      <c r="B1648" s="56" t="s">
        <v>2247</v>
      </c>
      <c r="C1648" s="57" t="s">
        <v>2343</v>
      </c>
      <c r="D1648" s="91" t="s">
        <v>2665</v>
      </c>
      <c r="E1648" s="91" t="s">
        <v>2666</v>
      </c>
      <c r="F1648" s="91" t="str">
        <f>VLOOKUP(E1648,[1]库存!$B$1:$C$65536,2,FALSE)</f>
        <v>M3 SAB LH B状态</v>
      </c>
      <c r="G1648" s="91" t="s">
        <v>2667</v>
      </c>
      <c r="H1648" s="91" t="s">
        <v>2668</v>
      </c>
      <c r="I1648" s="91" t="s">
        <v>2640</v>
      </c>
      <c r="J1648" s="63" t="s">
        <v>2666</v>
      </c>
      <c r="K1648" s="61"/>
      <c r="L1648" s="62">
        <v>2</v>
      </c>
      <c r="M1648" s="63">
        <v>1300</v>
      </c>
      <c r="N1648" s="64">
        <v>13</v>
      </c>
      <c r="O1648" s="62">
        <v>2</v>
      </c>
      <c r="P1648" s="65">
        <f t="shared" si="103"/>
        <v>0</v>
      </c>
      <c r="Q1648" s="66">
        <v>2150</v>
      </c>
      <c r="R1648" s="66">
        <v>2150</v>
      </c>
      <c r="S1648" s="66">
        <v>2150</v>
      </c>
      <c r="T1648" s="66">
        <v>0</v>
      </c>
      <c r="U1648" s="66">
        <v>2150</v>
      </c>
      <c r="V1648" s="66">
        <v>0</v>
      </c>
      <c r="W1648" s="66"/>
      <c r="X1648" s="66"/>
      <c r="Y1648" s="66"/>
      <c r="Z1648" s="66"/>
      <c r="AA1648" s="66">
        <v>2150</v>
      </c>
      <c r="AB1648" s="66"/>
      <c r="AC1648" s="66">
        <v>2150</v>
      </c>
      <c r="AD1648" s="66"/>
      <c r="AE1648" s="66"/>
      <c r="AF1648" s="66"/>
      <c r="AG1648" s="66"/>
      <c r="AH1648" s="66"/>
      <c r="AI1648" s="66"/>
      <c r="AJ1648" s="66"/>
      <c r="AK1648" s="66"/>
      <c r="AL1648" s="66"/>
      <c r="AM1648" s="66"/>
      <c r="AN1648" s="66"/>
      <c r="AO1648" s="66"/>
      <c r="AP1648" s="66"/>
      <c r="AQ1648" s="66"/>
      <c r="AR1648" s="66"/>
      <c r="AS1648" s="66"/>
      <c r="AT1648" s="66"/>
      <c r="AU1648" s="66"/>
      <c r="AV1648" s="66"/>
      <c r="AW1648" s="66"/>
      <c r="AX1648" s="66"/>
      <c r="AY1648" s="66"/>
      <c r="AZ1648" s="66"/>
      <c r="BA1648" s="66"/>
      <c r="BB1648" s="66"/>
      <c r="BC1648" s="66"/>
      <c r="BD1648" s="66"/>
      <c r="BF1648" s="67"/>
      <c r="BG1648" s="68"/>
      <c r="BI1648" s="69">
        <v>0</v>
      </c>
      <c r="BJ1648" s="70">
        <v>0</v>
      </c>
      <c r="BK1648" s="71">
        <v>0</v>
      </c>
      <c r="BL1648" s="71">
        <v>0</v>
      </c>
      <c r="BM1648" s="71">
        <v>0</v>
      </c>
      <c r="BN1648" s="72">
        <v>0</v>
      </c>
      <c r="BO1648" s="151" t="e">
        <f t="shared" si="104"/>
        <v>#DIV/0!</v>
      </c>
      <c r="BP1648" s="151" t="e">
        <f t="shared" si="105"/>
        <v>#DIV/0!</v>
      </c>
      <c r="BQ1648" s="71">
        <v>0</v>
      </c>
      <c r="BR1648" s="71">
        <v>0</v>
      </c>
      <c r="BS1648" s="71">
        <v>0</v>
      </c>
      <c r="BT1648" s="72">
        <v>0</v>
      </c>
      <c r="BU1648" s="151" t="e">
        <f t="shared" si="101"/>
        <v>#DIV/0!</v>
      </c>
      <c r="BV1648" s="151" t="e">
        <f t="shared" si="102"/>
        <v>#DIV/0!</v>
      </c>
    </row>
    <row r="1649" ht="30" customHeight="1" spans="1:75">
      <c r="A1649" s="55">
        <v>0</v>
      </c>
      <c r="B1649" s="56">
        <v>0</v>
      </c>
      <c r="C1649" s="57">
        <v>0</v>
      </c>
      <c r="D1649" s="92"/>
      <c r="E1649" s="92"/>
      <c r="F1649" s="91" t="e">
        <f>VLOOKUP(E1649,[1]库存!$B$1:$C$65536,2,FALSE)</f>
        <v>#N/A</v>
      </c>
      <c r="G1649" s="91" t="e">
        <v>#N/A</v>
      </c>
      <c r="H1649" s="92"/>
      <c r="I1649" s="92"/>
      <c r="J1649" s="87"/>
      <c r="K1649" s="61"/>
      <c r="L1649" s="62">
        <v>0</v>
      </c>
      <c r="M1649" s="63">
        <v>0</v>
      </c>
      <c r="N1649" s="64">
        <v>0</v>
      </c>
      <c r="O1649" s="62">
        <v>0</v>
      </c>
      <c r="P1649" s="65">
        <f t="shared" si="103"/>
        <v>0</v>
      </c>
      <c r="Q1649" s="66">
        <v>2157</v>
      </c>
      <c r="R1649" s="66">
        <v>2179</v>
      </c>
      <c r="S1649" s="66">
        <v>2209</v>
      </c>
      <c r="T1649" s="66"/>
      <c r="U1649" s="66">
        <v>2184</v>
      </c>
      <c r="V1649" s="66"/>
      <c r="W1649" s="66"/>
      <c r="X1649" s="66"/>
      <c r="Y1649" s="66"/>
      <c r="Z1649" s="66"/>
      <c r="AA1649" s="66">
        <v>2178</v>
      </c>
      <c r="AB1649" s="66"/>
      <c r="AC1649" s="66">
        <v>2184</v>
      </c>
      <c r="AD1649" s="66"/>
      <c r="AE1649" s="66"/>
      <c r="AF1649" s="66"/>
      <c r="AG1649" s="66"/>
      <c r="AH1649" s="66"/>
      <c r="AI1649" s="66"/>
      <c r="AJ1649" s="66"/>
      <c r="AK1649" s="66"/>
      <c r="AL1649" s="66"/>
      <c r="AM1649" s="66"/>
      <c r="AN1649" s="66"/>
      <c r="AO1649" s="66"/>
      <c r="AP1649" s="66"/>
      <c r="AQ1649" s="66"/>
      <c r="AR1649" s="66"/>
      <c r="AS1649" s="66"/>
      <c r="AT1649" s="66"/>
      <c r="AU1649" s="66"/>
      <c r="AV1649" s="66"/>
      <c r="AW1649" s="66"/>
      <c r="AX1649" s="66"/>
      <c r="AY1649" s="66"/>
      <c r="AZ1649" s="66"/>
      <c r="BA1649" s="66"/>
      <c r="BB1649" s="66"/>
      <c r="BC1649" s="66"/>
      <c r="BD1649" s="66"/>
      <c r="BE1649" s="67"/>
      <c r="BF1649" s="67"/>
      <c r="BG1649" s="68"/>
      <c r="BI1649" s="69">
        <v>0</v>
      </c>
      <c r="BJ1649" s="70">
        <v>0</v>
      </c>
      <c r="BK1649" s="71">
        <v>0</v>
      </c>
      <c r="BL1649" s="71">
        <v>0</v>
      </c>
      <c r="BM1649" s="71">
        <v>0</v>
      </c>
      <c r="BN1649" s="72">
        <v>0</v>
      </c>
      <c r="BO1649" s="151" t="e">
        <f t="shared" si="104"/>
        <v>#DIV/0!</v>
      </c>
      <c r="BP1649" s="151" t="e">
        <f t="shared" si="105"/>
        <v>#DIV/0!</v>
      </c>
      <c r="BQ1649" s="71">
        <v>0</v>
      </c>
      <c r="BR1649" s="71">
        <v>0</v>
      </c>
      <c r="BS1649" s="71">
        <v>0</v>
      </c>
      <c r="BT1649" s="72">
        <v>0</v>
      </c>
      <c r="BU1649" s="151" t="e">
        <f t="shared" si="101"/>
        <v>#DIV/0!</v>
      </c>
      <c r="BV1649" s="151" t="e">
        <f t="shared" si="102"/>
        <v>#DIV/0!</v>
      </c>
    </row>
    <row r="1650" ht="30" customHeight="1" spans="1:75">
      <c r="A1650" s="55">
        <v>0</v>
      </c>
      <c r="B1650" s="56" t="s">
        <v>2247</v>
      </c>
      <c r="C1650" s="57" t="s">
        <v>2343</v>
      </c>
      <c r="D1650" s="91" t="s">
        <v>2665</v>
      </c>
      <c r="E1650" s="91"/>
      <c r="F1650" s="91" t="e">
        <f>VLOOKUP(E1650,[1]库存!$B$1:$C$65536,2,FALSE)</f>
        <v>#N/A</v>
      </c>
      <c r="G1650" s="91" t="e">
        <v>#N/A</v>
      </c>
      <c r="H1650" s="91" t="s">
        <v>2669</v>
      </c>
      <c r="I1650" s="91" t="s">
        <v>2640</v>
      </c>
      <c r="J1650" s="80" t="s">
        <v>2670</v>
      </c>
      <c r="K1650" s="61"/>
      <c r="L1650" s="62">
        <v>2</v>
      </c>
      <c r="M1650" s="63">
        <v>1300</v>
      </c>
      <c r="N1650" s="64">
        <v>13</v>
      </c>
      <c r="O1650" s="62">
        <v>2</v>
      </c>
      <c r="P1650" s="65">
        <f t="shared" si="103"/>
        <v>0</v>
      </c>
      <c r="Q1650" s="66"/>
      <c r="R1650" s="66"/>
      <c r="S1650" s="66"/>
      <c r="T1650" s="66"/>
      <c r="U1650" s="66"/>
      <c r="V1650" s="66"/>
      <c r="W1650" s="66"/>
      <c r="X1650" s="66"/>
      <c r="Y1650" s="66"/>
      <c r="Z1650" s="66"/>
      <c r="AA1650" s="66"/>
      <c r="AB1650" s="66"/>
      <c r="AC1650" s="66"/>
      <c r="AD1650" s="66"/>
      <c r="AE1650" s="66"/>
      <c r="AF1650" s="66"/>
      <c r="AG1650" s="66"/>
      <c r="AH1650" s="66"/>
      <c r="AI1650" s="66"/>
      <c r="AJ1650" s="66"/>
      <c r="AK1650" s="66"/>
      <c r="AL1650" s="66"/>
      <c r="AM1650" s="66"/>
      <c r="AN1650" s="66"/>
      <c r="AO1650" s="66"/>
      <c r="AP1650" s="66"/>
      <c r="AQ1650" s="66"/>
      <c r="AR1650" s="66"/>
      <c r="AS1650" s="66"/>
      <c r="AT1650" s="66"/>
      <c r="AU1650" s="66"/>
      <c r="AV1650" s="66"/>
      <c r="AW1650" s="66"/>
      <c r="AX1650" s="66"/>
      <c r="AY1650" s="66"/>
      <c r="AZ1650" s="66"/>
      <c r="BA1650" s="66"/>
      <c r="BB1650" s="66"/>
      <c r="BC1650" s="66"/>
      <c r="BD1650" s="66"/>
      <c r="BE1650" s="67"/>
      <c r="BF1650" s="67"/>
      <c r="BG1650" s="68"/>
      <c r="BI1650" s="69">
        <v>0</v>
      </c>
      <c r="BJ1650" s="70">
        <v>0</v>
      </c>
      <c r="BK1650" s="71">
        <v>0</v>
      </c>
      <c r="BL1650" s="71">
        <v>0</v>
      </c>
      <c r="BM1650" s="71">
        <v>0</v>
      </c>
      <c r="BN1650" s="72">
        <v>0</v>
      </c>
      <c r="BO1650" s="151" t="e">
        <f t="shared" si="104"/>
        <v>#DIV/0!</v>
      </c>
      <c r="BP1650" s="151" t="e">
        <f t="shared" si="105"/>
        <v>#DIV/0!</v>
      </c>
      <c r="BQ1650" s="71">
        <v>0</v>
      </c>
      <c r="BR1650" s="71">
        <v>0</v>
      </c>
      <c r="BS1650" s="71">
        <v>0</v>
      </c>
      <c r="BT1650" s="72">
        <v>0</v>
      </c>
      <c r="BU1650" s="151" t="e">
        <f t="shared" si="101"/>
        <v>#DIV/0!</v>
      </c>
      <c r="BV1650" s="151" t="e">
        <f t="shared" si="102"/>
        <v>#DIV/0!</v>
      </c>
    </row>
    <row r="1651" ht="30" customHeight="1" spans="1:75">
      <c r="A1651" s="55">
        <v>0</v>
      </c>
      <c r="B1651" s="56">
        <v>0</v>
      </c>
      <c r="C1651" s="57">
        <v>0</v>
      </c>
      <c r="D1651" s="92"/>
      <c r="E1651" s="92"/>
      <c r="F1651" s="91" t="e">
        <f>VLOOKUP(E1651,[1]库存!$B$1:$C$65536,2,FALSE)</f>
        <v>#N/A</v>
      </c>
      <c r="G1651" s="91" t="e">
        <v>#N/A</v>
      </c>
      <c r="H1651" s="92"/>
      <c r="I1651" s="92"/>
      <c r="J1651" s="81"/>
      <c r="K1651" s="61"/>
      <c r="L1651" s="62">
        <v>0</v>
      </c>
      <c r="M1651" s="63">
        <v>0</v>
      </c>
      <c r="N1651" s="64">
        <v>0</v>
      </c>
      <c r="O1651" s="62">
        <v>0</v>
      </c>
      <c r="P1651" s="65">
        <f t="shared" si="103"/>
        <v>0</v>
      </c>
      <c r="R1651" s="66"/>
      <c r="T1651" s="66"/>
      <c r="V1651" s="66"/>
      <c r="X1651" s="66"/>
      <c r="Z1651" s="66"/>
      <c r="AB1651" s="66"/>
      <c r="AD1651" s="66"/>
      <c r="AF1651" s="66"/>
      <c r="AH1651" s="66"/>
      <c r="AJ1651" s="66"/>
      <c r="AL1651" s="66"/>
      <c r="AN1651" s="66"/>
      <c r="AP1651" s="66"/>
      <c r="AR1651" s="66"/>
      <c r="AT1651" s="66"/>
      <c r="AV1651" s="66"/>
      <c r="AX1651" s="66"/>
      <c r="AZ1651" s="66"/>
      <c r="BB1651" s="66"/>
      <c r="BD1651" s="66"/>
      <c r="BF1651" s="67"/>
      <c r="BG1651" s="68"/>
      <c r="BI1651" s="69">
        <v>0</v>
      </c>
      <c r="BJ1651" s="70">
        <v>0</v>
      </c>
      <c r="BK1651" s="71">
        <v>0</v>
      </c>
      <c r="BL1651" s="71">
        <v>0</v>
      </c>
      <c r="BM1651" s="71">
        <v>0</v>
      </c>
      <c r="BN1651" s="72">
        <v>0</v>
      </c>
      <c r="BO1651" s="151" t="e">
        <f t="shared" si="104"/>
        <v>#DIV/0!</v>
      </c>
      <c r="BP1651" s="151" t="e">
        <f t="shared" si="105"/>
        <v>#DIV/0!</v>
      </c>
      <c r="BQ1651" s="71">
        <v>0</v>
      </c>
      <c r="BR1651" s="71">
        <v>0</v>
      </c>
      <c r="BS1651" s="71">
        <v>0</v>
      </c>
      <c r="BT1651" s="72">
        <v>0</v>
      </c>
      <c r="BU1651" s="151" t="e">
        <f t="shared" si="101"/>
        <v>#DIV/0!</v>
      </c>
      <c r="BV1651" s="151" t="e">
        <f t="shared" si="102"/>
        <v>#DIV/0!</v>
      </c>
    </row>
    <row r="1652" ht="30" customHeight="1" spans="1:75">
      <c r="A1652" s="55" t="s">
        <v>165</v>
      </c>
      <c r="B1652" s="56" t="s">
        <v>2247</v>
      </c>
      <c r="C1652" s="57" t="s">
        <v>2343</v>
      </c>
      <c r="D1652" s="59" t="s">
        <v>2665</v>
      </c>
      <c r="E1652" s="59"/>
      <c r="F1652" s="59" t="e">
        <f>VLOOKUP(E1652,[1]库存!$B$1:$C$65536,2,FALSE)</f>
        <v>#N/A</v>
      </c>
      <c r="G1652" s="59" t="e">
        <v>#N/A</v>
      </c>
      <c r="H1652" s="59" t="s">
        <v>2671</v>
      </c>
      <c r="I1652" s="59" t="s">
        <v>2672</v>
      </c>
      <c r="J1652" s="63" t="s">
        <v>2666</v>
      </c>
      <c r="K1652" s="61"/>
      <c r="L1652" s="62">
        <v>2</v>
      </c>
      <c r="M1652" s="63">
        <v>1300</v>
      </c>
      <c r="N1652" s="64">
        <v>13</v>
      </c>
      <c r="O1652" s="62">
        <v>2</v>
      </c>
      <c r="P1652" s="65">
        <f t="shared" si="103"/>
        <v>0</v>
      </c>
      <c r="Q1652" s="66"/>
      <c r="R1652" s="66"/>
      <c r="S1652" s="66"/>
      <c r="T1652" s="66"/>
      <c r="U1652" s="66"/>
      <c r="V1652" s="66"/>
      <c r="W1652" s="66"/>
      <c r="X1652" s="66"/>
      <c r="Y1652" s="66"/>
      <c r="Z1652" s="66"/>
      <c r="AA1652" s="66"/>
      <c r="AB1652" s="66"/>
      <c r="AC1652" s="66"/>
      <c r="AD1652" s="66"/>
      <c r="AE1652" s="66"/>
      <c r="AF1652" s="66"/>
      <c r="AG1652" s="66"/>
      <c r="AH1652" s="66"/>
      <c r="AI1652" s="66"/>
      <c r="AJ1652" s="66"/>
      <c r="AK1652" s="66"/>
      <c r="AL1652" s="66"/>
      <c r="AM1652" s="66"/>
      <c r="AN1652" s="66"/>
      <c r="AO1652" s="66"/>
      <c r="AP1652" s="66"/>
      <c r="AQ1652" s="66"/>
      <c r="AR1652" s="66"/>
      <c r="AS1652" s="66"/>
      <c r="AT1652" s="66"/>
      <c r="AU1652" s="66"/>
      <c r="AV1652" s="66"/>
      <c r="AW1652" s="66"/>
      <c r="AX1652" s="66"/>
      <c r="AY1652" s="66"/>
      <c r="AZ1652" s="66"/>
      <c r="BA1652" s="66"/>
      <c r="BB1652" s="66"/>
      <c r="BC1652" s="66"/>
      <c r="BD1652" s="66"/>
      <c r="BF1652" s="67"/>
      <c r="BG1652" s="68"/>
      <c r="BI1652" s="69">
        <v>0</v>
      </c>
      <c r="BJ1652" s="70">
        <v>0</v>
      </c>
      <c r="BK1652" s="71">
        <v>0</v>
      </c>
      <c r="BL1652" s="71">
        <v>0</v>
      </c>
      <c r="BM1652" s="71">
        <v>0</v>
      </c>
      <c r="BN1652" s="72">
        <v>0</v>
      </c>
      <c r="BO1652" s="151" t="e">
        <f t="shared" si="104"/>
        <v>#DIV/0!</v>
      </c>
      <c r="BP1652" s="151" t="e">
        <f t="shared" si="105"/>
        <v>#DIV/0!</v>
      </c>
      <c r="BQ1652" s="71">
        <v>0</v>
      </c>
      <c r="BR1652" s="71">
        <v>0</v>
      </c>
      <c r="BS1652" s="71">
        <v>0</v>
      </c>
      <c r="BT1652" s="72">
        <v>0</v>
      </c>
      <c r="BU1652" s="151" t="e">
        <f t="shared" si="101"/>
        <v>#DIV/0!</v>
      </c>
      <c r="BV1652" s="151" t="e">
        <f t="shared" si="102"/>
        <v>#DIV/0!</v>
      </c>
    </row>
    <row r="1653" ht="30" customHeight="1" spans="1:75">
      <c r="A1653" s="55">
        <v>0</v>
      </c>
      <c r="B1653" s="56">
        <v>0</v>
      </c>
      <c r="C1653" s="57">
        <v>0</v>
      </c>
      <c r="D1653" s="74"/>
      <c r="E1653" s="74"/>
      <c r="F1653" s="59" t="e">
        <f>VLOOKUP(E1653,[1]库存!$B$1:$C$65536,2,FALSE)</f>
        <v>#N/A</v>
      </c>
      <c r="G1653" s="59" t="e">
        <v>#N/A</v>
      </c>
      <c r="H1653" s="74"/>
      <c r="I1653" s="74"/>
      <c r="J1653" s="87"/>
      <c r="K1653" s="61"/>
      <c r="L1653" s="62">
        <v>0</v>
      </c>
      <c r="M1653" s="63">
        <v>0</v>
      </c>
      <c r="N1653" s="64">
        <v>0</v>
      </c>
      <c r="O1653" s="62">
        <v>0</v>
      </c>
      <c r="P1653" s="65">
        <f t="shared" si="103"/>
        <v>0</v>
      </c>
      <c r="Q1653" s="66"/>
      <c r="R1653" s="66"/>
      <c r="S1653" s="66"/>
      <c r="T1653" s="66"/>
      <c r="U1653" s="66"/>
      <c r="V1653" s="66"/>
      <c r="W1653" s="66"/>
      <c r="X1653" s="66"/>
      <c r="Y1653" s="66"/>
      <c r="Z1653" s="66"/>
      <c r="AA1653" s="66"/>
      <c r="AB1653" s="66"/>
      <c r="AC1653" s="66"/>
      <c r="AD1653" s="66"/>
      <c r="AE1653" s="66"/>
      <c r="AF1653" s="66"/>
      <c r="AG1653" s="66"/>
      <c r="AH1653" s="66"/>
      <c r="AI1653" s="66"/>
      <c r="AJ1653" s="66"/>
      <c r="AK1653" s="66"/>
      <c r="AL1653" s="66"/>
      <c r="AM1653" s="66"/>
      <c r="AN1653" s="66"/>
      <c r="AO1653" s="66"/>
      <c r="AP1653" s="66"/>
      <c r="AQ1653" s="66"/>
      <c r="AR1653" s="66"/>
      <c r="AS1653" s="66"/>
      <c r="AT1653" s="66"/>
      <c r="AU1653" s="66"/>
      <c r="AV1653" s="66"/>
      <c r="AW1653" s="66"/>
      <c r="AX1653" s="66"/>
      <c r="AY1653" s="66"/>
      <c r="AZ1653" s="66"/>
      <c r="BA1653" s="66"/>
      <c r="BB1653" s="66"/>
      <c r="BC1653" s="66"/>
      <c r="BD1653" s="66"/>
      <c r="BE1653" s="67"/>
      <c r="BF1653" s="67"/>
      <c r="BG1653" s="68"/>
      <c r="BI1653" s="69">
        <v>0</v>
      </c>
      <c r="BJ1653" s="70">
        <v>0</v>
      </c>
      <c r="BK1653" s="71">
        <v>0</v>
      </c>
      <c r="BL1653" s="71">
        <v>0</v>
      </c>
      <c r="BM1653" s="71">
        <v>0</v>
      </c>
      <c r="BN1653" s="72">
        <v>0</v>
      </c>
      <c r="BO1653" s="151" t="e">
        <f t="shared" si="104"/>
        <v>#DIV/0!</v>
      </c>
      <c r="BP1653" s="151" t="e">
        <f t="shared" si="105"/>
        <v>#DIV/0!</v>
      </c>
      <c r="BQ1653" s="71">
        <v>0</v>
      </c>
      <c r="BR1653" s="71">
        <v>0</v>
      </c>
      <c r="BS1653" s="71">
        <v>0</v>
      </c>
      <c r="BT1653" s="72">
        <v>0</v>
      </c>
      <c r="BU1653" s="151" t="e">
        <f t="shared" si="101"/>
        <v>#DIV/0!</v>
      </c>
      <c r="BV1653" s="151" t="e">
        <f t="shared" si="102"/>
        <v>#DIV/0!</v>
      </c>
    </row>
    <row r="1654" ht="30" customHeight="1" spans="1:75">
      <c r="A1654" s="55">
        <v>0</v>
      </c>
      <c r="B1654" s="56" t="s">
        <v>2247</v>
      </c>
      <c r="C1654" s="57" t="s">
        <v>2343</v>
      </c>
      <c r="D1654" s="59" t="s">
        <v>2665</v>
      </c>
      <c r="E1654" s="59"/>
      <c r="F1654" s="59" t="e">
        <f>VLOOKUP(E1654,[1]库存!$B$1:$C$65536,2,FALSE)</f>
        <v>#N/A</v>
      </c>
      <c r="G1654" s="59" t="e">
        <v>#N/A</v>
      </c>
      <c r="H1654" s="59" t="s">
        <v>2673</v>
      </c>
      <c r="I1654" s="59" t="s">
        <v>2674</v>
      </c>
      <c r="J1654" s="80" t="s">
        <v>2670</v>
      </c>
      <c r="K1654" s="61"/>
      <c r="L1654" s="62">
        <v>2</v>
      </c>
      <c r="M1654" s="63">
        <v>1300</v>
      </c>
      <c r="N1654" s="64">
        <v>13</v>
      </c>
      <c r="O1654" s="62">
        <v>2</v>
      </c>
      <c r="P1654" s="65">
        <f t="shared" si="103"/>
        <v>0</v>
      </c>
      <c r="Q1654" s="66"/>
      <c r="R1654" s="66"/>
      <c r="S1654" s="66"/>
      <c r="T1654" s="66"/>
      <c r="U1654" s="66"/>
      <c r="V1654" s="66"/>
      <c r="W1654" s="66"/>
      <c r="X1654" s="66"/>
      <c r="Y1654" s="66"/>
      <c r="Z1654" s="66"/>
      <c r="AA1654" s="66"/>
      <c r="AB1654" s="66"/>
      <c r="AC1654" s="66"/>
      <c r="AD1654" s="66"/>
      <c r="AE1654" s="66"/>
      <c r="AF1654" s="66"/>
      <c r="AG1654" s="66"/>
      <c r="AH1654" s="66"/>
      <c r="AI1654" s="66"/>
      <c r="AJ1654" s="66"/>
      <c r="AK1654" s="66"/>
      <c r="AL1654" s="66"/>
      <c r="AM1654" s="66"/>
      <c r="AN1654" s="66"/>
      <c r="AO1654" s="66"/>
      <c r="AP1654" s="66"/>
      <c r="AQ1654" s="66"/>
      <c r="AR1654" s="66"/>
      <c r="AS1654" s="66"/>
      <c r="AT1654" s="66"/>
      <c r="AU1654" s="66"/>
      <c r="AV1654" s="66"/>
      <c r="AW1654" s="66"/>
      <c r="AX1654" s="66"/>
      <c r="AY1654" s="66"/>
      <c r="AZ1654" s="66"/>
      <c r="BA1654" s="66"/>
      <c r="BB1654" s="66"/>
      <c r="BC1654" s="66"/>
      <c r="BD1654" s="66"/>
      <c r="BE1654" s="67"/>
      <c r="BF1654" s="67"/>
      <c r="BG1654" s="68"/>
      <c r="BI1654" s="69">
        <v>0</v>
      </c>
      <c r="BJ1654" s="70">
        <v>0</v>
      </c>
      <c r="BK1654" s="71">
        <v>0</v>
      </c>
      <c r="BL1654" s="71">
        <v>0</v>
      </c>
      <c r="BM1654" s="71">
        <v>0</v>
      </c>
      <c r="BN1654" s="72">
        <v>0</v>
      </c>
      <c r="BO1654" s="151" t="e">
        <f t="shared" si="104"/>
        <v>#DIV/0!</v>
      </c>
      <c r="BP1654" s="151" t="e">
        <f t="shared" si="105"/>
        <v>#DIV/0!</v>
      </c>
      <c r="BQ1654" s="71">
        <v>0</v>
      </c>
      <c r="BR1654" s="71">
        <v>0</v>
      </c>
      <c r="BS1654" s="71">
        <v>0</v>
      </c>
      <c r="BT1654" s="72">
        <v>0</v>
      </c>
      <c r="BU1654" s="151" t="e">
        <f t="shared" si="101"/>
        <v>#DIV/0!</v>
      </c>
      <c r="BV1654" s="151" t="e">
        <f t="shared" si="102"/>
        <v>#DIV/0!</v>
      </c>
    </row>
    <row r="1655" ht="30" customHeight="1" spans="1:75">
      <c r="A1655" s="55">
        <v>0</v>
      </c>
      <c r="B1655" s="56">
        <v>0</v>
      </c>
      <c r="C1655" s="57">
        <v>0</v>
      </c>
      <c r="D1655" s="74"/>
      <c r="E1655" s="74"/>
      <c r="F1655" s="59" t="e">
        <f>VLOOKUP(E1655,[1]库存!$B$1:$C$65536,2,FALSE)</f>
        <v>#N/A</v>
      </c>
      <c r="G1655" s="59" t="e">
        <v>#N/A</v>
      </c>
      <c r="H1655" s="74"/>
      <c r="I1655" s="74"/>
      <c r="J1655" s="81"/>
      <c r="K1655" s="61"/>
      <c r="L1655" s="62">
        <v>0</v>
      </c>
      <c r="M1655" s="63">
        <v>0</v>
      </c>
      <c r="N1655" s="64">
        <v>0</v>
      </c>
      <c r="O1655" s="62">
        <v>0</v>
      </c>
      <c r="P1655" s="65">
        <f t="shared" si="103"/>
        <v>0</v>
      </c>
      <c r="R1655" s="66"/>
      <c r="T1655" s="66"/>
      <c r="V1655" s="66"/>
      <c r="X1655" s="66"/>
      <c r="Z1655" s="66"/>
      <c r="AB1655" s="66"/>
      <c r="AD1655" s="66"/>
      <c r="AF1655" s="66"/>
      <c r="AH1655" s="66"/>
      <c r="AJ1655" s="66"/>
      <c r="AL1655" s="66"/>
      <c r="AN1655" s="66"/>
      <c r="AP1655" s="66"/>
      <c r="AR1655" s="66"/>
      <c r="AT1655" s="66"/>
      <c r="AV1655" s="66"/>
      <c r="AX1655" s="66"/>
      <c r="AZ1655" s="66"/>
      <c r="BB1655" s="66"/>
      <c r="BD1655" s="66"/>
      <c r="BF1655" s="67"/>
      <c r="BG1655" s="68"/>
      <c r="BI1655" s="69">
        <v>0</v>
      </c>
      <c r="BJ1655" s="70">
        <v>0</v>
      </c>
      <c r="BK1655" s="71">
        <v>0</v>
      </c>
      <c r="BL1655" s="71">
        <v>0</v>
      </c>
      <c r="BM1655" s="71">
        <v>0</v>
      </c>
      <c r="BN1655" s="72">
        <v>0</v>
      </c>
      <c r="BO1655" s="151" t="e">
        <f t="shared" si="104"/>
        <v>#DIV/0!</v>
      </c>
      <c r="BP1655" s="151" t="e">
        <f t="shared" si="105"/>
        <v>#DIV/0!</v>
      </c>
      <c r="BQ1655" s="71">
        <v>0</v>
      </c>
      <c r="BR1655" s="71">
        <v>0</v>
      </c>
      <c r="BS1655" s="71">
        <v>0</v>
      </c>
      <c r="BT1655" s="72">
        <v>0</v>
      </c>
      <c r="BU1655" s="151" t="e">
        <f t="shared" si="101"/>
        <v>#DIV/0!</v>
      </c>
      <c r="BV1655" s="151" t="e">
        <f t="shared" si="102"/>
        <v>#DIV/0!</v>
      </c>
    </row>
    <row r="1656" ht="30" customHeight="1" spans="1:75">
      <c r="A1656" s="55">
        <v>0</v>
      </c>
      <c r="B1656" s="56" t="s">
        <v>2247</v>
      </c>
      <c r="C1656" s="57" t="s">
        <v>2343</v>
      </c>
      <c r="D1656" s="59" t="s">
        <v>2665</v>
      </c>
      <c r="E1656" s="59"/>
      <c r="F1656" s="59" t="e">
        <f>VLOOKUP(E1656,[1]库存!$B$1:$C$65536,2,FALSE)</f>
        <v>#N/A</v>
      </c>
      <c r="G1656" s="59" t="e">
        <v>#N/A</v>
      </c>
      <c r="H1656" s="59" t="s">
        <v>2675</v>
      </c>
      <c r="I1656" s="59" t="s">
        <v>2666</v>
      </c>
      <c r="J1656" s="63"/>
      <c r="K1656" s="61"/>
      <c r="L1656" s="62">
        <v>2</v>
      </c>
      <c r="M1656" s="63">
        <v>1300</v>
      </c>
      <c r="N1656" s="64">
        <v>13</v>
      </c>
      <c r="O1656" s="62">
        <v>2</v>
      </c>
      <c r="P1656" s="65">
        <f t="shared" si="103"/>
        <v>0</v>
      </c>
      <c r="Q1656" s="66"/>
      <c r="R1656" s="66"/>
      <c r="S1656" s="66"/>
      <c r="T1656" s="66"/>
      <c r="U1656" s="66"/>
      <c r="V1656" s="66"/>
      <c r="W1656" s="66"/>
      <c r="X1656" s="66"/>
      <c r="Y1656" s="66"/>
      <c r="Z1656" s="66"/>
      <c r="AA1656" s="66"/>
      <c r="AB1656" s="66"/>
      <c r="AC1656" s="66"/>
      <c r="AD1656" s="66"/>
      <c r="AE1656" s="66"/>
      <c r="AF1656" s="66"/>
      <c r="AG1656" s="66"/>
      <c r="AH1656" s="66"/>
      <c r="AI1656" s="66"/>
      <c r="AJ1656" s="66"/>
      <c r="AK1656" s="66"/>
      <c r="AL1656" s="66"/>
      <c r="AM1656" s="66"/>
      <c r="AN1656" s="66"/>
      <c r="AO1656" s="66"/>
      <c r="AP1656" s="66"/>
      <c r="AQ1656" s="66"/>
      <c r="AR1656" s="66"/>
      <c r="AS1656" s="66"/>
      <c r="AT1656" s="66"/>
      <c r="AU1656" s="66"/>
      <c r="AV1656" s="66"/>
      <c r="AW1656" s="66"/>
      <c r="AX1656" s="66"/>
      <c r="AY1656" s="66"/>
      <c r="AZ1656" s="66"/>
      <c r="BA1656" s="66"/>
      <c r="BB1656" s="66"/>
      <c r="BC1656" s="66"/>
      <c r="BD1656" s="66"/>
      <c r="BE1656" s="67"/>
      <c r="BF1656" s="67"/>
      <c r="BG1656" s="68"/>
      <c r="BI1656" s="69">
        <v>0</v>
      </c>
      <c r="BJ1656" s="70">
        <v>0</v>
      </c>
      <c r="BK1656" s="71">
        <v>0</v>
      </c>
      <c r="BL1656" s="71">
        <v>0</v>
      </c>
      <c r="BM1656" s="71">
        <v>0</v>
      </c>
      <c r="BN1656" s="72">
        <v>0</v>
      </c>
      <c r="BO1656" s="151" t="e">
        <f t="shared" si="104"/>
        <v>#DIV/0!</v>
      </c>
      <c r="BP1656" s="151" t="e">
        <f t="shared" si="105"/>
        <v>#DIV/0!</v>
      </c>
      <c r="BQ1656" s="71">
        <v>0</v>
      </c>
      <c r="BR1656" s="71">
        <v>0</v>
      </c>
      <c r="BS1656" s="71">
        <v>0</v>
      </c>
      <c r="BT1656" s="72">
        <v>0</v>
      </c>
      <c r="BU1656" s="151" t="e">
        <f t="shared" si="101"/>
        <v>#DIV/0!</v>
      </c>
      <c r="BV1656" s="151" t="e">
        <f t="shared" si="102"/>
        <v>#DIV/0!</v>
      </c>
    </row>
    <row r="1657" ht="30" customHeight="1" spans="1:75">
      <c r="A1657" s="55">
        <v>0</v>
      </c>
      <c r="B1657" s="56">
        <v>0</v>
      </c>
      <c r="C1657" s="57">
        <v>0</v>
      </c>
      <c r="D1657" s="74"/>
      <c r="E1657" s="74"/>
      <c r="F1657" s="59" t="e">
        <f>VLOOKUP(E1657,[1]库存!$B$1:$C$65536,2,FALSE)</f>
        <v>#N/A</v>
      </c>
      <c r="G1657" s="59" t="e">
        <v>#N/A</v>
      </c>
      <c r="H1657" s="74"/>
      <c r="I1657" s="74"/>
      <c r="J1657" s="87"/>
      <c r="K1657" s="61"/>
      <c r="L1657" s="62">
        <v>0</v>
      </c>
      <c r="M1657" s="63">
        <v>0</v>
      </c>
      <c r="N1657" s="64">
        <v>0</v>
      </c>
      <c r="O1657" s="62">
        <v>0</v>
      </c>
      <c r="P1657" s="65">
        <f t="shared" si="103"/>
        <v>0</v>
      </c>
      <c r="R1657" s="66"/>
      <c r="T1657" s="66"/>
      <c r="V1657" s="66"/>
      <c r="X1657" s="66"/>
      <c r="Z1657" s="66"/>
      <c r="AB1657" s="66"/>
      <c r="AD1657" s="66"/>
      <c r="AF1657" s="66"/>
      <c r="AH1657" s="66"/>
      <c r="AJ1657" s="66"/>
      <c r="AL1657" s="66"/>
      <c r="AN1657" s="66"/>
      <c r="AP1657" s="66"/>
      <c r="AR1657" s="66"/>
      <c r="AT1657" s="66"/>
      <c r="AV1657" s="66"/>
      <c r="AX1657" s="66"/>
      <c r="AZ1657" s="66"/>
      <c r="BB1657" s="66"/>
      <c r="BD1657" s="66"/>
      <c r="BF1657" s="67"/>
      <c r="BG1657" s="68"/>
      <c r="BI1657" s="69">
        <v>0</v>
      </c>
      <c r="BJ1657" s="70">
        <v>0</v>
      </c>
      <c r="BK1657" s="71">
        <v>0</v>
      </c>
      <c r="BL1657" s="71">
        <v>0</v>
      </c>
      <c r="BM1657" s="71">
        <v>0</v>
      </c>
      <c r="BN1657" s="72">
        <v>0</v>
      </c>
      <c r="BO1657" s="151" t="e">
        <f t="shared" si="104"/>
        <v>#DIV/0!</v>
      </c>
      <c r="BP1657" s="151" t="e">
        <f t="shared" si="105"/>
        <v>#DIV/0!</v>
      </c>
      <c r="BQ1657" s="71">
        <v>0</v>
      </c>
      <c r="BR1657" s="71">
        <v>0</v>
      </c>
      <c r="BS1657" s="71">
        <v>0</v>
      </c>
      <c r="BT1657" s="72">
        <v>0</v>
      </c>
      <c r="BU1657" s="151" t="e">
        <f t="shared" ref="BU1657:BU1720" si="106">(BQ1657+BR1657)/BJ1657</f>
        <v>#DIV/0!</v>
      </c>
      <c r="BV1657" s="151" t="e">
        <f t="shared" ref="BV1657:BV1720" si="107">BS1657/BJ1657</f>
        <v>#DIV/0!</v>
      </c>
    </row>
    <row r="1658" ht="30" customHeight="1" spans="1:75">
      <c r="A1658" s="55">
        <v>0</v>
      </c>
      <c r="B1658" s="56" t="s">
        <v>2247</v>
      </c>
      <c r="C1658" s="57" t="s">
        <v>2343</v>
      </c>
      <c r="D1658" s="59" t="s">
        <v>2665</v>
      </c>
      <c r="E1658" s="59"/>
      <c r="F1658" s="59" t="e">
        <f>VLOOKUP(E1658,[1]库存!$B$1:$C$65536,2,FALSE)</f>
        <v>#N/A</v>
      </c>
      <c r="G1658" s="59" t="e">
        <v>#N/A</v>
      </c>
      <c r="H1658" s="59" t="s">
        <v>2676</v>
      </c>
      <c r="I1658" s="59" t="s">
        <v>2677</v>
      </c>
      <c r="J1658" s="63"/>
      <c r="K1658" s="61"/>
      <c r="L1658" s="62">
        <v>2</v>
      </c>
      <c r="M1658" s="63">
        <v>1300</v>
      </c>
      <c r="N1658" s="64">
        <v>13</v>
      </c>
      <c r="O1658" s="62">
        <v>2</v>
      </c>
      <c r="P1658" s="65">
        <f t="shared" si="103"/>
        <v>0</v>
      </c>
      <c r="Q1658" s="66"/>
      <c r="R1658" s="66"/>
      <c r="S1658" s="66"/>
      <c r="T1658" s="66"/>
      <c r="U1658" s="66"/>
      <c r="V1658" s="66"/>
      <c r="W1658" s="66"/>
      <c r="X1658" s="66"/>
      <c r="Y1658" s="66"/>
      <c r="Z1658" s="66"/>
      <c r="AA1658" s="66"/>
      <c r="AB1658" s="66"/>
      <c r="AC1658" s="66"/>
      <c r="AD1658" s="66"/>
      <c r="AE1658" s="66"/>
      <c r="AF1658" s="66"/>
      <c r="AG1658" s="66"/>
      <c r="AH1658" s="66"/>
      <c r="AI1658" s="66"/>
      <c r="AJ1658" s="66"/>
      <c r="AK1658" s="66"/>
      <c r="AL1658" s="66"/>
      <c r="AM1658" s="66"/>
      <c r="AN1658" s="66"/>
      <c r="AO1658" s="66"/>
      <c r="AP1658" s="66"/>
      <c r="AQ1658" s="66"/>
      <c r="AR1658" s="66"/>
      <c r="AS1658" s="66"/>
      <c r="AT1658" s="66"/>
      <c r="AU1658" s="66"/>
      <c r="AV1658" s="66"/>
      <c r="AW1658" s="66"/>
      <c r="AX1658" s="66"/>
      <c r="AY1658" s="66"/>
      <c r="AZ1658" s="66"/>
      <c r="BA1658" s="66"/>
      <c r="BB1658" s="66"/>
      <c r="BC1658" s="66"/>
      <c r="BD1658" s="66"/>
      <c r="BE1658" s="67"/>
      <c r="BF1658" s="67"/>
      <c r="BG1658" s="68"/>
      <c r="BI1658" s="69">
        <v>0</v>
      </c>
      <c r="BJ1658" s="70">
        <v>0</v>
      </c>
      <c r="BK1658" s="71">
        <v>0</v>
      </c>
      <c r="BL1658" s="71">
        <v>0</v>
      </c>
      <c r="BM1658" s="71">
        <v>0</v>
      </c>
      <c r="BN1658" s="72">
        <v>0</v>
      </c>
      <c r="BO1658" s="151" t="e">
        <f t="shared" si="104"/>
        <v>#DIV/0!</v>
      </c>
      <c r="BP1658" s="151" t="e">
        <f t="shared" si="105"/>
        <v>#DIV/0!</v>
      </c>
      <c r="BQ1658" s="71">
        <v>0</v>
      </c>
      <c r="BR1658" s="71">
        <v>0</v>
      </c>
      <c r="BS1658" s="71">
        <v>0</v>
      </c>
      <c r="BT1658" s="72">
        <v>0</v>
      </c>
      <c r="BU1658" s="151" t="e">
        <f t="shared" si="106"/>
        <v>#DIV/0!</v>
      </c>
      <c r="BV1658" s="151" t="e">
        <f t="shared" si="107"/>
        <v>#DIV/0!</v>
      </c>
    </row>
    <row r="1659" ht="30" customHeight="1" spans="1:75">
      <c r="A1659" s="55">
        <v>0</v>
      </c>
      <c r="B1659" s="56">
        <v>0</v>
      </c>
      <c r="C1659" s="57">
        <v>0</v>
      </c>
      <c r="D1659" s="74"/>
      <c r="E1659" s="74"/>
      <c r="F1659" s="59" t="e">
        <f>VLOOKUP(E1659,[1]库存!$B$1:$C$65536,2,FALSE)</f>
        <v>#N/A</v>
      </c>
      <c r="G1659" s="59" t="e">
        <v>#N/A</v>
      </c>
      <c r="H1659" s="74"/>
      <c r="I1659" s="74"/>
      <c r="J1659" s="87"/>
      <c r="K1659" s="61"/>
      <c r="L1659" s="62">
        <v>0</v>
      </c>
      <c r="M1659" s="63">
        <v>0</v>
      </c>
      <c r="N1659" s="64">
        <v>0</v>
      </c>
      <c r="O1659" s="62">
        <v>0</v>
      </c>
      <c r="P1659" s="65">
        <f t="shared" si="103"/>
        <v>0</v>
      </c>
      <c r="R1659" s="66"/>
      <c r="T1659" s="66"/>
      <c r="V1659" s="66"/>
      <c r="X1659" s="66"/>
      <c r="Z1659" s="66"/>
      <c r="AB1659" s="66"/>
      <c r="AD1659" s="66"/>
      <c r="AF1659" s="66"/>
      <c r="AH1659" s="66"/>
      <c r="AJ1659" s="66"/>
      <c r="AL1659" s="66"/>
      <c r="AN1659" s="66"/>
      <c r="AP1659" s="66"/>
      <c r="AR1659" s="66"/>
      <c r="AT1659" s="66"/>
      <c r="AV1659" s="66"/>
      <c r="AX1659" s="66"/>
      <c r="AZ1659" s="66"/>
      <c r="BB1659" s="66"/>
      <c r="BD1659" s="66"/>
      <c r="BF1659" s="67"/>
      <c r="BG1659" s="68"/>
      <c r="BI1659" s="69">
        <v>0</v>
      </c>
      <c r="BJ1659" s="70">
        <v>0</v>
      </c>
      <c r="BK1659" s="71">
        <v>0</v>
      </c>
      <c r="BL1659" s="71">
        <v>0</v>
      </c>
      <c r="BM1659" s="71">
        <v>0</v>
      </c>
      <c r="BN1659" s="72">
        <v>0</v>
      </c>
      <c r="BO1659" s="151" t="e">
        <f t="shared" si="104"/>
        <v>#DIV/0!</v>
      </c>
      <c r="BP1659" s="151" t="e">
        <f t="shared" si="105"/>
        <v>#DIV/0!</v>
      </c>
      <c r="BQ1659" s="71">
        <v>0</v>
      </c>
      <c r="BR1659" s="71">
        <v>0</v>
      </c>
      <c r="BS1659" s="71">
        <v>0</v>
      </c>
      <c r="BT1659" s="72">
        <v>0</v>
      </c>
      <c r="BU1659" s="151" t="e">
        <f t="shared" si="106"/>
        <v>#DIV/0!</v>
      </c>
      <c r="BV1659" s="151" t="e">
        <f t="shared" si="107"/>
        <v>#DIV/0!</v>
      </c>
    </row>
    <row r="1660" ht="30" customHeight="1" spans="1:75">
      <c r="A1660" s="55">
        <v>0</v>
      </c>
      <c r="B1660" s="56">
        <v>0</v>
      </c>
      <c r="C1660" s="57">
        <v>0</v>
      </c>
      <c r="D1660" s="210"/>
      <c r="E1660" s="88"/>
      <c r="F1660" s="59" t="e">
        <f>VLOOKUP(E1660,[1]库存!$B$1:$C$65536,2,FALSE)</f>
        <v>#N/A</v>
      </c>
      <c r="G1660" s="59" t="e">
        <v>#N/A</v>
      </c>
      <c r="H1660" s="238"/>
      <c r="I1660" s="239"/>
      <c r="J1660" s="90"/>
      <c r="K1660" s="61"/>
      <c r="L1660" s="62">
        <v>0</v>
      </c>
      <c r="M1660" s="63">
        <v>0</v>
      </c>
      <c r="N1660" s="64">
        <v>0</v>
      </c>
      <c r="O1660" s="62">
        <v>0</v>
      </c>
      <c r="P1660" s="65">
        <f t="shared" si="103"/>
        <v>0</v>
      </c>
      <c r="Q1660" s="66"/>
      <c r="R1660" s="66"/>
      <c r="S1660" s="66"/>
      <c r="T1660" s="66"/>
      <c r="U1660" s="66"/>
      <c r="V1660" s="66"/>
      <c r="W1660" s="66"/>
      <c r="X1660" s="66"/>
      <c r="Y1660" s="66"/>
      <c r="Z1660" s="66"/>
      <c r="AA1660" s="66"/>
      <c r="AB1660" s="66"/>
      <c r="AC1660" s="66"/>
      <c r="AD1660" s="66"/>
      <c r="AE1660" s="66"/>
      <c r="AF1660" s="66"/>
      <c r="AG1660" s="66"/>
      <c r="AH1660" s="66"/>
      <c r="AI1660" s="66"/>
      <c r="AJ1660" s="66"/>
      <c r="AK1660" s="66"/>
      <c r="AL1660" s="66"/>
      <c r="AM1660" s="66"/>
      <c r="AN1660" s="66"/>
      <c r="AO1660" s="66"/>
      <c r="AP1660" s="66"/>
      <c r="AQ1660" s="66"/>
      <c r="AR1660" s="66"/>
      <c r="AS1660" s="66"/>
      <c r="AT1660" s="66"/>
      <c r="AU1660" s="66"/>
      <c r="AV1660" s="66"/>
      <c r="AW1660" s="66"/>
      <c r="AX1660" s="66"/>
      <c r="AY1660" s="66"/>
      <c r="AZ1660" s="66"/>
      <c r="BA1660" s="66"/>
      <c r="BB1660" s="66"/>
      <c r="BC1660" s="66"/>
      <c r="BD1660" s="66"/>
      <c r="BE1660" s="67"/>
      <c r="BF1660" s="67"/>
      <c r="BG1660" s="68"/>
      <c r="BI1660" s="69">
        <v>0</v>
      </c>
      <c r="BJ1660" s="70">
        <v>0</v>
      </c>
      <c r="BK1660" s="71">
        <v>0</v>
      </c>
      <c r="BL1660" s="71">
        <v>0</v>
      </c>
      <c r="BM1660" s="71">
        <v>0</v>
      </c>
      <c r="BN1660" s="72">
        <v>0</v>
      </c>
      <c r="BO1660" s="151" t="e">
        <f t="shared" si="104"/>
        <v>#DIV/0!</v>
      </c>
      <c r="BP1660" s="151" t="e">
        <f t="shared" si="105"/>
        <v>#DIV/0!</v>
      </c>
      <c r="BQ1660" s="71">
        <v>0</v>
      </c>
      <c r="BR1660" s="71">
        <v>0</v>
      </c>
      <c r="BS1660" s="71">
        <v>0</v>
      </c>
      <c r="BT1660" s="72">
        <v>0</v>
      </c>
      <c r="BU1660" s="151" t="e">
        <f t="shared" si="106"/>
        <v>#DIV/0!</v>
      </c>
      <c r="BV1660" s="151" t="e">
        <f t="shared" si="107"/>
        <v>#DIV/0!</v>
      </c>
    </row>
    <row r="1661" s="3" customFormat="1" ht="30" customHeight="1" spans="1:75">
      <c r="A1661" s="55" t="s">
        <v>165</v>
      </c>
      <c r="B1661" s="56" t="s">
        <v>2247</v>
      </c>
      <c r="C1661" s="57" t="s">
        <v>2343</v>
      </c>
      <c r="D1661" s="91" t="s">
        <v>2678</v>
      </c>
      <c r="E1661" s="91" t="s">
        <v>2679</v>
      </c>
      <c r="F1661" s="91" t="str">
        <f>VLOOKUP(E1661,[1]库存!$B$1:$C$65536,2,FALSE)</f>
        <v>CC1E FSAB LH A状态</v>
      </c>
      <c r="G1661" s="91" t="s">
        <v>2680</v>
      </c>
      <c r="H1661" s="91" t="s">
        <v>2681</v>
      </c>
      <c r="I1661" s="91" t="s">
        <v>170</v>
      </c>
      <c r="J1661" s="63"/>
      <c r="K1661" s="61"/>
      <c r="L1661" s="62">
        <v>2</v>
      </c>
      <c r="M1661" s="63">
        <v>1050</v>
      </c>
      <c r="N1661" s="64">
        <v>11</v>
      </c>
      <c r="O1661" s="62">
        <v>2</v>
      </c>
      <c r="P1661" s="65">
        <f t="shared" si="103"/>
        <v>0</v>
      </c>
      <c r="Q1661" s="66"/>
      <c r="R1661" s="66"/>
      <c r="S1661" s="66"/>
      <c r="T1661" s="66"/>
      <c r="U1661" s="66"/>
      <c r="V1661" s="66"/>
      <c r="W1661" s="66"/>
      <c r="X1661" s="66"/>
      <c r="Y1661" s="66"/>
      <c r="Z1661" s="66"/>
      <c r="AA1661" s="66"/>
      <c r="AB1661" s="66"/>
      <c r="AC1661" s="66"/>
      <c r="AD1661" s="66"/>
      <c r="AE1661" s="66"/>
      <c r="AF1661" s="66"/>
      <c r="AG1661" s="66"/>
      <c r="AH1661" s="66"/>
      <c r="AI1661" s="66"/>
      <c r="AJ1661" s="66"/>
      <c r="AK1661" s="66"/>
      <c r="AL1661" s="66"/>
      <c r="AM1661" s="66"/>
      <c r="AN1661" s="66"/>
      <c r="AO1661" s="66"/>
      <c r="AP1661" s="66"/>
      <c r="AQ1661" s="66"/>
      <c r="AR1661" s="66"/>
      <c r="AS1661" s="66"/>
      <c r="AT1661" s="66"/>
      <c r="AU1661" s="66"/>
      <c r="AV1661" s="66"/>
      <c r="AW1661" s="66"/>
      <c r="AX1661" s="66"/>
      <c r="AY1661" s="66"/>
      <c r="AZ1661" s="66"/>
      <c r="BA1661" s="66"/>
      <c r="BB1661" s="66"/>
      <c r="BC1661" s="66"/>
      <c r="BD1661" s="66"/>
      <c r="BE1661" s="105"/>
      <c r="BF1661" s="67"/>
      <c r="BG1661" s="68"/>
      <c r="BH1661" s="11"/>
      <c r="BI1661" s="69">
        <v>0</v>
      </c>
      <c r="BJ1661" s="70">
        <v>0</v>
      </c>
      <c r="BK1661" s="71">
        <v>0</v>
      </c>
      <c r="BL1661" s="71">
        <v>0</v>
      </c>
      <c r="BM1661" s="71">
        <v>0</v>
      </c>
      <c r="BN1661" s="72">
        <v>0</v>
      </c>
      <c r="BO1661" s="151" t="e">
        <f t="shared" si="104"/>
        <v>#DIV/0!</v>
      </c>
      <c r="BP1661" s="151" t="e">
        <f t="shared" si="105"/>
        <v>#DIV/0!</v>
      </c>
      <c r="BQ1661" s="71">
        <v>0</v>
      </c>
      <c r="BR1661" s="71">
        <v>0</v>
      </c>
      <c r="BS1661" s="71">
        <v>0</v>
      </c>
      <c r="BT1661" s="72">
        <v>0</v>
      </c>
      <c r="BU1661" s="151" t="e">
        <f t="shared" si="106"/>
        <v>#DIV/0!</v>
      </c>
      <c r="BV1661" s="151" t="e">
        <f t="shared" si="107"/>
        <v>#DIV/0!</v>
      </c>
      <c r="BW1661" s="14"/>
    </row>
    <row r="1662" s="3" customFormat="1" ht="30" customHeight="1" spans="1:75">
      <c r="A1662" s="55">
        <v>0</v>
      </c>
      <c r="B1662" s="56">
        <v>0</v>
      </c>
      <c r="C1662" s="57">
        <v>0</v>
      </c>
      <c r="D1662" s="92"/>
      <c r="E1662" s="92"/>
      <c r="F1662" s="91" t="e">
        <f>VLOOKUP(E1662,[1]库存!$B$1:$C$65536,2,FALSE)</f>
        <v>#N/A</v>
      </c>
      <c r="G1662" s="91" t="e">
        <v>#N/A</v>
      </c>
      <c r="H1662" s="92"/>
      <c r="I1662" s="92"/>
      <c r="J1662" s="87"/>
      <c r="K1662" s="61"/>
      <c r="L1662" s="62">
        <v>0</v>
      </c>
      <c r="M1662" s="63">
        <v>0</v>
      </c>
      <c r="N1662" s="64">
        <v>0</v>
      </c>
      <c r="O1662" s="62">
        <v>0</v>
      </c>
      <c r="P1662" s="65">
        <f t="shared" si="103"/>
        <v>0</v>
      </c>
      <c r="Q1662" s="66"/>
      <c r="R1662" s="66"/>
      <c r="S1662" s="66"/>
      <c r="T1662" s="66"/>
      <c r="U1662" s="66"/>
      <c r="V1662" s="66"/>
      <c r="W1662" s="66"/>
      <c r="X1662" s="66"/>
      <c r="Y1662" s="66"/>
      <c r="Z1662" s="66"/>
      <c r="AA1662" s="66"/>
      <c r="AB1662" s="66"/>
      <c r="AC1662" s="66"/>
      <c r="AD1662" s="66"/>
      <c r="AE1662" s="66"/>
      <c r="AF1662" s="66"/>
      <c r="AG1662" s="66"/>
      <c r="AH1662" s="66"/>
      <c r="AI1662" s="66"/>
      <c r="AJ1662" s="66"/>
      <c r="AK1662" s="66"/>
      <c r="AL1662" s="66"/>
      <c r="AM1662" s="66"/>
      <c r="AN1662" s="66"/>
      <c r="AO1662" s="66"/>
      <c r="AP1662" s="66"/>
      <c r="AQ1662" s="66"/>
      <c r="AR1662" s="66"/>
      <c r="AS1662" s="66"/>
      <c r="AT1662" s="66"/>
      <c r="AU1662" s="66"/>
      <c r="AV1662" s="66"/>
      <c r="AW1662" s="66"/>
      <c r="AX1662" s="66"/>
      <c r="AY1662" s="66"/>
      <c r="AZ1662" s="66"/>
      <c r="BA1662" s="66"/>
      <c r="BB1662" s="66"/>
      <c r="BC1662" s="66"/>
      <c r="BD1662" s="66"/>
      <c r="BE1662" s="67"/>
      <c r="BF1662" s="67"/>
      <c r="BG1662" s="68"/>
      <c r="BH1662" s="11"/>
      <c r="BI1662" s="69">
        <v>0</v>
      </c>
      <c r="BJ1662" s="70">
        <v>0</v>
      </c>
      <c r="BK1662" s="71">
        <v>0</v>
      </c>
      <c r="BL1662" s="71">
        <v>0</v>
      </c>
      <c r="BM1662" s="71">
        <v>0</v>
      </c>
      <c r="BN1662" s="72">
        <v>0</v>
      </c>
      <c r="BO1662" s="151" t="e">
        <f t="shared" si="104"/>
        <v>#DIV/0!</v>
      </c>
      <c r="BP1662" s="151" t="e">
        <f t="shared" si="105"/>
        <v>#DIV/0!</v>
      </c>
      <c r="BQ1662" s="71">
        <v>0</v>
      </c>
      <c r="BR1662" s="71">
        <v>0</v>
      </c>
      <c r="BS1662" s="71">
        <v>0</v>
      </c>
      <c r="BT1662" s="72">
        <v>0</v>
      </c>
      <c r="BU1662" s="151" t="e">
        <f t="shared" si="106"/>
        <v>#DIV/0!</v>
      </c>
      <c r="BV1662" s="151" t="e">
        <f t="shared" si="107"/>
        <v>#DIV/0!</v>
      </c>
      <c r="BW1662" s="14"/>
    </row>
    <row r="1663" s="3" customFormat="1" ht="30" customHeight="1" spans="1:75">
      <c r="A1663" s="55" t="s">
        <v>165</v>
      </c>
      <c r="B1663" s="56" t="s">
        <v>2247</v>
      </c>
      <c r="C1663" s="57" t="s">
        <v>2343</v>
      </c>
      <c r="D1663" s="91" t="s">
        <v>2678</v>
      </c>
      <c r="E1663" s="91" t="s">
        <v>2682</v>
      </c>
      <c r="F1663" s="91" t="str">
        <f>VLOOKUP(E1663,[1]库存!$B$1:$C$65536,2,FALSE)</f>
        <v>CC1E FSAB RH A状态</v>
      </c>
      <c r="G1663" s="91" t="s">
        <v>2683</v>
      </c>
      <c r="H1663" s="91" t="s">
        <v>2684</v>
      </c>
      <c r="I1663" s="91" t="s">
        <v>170</v>
      </c>
      <c r="J1663" s="63"/>
      <c r="K1663" s="61"/>
      <c r="L1663" s="62">
        <v>2</v>
      </c>
      <c r="M1663" s="63">
        <v>1050</v>
      </c>
      <c r="N1663" s="64">
        <v>11</v>
      </c>
      <c r="O1663" s="62">
        <v>2</v>
      </c>
      <c r="P1663" s="65">
        <f t="shared" si="103"/>
        <v>0</v>
      </c>
      <c r="Q1663" s="66"/>
      <c r="R1663" s="66"/>
      <c r="S1663" s="66"/>
      <c r="T1663" s="66"/>
      <c r="U1663" s="66"/>
      <c r="V1663" s="66"/>
      <c r="W1663" s="66"/>
      <c r="X1663" s="66"/>
      <c r="Y1663" s="66"/>
      <c r="Z1663" s="66"/>
      <c r="AA1663" s="66"/>
      <c r="AB1663" s="66"/>
      <c r="AC1663" s="66"/>
      <c r="AD1663" s="66"/>
      <c r="AE1663" s="66"/>
      <c r="AF1663" s="66"/>
      <c r="AG1663" s="66"/>
      <c r="AH1663" s="66"/>
      <c r="AI1663" s="66"/>
      <c r="AJ1663" s="66"/>
      <c r="AK1663" s="66"/>
      <c r="AL1663" s="66"/>
      <c r="AM1663" s="66"/>
      <c r="AN1663" s="66"/>
      <c r="AO1663" s="66"/>
      <c r="AP1663" s="66"/>
      <c r="AQ1663" s="66"/>
      <c r="AR1663" s="66"/>
      <c r="AS1663" s="66"/>
      <c r="AT1663" s="66"/>
      <c r="AU1663" s="66"/>
      <c r="AV1663" s="66"/>
      <c r="AW1663" s="66"/>
      <c r="AX1663" s="66"/>
      <c r="AY1663" s="66"/>
      <c r="AZ1663" s="66"/>
      <c r="BA1663" s="66"/>
      <c r="BB1663" s="66"/>
      <c r="BC1663" s="66"/>
      <c r="BD1663" s="66"/>
      <c r="BE1663" s="67"/>
      <c r="BF1663" s="67"/>
      <c r="BG1663" s="68"/>
      <c r="BH1663" s="11"/>
      <c r="BI1663" s="69">
        <v>0</v>
      </c>
      <c r="BJ1663" s="70">
        <v>0</v>
      </c>
      <c r="BK1663" s="71">
        <v>0</v>
      </c>
      <c r="BL1663" s="71">
        <v>0</v>
      </c>
      <c r="BM1663" s="71">
        <v>0</v>
      </c>
      <c r="BN1663" s="72">
        <v>0</v>
      </c>
      <c r="BO1663" s="151" t="e">
        <f t="shared" si="104"/>
        <v>#DIV/0!</v>
      </c>
      <c r="BP1663" s="151" t="e">
        <f t="shared" si="105"/>
        <v>#DIV/0!</v>
      </c>
      <c r="BQ1663" s="71">
        <v>0</v>
      </c>
      <c r="BR1663" s="71">
        <v>0</v>
      </c>
      <c r="BS1663" s="71">
        <v>0</v>
      </c>
      <c r="BT1663" s="72">
        <v>0</v>
      </c>
      <c r="BU1663" s="151" t="e">
        <f t="shared" si="106"/>
        <v>#DIV/0!</v>
      </c>
      <c r="BV1663" s="151" t="e">
        <f t="shared" si="107"/>
        <v>#DIV/0!</v>
      </c>
      <c r="BW1663" s="14"/>
    </row>
    <row r="1664" s="3" customFormat="1" ht="30" customHeight="1" spans="1:75">
      <c r="A1664" s="55">
        <v>0</v>
      </c>
      <c r="B1664" s="56">
        <v>0</v>
      </c>
      <c r="C1664" s="57">
        <v>0</v>
      </c>
      <c r="D1664" s="92"/>
      <c r="E1664" s="92"/>
      <c r="F1664" s="91" t="e">
        <f>VLOOKUP(E1664,[1]库存!$B$1:$C$65536,2,FALSE)</f>
        <v>#N/A</v>
      </c>
      <c r="G1664" s="91" t="e">
        <v>#N/A</v>
      </c>
      <c r="H1664" s="92"/>
      <c r="I1664" s="92"/>
      <c r="J1664" s="87"/>
      <c r="K1664" s="61"/>
      <c r="L1664" s="62">
        <v>0</v>
      </c>
      <c r="M1664" s="63">
        <v>0</v>
      </c>
      <c r="N1664" s="64">
        <v>0</v>
      </c>
      <c r="O1664" s="62">
        <v>0</v>
      </c>
      <c r="P1664" s="65">
        <f t="shared" si="103"/>
        <v>0</v>
      </c>
      <c r="Q1664" s="12"/>
      <c r="R1664" s="66"/>
      <c r="S1664" s="12"/>
      <c r="T1664" s="66"/>
      <c r="U1664" s="12"/>
      <c r="V1664" s="66"/>
      <c r="W1664" s="12"/>
      <c r="X1664" s="66"/>
      <c r="Y1664" s="12"/>
      <c r="Z1664" s="66"/>
      <c r="AA1664" s="12"/>
      <c r="AB1664" s="66"/>
      <c r="AC1664" s="12"/>
      <c r="AD1664" s="66"/>
      <c r="AE1664" s="12"/>
      <c r="AF1664" s="66"/>
      <c r="AG1664" s="12"/>
      <c r="AH1664" s="66"/>
      <c r="AI1664" s="12"/>
      <c r="AJ1664" s="66"/>
      <c r="AK1664" s="12"/>
      <c r="AL1664" s="66"/>
      <c r="AM1664" s="12"/>
      <c r="AN1664" s="66"/>
      <c r="AO1664" s="12"/>
      <c r="AP1664" s="66"/>
      <c r="AQ1664" s="12"/>
      <c r="AR1664" s="66"/>
      <c r="AS1664" s="12"/>
      <c r="AT1664" s="66"/>
      <c r="AU1664" s="12"/>
      <c r="AV1664" s="66"/>
      <c r="AW1664" s="12"/>
      <c r="AX1664" s="66"/>
      <c r="AY1664" s="12"/>
      <c r="AZ1664" s="66"/>
      <c r="BA1664" s="12"/>
      <c r="BB1664" s="66"/>
      <c r="BC1664" s="12"/>
      <c r="BD1664" s="66"/>
      <c r="BE1664" s="13"/>
      <c r="BF1664" s="67"/>
      <c r="BG1664" s="68"/>
      <c r="BH1664" s="11"/>
      <c r="BI1664" s="69">
        <v>0</v>
      </c>
      <c r="BJ1664" s="70">
        <v>0</v>
      </c>
      <c r="BK1664" s="71">
        <v>0</v>
      </c>
      <c r="BL1664" s="71">
        <v>0</v>
      </c>
      <c r="BM1664" s="71">
        <v>0</v>
      </c>
      <c r="BN1664" s="72">
        <v>0</v>
      </c>
      <c r="BO1664" s="151" t="e">
        <f t="shared" si="104"/>
        <v>#DIV/0!</v>
      </c>
      <c r="BP1664" s="151" t="e">
        <f t="shared" si="105"/>
        <v>#DIV/0!</v>
      </c>
      <c r="BQ1664" s="71">
        <v>0</v>
      </c>
      <c r="BR1664" s="71">
        <v>0</v>
      </c>
      <c r="BS1664" s="71">
        <v>0</v>
      </c>
      <c r="BT1664" s="72">
        <v>0</v>
      </c>
      <c r="BU1664" s="151" t="e">
        <f t="shared" si="106"/>
        <v>#DIV/0!</v>
      </c>
      <c r="BV1664" s="151" t="e">
        <f t="shared" si="107"/>
        <v>#DIV/0!</v>
      </c>
      <c r="BW1664" s="14"/>
    </row>
    <row r="1665" ht="30" customHeight="1" spans="1:75">
      <c r="A1665" s="55" t="s">
        <v>410</v>
      </c>
      <c r="B1665" s="56" t="s">
        <v>2247</v>
      </c>
      <c r="C1665" s="57" t="s">
        <v>2343</v>
      </c>
      <c r="D1665" s="91" t="s">
        <v>2678</v>
      </c>
      <c r="E1665" s="91" t="s">
        <v>2685</v>
      </c>
      <c r="F1665" s="91" t="str">
        <f>VLOOKUP(E1665,[1]库存!$B$1:$C$65536,2,FALSE)</f>
        <v>F520SR PT FSAB LH A状态</v>
      </c>
      <c r="G1665" s="91" t="s">
        <v>2686</v>
      </c>
      <c r="H1665" s="91" t="s">
        <v>2687</v>
      </c>
      <c r="I1665" s="91" t="s">
        <v>2688</v>
      </c>
      <c r="J1665" s="63"/>
      <c r="K1665" s="61"/>
      <c r="L1665" s="62">
        <v>2</v>
      </c>
      <c r="M1665" s="63">
        <v>1400</v>
      </c>
      <c r="N1665" s="64">
        <v>10</v>
      </c>
      <c r="O1665" s="62">
        <v>2</v>
      </c>
      <c r="P1665" s="65">
        <f t="shared" si="103"/>
        <v>0</v>
      </c>
      <c r="Q1665" s="66"/>
      <c r="R1665" s="66"/>
      <c r="S1665" s="66"/>
      <c r="T1665" s="66"/>
      <c r="U1665" s="66"/>
      <c r="V1665" s="66"/>
      <c r="W1665" s="66"/>
      <c r="X1665" s="66"/>
      <c r="Y1665" s="66"/>
      <c r="Z1665" s="66"/>
      <c r="AA1665" s="66">
        <v>1600</v>
      </c>
      <c r="AB1665" s="66"/>
      <c r="AC1665" s="66" t="s">
        <v>2689</v>
      </c>
      <c r="AD1665" s="66"/>
      <c r="AE1665" s="66"/>
      <c r="AF1665" s="66"/>
      <c r="AG1665" s="66"/>
      <c r="AH1665" s="66"/>
      <c r="AI1665" s="66"/>
      <c r="AJ1665" s="66"/>
      <c r="AK1665" s="66"/>
      <c r="AL1665" s="66"/>
      <c r="AM1665" s="66"/>
      <c r="AN1665" s="66"/>
      <c r="AO1665" s="66"/>
      <c r="AP1665" s="66"/>
      <c r="AQ1665" s="66"/>
      <c r="AR1665" s="66"/>
      <c r="AS1665" s="66"/>
      <c r="AT1665" s="66"/>
      <c r="AU1665" s="66"/>
      <c r="AV1665" s="66"/>
      <c r="AW1665" s="66"/>
      <c r="AX1665" s="66"/>
      <c r="AY1665" s="66"/>
      <c r="AZ1665" s="66"/>
      <c r="BA1665" s="66"/>
      <c r="BB1665" s="66"/>
      <c r="BC1665" s="66"/>
      <c r="BD1665" s="66"/>
      <c r="BE1665" s="67"/>
      <c r="BF1665" s="67"/>
      <c r="BG1665" s="68"/>
      <c r="BI1665" s="69">
        <v>0</v>
      </c>
      <c r="BJ1665" s="70">
        <v>0</v>
      </c>
      <c r="BK1665" s="71">
        <v>0</v>
      </c>
      <c r="BL1665" s="71">
        <v>0</v>
      </c>
      <c r="BM1665" s="71">
        <v>0</v>
      </c>
      <c r="BN1665" s="72">
        <v>0</v>
      </c>
      <c r="BO1665" s="151" t="e">
        <f t="shared" si="104"/>
        <v>#DIV/0!</v>
      </c>
      <c r="BP1665" s="151" t="e">
        <f t="shared" si="105"/>
        <v>#DIV/0!</v>
      </c>
      <c r="BQ1665" s="71">
        <v>0</v>
      </c>
      <c r="BR1665" s="71">
        <v>0</v>
      </c>
      <c r="BS1665" s="71">
        <v>0</v>
      </c>
      <c r="BT1665" s="72">
        <v>0</v>
      </c>
      <c r="BU1665" s="151" t="e">
        <f t="shared" si="106"/>
        <v>#DIV/0!</v>
      </c>
      <c r="BV1665" s="151" t="e">
        <f t="shared" si="107"/>
        <v>#DIV/0!</v>
      </c>
    </row>
    <row r="1666" ht="30" customHeight="1" spans="1:75">
      <c r="A1666" s="55">
        <v>0</v>
      </c>
      <c r="B1666" s="56">
        <v>0</v>
      </c>
      <c r="C1666" s="57">
        <v>0</v>
      </c>
      <c r="D1666" s="92"/>
      <c r="E1666" s="92"/>
      <c r="F1666" s="91" t="e">
        <f>VLOOKUP(E1666,[1]库存!$B$1:$C$65536,2,FALSE)</f>
        <v>#N/A</v>
      </c>
      <c r="G1666" s="91" t="e">
        <v>#N/A</v>
      </c>
      <c r="H1666" s="92"/>
      <c r="I1666" s="92"/>
      <c r="J1666" s="87"/>
      <c r="K1666" s="61"/>
      <c r="L1666" s="62">
        <v>0</v>
      </c>
      <c r="M1666" s="63">
        <v>0</v>
      </c>
      <c r="N1666" s="64">
        <v>0</v>
      </c>
      <c r="O1666" s="62">
        <v>0</v>
      </c>
      <c r="P1666" s="65">
        <f t="shared" si="103"/>
        <v>0</v>
      </c>
      <c r="Q1666" s="66"/>
      <c r="R1666" s="66"/>
      <c r="S1666" s="66"/>
      <c r="T1666" s="66"/>
      <c r="U1666" s="66"/>
      <c r="V1666" s="66"/>
      <c r="W1666" s="66"/>
      <c r="X1666" s="66"/>
      <c r="Y1666" s="66"/>
      <c r="Z1666" s="66"/>
      <c r="AA1666" s="66">
        <v>1611</v>
      </c>
      <c r="AB1666" s="66"/>
      <c r="AC1666" s="66"/>
      <c r="AD1666" s="66"/>
      <c r="AE1666" s="66"/>
      <c r="AF1666" s="66"/>
      <c r="AG1666" s="66"/>
      <c r="AH1666" s="66"/>
      <c r="AI1666" s="66"/>
      <c r="AJ1666" s="66"/>
      <c r="AK1666" s="66"/>
      <c r="AL1666" s="66"/>
      <c r="AM1666" s="66"/>
      <c r="AN1666" s="66"/>
      <c r="AO1666" s="66"/>
      <c r="AP1666" s="66"/>
      <c r="AQ1666" s="66"/>
      <c r="AR1666" s="66"/>
      <c r="AS1666" s="66"/>
      <c r="AT1666" s="66"/>
      <c r="AU1666" s="66"/>
      <c r="AV1666" s="66"/>
      <c r="AW1666" s="66"/>
      <c r="AX1666" s="66"/>
      <c r="AY1666" s="66"/>
      <c r="AZ1666" s="66"/>
      <c r="BA1666" s="66"/>
      <c r="BB1666" s="66"/>
      <c r="BC1666" s="66"/>
      <c r="BD1666" s="66"/>
      <c r="BE1666" s="67"/>
      <c r="BF1666" s="67"/>
      <c r="BG1666" s="68"/>
      <c r="BI1666" s="69">
        <v>0</v>
      </c>
      <c r="BJ1666" s="70">
        <v>0</v>
      </c>
      <c r="BK1666" s="71">
        <v>0</v>
      </c>
      <c r="BL1666" s="71">
        <v>0</v>
      </c>
      <c r="BM1666" s="71">
        <v>0</v>
      </c>
      <c r="BN1666" s="72">
        <v>0</v>
      </c>
      <c r="BO1666" s="151" t="e">
        <f t="shared" si="104"/>
        <v>#DIV/0!</v>
      </c>
      <c r="BP1666" s="151" t="e">
        <f t="shared" si="105"/>
        <v>#DIV/0!</v>
      </c>
      <c r="BQ1666" s="71">
        <v>0</v>
      </c>
      <c r="BR1666" s="71">
        <v>0</v>
      </c>
      <c r="BS1666" s="71">
        <v>0</v>
      </c>
      <c r="BT1666" s="72">
        <v>0</v>
      </c>
      <c r="BU1666" s="151" t="e">
        <f t="shared" si="106"/>
        <v>#DIV/0!</v>
      </c>
      <c r="BV1666" s="151" t="e">
        <f t="shared" si="107"/>
        <v>#DIV/0!</v>
      </c>
    </row>
    <row r="1667" ht="30" customHeight="1" spans="1:75">
      <c r="A1667" s="55" t="s">
        <v>410</v>
      </c>
      <c r="B1667" s="56" t="s">
        <v>2247</v>
      </c>
      <c r="C1667" s="57" t="s">
        <v>2343</v>
      </c>
      <c r="D1667" s="91" t="s">
        <v>2678</v>
      </c>
      <c r="E1667" s="91" t="s">
        <v>2690</v>
      </c>
      <c r="F1667" s="91" t="str">
        <f>VLOOKUP(E1667,[1]库存!$B$1:$C$65536,2,FALSE)</f>
        <v>F520SR PT FSAB RH A状态</v>
      </c>
      <c r="G1667" s="91" t="s">
        <v>2691</v>
      </c>
      <c r="H1667" s="91" t="s">
        <v>2692</v>
      </c>
      <c r="I1667" s="91" t="s">
        <v>2688</v>
      </c>
      <c r="J1667" s="63"/>
      <c r="K1667" s="61"/>
      <c r="L1667" s="62">
        <v>2</v>
      </c>
      <c r="M1667" s="63">
        <v>1400</v>
      </c>
      <c r="N1667" s="64">
        <v>10</v>
      </c>
      <c r="O1667" s="62">
        <v>2</v>
      </c>
      <c r="P1667" s="65">
        <f t="shared" si="103"/>
        <v>0</v>
      </c>
      <c r="Q1667" s="66"/>
      <c r="R1667" s="66"/>
      <c r="S1667" s="66"/>
      <c r="T1667" s="66"/>
      <c r="U1667" s="66"/>
      <c r="V1667" s="66"/>
      <c r="W1667" s="66"/>
      <c r="X1667" s="66"/>
      <c r="Y1667" s="66"/>
      <c r="Z1667" s="66"/>
      <c r="AA1667" s="66"/>
      <c r="AB1667" s="66"/>
      <c r="AC1667" s="66"/>
      <c r="AD1667" s="66"/>
      <c r="AE1667" s="66"/>
      <c r="AF1667" s="66"/>
      <c r="AG1667" s="66"/>
      <c r="AH1667" s="66"/>
      <c r="AI1667" s="66"/>
      <c r="AJ1667" s="66"/>
      <c r="AK1667" s="66"/>
      <c r="AL1667" s="66"/>
      <c r="AM1667" s="66"/>
      <c r="AN1667" s="66"/>
      <c r="AO1667" s="66"/>
      <c r="AP1667" s="66"/>
      <c r="AQ1667" s="66"/>
      <c r="AR1667" s="66"/>
      <c r="AS1667" s="66"/>
      <c r="AT1667" s="66"/>
      <c r="AU1667" s="66"/>
      <c r="AV1667" s="66"/>
      <c r="AW1667" s="66"/>
      <c r="AX1667" s="66"/>
      <c r="AY1667" s="66"/>
      <c r="AZ1667" s="66"/>
      <c r="BA1667" s="66"/>
      <c r="BB1667" s="66"/>
      <c r="BC1667" s="66"/>
      <c r="BD1667" s="66"/>
      <c r="BE1667" s="67"/>
      <c r="BF1667" s="67"/>
      <c r="BG1667" s="68"/>
      <c r="BI1667" s="69">
        <v>0</v>
      </c>
      <c r="BJ1667" s="70">
        <v>0</v>
      </c>
      <c r="BK1667" s="71">
        <v>0</v>
      </c>
      <c r="BL1667" s="71">
        <v>0</v>
      </c>
      <c r="BM1667" s="71">
        <v>0</v>
      </c>
      <c r="BN1667" s="72">
        <v>0</v>
      </c>
      <c r="BO1667" s="151" t="e">
        <f t="shared" si="104"/>
        <v>#DIV/0!</v>
      </c>
      <c r="BP1667" s="151" t="e">
        <f t="shared" si="105"/>
        <v>#DIV/0!</v>
      </c>
      <c r="BQ1667" s="71">
        <v>0</v>
      </c>
      <c r="BR1667" s="71">
        <v>0</v>
      </c>
      <c r="BS1667" s="71">
        <v>0</v>
      </c>
      <c r="BT1667" s="72">
        <v>0</v>
      </c>
      <c r="BU1667" s="151" t="e">
        <f t="shared" si="106"/>
        <v>#DIV/0!</v>
      </c>
      <c r="BV1667" s="151" t="e">
        <f t="shared" si="107"/>
        <v>#DIV/0!</v>
      </c>
    </row>
    <row r="1668" ht="30" customHeight="1" spans="1:75">
      <c r="A1668" s="55">
        <v>0</v>
      </c>
      <c r="B1668" s="56">
        <v>0</v>
      </c>
      <c r="C1668" s="57">
        <v>0</v>
      </c>
      <c r="D1668" s="92"/>
      <c r="E1668" s="92"/>
      <c r="F1668" s="91" t="e">
        <f>VLOOKUP(E1668,[1]库存!$B$1:$C$65536,2,FALSE)</f>
        <v>#N/A</v>
      </c>
      <c r="G1668" s="91" t="e">
        <v>#N/A</v>
      </c>
      <c r="H1668" s="92"/>
      <c r="I1668" s="92"/>
      <c r="J1668" s="87"/>
      <c r="K1668" s="61"/>
      <c r="L1668" s="62">
        <v>0</v>
      </c>
      <c r="M1668" s="63">
        <v>0</v>
      </c>
      <c r="N1668" s="64">
        <v>0</v>
      </c>
      <c r="O1668" s="62">
        <v>0</v>
      </c>
      <c r="P1668" s="65">
        <f t="shared" si="103"/>
        <v>0</v>
      </c>
      <c r="Q1668" s="66"/>
      <c r="R1668" s="66"/>
      <c r="S1668" s="66"/>
      <c r="T1668" s="66"/>
      <c r="U1668" s="66"/>
      <c r="V1668" s="66"/>
      <c r="W1668" s="66"/>
      <c r="X1668" s="66"/>
      <c r="Y1668" s="66"/>
      <c r="Z1668" s="66"/>
      <c r="AA1668" s="66"/>
      <c r="AB1668" s="66"/>
      <c r="AC1668" s="66"/>
      <c r="AD1668" s="66"/>
      <c r="AE1668" s="66"/>
      <c r="AF1668" s="66"/>
      <c r="AG1668" s="66"/>
      <c r="AH1668" s="66"/>
      <c r="AI1668" s="66"/>
      <c r="AJ1668" s="66"/>
      <c r="AK1668" s="66"/>
      <c r="AL1668" s="66"/>
      <c r="AM1668" s="66"/>
      <c r="AN1668" s="66"/>
      <c r="AO1668" s="66"/>
      <c r="AP1668" s="66"/>
      <c r="AQ1668" s="66"/>
      <c r="AR1668" s="66"/>
      <c r="AS1668" s="66"/>
      <c r="AT1668" s="66"/>
      <c r="AU1668" s="66"/>
      <c r="AV1668" s="66"/>
      <c r="AW1668" s="66"/>
      <c r="AX1668" s="66"/>
      <c r="AY1668" s="66"/>
      <c r="AZ1668" s="66"/>
      <c r="BA1668" s="66"/>
      <c r="BB1668" s="66"/>
      <c r="BC1668" s="66"/>
      <c r="BD1668" s="66"/>
      <c r="BE1668" s="67"/>
      <c r="BF1668" s="67"/>
      <c r="BG1668" s="68"/>
      <c r="BI1668" s="69">
        <v>0</v>
      </c>
      <c r="BJ1668" s="70">
        <v>0</v>
      </c>
      <c r="BK1668" s="71">
        <v>0</v>
      </c>
      <c r="BL1668" s="71">
        <v>0</v>
      </c>
      <c r="BM1668" s="71">
        <v>0</v>
      </c>
      <c r="BN1668" s="72">
        <v>0</v>
      </c>
      <c r="BO1668" s="151" t="e">
        <f t="shared" si="104"/>
        <v>#DIV/0!</v>
      </c>
      <c r="BP1668" s="151" t="e">
        <f t="shared" si="105"/>
        <v>#DIV/0!</v>
      </c>
      <c r="BQ1668" s="71">
        <v>0</v>
      </c>
      <c r="BR1668" s="71">
        <v>0</v>
      </c>
      <c r="BS1668" s="71">
        <v>0</v>
      </c>
      <c r="BT1668" s="72">
        <v>0</v>
      </c>
      <c r="BU1668" s="151" t="e">
        <f t="shared" si="106"/>
        <v>#DIV/0!</v>
      </c>
      <c r="BV1668" s="151" t="e">
        <f t="shared" si="107"/>
        <v>#DIV/0!</v>
      </c>
    </row>
    <row r="1669" ht="30" customHeight="1" spans="1:75">
      <c r="A1669" s="55" t="s">
        <v>165</v>
      </c>
      <c r="B1669" s="52" t="s">
        <v>2247</v>
      </c>
      <c r="C1669" s="76" t="s">
        <v>2343</v>
      </c>
      <c r="D1669" s="59" t="s">
        <v>2678</v>
      </c>
      <c r="E1669" s="59" t="s">
        <v>2693</v>
      </c>
      <c r="F1669" s="59" t="str">
        <f>VLOOKUP(E1669,[1]库存!$B$1:$C$65536,2,FALSE)</f>
        <v>LI X01 SAB LH C状态</v>
      </c>
      <c r="G1669" s="59" t="s">
        <v>2694</v>
      </c>
      <c r="H1669" s="59" t="s">
        <v>2695</v>
      </c>
      <c r="I1669" s="59" t="s">
        <v>2696</v>
      </c>
      <c r="J1669" s="80" t="s">
        <v>65</v>
      </c>
      <c r="K1669" s="159"/>
      <c r="L1669" s="173">
        <v>2</v>
      </c>
      <c r="M1669" s="63">
        <v>1000</v>
      </c>
      <c r="N1669" s="64">
        <v>12</v>
      </c>
      <c r="O1669" s="62">
        <v>2</v>
      </c>
      <c r="P1669" s="65">
        <f t="shared" si="103"/>
        <v>0</v>
      </c>
      <c r="Q1669" s="103"/>
      <c r="R1669" s="66"/>
      <c r="S1669" s="103"/>
      <c r="T1669" s="66"/>
      <c r="U1669" s="103"/>
      <c r="V1669" s="66"/>
      <c r="W1669" s="103"/>
      <c r="X1669" s="66"/>
      <c r="Y1669" s="103"/>
      <c r="Z1669" s="66"/>
      <c r="AA1669" s="103"/>
      <c r="AB1669" s="66"/>
      <c r="AC1669" s="103"/>
      <c r="AD1669" s="66"/>
      <c r="AE1669" s="103"/>
      <c r="AF1669" s="66"/>
      <c r="AG1669" s="103"/>
      <c r="AH1669" s="66"/>
      <c r="AI1669" s="103"/>
      <c r="AJ1669" s="66"/>
      <c r="AK1669" s="103"/>
      <c r="AL1669" s="66"/>
      <c r="AM1669" s="103"/>
      <c r="AN1669" s="66"/>
      <c r="AO1669" s="103"/>
      <c r="AP1669" s="66"/>
      <c r="AQ1669" s="103"/>
      <c r="AR1669" s="66"/>
      <c r="AS1669" s="103"/>
      <c r="AT1669" s="66"/>
      <c r="AU1669" s="103"/>
      <c r="AV1669" s="66"/>
      <c r="AW1669" s="103"/>
      <c r="AX1669" s="66"/>
      <c r="AY1669" s="103"/>
      <c r="AZ1669" s="66"/>
      <c r="BA1669" s="103"/>
      <c r="BB1669" s="66"/>
      <c r="BC1669" s="103"/>
      <c r="BD1669" s="66"/>
      <c r="BE1669" s="105"/>
      <c r="BF1669" s="67"/>
      <c r="BG1669" s="68"/>
      <c r="BI1669" s="69">
        <v>0</v>
      </c>
      <c r="BJ1669" s="70">
        <v>0</v>
      </c>
      <c r="BK1669" s="71">
        <v>0</v>
      </c>
      <c r="BL1669" s="71">
        <v>0</v>
      </c>
      <c r="BM1669" s="71">
        <v>0</v>
      </c>
      <c r="BN1669" s="72">
        <v>0</v>
      </c>
      <c r="BO1669" s="151" t="e">
        <f t="shared" si="104"/>
        <v>#DIV/0!</v>
      </c>
      <c r="BP1669" s="151" t="e">
        <f t="shared" si="105"/>
        <v>#DIV/0!</v>
      </c>
      <c r="BQ1669" s="71">
        <v>0</v>
      </c>
      <c r="BR1669" s="71">
        <v>0</v>
      </c>
      <c r="BS1669" s="71">
        <v>0</v>
      </c>
      <c r="BT1669" s="72">
        <v>0</v>
      </c>
      <c r="BU1669" s="151" t="e">
        <f t="shared" si="106"/>
        <v>#DIV/0!</v>
      </c>
      <c r="BV1669" s="151" t="e">
        <f t="shared" si="107"/>
        <v>#DIV/0!</v>
      </c>
    </row>
    <row r="1670" ht="30" customHeight="1" spans="1:75">
      <c r="A1670" s="55">
        <v>0</v>
      </c>
      <c r="B1670" s="52">
        <v>0</v>
      </c>
      <c r="C1670" s="76">
        <v>0</v>
      </c>
      <c r="D1670" s="74"/>
      <c r="E1670" s="74"/>
      <c r="F1670" s="59" t="e">
        <f>VLOOKUP(E1670,[1]库存!$B$1:$C$65536,2,FALSE)</f>
        <v>#N/A</v>
      </c>
      <c r="G1670" s="59" t="e">
        <v>#N/A</v>
      </c>
      <c r="H1670" s="74"/>
      <c r="I1670" s="74"/>
      <c r="J1670" s="81"/>
      <c r="K1670" s="159"/>
      <c r="L1670" s="173">
        <v>0</v>
      </c>
      <c r="M1670" s="63">
        <v>0</v>
      </c>
      <c r="N1670" s="64">
        <v>0</v>
      </c>
      <c r="O1670" s="62">
        <v>0</v>
      </c>
      <c r="P1670" s="65">
        <f t="shared" ref="P1670:P1733" si="108">SUM(AG1670:AJ1670)</f>
        <v>0</v>
      </c>
      <c r="Q1670" s="66"/>
      <c r="R1670" s="66"/>
      <c r="S1670" s="66"/>
      <c r="T1670" s="66"/>
      <c r="U1670" s="66"/>
      <c r="V1670" s="66"/>
      <c r="W1670" s="66"/>
      <c r="X1670" s="66"/>
      <c r="Y1670" s="66"/>
      <c r="Z1670" s="66"/>
      <c r="AA1670" s="66"/>
      <c r="AB1670" s="66"/>
      <c r="AC1670" s="66"/>
      <c r="AD1670" s="66"/>
      <c r="AE1670" s="66"/>
      <c r="AF1670" s="66"/>
      <c r="AG1670" s="66"/>
      <c r="AH1670" s="66"/>
      <c r="AI1670" s="66"/>
      <c r="AJ1670" s="66"/>
      <c r="AK1670" s="66"/>
      <c r="AL1670" s="66"/>
      <c r="AM1670" s="66"/>
      <c r="AN1670" s="66"/>
      <c r="AO1670" s="66"/>
      <c r="AP1670" s="66"/>
      <c r="AQ1670" s="66"/>
      <c r="AR1670" s="66"/>
      <c r="AS1670" s="66"/>
      <c r="AT1670" s="66"/>
      <c r="AU1670" s="66"/>
      <c r="AV1670" s="66"/>
      <c r="AW1670" s="66"/>
      <c r="AX1670" s="66"/>
      <c r="AY1670" s="66"/>
      <c r="AZ1670" s="66"/>
      <c r="BA1670" s="66"/>
      <c r="BB1670" s="66"/>
      <c r="BC1670" s="66"/>
      <c r="BD1670" s="66"/>
      <c r="BE1670" s="67"/>
      <c r="BF1670" s="67"/>
      <c r="BG1670" s="68"/>
      <c r="BI1670" s="69">
        <v>0</v>
      </c>
      <c r="BJ1670" s="70">
        <v>0</v>
      </c>
      <c r="BK1670" s="71">
        <v>0</v>
      </c>
      <c r="BL1670" s="71">
        <v>0</v>
      </c>
      <c r="BM1670" s="71">
        <v>0</v>
      </c>
      <c r="BN1670" s="72">
        <v>0</v>
      </c>
      <c r="BO1670" s="151" t="e">
        <f t="shared" si="104"/>
        <v>#DIV/0!</v>
      </c>
      <c r="BP1670" s="151" t="e">
        <f t="shared" si="105"/>
        <v>#DIV/0!</v>
      </c>
      <c r="BQ1670" s="71">
        <v>0</v>
      </c>
      <c r="BR1670" s="71">
        <v>0</v>
      </c>
      <c r="BS1670" s="71">
        <v>0</v>
      </c>
      <c r="BT1670" s="72">
        <v>0</v>
      </c>
      <c r="BU1670" s="151" t="e">
        <f t="shared" si="106"/>
        <v>#DIV/0!</v>
      </c>
      <c r="BV1670" s="151" t="e">
        <f t="shared" si="107"/>
        <v>#DIV/0!</v>
      </c>
    </row>
    <row r="1671" ht="30" customHeight="1" spans="1:75">
      <c r="A1671" s="55" t="s">
        <v>165</v>
      </c>
      <c r="B1671" s="52" t="s">
        <v>2247</v>
      </c>
      <c r="C1671" s="76" t="s">
        <v>2343</v>
      </c>
      <c r="D1671" s="59" t="s">
        <v>2678</v>
      </c>
      <c r="E1671" s="59" t="s">
        <v>2697</v>
      </c>
      <c r="F1671" s="59" t="str">
        <f>VLOOKUP(E1671,[1]库存!$B$1:$C$65536,2,FALSE)</f>
        <v>LI X01 SAB RH C状态</v>
      </c>
      <c r="G1671" s="59" t="s">
        <v>2698</v>
      </c>
      <c r="H1671" s="59" t="s">
        <v>2699</v>
      </c>
      <c r="I1671" s="59" t="s">
        <v>2696</v>
      </c>
      <c r="J1671" s="80" t="s">
        <v>65</v>
      </c>
      <c r="K1671" s="159"/>
      <c r="L1671" s="173">
        <v>2</v>
      </c>
      <c r="M1671" s="63">
        <v>1000</v>
      </c>
      <c r="N1671" s="64">
        <v>12</v>
      </c>
      <c r="O1671" s="62">
        <v>2</v>
      </c>
      <c r="P1671" s="65">
        <f t="shared" si="108"/>
        <v>0</v>
      </c>
      <c r="Q1671" s="103"/>
      <c r="R1671" s="66"/>
      <c r="S1671" s="103"/>
      <c r="T1671" s="66"/>
      <c r="U1671" s="103"/>
      <c r="V1671" s="66"/>
      <c r="W1671" s="103"/>
      <c r="X1671" s="66"/>
      <c r="Y1671" s="103"/>
      <c r="Z1671" s="66"/>
      <c r="AA1671" s="103"/>
      <c r="AB1671" s="66"/>
      <c r="AC1671" s="103"/>
      <c r="AD1671" s="66"/>
      <c r="AE1671" s="103"/>
      <c r="AF1671" s="66"/>
      <c r="AG1671" s="103"/>
      <c r="AH1671" s="66"/>
      <c r="AI1671" s="103"/>
      <c r="AJ1671" s="66"/>
      <c r="AK1671" s="103"/>
      <c r="AL1671" s="66"/>
      <c r="AM1671" s="103"/>
      <c r="AN1671" s="66"/>
      <c r="AO1671" s="103"/>
      <c r="AP1671" s="66"/>
      <c r="AQ1671" s="103"/>
      <c r="AR1671" s="66"/>
      <c r="AS1671" s="103"/>
      <c r="AT1671" s="66"/>
      <c r="AU1671" s="103"/>
      <c r="AV1671" s="66"/>
      <c r="AW1671" s="103"/>
      <c r="AX1671" s="66"/>
      <c r="AY1671" s="103"/>
      <c r="AZ1671" s="66"/>
      <c r="BA1671" s="103"/>
      <c r="BB1671" s="66"/>
      <c r="BC1671" s="103"/>
      <c r="BD1671" s="66"/>
      <c r="BE1671" s="105"/>
      <c r="BF1671" s="67"/>
      <c r="BG1671" s="68"/>
      <c r="BI1671" s="69">
        <v>0</v>
      </c>
      <c r="BJ1671" s="70">
        <v>0</v>
      </c>
      <c r="BK1671" s="71">
        <v>0</v>
      </c>
      <c r="BL1671" s="71">
        <v>0</v>
      </c>
      <c r="BM1671" s="71">
        <v>0</v>
      </c>
      <c r="BN1671" s="72">
        <v>0</v>
      </c>
      <c r="BO1671" s="151" t="e">
        <f t="shared" si="104"/>
        <v>#DIV/0!</v>
      </c>
      <c r="BP1671" s="151" t="e">
        <f t="shared" si="105"/>
        <v>#DIV/0!</v>
      </c>
      <c r="BQ1671" s="71">
        <v>0</v>
      </c>
      <c r="BR1671" s="71">
        <v>0</v>
      </c>
      <c r="BS1671" s="71">
        <v>0</v>
      </c>
      <c r="BT1671" s="72">
        <v>0</v>
      </c>
      <c r="BU1671" s="151" t="e">
        <f t="shared" si="106"/>
        <v>#DIV/0!</v>
      </c>
      <c r="BV1671" s="151" t="e">
        <f t="shared" si="107"/>
        <v>#DIV/0!</v>
      </c>
    </row>
    <row r="1672" ht="30" customHeight="1" spans="1:75">
      <c r="A1672" s="55">
        <v>0</v>
      </c>
      <c r="B1672" s="52">
        <v>0</v>
      </c>
      <c r="C1672" s="76">
        <v>0</v>
      </c>
      <c r="D1672" s="74"/>
      <c r="E1672" s="74"/>
      <c r="F1672" s="59" t="e">
        <f>VLOOKUP(E1672,[1]库存!$B$1:$C$65536,2,FALSE)</f>
        <v>#N/A</v>
      </c>
      <c r="G1672" s="59" t="e">
        <v>#N/A</v>
      </c>
      <c r="H1672" s="74"/>
      <c r="I1672" s="74"/>
      <c r="J1672" s="81"/>
      <c r="K1672" s="159"/>
      <c r="L1672" s="173">
        <v>0</v>
      </c>
      <c r="M1672" s="63">
        <v>0</v>
      </c>
      <c r="N1672" s="64">
        <v>0</v>
      </c>
      <c r="O1672" s="62">
        <v>0</v>
      </c>
      <c r="P1672" s="65">
        <f t="shared" si="108"/>
        <v>0</v>
      </c>
      <c r="Q1672" s="66"/>
      <c r="R1672" s="66"/>
      <c r="S1672" s="66"/>
      <c r="T1672" s="66"/>
      <c r="U1672" s="66"/>
      <c r="V1672" s="66"/>
      <c r="W1672" s="66"/>
      <c r="X1672" s="66"/>
      <c r="Y1672" s="66"/>
      <c r="Z1672" s="66"/>
      <c r="AA1672" s="66"/>
      <c r="AB1672" s="66"/>
      <c r="AC1672" s="66"/>
      <c r="AD1672" s="66"/>
      <c r="AE1672" s="66"/>
      <c r="AF1672" s="66"/>
      <c r="AG1672" s="66"/>
      <c r="AH1672" s="66"/>
      <c r="AI1672" s="66"/>
      <c r="AJ1672" s="66"/>
      <c r="AK1672" s="66"/>
      <c r="AL1672" s="66"/>
      <c r="AM1672" s="66"/>
      <c r="AN1672" s="66"/>
      <c r="AO1672" s="66"/>
      <c r="AP1672" s="66"/>
      <c r="AQ1672" s="66"/>
      <c r="AR1672" s="66"/>
      <c r="AS1672" s="66"/>
      <c r="AT1672" s="66"/>
      <c r="AU1672" s="66"/>
      <c r="AV1672" s="66"/>
      <c r="AW1672" s="66"/>
      <c r="AX1672" s="66"/>
      <c r="AY1672" s="66"/>
      <c r="AZ1672" s="66"/>
      <c r="BA1672" s="66"/>
      <c r="BB1672" s="66"/>
      <c r="BC1672" s="66"/>
      <c r="BD1672" s="66"/>
      <c r="BE1672" s="67"/>
      <c r="BF1672" s="67"/>
      <c r="BG1672" s="68"/>
      <c r="BI1672" s="69">
        <v>0</v>
      </c>
      <c r="BJ1672" s="70">
        <v>0</v>
      </c>
      <c r="BK1672" s="71">
        <v>0</v>
      </c>
      <c r="BL1672" s="71">
        <v>0</v>
      </c>
      <c r="BM1672" s="71">
        <v>0</v>
      </c>
      <c r="BN1672" s="72">
        <v>0</v>
      </c>
      <c r="BO1672" s="151" t="e">
        <f t="shared" si="104"/>
        <v>#DIV/0!</v>
      </c>
      <c r="BP1672" s="151" t="e">
        <f t="shared" si="105"/>
        <v>#DIV/0!</v>
      </c>
      <c r="BQ1672" s="71">
        <v>0</v>
      </c>
      <c r="BR1672" s="71">
        <v>0</v>
      </c>
      <c r="BS1672" s="71">
        <v>0</v>
      </c>
      <c r="BT1672" s="72">
        <v>0</v>
      </c>
      <c r="BU1672" s="151" t="e">
        <f t="shared" si="106"/>
        <v>#DIV/0!</v>
      </c>
      <c r="BV1672" s="151" t="e">
        <f t="shared" si="107"/>
        <v>#DIV/0!</v>
      </c>
    </row>
    <row r="1673" s="3" customFormat="1" ht="30" customHeight="1" spans="1:75">
      <c r="A1673" s="55" t="s">
        <v>165</v>
      </c>
      <c r="B1673" s="52" t="s">
        <v>2247</v>
      </c>
      <c r="C1673" s="76" t="s">
        <v>2343</v>
      </c>
      <c r="D1673" s="59" t="s">
        <v>2678</v>
      </c>
      <c r="E1673" s="59" t="s">
        <v>2700</v>
      </c>
      <c r="F1673" s="59" t="str">
        <f>VLOOKUP(E1673,[1]库存!$B$1:$C$65536,2,FALSE)</f>
        <v>CS1E FSAB LH C状态</v>
      </c>
      <c r="G1673" s="59" t="s">
        <v>2701</v>
      </c>
      <c r="H1673" s="59" t="s">
        <v>2702</v>
      </c>
      <c r="I1673" s="59" t="s">
        <v>170</v>
      </c>
      <c r="J1673" s="80" t="s">
        <v>65</v>
      </c>
      <c r="K1673" s="61"/>
      <c r="L1673" s="62">
        <v>2</v>
      </c>
      <c r="M1673" s="63">
        <v>1050</v>
      </c>
      <c r="N1673" s="64">
        <v>11</v>
      </c>
      <c r="O1673" s="62">
        <v>2</v>
      </c>
      <c r="P1673" s="65">
        <f t="shared" si="108"/>
        <v>0</v>
      </c>
      <c r="Q1673" s="103"/>
      <c r="R1673" s="66"/>
      <c r="S1673" s="103"/>
      <c r="T1673" s="66"/>
      <c r="U1673" s="103"/>
      <c r="V1673" s="66"/>
      <c r="W1673" s="103"/>
      <c r="X1673" s="66"/>
      <c r="Y1673" s="103"/>
      <c r="Z1673" s="66"/>
      <c r="AA1673" s="103"/>
      <c r="AB1673" s="66"/>
      <c r="AC1673" s="103"/>
      <c r="AD1673" s="66"/>
      <c r="AE1673" s="103"/>
      <c r="AF1673" s="66"/>
      <c r="AG1673" s="103"/>
      <c r="AH1673" s="66"/>
      <c r="AI1673" s="103"/>
      <c r="AJ1673" s="66"/>
      <c r="AK1673" s="103"/>
      <c r="AL1673" s="66"/>
      <c r="AM1673" s="103"/>
      <c r="AN1673" s="66"/>
      <c r="AO1673" s="103"/>
      <c r="AP1673" s="66"/>
      <c r="AQ1673" s="103"/>
      <c r="AR1673" s="66"/>
      <c r="AS1673" s="103"/>
      <c r="AT1673" s="66"/>
      <c r="AU1673" s="103"/>
      <c r="AV1673" s="66"/>
      <c r="AW1673" s="103"/>
      <c r="AX1673" s="66"/>
      <c r="AY1673" s="103"/>
      <c r="AZ1673" s="66"/>
      <c r="BA1673" s="103"/>
      <c r="BB1673" s="66"/>
      <c r="BC1673" s="103"/>
      <c r="BD1673" s="66"/>
      <c r="BE1673" s="105"/>
      <c r="BF1673" s="67"/>
      <c r="BG1673" s="68"/>
      <c r="BH1673" s="11"/>
      <c r="BI1673" s="69">
        <v>0</v>
      </c>
      <c r="BJ1673" s="70">
        <v>0</v>
      </c>
      <c r="BK1673" s="71">
        <v>0</v>
      </c>
      <c r="BL1673" s="71">
        <v>0</v>
      </c>
      <c r="BM1673" s="71">
        <v>0</v>
      </c>
      <c r="BN1673" s="72">
        <v>0</v>
      </c>
      <c r="BO1673" s="151" t="e">
        <f t="shared" si="104"/>
        <v>#DIV/0!</v>
      </c>
      <c r="BP1673" s="151" t="e">
        <f t="shared" si="105"/>
        <v>#DIV/0!</v>
      </c>
      <c r="BQ1673" s="71">
        <v>0</v>
      </c>
      <c r="BR1673" s="71">
        <v>0</v>
      </c>
      <c r="BS1673" s="71">
        <v>0</v>
      </c>
      <c r="BT1673" s="72">
        <v>0</v>
      </c>
      <c r="BU1673" s="151" t="e">
        <f t="shared" si="106"/>
        <v>#DIV/0!</v>
      </c>
      <c r="BV1673" s="151" t="e">
        <f t="shared" si="107"/>
        <v>#DIV/0!</v>
      </c>
      <c r="BW1673" s="14"/>
    </row>
    <row r="1674" s="3" customFormat="1" ht="30" customHeight="1" spans="1:75">
      <c r="A1674" s="55">
        <v>0</v>
      </c>
      <c r="B1674" s="52">
        <v>0</v>
      </c>
      <c r="C1674" s="76">
        <v>0</v>
      </c>
      <c r="D1674" s="74"/>
      <c r="E1674" s="74"/>
      <c r="F1674" s="59" t="e">
        <f>VLOOKUP(E1674,[1]库存!$B$1:$C$65536,2,FALSE)</f>
        <v>#N/A</v>
      </c>
      <c r="G1674" s="59" t="e">
        <v>#N/A</v>
      </c>
      <c r="H1674" s="74"/>
      <c r="I1674" s="74"/>
      <c r="J1674" s="81"/>
      <c r="K1674" s="61"/>
      <c r="L1674" s="62">
        <v>0</v>
      </c>
      <c r="M1674" s="63">
        <v>0</v>
      </c>
      <c r="N1674" s="64">
        <v>0</v>
      </c>
      <c r="O1674" s="62">
        <v>0</v>
      </c>
      <c r="P1674" s="65">
        <f t="shared" si="108"/>
        <v>0</v>
      </c>
      <c r="Q1674" s="66"/>
      <c r="R1674" s="66"/>
      <c r="S1674" s="66"/>
      <c r="T1674" s="66"/>
      <c r="U1674" s="66"/>
      <c r="V1674" s="66"/>
      <c r="W1674" s="66"/>
      <c r="X1674" s="66"/>
      <c r="Y1674" s="66"/>
      <c r="Z1674" s="66"/>
      <c r="AA1674" s="66"/>
      <c r="AB1674" s="66"/>
      <c r="AC1674" s="66"/>
      <c r="AD1674" s="66"/>
      <c r="AE1674" s="66"/>
      <c r="AF1674" s="66"/>
      <c r="AG1674" s="66"/>
      <c r="AH1674" s="66"/>
      <c r="AI1674" s="66"/>
      <c r="AJ1674" s="66"/>
      <c r="AK1674" s="66"/>
      <c r="AL1674" s="66"/>
      <c r="AM1674" s="66"/>
      <c r="AN1674" s="66"/>
      <c r="AO1674" s="66"/>
      <c r="AP1674" s="66"/>
      <c r="AQ1674" s="66"/>
      <c r="AR1674" s="66"/>
      <c r="AS1674" s="66"/>
      <c r="AT1674" s="66"/>
      <c r="AU1674" s="66"/>
      <c r="AV1674" s="66"/>
      <c r="AW1674" s="66"/>
      <c r="AX1674" s="66"/>
      <c r="AY1674" s="66"/>
      <c r="AZ1674" s="66"/>
      <c r="BA1674" s="66"/>
      <c r="BB1674" s="66"/>
      <c r="BC1674" s="66"/>
      <c r="BD1674" s="66"/>
      <c r="BE1674" s="67"/>
      <c r="BF1674" s="67"/>
      <c r="BG1674" s="68"/>
      <c r="BH1674" s="11"/>
      <c r="BI1674" s="69">
        <v>0</v>
      </c>
      <c r="BJ1674" s="70">
        <v>0</v>
      </c>
      <c r="BK1674" s="71">
        <v>0</v>
      </c>
      <c r="BL1674" s="71">
        <v>0</v>
      </c>
      <c r="BM1674" s="71">
        <v>0</v>
      </c>
      <c r="BN1674" s="72">
        <v>0</v>
      </c>
      <c r="BO1674" s="151" t="e">
        <f t="shared" si="104"/>
        <v>#DIV/0!</v>
      </c>
      <c r="BP1674" s="151" t="e">
        <f t="shared" si="105"/>
        <v>#DIV/0!</v>
      </c>
      <c r="BQ1674" s="71">
        <v>0</v>
      </c>
      <c r="BR1674" s="71">
        <v>0</v>
      </c>
      <c r="BS1674" s="71">
        <v>0</v>
      </c>
      <c r="BT1674" s="72">
        <v>0</v>
      </c>
      <c r="BU1674" s="151" t="e">
        <f t="shared" si="106"/>
        <v>#DIV/0!</v>
      </c>
      <c r="BV1674" s="151" t="e">
        <f t="shared" si="107"/>
        <v>#DIV/0!</v>
      </c>
      <c r="BW1674" s="14"/>
    </row>
    <row r="1675" s="3" customFormat="1" ht="30" customHeight="1" spans="1:75">
      <c r="A1675" s="55" t="s">
        <v>165</v>
      </c>
      <c r="B1675" s="52" t="s">
        <v>2247</v>
      </c>
      <c r="C1675" s="76" t="s">
        <v>2343</v>
      </c>
      <c r="D1675" s="59" t="s">
        <v>2678</v>
      </c>
      <c r="E1675" s="59" t="s">
        <v>2703</v>
      </c>
      <c r="F1675" s="59" t="str">
        <f>VLOOKUP(E1675,[1]库存!$B$1:$C$65536,2,FALSE)</f>
        <v>CS1E FSAB RH C状态</v>
      </c>
      <c r="G1675" s="59" t="s">
        <v>2704</v>
      </c>
      <c r="H1675" s="59" t="s">
        <v>2705</v>
      </c>
      <c r="I1675" s="59" t="s">
        <v>170</v>
      </c>
      <c r="J1675" s="80" t="s">
        <v>65</v>
      </c>
      <c r="K1675" s="61"/>
      <c r="L1675" s="62">
        <v>2</v>
      </c>
      <c r="M1675" s="63">
        <v>1050</v>
      </c>
      <c r="N1675" s="64">
        <v>11</v>
      </c>
      <c r="O1675" s="62">
        <v>2</v>
      </c>
      <c r="P1675" s="65">
        <f t="shared" si="108"/>
        <v>0</v>
      </c>
      <c r="Q1675" s="66"/>
      <c r="R1675" s="66"/>
      <c r="S1675" s="66"/>
      <c r="T1675" s="66"/>
      <c r="U1675" s="66"/>
      <c r="V1675" s="66"/>
      <c r="W1675" s="66"/>
      <c r="X1675" s="66"/>
      <c r="Y1675" s="66"/>
      <c r="Z1675" s="66"/>
      <c r="AA1675" s="66"/>
      <c r="AB1675" s="66"/>
      <c r="AC1675" s="66"/>
      <c r="AD1675" s="66"/>
      <c r="AE1675" s="66"/>
      <c r="AF1675" s="66"/>
      <c r="AG1675" s="66"/>
      <c r="AH1675" s="66"/>
      <c r="AI1675" s="66"/>
      <c r="AJ1675" s="66"/>
      <c r="AK1675" s="66"/>
      <c r="AL1675" s="66"/>
      <c r="AM1675" s="66"/>
      <c r="AN1675" s="66"/>
      <c r="AO1675" s="66"/>
      <c r="AP1675" s="66"/>
      <c r="AQ1675" s="66"/>
      <c r="AR1675" s="66"/>
      <c r="AS1675" s="66"/>
      <c r="AT1675" s="66"/>
      <c r="AU1675" s="66"/>
      <c r="AV1675" s="66"/>
      <c r="AW1675" s="66"/>
      <c r="AX1675" s="66"/>
      <c r="AY1675" s="66"/>
      <c r="AZ1675" s="66"/>
      <c r="BA1675" s="66"/>
      <c r="BB1675" s="66"/>
      <c r="BC1675" s="66"/>
      <c r="BD1675" s="66"/>
      <c r="BE1675" s="67"/>
      <c r="BF1675" s="67"/>
      <c r="BG1675" s="68"/>
      <c r="BH1675" s="11"/>
      <c r="BI1675" s="69">
        <v>0</v>
      </c>
      <c r="BJ1675" s="70">
        <v>0</v>
      </c>
      <c r="BK1675" s="71">
        <v>0</v>
      </c>
      <c r="BL1675" s="71">
        <v>0</v>
      </c>
      <c r="BM1675" s="71">
        <v>0</v>
      </c>
      <c r="BN1675" s="72">
        <v>0</v>
      </c>
      <c r="BO1675" s="151" t="e">
        <f t="shared" si="104"/>
        <v>#DIV/0!</v>
      </c>
      <c r="BP1675" s="151" t="e">
        <f t="shared" si="105"/>
        <v>#DIV/0!</v>
      </c>
      <c r="BQ1675" s="71">
        <v>0</v>
      </c>
      <c r="BR1675" s="71">
        <v>0</v>
      </c>
      <c r="BS1675" s="71">
        <v>0</v>
      </c>
      <c r="BT1675" s="72">
        <v>0</v>
      </c>
      <c r="BU1675" s="151" t="e">
        <f t="shared" si="106"/>
        <v>#DIV/0!</v>
      </c>
      <c r="BV1675" s="151" t="e">
        <f t="shared" si="107"/>
        <v>#DIV/0!</v>
      </c>
      <c r="BW1675" s="14"/>
    </row>
    <row r="1676" s="3" customFormat="1" ht="30" customHeight="1" spans="1:75">
      <c r="A1676" s="55">
        <v>0</v>
      </c>
      <c r="B1676" s="52">
        <v>0</v>
      </c>
      <c r="C1676" s="76">
        <v>0</v>
      </c>
      <c r="D1676" s="74"/>
      <c r="E1676" s="74"/>
      <c r="F1676" s="59" t="e">
        <f>VLOOKUP(E1676,[1]库存!$B$1:$C$65536,2,FALSE)</f>
        <v>#N/A</v>
      </c>
      <c r="G1676" s="59" t="e">
        <v>#N/A</v>
      </c>
      <c r="H1676" s="74"/>
      <c r="I1676" s="74"/>
      <c r="J1676" s="81"/>
      <c r="K1676" s="61"/>
      <c r="L1676" s="62">
        <v>0</v>
      </c>
      <c r="M1676" s="63">
        <v>0</v>
      </c>
      <c r="N1676" s="64">
        <v>0</v>
      </c>
      <c r="O1676" s="62">
        <v>0</v>
      </c>
      <c r="P1676" s="65">
        <f t="shared" si="108"/>
        <v>0</v>
      </c>
      <c r="Q1676" s="12"/>
      <c r="R1676" s="66"/>
      <c r="S1676" s="12"/>
      <c r="T1676" s="66"/>
      <c r="U1676" s="12"/>
      <c r="V1676" s="66"/>
      <c r="W1676" s="12"/>
      <c r="X1676" s="66"/>
      <c r="Y1676" s="12"/>
      <c r="Z1676" s="66"/>
      <c r="AA1676" s="12"/>
      <c r="AB1676" s="66"/>
      <c r="AC1676" s="12"/>
      <c r="AD1676" s="66"/>
      <c r="AE1676" s="12"/>
      <c r="AF1676" s="66"/>
      <c r="AG1676" s="12"/>
      <c r="AH1676" s="66"/>
      <c r="AI1676" s="12"/>
      <c r="AJ1676" s="66"/>
      <c r="AK1676" s="12"/>
      <c r="AL1676" s="66"/>
      <c r="AM1676" s="12"/>
      <c r="AN1676" s="66"/>
      <c r="AO1676" s="12"/>
      <c r="AP1676" s="66"/>
      <c r="AQ1676" s="12"/>
      <c r="AR1676" s="66"/>
      <c r="AS1676" s="12"/>
      <c r="AT1676" s="66"/>
      <c r="AU1676" s="12"/>
      <c r="AV1676" s="66"/>
      <c r="AW1676" s="12"/>
      <c r="AX1676" s="66"/>
      <c r="AY1676" s="12"/>
      <c r="AZ1676" s="66"/>
      <c r="BA1676" s="12"/>
      <c r="BB1676" s="66"/>
      <c r="BC1676" s="12"/>
      <c r="BD1676" s="66"/>
      <c r="BE1676" s="13"/>
      <c r="BF1676" s="67"/>
      <c r="BG1676" s="68"/>
      <c r="BH1676" s="11"/>
      <c r="BI1676" s="69">
        <v>0</v>
      </c>
      <c r="BJ1676" s="70">
        <v>0</v>
      </c>
      <c r="BK1676" s="71">
        <v>0</v>
      </c>
      <c r="BL1676" s="71">
        <v>0</v>
      </c>
      <c r="BM1676" s="71">
        <v>0</v>
      </c>
      <c r="BN1676" s="72">
        <v>0</v>
      </c>
      <c r="BO1676" s="151" t="e">
        <f t="shared" si="104"/>
        <v>#DIV/0!</v>
      </c>
      <c r="BP1676" s="151" t="e">
        <f t="shared" si="105"/>
        <v>#DIV/0!</v>
      </c>
      <c r="BQ1676" s="71">
        <v>0</v>
      </c>
      <c r="BR1676" s="71">
        <v>0</v>
      </c>
      <c r="BS1676" s="71">
        <v>0</v>
      </c>
      <c r="BT1676" s="72">
        <v>0</v>
      </c>
      <c r="BU1676" s="151" t="e">
        <f t="shared" si="106"/>
        <v>#DIV/0!</v>
      </c>
      <c r="BV1676" s="151" t="e">
        <f t="shared" si="107"/>
        <v>#DIV/0!</v>
      </c>
      <c r="BW1676" s="14"/>
    </row>
    <row r="1677" ht="30" customHeight="1" spans="1:75">
      <c r="A1677" s="55">
        <v>0</v>
      </c>
      <c r="B1677" s="56">
        <v>0</v>
      </c>
      <c r="C1677" s="57">
        <v>0</v>
      </c>
      <c r="D1677" s="210"/>
      <c r="E1677" s="88"/>
      <c r="F1677" s="59" t="e">
        <f>VLOOKUP(E1677,[1]库存!$B$1:$C$65536,2,FALSE)</f>
        <v>#N/A</v>
      </c>
      <c r="G1677" s="59" t="e">
        <v>#N/A</v>
      </c>
      <c r="H1677" s="238"/>
      <c r="I1677" s="239"/>
      <c r="J1677" s="90"/>
      <c r="K1677" s="61"/>
      <c r="L1677" s="62">
        <v>0</v>
      </c>
      <c r="M1677" s="63">
        <v>0</v>
      </c>
      <c r="N1677" s="64">
        <v>0</v>
      </c>
      <c r="O1677" s="62">
        <v>0</v>
      </c>
      <c r="P1677" s="65">
        <f t="shared" si="108"/>
        <v>0</v>
      </c>
      <c r="Q1677" s="66"/>
      <c r="R1677" s="66"/>
      <c r="S1677" s="66"/>
      <c r="T1677" s="66"/>
      <c r="U1677" s="66"/>
      <c r="V1677" s="66"/>
      <c r="W1677" s="66"/>
      <c r="X1677" s="66"/>
      <c r="Y1677" s="66"/>
      <c r="Z1677" s="66"/>
      <c r="AA1677" s="66"/>
      <c r="AB1677" s="66"/>
      <c r="AC1677" s="66"/>
      <c r="AD1677" s="66"/>
      <c r="AE1677" s="66"/>
      <c r="AF1677" s="66"/>
      <c r="AG1677" s="66"/>
      <c r="AH1677" s="66"/>
      <c r="AI1677" s="66"/>
      <c r="AJ1677" s="66"/>
      <c r="AK1677" s="66"/>
      <c r="AL1677" s="66"/>
      <c r="AM1677" s="66"/>
      <c r="AN1677" s="66"/>
      <c r="AO1677" s="66"/>
      <c r="AP1677" s="66"/>
      <c r="AQ1677" s="66"/>
      <c r="AR1677" s="66"/>
      <c r="AS1677" s="66"/>
      <c r="AT1677" s="66"/>
      <c r="AU1677" s="66"/>
      <c r="AV1677" s="66"/>
      <c r="AW1677" s="66"/>
      <c r="AX1677" s="66"/>
      <c r="AY1677" s="66"/>
      <c r="AZ1677" s="66"/>
      <c r="BA1677" s="66"/>
      <c r="BB1677" s="66"/>
      <c r="BC1677" s="66"/>
      <c r="BD1677" s="66"/>
      <c r="BE1677" s="67"/>
      <c r="BF1677" s="67"/>
      <c r="BG1677" s="68"/>
      <c r="BI1677" s="69">
        <v>0</v>
      </c>
      <c r="BJ1677" s="70">
        <v>0</v>
      </c>
      <c r="BK1677" s="71">
        <v>0</v>
      </c>
      <c r="BL1677" s="71">
        <v>0</v>
      </c>
      <c r="BM1677" s="71">
        <v>0</v>
      </c>
      <c r="BN1677" s="72">
        <v>0</v>
      </c>
      <c r="BO1677" s="151" t="e">
        <f t="shared" si="104"/>
        <v>#DIV/0!</v>
      </c>
      <c r="BP1677" s="151" t="e">
        <f t="shared" si="105"/>
        <v>#DIV/0!</v>
      </c>
      <c r="BQ1677" s="71">
        <v>0</v>
      </c>
      <c r="BR1677" s="71">
        <v>0</v>
      </c>
      <c r="BS1677" s="71">
        <v>0</v>
      </c>
      <c r="BT1677" s="72">
        <v>0</v>
      </c>
      <c r="BU1677" s="151" t="e">
        <f t="shared" si="106"/>
        <v>#DIV/0!</v>
      </c>
      <c r="BV1677" s="151" t="e">
        <f t="shared" si="107"/>
        <v>#DIV/0!</v>
      </c>
    </row>
    <row r="1678" ht="30" customHeight="1" spans="1:75">
      <c r="A1678" s="55" t="s">
        <v>211</v>
      </c>
      <c r="B1678" s="56" t="s">
        <v>2247</v>
      </c>
      <c r="C1678" s="57" t="s">
        <v>2343</v>
      </c>
      <c r="D1678" s="59" t="s">
        <v>2706</v>
      </c>
      <c r="E1678" s="59" t="s">
        <v>2707</v>
      </c>
      <c r="F1678" s="59" t="str">
        <f>VLOOKUP(E1678,[1]库存!$B$1:$C$65536,2,FALSE)</f>
        <v>SK2H DAB A状态</v>
      </c>
      <c r="G1678" s="59" t="s">
        <v>2708</v>
      </c>
      <c r="H1678" s="59" t="s">
        <v>2709</v>
      </c>
      <c r="I1678" s="59" t="s">
        <v>2710</v>
      </c>
      <c r="J1678" s="63"/>
      <c r="K1678" s="61"/>
      <c r="L1678" s="62">
        <v>2</v>
      </c>
      <c r="M1678" s="63">
        <v>1200</v>
      </c>
      <c r="N1678" s="64">
        <v>12</v>
      </c>
      <c r="O1678" s="62">
        <v>2</v>
      </c>
      <c r="P1678" s="65">
        <f t="shared" si="108"/>
        <v>0</v>
      </c>
      <c r="Q1678" s="66"/>
      <c r="R1678" s="66"/>
      <c r="S1678" s="66"/>
      <c r="T1678" s="66"/>
      <c r="U1678" s="66"/>
      <c r="V1678" s="66"/>
      <c r="W1678" s="66"/>
      <c r="X1678" s="66"/>
      <c r="Y1678" s="66"/>
      <c r="Z1678" s="66"/>
      <c r="AA1678" s="66"/>
      <c r="AB1678" s="66"/>
      <c r="AC1678" s="66"/>
      <c r="AD1678" s="66"/>
      <c r="AE1678" s="66"/>
      <c r="AF1678" s="66"/>
      <c r="AG1678" s="66"/>
      <c r="AH1678" s="66"/>
      <c r="AI1678" s="66"/>
      <c r="AJ1678" s="66"/>
      <c r="AK1678" s="66"/>
      <c r="AL1678" s="66"/>
      <c r="AM1678" s="66"/>
      <c r="AN1678" s="66"/>
      <c r="AO1678" s="66"/>
      <c r="AP1678" s="66"/>
      <c r="AQ1678" s="66"/>
      <c r="AR1678" s="66"/>
      <c r="AS1678" s="66"/>
      <c r="AT1678" s="66"/>
      <c r="AU1678" s="66"/>
      <c r="AV1678" s="66"/>
      <c r="AW1678" s="66"/>
      <c r="AX1678" s="66"/>
      <c r="AY1678" s="66"/>
      <c r="AZ1678" s="66"/>
      <c r="BA1678" s="66"/>
      <c r="BB1678" s="66"/>
      <c r="BC1678" s="66"/>
      <c r="BD1678" s="66"/>
      <c r="BE1678" s="67"/>
      <c r="BF1678" s="67"/>
      <c r="BG1678" s="68"/>
      <c r="BI1678" s="69">
        <v>0</v>
      </c>
      <c r="BJ1678" s="70">
        <v>0</v>
      </c>
      <c r="BK1678" s="71">
        <v>0</v>
      </c>
      <c r="BL1678" s="71">
        <v>0</v>
      </c>
      <c r="BM1678" s="71">
        <v>0</v>
      </c>
      <c r="BN1678" s="72">
        <v>0</v>
      </c>
      <c r="BO1678" s="151" t="e">
        <f t="shared" si="104"/>
        <v>#DIV/0!</v>
      </c>
      <c r="BP1678" s="151" t="e">
        <f t="shared" si="105"/>
        <v>#DIV/0!</v>
      </c>
      <c r="BQ1678" s="71">
        <v>0</v>
      </c>
      <c r="BR1678" s="71">
        <v>0</v>
      </c>
      <c r="BS1678" s="71">
        <v>0</v>
      </c>
      <c r="BT1678" s="72">
        <v>0</v>
      </c>
      <c r="BU1678" s="151" t="e">
        <f t="shared" si="106"/>
        <v>#DIV/0!</v>
      </c>
      <c r="BV1678" s="151" t="e">
        <f t="shared" si="107"/>
        <v>#DIV/0!</v>
      </c>
    </row>
    <row r="1679" ht="30" customHeight="1" spans="1:75">
      <c r="A1679" s="55">
        <v>0</v>
      </c>
      <c r="B1679" s="56">
        <v>0</v>
      </c>
      <c r="C1679" s="57">
        <v>0</v>
      </c>
      <c r="D1679" s="74"/>
      <c r="E1679" s="74"/>
      <c r="F1679" s="59" t="e">
        <f>VLOOKUP(E1679,[1]库存!$B$1:$C$65536,2,FALSE)</f>
        <v>#N/A</v>
      </c>
      <c r="G1679" s="59" t="e">
        <v>#N/A</v>
      </c>
      <c r="H1679" s="74"/>
      <c r="I1679" s="74"/>
      <c r="J1679" s="87"/>
      <c r="K1679" s="61"/>
      <c r="L1679" s="62">
        <v>0</v>
      </c>
      <c r="M1679" s="63">
        <v>0</v>
      </c>
      <c r="N1679" s="64">
        <v>0</v>
      </c>
      <c r="O1679" s="62">
        <v>0</v>
      </c>
      <c r="P1679" s="65">
        <f t="shared" si="108"/>
        <v>0</v>
      </c>
      <c r="R1679" s="66"/>
      <c r="T1679" s="66"/>
      <c r="V1679" s="66"/>
      <c r="X1679" s="66"/>
      <c r="Z1679" s="66"/>
      <c r="AB1679" s="66"/>
      <c r="AD1679" s="66"/>
      <c r="AF1679" s="66"/>
      <c r="AH1679" s="66"/>
      <c r="AJ1679" s="66"/>
      <c r="AL1679" s="66"/>
      <c r="AN1679" s="66"/>
      <c r="AP1679" s="66"/>
      <c r="AR1679" s="66"/>
      <c r="AT1679" s="66"/>
      <c r="AV1679" s="66"/>
      <c r="AX1679" s="66"/>
      <c r="AZ1679" s="66"/>
      <c r="BB1679" s="66"/>
      <c r="BD1679" s="66"/>
      <c r="BF1679" s="67"/>
      <c r="BG1679" s="68"/>
      <c r="BI1679" s="69">
        <v>0</v>
      </c>
      <c r="BJ1679" s="70">
        <v>0</v>
      </c>
      <c r="BK1679" s="71">
        <v>0</v>
      </c>
      <c r="BL1679" s="71">
        <v>0</v>
      </c>
      <c r="BM1679" s="71">
        <v>0</v>
      </c>
      <c r="BN1679" s="72">
        <v>0</v>
      </c>
      <c r="BO1679" s="151" t="e">
        <f t="shared" si="104"/>
        <v>#DIV/0!</v>
      </c>
      <c r="BP1679" s="151" t="e">
        <f t="shared" si="105"/>
        <v>#DIV/0!</v>
      </c>
      <c r="BQ1679" s="71">
        <v>0</v>
      </c>
      <c r="BR1679" s="71">
        <v>0</v>
      </c>
      <c r="BS1679" s="71">
        <v>0</v>
      </c>
      <c r="BT1679" s="72">
        <v>0</v>
      </c>
      <c r="BU1679" s="151" t="e">
        <f t="shared" si="106"/>
        <v>#DIV/0!</v>
      </c>
      <c r="BV1679" s="151" t="e">
        <f t="shared" si="107"/>
        <v>#DIV/0!</v>
      </c>
    </row>
    <row r="1680" ht="30" customHeight="1" spans="1:75">
      <c r="A1680" s="55" t="s">
        <v>211</v>
      </c>
      <c r="B1680" s="56" t="s">
        <v>2247</v>
      </c>
      <c r="C1680" s="57" t="s">
        <v>2343</v>
      </c>
      <c r="D1680" s="59" t="s">
        <v>2706</v>
      </c>
      <c r="E1680" s="59" t="s">
        <v>2711</v>
      </c>
      <c r="F1680" s="59" t="str">
        <f>VLOOKUP(E1680,[1]库存!$B$1:$C$65536,2,FALSE)</f>
        <v>SGH DAB A状态</v>
      </c>
      <c r="G1680" s="59" t="s">
        <v>2712</v>
      </c>
      <c r="H1680" s="59" t="s">
        <v>2713</v>
      </c>
      <c r="I1680" s="59" t="s">
        <v>2714</v>
      </c>
      <c r="J1680" s="63"/>
      <c r="K1680" s="61"/>
      <c r="L1680" s="62">
        <v>2</v>
      </c>
      <c r="M1680" s="117">
        <v>600</v>
      </c>
      <c r="N1680" s="64">
        <v>6</v>
      </c>
      <c r="O1680" s="62">
        <v>3</v>
      </c>
      <c r="P1680" s="65">
        <f t="shared" si="108"/>
        <v>0</v>
      </c>
      <c r="Q1680" s="66"/>
      <c r="R1680" s="66"/>
      <c r="S1680" s="66"/>
      <c r="T1680" s="66"/>
      <c r="U1680" s="66"/>
      <c r="V1680" s="66"/>
      <c r="W1680" s="66"/>
      <c r="X1680" s="66"/>
      <c r="Y1680" s="66"/>
      <c r="Z1680" s="66"/>
      <c r="AA1680" s="66"/>
      <c r="AB1680" s="66"/>
      <c r="AC1680" s="66"/>
      <c r="AD1680" s="66"/>
      <c r="AE1680" s="66"/>
      <c r="AF1680" s="66"/>
      <c r="AG1680" s="66"/>
      <c r="AH1680" s="66"/>
      <c r="AI1680" s="66"/>
      <c r="AJ1680" s="66"/>
      <c r="AK1680" s="66"/>
      <c r="AL1680" s="66"/>
      <c r="AM1680" s="66"/>
      <c r="AN1680" s="66"/>
      <c r="AO1680" s="66"/>
      <c r="AP1680" s="66"/>
      <c r="AQ1680" s="66"/>
      <c r="AR1680" s="66"/>
      <c r="AS1680" s="66"/>
      <c r="AT1680" s="66"/>
      <c r="AU1680" s="66"/>
      <c r="AV1680" s="66"/>
      <c r="AW1680" s="66"/>
      <c r="AX1680" s="66"/>
      <c r="AY1680" s="66"/>
      <c r="AZ1680" s="66"/>
      <c r="BA1680" s="66"/>
      <c r="BB1680" s="66"/>
      <c r="BC1680" s="66"/>
      <c r="BD1680" s="66"/>
      <c r="BE1680" s="67"/>
      <c r="BF1680" s="67"/>
      <c r="BG1680" s="68"/>
      <c r="BI1680" s="69">
        <v>0</v>
      </c>
      <c r="BJ1680" s="70">
        <v>0</v>
      </c>
      <c r="BK1680" s="71">
        <v>0</v>
      </c>
      <c r="BL1680" s="71">
        <v>0</v>
      </c>
      <c r="BM1680" s="71">
        <v>0</v>
      </c>
      <c r="BN1680" s="72">
        <v>0</v>
      </c>
      <c r="BO1680" s="151" t="e">
        <f t="shared" si="104"/>
        <v>#DIV/0!</v>
      </c>
      <c r="BP1680" s="151" t="e">
        <f t="shared" si="105"/>
        <v>#DIV/0!</v>
      </c>
      <c r="BQ1680" s="71">
        <v>0</v>
      </c>
      <c r="BR1680" s="71">
        <v>0</v>
      </c>
      <c r="BS1680" s="71">
        <v>0</v>
      </c>
      <c r="BT1680" s="72">
        <v>0</v>
      </c>
      <c r="BU1680" s="151" t="e">
        <f t="shared" si="106"/>
        <v>#DIV/0!</v>
      </c>
      <c r="BV1680" s="151" t="e">
        <f t="shared" si="107"/>
        <v>#DIV/0!</v>
      </c>
    </row>
    <row r="1681" ht="30" customHeight="1" spans="1:74">
      <c r="A1681" s="55">
        <v>0</v>
      </c>
      <c r="B1681" s="56">
        <v>0</v>
      </c>
      <c r="C1681" s="57">
        <v>0</v>
      </c>
      <c r="D1681" s="74"/>
      <c r="E1681" s="74"/>
      <c r="F1681" s="59" t="e">
        <f>VLOOKUP(E1681,[1]库存!$B$1:$C$65536,2,FALSE)</f>
        <v>#N/A</v>
      </c>
      <c r="G1681" s="59" t="e">
        <v>#N/A</v>
      </c>
      <c r="H1681" s="74"/>
      <c r="I1681" s="74"/>
      <c r="J1681" s="87"/>
      <c r="K1681" s="61"/>
      <c r="L1681" s="62">
        <v>0</v>
      </c>
      <c r="M1681" s="63">
        <v>0</v>
      </c>
      <c r="N1681" s="64">
        <v>0</v>
      </c>
      <c r="O1681" s="62">
        <v>0</v>
      </c>
      <c r="P1681" s="65">
        <f t="shared" si="108"/>
        <v>0</v>
      </c>
      <c r="R1681" s="66"/>
      <c r="T1681" s="66"/>
      <c r="V1681" s="66"/>
      <c r="X1681" s="66"/>
      <c r="Z1681" s="66"/>
      <c r="AB1681" s="66"/>
      <c r="AD1681" s="66"/>
      <c r="AF1681" s="66"/>
      <c r="AH1681" s="66"/>
      <c r="AJ1681" s="66"/>
      <c r="AL1681" s="66"/>
      <c r="AN1681" s="66"/>
      <c r="AP1681" s="66"/>
      <c r="AR1681" s="66"/>
      <c r="AT1681" s="66"/>
      <c r="AV1681" s="66"/>
      <c r="AX1681" s="66"/>
      <c r="AZ1681" s="66"/>
      <c r="BB1681" s="66"/>
      <c r="BD1681" s="66"/>
      <c r="BF1681" s="67"/>
      <c r="BG1681" s="68"/>
      <c r="BI1681" s="69">
        <v>0</v>
      </c>
      <c r="BJ1681" s="70">
        <v>0</v>
      </c>
      <c r="BK1681" s="71">
        <v>0</v>
      </c>
      <c r="BL1681" s="71">
        <v>0</v>
      </c>
      <c r="BM1681" s="71">
        <v>0</v>
      </c>
      <c r="BN1681" s="72">
        <v>0</v>
      </c>
      <c r="BO1681" s="151" t="e">
        <f t="shared" si="104"/>
        <v>#DIV/0!</v>
      </c>
      <c r="BP1681" s="151" t="e">
        <f t="shared" si="105"/>
        <v>#DIV/0!</v>
      </c>
      <c r="BQ1681" s="71">
        <v>0</v>
      </c>
      <c r="BR1681" s="71">
        <v>0</v>
      </c>
      <c r="BS1681" s="71">
        <v>0</v>
      </c>
      <c r="BT1681" s="72">
        <v>0</v>
      </c>
      <c r="BU1681" s="151" t="e">
        <f t="shared" si="106"/>
        <v>#DIV/0!</v>
      </c>
      <c r="BV1681" s="151" t="e">
        <f t="shared" si="107"/>
        <v>#DIV/0!</v>
      </c>
    </row>
    <row r="1682" ht="30" customHeight="1" spans="1:74">
      <c r="A1682" s="55" t="s">
        <v>211</v>
      </c>
      <c r="B1682" s="56" t="s">
        <v>2247</v>
      </c>
      <c r="C1682" s="57" t="s">
        <v>2343</v>
      </c>
      <c r="D1682" s="59" t="s">
        <v>2706</v>
      </c>
      <c r="E1682" s="59" t="s">
        <v>2715</v>
      </c>
      <c r="F1682" s="59" t="str">
        <f>VLOOKUP(E1682,[1]库存!$B$1:$C$65536,2,FALSE)</f>
        <v>STEBU DAB A状态</v>
      </c>
      <c r="G1682" s="59" t="s">
        <v>2716</v>
      </c>
      <c r="H1682" s="59" t="s">
        <v>2717</v>
      </c>
      <c r="I1682" s="59" t="s">
        <v>2718</v>
      </c>
      <c r="J1682" s="80" t="s">
        <v>65</v>
      </c>
      <c r="K1682" s="61"/>
      <c r="L1682" s="62">
        <v>2</v>
      </c>
      <c r="M1682" s="63">
        <v>1200</v>
      </c>
      <c r="N1682" s="64">
        <v>11</v>
      </c>
      <c r="O1682" s="62">
        <v>2</v>
      </c>
      <c r="P1682" s="65">
        <f t="shared" si="108"/>
        <v>0</v>
      </c>
      <c r="Q1682" s="66"/>
      <c r="R1682" s="66"/>
      <c r="S1682" s="66"/>
      <c r="T1682" s="66"/>
      <c r="U1682" s="66"/>
      <c r="V1682" s="66"/>
      <c r="W1682" s="66"/>
      <c r="X1682" s="66"/>
      <c r="Y1682" s="66"/>
      <c r="Z1682" s="66"/>
      <c r="AA1682" s="66"/>
      <c r="AB1682" s="66"/>
      <c r="AC1682" s="66"/>
      <c r="AD1682" s="66"/>
      <c r="AE1682" s="66"/>
      <c r="AF1682" s="66"/>
      <c r="AG1682" s="66"/>
      <c r="AH1682" s="66"/>
      <c r="AI1682" s="66"/>
      <c r="AJ1682" s="66"/>
      <c r="AK1682" s="66"/>
      <c r="AL1682" s="66"/>
      <c r="AM1682" s="66"/>
      <c r="AN1682" s="66"/>
      <c r="AO1682" s="66"/>
      <c r="AP1682" s="66"/>
      <c r="AQ1682" s="66"/>
      <c r="AR1682" s="66"/>
      <c r="AS1682" s="66"/>
      <c r="AT1682" s="66"/>
      <c r="AU1682" s="66"/>
      <c r="AV1682" s="66"/>
      <c r="AW1682" s="66"/>
      <c r="AX1682" s="66"/>
      <c r="AY1682" s="66"/>
      <c r="AZ1682" s="66"/>
      <c r="BA1682" s="66"/>
      <c r="BB1682" s="66"/>
      <c r="BC1682" s="66"/>
      <c r="BD1682" s="66"/>
      <c r="BE1682" s="67"/>
      <c r="BF1682" s="67"/>
      <c r="BG1682" s="68"/>
      <c r="BI1682" s="69">
        <v>0</v>
      </c>
      <c r="BJ1682" s="70">
        <v>0</v>
      </c>
      <c r="BK1682" s="71">
        <v>0</v>
      </c>
      <c r="BL1682" s="71">
        <v>0</v>
      </c>
      <c r="BM1682" s="71">
        <v>0</v>
      </c>
      <c r="BN1682" s="72">
        <v>0</v>
      </c>
      <c r="BO1682" s="151" t="e">
        <f t="shared" si="104"/>
        <v>#DIV/0!</v>
      </c>
      <c r="BP1682" s="151" t="e">
        <f t="shared" si="105"/>
        <v>#DIV/0!</v>
      </c>
      <c r="BQ1682" s="71">
        <v>0</v>
      </c>
      <c r="BR1682" s="71">
        <v>0</v>
      </c>
      <c r="BS1682" s="71">
        <v>0</v>
      </c>
      <c r="BT1682" s="72">
        <v>0</v>
      </c>
      <c r="BU1682" s="151" t="e">
        <f t="shared" si="106"/>
        <v>#DIV/0!</v>
      </c>
      <c r="BV1682" s="151" t="e">
        <f t="shared" si="107"/>
        <v>#DIV/0!</v>
      </c>
    </row>
    <row r="1683" ht="30" customHeight="1" spans="1:74">
      <c r="A1683" s="55">
        <v>0</v>
      </c>
      <c r="B1683" s="56">
        <v>0</v>
      </c>
      <c r="C1683" s="57">
        <v>0</v>
      </c>
      <c r="D1683" s="74"/>
      <c r="E1683" s="74"/>
      <c r="F1683" s="59" t="e">
        <f>VLOOKUP(E1683,[1]库存!$B$1:$C$65536,2,FALSE)</f>
        <v>#N/A</v>
      </c>
      <c r="G1683" s="59" t="e">
        <v>#N/A</v>
      </c>
      <c r="H1683" s="74"/>
      <c r="I1683" s="74"/>
      <c r="J1683" s="81"/>
      <c r="K1683" s="61"/>
      <c r="L1683" s="62">
        <v>0</v>
      </c>
      <c r="M1683" s="63">
        <v>0</v>
      </c>
      <c r="N1683" s="64">
        <v>0</v>
      </c>
      <c r="O1683" s="62">
        <v>0</v>
      </c>
      <c r="P1683" s="65">
        <f t="shared" si="108"/>
        <v>0</v>
      </c>
      <c r="R1683" s="66"/>
      <c r="T1683" s="66"/>
      <c r="V1683" s="66"/>
      <c r="X1683" s="66"/>
      <c r="Z1683" s="66"/>
      <c r="AB1683" s="66"/>
      <c r="AD1683" s="66"/>
      <c r="AF1683" s="66"/>
      <c r="AH1683" s="66"/>
      <c r="AJ1683" s="66"/>
      <c r="AL1683" s="66"/>
      <c r="AN1683" s="66"/>
      <c r="AP1683" s="66"/>
      <c r="AR1683" s="66"/>
      <c r="AT1683" s="66"/>
      <c r="AV1683" s="66"/>
      <c r="AX1683" s="66"/>
      <c r="AZ1683" s="66"/>
      <c r="BB1683" s="66"/>
      <c r="BD1683" s="66"/>
      <c r="BF1683" s="67"/>
      <c r="BG1683" s="68"/>
      <c r="BI1683" s="69">
        <v>0</v>
      </c>
      <c r="BJ1683" s="70">
        <v>0</v>
      </c>
      <c r="BK1683" s="71">
        <v>0</v>
      </c>
      <c r="BL1683" s="71">
        <v>0</v>
      </c>
      <c r="BM1683" s="71">
        <v>0</v>
      </c>
      <c r="BN1683" s="72">
        <v>0</v>
      </c>
      <c r="BO1683" s="151" t="e">
        <f t="shared" si="104"/>
        <v>#DIV/0!</v>
      </c>
      <c r="BP1683" s="151" t="e">
        <f t="shared" si="105"/>
        <v>#DIV/0!</v>
      </c>
      <c r="BQ1683" s="71">
        <v>0</v>
      </c>
      <c r="BR1683" s="71">
        <v>0</v>
      </c>
      <c r="BS1683" s="71">
        <v>0</v>
      </c>
      <c r="BT1683" s="72">
        <v>0</v>
      </c>
      <c r="BU1683" s="151" t="e">
        <f t="shared" si="106"/>
        <v>#DIV/0!</v>
      </c>
      <c r="BV1683" s="151" t="e">
        <f t="shared" si="107"/>
        <v>#DIV/0!</v>
      </c>
    </row>
    <row r="1684" ht="30" customHeight="1" spans="1:74">
      <c r="A1684" s="55">
        <v>0</v>
      </c>
      <c r="B1684" s="56" t="s">
        <v>2247</v>
      </c>
      <c r="C1684" s="57" t="s">
        <v>2343</v>
      </c>
      <c r="D1684" s="59" t="s">
        <v>2706</v>
      </c>
      <c r="E1684" s="59"/>
      <c r="F1684" s="59" t="e">
        <f>VLOOKUP(E1684,[1]库存!$B$1:$C$65536,2,FALSE)</f>
        <v>#N/A</v>
      </c>
      <c r="G1684" s="59" t="e">
        <v>#N/A</v>
      </c>
      <c r="H1684" s="59" t="s">
        <v>2719</v>
      </c>
      <c r="I1684" s="59" t="s">
        <v>2720</v>
      </c>
      <c r="J1684" s="63"/>
      <c r="K1684" s="61"/>
      <c r="L1684" s="62">
        <v>2</v>
      </c>
      <c r="M1684" s="63">
        <v>1200</v>
      </c>
      <c r="N1684" s="64">
        <v>12</v>
      </c>
      <c r="O1684" s="62">
        <v>2</v>
      </c>
      <c r="P1684" s="65">
        <f t="shared" si="108"/>
        <v>0</v>
      </c>
      <c r="Q1684" s="66"/>
      <c r="R1684" s="66"/>
      <c r="S1684" s="66"/>
      <c r="T1684" s="66"/>
      <c r="U1684" s="66"/>
      <c r="V1684" s="66"/>
      <c r="W1684" s="66"/>
      <c r="X1684" s="66"/>
      <c r="Y1684" s="66"/>
      <c r="Z1684" s="66"/>
      <c r="AA1684" s="66"/>
      <c r="AB1684" s="66"/>
      <c r="AC1684" s="66"/>
      <c r="AD1684" s="66"/>
      <c r="AE1684" s="66"/>
      <c r="AF1684" s="66"/>
      <c r="AG1684" s="66"/>
      <c r="AH1684" s="66"/>
      <c r="AI1684" s="66"/>
      <c r="AJ1684" s="66"/>
      <c r="AK1684" s="66"/>
      <c r="AL1684" s="66"/>
      <c r="AM1684" s="66"/>
      <c r="AN1684" s="66"/>
      <c r="AO1684" s="66"/>
      <c r="AP1684" s="66"/>
      <c r="AQ1684" s="66"/>
      <c r="AR1684" s="66"/>
      <c r="AS1684" s="66"/>
      <c r="AT1684" s="66"/>
      <c r="AU1684" s="66"/>
      <c r="AV1684" s="66"/>
      <c r="AW1684" s="66"/>
      <c r="AX1684" s="66"/>
      <c r="AY1684" s="66"/>
      <c r="AZ1684" s="66"/>
      <c r="BA1684" s="66"/>
      <c r="BB1684" s="66"/>
      <c r="BC1684" s="66"/>
      <c r="BD1684" s="66"/>
      <c r="BE1684" s="67"/>
      <c r="BF1684" s="67"/>
      <c r="BG1684" s="68"/>
      <c r="BI1684" s="69">
        <v>0</v>
      </c>
      <c r="BJ1684" s="70">
        <v>0</v>
      </c>
      <c r="BK1684" s="71">
        <v>0</v>
      </c>
      <c r="BL1684" s="71">
        <v>0</v>
      </c>
      <c r="BM1684" s="71">
        <v>0</v>
      </c>
      <c r="BN1684" s="72">
        <v>0</v>
      </c>
      <c r="BO1684" s="151" t="e">
        <f t="shared" si="104"/>
        <v>#DIV/0!</v>
      </c>
      <c r="BP1684" s="151" t="e">
        <f t="shared" si="105"/>
        <v>#DIV/0!</v>
      </c>
      <c r="BQ1684" s="71">
        <v>0</v>
      </c>
      <c r="BR1684" s="71">
        <v>0</v>
      </c>
      <c r="BS1684" s="71">
        <v>0</v>
      </c>
      <c r="BT1684" s="72">
        <v>0</v>
      </c>
      <c r="BU1684" s="151" t="e">
        <f t="shared" si="106"/>
        <v>#DIV/0!</v>
      </c>
      <c r="BV1684" s="151" t="e">
        <f t="shared" si="107"/>
        <v>#DIV/0!</v>
      </c>
    </row>
    <row r="1685" ht="30" customHeight="1" spans="1:74">
      <c r="A1685" s="55">
        <v>0</v>
      </c>
      <c r="B1685" s="56">
        <v>0</v>
      </c>
      <c r="C1685" s="57">
        <v>0</v>
      </c>
      <c r="D1685" s="74"/>
      <c r="E1685" s="74"/>
      <c r="F1685" s="59" t="e">
        <f>VLOOKUP(E1685,[1]库存!$B$1:$C$65536,2,FALSE)</f>
        <v>#N/A</v>
      </c>
      <c r="G1685" s="59" t="e">
        <v>#N/A</v>
      </c>
      <c r="H1685" s="74"/>
      <c r="I1685" s="74"/>
      <c r="J1685" s="87"/>
      <c r="K1685" s="61"/>
      <c r="L1685" s="62">
        <v>0</v>
      </c>
      <c r="M1685" s="63">
        <v>0</v>
      </c>
      <c r="N1685" s="64">
        <v>0</v>
      </c>
      <c r="O1685" s="62">
        <v>0</v>
      </c>
      <c r="P1685" s="65">
        <f t="shared" si="108"/>
        <v>0</v>
      </c>
      <c r="R1685" s="66"/>
      <c r="T1685" s="66"/>
      <c r="V1685" s="66"/>
      <c r="X1685" s="66"/>
      <c r="Z1685" s="66"/>
      <c r="AB1685" s="66"/>
      <c r="AD1685" s="66"/>
      <c r="AF1685" s="66"/>
      <c r="AH1685" s="66"/>
      <c r="AJ1685" s="66"/>
      <c r="AL1685" s="66"/>
      <c r="AN1685" s="66"/>
      <c r="AP1685" s="66"/>
      <c r="AR1685" s="66"/>
      <c r="AT1685" s="66"/>
      <c r="AV1685" s="66"/>
      <c r="AX1685" s="66"/>
      <c r="AZ1685" s="66"/>
      <c r="BB1685" s="66"/>
      <c r="BD1685" s="66"/>
      <c r="BF1685" s="67"/>
      <c r="BG1685" s="68"/>
      <c r="BI1685" s="69">
        <v>0</v>
      </c>
      <c r="BJ1685" s="70">
        <v>0</v>
      </c>
      <c r="BK1685" s="71">
        <v>0</v>
      </c>
      <c r="BL1685" s="71">
        <v>0</v>
      </c>
      <c r="BM1685" s="71">
        <v>0</v>
      </c>
      <c r="BN1685" s="72">
        <v>0</v>
      </c>
      <c r="BO1685" s="151" t="e">
        <f t="shared" si="104"/>
        <v>#DIV/0!</v>
      </c>
      <c r="BP1685" s="151" t="e">
        <f t="shared" si="105"/>
        <v>#DIV/0!</v>
      </c>
      <c r="BQ1685" s="71">
        <v>0</v>
      </c>
      <c r="BR1685" s="71">
        <v>0</v>
      </c>
      <c r="BS1685" s="71">
        <v>0</v>
      </c>
      <c r="BT1685" s="72">
        <v>0</v>
      </c>
      <c r="BU1685" s="151" t="e">
        <f t="shared" si="106"/>
        <v>#DIV/0!</v>
      </c>
      <c r="BV1685" s="151" t="e">
        <f t="shared" si="107"/>
        <v>#DIV/0!</v>
      </c>
    </row>
    <row r="1686" ht="30" customHeight="1" spans="1:74">
      <c r="A1686" s="55">
        <v>0</v>
      </c>
      <c r="B1686" s="56">
        <v>0</v>
      </c>
      <c r="C1686" s="57">
        <v>0</v>
      </c>
      <c r="D1686" s="210"/>
      <c r="E1686" s="88"/>
      <c r="F1686" s="59" t="e">
        <f>VLOOKUP(E1686,[1]库存!$B$1:$C$65536,2,FALSE)</f>
        <v>#N/A</v>
      </c>
      <c r="G1686" s="59" t="e">
        <v>#N/A</v>
      </c>
      <c r="H1686" s="238"/>
      <c r="I1686" s="239"/>
      <c r="J1686" s="90"/>
      <c r="K1686" s="61"/>
      <c r="L1686" s="62">
        <v>0</v>
      </c>
      <c r="M1686" s="63">
        <v>0</v>
      </c>
      <c r="N1686" s="64">
        <v>0</v>
      </c>
      <c r="O1686" s="62">
        <v>0</v>
      </c>
      <c r="P1686" s="65">
        <f t="shared" si="108"/>
        <v>0</v>
      </c>
      <c r="Q1686" s="66"/>
      <c r="R1686" s="66"/>
      <c r="S1686" s="66"/>
      <c r="T1686" s="66"/>
      <c r="U1686" s="66"/>
      <c r="V1686" s="66"/>
      <c r="W1686" s="66"/>
      <c r="X1686" s="66"/>
      <c r="Y1686" s="66"/>
      <c r="Z1686" s="66"/>
      <c r="AA1686" s="66"/>
      <c r="AB1686" s="66"/>
      <c r="AC1686" s="66"/>
      <c r="AD1686" s="66"/>
      <c r="AE1686" s="66"/>
      <c r="AF1686" s="66"/>
      <c r="AG1686" s="66"/>
      <c r="AH1686" s="66"/>
      <c r="AI1686" s="66"/>
      <c r="AJ1686" s="66"/>
      <c r="AK1686" s="66"/>
      <c r="AL1686" s="66"/>
      <c r="AM1686" s="66"/>
      <c r="AN1686" s="66"/>
      <c r="AO1686" s="66"/>
      <c r="AP1686" s="66"/>
      <c r="AQ1686" s="66"/>
      <c r="AR1686" s="66"/>
      <c r="AS1686" s="66"/>
      <c r="AT1686" s="66"/>
      <c r="AU1686" s="66"/>
      <c r="AV1686" s="66"/>
      <c r="AW1686" s="66"/>
      <c r="AX1686" s="66"/>
      <c r="AY1686" s="66"/>
      <c r="AZ1686" s="66"/>
      <c r="BA1686" s="66"/>
      <c r="BB1686" s="66"/>
      <c r="BC1686" s="66"/>
      <c r="BD1686" s="66"/>
      <c r="BE1686" s="67"/>
      <c r="BF1686" s="67"/>
      <c r="BG1686" s="68"/>
      <c r="BI1686" s="69">
        <v>0</v>
      </c>
      <c r="BJ1686" s="70">
        <v>0</v>
      </c>
      <c r="BK1686" s="71">
        <v>0</v>
      </c>
      <c r="BL1686" s="71">
        <v>0</v>
      </c>
      <c r="BM1686" s="71">
        <v>0</v>
      </c>
      <c r="BN1686" s="72">
        <v>0</v>
      </c>
      <c r="BO1686" s="151" t="e">
        <f t="shared" si="104"/>
        <v>#DIV/0!</v>
      </c>
      <c r="BP1686" s="151" t="e">
        <f t="shared" si="105"/>
        <v>#DIV/0!</v>
      </c>
      <c r="BQ1686" s="71">
        <v>0</v>
      </c>
      <c r="BR1686" s="71">
        <v>0</v>
      </c>
      <c r="BS1686" s="71">
        <v>0</v>
      </c>
      <c r="BT1686" s="72">
        <v>0</v>
      </c>
      <c r="BU1686" s="151" t="e">
        <f t="shared" si="106"/>
        <v>#DIV/0!</v>
      </c>
      <c r="BV1686" s="151" t="e">
        <f t="shared" si="107"/>
        <v>#DIV/0!</v>
      </c>
    </row>
    <row r="1687" ht="30" customHeight="1" spans="1:74">
      <c r="A1687" s="55" t="s">
        <v>246</v>
      </c>
      <c r="B1687" s="56" t="s">
        <v>2247</v>
      </c>
      <c r="C1687" s="57" t="s">
        <v>2261</v>
      </c>
      <c r="D1687" s="91" t="s">
        <v>2721</v>
      </c>
      <c r="E1687" s="91" t="s">
        <v>2722</v>
      </c>
      <c r="F1687" s="91" t="str">
        <f>VLOOKUP(E1687,[1]库存!$B$1:$C$65536,2,FALSE)</f>
        <v>GWM P3011-2 PAB A状态</v>
      </c>
      <c r="G1687" s="91" t="s">
        <v>2723</v>
      </c>
      <c r="H1687" s="91" t="s">
        <v>2724</v>
      </c>
      <c r="I1687" s="91" t="s">
        <v>1160</v>
      </c>
      <c r="J1687" s="248" t="s">
        <v>2725</v>
      </c>
      <c r="K1687" s="61"/>
      <c r="L1687" s="62">
        <v>2</v>
      </c>
      <c r="M1687" s="63">
        <v>800</v>
      </c>
      <c r="N1687" s="64">
        <v>17</v>
      </c>
      <c r="O1687" s="62">
        <v>2</v>
      </c>
      <c r="P1687" s="65">
        <f t="shared" si="108"/>
        <v>0</v>
      </c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  <c r="AA1687" s="66"/>
      <c r="AB1687" s="66"/>
      <c r="AC1687" s="66"/>
      <c r="AD1687" s="66"/>
      <c r="AE1687" s="66"/>
      <c r="AF1687" s="66"/>
      <c r="AG1687" s="66"/>
      <c r="AH1687" s="66"/>
      <c r="AI1687" s="66"/>
      <c r="AJ1687" s="66"/>
      <c r="AK1687" s="66"/>
      <c r="AL1687" s="66"/>
      <c r="AM1687" s="66"/>
      <c r="AN1687" s="66"/>
      <c r="AO1687" s="66"/>
      <c r="AP1687" s="66"/>
      <c r="AQ1687" s="66"/>
      <c r="AR1687" s="66"/>
      <c r="AS1687" s="66"/>
      <c r="AT1687" s="66"/>
      <c r="AU1687" s="66"/>
      <c r="AV1687" s="66"/>
      <c r="AW1687" s="66"/>
      <c r="AX1687" s="66"/>
      <c r="AY1687" s="66"/>
      <c r="AZ1687" s="66"/>
      <c r="BA1687" s="66"/>
      <c r="BB1687" s="66"/>
      <c r="BC1687" s="66"/>
      <c r="BD1687" s="66"/>
      <c r="BE1687" s="67"/>
      <c r="BF1687" s="67"/>
      <c r="BG1687" s="68"/>
      <c r="BI1687" s="69">
        <v>0</v>
      </c>
      <c r="BJ1687" s="70">
        <v>0</v>
      </c>
      <c r="BK1687" s="71">
        <v>0</v>
      </c>
      <c r="BL1687" s="71">
        <v>0</v>
      </c>
      <c r="BM1687" s="71">
        <v>0</v>
      </c>
      <c r="BN1687" s="72">
        <v>0</v>
      </c>
      <c r="BO1687" s="151" t="e">
        <f t="shared" si="104"/>
        <v>#DIV/0!</v>
      </c>
      <c r="BP1687" s="151" t="e">
        <f t="shared" si="105"/>
        <v>#DIV/0!</v>
      </c>
      <c r="BQ1687" s="71">
        <v>0</v>
      </c>
      <c r="BR1687" s="71">
        <v>0</v>
      </c>
      <c r="BS1687" s="71">
        <v>0</v>
      </c>
      <c r="BT1687" s="72">
        <v>0</v>
      </c>
      <c r="BU1687" s="151" t="e">
        <f t="shared" si="106"/>
        <v>#DIV/0!</v>
      </c>
      <c r="BV1687" s="151" t="e">
        <f t="shared" si="107"/>
        <v>#DIV/0!</v>
      </c>
    </row>
    <row r="1688" ht="30" customHeight="1" spans="1:74">
      <c r="A1688" s="55">
        <v>0</v>
      </c>
      <c r="B1688" s="56">
        <v>0</v>
      </c>
      <c r="C1688" s="57">
        <v>0</v>
      </c>
      <c r="D1688" s="92"/>
      <c r="E1688" s="92"/>
      <c r="F1688" s="91" t="e">
        <f>VLOOKUP(E1688,[1]库存!$B$1:$C$65536,2,FALSE)</f>
        <v>#N/A</v>
      </c>
      <c r="G1688" s="91" t="e">
        <v>#N/A</v>
      </c>
      <c r="H1688" s="92"/>
      <c r="I1688" s="92"/>
      <c r="J1688" s="249"/>
      <c r="K1688" s="61"/>
      <c r="L1688" s="62">
        <v>0</v>
      </c>
      <c r="M1688" s="63">
        <v>0</v>
      </c>
      <c r="N1688" s="64">
        <v>0</v>
      </c>
      <c r="O1688" s="62">
        <v>0</v>
      </c>
      <c r="P1688" s="65">
        <f t="shared" si="108"/>
        <v>0</v>
      </c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  <c r="AA1688" s="66"/>
      <c r="AB1688" s="66"/>
      <c r="AC1688" s="66"/>
      <c r="AD1688" s="66"/>
      <c r="AE1688" s="66"/>
      <c r="AF1688" s="66"/>
      <c r="AG1688" s="66"/>
      <c r="AH1688" s="66"/>
      <c r="AI1688" s="66"/>
      <c r="AJ1688" s="66"/>
      <c r="AK1688" s="66"/>
      <c r="AL1688" s="66"/>
      <c r="AM1688" s="66"/>
      <c r="AN1688" s="66"/>
      <c r="AO1688" s="66"/>
      <c r="AP1688" s="66"/>
      <c r="AQ1688" s="66"/>
      <c r="AR1688" s="66"/>
      <c r="AS1688" s="66"/>
      <c r="AT1688" s="66"/>
      <c r="AU1688" s="66"/>
      <c r="AV1688" s="66"/>
      <c r="AW1688" s="66"/>
      <c r="AX1688" s="66"/>
      <c r="AY1688" s="66"/>
      <c r="AZ1688" s="66"/>
      <c r="BA1688" s="66"/>
      <c r="BB1688" s="66"/>
      <c r="BC1688" s="66"/>
      <c r="BD1688" s="66"/>
      <c r="BE1688" s="67"/>
      <c r="BF1688" s="67"/>
      <c r="BG1688" s="68"/>
      <c r="BI1688" s="69">
        <v>0</v>
      </c>
      <c r="BJ1688" s="70">
        <v>0</v>
      </c>
      <c r="BK1688" s="71">
        <v>0</v>
      </c>
      <c r="BL1688" s="71">
        <v>0</v>
      </c>
      <c r="BM1688" s="71">
        <v>0</v>
      </c>
      <c r="BN1688" s="72">
        <v>0</v>
      </c>
      <c r="BO1688" s="151" t="e">
        <f t="shared" si="104"/>
        <v>#DIV/0!</v>
      </c>
      <c r="BP1688" s="151" t="e">
        <f t="shared" si="105"/>
        <v>#DIV/0!</v>
      </c>
      <c r="BQ1688" s="71">
        <v>0</v>
      </c>
      <c r="BR1688" s="71">
        <v>0</v>
      </c>
      <c r="BS1688" s="71">
        <v>0</v>
      </c>
      <c r="BT1688" s="72">
        <v>0</v>
      </c>
      <c r="BU1688" s="151" t="e">
        <f t="shared" si="106"/>
        <v>#DIV/0!</v>
      </c>
      <c r="BV1688" s="151" t="e">
        <f t="shared" si="107"/>
        <v>#DIV/0!</v>
      </c>
    </row>
    <row r="1689" ht="30" customHeight="1" spans="1:74">
      <c r="A1689" s="55" t="s">
        <v>246</v>
      </c>
      <c r="B1689" s="56" t="s">
        <v>2247</v>
      </c>
      <c r="C1689" s="57" t="s">
        <v>2261</v>
      </c>
      <c r="D1689" s="59" t="s">
        <v>2721</v>
      </c>
      <c r="E1689" s="59" t="s">
        <v>2726</v>
      </c>
      <c r="F1689" s="59" t="str">
        <f>VLOOKUP(E1689,[1]库存!$B$1:$C$65536,2,FALSE)</f>
        <v>GWM D03 PAB</v>
      </c>
      <c r="G1689" s="59" t="s">
        <v>2727</v>
      </c>
      <c r="H1689" s="59" t="s">
        <v>2728</v>
      </c>
      <c r="I1689" s="59" t="s">
        <v>2729</v>
      </c>
      <c r="J1689" s="63"/>
      <c r="K1689" s="61"/>
      <c r="L1689" s="62">
        <v>2</v>
      </c>
      <c r="M1689" s="63">
        <v>700</v>
      </c>
      <c r="N1689" s="64">
        <v>16</v>
      </c>
      <c r="O1689" s="62">
        <v>2</v>
      </c>
      <c r="P1689" s="65">
        <f t="shared" si="108"/>
        <v>0</v>
      </c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  <c r="AA1689" s="66"/>
      <c r="AB1689" s="66"/>
      <c r="AC1689" s="66"/>
      <c r="AD1689" s="66"/>
      <c r="AE1689" s="66"/>
      <c r="AF1689" s="66"/>
      <c r="AG1689" s="66"/>
      <c r="AH1689" s="66"/>
      <c r="AI1689" s="66"/>
      <c r="AJ1689" s="66"/>
      <c r="AK1689" s="66"/>
      <c r="AL1689" s="66"/>
      <c r="AM1689" s="66"/>
      <c r="AN1689" s="66"/>
      <c r="AO1689" s="66"/>
      <c r="AP1689" s="66"/>
      <c r="AQ1689" s="66"/>
      <c r="AR1689" s="66"/>
      <c r="AS1689" s="66"/>
      <c r="AT1689" s="66"/>
      <c r="AU1689" s="66"/>
      <c r="AV1689" s="66"/>
      <c r="AW1689" s="66"/>
      <c r="AX1689" s="66"/>
      <c r="AY1689" s="66"/>
      <c r="AZ1689" s="66"/>
      <c r="BA1689" s="66"/>
      <c r="BB1689" s="66"/>
      <c r="BC1689" s="66"/>
      <c r="BD1689" s="66"/>
      <c r="BE1689" s="67"/>
      <c r="BF1689" s="67"/>
      <c r="BG1689" s="68"/>
      <c r="BI1689" s="69">
        <v>0</v>
      </c>
      <c r="BJ1689" s="70">
        <v>0</v>
      </c>
      <c r="BK1689" s="71">
        <v>0</v>
      </c>
      <c r="BL1689" s="71">
        <v>0</v>
      </c>
      <c r="BM1689" s="71">
        <v>0</v>
      </c>
      <c r="BN1689" s="72">
        <v>0</v>
      </c>
      <c r="BO1689" s="151" t="e">
        <f t="shared" si="104"/>
        <v>#DIV/0!</v>
      </c>
      <c r="BP1689" s="151" t="e">
        <f t="shared" si="105"/>
        <v>#DIV/0!</v>
      </c>
      <c r="BQ1689" s="71">
        <v>0</v>
      </c>
      <c r="BR1689" s="71">
        <v>0</v>
      </c>
      <c r="BS1689" s="71">
        <v>0</v>
      </c>
      <c r="BT1689" s="72">
        <v>0</v>
      </c>
      <c r="BU1689" s="151" t="e">
        <f t="shared" si="106"/>
        <v>#DIV/0!</v>
      </c>
      <c r="BV1689" s="151" t="e">
        <f t="shared" si="107"/>
        <v>#DIV/0!</v>
      </c>
    </row>
    <row r="1690" ht="30" customHeight="1" spans="1:74">
      <c r="A1690" s="55">
        <v>0</v>
      </c>
      <c r="B1690" s="56">
        <v>0</v>
      </c>
      <c r="C1690" s="57">
        <v>0</v>
      </c>
      <c r="D1690" s="74"/>
      <c r="E1690" s="74"/>
      <c r="F1690" s="59" t="e">
        <f>VLOOKUP(E1690,[1]库存!$B$1:$C$65536,2,FALSE)</f>
        <v>#N/A</v>
      </c>
      <c r="G1690" s="59" t="e">
        <v>#N/A</v>
      </c>
      <c r="H1690" s="74"/>
      <c r="I1690" s="74"/>
      <c r="J1690" s="87"/>
      <c r="K1690" s="61"/>
      <c r="L1690" s="62">
        <v>0</v>
      </c>
      <c r="M1690" s="63">
        <v>0</v>
      </c>
      <c r="N1690" s="64">
        <v>0</v>
      </c>
      <c r="O1690" s="62">
        <v>0</v>
      </c>
      <c r="P1690" s="65">
        <f t="shared" si="108"/>
        <v>0</v>
      </c>
      <c r="Q1690" s="66"/>
      <c r="R1690" s="66"/>
      <c r="S1690" s="66"/>
      <c r="T1690" s="66"/>
      <c r="U1690" s="66"/>
      <c r="V1690" s="66"/>
      <c r="W1690" s="66"/>
      <c r="X1690" s="66"/>
      <c r="Y1690" s="66"/>
      <c r="Z1690" s="66"/>
      <c r="AA1690" s="66"/>
      <c r="AB1690" s="66"/>
      <c r="AC1690" s="66"/>
      <c r="AD1690" s="66"/>
      <c r="AE1690" s="66"/>
      <c r="AF1690" s="66"/>
      <c r="AG1690" s="66"/>
      <c r="AH1690" s="66"/>
      <c r="AI1690" s="66"/>
      <c r="AJ1690" s="66"/>
      <c r="AK1690" s="66"/>
      <c r="AL1690" s="66"/>
      <c r="AM1690" s="66"/>
      <c r="AN1690" s="66"/>
      <c r="AO1690" s="66"/>
      <c r="AP1690" s="66"/>
      <c r="AQ1690" s="66"/>
      <c r="AR1690" s="66"/>
      <c r="AS1690" s="66"/>
      <c r="AT1690" s="66"/>
      <c r="AU1690" s="66"/>
      <c r="AV1690" s="66"/>
      <c r="AW1690" s="66"/>
      <c r="AX1690" s="66"/>
      <c r="AY1690" s="66"/>
      <c r="AZ1690" s="66"/>
      <c r="BA1690" s="66"/>
      <c r="BB1690" s="66"/>
      <c r="BC1690" s="66"/>
      <c r="BD1690" s="66"/>
      <c r="BE1690" s="67"/>
      <c r="BF1690" s="67"/>
      <c r="BG1690" s="68"/>
      <c r="BI1690" s="69">
        <v>0</v>
      </c>
      <c r="BJ1690" s="70">
        <v>0</v>
      </c>
      <c r="BK1690" s="71">
        <v>0</v>
      </c>
      <c r="BL1690" s="71">
        <v>0</v>
      </c>
      <c r="BM1690" s="71">
        <v>0</v>
      </c>
      <c r="BN1690" s="72">
        <v>0</v>
      </c>
      <c r="BO1690" s="151" t="e">
        <f t="shared" ref="BO1690:BO1753" si="109">(BK1690+BL1690)/BJ1690</f>
        <v>#DIV/0!</v>
      </c>
      <c r="BP1690" s="151" t="e">
        <f t="shared" ref="BP1690:BP1753" si="110">BM1690/BJ1690</f>
        <v>#DIV/0!</v>
      </c>
      <c r="BQ1690" s="71">
        <v>0</v>
      </c>
      <c r="BR1690" s="71">
        <v>0</v>
      </c>
      <c r="BS1690" s="71">
        <v>0</v>
      </c>
      <c r="BT1690" s="72">
        <v>0</v>
      </c>
      <c r="BU1690" s="151" t="e">
        <f t="shared" si="106"/>
        <v>#DIV/0!</v>
      </c>
      <c r="BV1690" s="151" t="e">
        <f t="shared" si="107"/>
        <v>#DIV/0!</v>
      </c>
    </row>
    <row r="1691" ht="30" customHeight="1" spans="1:74">
      <c r="A1691" s="55" t="s">
        <v>246</v>
      </c>
      <c r="B1691" s="56" t="s">
        <v>2247</v>
      </c>
      <c r="C1691" s="57" t="s">
        <v>2261</v>
      </c>
      <c r="D1691" s="59" t="s">
        <v>2721</v>
      </c>
      <c r="E1691" s="59" t="s">
        <v>2730</v>
      </c>
      <c r="F1691" s="59" t="str">
        <f>VLOOKUP(E1691,[1]库存!$B$1:$C$65536,2,FALSE)</f>
        <v>GWM B07 PAB</v>
      </c>
      <c r="G1691" s="59" t="s">
        <v>2731</v>
      </c>
      <c r="H1691" s="59" t="s">
        <v>2732</v>
      </c>
      <c r="I1691" s="59" t="s">
        <v>1129</v>
      </c>
      <c r="J1691" s="63"/>
      <c r="K1691" s="61"/>
      <c r="L1691" s="62">
        <v>2</v>
      </c>
      <c r="M1691" s="63">
        <v>900</v>
      </c>
      <c r="N1691" s="64">
        <v>18</v>
      </c>
      <c r="O1691" s="62">
        <v>2</v>
      </c>
      <c r="P1691" s="65">
        <f t="shared" si="108"/>
        <v>0</v>
      </c>
      <c r="Q1691" s="66"/>
      <c r="R1691" s="66"/>
      <c r="S1691" s="66"/>
      <c r="T1691" s="66"/>
      <c r="U1691" s="66"/>
      <c r="V1691" s="66"/>
      <c r="W1691" s="66"/>
      <c r="X1691" s="66"/>
      <c r="Y1691" s="66"/>
      <c r="Z1691" s="66"/>
      <c r="AA1691" s="66"/>
      <c r="AB1691" s="66"/>
      <c r="AC1691" s="66"/>
      <c r="AD1691" s="66"/>
      <c r="AE1691" s="66"/>
      <c r="AF1691" s="66"/>
      <c r="AG1691" s="66"/>
      <c r="AH1691" s="66"/>
      <c r="AI1691" s="66"/>
      <c r="AJ1691" s="66"/>
      <c r="AK1691" s="66"/>
      <c r="AL1691" s="66"/>
      <c r="AM1691" s="66"/>
      <c r="AN1691" s="66"/>
      <c r="AO1691" s="66"/>
      <c r="AP1691" s="66"/>
      <c r="AQ1691" s="66"/>
      <c r="AR1691" s="66"/>
      <c r="AS1691" s="66"/>
      <c r="AT1691" s="66"/>
      <c r="AU1691" s="66"/>
      <c r="AV1691" s="66"/>
      <c r="AW1691" s="66"/>
      <c r="AX1691" s="66"/>
      <c r="AY1691" s="66"/>
      <c r="AZ1691" s="66"/>
      <c r="BA1691" s="66"/>
      <c r="BB1691" s="66"/>
      <c r="BC1691" s="66"/>
      <c r="BD1691" s="66"/>
      <c r="BE1691" s="67"/>
      <c r="BF1691" s="67"/>
      <c r="BG1691" s="68"/>
      <c r="BI1691" s="69">
        <v>0</v>
      </c>
      <c r="BJ1691" s="70">
        <v>0</v>
      </c>
      <c r="BK1691" s="71">
        <v>0</v>
      </c>
      <c r="BL1691" s="71">
        <v>0</v>
      </c>
      <c r="BM1691" s="71">
        <v>0</v>
      </c>
      <c r="BN1691" s="72">
        <v>0</v>
      </c>
      <c r="BO1691" s="151" t="e">
        <f t="shared" si="109"/>
        <v>#DIV/0!</v>
      </c>
      <c r="BP1691" s="151" t="e">
        <f t="shared" si="110"/>
        <v>#DIV/0!</v>
      </c>
      <c r="BQ1691" s="71">
        <v>0</v>
      </c>
      <c r="BR1691" s="71">
        <v>0</v>
      </c>
      <c r="BS1691" s="71">
        <v>0</v>
      </c>
      <c r="BT1691" s="72">
        <v>0</v>
      </c>
      <c r="BU1691" s="151" t="e">
        <f t="shared" si="106"/>
        <v>#DIV/0!</v>
      </c>
      <c r="BV1691" s="151" t="e">
        <f t="shared" si="107"/>
        <v>#DIV/0!</v>
      </c>
    </row>
    <row r="1692" ht="30" customHeight="1" spans="1:74">
      <c r="A1692" s="55">
        <v>0</v>
      </c>
      <c r="B1692" s="56">
        <v>0</v>
      </c>
      <c r="C1692" s="57">
        <v>0</v>
      </c>
      <c r="D1692" s="74"/>
      <c r="E1692" s="74"/>
      <c r="F1692" s="59" t="e">
        <f>VLOOKUP(E1692,[1]库存!$B$1:$C$65536,2,FALSE)</f>
        <v>#N/A</v>
      </c>
      <c r="G1692" s="59" t="e">
        <v>#N/A</v>
      </c>
      <c r="H1692" s="74"/>
      <c r="I1692" s="74"/>
      <c r="J1692" s="87"/>
      <c r="K1692" s="61"/>
      <c r="L1692" s="62">
        <v>0</v>
      </c>
      <c r="M1692" s="63">
        <v>0</v>
      </c>
      <c r="N1692" s="64">
        <v>0</v>
      </c>
      <c r="O1692" s="62">
        <v>0</v>
      </c>
      <c r="P1692" s="65">
        <f t="shared" si="108"/>
        <v>0</v>
      </c>
      <c r="Q1692" s="66"/>
      <c r="R1692" s="66"/>
      <c r="S1692" s="66"/>
      <c r="T1692" s="66"/>
      <c r="U1692" s="66"/>
      <c r="V1692" s="66"/>
      <c r="W1692" s="66"/>
      <c r="X1692" s="66"/>
      <c r="Y1692" s="66"/>
      <c r="Z1692" s="66"/>
      <c r="AA1692" s="66"/>
      <c r="AB1692" s="66"/>
      <c r="AC1692" s="66"/>
      <c r="AD1692" s="66"/>
      <c r="AE1692" s="66"/>
      <c r="AF1692" s="66"/>
      <c r="AG1692" s="66"/>
      <c r="AH1692" s="66"/>
      <c r="AI1692" s="66"/>
      <c r="AJ1692" s="66"/>
      <c r="AK1692" s="66"/>
      <c r="AL1692" s="66"/>
      <c r="AM1692" s="66"/>
      <c r="AN1692" s="66"/>
      <c r="AO1692" s="66"/>
      <c r="AP1692" s="66"/>
      <c r="AQ1692" s="66"/>
      <c r="AR1692" s="66"/>
      <c r="AS1692" s="66"/>
      <c r="AT1692" s="66"/>
      <c r="AU1692" s="66"/>
      <c r="AV1692" s="66"/>
      <c r="AW1692" s="66"/>
      <c r="AX1692" s="66"/>
      <c r="AY1692" s="66"/>
      <c r="AZ1692" s="66"/>
      <c r="BA1692" s="66"/>
      <c r="BB1692" s="66"/>
      <c r="BC1692" s="66"/>
      <c r="BD1692" s="66"/>
      <c r="BE1692" s="67"/>
      <c r="BF1692" s="67"/>
      <c r="BG1692" s="68"/>
      <c r="BI1692" s="69">
        <v>0</v>
      </c>
      <c r="BJ1692" s="70">
        <v>0</v>
      </c>
      <c r="BK1692" s="71">
        <v>0</v>
      </c>
      <c r="BL1692" s="71">
        <v>0</v>
      </c>
      <c r="BM1692" s="71">
        <v>0</v>
      </c>
      <c r="BN1692" s="72">
        <v>0</v>
      </c>
      <c r="BO1692" s="151" t="e">
        <f t="shared" si="109"/>
        <v>#DIV/0!</v>
      </c>
      <c r="BP1692" s="151" t="e">
        <f t="shared" si="110"/>
        <v>#DIV/0!</v>
      </c>
      <c r="BQ1692" s="71">
        <v>0</v>
      </c>
      <c r="BR1692" s="71">
        <v>0</v>
      </c>
      <c r="BS1692" s="71">
        <v>0</v>
      </c>
      <c r="BT1692" s="72">
        <v>0</v>
      </c>
      <c r="BU1692" s="151" t="e">
        <f t="shared" si="106"/>
        <v>#DIV/0!</v>
      </c>
      <c r="BV1692" s="151" t="e">
        <f t="shared" si="107"/>
        <v>#DIV/0!</v>
      </c>
    </row>
    <row r="1693" ht="30" customHeight="1" spans="1:74">
      <c r="A1693" s="55" t="s">
        <v>246</v>
      </c>
      <c r="B1693" s="56" t="s">
        <v>2247</v>
      </c>
      <c r="C1693" s="57" t="s">
        <v>2261</v>
      </c>
      <c r="D1693" s="59" t="s">
        <v>2721</v>
      </c>
      <c r="E1693" s="59" t="s">
        <v>2733</v>
      </c>
      <c r="F1693" s="59" t="str">
        <f>VLOOKUP(E1693,[1]库存!$B$1:$C$65536,2,FALSE)</f>
        <v>GWM C01 PAB</v>
      </c>
      <c r="G1693" s="59" t="s">
        <v>2734</v>
      </c>
      <c r="H1693" s="59" t="s">
        <v>2735</v>
      </c>
      <c r="I1693" s="59" t="s">
        <v>2736</v>
      </c>
      <c r="J1693" s="80" t="s">
        <v>65</v>
      </c>
      <c r="K1693" s="61"/>
      <c r="L1693" s="62">
        <v>2</v>
      </c>
      <c r="M1693" s="63">
        <v>700</v>
      </c>
      <c r="N1693" s="64">
        <v>20</v>
      </c>
      <c r="O1693" s="62">
        <v>2</v>
      </c>
      <c r="P1693" s="65">
        <f t="shared" si="108"/>
        <v>0</v>
      </c>
      <c r="Q1693" s="66"/>
      <c r="R1693" s="66"/>
      <c r="S1693" s="66"/>
      <c r="T1693" s="66"/>
      <c r="U1693" s="66"/>
      <c r="V1693" s="66"/>
      <c r="W1693" s="66"/>
      <c r="X1693" s="66"/>
      <c r="Y1693" s="66"/>
      <c r="Z1693" s="66"/>
      <c r="AA1693" s="66"/>
      <c r="AB1693" s="66"/>
      <c r="AC1693" s="66"/>
      <c r="AD1693" s="66"/>
      <c r="AE1693" s="66"/>
      <c r="AF1693" s="66"/>
      <c r="AG1693" s="66"/>
      <c r="AH1693" s="66"/>
      <c r="AI1693" s="66"/>
      <c r="AJ1693" s="66"/>
      <c r="AK1693" s="66"/>
      <c r="AL1693" s="66"/>
      <c r="AM1693" s="66"/>
      <c r="AN1693" s="66"/>
      <c r="AO1693" s="66"/>
      <c r="AP1693" s="66"/>
      <c r="AQ1693" s="66"/>
      <c r="AR1693" s="66"/>
      <c r="AS1693" s="66"/>
      <c r="AT1693" s="66"/>
      <c r="AU1693" s="66"/>
      <c r="AV1693" s="66"/>
      <c r="AW1693" s="66"/>
      <c r="AX1693" s="66"/>
      <c r="AY1693" s="66"/>
      <c r="AZ1693" s="66"/>
      <c r="BA1693" s="66"/>
      <c r="BB1693" s="66"/>
      <c r="BC1693" s="66"/>
      <c r="BD1693" s="66"/>
      <c r="BE1693" s="67"/>
      <c r="BF1693" s="67"/>
      <c r="BG1693" s="68"/>
      <c r="BI1693" s="69">
        <v>0</v>
      </c>
      <c r="BJ1693" s="70">
        <v>0</v>
      </c>
      <c r="BK1693" s="71">
        <v>0</v>
      </c>
      <c r="BL1693" s="71">
        <v>0</v>
      </c>
      <c r="BM1693" s="71">
        <v>0</v>
      </c>
      <c r="BN1693" s="72">
        <v>0</v>
      </c>
      <c r="BO1693" s="151" t="e">
        <f t="shared" si="109"/>
        <v>#DIV/0!</v>
      </c>
      <c r="BP1693" s="151" t="e">
        <f t="shared" si="110"/>
        <v>#DIV/0!</v>
      </c>
      <c r="BQ1693" s="71">
        <v>0</v>
      </c>
      <c r="BR1693" s="71">
        <v>0</v>
      </c>
      <c r="BS1693" s="71">
        <v>0</v>
      </c>
      <c r="BT1693" s="72">
        <v>0</v>
      </c>
      <c r="BU1693" s="151" t="e">
        <f t="shared" si="106"/>
        <v>#DIV/0!</v>
      </c>
      <c r="BV1693" s="151" t="e">
        <f t="shared" si="107"/>
        <v>#DIV/0!</v>
      </c>
    </row>
    <row r="1694" ht="30" customHeight="1" spans="1:74">
      <c r="A1694" s="55">
        <v>0</v>
      </c>
      <c r="B1694" s="56">
        <v>0</v>
      </c>
      <c r="C1694" s="57">
        <v>0</v>
      </c>
      <c r="D1694" s="74"/>
      <c r="E1694" s="74"/>
      <c r="F1694" s="59" t="e">
        <f>VLOOKUP(E1694,[1]库存!$B$1:$C$65536,2,FALSE)</f>
        <v>#N/A</v>
      </c>
      <c r="G1694" s="59" t="e">
        <v>#N/A</v>
      </c>
      <c r="H1694" s="74"/>
      <c r="I1694" s="74"/>
      <c r="J1694" s="81"/>
      <c r="K1694" s="61"/>
      <c r="L1694" s="62">
        <v>0</v>
      </c>
      <c r="M1694" s="63">
        <v>0</v>
      </c>
      <c r="N1694" s="64">
        <v>0</v>
      </c>
      <c r="O1694" s="62">
        <v>0</v>
      </c>
      <c r="P1694" s="65">
        <f t="shared" si="108"/>
        <v>0</v>
      </c>
      <c r="Q1694" s="66"/>
      <c r="R1694" s="66"/>
      <c r="S1694" s="66"/>
      <c r="T1694" s="66"/>
      <c r="U1694" s="66"/>
      <c r="V1694" s="66"/>
      <c r="W1694" s="66"/>
      <c r="X1694" s="66"/>
      <c r="Y1694" s="66"/>
      <c r="Z1694" s="66"/>
      <c r="AA1694" s="66"/>
      <c r="AB1694" s="66"/>
      <c r="AC1694" s="66"/>
      <c r="AD1694" s="66"/>
      <c r="AE1694" s="66"/>
      <c r="AF1694" s="66"/>
      <c r="AG1694" s="66"/>
      <c r="AH1694" s="66"/>
      <c r="AI1694" s="66"/>
      <c r="AJ1694" s="66"/>
      <c r="AK1694" s="66"/>
      <c r="AL1694" s="66"/>
      <c r="AM1694" s="66"/>
      <c r="AN1694" s="66"/>
      <c r="AO1694" s="66"/>
      <c r="AP1694" s="66"/>
      <c r="AQ1694" s="66"/>
      <c r="AR1694" s="66"/>
      <c r="AS1694" s="66"/>
      <c r="AT1694" s="66"/>
      <c r="AU1694" s="66"/>
      <c r="AV1694" s="66"/>
      <c r="AW1694" s="66"/>
      <c r="AX1694" s="66"/>
      <c r="AY1694" s="66"/>
      <c r="AZ1694" s="66"/>
      <c r="BA1694" s="66"/>
      <c r="BB1694" s="66"/>
      <c r="BC1694" s="66"/>
      <c r="BD1694" s="66"/>
      <c r="BE1694" s="67"/>
      <c r="BF1694" s="67"/>
      <c r="BG1694" s="68"/>
      <c r="BI1694" s="69">
        <v>0</v>
      </c>
      <c r="BJ1694" s="70">
        <v>0</v>
      </c>
      <c r="BK1694" s="71">
        <v>0</v>
      </c>
      <c r="BL1694" s="71">
        <v>0</v>
      </c>
      <c r="BM1694" s="71">
        <v>0</v>
      </c>
      <c r="BN1694" s="72">
        <v>0</v>
      </c>
      <c r="BO1694" s="151" t="e">
        <f t="shared" si="109"/>
        <v>#DIV/0!</v>
      </c>
      <c r="BP1694" s="151" t="e">
        <f t="shared" si="110"/>
        <v>#DIV/0!</v>
      </c>
      <c r="BQ1694" s="71">
        <v>0</v>
      </c>
      <c r="BR1694" s="71">
        <v>0</v>
      </c>
      <c r="BS1694" s="71">
        <v>0</v>
      </c>
      <c r="BT1694" s="72">
        <v>0</v>
      </c>
      <c r="BU1694" s="151" t="e">
        <f t="shared" si="106"/>
        <v>#DIV/0!</v>
      </c>
      <c r="BV1694" s="151" t="e">
        <f t="shared" si="107"/>
        <v>#DIV/0!</v>
      </c>
    </row>
    <row r="1695" ht="30" customHeight="1" spans="1:74">
      <c r="A1695" s="55">
        <v>0</v>
      </c>
      <c r="B1695" s="56" t="s">
        <v>2247</v>
      </c>
      <c r="C1695" s="57" t="s">
        <v>2261</v>
      </c>
      <c r="D1695" s="59" t="s">
        <v>2721</v>
      </c>
      <c r="E1695" s="59"/>
      <c r="F1695" s="59" t="e">
        <f>VLOOKUP(E1695,[1]库存!$B$1:$C$65536,2,FALSE)</f>
        <v>#N/A</v>
      </c>
      <c r="G1695" s="59" t="e">
        <v>#N/A</v>
      </c>
      <c r="H1695" s="59" t="s">
        <v>2737</v>
      </c>
      <c r="I1695" s="59" t="s">
        <v>2738</v>
      </c>
      <c r="J1695" s="63"/>
      <c r="K1695" s="61"/>
      <c r="L1695" s="62">
        <v>2</v>
      </c>
      <c r="M1695" s="63">
        <v>700</v>
      </c>
      <c r="N1695" s="64">
        <v>16</v>
      </c>
      <c r="O1695" s="62">
        <v>2</v>
      </c>
      <c r="P1695" s="65">
        <f t="shared" si="108"/>
        <v>0</v>
      </c>
      <c r="Q1695" s="66"/>
      <c r="R1695" s="66"/>
      <c r="S1695" s="66"/>
      <c r="T1695" s="66"/>
      <c r="U1695" s="66"/>
      <c r="V1695" s="66"/>
      <c r="W1695" s="66"/>
      <c r="X1695" s="66"/>
      <c r="Y1695" s="66"/>
      <c r="Z1695" s="66"/>
      <c r="AA1695" s="66"/>
      <c r="AB1695" s="66"/>
      <c r="AC1695" s="66"/>
      <c r="AD1695" s="66"/>
      <c r="AE1695" s="66"/>
      <c r="AF1695" s="66"/>
      <c r="AG1695" s="66"/>
      <c r="AH1695" s="66"/>
      <c r="AI1695" s="66"/>
      <c r="AJ1695" s="66"/>
      <c r="AK1695" s="66"/>
      <c r="AL1695" s="66"/>
      <c r="AM1695" s="66"/>
      <c r="AN1695" s="66"/>
      <c r="AO1695" s="66"/>
      <c r="AP1695" s="66"/>
      <c r="AQ1695" s="66"/>
      <c r="AR1695" s="66"/>
      <c r="AS1695" s="66"/>
      <c r="AT1695" s="66"/>
      <c r="AU1695" s="66"/>
      <c r="AV1695" s="66"/>
      <c r="AW1695" s="66"/>
      <c r="AX1695" s="66"/>
      <c r="AY1695" s="66"/>
      <c r="AZ1695" s="66"/>
      <c r="BA1695" s="66"/>
      <c r="BB1695" s="66"/>
      <c r="BC1695" s="66"/>
      <c r="BD1695" s="66"/>
      <c r="BE1695" s="67"/>
      <c r="BF1695" s="67"/>
      <c r="BG1695" s="68"/>
      <c r="BI1695" s="69">
        <v>0</v>
      </c>
      <c r="BJ1695" s="70">
        <v>0</v>
      </c>
      <c r="BK1695" s="71">
        <v>0</v>
      </c>
      <c r="BL1695" s="71">
        <v>0</v>
      </c>
      <c r="BM1695" s="71">
        <v>0</v>
      </c>
      <c r="BN1695" s="72">
        <v>0</v>
      </c>
      <c r="BO1695" s="151" t="e">
        <f t="shared" si="109"/>
        <v>#DIV/0!</v>
      </c>
      <c r="BP1695" s="151" t="e">
        <f t="shared" si="110"/>
        <v>#DIV/0!</v>
      </c>
      <c r="BQ1695" s="71">
        <v>0</v>
      </c>
      <c r="BR1695" s="71">
        <v>0</v>
      </c>
      <c r="BS1695" s="71">
        <v>0</v>
      </c>
      <c r="BT1695" s="72">
        <v>0</v>
      </c>
      <c r="BU1695" s="151" t="e">
        <f t="shared" si="106"/>
        <v>#DIV/0!</v>
      </c>
      <c r="BV1695" s="151" t="e">
        <f t="shared" si="107"/>
        <v>#DIV/0!</v>
      </c>
    </row>
    <row r="1696" ht="30" customHeight="1" spans="1:74">
      <c r="A1696" s="55">
        <v>0</v>
      </c>
      <c r="B1696" s="56">
        <v>0</v>
      </c>
      <c r="C1696" s="57">
        <v>0</v>
      </c>
      <c r="D1696" s="74"/>
      <c r="E1696" s="74"/>
      <c r="F1696" s="59" t="e">
        <f>VLOOKUP(E1696,[1]库存!$B$1:$C$65536,2,FALSE)</f>
        <v>#N/A</v>
      </c>
      <c r="G1696" s="59" t="e">
        <v>#N/A</v>
      </c>
      <c r="H1696" s="74"/>
      <c r="I1696" s="74"/>
      <c r="J1696" s="87"/>
      <c r="K1696" s="61"/>
      <c r="L1696" s="62">
        <v>0</v>
      </c>
      <c r="M1696" s="63">
        <v>0</v>
      </c>
      <c r="N1696" s="64">
        <v>0</v>
      </c>
      <c r="O1696" s="62">
        <v>0</v>
      </c>
      <c r="P1696" s="65">
        <f t="shared" si="108"/>
        <v>0</v>
      </c>
      <c r="Q1696" s="66"/>
      <c r="R1696" s="66"/>
      <c r="S1696" s="66"/>
      <c r="T1696" s="66"/>
      <c r="U1696" s="66"/>
      <c r="V1696" s="66"/>
      <c r="W1696" s="66"/>
      <c r="X1696" s="66"/>
      <c r="Y1696" s="66"/>
      <c r="Z1696" s="66"/>
      <c r="AA1696" s="66"/>
      <c r="AB1696" s="66"/>
      <c r="AC1696" s="66"/>
      <c r="AD1696" s="66"/>
      <c r="AE1696" s="66"/>
      <c r="AF1696" s="66"/>
      <c r="AG1696" s="66"/>
      <c r="AH1696" s="66"/>
      <c r="AI1696" s="66"/>
      <c r="AJ1696" s="66"/>
      <c r="AK1696" s="66"/>
      <c r="AL1696" s="66"/>
      <c r="AM1696" s="66"/>
      <c r="AN1696" s="66"/>
      <c r="AO1696" s="66"/>
      <c r="AP1696" s="66"/>
      <c r="AQ1696" s="66"/>
      <c r="AR1696" s="66"/>
      <c r="AS1696" s="66"/>
      <c r="AT1696" s="66"/>
      <c r="AU1696" s="66"/>
      <c r="AV1696" s="66"/>
      <c r="AW1696" s="66"/>
      <c r="AX1696" s="66"/>
      <c r="AY1696" s="66"/>
      <c r="AZ1696" s="66"/>
      <c r="BA1696" s="66"/>
      <c r="BB1696" s="66"/>
      <c r="BC1696" s="66"/>
      <c r="BD1696" s="66"/>
      <c r="BE1696" s="67"/>
      <c r="BF1696" s="67"/>
      <c r="BG1696" s="68"/>
      <c r="BI1696" s="69">
        <v>0</v>
      </c>
      <c r="BJ1696" s="70">
        <v>0</v>
      </c>
      <c r="BK1696" s="71">
        <v>0</v>
      </c>
      <c r="BL1696" s="71">
        <v>0</v>
      </c>
      <c r="BM1696" s="71">
        <v>0</v>
      </c>
      <c r="BN1696" s="72">
        <v>0</v>
      </c>
      <c r="BO1696" s="151" t="e">
        <f t="shared" si="109"/>
        <v>#DIV/0!</v>
      </c>
      <c r="BP1696" s="151" t="e">
        <f t="shared" si="110"/>
        <v>#DIV/0!</v>
      </c>
      <c r="BQ1696" s="71">
        <v>0</v>
      </c>
      <c r="BR1696" s="71">
        <v>0</v>
      </c>
      <c r="BS1696" s="71">
        <v>0</v>
      </c>
      <c r="BT1696" s="72">
        <v>0</v>
      </c>
      <c r="BU1696" s="151" t="e">
        <f t="shared" si="106"/>
        <v>#DIV/0!</v>
      </c>
      <c r="BV1696" s="151" t="e">
        <f t="shared" si="107"/>
        <v>#DIV/0!</v>
      </c>
    </row>
    <row r="1697" ht="30" customHeight="1" spans="1:74">
      <c r="A1697" s="55">
        <v>0</v>
      </c>
      <c r="B1697" s="56">
        <v>0</v>
      </c>
      <c r="C1697" s="57">
        <v>0</v>
      </c>
      <c r="E1697" s="88"/>
      <c r="F1697" s="59" t="e">
        <f>VLOOKUP(E1697,[1]库存!$B$1:$C$65536,2,FALSE)</f>
        <v>#N/A</v>
      </c>
      <c r="G1697" s="59" t="e">
        <v>#N/A</v>
      </c>
      <c r="H1697" s="89"/>
      <c r="I1697" s="88"/>
      <c r="J1697" s="90"/>
      <c r="K1697" s="61"/>
      <c r="L1697" s="62">
        <v>0</v>
      </c>
      <c r="M1697" s="63">
        <v>0</v>
      </c>
      <c r="N1697" s="64">
        <v>0</v>
      </c>
      <c r="O1697" s="62">
        <v>0</v>
      </c>
      <c r="P1697" s="65">
        <f t="shared" si="108"/>
        <v>0</v>
      </c>
      <c r="Q1697" s="66"/>
      <c r="R1697" s="66"/>
      <c r="S1697" s="66"/>
      <c r="T1697" s="66"/>
      <c r="U1697" s="66"/>
      <c r="V1697" s="66"/>
      <c r="W1697" s="66"/>
      <c r="X1697" s="66"/>
      <c r="Y1697" s="66"/>
      <c r="Z1697" s="66"/>
      <c r="AA1697" s="66"/>
      <c r="AB1697" s="66"/>
      <c r="AC1697" s="66"/>
      <c r="AD1697" s="66"/>
      <c r="AE1697" s="66"/>
      <c r="AF1697" s="66"/>
      <c r="AG1697" s="66"/>
      <c r="AH1697" s="66"/>
      <c r="AI1697" s="66"/>
      <c r="AJ1697" s="66"/>
      <c r="AK1697" s="66"/>
      <c r="AL1697" s="66"/>
      <c r="AM1697" s="66"/>
      <c r="AN1697" s="66"/>
      <c r="AO1697" s="66"/>
      <c r="AP1697" s="66"/>
      <c r="AQ1697" s="66"/>
      <c r="AR1697" s="66"/>
      <c r="AS1697" s="66"/>
      <c r="AT1697" s="66"/>
      <c r="AU1697" s="66"/>
      <c r="AV1697" s="66"/>
      <c r="AW1697" s="66"/>
      <c r="AX1697" s="66"/>
      <c r="AY1697" s="66"/>
      <c r="AZ1697" s="66"/>
      <c r="BA1697" s="66"/>
      <c r="BB1697" s="66"/>
      <c r="BC1697" s="66"/>
      <c r="BD1697" s="66"/>
      <c r="BE1697" s="67"/>
      <c r="BF1697" s="67"/>
      <c r="BG1697" s="68"/>
      <c r="BI1697" s="69">
        <v>0</v>
      </c>
      <c r="BJ1697" s="70">
        <v>0</v>
      </c>
      <c r="BK1697" s="71">
        <v>0</v>
      </c>
      <c r="BL1697" s="71">
        <v>0</v>
      </c>
      <c r="BM1697" s="71">
        <v>0</v>
      </c>
      <c r="BN1697" s="72">
        <v>0</v>
      </c>
      <c r="BO1697" s="151" t="e">
        <f t="shared" si="109"/>
        <v>#DIV/0!</v>
      </c>
      <c r="BP1697" s="151" t="e">
        <f t="shared" si="110"/>
        <v>#DIV/0!</v>
      </c>
      <c r="BQ1697" s="71">
        <v>0</v>
      </c>
      <c r="BR1697" s="71">
        <v>0</v>
      </c>
      <c r="BS1697" s="71">
        <v>0</v>
      </c>
      <c r="BT1697" s="72">
        <v>0</v>
      </c>
      <c r="BU1697" s="151" t="e">
        <f t="shared" si="106"/>
        <v>#DIV/0!</v>
      </c>
      <c r="BV1697" s="151" t="e">
        <f t="shared" si="107"/>
        <v>#DIV/0!</v>
      </c>
    </row>
    <row r="1698" ht="30" customHeight="1" spans="1:74">
      <c r="A1698" s="55" t="s">
        <v>165</v>
      </c>
      <c r="B1698" s="56" t="s">
        <v>2247</v>
      </c>
      <c r="C1698" s="57" t="s">
        <v>2343</v>
      </c>
      <c r="D1698" s="59" t="s">
        <v>2739</v>
      </c>
      <c r="E1698" s="59" t="s">
        <v>2740</v>
      </c>
      <c r="F1698" s="59" t="str">
        <f>VLOOKUP(E1698,[1]库存!$B$1:$C$65536,2,FALSE)</f>
        <v>Volvo V216 CN DAB B状态</v>
      </c>
      <c r="G1698" s="59" t="s">
        <v>2741</v>
      </c>
      <c r="H1698" s="59" t="s">
        <v>2742</v>
      </c>
      <c r="I1698" s="59" t="s">
        <v>2743</v>
      </c>
      <c r="J1698" s="63"/>
      <c r="K1698" s="61"/>
      <c r="L1698" s="62">
        <v>2</v>
      </c>
      <c r="M1698" s="63">
        <v>700</v>
      </c>
      <c r="N1698" s="64">
        <v>10</v>
      </c>
      <c r="O1698" s="62">
        <v>2</v>
      </c>
      <c r="P1698" s="65">
        <f t="shared" si="108"/>
        <v>0</v>
      </c>
      <c r="Q1698" s="66" t="s">
        <v>2744</v>
      </c>
      <c r="R1698" s="66"/>
      <c r="S1698" s="66" t="s">
        <v>2744</v>
      </c>
      <c r="T1698" s="66"/>
      <c r="U1698" s="66">
        <v>0</v>
      </c>
      <c r="V1698" s="66"/>
      <c r="W1698" s="66"/>
      <c r="X1698" s="66"/>
      <c r="Y1698" s="66"/>
      <c r="Z1698" s="66"/>
      <c r="AA1698" s="66">
        <v>1000</v>
      </c>
      <c r="AB1698" s="66"/>
      <c r="AC1698" s="66">
        <v>1000</v>
      </c>
      <c r="AD1698" s="66"/>
      <c r="AE1698" s="66"/>
      <c r="AF1698" s="66"/>
      <c r="AG1698" s="66"/>
      <c r="AH1698" s="66"/>
      <c r="AI1698" s="66"/>
      <c r="AJ1698" s="66"/>
      <c r="AK1698" s="66"/>
      <c r="AL1698" s="66"/>
      <c r="AM1698" s="66"/>
      <c r="AN1698" s="66"/>
      <c r="AO1698" s="66"/>
      <c r="AP1698" s="66"/>
      <c r="AQ1698" s="66"/>
      <c r="AR1698" s="66"/>
      <c r="AS1698" s="66"/>
      <c r="AT1698" s="66"/>
      <c r="AU1698" s="66"/>
      <c r="AV1698" s="66"/>
      <c r="AW1698" s="66"/>
      <c r="AX1698" s="66"/>
      <c r="AY1698" s="66"/>
      <c r="AZ1698" s="66"/>
      <c r="BA1698" s="66"/>
      <c r="BB1698" s="66"/>
      <c r="BC1698" s="66"/>
      <c r="BD1698" s="66"/>
      <c r="BE1698" s="67"/>
      <c r="BF1698" s="67"/>
      <c r="BG1698" s="68"/>
      <c r="BI1698" s="69">
        <v>0</v>
      </c>
      <c r="BJ1698" s="70">
        <v>0</v>
      </c>
      <c r="BK1698" s="71">
        <v>0</v>
      </c>
      <c r="BL1698" s="71">
        <v>0</v>
      </c>
      <c r="BM1698" s="71">
        <v>0</v>
      </c>
      <c r="BN1698" s="72">
        <v>0</v>
      </c>
      <c r="BO1698" s="151" t="e">
        <f t="shared" si="109"/>
        <v>#DIV/0!</v>
      </c>
      <c r="BP1698" s="151" t="e">
        <f t="shared" si="110"/>
        <v>#DIV/0!</v>
      </c>
      <c r="BQ1698" s="71">
        <v>0</v>
      </c>
      <c r="BR1698" s="71">
        <v>0</v>
      </c>
      <c r="BS1698" s="71">
        <v>0</v>
      </c>
      <c r="BT1698" s="72">
        <v>0</v>
      </c>
      <c r="BU1698" s="151" t="e">
        <f t="shared" si="106"/>
        <v>#DIV/0!</v>
      </c>
      <c r="BV1698" s="151" t="e">
        <f t="shared" si="107"/>
        <v>#DIV/0!</v>
      </c>
    </row>
    <row r="1699" ht="30" customHeight="1" spans="1:74">
      <c r="A1699" s="55">
        <v>0</v>
      </c>
      <c r="B1699" s="56">
        <v>0</v>
      </c>
      <c r="C1699" s="57">
        <v>0</v>
      </c>
      <c r="D1699" s="74"/>
      <c r="E1699" s="74"/>
      <c r="F1699" s="59" t="e">
        <f>VLOOKUP(E1699,[1]库存!$B$1:$C$65536,2,FALSE)</f>
        <v>#N/A</v>
      </c>
      <c r="G1699" s="59" t="e">
        <v>#N/A</v>
      </c>
      <c r="H1699" s="74"/>
      <c r="I1699" s="74"/>
      <c r="J1699" s="87"/>
      <c r="K1699" s="61"/>
      <c r="L1699" s="62">
        <v>0</v>
      </c>
      <c r="M1699" s="63">
        <v>0</v>
      </c>
      <c r="N1699" s="64">
        <v>0</v>
      </c>
      <c r="O1699" s="62">
        <v>0</v>
      </c>
      <c r="P1699" s="65">
        <f t="shared" si="108"/>
        <v>0</v>
      </c>
      <c r="Q1699" s="66"/>
      <c r="R1699" s="66"/>
      <c r="S1699" s="66"/>
      <c r="T1699" s="66"/>
      <c r="U1699" s="66"/>
      <c r="V1699" s="66"/>
      <c r="W1699" s="66"/>
      <c r="X1699" s="66"/>
      <c r="Y1699" s="66"/>
      <c r="Z1699" s="66"/>
      <c r="AA1699" s="66">
        <v>913</v>
      </c>
      <c r="AB1699" s="66"/>
      <c r="AC1699" s="66">
        <v>1139</v>
      </c>
      <c r="AD1699" s="66"/>
      <c r="AE1699" s="66"/>
      <c r="AF1699" s="66"/>
      <c r="AG1699" s="66"/>
      <c r="AH1699" s="66"/>
      <c r="AI1699" s="66"/>
      <c r="AJ1699" s="66"/>
      <c r="AK1699" s="66"/>
      <c r="AL1699" s="66"/>
      <c r="AM1699" s="66"/>
      <c r="AN1699" s="66"/>
      <c r="AO1699" s="66"/>
      <c r="AP1699" s="66"/>
      <c r="AQ1699" s="66"/>
      <c r="AR1699" s="66"/>
      <c r="AS1699" s="66"/>
      <c r="AT1699" s="66"/>
      <c r="AU1699" s="66"/>
      <c r="AV1699" s="66"/>
      <c r="AW1699" s="66"/>
      <c r="AX1699" s="66"/>
      <c r="AY1699" s="66"/>
      <c r="AZ1699" s="66"/>
      <c r="BA1699" s="66"/>
      <c r="BB1699" s="66"/>
      <c r="BC1699" s="66"/>
      <c r="BD1699" s="66"/>
      <c r="BE1699" s="67"/>
      <c r="BF1699" s="67"/>
      <c r="BG1699" s="68"/>
      <c r="BI1699" s="69">
        <v>0</v>
      </c>
      <c r="BJ1699" s="70">
        <v>0</v>
      </c>
      <c r="BK1699" s="71">
        <v>0</v>
      </c>
      <c r="BL1699" s="71">
        <v>0</v>
      </c>
      <c r="BM1699" s="71">
        <v>0</v>
      </c>
      <c r="BN1699" s="72">
        <v>0</v>
      </c>
      <c r="BO1699" s="151" t="e">
        <f t="shared" si="109"/>
        <v>#DIV/0!</v>
      </c>
      <c r="BP1699" s="151" t="e">
        <f t="shared" si="110"/>
        <v>#DIV/0!</v>
      </c>
      <c r="BQ1699" s="71">
        <v>0</v>
      </c>
      <c r="BR1699" s="71">
        <v>0</v>
      </c>
      <c r="BS1699" s="71">
        <v>0</v>
      </c>
      <c r="BT1699" s="72">
        <v>0</v>
      </c>
      <c r="BU1699" s="151" t="e">
        <f t="shared" si="106"/>
        <v>#DIV/0!</v>
      </c>
      <c r="BV1699" s="151" t="e">
        <f t="shared" si="107"/>
        <v>#DIV/0!</v>
      </c>
    </row>
    <row r="1700" ht="30" customHeight="1" spans="1:74">
      <c r="A1700" s="55" t="s">
        <v>165</v>
      </c>
      <c r="B1700" s="56" t="s">
        <v>2247</v>
      </c>
      <c r="C1700" s="57" t="s">
        <v>2343</v>
      </c>
      <c r="D1700" s="59" t="s">
        <v>2739</v>
      </c>
      <c r="E1700" s="59" t="s">
        <v>2745</v>
      </c>
      <c r="F1700" s="59" t="str">
        <f>VLOOKUP(E1700,[1]库存!$B$1:$C$65536,2,FALSE)</f>
        <v>Volvo V216 US DAB</v>
      </c>
      <c r="G1700" s="59" t="s">
        <v>2746</v>
      </c>
      <c r="H1700" s="59" t="s">
        <v>2747</v>
      </c>
      <c r="I1700" s="59" t="s">
        <v>2743</v>
      </c>
      <c r="J1700" s="80" t="s">
        <v>65</v>
      </c>
      <c r="K1700" s="61"/>
      <c r="L1700" s="62">
        <v>2</v>
      </c>
      <c r="M1700" s="63">
        <v>700</v>
      </c>
      <c r="N1700" s="64">
        <v>17</v>
      </c>
      <c r="O1700" s="62">
        <v>2</v>
      </c>
      <c r="P1700" s="65">
        <f t="shared" si="108"/>
        <v>0</v>
      </c>
      <c r="Q1700" s="66"/>
      <c r="R1700" s="66"/>
      <c r="S1700" s="66"/>
      <c r="T1700" s="66"/>
      <c r="U1700" s="66"/>
      <c r="V1700" s="66"/>
      <c r="W1700" s="66"/>
      <c r="X1700" s="66"/>
      <c r="Y1700" s="66"/>
      <c r="Z1700" s="66"/>
      <c r="AA1700" s="66"/>
      <c r="AB1700" s="66"/>
      <c r="AC1700" s="66"/>
      <c r="AD1700" s="66"/>
      <c r="AE1700" s="66"/>
      <c r="AF1700" s="66"/>
      <c r="AG1700" s="66"/>
      <c r="AH1700" s="66"/>
      <c r="AI1700" s="66"/>
      <c r="AJ1700" s="66"/>
      <c r="AK1700" s="66"/>
      <c r="AL1700" s="66"/>
      <c r="AM1700" s="66"/>
      <c r="AN1700" s="66"/>
      <c r="AO1700" s="66"/>
      <c r="AP1700" s="66"/>
      <c r="AQ1700" s="66"/>
      <c r="AR1700" s="66"/>
      <c r="AS1700" s="66"/>
      <c r="AT1700" s="66"/>
      <c r="AU1700" s="66"/>
      <c r="AV1700" s="66"/>
      <c r="AW1700" s="66"/>
      <c r="AX1700" s="66"/>
      <c r="AY1700" s="66"/>
      <c r="AZ1700" s="66"/>
      <c r="BA1700" s="66"/>
      <c r="BB1700" s="66"/>
      <c r="BC1700" s="66"/>
      <c r="BD1700" s="66"/>
      <c r="BE1700" s="67"/>
      <c r="BF1700" s="67"/>
      <c r="BG1700" s="68"/>
      <c r="BI1700" s="69">
        <v>0</v>
      </c>
      <c r="BJ1700" s="70">
        <v>0</v>
      </c>
      <c r="BK1700" s="71">
        <v>0</v>
      </c>
      <c r="BL1700" s="71">
        <v>0</v>
      </c>
      <c r="BM1700" s="71">
        <v>0</v>
      </c>
      <c r="BN1700" s="72">
        <v>0</v>
      </c>
      <c r="BO1700" s="151" t="e">
        <f t="shared" si="109"/>
        <v>#DIV/0!</v>
      </c>
      <c r="BP1700" s="151" t="e">
        <f t="shared" si="110"/>
        <v>#DIV/0!</v>
      </c>
      <c r="BQ1700" s="71">
        <v>0</v>
      </c>
      <c r="BR1700" s="71">
        <v>0</v>
      </c>
      <c r="BS1700" s="71">
        <v>0</v>
      </c>
      <c r="BT1700" s="72">
        <v>0</v>
      </c>
      <c r="BU1700" s="151" t="e">
        <f t="shared" si="106"/>
        <v>#DIV/0!</v>
      </c>
      <c r="BV1700" s="151" t="e">
        <f t="shared" si="107"/>
        <v>#DIV/0!</v>
      </c>
    </row>
    <row r="1701" ht="30" customHeight="1" spans="1:74">
      <c r="A1701" s="55">
        <v>0</v>
      </c>
      <c r="B1701" s="56">
        <v>0</v>
      </c>
      <c r="C1701" s="57">
        <v>0</v>
      </c>
      <c r="D1701" s="74"/>
      <c r="E1701" s="74"/>
      <c r="F1701" s="59" t="e">
        <f>VLOOKUP(E1701,[1]库存!$B$1:$C$65536,2,FALSE)</f>
        <v>#N/A</v>
      </c>
      <c r="G1701" s="59" t="e">
        <v>#N/A</v>
      </c>
      <c r="H1701" s="74"/>
      <c r="I1701" s="74"/>
      <c r="J1701" s="81"/>
      <c r="K1701" s="61"/>
      <c r="L1701" s="62">
        <v>0</v>
      </c>
      <c r="M1701" s="63">
        <v>0</v>
      </c>
      <c r="N1701" s="64">
        <v>0</v>
      </c>
      <c r="O1701" s="62">
        <v>0</v>
      </c>
      <c r="P1701" s="65">
        <f t="shared" si="108"/>
        <v>0</v>
      </c>
      <c r="Q1701" s="66"/>
      <c r="R1701" s="66"/>
      <c r="S1701" s="66"/>
      <c r="T1701" s="66"/>
      <c r="U1701" s="66"/>
      <c r="V1701" s="66"/>
      <c r="W1701" s="66"/>
      <c r="X1701" s="66"/>
      <c r="Y1701" s="66"/>
      <c r="Z1701" s="66"/>
      <c r="AA1701" s="66"/>
      <c r="AB1701" s="66"/>
      <c r="AC1701" s="66"/>
      <c r="AD1701" s="66"/>
      <c r="AE1701" s="66"/>
      <c r="AF1701" s="66"/>
      <c r="AG1701" s="66"/>
      <c r="AH1701" s="66"/>
      <c r="AI1701" s="66"/>
      <c r="AJ1701" s="66"/>
      <c r="AK1701" s="66"/>
      <c r="AL1701" s="66"/>
      <c r="AM1701" s="66"/>
      <c r="AN1701" s="66"/>
      <c r="AO1701" s="66"/>
      <c r="AP1701" s="66"/>
      <c r="AQ1701" s="66"/>
      <c r="AR1701" s="66"/>
      <c r="AS1701" s="66"/>
      <c r="AT1701" s="66"/>
      <c r="AU1701" s="66"/>
      <c r="AV1701" s="66"/>
      <c r="AW1701" s="66"/>
      <c r="AX1701" s="66"/>
      <c r="AY1701" s="66"/>
      <c r="AZ1701" s="66"/>
      <c r="BA1701" s="66"/>
      <c r="BB1701" s="66"/>
      <c r="BC1701" s="66"/>
      <c r="BD1701" s="66"/>
      <c r="BE1701" s="67"/>
      <c r="BF1701" s="67"/>
      <c r="BG1701" s="68"/>
      <c r="BI1701" s="69">
        <v>0</v>
      </c>
      <c r="BJ1701" s="70">
        <v>0</v>
      </c>
      <c r="BK1701" s="71">
        <v>0</v>
      </c>
      <c r="BL1701" s="71">
        <v>0</v>
      </c>
      <c r="BM1701" s="71">
        <v>0</v>
      </c>
      <c r="BN1701" s="72">
        <v>0</v>
      </c>
      <c r="BO1701" s="151" t="e">
        <f t="shared" si="109"/>
        <v>#DIV/0!</v>
      </c>
      <c r="BP1701" s="151" t="e">
        <f t="shared" si="110"/>
        <v>#DIV/0!</v>
      </c>
      <c r="BQ1701" s="71">
        <v>0</v>
      </c>
      <c r="BR1701" s="71">
        <v>0</v>
      </c>
      <c r="BS1701" s="71">
        <v>0</v>
      </c>
      <c r="BT1701" s="72">
        <v>0</v>
      </c>
      <c r="BU1701" s="151" t="e">
        <f t="shared" si="106"/>
        <v>#DIV/0!</v>
      </c>
      <c r="BV1701" s="151" t="e">
        <f t="shared" si="107"/>
        <v>#DIV/0!</v>
      </c>
    </row>
    <row r="1702" ht="30" customHeight="1" spans="1:74">
      <c r="A1702" s="55">
        <v>0</v>
      </c>
      <c r="B1702" s="56">
        <v>0</v>
      </c>
      <c r="C1702" s="57">
        <v>0</v>
      </c>
      <c r="E1702" s="88"/>
      <c r="F1702" s="59" t="e">
        <f>VLOOKUP(E1702,[1]库存!$B$1:$C$65536,2,FALSE)</f>
        <v>#N/A</v>
      </c>
      <c r="G1702" s="59" t="e">
        <v>#N/A</v>
      </c>
      <c r="H1702" s="89"/>
      <c r="I1702" s="88"/>
      <c r="J1702" s="90"/>
      <c r="K1702" s="61"/>
      <c r="L1702" s="62">
        <v>0</v>
      </c>
      <c r="M1702" s="63">
        <v>0</v>
      </c>
      <c r="N1702" s="64">
        <v>0</v>
      </c>
      <c r="O1702" s="62">
        <v>0</v>
      </c>
      <c r="P1702" s="65">
        <f t="shared" si="108"/>
        <v>0</v>
      </c>
      <c r="Q1702" s="66"/>
      <c r="R1702" s="66"/>
      <c r="S1702" s="66"/>
      <c r="T1702" s="66"/>
      <c r="U1702" s="66"/>
      <c r="V1702" s="66"/>
      <c r="W1702" s="66"/>
      <c r="X1702" s="66"/>
      <c r="Y1702" s="66"/>
      <c r="Z1702" s="66"/>
      <c r="AA1702" s="66"/>
      <c r="AB1702" s="66"/>
      <c r="AC1702" s="66"/>
      <c r="AD1702" s="66"/>
      <c r="AE1702" s="66"/>
      <c r="AF1702" s="66"/>
      <c r="AG1702" s="66"/>
      <c r="AH1702" s="66"/>
      <c r="AI1702" s="66"/>
      <c r="AJ1702" s="66"/>
      <c r="AK1702" s="66"/>
      <c r="AL1702" s="66"/>
      <c r="AM1702" s="66"/>
      <c r="AN1702" s="66"/>
      <c r="AO1702" s="66"/>
      <c r="AP1702" s="66"/>
      <c r="AQ1702" s="66"/>
      <c r="AR1702" s="66"/>
      <c r="AS1702" s="66"/>
      <c r="AT1702" s="66"/>
      <c r="AU1702" s="66"/>
      <c r="AV1702" s="66"/>
      <c r="AW1702" s="66"/>
      <c r="AX1702" s="66"/>
      <c r="AY1702" s="66"/>
      <c r="AZ1702" s="66"/>
      <c r="BA1702" s="66"/>
      <c r="BB1702" s="66"/>
      <c r="BC1702" s="66"/>
      <c r="BD1702" s="66"/>
      <c r="BE1702" s="67"/>
      <c r="BF1702" s="67"/>
      <c r="BG1702" s="68"/>
      <c r="BI1702" s="69">
        <v>0</v>
      </c>
      <c r="BJ1702" s="70">
        <v>0</v>
      </c>
      <c r="BK1702" s="71">
        <v>0</v>
      </c>
      <c r="BL1702" s="71">
        <v>0</v>
      </c>
      <c r="BM1702" s="71">
        <v>0</v>
      </c>
      <c r="BN1702" s="72">
        <v>0</v>
      </c>
      <c r="BO1702" s="151" t="e">
        <f t="shared" si="109"/>
        <v>#DIV/0!</v>
      </c>
      <c r="BP1702" s="151" t="e">
        <f t="shared" si="110"/>
        <v>#DIV/0!</v>
      </c>
      <c r="BQ1702" s="71">
        <v>0</v>
      </c>
      <c r="BR1702" s="71">
        <v>0</v>
      </c>
      <c r="BS1702" s="71">
        <v>0</v>
      </c>
      <c r="BT1702" s="72">
        <v>0</v>
      </c>
      <c r="BU1702" s="151" t="e">
        <f t="shared" si="106"/>
        <v>#DIV/0!</v>
      </c>
      <c r="BV1702" s="151" t="e">
        <f t="shared" si="107"/>
        <v>#DIV/0!</v>
      </c>
    </row>
    <row r="1703" ht="30" customHeight="1" spans="1:74">
      <c r="A1703" s="55" t="s">
        <v>246</v>
      </c>
      <c r="B1703" s="56" t="s">
        <v>2247</v>
      </c>
      <c r="C1703" s="57" t="s">
        <v>2343</v>
      </c>
      <c r="D1703" s="59" t="s">
        <v>2748</v>
      </c>
      <c r="E1703" s="59" t="s">
        <v>2749</v>
      </c>
      <c r="F1703" s="59" t="str">
        <f>VLOOKUP(E1703,[1]库存!$B$1:$C$65536,2,FALSE)</f>
        <v>Changan CD701 RSAB LH A状态</v>
      </c>
      <c r="G1703" s="59" t="s">
        <v>2750</v>
      </c>
      <c r="H1703" s="59" t="s">
        <v>2751</v>
      </c>
      <c r="I1703" s="59" t="s">
        <v>2752</v>
      </c>
      <c r="J1703" s="63"/>
      <c r="K1703" s="61"/>
      <c r="L1703" s="62">
        <v>2</v>
      </c>
      <c r="M1703" s="63">
        <v>1200</v>
      </c>
      <c r="N1703" s="64">
        <v>10</v>
      </c>
      <c r="O1703" s="62">
        <v>2</v>
      </c>
      <c r="P1703" s="65">
        <f t="shared" si="108"/>
        <v>0</v>
      </c>
      <c r="Q1703" s="66"/>
      <c r="R1703" s="66"/>
      <c r="S1703" s="66"/>
      <c r="T1703" s="66"/>
      <c r="U1703" s="66"/>
      <c r="V1703" s="66"/>
      <c r="W1703" s="66"/>
      <c r="X1703" s="66"/>
      <c r="Y1703" s="66"/>
      <c r="Z1703" s="66"/>
      <c r="AA1703" s="66"/>
      <c r="AB1703" s="66"/>
      <c r="AC1703" s="66"/>
      <c r="AD1703" s="66"/>
      <c r="AE1703" s="66"/>
      <c r="AF1703" s="66"/>
      <c r="AG1703" s="66"/>
      <c r="AH1703" s="66"/>
      <c r="AI1703" s="66"/>
      <c r="AJ1703" s="66"/>
      <c r="AK1703" s="66"/>
      <c r="AL1703" s="66"/>
      <c r="AM1703" s="66"/>
      <c r="AN1703" s="66"/>
      <c r="AO1703" s="66"/>
      <c r="AP1703" s="66"/>
      <c r="AQ1703" s="66"/>
      <c r="AR1703" s="66"/>
      <c r="AS1703" s="66"/>
      <c r="AT1703" s="66"/>
      <c r="AU1703" s="66"/>
      <c r="AV1703" s="66"/>
      <c r="AW1703" s="66"/>
      <c r="AX1703" s="66"/>
      <c r="AY1703" s="66"/>
      <c r="AZ1703" s="66"/>
      <c r="BA1703" s="66"/>
      <c r="BB1703" s="66"/>
      <c r="BC1703" s="66"/>
      <c r="BD1703" s="66"/>
      <c r="BE1703" s="67"/>
      <c r="BF1703" s="67"/>
      <c r="BG1703" s="68"/>
      <c r="BI1703" s="69">
        <v>0</v>
      </c>
      <c r="BJ1703" s="70">
        <v>0</v>
      </c>
      <c r="BK1703" s="71">
        <v>0</v>
      </c>
      <c r="BL1703" s="71">
        <v>0</v>
      </c>
      <c r="BM1703" s="71">
        <v>0</v>
      </c>
      <c r="BN1703" s="72">
        <v>0</v>
      </c>
      <c r="BO1703" s="151" t="e">
        <f t="shared" si="109"/>
        <v>#DIV/0!</v>
      </c>
      <c r="BP1703" s="151" t="e">
        <f t="shared" si="110"/>
        <v>#DIV/0!</v>
      </c>
      <c r="BQ1703" s="71">
        <v>0</v>
      </c>
      <c r="BR1703" s="71">
        <v>0</v>
      </c>
      <c r="BS1703" s="71">
        <v>0</v>
      </c>
      <c r="BT1703" s="72">
        <v>0</v>
      </c>
      <c r="BU1703" s="151" t="e">
        <f t="shared" si="106"/>
        <v>#DIV/0!</v>
      </c>
      <c r="BV1703" s="151" t="e">
        <f t="shared" si="107"/>
        <v>#DIV/0!</v>
      </c>
    </row>
    <row r="1704" ht="30" customHeight="1" spans="1:74">
      <c r="A1704" s="55">
        <v>0</v>
      </c>
      <c r="B1704" s="56">
        <v>0</v>
      </c>
      <c r="C1704" s="57">
        <v>0</v>
      </c>
      <c r="D1704" s="74"/>
      <c r="E1704" s="74"/>
      <c r="F1704" s="59" t="e">
        <f>VLOOKUP(E1704,[1]库存!$B$1:$C$65536,2,FALSE)</f>
        <v>#N/A</v>
      </c>
      <c r="G1704" s="59" t="e">
        <v>#N/A</v>
      </c>
      <c r="H1704" s="74"/>
      <c r="I1704" s="74"/>
      <c r="J1704" s="87"/>
      <c r="K1704" s="61"/>
      <c r="L1704" s="62">
        <v>0</v>
      </c>
      <c r="M1704" s="63">
        <v>0</v>
      </c>
      <c r="N1704" s="64">
        <v>0</v>
      </c>
      <c r="O1704" s="62">
        <v>0</v>
      </c>
      <c r="P1704" s="65">
        <f t="shared" si="108"/>
        <v>0</v>
      </c>
      <c r="Q1704" s="66"/>
      <c r="R1704" s="66"/>
      <c r="S1704" s="66"/>
      <c r="T1704" s="66"/>
      <c r="U1704" s="66"/>
      <c r="V1704" s="66"/>
      <c r="W1704" s="66"/>
      <c r="X1704" s="66"/>
      <c r="Y1704" s="66"/>
      <c r="Z1704" s="66"/>
      <c r="AA1704" s="66"/>
      <c r="AB1704" s="66"/>
      <c r="AC1704" s="66"/>
      <c r="AD1704" s="66"/>
      <c r="AE1704" s="66"/>
      <c r="AF1704" s="66"/>
      <c r="AG1704" s="66"/>
      <c r="AH1704" s="66"/>
      <c r="AI1704" s="66"/>
      <c r="AJ1704" s="66"/>
      <c r="AK1704" s="66"/>
      <c r="AL1704" s="66"/>
      <c r="AM1704" s="66"/>
      <c r="AN1704" s="66"/>
      <c r="AO1704" s="66"/>
      <c r="AP1704" s="66"/>
      <c r="AQ1704" s="66"/>
      <c r="AR1704" s="66"/>
      <c r="AS1704" s="66"/>
      <c r="AT1704" s="66"/>
      <c r="AU1704" s="66"/>
      <c r="AV1704" s="66"/>
      <c r="AW1704" s="66"/>
      <c r="AX1704" s="66"/>
      <c r="AY1704" s="66"/>
      <c r="AZ1704" s="66"/>
      <c r="BA1704" s="66"/>
      <c r="BB1704" s="66"/>
      <c r="BC1704" s="66"/>
      <c r="BD1704" s="66"/>
      <c r="BE1704" s="67"/>
      <c r="BF1704" s="67"/>
      <c r="BG1704" s="68"/>
      <c r="BI1704" s="69">
        <v>0</v>
      </c>
      <c r="BJ1704" s="70">
        <v>0</v>
      </c>
      <c r="BK1704" s="71">
        <v>0</v>
      </c>
      <c r="BL1704" s="71">
        <v>0</v>
      </c>
      <c r="BM1704" s="71">
        <v>0</v>
      </c>
      <c r="BN1704" s="72">
        <v>0</v>
      </c>
      <c r="BO1704" s="151" t="e">
        <f t="shared" si="109"/>
        <v>#DIV/0!</v>
      </c>
      <c r="BP1704" s="151" t="e">
        <f t="shared" si="110"/>
        <v>#DIV/0!</v>
      </c>
      <c r="BQ1704" s="71">
        <v>0</v>
      </c>
      <c r="BR1704" s="71">
        <v>0</v>
      </c>
      <c r="BS1704" s="71">
        <v>0</v>
      </c>
      <c r="BT1704" s="72">
        <v>0</v>
      </c>
      <c r="BU1704" s="151" t="e">
        <f t="shared" si="106"/>
        <v>#DIV/0!</v>
      </c>
      <c r="BV1704" s="151" t="e">
        <f t="shared" si="107"/>
        <v>#DIV/0!</v>
      </c>
    </row>
    <row r="1705" ht="30" customHeight="1" spans="1:74">
      <c r="A1705" s="55" t="s">
        <v>246</v>
      </c>
      <c r="B1705" s="56" t="s">
        <v>2247</v>
      </c>
      <c r="C1705" s="57" t="s">
        <v>2343</v>
      </c>
      <c r="D1705" s="59" t="s">
        <v>2748</v>
      </c>
      <c r="E1705" s="59" t="s">
        <v>2753</v>
      </c>
      <c r="F1705" s="59" t="str">
        <f>VLOOKUP(E1705,[1]库存!$B$1:$C$65536,2,FALSE)</f>
        <v>Changan CD701 RSAB RH A状态</v>
      </c>
      <c r="G1705" s="59" t="s">
        <v>2754</v>
      </c>
      <c r="H1705" s="59" t="s">
        <v>2755</v>
      </c>
      <c r="I1705" s="59" t="s">
        <v>2752</v>
      </c>
      <c r="J1705" s="63"/>
      <c r="K1705" s="61"/>
      <c r="L1705" s="62">
        <v>2</v>
      </c>
      <c r="M1705" s="63">
        <v>1200</v>
      </c>
      <c r="N1705" s="64">
        <v>10</v>
      </c>
      <c r="O1705" s="62">
        <v>2</v>
      </c>
      <c r="P1705" s="65">
        <f t="shared" si="108"/>
        <v>0</v>
      </c>
      <c r="Q1705" s="66"/>
      <c r="R1705" s="66"/>
      <c r="S1705" s="66"/>
      <c r="T1705" s="66"/>
      <c r="U1705" s="66"/>
      <c r="V1705" s="66"/>
      <c r="W1705" s="66"/>
      <c r="X1705" s="66"/>
      <c r="Y1705" s="66"/>
      <c r="Z1705" s="66"/>
      <c r="AA1705" s="66"/>
      <c r="AB1705" s="66"/>
      <c r="AC1705" s="66"/>
      <c r="AD1705" s="66"/>
      <c r="AE1705" s="66"/>
      <c r="AF1705" s="66"/>
      <c r="AG1705" s="66"/>
      <c r="AH1705" s="66"/>
      <c r="AI1705" s="66"/>
      <c r="AJ1705" s="66"/>
      <c r="AK1705" s="66"/>
      <c r="AL1705" s="66"/>
      <c r="AM1705" s="66"/>
      <c r="AN1705" s="66"/>
      <c r="AO1705" s="66"/>
      <c r="AP1705" s="66"/>
      <c r="AQ1705" s="66"/>
      <c r="AR1705" s="66"/>
      <c r="AS1705" s="66"/>
      <c r="AT1705" s="66"/>
      <c r="AU1705" s="66"/>
      <c r="AV1705" s="66"/>
      <c r="AW1705" s="66"/>
      <c r="AX1705" s="66"/>
      <c r="AY1705" s="66"/>
      <c r="AZ1705" s="66"/>
      <c r="BA1705" s="66"/>
      <c r="BB1705" s="66"/>
      <c r="BC1705" s="66"/>
      <c r="BD1705" s="66"/>
      <c r="BE1705" s="67"/>
      <c r="BF1705" s="67"/>
      <c r="BG1705" s="68"/>
      <c r="BI1705" s="69">
        <v>0</v>
      </c>
      <c r="BJ1705" s="70">
        <v>0</v>
      </c>
      <c r="BK1705" s="71">
        <v>0</v>
      </c>
      <c r="BL1705" s="71">
        <v>0</v>
      </c>
      <c r="BM1705" s="71">
        <v>0</v>
      </c>
      <c r="BN1705" s="72">
        <v>0</v>
      </c>
      <c r="BO1705" s="151" t="e">
        <f t="shared" si="109"/>
        <v>#DIV/0!</v>
      </c>
      <c r="BP1705" s="151" t="e">
        <f t="shared" si="110"/>
        <v>#DIV/0!</v>
      </c>
      <c r="BQ1705" s="71">
        <v>0</v>
      </c>
      <c r="BR1705" s="71">
        <v>0</v>
      </c>
      <c r="BS1705" s="71">
        <v>0</v>
      </c>
      <c r="BT1705" s="72">
        <v>0</v>
      </c>
      <c r="BU1705" s="151" t="e">
        <f t="shared" si="106"/>
        <v>#DIV/0!</v>
      </c>
      <c r="BV1705" s="151" t="e">
        <f t="shared" si="107"/>
        <v>#DIV/0!</v>
      </c>
    </row>
    <row r="1706" ht="30" customHeight="1" spans="1:74">
      <c r="A1706" s="55">
        <v>0</v>
      </c>
      <c r="B1706" s="56">
        <v>0</v>
      </c>
      <c r="C1706" s="57">
        <v>0</v>
      </c>
      <c r="D1706" s="74"/>
      <c r="E1706" s="74"/>
      <c r="F1706" s="59" t="e">
        <f>VLOOKUP(E1706,[1]库存!$B$1:$C$65536,2,FALSE)</f>
        <v>#N/A</v>
      </c>
      <c r="G1706" s="59" t="e">
        <v>#N/A</v>
      </c>
      <c r="H1706" s="74"/>
      <c r="I1706" s="74"/>
      <c r="J1706" s="87"/>
      <c r="K1706" s="61"/>
      <c r="L1706" s="62">
        <v>0</v>
      </c>
      <c r="M1706" s="63">
        <v>0</v>
      </c>
      <c r="N1706" s="64">
        <v>0</v>
      </c>
      <c r="O1706" s="62">
        <v>0</v>
      </c>
      <c r="P1706" s="65">
        <f t="shared" si="108"/>
        <v>0</v>
      </c>
      <c r="Q1706" s="66"/>
      <c r="R1706" s="66"/>
      <c r="S1706" s="66"/>
      <c r="T1706" s="66"/>
      <c r="U1706" s="66"/>
      <c r="V1706" s="66"/>
      <c r="W1706" s="66"/>
      <c r="X1706" s="66"/>
      <c r="Y1706" s="66"/>
      <c r="Z1706" s="66"/>
      <c r="AA1706" s="66"/>
      <c r="AB1706" s="66"/>
      <c r="AC1706" s="66"/>
      <c r="AD1706" s="66"/>
      <c r="AE1706" s="66"/>
      <c r="AF1706" s="66"/>
      <c r="AG1706" s="66"/>
      <c r="AH1706" s="66"/>
      <c r="AI1706" s="66"/>
      <c r="AJ1706" s="66"/>
      <c r="AK1706" s="66"/>
      <c r="AL1706" s="66"/>
      <c r="AM1706" s="66"/>
      <c r="AN1706" s="66"/>
      <c r="AO1706" s="66"/>
      <c r="AP1706" s="66"/>
      <c r="AQ1706" s="66"/>
      <c r="AR1706" s="66"/>
      <c r="AS1706" s="66"/>
      <c r="AT1706" s="66"/>
      <c r="AU1706" s="66"/>
      <c r="AV1706" s="66"/>
      <c r="AW1706" s="66"/>
      <c r="AX1706" s="66"/>
      <c r="AY1706" s="66"/>
      <c r="AZ1706" s="66"/>
      <c r="BA1706" s="66"/>
      <c r="BB1706" s="66"/>
      <c r="BC1706" s="66"/>
      <c r="BD1706" s="66"/>
      <c r="BE1706" s="67"/>
      <c r="BF1706" s="67"/>
      <c r="BG1706" s="68"/>
      <c r="BI1706" s="69">
        <v>0</v>
      </c>
      <c r="BJ1706" s="70">
        <v>0</v>
      </c>
      <c r="BK1706" s="71">
        <v>0</v>
      </c>
      <c r="BL1706" s="71">
        <v>0</v>
      </c>
      <c r="BM1706" s="71">
        <v>0</v>
      </c>
      <c r="BN1706" s="72">
        <v>0</v>
      </c>
      <c r="BO1706" s="151" t="e">
        <f t="shared" si="109"/>
        <v>#DIV/0!</v>
      </c>
      <c r="BP1706" s="151" t="e">
        <f t="shared" si="110"/>
        <v>#DIV/0!</v>
      </c>
      <c r="BQ1706" s="71">
        <v>0</v>
      </c>
      <c r="BR1706" s="71">
        <v>0</v>
      </c>
      <c r="BS1706" s="71">
        <v>0</v>
      </c>
      <c r="BT1706" s="72">
        <v>0</v>
      </c>
      <c r="BU1706" s="151" t="e">
        <f t="shared" si="106"/>
        <v>#DIV/0!</v>
      </c>
      <c r="BV1706" s="151" t="e">
        <f t="shared" si="107"/>
        <v>#DIV/0!</v>
      </c>
    </row>
    <row r="1707" ht="30" customHeight="1" spans="1:74">
      <c r="A1707" s="55" t="s">
        <v>165</v>
      </c>
      <c r="B1707" s="56" t="s">
        <v>2247</v>
      </c>
      <c r="C1707" s="57" t="s">
        <v>2343</v>
      </c>
      <c r="D1707" s="59" t="s">
        <v>2748</v>
      </c>
      <c r="E1707" s="59" t="s">
        <v>2756</v>
      </c>
      <c r="F1707" s="59" t="str">
        <f>VLOOKUP(E1707,[1]库存!$B$1:$C$65536,2,FALSE)</f>
        <v>FORD CX835 FSAB LH</v>
      </c>
      <c r="G1707" s="59" t="s">
        <v>2757</v>
      </c>
      <c r="H1707" s="59" t="s">
        <v>2758</v>
      </c>
      <c r="I1707" s="59" t="s">
        <v>250</v>
      </c>
      <c r="J1707" s="80" t="s">
        <v>65</v>
      </c>
      <c r="K1707" s="61"/>
      <c r="L1707" s="62">
        <v>2</v>
      </c>
      <c r="M1707" s="63">
        <v>1250</v>
      </c>
      <c r="N1707" s="64">
        <v>10.5</v>
      </c>
      <c r="O1707" s="62">
        <v>2</v>
      </c>
      <c r="P1707" s="65">
        <f t="shared" si="108"/>
        <v>0</v>
      </c>
      <c r="Q1707" s="66"/>
      <c r="R1707" s="66"/>
      <c r="S1707" s="66"/>
      <c r="T1707" s="66"/>
      <c r="U1707" s="66"/>
      <c r="V1707" s="66"/>
      <c r="W1707" s="66"/>
      <c r="X1707" s="66"/>
      <c r="Y1707" s="66"/>
      <c r="Z1707" s="66"/>
      <c r="AA1707" s="66"/>
      <c r="AB1707" s="66"/>
      <c r="AC1707" s="66"/>
      <c r="AD1707" s="66"/>
      <c r="AE1707" s="66"/>
      <c r="AF1707" s="66"/>
      <c r="AG1707" s="66"/>
      <c r="AH1707" s="66"/>
      <c r="AI1707" s="66"/>
      <c r="AJ1707" s="66"/>
      <c r="AK1707" s="66"/>
      <c r="AL1707" s="66"/>
      <c r="AM1707" s="66"/>
      <c r="AN1707" s="66"/>
      <c r="AO1707" s="66"/>
      <c r="AP1707" s="66"/>
      <c r="AQ1707" s="66"/>
      <c r="AR1707" s="66"/>
      <c r="AS1707" s="66"/>
      <c r="AT1707" s="66"/>
      <c r="AU1707" s="66"/>
      <c r="AV1707" s="66"/>
      <c r="AW1707" s="66"/>
      <c r="AX1707" s="66"/>
      <c r="AY1707" s="66"/>
      <c r="AZ1707" s="66"/>
      <c r="BA1707" s="66"/>
      <c r="BB1707" s="66"/>
      <c r="BC1707" s="66"/>
      <c r="BD1707" s="66"/>
      <c r="BE1707" s="67"/>
      <c r="BF1707" s="67"/>
      <c r="BG1707" s="68"/>
      <c r="BI1707" s="69">
        <v>0</v>
      </c>
      <c r="BJ1707" s="70">
        <v>0</v>
      </c>
      <c r="BK1707" s="71">
        <v>0</v>
      </c>
      <c r="BL1707" s="71">
        <v>0</v>
      </c>
      <c r="BM1707" s="71">
        <v>0</v>
      </c>
      <c r="BN1707" s="72">
        <v>0</v>
      </c>
      <c r="BO1707" s="151" t="e">
        <f t="shared" si="109"/>
        <v>#DIV/0!</v>
      </c>
      <c r="BP1707" s="151" t="e">
        <f t="shared" si="110"/>
        <v>#DIV/0!</v>
      </c>
      <c r="BQ1707" s="71">
        <v>0</v>
      </c>
      <c r="BR1707" s="71">
        <v>0</v>
      </c>
      <c r="BS1707" s="71">
        <v>0</v>
      </c>
      <c r="BT1707" s="72">
        <v>0</v>
      </c>
      <c r="BU1707" s="151" t="e">
        <f t="shared" si="106"/>
        <v>#DIV/0!</v>
      </c>
      <c r="BV1707" s="151" t="e">
        <f t="shared" si="107"/>
        <v>#DIV/0!</v>
      </c>
    </row>
    <row r="1708" ht="30" customHeight="1" spans="1:74">
      <c r="A1708" s="55">
        <v>0</v>
      </c>
      <c r="B1708" s="56">
        <v>0</v>
      </c>
      <c r="C1708" s="57">
        <v>0</v>
      </c>
      <c r="D1708" s="74"/>
      <c r="E1708" s="74"/>
      <c r="F1708" s="59" t="e">
        <f>VLOOKUP(E1708,[1]库存!$B$1:$C$65536,2,FALSE)</f>
        <v>#N/A</v>
      </c>
      <c r="G1708" s="59" t="e">
        <v>#N/A</v>
      </c>
      <c r="H1708" s="74"/>
      <c r="I1708" s="74"/>
      <c r="J1708" s="81"/>
      <c r="K1708" s="61"/>
      <c r="L1708" s="62">
        <v>0</v>
      </c>
      <c r="M1708" s="63">
        <v>0</v>
      </c>
      <c r="N1708" s="64">
        <v>0</v>
      </c>
      <c r="O1708" s="62">
        <v>0</v>
      </c>
      <c r="P1708" s="65">
        <f t="shared" si="108"/>
        <v>0</v>
      </c>
      <c r="Q1708" s="66"/>
      <c r="R1708" s="66"/>
      <c r="S1708" s="66"/>
      <c r="T1708" s="66"/>
      <c r="U1708" s="66"/>
      <c r="V1708" s="66"/>
      <c r="W1708" s="66"/>
      <c r="X1708" s="66"/>
      <c r="Y1708" s="66"/>
      <c r="Z1708" s="66"/>
      <c r="AA1708" s="66"/>
      <c r="AB1708" s="66"/>
      <c r="AC1708" s="66"/>
      <c r="AD1708" s="66"/>
      <c r="AE1708" s="66"/>
      <c r="AF1708" s="66"/>
      <c r="AG1708" s="66"/>
      <c r="AH1708" s="66"/>
      <c r="AI1708" s="66"/>
      <c r="AJ1708" s="66"/>
      <c r="AK1708" s="66"/>
      <c r="AL1708" s="66"/>
      <c r="AM1708" s="66"/>
      <c r="AN1708" s="66"/>
      <c r="AO1708" s="66"/>
      <c r="AP1708" s="66"/>
      <c r="AQ1708" s="66"/>
      <c r="AR1708" s="66"/>
      <c r="AS1708" s="66"/>
      <c r="AT1708" s="66"/>
      <c r="AU1708" s="66"/>
      <c r="AV1708" s="66"/>
      <c r="AW1708" s="66"/>
      <c r="AX1708" s="66"/>
      <c r="AY1708" s="66"/>
      <c r="AZ1708" s="66"/>
      <c r="BA1708" s="66"/>
      <c r="BB1708" s="66"/>
      <c r="BC1708" s="66"/>
      <c r="BD1708" s="66"/>
      <c r="BE1708" s="67"/>
      <c r="BF1708" s="67"/>
      <c r="BG1708" s="68"/>
      <c r="BI1708" s="69">
        <v>0</v>
      </c>
      <c r="BJ1708" s="70">
        <v>0</v>
      </c>
      <c r="BK1708" s="71">
        <v>0</v>
      </c>
      <c r="BL1708" s="71">
        <v>0</v>
      </c>
      <c r="BM1708" s="71">
        <v>0</v>
      </c>
      <c r="BN1708" s="72">
        <v>0</v>
      </c>
      <c r="BO1708" s="151" t="e">
        <f t="shared" si="109"/>
        <v>#DIV/0!</v>
      </c>
      <c r="BP1708" s="151" t="e">
        <f t="shared" si="110"/>
        <v>#DIV/0!</v>
      </c>
      <c r="BQ1708" s="71">
        <v>0</v>
      </c>
      <c r="BR1708" s="71">
        <v>0</v>
      </c>
      <c r="BS1708" s="71">
        <v>0</v>
      </c>
      <c r="BT1708" s="72">
        <v>0</v>
      </c>
      <c r="BU1708" s="151" t="e">
        <f t="shared" si="106"/>
        <v>#DIV/0!</v>
      </c>
      <c r="BV1708" s="151" t="e">
        <f t="shared" si="107"/>
        <v>#DIV/0!</v>
      </c>
    </row>
    <row r="1709" ht="30" customHeight="1" spans="1:74">
      <c r="A1709" s="55" t="s">
        <v>165</v>
      </c>
      <c r="B1709" s="56" t="s">
        <v>2247</v>
      </c>
      <c r="C1709" s="57" t="s">
        <v>2343</v>
      </c>
      <c r="D1709" s="59" t="s">
        <v>2748</v>
      </c>
      <c r="E1709" s="59" t="s">
        <v>2759</v>
      </c>
      <c r="F1709" s="59" t="str">
        <f>VLOOKUP(E1709,[1]库存!$B$1:$C$65536,2,FALSE)</f>
        <v>FORD CX835 FSAB RH</v>
      </c>
      <c r="G1709" s="59" t="s">
        <v>2760</v>
      </c>
      <c r="H1709" s="59" t="s">
        <v>2761</v>
      </c>
      <c r="I1709" s="59" t="s">
        <v>250</v>
      </c>
      <c r="J1709" s="80" t="s">
        <v>65</v>
      </c>
      <c r="K1709" s="61"/>
      <c r="L1709" s="62">
        <v>2</v>
      </c>
      <c r="M1709" s="63">
        <v>1250</v>
      </c>
      <c r="N1709" s="64">
        <v>10.5</v>
      </c>
      <c r="O1709" s="62">
        <v>2</v>
      </c>
      <c r="P1709" s="65">
        <f t="shared" si="108"/>
        <v>0</v>
      </c>
      <c r="Q1709" s="66"/>
      <c r="R1709" s="66"/>
      <c r="S1709" s="66"/>
      <c r="T1709" s="66"/>
      <c r="U1709" s="66"/>
      <c r="V1709" s="66"/>
      <c r="W1709" s="66"/>
      <c r="X1709" s="66"/>
      <c r="Y1709" s="66"/>
      <c r="Z1709" s="66"/>
      <c r="AA1709" s="66"/>
      <c r="AB1709" s="66"/>
      <c r="AC1709" s="66"/>
      <c r="AD1709" s="66"/>
      <c r="AE1709" s="66"/>
      <c r="AF1709" s="66"/>
      <c r="AG1709" s="66"/>
      <c r="AH1709" s="66"/>
      <c r="AI1709" s="66"/>
      <c r="AJ1709" s="66"/>
      <c r="AK1709" s="66"/>
      <c r="AL1709" s="66"/>
      <c r="AM1709" s="66"/>
      <c r="AN1709" s="66"/>
      <c r="AO1709" s="66"/>
      <c r="AP1709" s="66"/>
      <c r="AQ1709" s="66"/>
      <c r="AR1709" s="66"/>
      <c r="AS1709" s="66"/>
      <c r="AT1709" s="66"/>
      <c r="AU1709" s="66"/>
      <c r="AV1709" s="66"/>
      <c r="AW1709" s="66"/>
      <c r="AX1709" s="66"/>
      <c r="AY1709" s="66"/>
      <c r="AZ1709" s="66"/>
      <c r="BA1709" s="66"/>
      <c r="BB1709" s="66"/>
      <c r="BC1709" s="66"/>
      <c r="BD1709" s="66"/>
      <c r="BE1709" s="67"/>
      <c r="BF1709" s="67"/>
      <c r="BG1709" s="68"/>
      <c r="BI1709" s="69">
        <v>0</v>
      </c>
      <c r="BJ1709" s="70">
        <v>0</v>
      </c>
      <c r="BK1709" s="71">
        <v>0</v>
      </c>
      <c r="BL1709" s="71">
        <v>0</v>
      </c>
      <c r="BM1709" s="71">
        <v>0</v>
      </c>
      <c r="BN1709" s="72">
        <v>0</v>
      </c>
      <c r="BO1709" s="151" t="e">
        <f t="shared" si="109"/>
        <v>#DIV/0!</v>
      </c>
      <c r="BP1709" s="151" t="e">
        <f t="shared" si="110"/>
        <v>#DIV/0!</v>
      </c>
      <c r="BQ1709" s="71">
        <v>0</v>
      </c>
      <c r="BR1709" s="71">
        <v>0</v>
      </c>
      <c r="BS1709" s="71">
        <v>0</v>
      </c>
      <c r="BT1709" s="72">
        <v>0</v>
      </c>
      <c r="BU1709" s="151" t="e">
        <f t="shared" si="106"/>
        <v>#DIV/0!</v>
      </c>
      <c r="BV1709" s="151" t="e">
        <f t="shared" si="107"/>
        <v>#DIV/0!</v>
      </c>
    </row>
    <row r="1710" ht="30" customHeight="1" spans="1:74">
      <c r="A1710" s="55">
        <v>0</v>
      </c>
      <c r="B1710" s="56">
        <v>0</v>
      </c>
      <c r="C1710" s="57">
        <v>0</v>
      </c>
      <c r="D1710" s="74"/>
      <c r="E1710" s="74"/>
      <c r="F1710" s="59" t="e">
        <f>VLOOKUP(E1710,[1]库存!$B$1:$C$65536,2,FALSE)</f>
        <v>#N/A</v>
      </c>
      <c r="G1710" s="59" t="e">
        <v>#N/A</v>
      </c>
      <c r="H1710" s="74"/>
      <c r="I1710" s="74"/>
      <c r="J1710" s="81"/>
      <c r="K1710" s="61"/>
      <c r="L1710" s="62">
        <v>0</v>
      </c>
      <c r="M1710" s="63">
        <v>0</v>
      </c>
      <c r="N1710" s="64">
        <v>0</v>
      </c>
      <c r="O1710" s="62">
        <v>0</v>
      </c>
      <c r="P1710" s="65">
        <f t="shared" si="108"/>
        <v>0</v>
      </c>
      <c r="Q1710" s="66"/>
      <c r="R1710" s="66"/>
      <c r="S1710" s="66"/>
      <c r="T1710" s="66"/>
      <c r="U1710" s="66"/>
      <c r="V1710" s="66"/>
      <c r="W1710" s="66"/>
      <c r="X1710" s="66"/>
      <c r="Y1710" s="66"/>
      <c r="Z1710" s="66"/>
      <c r="AA1710" s="66"/>
      <c r="AB1710" s="66"/>
      <c r="AC1710" s="66"/>
      <c r="AD1710" s="66"/>
      <c r="AE1710" s="66"/>
      <c r="AF1710" s="66"/>
      <c r="AG1710" s="66"/>
      <c r="AH1710" s="66"/>
      <c r="AI1710" s="66"/>
      <c r="AJ1710" s="66"/>
      <c r="AK1710" s="66"/>
      <c r="AL1710" s="66"/>
      <c r="AM1710" s="66"/>
      <c r="AN1710" s="66"/>
      <c r="AO1710" s="66"/>
      <c r="AP1710" s="66"/>
      <c r="AQ1710" s="66"/>
      <c r="AR1710" s="66"/>
      <c r="AS1710" s="66"/>
      <c r="AT1710" s="66"/>
      <c r="AU1710" s="66"/>
      <c r="AV1710" s="66"/>
      <c r="AW1710" s="66"/>
      <c r="AX1710" s="66"/>
      <c r="AY1710" s="66"/>
      <c r="AZ1710" s="66"/>
      <c r="BA1710" s="66"/>
      <c r="BB1710" s="66"/>
      <c r="BC1710" s="66"/>
      <c r="BD1710" s="66"/>
      <c r="BE1710" s="67"/>
      <c r="BF1710" s="67"/>
      <c r="BG1710" s="68"/>
      <c r="BI1710" s="69">
        <v>0</v>
      </c>
      <c r="BJ1710" s="70">
        <v>0</v>
      </c>
      <c r="BK1710" s="71">
        <v>0</v>
      </c>
      <c r="BL1710" s="71">
        <v>0</v>
      </c>
      <c r="BM1710" s="71">
        <v>0</v>
      </c>
      <c r="BN1710" s="72">
        <v>0</v>
      </c>
      <c r="BO1710" s="151" t="e">
        <f t="shared" si="109"/>
        <v>#DIV/0!</v>
      </c>
      <c r="BP1710" s="151" t="e">
        <f t="shared" si="110"/>
        <v>#DIV/0!</v>
      </c>
      <c r="BQ1710" s="71">
        <v>0</v>
      </c>
      <c r="BR1710" s="71">
        <v>0</v>
      </c>
      <c r="BS1710" s="71">
        <v>0</v>
      </c>
      <c r="BT1710" s="72">
        <v>0</v>
      </c>
      <c r="BU1710" s="151" t="e">
        <f t="shared" si="106"/>
        <v>#DIV/0!</v>
      </c>
      <c r="BV1710" s="151" t="e">
        <f t="shared" si="107"/>
        <v>#DIV/0!</v>
      </c>
    </row>
    <row r="1711" ht="30" customHeight="1" spans="1:74">
      <c r="A1711" s="55">
        <v>0</v>
      </c>
      <c r="B1711" s="56" t="s">
        <v>2247</v>
      </c>
      <c r="C1711" s="57" t="s">
        <v>2343</v>
      </c>
      <c r="D1711" s="59" t="s">
        <v>2748</v>
      </c>
      <c r="E1711" s="59" t="s">
        <v>2762</v>
      </c>
      <c r="F1711" s="59" t="e">
        <f>VLOOKUP(E1711,[1]库存!$B$1:$C$65536,2,FALSE)</f>
        <v>#N/A</v>
      </c>
      <c r="G1711" s="59" t="e">
        <v>#N/A</v>
      </c>
      <c r="H1711" s="59" t="s">
        <v>2763</v>
      </c>
      <c r="I1711" s="59" t="s">
        <v>170</v>
      </c>
      <c r="J1711" s="60" t="s">
        <v>2764</v>
      </c>
      <c r="K1711" s="61"/>
      <c r="L1711" s="62">
        <v>2</v>
      </c>
      <c r="M1711" s="63">
        <v>1200</v>
      </c>
      <c r="N1711" s="64">
        <v>10.5</v>
      </c>
      <c r="O1711" s="62">
        <v>2</v>
      </c>
      <c r="P1711" s="65">
        <f t="shared" si="108"/>
        <v>0</v>
      </c>
      <c r="Q1711" s="66"/>
      <c r="R1711" s="66"/>
      <c r="S1711" s="66"/>
      <c r="T1711" s="66"/>
      <c r="U1711" s="66"/>
      <c r="V1711" s="66"/>
      <c r="W1711" s="66"/>
      <c r="X1711" s="66"/>
      <c r="Y1711" s="66"/>
      <c r="Z1711" s="66"/>
      <c r="AA1711" s="66"/>
      <c r="AB1711" s="66"/>
      <c r="AC1711" s="66"/>
      <c r="AD1711" s="66"/>
      <c r="AE1711" s="66"/>
      <c r="AF1711" s="66"/>
      <c r="AG1711" s="66"/>
      <c r="AH1711" s="66"/>
      <c r="AI1711" s="66"/>
      <c r="AJ1711" s="66"/>
      <c r="AK1711" s="66"/>
      <c r="AL1711" s="66"/>
      <c r="AM1711" s="66"/>
      <c r="AN1711" s="66"/>
      <c r="AO1711" s="66"/>
      <c r="AP1711" s="66"/>
      <c r="AQ1711" s="66"/>
      <c r="AR1711" s="66"/>
      <c r="AS1711" s="66"/>
      <c r="AT1711" s="66"/>
      <c r="AU1711" s="66"/>
      <c r="AV1711" s="66"/>
      <c r="AW1711" s="66"/>
      <c r="AX1711" s="66"/>
      <c r="AY1711" s="66"/>
      <c r="AZ1711" s="66"/>
      <c r="BA1711" s="66"/>
      <c r="BB1711" s="66"/>
      <c r="BC1711" s="66"/>
      <c r="BD1711" s="66"/>
      <c r="BE1711" s="67"/>
      <c r="BF1711" s="67"/>
      <c r="BG1711" s="68"/>
      <c r="BI1711" s="69">
        <v>0</v>
      </c>
      <c r="BJ1711" s="70">
        <v>0</v>
      </c>
      <c r="BK1711" s="71">
        <v>0</v>
      </c>
      <c r="BL1711" s="71">
        <v>0</v>
      </c>
      <c r="BM1711" s="71">
        <v>0</v>
      </c>
      <c r="BN1711" s="72">
        <v>0</v>
      </c>
      <c r="BO1711" s="151" t="e">
        <f t="shared" si="109"/>
        <v>#DIV/0!</v>
      </c>
      <c r="BP1711" s="151" t="e">
        <f t="shared" si="110"/>
        <v>#DIV/0!</v>
      </c>
      <c r="BQ1711" s="71">
        <v>0</v>
      </c>
      <c r="BR1711" s="71">
        <v>0</v>
      </c>
      <c r="BS1711" s="71">
        <v>0</v>
      </c>
      <c r="BT1711" s="72">
        <v>0</v>
      </c>
      <c r="BU1711" s="151" t="e">
        <f t="shared" si="106"/>
        <v>#DIV/0!</v>
      </c>
      <c r="BV1711" s="151" t="e">
        <f t="shared" si="107"/>
        <v>#DIV/0!</v>
      </c>
    </row>
    <row r="1712" ht="30" customHeight="1" spans="1:74">
      <c r="A1712" s="55">
        <v>0</v>
      </c>
      <c r="B1712" s="56">
        <v>0</v>
      </c>
      <c r="C1712" s="57">
        <v>0</v>
      </c>
      <c r="D1712" s="74"/>
      <c r="E1712" s="74"/>
      <c r="F1712" s="59" t="e">
        <f>VLOOKUP(E1712,[1]库存!$B$1:$C$65536,2,FALSE)</f>
        <v>#N/A</v>
      </c>
      <c r="G1712" s="59" t="e">
        <v>#N/A</v>
      </c>
      <c r="H1712" s="74"/>
      <c r="I1712" s="74"/>
      <c r="J1712" s="75"/>
      <c r="K1712" s="61"/>
      <c r="L1712" s="62">
        <v>0</v>
      </c>
      <c r="M1712" s="63">
        <v>0</v>
      </c>
      <c r="N1712" s="64">
        <v>0</v>
      </c>
      <c r="O1712" s="62">
        <v>0</v>
      </c>
      <c r="P1712" s="65">
        <f t="shared" si="108"/>
        <v>0</v>
      </c>
      <c r="Q1712" s="66"/>
      <c r="R1712" s="66"/>
      <c r="S1712" s="66"/>
      <c r="T1712" s="66"/>
      <c r="U1712" s="66"/>
      <c r="V1712" s="66"/>
      <c r="W1712" s="66"/>
      <c r="X1712" s="66"/>
      <c r="Y1712" s="66"/>
      <c r="Z1712" s="66"/>
      <c r="AA1712" s="66"/>
      <c r="AB1712" s="66"/>
      <c r="AC1712" s="66"/>
      <c r="AD1712" s="66"/>
      <c r="AE1712" s="66"/>
      <c r="AF1712" s="66"/>
      <c r="AG1712" s="66"/>
      <c r="AH1712" s="66"/>
      <c r="AI1712" s="66"/>
      <c r="AJ1712" s="66"/>
      <c r="AK1712" s="66"/>
      <c r="AL1712" s="66"/>
      <c r="AM1712" s="66"/>
      <c r="AN1712" s="66"/>
      <c r="AO1712" s="66"/>
      <c r="AP1712" s="66"/>
      <c r="AQ1712" s="66"/>
      <c r="AR1712" s="66"/>
      <c r="AS1712" s="66"/>
      <c r="AT1712" s="66"/>
      <c r="AU1712" s="66"/>
      <c r="AV1712" s="66"/>
      <c r="AW1712" s="66"/>
      <c r="AX1712" s="66"/>
      <c r="AY1712" s="66"/>
      <c r="AZ1712" s="66"/>
      <c r="BA1712" s="66"/>
      <c r="BB1712" s="66"/>
      <c r="BC1712" s="66"/>
      <c r="BD1712" s="66"/>
      <c r="BE1712" s="67"/>
      <c r="BF1712" s="67"/>
      <c r="BG1712" s="68"/>
      <c r="BI1712" s="69">
        <v>0</v>
      </c>
      <c r="BJ1712" s="70">
        <v>0</v>
      </c>
      <c r="BK1712" s="71">
        <v>0</v>
      </c>
      <c r="BL1712" s="71">
        <v>0</v>
      </c>
      <c r="BM1712" s="71">
        <v>0</v>
      </c>
      <c r="BN1712" s="72">
        <v>0</v>
      </c>
      <c r="BO1712" s="151" t="e">
        <f t="shared" si="109"/>
        <v>#DIV/0!</v>
      </c>
      <c r="BP1712" s="151" t="e">
        <f t="shared" si="110"/>
        <v>#DIV/0!</v>
      </c>
      <c r="BQ1712" s="71">
        <v>0</v>
      </c>
      <c r="BR1712" s="71">
        <v>0</v>
      </c>
      <c r="BS1712" s="71">
        <v>0</v>
      </c>
      <c r="BT1712" s="72">
        <v>0</v>
      </c>
      <c r="BU1712" s="151" t="e">
        <f t="shared" si="106"/>
        <v>#DIV/0!</v>
      </c>
      <c r="BV1712" s="151" t="e">
        <f t="shared" si="107"/>
        <v>#DIV/0!</v>
      </c>
    </row>
    <row r="1713" ht="30" customHeight="1" spans="1:74">
      <c r="A1713" s="55">
        <v>0</v>
      </c>
      <c r="B1713" s="56" t="s">
        <v>2247</v>
      </c>
      <c r="C1713" s="57" t="s">
        <v>2343</v>
      </c>
      <c r="D1713" s="59" t="s">
        <v>2748</v>
      </c>
      <c r="E1713" s="59" t="s">
        <v>2765</v>
      </c>
      <c r="F1713" s="59" t="e">
        <f>VLOOKUP(E1713,[1]库存!$B$1:$C$65536,2,FALSE)</f>
        <v>#N/A</v>
      </c>
      <c r="G1713" s="59" t="e">
        <v>#N/A</v>
      </c>
      <c r="H1713" s="59" t="s">
        <v>2766</v>
      </c>
      <c r="I1713" s="59" t="s">
        <v>170</v>
      </c>
      <c r="J1713" s="60" t="s">
        <v>2764</v>
      </c>
      <c r="K1713" s="61"/>
      <c r="L1713" s="62">
        <v>2</v>
      </c>
      <c r="M1713" s="63">
        <v>1200</v>
      </c>
      <c r="N1713" s="64">
        <v>10.5</v>
      </c>
      <c r="O1713" s="62">
        <v>2</v>
      </c>
      <c r="P1713" s="65">
        <f t="shared" si="108"/>
        <v>0</v>
      </c>
      <c r="Q1713" s="66"/>
      <c r="R1713" s="66"/>
      <c r="S1713" s="66"/>
      <c r="T1713" s="66"/>
      <c r="U1713" s="66"/>
      <c r="V1713" s="66"/>
      <c r="W1713" s="66"/>
      <c r="X1713" s="66"/>
      <c r="Y1713" s="66"/>
      <c r="Z1713" s="66"/>
      <c r="AA1713" s="66"/>
      <c r="AB1713" s="66"/>
      <c r="AC1713" s="66"/>
      <c r="AD1713" s="66"/>
      <c r="AE1713" s="66"/>
      <c r="AF1713" s="66"/>
      <c r="AG1713" s="66"/>
      <c r="AH1713" s="66"/>
      <c r="AI1713" s="66"/>
      <c r="AJ1713" s="66"/>
      <c r="AK1713" s="66"/>
      <c r="AL1713" s="66"/>
      <c r="AM1713" s="66"/>
      <c r="AN1713" s="66"/>
      <c r="AO1713" s="66"/>
      <c r="AP1713" s="66"/>
      <c r="AQ1713" s="66"/>
      <c r="AR1713" s="66"/>
      <c r="AS1713" s="66"/>
      <c r="AT1713" s="66"/>
      <c r="AU1713" s="66"/>
      <c r="AV1713" s="66"/>
      <c r="AW1713" s="66"/>
      <c r="AX1713" s="66"/>
      <c r="AY1713" s="66"/>
      <c r="AZ1713" s="66"/>
      <c r="BA1713" s="66"/>
      <c r="BB1713" s="66"/>
      <c r="BC1713" s="66"/>
      <c r="BD1713" s="66"/>
      <c r="BE1713" s="67"/>
      <c r="BF1713" s="67"/>
      <c r="BG1713" s="68"/>
      <c r="BI1713" s="69">
        <v>0</v>
      </c>
      <c r="BJ1713" s="70">
        <v>0</v>
      </c>
      <c r="BK1713" s="71">
        <v>0</v>
      </c>
      <c r="BL1713" s="71">
        <v>0</v>
      </c>
      <c r="BM1713" s="71">
        <v>0</v>
      </c>
      <c r="BN1713" s="72">
        <v>0</v>
      </c>
      <c r="BO1713" s="151" t="e">
        <f t="shared" si="109"/>
        <v>#DIV/0!</v>
      </c>
      <c r="BP1713" s="151" t="e">
        <f t="shared" si="110"/>
        <v>#DIV/0!</v>
      </c>
      <c r="BQ1713" s="71">
        <v>0</v>
      </c>
      <c r="BR1713" s="71">
        <v>0</v>
      </c>
      <c r="BS1713" s="71">
        <v>0</v>
      </c>
      <c r="BT1713" s="72">
        <v>0</v>
      </c>
      <c r="BU1713" s="151" t="e">
        <f t="shared" si="106"/>
        <v>#DIV/0!</v>
      </c>
      <c r="BV1713" s="151" t="e">
        <f t="shared" si="107"/>
        <v>#DIV/0!</v>
      </c>
    </row>
    <row r="1714" ht="30" customHeight="1" spans="1:74">
      <c r="A1714" s="55">
        <v>0</v>
      </c>
      <c r="B1714" s="56">
        <v>0</v>
      </c>
      <c r="C1714" s="57">
        <v>0</v>
      </c>
      <c r="D1714" s="74"/>
      <c r="E1714" s="74"/>
      <c r="F1714" s="59" t="e">
        <f>VLOOKUP(E1714,[1]库存!$B$1:$C$65536,2,FALSE)</f>
        <v>#N/A</v>
      </c>
      <c r="G1714" s="59" t="e">
        <v>#N/A</v>
      </c>
      <c r="H1714" s="74"/>
      <c r="I1714" s="74"/>
      <c r="J1714" s="75"/>
      <c r="K1714" s="61"/>
      <c r="L1714" s="62">
        <v>0</v>
      </c>
      <c r="M1714" s="63">
        <v>0</v>
      </c>
      <c r="N1714" s="64">
        <v>0</v>
      </c>
      <c r="O1714" s="62">
        <v>0</v>
      </c>
      <c r="P1714" s="65">
        <f t="shared" si="108"/>
        <v>0</v>
      </c>
      <c r="Q1714" s="66"/>
      <c r="R1714" s="66"/>
      <c r="S1714" s="66"/>
      <c r="T1714" s="66"/>
      <c r="U1714" s="66"/>
      <c r="V1714" s="66"/>
      <c r="W1714" s="66"/>
      <c r="X1714" s="66"/>
      <c r="Y1714" s="66"/>
      <c r="Z1714" s="66"/>
      <c r="AA1714" s="66"/>
      <c r="AB1714" s="66"/>
      <c r="AC1714" s="66"/>
      <c r="AD1714" s="66"/>
      <c r="AE1714" s="66"/>
      <c r="AF1714" s="66"/>
      <c r="AG1714" s="66"/>
      <c r="AH1714" s="66"/>
      <c r="AI1714" s="66"/>
      <c r="AJ1714" s="66"/>
      <c r="AK1714" s="66"/>
      <c r="AL1714" s="66"/>
      <c r="AM1714" s="66"/>
      <c r="AN1714" s="66"/>
      <c r="AO1714" s="66"/>
      <c r="AP1714" s="66"/>
      <c r="AQ1714" s="66"/>
      <c r="AR1714" s="66"/>
      <c r="AS1714" s="66"/>
      <c r="AT1714" s="66"/>
      <c r="AU1714" s="66"/>
      <c r="AV1714" s="66"/>
      <c r="AW1714" s="66"/>
      <c r="AX1714" s="66"/>
      <c r="AY1714" s="66"/>
      <c r="AZ1714" s="66"/>
      <c r="BA1714" s="66"/>
      <c r="BB1714" s="66"/>
      <c r="BC1714" s="66"/>
      <c r="BD1714" s="66"/>
      <c r="BE1714" s="67"/>
      <c r="BF1714" s="67"/>
      <c r="BG1714" s="68"/>
      <c r="BI1714" s="69">
        <v>0</v>
      </c>
      <c r="BJ1714" s="70">
        <v>0</v>
      </c>
      <c r="BK1714" s="71">
        <v>0</v>
      </c>
      <c r="BL1714" s="71">
        <v>0</v>
      </c>
      <c r="BM1714" s="71">
        <v>0</v>
      </c>
      <c r="BN1714" s="72">
        <v>0</v>
      </c>
      <c r="BO1714" s="151" t="e">
        <f t="shared" si="109"/>
        <v>#DIV/0!</v>
      </c>
      <c r="BP1714" s="151" t="e">
        <f t="shared" si="110"/>
        <v>#DIV/0!</v>
      </c>
      <c r="BQ1714" s="71">
        <v>0</v>
      </c>
      <c r="BR1714" s="71">
        <v>0</v>
      </c>
      <c r="BS1714" s="71">
        <v>0</v>
      </c>
      <c r="BT1714" s="72">
        <v>0</v>
      </c>
      <c r="BU1714" s="151" t="e">
        <f t="shared" si="106"/>
        <v>#DIV/0!</v>
      </c>
      <c r="BV1714" s="151" t="e">
        <f t="shared" si="107"/>
        <v>#DIV/0!</v>
      </c>
    </row>
    <row r="1715" ht="30" customHeight="1" spans="1:74">
      <c r="A1715" s="55">
        <v>0</v>
      </c>
      <c r="B1715" s="56" t="s">
        <v>2247</v>
      </c>
      <c r="C1715" s="57" t="s">
        <v>2343</v>
      </c>
      <c r="D1715" s="59" t="s">
        <v>2748</v>
      </c>
      <c r="E1715" s="59"/>
      <c r="F1715" s="59" t="e">
        <f>VLOOKUP(E1715,[1]库存!$B$1:$C$65536,2,FALSE)</f>
        <v>#N/A</v>
      </c>
      <c r="G1715" s="59" t="e">
        <v>#N/A</v>
      </c>
      <c r="H1715" s="59" t="s">
        <v>2767</v>
      </c>
      <c r="I1715" s="59" t="s">
        <v>2768</v>
      </c>
      <c r="J1715" s="63"/>
      <c r="K1715" s="61"/>
      <c r="L1715" s="62">
        <v>2</v>
      </c>
      <c r="M1715" s="63">
        <v>1200</v>
      </c>
      <c r="N1715" s="64">
        <v>10.5</v>
      </c>
      <c r="O1715" s="62">
        <v>2</v>
      </c>
      <c r="P1715" s="65">
        <f t="shared" si="108"/>
        <v>0</v>
      </c>
      <c r="Q1715" s="66"/>
      <c r="R1715" s="66"/>
      <c r="S1715" s="66"/>
      <c r="T1715" s="66"/>
      <c r="U1715" s="66"/>
      <c r="V1715" s="66"/>
      <c r="W1715" s="66"/>
      <c r="X1715" s="66"/>
      <c r="Y1715" s="66"/>
      <c r="Z1715" s="66"/>
      <c r="AA1715" s="66"/>
      <c r="AB1715" s="66"/>
      <c r="AC1715" s="66"/>
      <c r="AD1715" s="66"/>
      <c r="AE1715" s="66"/>
      <c r="AF1715" s="66"/>
      <c r="AG1715" s="66"/>
      <c r="AH1715" s="66"/>
      <c r="AI1715" s="66"/>
      <c r="AJ1715" s="66"/>
      <c r="AK1715" s="66"/>
      <c r="AL1715" s="66"/>
      <c r="AM1715" s="66"/>
      <c r="AN1715" s="66"/>
      <c r="AO1715" s="66"/>
      <c r="AP1715" s="66"/>
      <c r="AQ1715" s="66"/>
      <c r="AR1715" s="66"/>
      <c r="AS1715" s="66"/>
      <c r="AT1715" s="66"/>
      <c r="AU1715" s="66"/>
      <c r="AV1715" s="66"/>
      <c r="AW1715" s="66"/>
      <c r="AX1715" s="66"/>
      <c r="AY1715" s="66"/>
      <c r="AZ1715" s="66"/>
      <c r="BA1715" s="66"/>
      <c r="BB1715" s="66"/>
      <c r="BC1715" s="66"/>
      <c r="BD1715" s="66"/>
      <c r="BE1715" s="67"/>
      <c r="BF1715" s="67"/>
      <c r="BG1715" s="68"/>
      <c r="BI1715" s="69">
        <v>0</v>
      </c>
      <c r="BJ1715" s="70">
        <v>0</v>
      </c>
      <c r="BK1715" s="71">
        <v>0</v>
      </c>
      <c r="BL1715" s="71">
        <v>0</v>
      </c>
      <c r="BM1715" s="71">
        <v>0</v>
      </c>
      <c r="BN1715" s="72">
        <v>0</v>
      </c>
      <c r="BO1715" s="151" t="e">
        <f t="shared" si="109"/>
        <v>#DIV/0!</v>
      </c>
      <c r="BP1715" s="151" t="e">
        <f t="shared" si="110"/>
        <v>#DIV/0!</v>
      </c>
      <c r="BQ1715" s="71">
        <v>0</v>
      </c>
      <c r="BR1715" s="71">
        <v>0</v>
      </c>
      <c r="BS1715" s="71">
        <v>0</v>
      </c>
      <c r="BT1715" s="72">
        <v>0</v>
      </c>
      <c r="BU1715" s="151" t="e">
        <f t="shared" si="106"/>
        <v>#DIV/0!</v>
      </c>
      <c r="BV1715" s="151" t="e">
        <f t="shared" si="107"/>
        <v>#DIV/0!</v>
      </c>
    </row>
    <row r="1716" ht="30" customHeight="1" spans="1:74">
      <c r="A1716" s="55">
        <v>0</v>
      </c>
      <c r="B1716" s="56">
        <v>0</v>
      </c>
      <c r="C1716" s="57">
        <v>0</v>
      </c>
      <c r="D1716" s="74"/>
      <c r="E1716" s="74"/>
      <c r="F1716" s="59" t="e">
        <f>VLOOKUP(E1716,[1]库存!$B$1:$C$65536,2,FALSE)</f>
        <v>#N/A</v>
      </c>
      <c r="G1716" s="59" t="e">
        <v>#N/A</v>
      </c>
      <c r="H1716" s="74"/>
      <c r="I1716" s="74"/>
      <c r="J1716" s="87"/>
      <c r="K1716" s="61"/>
      <c r="L1716" s="62">
        <v>0</v>
      </c>
      <c r="M1716" s="63">
        <v>0</v>
      </c>
      <c r="N1716" s="64">
        <v>0</v>
      </c>
      <c r="O1716" s="62">
        <v>0</v>
      </c>
      <c r="P1716" s="65">
        <f t="shared" si="108"/>
        <v>0</v>
      </c>
      <c r="Q1716" s="66"/>
      <c r="R1716" s="66"/>
      <c r="S1716" s="66"/>
      <c r="T1716" s="66"/>
      <c r="U1716" s="66"/>
      <c r="V1716" s="66"/>
      <c r="W1716" s="66"/>
      <c r="X1716" s="66"/>
      <c r="Y1716" s="66"/>
      <c r="Z1716" s="66"/>
      <c r="AA1716" s="66"/>
      <c r="AB1716" s="66"/>
      <c r="AC1716" s="66"/>
      <c r="AD1716" s="66"/>
      <c r="AE1716" s="66"/>
      <c r="AF1716" s="66"/>
      <c r="AG1716" s="66"/>
      <c r="AH1716" s="66"/>
      <c r="AI1716" s="66"/>
      <c r="AJ1716" s="66"/>
      <c r="AK1716" s="66"/>
      <c r="AL1716" s="66"/>
      <c r="AM1716" s="66"/>
      <c r="AN1716" s="66"/>
      <c r="AO1716" s="66"/>
      <c r="AP1716" s="66"/>
      <c r="AQ1716" s="66"/>
      <c r="AR1716" s="66"/>
      <c r="AS1716" s="66"/>
      <c r="AT1716" s="66"/>
      <c r="AU1716" s="66"/>
      <c r="AV1716" s="66"/>
      <c r="AW1716" s="66"/>
      <c r="AX1716" s="66"/>
      <c r="AY1716" s="66"/>
      <c r="AZ1716" s="66"/>
      <c r="BA1716" s="66"/>
      <c r="BB1716" s="66"/>
      <c r="BC1716" s="66"/>
      <c r="BD1716" s="66"/>
      <c r="BE1716" s="67"/>
      <c r="BF1716" s="67"/>
      <c r="BG1716" s="68"/>
      <c r="BI1716" s="69">
        <v>0</v>
      </c>
      <c r="BJ1716" s="70">
        <v>0</v>
      </c>
      <c r="BK1716" s="71">
        <v>0</v>
      </c>
      <c r="BL1716" s="71">
        <v>0</v>
      </c>
      <c r="BM1716" s="71">
        <v>0</v>
      </c>
      <c r="BN1716" s="72">
        <v>0</v>
      </c>
      <c r="BO1716" s="151" t="e">
        <f t="shared" si="109"/>
        <v>#DIV/0!</v>
      </c>
      <c r="BP1716" s="151" t="e">
        <f t="shared" si="110"/>
        <v>#DIV/0!</v>
      </c>
      <c r="BQ1716" s="71">
        <v>0</v>
      </c>
      <c r="BR1716" s="71">
        <v>0</v>
      </c>
      <c r="BS1716" s="71">
        <v>0</v>
      </c>
      <c r="BT1716" s="72">
        <v>0</v>
      </c>
      <c r="BU1716" s="151" t="e">
        <f t="shared" si="106"/>
        <v>#DIV/0!</v>
      </c>
      <c r="BV1716" s="151" t="e">
        <f t="shared" si="107"/>
        <v>#DIV/0!</v>
      </c>
    </row>
    <row r="1717" ht="30" customHeight="1" spans="1:74">
      <c r="A1717" s="55">
        <v>0</v>
      </c>
      <c r="B1717" s="56" t="s">
        <v>2247</v>
      </c>
      <c r="C1717" s="57" t="s">
        <v>2343</v>
      </c>
      <c r="D1717" s="59" t="s">
        <v>2748</v>
      </c>
      <c r="E1717" s="59"/>
      <c r="F1717" s="59" t="e">
        <f>VLOOKUP(E1717,[1]库存!$B$1:$C$65536,2,FALSE)</f>
        <v>#N/A</v>
      </c>
      <c r="G1717" s="59" t="e">
        <v>#N/A</v>
      </c>
      <c r="H1717" s="59" t="s">
        <v>2769</v>
      </c>
      <c r="I1717" s="59" t="s">
        <v>2770</v>
      </c>
      <c r="J1717" s="63"/>
      <c r="K1717" s="61"/>
      <c r="L1717" s="62">
        <v>2</v>
      </c>
      <c r="M1717" s="63">
        <v>1200</v>
      </c>
      <c r="N1717" s="64">
        <v>10.5</v>
      </c>
      <c r="O1717" s="62">
        <v>2</v>
      </c>
      <c r="P1717" s="65">
        <f t="shared" si="108"/>
        <v>0</v>
      </c>
      <c r="Q1717" s="66"/>
      <c r="R1717" s="66"/>
      <c r="S1717" s="66"/>
      <c r="T1717" s="66"/>
      <c r="U1717" s="66"/>
      <c r="V1717" s="66"/>
      <c r="W1717" s="66"/>
      <c r="X1717" s="66"/>
      <c r="Y1717" s="66"/>
      <c r="Z1717" s="66"/>
      <c r="AA1717" s="66"/>
      <c r="AB1717" s="66"/>
      <c r="AC1717" s="66"/>
      <c r="AD1717" s="66"/>
      <c r="AE1717" s="66"/>
      <c r="AF1717" s="66"/>
      <c r="AG1717" s="66"/>
      <c r="AH1717" s="66"/>
      <c r="AI1717" s="66"/>
      <c r="AJ1717" s="66"/>
      <c r="AK1717" s="66"/>
      <c r="AL1717" s="66"/>
      <c r="AM1717" s="66"/>
      <c r="AN1717" s="66"/>
      <c r="AO1717" s="66"/>
      <c r="AP1717" s="66"/>
      <c r="AQ1717" s="66"/>
      <c r="AR1717" s="66"/>
      <c r="AS1717" s="66"/>
      <c r="AT1717" s="66"/>
      <c r="AU1717" s="66"/>
      <c r="AV1717" s="66"/>
      <c r="AW1717" s="66"/>
      <c r="AX1717" s="66"/>
      <c r="AY1717" s="66"/>
      <c r="AZ1717" s="66"/>
      <c r="BA1717" s="66"/>
      <c r="BB1717" s="66"/>
      <c r="BC1717" s="66"/>
      <c r="BD1717" s="66"/>
      <c r="BE1717" s="67"/>
      <c r="BF1717" s="67"/>
      <c r="BG1717" s="68"/>
      <c r="BI1717" s="69">
        <v>0</v>
      </c>
      <c r="BJ1717" s="70">
        <v>0</v>
      </c>
      <c r="BK1717" s="71">
        <v>0</v>
      </c>
      <c r="BL1717" s="71">
        <v>0</v>
      </c>
      <c r="BM1717" s="71">
        <v>0</v>
      </c>
      <c r="BN1717" s="72">
        <v>0</v>
      </c>
      <c r="BO1717" s="151" t="e">
        <f t="shared" si="109"/>
        <v>#DIV/0!</v>
      </c>
      <c r="BP1717" s="151" t="e">
        <f t="shared" si="110"/>
        <v>#DIV/0!</v>
      </c>
      <c r="BQ1717" s="71">
        <v>0</v>
      </c>
      <c r="BR1717" s="71">
        <v>0</v>
      </c>
      <c r="BS1717" s="71">
        <v>0</v>
      </c>
      <c r="BT1717" s="72">
        <v>0</v>
      </c>
      <c r="BU1717" s="151" t="e">
        <f t="shared" si="106"/>
        <v>#DIV/0!</v>
      </c>
      <c r="BV1717" s="151" t="e">
        <f t="shared" si="107"/>
        <v>#DIV/0!</v>
      </c>
    </row>
    <row r="1718" ht="30" customHeight="1" spans="1:74">
      <c r="A1718" s="55">
        <v>0</v>
      </c>
      <c r="B1718" s="56">
        <v>0</v>
      </c>
      <c r="C1718" s="57">
        <v>0</v>
      </c>
      <c r="D1718" s="74"/>
      <c r="E1718" s="74"/>
      <c r="F1718" s="59" t="e">
        <f>VLOOKUP(E1718,[1]库存!$B$1:$C$65536,2,FALSE)</f>
        <v>#N/A</v>
      </c>
      <c r="G1718" s="59" t="e">
        <v>#N/A</v>
      </c>
      <c r="H1718" s="74"/>
      <c r="I1718" s="74"/>
      <c r="J1718" s="87"/>
      <c r="K1718" s="61"/>
      <c r="L1718" s="62">
        <v>0</v>
      </c>
      <c r="M1718" s="63">
        <v>0</v>
      </c>
      <c r="N1718" s="64">
        <v>0</v>
      </c>
      <c r="O1718" s="62">
        <v>0</v>
      </c>
      <c r="P1718" s="65">
        <f t="shared" si="108"/>
        <v>0</v>
      </c>
      <c r="Q1718" s="66"/>
      <c r="R1718" s="66"/>
      <c r="S1718" s="66"/>
      <c r="T1718" s="66"/>
      <c r="U1718" s="66"/>
      <c r="V1718" s="66"/>
      <c r="W1718" s="66"/>
      <c r="X1718" s="66"/>
      <c r="Y1718" s="66"/>
      <c r="Z1718" s="66"/>
      <c r="AA1718" s="66"/>
      <c r="AB1718" s="66"/>
      <c r="AC1718" s="66"/>
      <c r="AD1718" s="66"/>
      <c r="AE1718" s="66"/>
      <c r="AF1718" s="66"/>
      <c r="AG1718" s="66"/>
      <c r="AH1718" s="66"/>
      <c r="AI1718" s="66"/>
      <c r="AJ1718" s="66"/>
      <c r="AK1718" s="66"/>
      <c r="AL1718" s="66"/>
      <c r="AM1718" s="66"/>
      <c r="AN1718" s="66"/>
      <c r="AO1718" s="66"/>
      <c r="AP1718" s="66"/>
      <c r="AQ1718" s="66"/>
      <c r="AR1718" s="66"/>
      <c r="AS1718" s="66"/>
      <c r="AT1718" s="66"/>
      <c r="AU1718" s="66"/>
      <c r="AV1718" s="66"/>
      <c r="AW1718" s="66"/>
      <c r="AX1718" s="66"/>
      <c r="AY1718" s="66"/>
      <c r="AZ1718" s="66"/>
      <c r="BA1718" s="66"/>
      <c r="BB1718" s="66"/>
      <c r="BC1718" s="66"/>
      <c r="BD1718" s="66"/>
      <c r="BE1718" s="67"/>
      <c r="BF1718" s="67"/>
      <c r="BG1718" s="68"/>
      <c r="BI1718" s="69">
        <v>0</v>
      </c>
      <c r="BJ1718" s="70">
        <v>0</v>
      </c>
      <c r="BK1718" s="71">
        <v>0</v>
      </c>
      <c r="BL1718" s="71">
        <v>0</v>
      </c>
      <c r="BM1718" s="71">
        <v>0</v>
      </c>
      <c r="BN1718" s="72">
        <v>0</v>
      </c>
      <c r="BO1718" s="151" t="e">
        <f t="shared" si="109"/>
        <v>#DIV/0!</v>
      </c>
      <c r="BP1718" s="151" t="e">
        <f t="shared" si="110"/>
        <v>#DIV/0!</v>
      </c>
      <c r="BQ1718" s="71">
        <v>0</v>
      </c>
      <c r="BR1718" s="71">
        <v>0</v>
      </c>
      <c r="BS1718" s="71">
        <v>0</v>
      </c>
      <c r="BT1718" s="72">
        <v>0</v>
      </c>
      <c r="BU1718" s="151" t="e">
        <f t="shared" si="106"/>
        <v>#DIV/0!</v>
      </c>
      <c r="BV1718" s="151" t="e">
        <f t="shared" si="107"/>
        <v>#DIV/0!</v>
      </c>
    </row>
    <row r="1719" ht="30" customHeight="1" spans="1:74">
      <c r="A1719" s="55">
        <v>0</v>
      </c>
      <c r="B1719" s="56">
        <v>0</v>
      </c>
      <c r="C1719" s="57">
        <v>0</v>
      </c>
      <c r="E1719" s="88"/>
      <c r="F1719" s="59" t="e">
        <f>VLOOKUP(E1719,[1]库存!$B$1:$C$65536,2,FALSE)</f>
        <v>#N/A</v>
      </c>
      <c r="G1719" s="59" t="e">
        <v>#N/A</v>
      </c>
      <c r="H1719" s="89"/>
      <c r="I1719" s="88"/>
      <c r="J1719" s="90"/>
      <c r="K1719" s="61"/>
      <c r="L1719" s="62">
        <v>0</v>
      </c>
      <c r="M1719" s="63">
        <v>0</v>
      </c>
      <c r="N1719" s="64">
        <v>0</v>
      </c>
      <c r="O1719" s="62">
        <v>0</v>
      </c>
      <c r="P1719" s="65">
        <f t="shared" si="108"/>
        <v>0</v>
      </c>
      <c r="Q1719" s="66"/>
      <c r="R1719" s="66"/>
      <c r="S1719" s="66"/>
      <c r="T1719" s="66"/>
      <c r="U1719" s="66"/>
      <c r="V1719" s="66"/>
      <c r="W1719" s="66"/>
      <c r="X1719" s="66"/>
      <c r="Y1719" s="66"/>
      <c r="Z1719" s="66"/>
      <c r="AA1719" s="66"/>
      <c r="AB1719" s="66"/>
      <c r="AC1719" s="66"/>
      <c r="AD1719" s="66"/>
      <c r="AE1719" s="66"/>
      <c r="AF1719" s="66"/>
      <c r="AG1719" s="66"/>
      <c r="AH1719" s="66"/>
      <c r="AI1719" s="66"/>
      <c r="AJ1719" s="66"/>
      <c r="AK1719" s="66"/>
      <c r="AL1719" s="66"/>
      <c r="AM1719" s="66"/>
      <c r="AN1719" s="66"/>
      <c r="AO1719" s="66"/>
      <c r="AP1719" s="66"/>
      <c r="AQ1719" s="66"/>
      <c r="AR1719" s="66"/>
      <c r="AS1719" s="66"/>
      <c r="AT1719" s="66"/>
      <c r="AU1719" s="66"/>
      <c r="AV1719" s="66"/>
      <c r="AW1719" s="66"/>
      <c r="AX1719" s="66"/>
      <c r="AY1719" s="66"/>
      <c r="AZ1719" s="66"/>
      <c r="BA1719" s="66"/>
      <c r="BB1719" s="66"/>
      <c r="BC1719" s="66"/>
      <c r="BD1719" s="66"/>
      <c r="BE1719" s="67"/>
      <c r="BF1719" s="67"/>
      <c r="BG1719" s="68"/>
      <c r="BI1719" s="69">
        <v>0</v>
      </c>
      <c r="BJ1719" s="70">
        <v>0</v>
      </c>
      <c r="BK1719" s="71">
        <v>0</v>
      </c>
      <c r="BL1719" s="71">
        <v>0</v>
      </c>
      <c r="BM1719" s="71">
        <v>0</v>
      </c>
      <c r="BN1719" s="72">
        <v>0</v>
      </c>
      <c r="BO1719" s="151" t="e">
        <f t="shared" si="109"/>
        <v>#DIV/0!</v>
      </c>
      <c r="BP1719" s="151" t="e">
        <f t="shared" si="110"/>
        <v>#DIV/0!</v>
      </c>
      <c r="BQ1719" s="71">
        <v>0</v>
      </c>
      <c r="BR1719" s="71">
        <v>0</v>
      </c>
      <c r="BS1719" s="71">
        <v>0</v>
      </c>
      <c r="BT1719" s="72">
        <v>0</v>
      </c>
      <c r="BU1719" s="151" t="e">
        <f t="shared" si="106"/>
        <v>#DIV/0!</v>
      </c>
      <c r="BV1719" s="151" t="e">
        <f t="shared" si="107"/>
        <v>#DIV/0!</v>
      </c>
    </row>
    <row r="1720" ht="30" customHeight="1" spans="1:74">
      <c r="A1720" s="55" t="s">
        <v>165</v>
      </c>
      <c r="B1720" s="56" t="s">
        <v>2247</v>
      </c>
      <c r="C1720" s="57" t="s">
        <v>2343</v>
      </c>
      <c r="D1720" s="91" t="s">
        <v>2771</v>
      </c>
      <c r="E1720" s="91" t="s">
        <v>2772</v>
      </c>
      <c r="F1720" s="91" t="str">
        <f>VLOOKUP(E1720,[1]库存!$B$1:$C$65536,2,FALSE)</f>
        <v>NIO ALPS DOM SAB LH</v>
      </c>
      <c r="G1720" s="91" t="s">
        <v>2773</v>
      </c>
      <c r="H1720" s="91" t="s">
        <v>2774</v>
      </c>
      <c r="I1720" s="91" t="s">
        <v>170</v>
      </c>
      <c r="J1720" s="100" t="s">
        <v>2775</v>
      </c>
      <c r="K1720" s="61"/>
      <c r="L1720" s="62">
        <v>2</v>
      </c>
      <c r="M1720" s="63">
        <v>1000</v>
      </c>
      <c r="N1720" s="64">
        <v>12</v>
      </c>
      <c r="O1720" s="62">
        <v>2</v>
      </c>
      <c r="P1720" s="65">
        <f t="shared" si="108"/>
        <v>0</v>
      </c>
      <c r="Q1720" s="66"/>
      <c r="R1720" s="66"/>
      <c r="S1720" s="66"/>
      <c r="T1720" s="66"/>
      <c r="U1720" s="66"/>
      <c r="V1720" s="66"/>
      <c r="W1720" s="66"/>
      <c r="X1720" s="66"/>
      <c r="Y1720" s="66"/>
      <c r="Z1720" s="66"/>
      <c r="AA1720" s="66"/>
      <c r="AB1720" s="66"/>
      <c r="AC1720" s="66"/>
      <c r="AD1720" s="66"/>
      <c r="AE1720" s="66"/>
      <c r="AF1720" s="66"/>
      <c r="AG1720" s="66"/>
      <c r="AH1720" s="66"/>
      <c r="AI1720" s="66"/>
      <c r="AJ1720" s="66"/>
      <c r="AK1720" s="66"/>
      <c r="AL1720" s="66"/>
      <c r="AM1720" s="66"/>
      <c r="AN1720" s="66"/>
      <c r="AO1720" s="66"/>
      <c r="AP1720" s="66"/>
      <c r="AQ1720" s="66"/>
      <c r="AR1720" s="66"/>
      <c r="AS1720" s="66"/>
      <c r="AT1720" s="66"/>
      <c r="AU1720" s="66"/>
      <c r="AV1720" s="66"/>
      <c r="AW1720" s="66"/>
      <c r="AX1720" s="66"/>
      <c r="AY1720" s="66"/>
      <c r="AZ1720" s="66"/>
      <c r="BA1720" s="66"/>
      <c r="BB1720" s="66"/>
      <c r="BC1720" s="66"/>
      <c r="BD1720" s="66"/>
      <c r="BE1720" s="67"/>
      <c r="BF1720" s="67"/>
      <c r="BG1720" s="68"/>
      <c r="BI1720" s="69">
        <v>0</v>
      </c>
      <c r="BJ1720" s="70">
        <v>0</v>
      </c>
      <c r="BK1720" s="71">
        <v>0</v>
      </c>
      <c r="BL1720" s="71">
        <v>0</v>
      </c>
      <c r="BM1720" s="71">
        <v>0</v>
      </c>
      <c r="BN1720" s="72">
        <v>0</v>
      </c>
      <c r="BO1720" s="151" t="e">
        <f t="shared" si="109"/>
        <v>#DIV/0!</v>
      </c>
      <c r="BP1720" s="151" t="e">
        <f t="shared" si="110"/>
        <v>#DIV/0!</v>
      </c>
      <c r="BQ1720" s="71">
        <v>0</v>
      </c>
      <c r="BR1720" s="71">
        <v>0</v>
      </c>
      <c r="BS1720" s="71">
        <v>0</v>
      </c>
      <c r="BT1720" s="72">
        <v>0</v>
      </c>
      <c r="BU1720" s="151" t="e">
        <f t="shared" si="106"/>
        <v>#DIV/0!</v>
      </c>
      <c r="BV1720" s="151" t="e">
        <f t="shared" si="107"/>
        <v>#DIV/0!</v>
      </c>
    </row>
    <row r="1721" ht="30" customHeight="1" spans="1:74">
      <c r="A1721" s="55">
        <v>0</v>
      </c>
      <c r="B1721" s="56">
        <v>0</v>
      </c>
      <c r="C1721" s="57">
        <v>0</v>
      </c>
      <c r="D1721" s="92"/>
      <c r="E1721" s="92"/>
      <c r="F1721" s="91" t="e">
        <f>VLOOKUP(E1721,[1]库存!$B$1:$C$65536,2,FALSE)</f>
        <v>#N/A</v>
      </c>
      <c r="G1721" s="91" t="e">
        <v>#N/A</v>
      </c>
      <c r="H1721" s="92"/>
      <c r="I1721" s="92"/>
      <c r="J1721" s="101"/>
      <c r="K1721" s="61"/>
      <c r="L1721" s="62">
        <v>0</v>
      </c>
      <c r="M1721" s="63">
        <v>0</v>
      </c>
      <c r="N1721" s="64">
        <v>0</v>
      </c>
      <c r="O1721" s="62">
        <v>0</v>
      </c>
      <c r="P1721" s="65">
        <f t="shared" si="108"/>
        <v>0</v>
      </c>
      <c r="Q1721" s="66"/>
      <c r="R1721" s="66"/>
      <c r="S1721" s="66"/>
      <c r="T1721" s="66"/>
      <c r="U1721" s="66"/>
      <c r="V1721" s="66"/>
      <c r="W1721" s="66"/>
      <c r="X1721" s="66"/>
      <c r="Y1721" s="66"/>
      <c r="Z1721" s="66"/>
      <c r="AA1721" s="66"/>
      <c r="AB1721" s="66"/>
      <c r="AC1721" s="66"/>
      <c r="AD1721" s="66"/>
      <c r="AE1721" s="66"/>
      <c r="AF1721" s="66"/>
      <c r="AG1721" s="66"/>
      <c r="AH1721" s="66"/>
      <c r="AI1721" s="66"/>
      <c r="AJ1721" s="66"/>
      <c r="AK1721" s="66"/>
      <c r="AL1721" s="66"/>
      <c r="AM1721" s="66"/>
      <c r="AN1721" s="66"/>
      <c r="AO1721" s="66"/>
      <c r="AP1721" s="66"/>
      <c r="AQ1721" s="66"/>
      <c r="AR1721" s="66"/>
      <c r="AS1721" s="66"/>
      <c r="AT1721" s="66"/>
      <c r="AU1721" s="66"/>
      <c r="AV1721" s="66"/>
      <c r="AW1721" s="66"/>
      <c r="AX1721" s="66"/>
      <c r="AY1721" s="66"/>
      <c r="AZ1721" s="66"/>
      <c r="BA1721" s="66"/>
      <c r="BB1721" s="66"/>
      <c r="BC1721" s="66"/>
      <c r="BD1721" s="66"/>
      <c r="BE1721" s="67"/>
      <c r="BF1721" s="67"/>
      <c r="BG1721" s="68"/>
      <c r="BI1721" s="69">
        <v>0</v>
      </c>
      <c r="BJ1721" s="70">
        <v>0</v>
      </c>
      <c r="BK1721" s="71">
        <v>0</v>
      </c>
      <c r="BL1721" s="71">
        <v>0</v>
      </c>
      <c r="BM1721" s="71">
        <v>0</v>
      </c>
      <c r="BN1721" s="72">
        <v>0</v>
      </c>
      <c r="BO1721" s="151" t="e">
        <f t="shared" si="109"/>
        <v>#DIV/0!</v>
      </c>
      <c r="BP1721" s="151" t="e">
        <f t="shared" si="110"/>
        <v>#DIV/0!</v>
      </c>
      <c r="BQ1721" s="71">
        <v>0</v>
      </c>
      <c r="BR1721" s="71">
        <v>0</v>
      </c>
      <c r="BS1721" s="71">
        <v>0</v>
      </c>
      <c r="BT1721" s="72">
        <v>0</v>
      </c>
      <c r="BU1721" s="151" t="e">
        <f t="shared" ref="BU1721:BU1784" si="111">(BQ1721+BR1721)/BJ1721</f>
        <v>#DIV/0!</v>
      </c>
      <c r="BV1721" s="151" t="e">
        <f t="shared" ref="BV1721:BV1784" si="112">BS1721/BJ1721</f>
        <v>#DIV/0!</v>
      </c>
    </row>
    <row r="1722" ht="30" customHeight="1" spans="1:74">
      <c r="A1722" s="55" t="s">
        <v>165</v>
      </c>
      <c r="B1722" s="56" t="s">
        <v>2247</v>
      </c>
      <c r="C1722" s="57" t="s">
        <v>2343</v>
      </c>
      <c r="D1722" s="91" t="s">
        <v>2771</v>
      </c>
      <c r="E1722" s="91" t="s">
        <v>2776</v>
      </c>
      <c r="F1722" s="91" t="str">
        <f>VLOOKUP(E1722,[1]库存!$B$1:$C$65536,2,FALSE)</f>
        <v>NIO ALPS DOM SAB RH</v>
      </c>
      <c r="G1722" s="91" t="s">
        <v>2777</v>
      </c>
      <c r="H1722" s="91" t="s">
        <v>2778</v>
      </c>
      <c r="I1722" s="91" t="s">
        <v>170</v>
      </c>
      <c r="J1722" s="101"/>
      <c r="K1722" s="61"/>
      <c r="L1722" s="62">
        <v>2</v>
      </c>
      <c r="M1722" s="63">
        <v>1000</v>
      </c>
      <c r="N1722" s="64">
        <v>12</v>
      </c>
      <c r="O1722" s="62">
        <v>2</v>
      </c>
      <c r="P1722" s="65">
        <f t="shared" si="108"/>
        <v>0</v>
      </c>
      <c r="Q1722" s="66"/>
      <c r="R1722" s="66"/>
      <c r="S1722" s="66"/>
      <c r="T1722" s="66"/>
      <c r="U1722" s="66"/>
      <c r="V1722" s="66"/>
      <c r="W1722" s="66"/>
      <c r="X1722" s="66"/>
      <c r="Y1722" s="66"/>
      <c r="Z1722" s="66"/>
      <c r="AA1722" s="66"/>
      <c r="AB1722" s="66"/>
      <c r="AC1722" s="66"/>
      <c r="AD1722" s="66"/>
      <c r="AE1722" s="66"/>
      <c r="AF1722" s="66"/>
      <c r="AG1722" s="66"/>
      <c r="AH1722" s="66"/>
      <c r="AI1722" s="66"/>
      <c r="AJ1722" s="66"/>
      <c r="AK1722" s="66"/>
      <c r="AL1722" s="66"/>
      <c r="AM1722" s="66"/>
      <c r="AN1722" s="66"/>
      <c r="AO1722" s="66"/>
      <c r="AP1722" s="66"/>
      <c r="AQ1722" s="66"/>
      <c r="AR1722" s="66"/>
      <c r="AS1722" s="66"/>
      <c r="AT1722" s="66"/>
      <c r="AU1722" s="66"/>
      <c r="AV1722" s="66"/>
      <c r="AW1722" s="66"/>
      <c r="AX1722" s="66"/>
      <c r="AY1722" s="66"/>
      <c r="AZ1722" s="66"/>
      <c r="BA1722" s="66"/>
      <c r="BB1722" s="66"/>
      <c r="BC1722" s="66"/>
      <c r="BD1722" s="66"/>
      <c r="BE1722" s="67"/>
      <c r="BF1722" s="67"/>
      <c r="BG1722" s="68"/>
      <c r="BI1722" s="69">
        <v>0</v>
      </c>
      <c r="BJ1722" s="70">
        <v>0</v>
      </c>
      <c r="BK1722" s="71">
        <v>0</v>
      </c>
      <c r="BL1722" s="71">
        <v>0</v>
      </c>
      <c r="BM1722" s="71">
        <v>0</v>
      </c>
      <c r="BN1722" s="72">
        <v>0</v>
      </c>
      <c r="BO1722" s="151" t="e">
        <f t="shared" si="109"/>
        <v>#DIV/0!</v>
      </c>
      <c r="BP1722" s="151" t="e">
        <f t="shared" si="110"/>
        <v>#DIV/0!</v>
      </c>
      <c r="BQ1722" s="71">
        <v>0</v>
      </c>
      <c r="BR1722" s="71">
        <v>0</v>
      </c>
      <c r="BS1722" s="71">
        <v>0</v>
      </c>
      <c r="BT1722" s="72">
        <v>0</v>
      </c>
      <c r="BU1722" s="151" t="e">
        <f t="shared" si="111"/>
        <v>#DIV/0!</v>
      </c>
      <c r="BV1722" s="151" t="e">
        <f t="shared" si="112"/>
        <v>#DIV/0!</v>
      </c>
    </row>
    <row r="1723" ht="30" customHeight="1" spans="1:74">
      <c r="A1723" s="55">
        <v>0</v>
      </c>
      <c r="B1723" s="56">
        <v>0</v>
      </c>
      <c r="C1723" s="57">
        <v>0</v>
      </c>
      <c r="D1723" s="92"/>
      <c r="E1723" s="92"/>
      <c r="F1723" s="91" t="e">
        <f>VLOOKUP(E1723,[1]库存!$B$1:$C$65536,2,FALSE)</f>
        <v>#N/A</v>
      </c>
      <c r="G1723" s="91" t="e">
        <v>#N/A</v>
      </c>
      <c r="H1723" s="92"/>
      <c r="I1723" s="92"/>
      <c r="J1723" s="101"/>
      <c r="K1723" s="61"/>
      <c r="L1723" s="62">
        <v>0</v>
      </c>
      <c r="M1723" s="63">
        <v>0</v>
      </c>
      <c r="N1723" s="64">
        <v>0</v>
      </c>
      <c r="O1723" s="62">
        <v>0</v>
      </c>
      <c r="P1723" s="65">
        <f t="shared" si="108"/>
        <v>0</v>
      </c>
      <c r="Q1723" s="66"/>
      <c r="R1723" s="66"/>
      <c r="S1723" s="66"/>
      <c r="T1723" s="66"/>
      <c r="U1723" s="66"/>
      <c r="V1723" s="66"/>
      <c r="W1723" s="66"/>
      <c r="X1723" s="66"/>
      <c r="Y1723" s="66"/>
      <c r="Z1723" s="66"/>
      <c r="AA1723" s="66"/>
      <c r="AB1723" s="66"/>
      <c r="AC1723" s="66"/>
      <c r="AD1723" s="66"/>
      <c r="AE1723" s="66"/>
      <c r="AF1723" s="66"/>
      <c r="AG1723" s="66"/>
      <c r="AH1723" s="66"/>
      <c r="AI1723" s="66"/>
      <c r="AJ1723" s="66"/>
      <c r="AK1723" s="66"/>
      <c r="AL1723" s="66"/>
      <c r="AM1723" s="66"/>
      <c r="AN1723" s="66"/>
      <c r="AO1723" s="66"/>
      <c r="AP1723" s="66"/>
      <c r="AQ1723" s="66"/>
      <c r="AR1723" s="66"/>
      <c r="AS1723" s="66"/>
      <c r="AT1723" s="66"/>
      <c r="AU1723" s="66"/>
      <c r="AV1723" s="66"/>
      <c r="AW1723" s="66"/>
      <c r="AX1723" s="66"/>
      <c r="AY1723" s="66"/>
      <c r="AZ1723" s="66"/>
      <c r="BA1723" s="66"/>
      <c r="BB1723" s="66"/>
      <c r="BC1723" s="66"/>
      <c r="BD1723" s="66"/>
      <c r="BE1723" s="67"/>
      <c r="BF1723" s="67"/>
      <c r="BG1723" s="68"/>
      <c r="BI1723" s="69">
        <v>0</v>
      </c>
      <c r="BJ1723" s="70">
        <v>0</v>
      </c>
      <c r="BK1723" s="71">
        <v>0</v>
      </c>
      <c r="BL1723" s="71">
        <v>0</v>
      </c>
      <c r="BM1723" s="71">
        <v>0</v>
      </c>
      <c r="BN1723" s="72">
        <v>0</v>
      </c>
      <c r="BO1723" s="151" t="e">
        <f t="shared" si="109"/>
        <v>#DIV/0!</v>
      </c>
      <c r="BP1723" s="151" t="e">
        <f t="shared" si="110"/>
        <v>#DIV/0!</v>
      </c>
      <c r="BQ1723" s="71">
        <v>0</v>
      </c>
      <c r="BR1723" s="71">
        <v>0</v>
      </c>
      <c r="BS1723" s="71">
        <v>0</v>
      </c>
      <c r="BT1723" s="72">
        <v>0</v>
      </c>
      <c r="BU1723" s="151" t="e">
        <f t="shared" si="111"/>
        <v>#DIV/0!</v>
      </c>
      <c r="BV1723" s="151" t="e">
        <f t="shared" si="112"/>
        <v>#DIV/0!</v>
      </c>
    </row>
    <row r="1724" ht="30" customHeight="1" spans="1:74">
      <c r="A1724" s="55" t="s">
        <v>165</v>
      </c>
      <c r="B1724" s="56" t="s">
        <v>2247</v>
      </c>
      <c r="C1724" s="57" t="s">
        <v>2343</v>
      </c>
      <c r="D1724" s="59" t="s">
        <v>2771</v>
      </c>
      <c r="E1724" s="59" t="s">
        <v>2629</v>
      </c>
      <c r="F1724" s="59" t="str">
        <f>VLOOKUP(E1724,[1]库存!$B$1:$C$65536,2,FALSE)</f>
        <v>NIO LEO RSAB LH A状态</v>
      </c>
      <c r="G1724" s="59" t="s">
        <v>2630</v>
      </c>
      <c r="H1724" s="59" t="s">
        <v>2631</v>
      </c>
      <c r="I1724" s="59" t="s">
        <v>429</v>
      </c>
      <c r="J1724" s="97" t="s">
        <v>65</v>
      </c>
      <c r="K1724" s="61"/>
      <c r="L1724" s="62">
        <v>2</v>
      </c>
      <c r="M1724" s="63">
        <v>1150</v>
      </c>
      <c r="N1724" s="64">
        <v>12</v>
      </c>
      <c r="O1724" s="62">
        <v>2</v>
      </c>
      <c r="P1724" s="65">
        <f t="shared" si="108"/>
        <v>0</v>
      </c>
      <c r="Q1724" s="66"/>
      <c r="R1724" s="66"/>
      <c r="S1724" s="66"/>
      <c r="T1724" s="66"/>
      <c r="U1724" s="66"/>
      <c r="V1724" s="66"/>
      <c r="W1724" s="66"/>
      <c r="X1724" s="66"/>
      <c r="Y1724" s="66"/>
      <c r="Z1724" s="66"/>
      <c r="AA1724" s="66"/>
      <c r="AB1724" s="66"/>
      <c r="AC1724" s="66"/>
      <c r="AD1724" s="66"/>
      <c r="AE1724" s="66"/>
      <c r="AF1724" s="66"/>
      <c r="AG1724" s="66"/>
      <c r="AH1724" s="66"/>
      <c r="AI1724" s="66"/>
      <c r="AJ1724" s="66"/>
      <c r="AK1724" s="66"/>
      <c r="AL1724" s="66"/>
      <c r="AM1724" s="66"/>
      <c r="AN1724" s="66"/>
      <c r="AO1724" s="66"/>
      <c r="AP1724" s="66"/>
      <c r="AQ1724" s="66"/>
      <c r="AR1724" s="66"/>
      <c r="AS1724" s="66"/>
      <c r="AT1724" s="66"/>
      <c r="AU1724" s="66"/>
      <c r="AV1724" s="66"/>
      <c r="AW1724" s="66"/>
      <c r="AX1724" s="66"/>
      <c r="AY1724" s="66"/>
      <c r="AZ1724" s="66"/>
      <c r="BA1724" s="66"/>
      <c r="BB1724" s="66"/>
      <c r="BC1724" s="66"/>
      <c r="BD1724" s="66"/>
      <c r="BE1724" s="67"/>
      <c r="BF1724" s="67"/>
      <c r="BG1724" s="68"/>
      <c r="BI1724" s="69">
        <v>0</v>
      </c>
      <c r="BJ1724" s="70">
        <v>0</v>
      </c>
      <c r="BK1724" s="71">
        <v>0</v>
      </c>
      <c r="BL1724" s="71">
        <v>0</v>
      </c>
      <c r="BM1724" s="71">
        <v>0</v>
      </c>
      <c r="BN1724" s="72">
        <v>0</v>
      </c>
      <c r="BO1724" s="151" t="e">
        <f t="shared" si="109"/>
        <v>#DIV/0!</v>
      </c>
      <c r="BP1724" s="151" t="e">
        <f t="shared" si="110"/>
        <v>#DIV/0!</v>
      </c>
      <c r="BQ1724" s="71">
        <v>0</v>
      </c>
      <c r="BR1724" s="71">
        <v>0</v>
      </c>
      <c r="BS1724" s="71">
        <v>0</v>
      </c>
      <c r="BT1724" s="72">
        <v>0</v>
      </c>
      <c r="BU1724" s="151" t="e">
        <f t="shared" si="111"/>
        <v>#DIV/0!</v>
      </c>
      <c r="BV1724" s="151" t="e">
        <f t="shared" si="112"/>
        <v>#DIV/0!</v>
      </c>
    </row>
    <row r="1725" ht="30" customHeight="1" spans="1:74">
      <c r="A1725" s="55">
        <v>0</v>
      </c>
      <c r="B1725" s="56">
        <v>0</v>
      </c>
      <c r="C1725" s="57">
        <v>0</v>
      </c>
      <c r="D1725" s="74"/>
      <c r="E1725" s="74"/>
      <c r="F1725" s="59" t="e">
        <f>VLOOKUP(E1725,[1]库存!$B$1:$C$65536,2,FALSE)</f>
        <v>#N/A</v>
      </c>
      <c r="G1725" s="59" t="e">
        <v>#N/A</v>
      </c>
      <c r="H1725" s="74"/>
      <c r="I1725" s="74"/>
      <c r="J1725" s="98"/>
      <c r="K1725" s="61"/>
      <c r="L1725" s="62">
        <v>0</v>
      </c>
      <c r="M1725" s="63">
        <v>0</v>
      </c>
      <c r="N1725" s="64">
        <v>0</v>
      </c>
      <c r="O1725" s="62">
        <v>0</v>
      </c>
      <c r="P1725" s="65">
        <f t="shared" si="108"/>
        <v>0</v>
      </c>
      <c r="Q1725" s="66"/>
      <c r="R1725" s="66"/>
      <c r="S1725" s="66"/>
      <c r="T1725" s="66"/>
      <c r="U1725" s="66"/>
      <c r="V1725" s="66"/>
      <c r="W1725" s="66"/>
      <c r="X1725" s="66"/>
      <c r="Y1725" s="66"/>
      <c r="Z1725" s="66"/>
      <c r="AA1725" s="66"/>
      <c r="AB1725" s="66"/>
      <c r="AC1725" s="66"/>
      <c r="AD1725" s="66"/>
      <c r="AE1725" s="66"/>
      <c r="AF1725" s="66"/>
      <c r="AG1725" s="66"/>
      <c r="AH1725" s="66"/>
      <c r="AI1725" s="66"/>
      <c r="AJ1725" s="66"/>
      <c r="AK1725" s="66"/>
      <c r="AL1725" s="66"/>
      <c r="AM1725" s="66"/>
      <c r="AN1725" s="66"/>
      <c r="AO1725" s="66"/>
      <c r="AP1725" s="66"/>
      <c r="AQ1725" s="66"/>
      <c r="AR1725" s="66"/>
      <c r="AS1725" s="66"/>
      <c r="AT1725" s="66"/>
      <c r="AU1725" s="66"/>
      <c r="AV1725" s="66"/>
      <c r="AW1725" s="66"/>
      <c r="AX1725" s="66"/>
      <c r="AY1725" s="66"/>
      <c r="AZ1725" s="66"/>
      <c r="BA1725" s="66"/>
      <c r="BB1725" s="66"/>
      <c r="BC1725" s="66"/>
      <c r="BD1725" s="66"/>
      <c r="BE1725" s="67"/>
      <c r="BF1725" s="67"/>
      <c r="BG1725" s="68"/>
      <c r="BI1725" s="69">
        <v>0</v>
      </c>
      <c r="BJ1725" s="70">
        <v>0</v>
      </c>
      <c r="BK1725" s="71">
        <v>0</v>
      </c>
      <c r="BL1725" s="71">
        <v>0</v>
      </c>
      <c r="BM1725" s="71">
        <v>0</v>
      </c>
      <c r="BN1725" s="72">
        <v>0</v>
      </c>
      <c r="BO1725" s="151" t="e">
        <f t="shared" si="109"/>
        <v>#DIV/0!</v>
      </c>
      <c r="BP1725" s="151" t="e">
        <f t="shared" si="110"/>
        <v>#DIV/0!</v>
      </c>
      <c r="BQ1725" s="71">
        <v>0</v>
      </c>
      <c r="BR1725" s="71">
        <v>0</v>
      </c>
      <c r="BS1725" s="71">
        <v>0</v>
      </c>
      <c r="BT1725" s="72">
        <v>0</v>
      </c>
      <c r="BU1725" s="151" t="e">
        <f t="shared" si="111"/>
        <v>#DIV/0!</v>
      </c>
      <c r="BV1725" s="151" t="e">
        <f t="shared" si="112"/>
        <v>#DIV/0!</v>
      </c>
    </row>
    <row r="1726" ht="30" customHeight="1" spans="1:74">
      <c r="A1726" s="55" t="s">
        <v>165</v>
      </c>
      <c r="B1726" s="56" t="s">
        <v>2247</v>
      </c>
      <c r="C1726" s="57" t="s">
        <v>2343</v>
      </c>
      <c r="D1726" s="59" t="s">
        <v>2771</v>
      </c>
      <c r="E1726" s="59" t="s">
        <v>2634</v>
      </c>
      <c r="F1726" s="59" t="str">
        <f>VLOOKUP(E1726,[1]库存!$B$1:$C$65536,2,FALSE)</f>
        <v>NIO LEO RSAB RH A状态</v>
      </c>
      <c r="G1726" s="59" t="s">
        <v>2635</v>
      </c>
      <c r="H1726" s="59" t="s">
        <v>2636</v>
      </c>
      <c r="I1726" s="59" t="s">
        <v>429</v>
      </c>
      <c r="J1726" s="97" t="s">
        <v>65</v>
      </c>
      <c r="K1726" s="61"/>
      <c r="L1726" s="62">
        <v>2</v>
      </c>
      <c r="M1726" s="63">
        <v>1150</v>
      </c>
      <c r="N1726" s="64">
        <v>12</v>
      </c>
      <c r="O1726" s="62">
        <v>2</v>
      </c>
      <c r="P1726" s="65">
        <f t="shared" si="108"/>
        <v>0</v>
      </c>
      <c r="Q1726" s="66"/>
      <c r="R1726" s="66"/>
      <c r="S1726" s="66"/>
      <c r="T1726" s="66"/>
      <c r="U1726" s="66"/>
      <c r="V1726" s="66"/>
      <c r="W1726" s="66"/>
      <c r="X1726" s="66"/>
      <c r="Y1726" s="66"/>
      <c r="Z1726" s="66"/>
      <c r="AA1726" s="66"/>
      <c r="AB1726" s="66"/>
      <c r="AC1726" s="66"/>
      <c r="AD1726" s="66"/>
      <c r="AE1726" s="66"/>
      <c r="AF1726" s="66"/>
      <c r="AG1726" s="66"/>
      <c r="AH1726" s="66"/>
      <c r="AI1726" s="66"/>
      <c r="AJ1726" s="66"/>
      <c r="AK1726" s="66"/>
      <c r="AL1726" s="66"/>
      <c r="AM1726" s="66"/>
      <c r="AN1726" s="66"/>
      <c r="AO1726" s="66"/>
      <c r="AP1726" s="66"/>
      <c r="AQ1726" s="66"/>
      <c r="AR1726" s="66"/>
      <c r="AS1726" s="66"/>
      <c r="AT1726" s="66"/>
      <c r="AU1726" s="66"/>
      <c r="AV1726" s="66"/>
      <c r="AW1726" s="66"/>
      <c r="AX1726" s="66"/>
      <c r="AY1726" s="66"/>
      <c r="AZ1726" s="66"/>
      <c r="BA1726" s="66"/>
      <c r="BB1726" s="66"/>
      <c r="BC1726" s="66"/>
      <c r="BD1726" s="66"/>
      <c r="BE1726" s="67"/>
      <c r="BF1726" s="67"/>
      <c r="BG1726" s="68"/>
      <c r="BI1726" s="69">
        <v>0</v>
      </c>
      <c r="BJ1726" s="70">
        <v>0</v>
      </c>
      <c r="BK1726" s="71">
        <v>0</v>
      </c>
      <c r="BL1726" s="71">
        <v>0</v>
      </c>
      <c r="BM1726" s="71">
        <v>0</v>
      </c>
      <c r="BN1726" s="72">
        <v>0</v>
      </c>
      <c r="BO1726" s="151" t="e">
        <f t="shared" si="109"/>
        <v>#DIV/0!</v>
      </c>
      <c r="BP1726" s="151" t="e">
        <f t="shared" si="110"/>
        <v>#DIV/0!</v>
      </c>
      <c r="BQ1726" s="71">
        <v>0</v>
      </c>
      <c r="BR1726" s="71">
        <v>0</v>
      </c>
      <c r="BS1726" s="71">
        <v>0</v>
      </c>
      <c r="BT1726" s="72">
        <v>0</v>
      </c>
      <c r="BU1726" s="151" t="e">
        <f t="shared" si="111"/>
        <v>#DIV/0!</v>
      </c>
      <c r="BV1726" s="151" t="e">
        <f t="shared" si="112"/>
        <v>#DIV/0!</v>
      </c>
    </row>
    <row r="1727" ht="30" customHeight="1" spans="1:74">
      <c r="A1727" s="55">
        <v>0</v>
      </c>
      <c r="B1727" s="56">
        <v>0</v>
      </c>
      <c r="C1727" s="57">
        <v>0</v>
      </c>
      <c r="D1727" s="74"/>
      <c r="E1727" s="74"/>
      <c r="F1727" s="59" t="e">
        <f>VLOOKUP(E1727,[1]库存!$B$1:$C$65536,2,FALSE)</f>
        <v>#N/A</v>
      </c>
      <c r="G1727" s="59" t="e">
        <v>#N/A</v>
      </c>
      <c r="H1727" s="74"/>
      <c r="I1727" s="74"/>
      <c r="J1727" s="98"/>
      <c r="K1727" s="61"/>
      <c r="L1727" s="62">
        <v>0</v>
      </c>
      <c r="M1727" s="63">
        <v>0</v>
      </c>
      <c r="N1727" s="64">
        <v>0</v>
      </c>
      <c r="O1727" s="62">
        <v>0</v>
      </c>
      <c r="P1727" s="65">
        <f t="shared" si="108"/>
        <v>0</v>
      </c>
      <c r="Q1727" s="66"/>
      <c r="R1727" s="66"/>
      <c r="S1727" s="66"/>
      <c r="T1727" s="66"/>
      <c r="U1727" s="66"/>
      <c r="V1727" s="66"/>
      <c r="W1727" s="66"/>
      <c r="X1727" s="66"/>
      <c r="Y1727" s="66"/>
      <c r="Z1727" s="66"/>
      <c r="AA1727" s="66"/>
      <c r="AB1727" s="66"/>
      <c r="AC1727" s="66"/>
      <c r="AD1727" s="66"/>
      <c r="AE1727" s="66"/>
      <c r="AF1727" s="66"/>
      <c r="AG1727" s="66"/>
      <c r="AH1727" s="66"/>
      <c r="AI1727" s="66"/>
      <c r="AJ1727" s="66"/>
      <c r="AK1727" s="66"/>
      <c r="AL1727" s="66"/>
      <c r="AM1727" s="66"/>
      <c r="AN1727" s="66"/>
      <c r="AO1727" s="66"/>
      <c r="AP1727" s="66"/>
      <c r="AQ1727" s="66"/>
      <c r="AR1727" s="66"/>
      <c r="AS1727" s="66"/>
      <c r="AT1727" s="66"/>
      <c r="AU1727" s="66"/>
      <c r="AV1727" s="66"/>
      <c r="AW1727" s="66"/>
      <c r="AX1727" s="66"/>
      <c r="AY1727" s="66"/>
      <c r="AZ1727" s="66"/>
      <c r="BA1727" s="66"/>
      <c r="BB1727" s="66"/>
      <c r="BC1727" s="66"/>
      <c r="BD1727" s="66"/>
      <c r="BE1727" s="67"/>
      <c r="BF1727" s="67"/>
      <c r="BG1727" s="68"/>
      <c r="BI1727" s="69">
        <v>0</v>
      </c>
      <c r="BJ1727" s="70">
        <v>0</v>
      </c>
      <c r="BK1727" s="71">
        <v>0</v>
      </c>
      <c r="BL1727" s="71">
        <v>0</v>
      </c>
      <c r="BM1727" s="71">
        <v>0</v>
      </c>
      <c r="BN1727" s="72">
        <v>0</v>
      </c>
      <c r="BO1727" s="151" t="e">
        <f t="shared" si="109"/>
        <v>#DIV/0!</v>
      </c>
      <c r="BP1727" s="151" t="e">
        <f t="shared" si="110"/>
        <v>#DIV/0!</v>
      </c>
      <c r="BQ1727" s="71">
        <v>0</v>
      </c>
      <c r="BR1727" s="71">
        <v>0</v>
      </c>
      <c r="BS1727" s="71">
        <v>0</v>
      </c>
      <c r="BT1727" s="72">
        <v>0</v>
      </c>
      <c r="BU1727" s="151" t="e">
        <f t="shared" si="111"/>
        <v>#DIV/0!</v>
      </c>
      <c r="BV1727" s="151" t="e">
        <f t="shared" si="112"/>
        <v>#DIV/0!</v>
      </c>
    </row>
    <row r="1728" ht="30" customHeight="1" spans="1:74">
      <c r="A1728" s="55" t="s">
        <v>165</v>
      </c>
      <c r="B1728" s="56" t="s">
        <v>2247</v>
      </c>
      <c r="C1728" s="57" t="s">
        <v>2343</v>
      </c>
      <c r="D1728" s="59" t="s">
        <v>2771</v>
      </c>
      <c r="E1728" s="59" t="s">
        <v>2779</v>
      </c>
      <c r="F1728" s="59" t="str">
        <f>VLOOKUP(E1728,[1]库存!$B$1:$C$65536,2,FALSE)</f>
        <v>CM1E US FSAB LH</v>
      </c>
      <c r="G1728" s="59" t="s">
        <v>2780</v>
      </c>
      <c r="H1728" s="59" t="s">
        <v>2781</v>
      </c>
      <c r="I1728" s="59" t="s">
        <v>2782</v>
      </c>
      <c r="J1728" s="63"/>
      <c r="K1728" s="61"/>
      <c r="L1728" s="62">
        <v>2</v>
      </c>
      <c r="M1728" s="63">
        <v>850</v>
      </c>
      <c r="N1728" s="64">
        <v>13</v>
      </c>
      <c r="O1728" s="62">
        <v>2</v>
      </c>
      <c r="P1728" s="65">
        <f t="shared" si="108"/>
        <v>0</v>
      </c>
      <c r="Q1728" s="66"/>
      <c r="R1728" s="66"/>
      <c r="S1728" s="66"/>
      <c r="T1728" s="66"/>
      <c r="U1728" s="66"/>
      <c r="V1728" s="66"/>
      <c r="W1728" s="66"/>
      <c r="X1728" s="66"/>
      <c r="Y1728" s="66"/>
      <c r="Z1728" s="66"/>
      <c r="AA1728" s="66"/>
      <c r="AB1728" s="66"/>
      <c r="AC1728" s="66"/>
      <c r="AD1728" s="66"/>
      <c r="AE1728" s="66"/>
      <c r="AF1728" s="66"/>
      <c r="AG1728" s="66"/>
      <c r="AH1728" s="66"/>
      <c r="AI1728" s="66"/>
      <c r="AJ1728" s="66"/>
      <c r="AK1728" s="66"/>
      <c r="AL1728" s="66"/>
      <c r="AM1728" s="66"/>
      <c r="AN1728" s="66"/>
      <c r="AO1728" s="66"/>
      <c r="AP1728" s="66"/>
      <c r="AQ1728" s="66"/>
      <c r="AR1728" s="66"/>
      <c r="AS1728" s="66"/>
      <c r="AT1728" s="66"/>
      <c r="AU1728" s="66"/>
      <c r="AV1728" s="66"/>
      <c r="AW1728" s="66"/>
      <c r="AX1728" s="66"/>
      <c r="AY1728" s="66"/>
      <c r="AZ1728" s="66"/>
      <c r="BA1728" s="66"/>
      <c r="BB1728" s="66"/>
      <c r="BC1728" s="66"/>
      <c r="BD1728" s="66"/>
      <c r="BE1728" s="67"/>
      <c r="BF1728" s="67"/>
      <c r="BG1728" s="68"/>
      <c r="BI1728" s="69">
        <v>0</v>
      </c>
      <c r="BJ1728" s="70">
        <v>0</v>
      </c>
      <c r="BK1728" s="71">
        <v>0</v>
      </c>
      <c r="BL1728" s="71">
        <v>0</v>
      </c>
      <c r="BM1728" s="71">
        <v>0</v>
      </c>
      <c r="BN1728" s="72">
        <v>0</v>
      </c>
      <c r="BO1728" s="151" t="e">
        <f t="shared" si="109"/>
        <v>#DIV/0!</v>
      </c>
      <c r="BP1728" s="151" t="e">
        <f t="shared" si="110"/>
        <v>#DIV/0!</v>
      </c>
      <c r="BQ1728" s="71">
        <v>0</v>
      </c>
      <c r="BR1728" s="71">
        <v>0</v>
      </c>
      <c r="BS1728" s="71">
        <v>0</v>
      </c>
      <c r="BT1728" s="72">
        <v>0</v>
      </c>
      <c r="BU1728" s="151" t="e">
        <f t="shared" si="111"/>
        <v>#DIV/0!</v>
      </c>
      <c r="BV1728" s="151" t="e">
        <f t="shared" si="112"/>
        <v>#DIV/0!</v>
      </c>
    </row>
    <row r="1729" ht="30" customHeight="1" spans="1:75">
      <c r="A1729" s="55">
        <v>0</v>
      </c>
      <c r="B1729" s="56">
        <v>0</v>
      </c>
      <c r="C1729" s="57">
        <v>0</v>
      </c>
      <c r="D1729" s="74"/>
      <c r="E1729" s="74"/>
      <c r="F1729" s="59" t="e">
        <f>VLOOKUP(E1729,[1]库存!$B$1:$C$65536,2,FALSE)</f>
        <v>#N/A</v>
      </c>
      <c r="G1729" s="59" t="e">
        <v>#N/A</v>
      </c>
      <c r="H1729" s="74"/>
      <c r="I1729" s="74"/>
      <c r="J1729" s="87"/>
      <c r="K1729" s="61"/>
      <c r="L1729" s="62">
        <v>0</v>
      </c>
      <c r="M1729" s="63">
        <v>0</v>
      </c>
      <c r="N1729" s="64">
        <v>0</v>
      </c>
      <c r="O1729" s="62">
        <v>0</v>
      </c>
      <c r="P1729" s="65">
        <f t="shared" si="108"/>
        <v>0</v>
      </c>
      <c r="Q1729" s="66"/>
      <c r="R1729" s="66"/>
      <c r="S1729" s="66"/>
      <c r="T1729" s="66"/>
      <c r="U1729" s="66"/>
      <c r="V1729" s="66"/>
      <c r="W1729" s="66"/>
      <c r="X1729" s="66"/>
      <c r="Y1729" s="66"/>
      <c r="Z1729" s="66"/>
      <c r="AA1729" s="66"/>
      <c r="AB1729" s="66"/>
      <c r="AC1729" s="66"/>
      <c r="AD1729" s="66"/>
      <c r="AE1729" s="66"/>
      <c r="AF1729" s="66"/>
      <c r="AG1729" s="66"/>
      <c r="AH1729" s="66"/>
      <c r="AI1729" s="66"/>
      <c r="AJ1729" s="66"/>
      <c r="AK1729" s="66"/>
      <c r="AL1729" s="66"/>
      <c r="AM1729" s="66"/>
      <c r="AN1729" s="66"/>
      <c r="AO1729" s="66"/>
      <c r="AP1729" s="66"/>
      <c r="AQ1729" s="66"/>
      <c r="AR1729" s="66"/>
      <c r="AS1729" s="66"/>
      <c r="AT1729" s="66"/>
      <c r="AU1729" s="66"/>
      <c r="AV1729" s="66"/>
      <c r="AW1729" s="66"/>
      <c r="AX1729" s="66"/>
      <c r="AY1729" s="66"/>
      <c r="AZ1729" s="66"/>
      <c r="BA1729" s="66"/>
      <c r="BB1729" s="66"/>
      <c r="BC1729" s="66"/>
      <c r="BD1729" s="66"/>
      <c r="BE1729" s="67"/>
      <c r="BF1729" s="67"/>
      <c r="BG1729" s="68"/>
      <c r="BI1729" s="69">
        <v>0</v>
      </c>
      <c r="BJ1729" s="70">
        <v>0</v>
      </c>
      <c r="BK1729" s="71">
        <v>0</v>
      </c>
      <c r="BL1729" s="71">
        <v>0</v>
      </c>
      <c r="BM1729" s="71">
        <v>0</v>
      </c>
      <c r="BN1729" s="72">
        <v>0</v>
      </c>
      <c r="BO1729" s="151" t="e">
        <f t="shared" si="109"/>
        <v>#DIV/0!</v>
      </c>
      <c r="BP1729" s="151" t="e">
        <f t="shared" si="110"/>
        <v>#DIV/0!</v>
      </c>
      <c r="BQ1729" s="71">
        <v>0</v>
      </c>
      <c r="BR1729" s="71">
        <v>0</v>
      </c>
      <c r="BS1729" s="71">
        <v>0</v>
      </c>
      <c r="BT1729" s="72">
        <v>0</v>
      </c>
      <c r="BU1729" s="151" t="e">
        <f t="shared" si="111"/>
        <v>#DIV/0!</v>
      </c>
      <c r="BV1729" s="151" t="e">
        <f t="shared" si="112"/>
        <v>#DIV/0!</v>
      </c>
    </row>
    <row r="1730" ht="30" customHeight="1" spans="1:75">
      <c r="A1730" s="55" t="s">
        <v>165</v>
      </c>
      <c r="B1730" s="56" t="s">
        <v>2247</v>
      </c>
      <c r="C1730" s="57" t="s">
        <v>2343</v>
      </c>
      <c r="D1730" s="59" t="s">
        <v>2771</v>
      </c>
      <c r="E1730" s="59" t="s">
        <v>2783</v>
      </c>
      <c r="F1730" s="59" t="str">
        <f>VLOOKUP(E1730,[1]库存!$B$1:$C$65536,2,FALSE)</f>
        <v>CM1E US FSAB RH</v>
      </c>
      <c r="G1730" s="59" t="s">
        <v>2784</v>
      </c>
      <c r="H1730" s="59" t="s">
        <v>2785</v>
      </c>
      <c r="I1730" s="59" t="s">
        <v>2782</v>
      </c>
      <c r="J1730" s="63"/>
      <c r="K1730" s="61"/>
      <c r="L1730" s="62">
        <v>2</v>
      </c>
      <c r="M1730" s="63">
        <v>850</v>
      </c>
      <c r="N1730" s="64">
        <v>13</v>
      </c>
      <c r="O1730" s="62">
        <v>2</v>
      </c>
      <c r="P1730" s="65">
        <f t="shared" si="108"/>
        <v>0</v>
      </c>
      <c r="Q1730" s="66"/>
      <c r="R1730" s="66"/>
      <c r="S1730" s="66"/>
      <c r="T1730" s="66"/>
      <c r="U1730" s="66"/>
      <c r="V1730" s="66"/>
      <c r="W1730" s="66"/>
      <c r="X1730" s="66"/>
      <c r="Y1730" s="66"/>
      <c r="Z1730" s="66"/>
      <c r="AA1730" s="66"/>
      <c r="AB1730" s="66"/>
      <c r="AC1730" s="66"/>
      <c r="AD1730" s="66"/>
      <c r="AE1730" s="66"/>
      <c r="AF1730" s="66"/>
      <c r="AG1730" s="66"/>
      <c r="AH1730" s="66"/>
      <c r="AI1730" s="66"/>
      <c r="AJ1730" s="66"/>
      <c r="AK1730" s="66"/>
      <c r="AL1730" s="66"/>
      <c r="AM1730" s="66"/>
      <c r="AN1730" s="66"/>
      <c r="AO1730" s="66"/>
      <c r="AP1730" s="66"/>
      <c r="AQ1730" s="66"/>
      <c r="AR1730" s="66"/>
      <c r="AS1730" s="66"/>
      <c r="AT1730" s="66"/>
      <c r="AU1730" s="66"/>
      <c r="AV1730" s="66"/>
      <c r="AW1730" s="66"/>
      <c r="AX1730" s="66"/>
      <c r="AY1730" s="66"/>
      <c r="AZ1730" s="66"/>
      <c r="BA1730" s="66"/>
      <c r="BB1730" s="66"/>
      <c r="BC1730" s="66"/>
      <c r="BD1730" s="66"/>
      <c r="BE1730" s="67"/>
      <c r="BF1730" s="67"/>
      <c r="BG1730" s="68"/>
      <c r="BI1730" s="69">
        <v>0</v>
      </c>
      <c r="BJ1730" s="70">
        <v>0</v>
      </c>
      <c r="BK1730" s="71">
        <v>0</v>
      </c>
      <c r="BL1730" s="71">
        <v>0</v>
      </c>
      <c r="BM1730" s="71">
        <v>0</v>
      </c>
      <c r="BN1730" s="72">
        <v>0</v>
      </c>
      <c r="BO1730" s="151" t="e">
        <f t="shared" si="109"/>
        <v>#DIV/0!</v>
      </c>
      <c r="BP1730" s="151" t="e">
        <f t="shared" si="110"/>
        <v>#DIV/0!</v>
      </c>
      <c r="BQ1730" s="71">
        <v>0</v>
      </c>
      <c r="BR1730" s="71">
        <v>0</v>
      </c>
      <c r="BS1730" s="71">
        <v>0</v>
      </c>
      <c r="BT1730" s="72">
        <v>0</v>
      </c>
      <c r="BU1730" s="151" t="e">
        <f t="shared" si="111"/>
        <v>#DIV/0!</v>
      </c>
      <c r="BV1730" s="151" t="e">
        <f t="shared" si="112"/>
        <v>#DIV/0!</v>
      </c>
    </row>
    <row r="1731" ht="30" customHeight="1" spans="1:75">
      <c r="A1731" s="55">
        <v>0</v>
      </c>
      <c r="B1731" s="56">
        <v>0</v>
      </c>
      <c r="C1731" s="57">
        <v>0</v>
      </c>
      <c r="D1731" s="74"/>
      <c r="E1731" s="74"/>
      <c r="F1731" s="59" t="e">
        <f>VLOOKUP(E1731,[1]库存!$B$1:$C$65536,2,FALSE)</f>
        <v>#N/A</v>
      </c>
      <c r="G1731" s="59" t="e">
        <v>#N/A</v>
      </c>
      <c r="H1731" s="74"/>
      <c r="I1731" s="74"/>
      <c r="J1731" s="87"/>
      <c r="K1731" s="61"/>
      <c r="L1731" s="62">
        <v>0</v>
      </c>
      <c r="M1731" s="63">
        <v>0</v>
      </c>
      <c r="N1731" s="64">
        <v>0</v>
      </c>
      <c r="O1731" s="62">
        <v>0</v>
      </c>
      <c r="P1731" s="65">
        <f t="shared" si="108"/>
        <v>0</v>
      </c>
      <c r="Q1731" s="66"/>
      <c r="R1731" s="66"/>
      <c r="S1731" s="66"/>
      <c r="T1731" s="66"/>
      <c r="U1731" s="66"/>
      <c r="V1731" s="66"/>
      <c r="W1731" s="66"/>
      <c r="X1731" s="66"/>
      <c r="Y1731" s="66"/>
      <c r="Z1731" s="66"/>
      <c r="AA1731" s="66"/>
      <c r="AB1731" s="66"/>
      <c r="AC1731" s="66"/>
      <c r="AD1731" s="66"/>
      <c r="AE1731" s="66"/>
      <c r="AF1731" s="66"/>
      <c r="AG1731" s="66"/>
      <c r="AH1731" s="66"/>
      <c r="AI1731" s="66"/>
      <c r="AJ1731" s="66"/>
      <c r="AK1731" s="66"/>
      <c r="AL1731" s="66"/>
      <c r="AM1731" s="66"/>
      <c r="AN1731" s="66"/>
      <c r="AO1731" s="66"/>
      <c r="AP1731" s="66"/>
      <c r="AQ1731" s="66"/>
      <c r="AR1731" s="66"/>
      <c r="AS1731" s="66"/>
      <c r="AT1731" s="66"/>
      <c r="AU1731" s="66"/>
      <c r="AV1731" s="66"/>
      <c r="AW1731" s="66"/>
      <c r="AX1731" s="66"/>
      <c r="AY1731" s="66"/>
      <c r="AZ1731" s="66"/>
      <c r="BA1731" s="66"/>
      <c r="BB1731" s="66"/>
      <c r="BC1731" s="66"/>
      <c r="BD1731" s="66"/>
      <c r="BE1731" s="67"/>
      <c r="BF1731" s="67"/>
      <c r="BG1731" s="68"/>
      <c r="BI1731" s="69">
        <v>0</v>
      </c>
      <c r="BJ1731" s="70">
        <v>0</v>
      </c>
      <c r="BK1731" s="71">
        <v>0</v>
      </c>
      <c r="BL1731" s="71">
        <v>0</v>
      </c>
      <c r="BM1731" s="71">
        <v>0</v>
      </c>
      <c r="BN1731" s="72">
        <v>0</v>
      </c>
      <c r="BO1731" s="151" t="e">
        <f t="shared" si="109"/>
        <v>#DIV/0!</v>
      </c>
      <c r="BP1731" s="151" t="e">
        <f t="shared" si="110"/>
        <v>#DIV/0!</v>
      </c>
      <c r="BQ1731" s="71">
        <v>0</v>
      </c>
      <c r="BR1731" s="71">
        <v>0</v>
      </c>
      <c r="BS1731" s="71">
        <v>0</v>
      </c>
      <c r="BT1731" s="72">
        <v>0</v>
      </c>
      <c r="BU1731" s="151" t="e">
        <f t="shared" si="111"/>
        <v>#DIV/0!</v>
      </c>
      <c r="BV1731" s="151" t="e">
        <f t="shared" si="112"/>
        <v>#DIV/0!</v>
      </c>
    </row>
    <row r="1732" s="3" customFormat="1" ht="30" customHeight="1" spans="1:75">
      <c r="A1732" s="55">
        <v>0</v>
      </c>
      <c r="B1732" s="56" t="s">
        <v>2247</v>
      </c>
      <c r="C1732" s="57" t="s">
        <v>2343</v>
      </c>
      <c r="D1732" s="59" t="s">
        <v>2771</v>
      </c>
      <c r="E1732" s="59"/>
      <c r="F1732" s="59">
        <v>0</v>
      </c>
      <c r="G1732" s="59">
        <v>0</v>
      </c>
      <c r="H1732" s="59" t="s">
        <v>2786</v>
      </c>
      <c r="I1732" s="59" t="s">
        <v>2787</v>
      </c>
      <c r="J1732" s="63"/>
      <c r="K1732" s="61"/>
      <c r="L1732" s="62">
        <v>2</v>
      </c>
      <c r="M1732" s="63">
        <v>1200</v>
      </c>
      <c r="N1732" s="64">
        <v>10</v>
      </c>
      <c r="O1732" s="62">
        <v>2</v>
      </c>
      <c r="P1732" s="65">
        <f t="shared" si="108"/>
        <v>0</v>
      </c>
      <c r="Q1732" s="66"/>
      <c r="R1732" s="66"/>
      <c r="S1732" s="66"/>
      <c r="T1732" s="66"/>
      <c r="U1732" s="66"/>
      <c r="V1732" s="66"/>
      <c r="W1732" s="66"/>
      <c r="X1732" s="66"/>
      <c r="Y1732" s="66"/>
      <c r="Z1732" s="66"/>
      <c r="AA1732" s="66"/>
      <c r="AB1732" s="66"/>
      <c r="AC1732" s="66"/>
      <c r="AD1732" s="66"/>
      <c r="AE1732" s="66"/>
      <c r="AF1732" s="66"/>
      <c r="AG1732" s="66"/>
      <c r="AH1732" s="66"/>
      <c r="AI1732" s="66"/>
      <c r="AJ1732" s="66"/>
      <c r="AK1732" s="66"/>
      <c r="AL1732" s="66"/>
      <c r="AM1732" s="66"/>
      <c r="AN1732" s="66"/>
      <c r="AO1732" s="66"/>
      <c r="AP1732" s="66"/>
      <c r="AQ1732" s="66"/>
      <c r="AR1732" s="66"/>
      <c r="AS1732" s="66"/>
      <c r="AT1732" s="66"/>
      <c r="AU1732" s="66"/>
      <c r="AV1732" s="66"/>
      <c r="AW1732" s="66"/>
      <c r="AX1732" s="66"/>
      <c r="AY1732" s="66"/>
      <c r="AZ1732" s="66"/>
      <c r="BA1732" s="66"/>
      <c r="BB1732" s="66"/>
      <c r="BC1732" s="66"/>
      <c r="BD1732" s="66"/>
      <c r="BE1732" s="67"/>
      <c r="BF1732" s="67"/>
      <c r="BG1732" s="68"/>
      <c r="BH1732" s="11"/>
      <c r="BI1732" s="69">
        <v>0</v>
      </c>
      <c r="BJ1732" s="70">
        <v>0</v>
      </c>
      <c r="BK1732" s="71">
        <v>0</v>
      </c>
      <c r="BL1732" s="71">
        <v>0</v>
      </c>
      <c r="BM1732" s="71">
        <v>0</v>
      </c>
      <c r="BN1732" s="72">
        <v>0</v>
      </c>
      <c r="BO1732" s="151" t="e">
        <f t="shared" si="109"/>
        <v>#DIV/0!</v>
      </c>
      <c r="BP1732" s="151" t="e">
        <f t="shared" si="110"/>
        <v>#DIV/0!</v>
      </c>
      <c r="BQ1732" s="71">
        <v>0</v>
      </c>
      <c r="BR1732" s="71">
        <v>0</v>
      </c>
      <c r="BS1732" s="71">
        <v>0</v>
      </c>
      <c r="BT1732" s="72">
        <v>0</v>
      </c>
      <c r="BU1732" s="151" t="e">
        <f t="shared" si="111"/>
        <v>#DIV/0!</v>
      </c>
      <c r="BV1732" s="151" t="e">
        <f t="shared" si="112"/>
        <v>#DIV/0!</v>
      </c>
      <c r="BW1732" s="14"/>
    </row>
    <row r="1733" s="3" customFormat="1" ht="30" customHeight="1" spans="1:75">
      <c r="A1733" s="55">
        <v>0</v>
      </c>
      <c r="B1733" s="56">
        <v>0</v>
      </c>
      <c r="C1733" s="57">
        <v>0</v>
      </c>
      <c r="D1733" s="74"/>
      <c r="E1733" s="74"/>
      <c r="F1733" s="59">
        <v>0</v>
      </c>
      <c r="G1733" s="59">
        <v>0</v>
      </c>
      <c r="H1733" s="74"/>
      <c r="I1733" s="74"/>
      <c r="J1733" s="87"/>
      <c r="K1733" s="61"/>
      <c r="L1733" s="62">
        <v>0</v>
      </c>
      <c r="M1733" s="63">
        <v>0</v>
      </c>
      <c r="N1733" s="64">
        <v>0</v>
      </c>
      <c r="O1733" s="62">
        <v>0</v>
      </c>
      <c r="P1733" s="65">
        <f t="shared" si="108"/>
        <v>0</v>
      </c>
      <c r="Q1733" s="66"/>
      <c r="R1733" s="66"/>
      <c r="S1733" s="66"/>
      <c r="T1733" s="66"/>
      <c r="U1733" s="66"/>
      <c r="V1733" s="66"/>
      <c r="W1733" s="66"/>
      <c r="X1733" s="66"/>
      <c r="Y1733" s="66"/>
      <c r="Z1733" s="66"/>
      <c r="AA1733" s="66"/>
      <c r="AB1733" s="66"/>
      <c r="AC1733" s="66"/>
      <c r="AD1733" s="66"/>
      <c r="AE1733" s="66"/>
      <c r="AF1733" s="66"/>
      <c r="AG1733" s="66"/>
      <c r="AH1733" s="66"/>
      <c r="AI1733" s="66"/>
      <c r="AJ1733" s="66"/>
      <c r="AK1733" s="66"/>
      <c r="AL1733" s="66"/>
      <c r="AM1733" s="66"/>
      <c r="AN1733" s="66"/>
      <c r="AO1733" s="66"/>
      <c r="AP1733" s="66"/>
      <c r="AQ1733" s="66"/>
      <c r="AR1733" s="66"/>
      <c r="AS1733" s="66"/>
      <c r="AT1733" s="66"/>
      <c r="AU1733" s="66"/>
      <c r="AV1733" s="66"/>
      <c r="AW1733" s="66"/>
      <c r="AX1733" s="66"/>
      <c r="AY1733" s="66"/>
      <c r="AZ1733" s="66"/>
      <c r="BA1733" s="66"/>
      <c r="BB1733" s="66"/>
      <c r="BC1733" s="66"/>
      <c r="BD1733" s="66"/>
      <c r="BE1733" s="67"/>
      <c r="BF1733" s="67"/>
      <c r="BG1733" s="68"/>
      <c r="BH1733" s="11"/>
      <c r="BI1733" s="69">
        <v>0</v>
      </c>
      <c r="BJ1733" s="70">
        <v>0</v>
      </c>
      <c r="BK1733" s="71">
        <v>0</v>
      </c>
      <c r="BL1733" s="71">
        <v>0</v>
      </c>
      <c r="BM1733" s="71">
        <v>0</v>
      </c>
      <c r="BN1733" s="72">
        <v>0</v>
      </c>
      <c r="BO1733" s="151" t="e">
        <f t="shared" si="109"/>
        <v>#DIV/0!</v>
      </c>
      <c r="BP1733" s="151" t="e">
        <f t="shared" si="110"/>
        <v>#DIV/0!</v>
      </c>
      <c r="BQ1733" s="71">
        <v>0</v>
      </c>
      <c r="BR1733" s="71">
        <v>0</v>
      </c>
      <c r="BS1733" s="71">
        <v>0</v>
      </c>
      <c r="BT1733" s="72">
        <v>0</v>
      </c>
      <c r="BU1733" s="151" t="e">
        <f t="shared" si="111"/>
        <v>#DIV/0!</v>
      </c>
      <c r="BV1733" s="151" t="e">
        <f t="shared" si="112"/>
        <v>#DIV/0!</v>
      </c>
      <c r="BW1733" s="14"/>
    </row>
    <row r="1734" s="3" customFormat="1" ht="30" customHeight="1" spans="1:75">
      <c r="A1734" s="55">
        <v>0</v>
      </c>
      <c r="B1734" s="56" t="s">
        <v>2247</v>
      </c>
      <c r="C1734" s="57" t="s">
        <v>2343</v>
      </c>
      <c r="D1734" s="59" t="s">
        <v>2771</v>
      </c>
      <c r="E1734" s="59"/>
      <c r="F1734" s="59">
        <v>0</v>
      </c>
      <c r="G1734" s="59">
        <v>0</v>
      </c>
      <c r="H1734" s="59" t="s">
        <v>2788</v>
      </c>
      <c r="I1734" s="59" t="s">
        <v>2789</v>
      </c>
      <c r="J1734" s="63"/>
      <c r="K1734" s="61"/>
      <c r="L1734" s="62">
        <v>2</v>
      </c>
      <c r="M1734" s="63">
        <v>1200</v>
      </c>
      <c r="N1734" s="64">
        <v>10</v>
      </c>
      <c r="O1734" s="62">
        <v>2</v>
      </c>
      <c r="P1734" s="65">
        <f t="shared" ref="P1734:P1797" si="113">SUM(AG1734:AJ1734)</f>
        <v>0</v>
      </c>
      <c r="Q1734" s="66"/>
      <c r="R1734" s="66"/>
      <c r="S1734" s="66"/>
      <c r="T1734" s="66"/>
      <c r="U1734" s="66"/>
      <c r="V1734" s="66"/>
      <c r="W1734" s="66"/>
      <c r="X1734" s="66"/>
      <c r="Y1734" s="66"/>
      <c r="Z1734" s="66"/>
      <c r="AA1734" s="66"/>
      <c r="AB1734" s="66"/>
      <c r="AC1734" s="66"/>
      <c r="AD1734" s="66"/>
      <c r="AE1734" s="66"/>
      <c r="AF1734" s="66"/>
      <c r="AG1734" s="66"/>
      <c r="AH1734" s="66"/>
      <c r="AI1734" s="66"/>
      <c r="AJ1734" s="66"/>
      <c r="AK1734" s="66"/>
      <c r="AL1734" s="66"/>
      <c r="AM1734" s="66"/>
      <c r="AN1734" s="66"/>
      <c r="AO1734" s="66"/>
      <c r="AP1734" s="66"/>
      <c r="AQ1734" s="66"/>
      <c r="AR1734" s="66"/>
      <c r="AS1734" s="66"/>
      <c r="AT1734" s="66"/>
      <c r="AU1734" s="66"/>
      <c r="AV1734" s="66"/>
      <c r="AW1734" s="66"/>
      <c r="AX1734" s="66"/>
      <c r="AY1734" s="66"/>
      <c r="AZ1734" s="66"/>
      <c r="BA1734" s="66"/>
      <c r="BB1734" s="66"/>
      <c r="BC1734" s="66"/>
      <c r="BD1734" s="66"/>
      <c r="BE1734" s="67"/>
      <c r="BF1734" s="67"/>
      <c r="BG1734" s="68"/>
      <c r="BH1734" s="11"/>
      <c r="BI1734" s="69">
        <v>0</v>
      </c>
      <c r="BJ1734" s="70">
        <v>0</v>
      </c>
      <c r="BK1734" s="71">
        <v>0</v>
      </c>
      <c r="BL1734" s="71">
        <v>0</v>
      </c>
      <c r="BM1734" s="71">
        <v>0</v>
      </c>
      <c r="BN1734" s="72">
        <v>0</v>
      </c>
      <c r="BO1734" s="151" t="e">
        <f t="shared" si="109"/>
        <v>#DIV/0!</v>
      </c>
      <c r="BP1734" s="151" t="e">
        <f t="shared" si="110"/>
        <v>#DIV/0!</v>
      </c>
      <c r="BQ1734" s="71">
        <v>0</v>
      </c>
      <c r="BR1734" s="71">
        <v>0</v>
      </c>
      <c r="BS1734" s="71">
        <v>0</v>
      </c>
      <c r="BT1734" s="72">
        <v>0</v>
      </c>
      <c r="BU1734" s="151" t="e">
        <f t="shared" si="111"/>
        <v>#DIV/0!</v>
      </c>
      <c r="BV1734" s="151" t="e">
        <f t="shared" si="112"/>
        <v>#DIV/0!</v>
      </c>
      <c r="BW1734" s="14"/>
    </row>
    <row r="1735" s="3" customFormat="1" ht="30" customHeight="1" spans="1:75">
      <c r="A1735" s="55">
        <v>0</v>
      </c>
      <c r="B1735" s="56">
        <v>0</v>
      </c>
      <c r="C1735" s="57">
        <v>0</v>
      </c>
      <c r="D1735" s="74"/>
      <c r="E1735" s="74"/>
      <c r="F1735" s="59">
        <v>0</v>
      </c>
      <c r="G1735" s="59">
        <v>0</v>
      </c>
      <c r="H1735" s="74"/>
      <c r="I1735" s="74"/>
      <c r="J1735" s="87"/>
      <c r="K1735" s="61"/>
      <c r="L1735" s="62">
        <v>0</v>
      </c>
      <c r="M1735" s="63">
        <v>0</v>
      </c>
      <c r="N1735" s="64">
        <v>0</v>
      </c>
      <c r="O1735" s="62">
        <v>0</v>
      </c>
      <c r="P1735" s="65">
        <f t="shared" si="113"/>
        <v>0</v>
      </c>
      <c r="Q1735" s="66"/>
      <c r="R1735" s="66"/>
      <c r="S1735" s="66"/>
      <c r="T1735" s="66"/>
      <c r="U1735" s="66"/>
      <c r="V1735" s="66"/>
      <c r="W1735" s="66"/>
      <c r="X1735" s="66"/>
      <c r="Y1735" s="66"/>
      <c r="Z1735" s="66"/>
      <c r="AA1735" s="66"/>
      <c r="AB1735" s="66"/>
      <c r="AC1735" s="66"/>
      <c r="AD1735" s="66"/>
      <c r="AE1735" s="66"/>
      <c r="AF1735" s="66"/>
      <c r="AG1735" s="66"/>
      <c r="AH1735" s="66"/>
      <c r="AI1735" s="66"/>
      <c r="AJ1735" s="66"/>
      <c r="AK1735" s="66"/>
      <c r="AL1735" s="66"/>
      <c r="AM1735" s="66"/>
      <c r="AN1735" s="66"/>
      <c r="AO1735" s="66"/>
      <c r="AP1735" s="66"/>
      <c r="AQ1735" s="66"/>
      <c r="AR1735" s="66"/>
      <c r="AS1735" s="66"/>
      <c r="AT1735" s="66"/>
      <c r="AU1735" s="66"/>
      <c r="AV1735" s="66"/>
      <c r="AW1735" s="66"/>
      <c r="AX1735" s="66"/>
      <c r="AY1735" s="66"/>
      <c r="AZ1735" s="66"/>
      <c r="BA1735" s="66"/>
      <c r="BB1735" s="66"/>
      <c r="BC1735" s="66"/>
      <c r="BD1735" s="66"/>
      <c r="BE1735" s="67"/>
      <c r="BF1735" s="67"/>
      <c r="BG1735" s="68"/>
      <c r="BH1735" s="11"/>
      <c r="BI1735" s="69">
        <v>0</v>
      </c>
      <c r="BJ1735" s="70">
        <v>0</v>
      </c>
      <c r="BK1735" s="71">
        <v>0</v>
      </c>
      <c r="BL1735" s="71">
        <v>0</v>
      </c>
      <c r="BM1735" s="71">
        <v>0</v>
      </c>
      <c r="BN1735" s="72">
        <v>0</v>
      </c>
      <c r="BO1735" s="151" t="e">
        <f t="shared" si="109"/>
        <v>#DIV/0!</v>
      </c>
      <c r="BP1735" s="151" t="e">
        <f t="shared" si="110"/>
        <v>#DIV/0!</v>
      </c>
      <c r="BQ1735" s="71">
        <v>0</v>
      </c>
      <c r="BR1735" s="71">
        <v>0</v>
      </c>
      <c r="BS1735" s="71">
        <v>0</v>
      </c>
      <c r="BT1735" s="72">
        <v>0</v>
      </c>
      <c r="BU1735" s="151" t="e">
        <f t="shared" si="111"/>
        <v>#DIV/0!</v>
      </c>
      <c r="BV1735" s="151" t="e">
        <f t="shared" si="112"/>
        <v>#DIV/0!</v>
      </c>
      <c r="BW1735" s="14"/>
    </row>
    <row r="1736" ht="30" customHeight="1" spans="1:75">
      <c r="A1736" s="55">
        <v>0</v>
      </c>
      <c r="B1736" s="56">
        <v>0</v>
      </c>
      <c r="C1736" s="57">
        <v>0</v>
      </c>
      <c r="E1736" s="88"/>
      <c r="F1736" s="59" t="e">
        <f>VLOOKUP(E1736,[1]库存!$B$1:$C$65536,2,FALSE)</f>
        <v>#N/A</v>
      </c>
      <c r="G1736" s="59" t="e">
        <v>#N/A</v>
      </c>
      <c r="H1736" s="89"/>
      <c r="I1736" s="88"/>
      <c r="J1736" s="90"/>
      <c r="K1736" s="61"/>
      <c r="L1736" s="62">
        <v>0</v>
      </c>
      <c r="M1736" s="63">
        <v>0</v>
      </c>
      <c r="N1736" s="64">
        <v>0</v>
      </c>
      <c r="O1736" s="62">
        <v>0</v>
      </c>
      <c r="P1736" s="65">
        <f t="shared" si="113"/>
        <v>0</v>
      </c>
      <c r="Q1736" s="66"/>
      <c r="R1736" s="66"/>
      <c r="S1736" s="66"/>
      <c r="T1736" s="66"/>
      <c r="U1736" s="66"/>
      <c r="V1736" s="66"/>
      <c r="W1736" s="66"/>
      <c r="X1736" s="66"/>
      <c r="Y1736" s="66"/>
      <c r="Z1736" s="66"/>
      <c r="AA1736" s="66"/>
      <c r="AB1736" s="66"/>
      <c r="AC1736" s="66"/>
      <c r="AD1736" s="66"/>
      <c r="AE1736" s="66"/>
      <c r="AF1736" s="66"/>
      <c r="AG1736" s="66"/>
      <c r="AH1736" s="66"/>
      <c r="AI1736" s="66"/>
      <c r="AJ1736" s="66"/>
      <c r="AK1736" s="66"/>
      <c r="AL1736" s="66"/>
      <c r="AM1736" s="66"/>
      <c r="AN1736" s="66"/>
      <c r="AO1736" s="66"/>
      <c r="AP1736" s="66"/>
      <c r="AQ1736" s="66"/>
      <c r="AR1736" s="66"/>
      <c r="AS1736" s="66"/>
      <c r="AT1736" s="66"/>
      <c r="AU1736" s="66"/>
      <c r="AV1736" s="66"/>
      <c r="AW1736" s="66"/>
      <c r="AX1736" s="66"/>
      <c r="AY1736" s="66"/>
      <c r="AZ1736" s="66"/>
      <c r="BA1736" s="66"/>
      <c r="BB1736" s="66"/>
      <c r="BC1736" s="66"/>
      <c r="BD1736" s="66"/>
      <c r="BE1736" s="67"/>
      <c r="BF1736" s="67"/>
      <c r="BG1736" s="68"/>
      <c r="BI1736" s="69">
        <v>0</v>
      </c>
      <c r="BJ1736" s="70">
        <v>0</v>
      </c>
      <c r="BK1736" s="71">
        <v>0</v>
      </c>
      <c r="BL1736" s="71">
        <v>0</v>
      </c>
      <c r="BM1736" s="71">
        <v>0</v>
      </c>
      <c r="BN1736" s="72">
        <v>0</v>
      </c>
      <c r="BO1736" s="151" t="e">
        <f t="shared" si="109"/>
        <v>#DIV/0!</v>
      </c>
      <c r="BP1736" s="151" t="e">
        <f t="shared" si="110"/>
        <v>#DIV/0!</v>
      </c>
      <c r="BQ1736" s="71">
        <v>0</v>
      </c>
      <c r="BR1736" s="71">
        <v>0</v>
      </c>
      <c r="BS1736" s="71">
        <v>0</v>
      </c>
      <c r="BT1736" s="72">
        <v>0</v>
      </c>
      <c r="BU1736" s="151" t="e">
        <f t="shared" si="111"/>
        <v>#DIV/0!</v>
      </c>
      <c r="BV1736" s="151" t="e">
        <f t="shared" si="112"/>
        <v>#DIV/0!</v>
      </c>
    </row>
    <row r="1737" ht="30" customHeight="1" spans="1:75">
      <c r="A1737" s="55">
        <v>0</v>
      </c>
      <c r="B1737" s="56" t="s">
        <v>2247</v>
      </c>
      <c r="C1737" s="57" t="s">
        <v>2261</v>
      </c>
      <c r="D1737" s="91" t="s">
        <v>2470</v>
      </c>
      <c r="E1737" s="91" t="s">
        <v>2790</v>
      </c>
      <c r="F1737" s="91" t="str">
        <f>VLOOKUP(E1737,[1]库存!$B$1:$C$65536,2,FALSE)</f>
        <v>GEELY DX11 PAB 导流袋</v>
      </c>
      <c r="G1737" s="91" t="s">
        <v>2791</v>
      </c>
      <c r="H1737" s="91" t="s">
        <v>2792</v>
      </c>
      <c r="I1737" s="91" t="s">
        <v>2793</v>
      </c>
      <c r="J1737" s="63"/>
      <c r="K1737" s="61"/>
      <c r="L1737" s="62">
        <v>2</v>
      </c>
      <c r="M1737" s="63">
        <v>1300</v>
      </c>
      <c r="N1737" s="64">
        <v>1</v>
      </c>
      <c r="O1737" s="62">
        <v>2</v>
      </c>
      <c r="P1737" s="65">
        <f t="shared" si="113"/>
        <v>0</v>
      </c>
      <c r="Q1737" s="66"/>
      <c r="R1737" s="66"/>
      <c r="S1737" s="66"/>
      <c r="T1737" s="66"/>
      <c r="U1737" s="66"/>
      <c r="V1737" s="66"/>
      <c r="W1737" s="66"/>
      <c r="X1737" s="66"/>
      <c r="Y1737" s="66"/>
      <c r="Z1737" s="66"/>
      <c r="AA1737" s="66"/>
      <c r="AB1737" s="66"/>
      <c r="AC1737" s="66"/>
      <c r="AD1737" s="66"/>
      <c r="AE1737" s="66"/>
      <c r="AF1737" s="66"/>
      <c r="AG1737" s="66"/>
      <c r="AH1737" s="66"/>
      <c r="AI1737" s="66"/>
      <c r="AJ1737" s="66"/>
      <c r="AK1737" s="66"/>
      <c r="AL1737" s="66"/>
      <c r="AM1737" s="66"/>
      <c r="AN1737" s="66"/>
      <c r="AO1737" s="66"/>
      <c r="AP1737" s="66"/>
      <c r="AQ1737" s="66"/>
      <c r="AR1737" s="66"/>
      <c r="AS1737" s="66"/>
      <c r="AT1737" s="66"/>
      <c r="AU1737" s="66"/>
      <c r="AV1737" s="66"/>
      <c r="AW1737" s="66"/>
      <c r="AX1737" s="66"/>
      <c r="AY1737" s="66"/>
      <c r="AZ1737" s="66"/>
      <c r="BA1737" s="66"/>
      <c r="BB1737" s="66"/>
      <c r="BC1737" s="66"/>
      <c r="BD1737" s="66"/>
      <c r="BE1737" s="105"/>
      <c r="BF1737" s="67"/>
      <c r="BG1737" s="68"/>
      <c r="BI1737" s="69">
        <v>0</v>
      </c>
      <c r="BJ1737" s="70">
        <v>0</v>
      </c>
      <c r="BK1737" s="71">
        <v>0</v>
      </c>
      <c r="BL1737" s="71">
        <v>0</v>
      </c>
      <c r="BM1737" s="71">
        <v>0</v>
      </c>
      <c r="BN1737" s="72">
        <v>0</v>
      </c>
      <c r="BO1737" s="151" t="e">
        <f t="shared" si="109"/>
        <v>#DIV/0!</v>
      </c>
      <c r="BP1737" s="151" t="e">
        <f t="shared" si="110"/>
        <v>#DIV/0!</v>
      </c>
      <c r="BQ1737" s="71">
        <v>0</v>
      </c>
      <c r="BR1737" s="71">
        <v>0</v>
      </c>
      <c r="BS1737" s="71">
        <v>0</v>
      </c>
      <c r="BT1737" s="72">
        <v>0</v>
      </c>
      <c r="BU1737" s="151" t="e">
        <f t="shared" si="111"/>
        <v>#DIV/0!</v>
      </c>
      <c r="BV1737" s="151" t="e">
        <f t="shared" si="112"/>
        <v>#DIV/0!</v>
      </c>
    </row>
    <row r="1738" ht="30" customHeight="1" spans="1:75">
      <c r="A1738" s="55">
        <v>0</v>
      </c>
      <c r="B1738" s="56">
        <v>0</v>
      </c>
      <c r="C1738" s="57">
        <v>0</v>
      </c>
      <c r="D1738" s="92"/>
      <c r="E1738" s="92"/>
      <c r="F1738" s="91" t="e">
        <f>VLOOKUP(E1738,[1]库存!$B$1:$C$65536,2,FALSE)</f>
        <v>#N/A</v>
      </c>
      <c r="G1738" s="91" t="e">
        <v>#N/A</v>
      </c>
      <c r="H1738" s="92"/>
      <c r="I1738" s="92"/>
      <c r="J1738" s="87"/>
      <c r="K1738" s="61"/>
      <c r="L1738" s="62">
        <v>0</v>
      </c>
      <c r="M1738" s="63">
        <v>0</v>
      </c>
      <c r="N1738" s="64">
        <v>0</v>
      </c>
      <c r="O1738" s="62">
        <v>0</v>
      </c>
      <c r="P1738" s="65">
        <f t="shared" si="113"/>
        <v>0</v>
      </c>
      <c r="Q1738" s="66"/>
      <c r="R1738" s="66"/>
      <c r="S1738" s="66"/>
      <c r="T1738" s="66"/>
      <c r="U1738" s="66"/>
      <c r="V1738" s="66"/>
      <c r="W1738" s="66"/>
      <c r="X1738" s="66"/>
      <c r="Y1738" s="66"/>
      <c r="Z1738" s="66"/>
      <c r="AA1738" s="66"/>
      <c r="AB1738" s="66"/>
      <c r="AC1738" s="66"/>
      <c r="AD1738" s="66"/>
      <c r="AE1738" s="66"/>
      <c r="AF1738" s="66"/>
      <c r="AG1738" s="66"/>
      <c r="AH1738" s="66"/>
      <c r="AI1738" s="66"/>
      <c r="AJ1738" s="66"/>
      <c r="AK1738" s="66"/>
      <c r="AL1738" s="66"/>
      <c r="AM1738" s="66"/>
      <c r="AN1738" s="66"/>
      <c r="AO1738" s="66"/>
      <c r="AP1738" s="66"/>
      <c r="AQ1738" s="66"/>
      <c r="AR1738" s="66"/>
      <c r="AS1738" s="66"/>
      <c r="AT1738" s="66"/>
      <c r="AU1738" s="66"/>
      <c r="AV1738" s="66"/>
      <c r="AW1738" s="66"/>
      <c r="AX1738" s="66"/>
      <c r="AY1738" s="66"/>
      <c r="AZ1738" s="66"/>
      <c r="BA1738" s="66"/>
      <c r="BB1738" s="66"/>
      <c r="BC1738" s="66"/>
      <c r="BD1738" s="66"/>
      <c r="BE1738" s="67"/>
      <c r="BF1738" s="67"/>
      <c r="BG1738" s="68"/>
      <c r="BI1738" s="69">
        <v>0</v>
      </c>
      <c r="BJ1738" s="70">
        <v>0</v>
      </c>
      <c r="BK1738" s="71">
        <v>0</v>
      </c>
      <c r="BL1738" s="71">
        <v>0</v>
      </c>
      <c r="BM1738" s="71">
        <v>0</v>
      </c>
      <c r="BN1738" s="72">
        <v>0</v>
      </c>
      <c r="BO1738" s="151" t="e">
        <f t="shared" si="109"/>
        <v>#DIV/0!</v>
      </c>
      <c r="BP1738" s="151" t="e">
        <f t="shared" si="110"/>
        <v>#DIV/0!</v>
      </c>
      <c r="BQ1738" s="71">
        <v>0</v>
      </c>
      <c r="BR1738" s="71">
        <v>0</v>
      </c>
      <c r="BS1738" s="71">
        <v>0</v>
      </c>
      <c r="BT1738" s="72">
        <v>0</v>
      </c>
      <c r="BU1738" s="151" t="e">
        <f t="shared" si="111"/>
        <v>#DIV/0!</v>
      </c>
      <c r="BV1738" s="151" t="e">
        <f t="shared" si="112"/>
        <v>#DIV/0!</v>
      </c>
    </row>
    <row r="1739" ht="30" customHeight="1" spans="1:75">
      <c r="A1739" s="55" t="s">
        <v>165</v>
      </c>
      <c r="B1739" s="56" t="s">
        <v>2247</v>
      </c>
      <c r="C1739" s="57" t="s">
        <v>2261</v>
      </c>
      <c r="D1739" s="91" t="s">
        <v>2794</v>
      </c>
      <c r="E1739" s="91" t="s">
        <v>2795</v>
      </c>
      <c r="F1739" s="91" t="str">
        <f>VLOOKUP(E1739,[1]库存!$B$1:$C$65536,2,FALSE)</f>
        <v>GEELY DX11 PAB</v>
      </c>
      <c r="G1739" s="91" t="s">
        <v>2796</v>
      </c>
      <c r="H1739" s="91" t="s">
        <v>2797</v>
      </c>
      <c r="I1739" s="91" t="s">
        <v>2798</v>
      </c>
      <c r="J1739" s="63"/>
      <c r="K1739" s="61"/>
      <c r="L1739" s="62">
        <v>2</v>
      </c>
      <c r="M1739" s="63">
        <v>650</v>
      </c>
      <c r="N1739" s="64">
        <v>20</v>
      </c>
      <c r="O1739" s="62">
        <v>2</v>
      </c>
      <c r="P1739" s="65">
        <f t="shared" si="113"/>
        <v>0</v>
      </c>
      <c r="Q1739" s="66"/>
      <c r="R1739" s="66"/>
      <c r="S1739" s="66"/>
      <c r="T1739" s="66"/>
      <c r="U1739" s="66"/>
      <c r="V1739" s="66"/>
      <c r="W1739" s="66"/>
      <c r="X1739" s="66"/>
      <c r="Y1739" s="66"/>
      <c r="Z1739" s="66"/>
      <c r="AA1739" s="66"/>
      <c r="AB1739" s="66"/>
      <c r="AC1739" s="66"/>
      <c r="AD1739" s="66"/>
      <c r="AE1739" s="66"/>
      <c r="AF1739" s="66"/>
      <c r="AG1739" s="66"/>
      <c r="AH1739" s="66"/>
      <c r="AI1739" s="66"/>
      <c r="AJ1739" s="66"/>
      <c r="AK1739" s="66"/>
      <c r="AL1739" s="66"/>
      <c r="AM1739" s="66"/>
      <c r="AN1739" s="66"/>
      <c r="AO1739" s="66"/>
      <c r="AP1739" s="66"/>
      <c r="AQ1739" s="66"/>
      <c r="AR1739" s="66"/>
      <c r="AS1739" s="66"/>
      <c r="AT1739" s="66"/>
      <c r="AU1739" s="66"/>
      <c r="AV1739" s="66"/>
      <c r="AW1739" s="66"/>
      <c r="AX1739" s="66"/>
      <c r="AY1739" s="66"/>
      <c r="AZ1739" s="66"/>
      <c r="BA1739" s="66"/>
      <c r="BB1739" s="66"/>
      <c r="BC1739" s="66"/>
      <c r="BD1739" s="66"/>
      <c r="BE1739" s="67"/>
      <c r="BF1739" s="67"/>
      <c r="BG1739" s="68"/>
      <c r="BI1739" s="69">
        <v>0</v>
      </c>
      <c r="BJ1739" s="70">
        <v>0</v>
      </c>
      <c r="BK1739" s="71">
        <v>0</v>
      </c>
      <c r="BL1739" s="71">
        <v>0</v>
      </c>
      <c r="BM1739" s="71">
        <v>0</v>
      </c>
      <c r="BN1739" s="72">
        <v>0</v>
      </c>
      <c r="BO1739" s="151" t="e">
        <f t="shared" si="109"/>
        <v>#DIV/0!</v>
      </c>
      <c r="BP1739" s="151" t="e">
        <f t="shared" si="110"/>
        <v>#DIV/0!</v>
      </c>
      <c r="BQ1739" s="71">
        <v>0</v>
      </c>
      <c r="BR1739" s="71">
        <v>0</v>
      </c>
      <c r="BS1739" s="71">
        <v>0</v>
      </c>
      <c r="BT1739" s="72">
        <v>0</v>
      </c>
      <c r="BU1739" s="151" t="e">
        <f t="shared" si="111"/>
        <v>#DIV/0!</v>
      </c>
      <c r="BV1739" s="151" t="e">
        <f t="shared" si="112"/>
        <v>#DIV/0!</v>
      </c>
    </row>
    <row r="1740" ht="30" customHeight="1" spans="1:75">
      <c r="A1740" s="55">
        <v>0</v>
      </c>
      <c r="B1740" s="56">
        <v>0</v>
      </c>
      <c r="C1740" s="57">
        <v>0</v>
      </c>
      <c r="D1740" s="92"/>
      <c r="E1740" s="92"/>
      <c r="F1740" s="91" t="e">
        <f>VLOOKUP(E1740,[1]库存!$B$1:$C$65536,2,FALSE)</f>
        <v>#N/A</v>
      </c>
      <c r="G1740" s="91" t="e">
        <v>#N/A</v>
      </c>
      <c r="H1740" s="92"/>
      <c r="I1740" s="92"/>
      <c r="J1740" s="87"/>
      <c r="K1740" s="61"/>
      <c r="L1740" s="62">
        <v>0</v>
      </c>
      <c r="M1740" s="63">
        <v>0</v>
      </c>
      <c r="N1740" s="64">
        <v>0</v>
      </c>
      <c r="O1740" s="62">
        <v>0</v>
      </c>
      <c r="P1740" s="65">
        <f t="shared" si="113"/>
        <v>0</v>
      </c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  <c r="AA1740" s="66"/>
      <c r="AB1740" s="66"/>
      <c r="AC1740" s="66"/>
      <c r="AD1740" s="66"/>
      <c r="AE1740" s="66"/>
      <c r="AF1740" s="66"/>
      <c r="AG1740" s="66"/>
      <c r="AH1740" s="66"/>
      <c r="AI1740" s="66"/>
      <c r="AJ1740" s="66"/>
      <c r="AK1740" s="66"/>
      <c r="AL1740" s="66"/>
      <c r="AM1740" s="66"/>
      <c r="AN1740" s="66"/>
      <c r="AO1740" s="66"/>
      <c r="AP1740" s="66"/>
      <c r="AQ1740" s="66"/>
      <c r="AR1740" s="66"/>
      <c r="AS1740" s="66"/>
      <c r="AT1740" s="66"/>
      <c r="AU1740" s="66"/>
      <c r="AV1740" s="66"/>
      <c r="AW1740" s="66"/>
      <c r="AX1740" s="66"/>
      <c r="AY1740" s="66"/>
      <c r="AZ1740" s="66"/>
      <c r="BA1740" s="66"/>
      <c r="BB1740" s="66"/>
      <c r="BC1740" s="66"/>
      <c r="BD1740" s="66"/>
      <c r="BE1740" s="67"/>
      <c r="BF1740" s="67"/>
      <c r="BG1740" s="68"/>
      <c r="BI1740" s="69">
        <v>0</v>
      </c>
      <c r="BJ1740" s="70">
        <v>0</v>
      </c>
      <c r="BK1740" s="71">
        <v>0</v>
      </c>
      <c r="BL1740" s="71">
        <v>0</v>
      </c>
      <c r="BM1740" s="71">
        <v>0</v>
      </c>
      <c r="BN1740" s="72">
        <v>0</v>
      </c>
      <c r="BO1740" s="151" t="e">
        <f t="shared" si="109"/>
        <v>#DIV/0!</v>
      </c>
      <c r="BP1740" s="151" t="e">
        <f t="shared" si="110"/>
        <v>#DIV/0!</v>
      </c>
      <c r="BQ1740" s="71">
        <v>0</v>
      </c>
      <c r="BR1740" s="71">
        <v>0</v>
      </c>
      <c r="BS1740" s="71">
        <v>0</v>
      </c>
      <c r="BT1740" s="72">
        <v>0</v>
      </c>
      <c r="BU1740" s="151" t="e">
        <f t="shared" si="111"/>
        <v>#DIV/0!</v>
      </c>
      <c r="BV1740" s="151" t="e">
        <f t="shared" si="112"/>
        <v>#DIV/0!</v>
      </c>
    </row>
    <row r="1741" ht="30" customHeight="1" spans="1:75">
      <c r="A1741" s="55">
        <v>0</v>
      </c>
      <c r="B1741" s="56" t="s">
        <v>2247</v>
      </c>
      <c r="C1741" s="57" t="s">
        <v>2261</v>
      </c>
      <c r="D1741" s="91" t="s">
        <v>2470</v>
      </c>
      <c r="E1741" s="91" t="s">
        <v>2799</v>
      </c>
      <c r="F1741" s="91" t="str">
        <f>VLOOKUP(E1741,[1]库存!$B$1:$C$65536,2,FALSE)</f>
        <v>VW 316/8 PAB 导流袋 A状态</v>
      </c>
      <c r="G1741" s="91" t="s">
        <v>2800</v>
      </c>
      <c r="H1741" s="91" t="s">
        <v>2801</v>
      </c>
      <c r="I1741" s="91" t="s">
        <v>2793</v>
      </c>
      <c r="J1741" s="63"/>
      <c r="K1741" s="61"/>
      <c r="L1741" s="62">
        <v>1</v>
      </c>
      <c r="M1741" s="63">
        <v>2000</v>
      </c>
      <c r="N1741" s="64">
        <v>1</v>
      </c>
      <c r="O1741" s="62">
        <v>1</v>
      </c>
      <c r="P1741" s="65">
        <f t="shared" si="113"/>
        <v>0</v>
      </c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  <c r="AA1741" s="66"/>
      <c r="AB1741" s="66"/>
      <c r="AC1741" s="66"/>
      <c r="AD1741" s="66"/>
      <c r="AE1741" s="66"/>
      <c r="AF1741" s="66"/>
      <c r="AG1741" s="66"/>
      <c r="AH1741" s="66"/>
      <c r="AI1741" s="66"/>
      <c r="AJ1741" s="66"/>
      <c r="AK1741" s="66"/>
      <c r="AL1741" s="66"/>
      <c r="AM1741" s="66"/>
      <c r="AN1741" s="66"/>
      <c r="AO1741" s="66"/>
      <c r="AP1741" s="66"/>
      <c r="AQ1741" s="66"/>
      <c r="AR1741" s="66"/>
      <c r="AS1741" s="66"/>
      <c r="AT1741" s="66"/>
      <c r="AU1741" s="66"/>
      <c r="AV1741" s="66"/>
      <c r="AW1741" s="66"/>
      <c r="AX1741" s="66"/>
      <c r="AY1741" s="66"/>
      <c r="AZ1741" s="66"/>
      <c r="BA1741" s="66"/>
      <c r="BB1741" s="66"/>
      <c r="BC1741" s="66"/>
      <c r="BD1741" s="66"/>
      <c r="BE1741" s="67"/>
      <c r="BF1741" s="67"/>
      <c r="BG1741" s="68"/>
      <c r="BI1741" s="69">
        <v>0</v>
      </c>
      <c r="BJ1741" s="70">
        <v>0</v>
      </c>
      <c r="BK1741" s="71">
        <v>0</v>
      </c>
      <c r="BL1741" s="71">
        <v>0</v>
      </c>
      <c r="BM1741" s="71">
        <v>0</v>
      </c>
      <c r="BN1741" s="72">
        <v>0</v>
      </c>
      <c r="BO1741" s="151" t="e">
        <f t="shared" si="109"/>
        <v>#DIV/0!</v>
      </c>
      <c r="BP1741" s="151" t="e">
        <f t="shared" si="110"/>
        <v>#DIV/0!</v>
      </c>
      <c r="BQ1741" s="71">
        <v>0</v>
      </c>
      <c r="BR1741" s="71">
        <v>0</v>
      </c>
      <c r="BS1741" s="71">
        <v>0</v>
      </c>
      <c r="BT1741" s="72">
        <v>0</v>
      </c>
      <c r="BU1741" s="151" t="e">
        <f t="shared" si="111"/>
        <v>#DIV/0!</v>
      </c>
      <c r="BV1741" s="151" t="e">
        <f t="shared" si="112"/>
        <v>#DIV/0!</v>
      </c>
    </row>
    <row r="1742" ht="30" customHeight="1" spans="1:75">
      <c r="A1742" s="55">
        <v>0</v>
      </c>
      <c r="B1742" s="56">
        <v>0</v>
      </c>
      <c r="C1742" s="57">
        <v>0</v>
      </c>
      <c r="D1742" s="92"/>
      <c r="E1742" s="92"/>
      <c r="F1742" s="91" t="e">
        <f>VLOOKUP(E1742,[1]库存!$B$1:$C$65536,2,FALSE)</f>
        <v>#N/A</v>
      </c>
      <c r="G1742" s="91" t="e">
        <v>#N/A</v>
      </c>
      <c r="H1742" s="92"/>
      <c r="I1742" s="92"/>
      <c r="J1742" s="87"/>
      <c r="K1742" s="61"/>
      <c r="L1742" s="62">
        <v>0</v>
      </c>
      <c r="M1742" s="63">
        <v>0</v>
      </c>
      <c r="N1742" s="64">
        <v>0</v>
      </c>
      <c r="O1742" s="62">
        <v>0</v>
      </c>
      <c r="P1742" s="65">
        <f t="shared" si="113"/>
        <v>0</v>
      </c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  <c r="AA1742" s="66"/>
      <c r="AB1742" s="66"/>
      <c r="AC1742" s="66"/>
      <c r="AD1742" s="66"/>
      <c r="AE1742" s="66"/>
      <c r="AF1742" s="66"/>
      <c r="AG1742" s="66"/>
      <c r="AH1742" s="66"/>
      <c r="AI1742" s="66"/>
      <c r="AJ1742" s="66"/>
      <c r="AK1742" s="66"/>
      <c r="AL1742" s="66"/>
      <c r="AM1742" s="66"/>
      <c r="AN1742" s="66"/>
      <c r="AO1742" s="66"/>
      <c r="AP1742" s="66"/>
      <c r="AQ1742" s="66"/>
      <c r="AR1742" s="66"/>
      <c r="AS1742" s="66"/>
      <c r="AT1742" s="66"/>
      <c r="AU1742" s="66"/>
      <c r="AV1742" s="66"/>
      <c r="AW1742" s="66"/>
      <c r="AX1742" s="66"/>
      <c r="AY1742" s="66"/>
      <c r="AZ1742" s="66"/>
      <c r="BA1742" s="66"/>
      <c r="BB1742" s="66"/>
      <c r="BC1742" s="66"/>
      <c r="BD1742" s="66"/>
      <c r="BE1742" s="67"/>
      <c r="BF1742" s="67"/>
      <c r="BG1742" s="68"/>
      <c r="BI1742" s="69">
        <v>0</v>
      </c>
      <c r="BJ1742" s="70">
        <v>0</v>
      </c>
      <c r="BK1742" s="71">
        <v>0</v>
      </c>
      <c r="BL1742" s="71">
        <v>0</v>
      </c>
      <c r="BM1742" s="71">
        <v>0</v>
      </c>
      <c r="BN1742" s="72">
        <v>0</v>
      </c>
      <c r="BO1742" s="151" t="e">
        <f t="shared" si="109"/>
        <v>#DIV/0!</v>
      </c>
      <c r="BP1742" s="151" t="e">
        <f t="shared" si="110"/>
        <v>#DIV/0!</v>
      </c>
      <c r="BQ1742" s="71">
        <v>0</v>
      </c>
      <c r="BR1742" s="71">
        <v>0</v>
      </c>
      <c r="BS1742" s="71">
        <v>0</v>
      </c>
      <c r="BT1742" s="72">
        <v>0</v>
      </c>
      <c r="BU1742" s="151" t="e">
        <f t="shared" si="111"/>
        <v>#DIV/0!</v>
      </c>
      <c r="BV1742" s="151" t="e">
        <f t="shared" si="112"/>
        <v>#DIV/0!</v>
      </c>
    </row>
    <row r="1743" ht="30" customHeight="1" spans="1:75">
      <c r="A1743" s="55" t="s">
        <v>165</v>
      </c>
      <c r="B1743" s="56" t="s">
        <v>2247</v>
      </c>
      <c r="C1743" s="57" t="s">
        <v>2261</v>
      </c>
      <c r="D1743" s="91" t="s">
        <v>2794</v>
      </c>
      <c r="E1743" s="91" t="s">
        <v>2802</v>
      </c>
      <c r="F1743" s="91" t="str">
        <f>VLOOKUP(E1743,[1]库存!$B$1:$C$65536,2,FALSE)</f>
        <v>VW 316/8 PAB A状态</v>
      </c>
      <c r="G1743" s="91" t="s">
        <v>2803</v>
      </c>
      <c r="H1743" s="91" t="s">
        <v>2804</v>
      </c>
      <c r="I1743" s="91" t="s">
        <v>2805</v>
      </c>
      <c r="J1743" s="63"/>
      <c r="K1743" s="61"/>
      <c r="L1743" s="62">
        <v>2</v>
      </c>
      <c r="M1743" s="63">
        <v>650</v>
      </c>
      <c r="N1743" s="64">
        <v>15.5</v>
      </c>
      <c r="O1743" s="62">
        <v>2</v>
      </c>
      <c r="P1743" s="65">
        <f t="shared" si="113"/>
        <v>0</v>
      </c>
      <c r="Q1743" s="66"/>
      <c r="R1743" s="66"/>
      <c r="S1743" s="66"/>
      <c r="T1743" s="66"/>
      <c r="U1743" s="66"/>
      <c r="V1743" s="66"/>
      <c r="W1743" s="66"/>
      <c r="X1743" s="66"/>
      <c r="Y1743" s="66"/>
      <c r="Z1743" s="66"/>
      <c r="AA1743" s="66"/>
      <c r="AB1743" s="66"/>
      <c r="AC1743" s="66"/>
      <c r="AD1743" s="66"/>
      <c r="AE1743" s="66"/>
      <c r="AF1743" s="66"/>
      <c r="AG1743" s="66"/>
      <c r="AH1743" s="66"/>
      <c r="AI1743" s="66"/>
      <c r="AJ1743" s="66"/>
      <c r="AK1743" s="66"/>
      <c r="AL1743" s="66"/>
      <c r="AM1743" s="66"/>
      <c r="AN1743" s="66"/>
      <c r="AO1743" s="66"/>
      <c r="AP1743" s="66"/>
      <c r="AQ1743" s="66"/>
      <c r="AR1743" s="66"/>
      <c r="AS1743" s="66"/>
      <c r="AT1743" s="66"/>
      <c r="AU1743" s="66"/>
      <c r="AV1743" s="66"/>
      <c r="AW1743" s="66"/>
      <c r="AX1743" s="66"/>
      <c r="AY1743" s="66"/>
      <c r="AZ1743" s="66"/>
      <c r="BA1743" s="66"/>
      <c r="BB1743" s="66"/>
      <c r="BC1743" s="66"/>
      <c r="BD1743" s="66"/>
      <c r="BE1743" s="67"/>
      <c r="BF1743" s="67"/>
      <c r="BG1743" s="68"/>
      <c r="BI1743" s="69">
        <v>0</v>
      </c>
      <c r="BJ1743" s="70">
        <v>0</v>
      </c>
      <c r="BK1743" s="71">
        <v>0</v>
      </c>
      <c r="BL1743" s="71">
        <v>0</v>
      </c>
      <c r="BM1743" s="71">
        <v>0</v>
      </c>
      <c r="BN1743" s="72">
        <v>0</v>
      </c>
      <c r="BO1743" s="151" t="e">
        <f t="shared" si="109"/>
        <v>#DIV/0!</v>
      </c>
      <c r="BP1743" s="151" t="e">
        <f t="shared" si="110"/>
        <v>#DIV/0!</v>
      </c>
      <c r="BQ1743" s="71">
        <v>0</v>
      </c>
      <c r="BR1743" s="71">
        <v>0</v>
      </c>
      <c r="BS1743" s="71">
        <v>0</v>
      </c>
      <c r="BT1743" s="72">
        <v>0</v>
      </c>
      <c r="BU1743" s="151" t="e">
        <f t="shared" si="111"/>
        <v>#DIV/0!</v>
      </c>
      <c r="BV1743" s="151" t="e">
        <f t="shared" si="112"/>
        <v>#DIV/0!</v>
      </c>
    </row>
    <row r="1744" ht="30" customHeight="1" spans="1:75">
      <c r="A1744" s="55">
        <v>0</v>
      </c>
      <c r="B1744" s="56">
        <v>0</v>
      </c>
      <c r="C1744" s="57">
        <v>0</v>
      </c>
      <c r="D1744" s="92"/>
      <c r="E1744" s="92"/>
      <c r="F1744" s="91" t="e">
        <f>VLOOKUP(E1744,[1]库存!$B$1:$C$65536,2,FALSE)</f>
        <v>#N/A</v>
      </c>
      <c r="G1744" s="91" t="e">
        <v>#N/A</v>
      </c>
      <c r="H1744" s="92"/>
      <c r="I1744" s="92"/>
      <c r="J1744" s="87"/>
      <c r="K1744" s="61"/>
      <c r="L1744" s="62">
        <v>0</v>
      </c>
      <c r="M1744" s="63">
        <v>0</v>
      </c>
      <c r="N1744" s="64">
        <v>0</v>
      </c>
      <c r="O1744" s="62">
        <v>0</v>
      </c>
      <c r="P1744" s="65">
        <f t="shared" si="113"/>
        <v>0</v>
      </c>
      <c r="Q1744" s="66"/>
      <c r="R1744" s="66"/>
      <c r="S1744" s="66"/>
      <c r="T1744" s="66"/>
      <c r="U1744" s="66"/>
      <c r="V1744" s="66"/>
      <c r="W1744" s="66"/>
      <c r="X1744" s="66"/>
      <c r="Y1744" s="66"/>
      <c r="Z1744" s="66"/>
      <c r="AA1744" s="66"/>
      <c r="AB1744" s="66"/>
      <c r="AC1744" s="66"/>
      <c r="AD1744" s="66"/>
      <c r="AE1744" s="66"/>
      <c r="AF1744" s="66"/>
      <c r="AG1744" s="66"/>
      <c r="AH1744" s="66"/>
      <c r="AI1744" s="66"/>
      <c r="AJ1744" s="66"/>
      <c r="AK1744" s="66"/>
      <c r="AL1744" s="66"/>
      <c r="AM1744" s="66"/>
      <c r="AN1744" s="66"/>
      <c r="AO1744" s="66"/>
      <c r="AP1744" s="66"/>
      <c r="AQ1744" s="66"/>
      <c r="AR1744" s="66"/>
      <c r="AS1744" s="66"/>
      <c r="AT1744" s="66"/>
      <c r="AU1744" s="66"/>
      <c r="AV1744" s="66"/>
      <c r="AW1744" s="66"/>
      <c r="AX1744" s="66"/>
      <c r="AY1744" s="66"/>
      <c r="AZ1744" s="66"/>
      <c r="BA1744" s="66"/>
      <c r="BB1744" s="66"/>
      <c r="BC1744" s="66"/>
      <c r="BD1744" s="66"/>
      <c r="BE1744" s="67"/>
      <c r="BF1744" s="67"/>
      <c r="BG1744" s="68"/>
      <c r="BI1744" s="69">
        <v>0</v>
      </c>
      <c r="BJ1744" s="70">
        <v>0</v>
      </c>
      <c r="BK1744" s="71">
        <v>0</v>
      </c>
      <c r="BL1744" s="71">
        <v>0</v>
      </c>
      <c r="BM1744" s="71">
        <v>0</v>
      </c>
      <c r="BN1744" s="72">
        <v>0</v>
      </c>
      <c r="BO1744" s="151" t="e">
        <f t="shared" si="109"/>
        <v>#DIV/0!</v>
      </c>
      <c r="BP1744" s="151" t="e">
        <f t="shared" si="110"/>
        <v>#DIV/0!</v>
      </c>
      <c r="BQ1744" s="71">
        <v>0</v>
      </c>
      <c r="BR1744" s="71">
        <v>0</v>
      </c>
      <c r="BS1744" s="71">
        <v>0</v>
      </c>
      <c r="BT1744" s="72">
        <v>0</v>
      </c>
      <c r="BU1744" s="151" t="e">
        <f t="shared" si="111"/>
        <v>#DIV/0!</v>
      </c>
      <c r="BV1744" s="151" t="e">
        <f t="shared" si="112"/>
        <v>#DIV/0!</v>
      </c>
    </row>
    <row r="1745" ht="30" customHeight="1" spans="1:74">
      <c r="A1745" s="55" t="s">
        <v>246</v>
      </c>
      <c r="B1745" s="56" t="s">
        <v>2247</v>
      </c>
      <c r="C1745" s="57" t="s">
        <v>2261</v>
      </c>
      <c r="D1745" s="91" t="s">
        <v>2794</v>
      </c>
      <c r="E1745" s="91" t="s">
        <v>2806</v>
      </c>
      <c r="F1745" s="91" t="str">
        <f>VLOOKUP(E1745,[1]库存!$B$1:$C$65536,2,FALSE)</f>
        <v>E15 ASE PAB</v>
      </c>
      <c r="G1745" s="91" t="s">
        <v>2807</v>
      </c>
      <c r="H1745" s="91" t="s">
        <v>2808</v>
      </c>
      <c r="I1745" s="91" t="s">
        <v>2809</v>
      </c>
      <c r="J1745" s="63"/>
      <c r="K1745" s="61"/>
      <c r="L1745" s="62">
        <v>0</v>
      </c>
      <c r="M1745" s="63">
        <v>650</v>
      </c>
      <c r="N1745" s="64">
        <v>16</v>
      </c>
      <c r="O1745" s="62">
        <v>0</v>
      </c>
      <c r="P1745" s="65">
        <f t="shared" si="113"/>
        <v>0</v>
      </c>
      <c r="Q1745" s="66">
        <v>650</v>
      </c>
      <c r="R1745" s="66"/>
      <c r="S1745" s="66">
        <v>700</v>
      </c>
      <c r="T1745" s="66"/>
      <c r="U1745" s="66">
        <v>0</v>
      </c>
      <c r="V1745" s="66"/>
      <c r="W1745" s="66"/>
      <c r="X1745" s="66"/>
      <c r="Y1745" s="66"/>
      <c r="Z1745" s="66"/>
      <c r="AA1745" s="66">
        <v>700</v>
      </c>
      <c r="AB1745" s="66"/>
      <c r="AC1745" s="66">
        <v>750</v>
      </c>
      <c r="AD1745" s="66"/>
      <c r="AE1745" s="66"/>
      <c r="AF1745" s="66"/>
      <c r="AG1745" s="66"/>
      <c r="AH1745" s="66"/>
      <c r="AI1745" s="66"/>
      <c r="AJ1745" s="66"/>
      <c r="AK1745" s="66"/>
      <c r="AL1745" s="66"/>
      <c r="AM1745" s="66"/>
      <c r="AN1745" s="66"/>
      <c r="AO1745" s="66"/>
      <c r="AP1745" s="66"/>
      <c r="AQ1745" s="66"/>
      <c r="AR1745" s="66"/>
      <c r="AS1745" s="66"/>
      <c r="AT1745" s="66"/>
      <c r="AU1745" s="66"/>
      <c r="AV1745" s="66"/>
      <c r="AW1745" s="66"/>
      <c r="AX1745" s="66"/>
      <c r="AY1745" s="66"/>
      <c r="AZ1745" s="66"/>
      <c r="BA1745" s="66"/>
      <c r="BB1745" s="66"/>
      <c r="BC1745" s="66"/>
      <c r="BD1745" s="66"/>
      <c r="BE1745" s="67"/>
      <c r="BF1745" s="67"/>
      <c r="BG1745" s="68"/>
      <c r="BI1745" s="69">
        <v>0</v>
      </c>
      <c r="BJ1745" s="70">
        <v>0</v>
      </c>
      <c r="BK1745" s="71">
        <v>0</v>
      </c>
      <c r="BL1745" s="71">
        <v>0</v>
      </c>
      <c r="BM1745" s="71">
        <v>0</v>
      </c>
      <c r="BN1745" s="72">
        <v>0</v>
      </c>
      <c r="BO1745" s="151" t="e">
        <f t="shared" si="109"/>
        <v>#DIV/0!</v>
      </c>
      <c r="BP1745" s="151" t="e">
        <f t="shared" si="110"/>
        <v>#DIV/0!</v>
      </c>
      <c r="BQ1745" s="71">
        <v>0</v>
      </c>
      <c r="BR1745" s="71">
        <v>0</v>
      </c>
      <c r="BS1745" s="71">
        <v>0</v>
      </c>
      <c r="BT1745" s="72">
        <v>0</v>
      </c>
      <c r="BU1745" s="151" t="e">
        <f t="shared" si="111"/>
        <v>#DIV/0!</v>
      </c>
      <c r="BV1745" s="151" t="e">
        <f t="shared" si="112"/>
        <v>#DIV/0!</v>
      </c>
    </row>
    <row r="1746" ht="30" customHeight="1" spans="1:74">
      <c r="A1746" s="55">
        <v>0</v>
      </c>
      <c r="B1746" s="56">
        <v>0</v>
      </c>
      <c r="C1746" s="57">
        <v>0</v>
      </c>
      <c r="D1746" s="92"/>
      <c r="E1746" s="92"/>
      <c r="F1746" s="91" t="e">
        <f>VLOOKUP(E1746,[1]库存!$B$1:$C$65536,2,FALSE)</f>
        <v>#N/A</v>
      </c>
      <c r="G1746" s="91" t="e">
        <v>#N/A</v>
      </c>
      <c r="H1746" s="92"/>
      <c r="I1746" s="92"/>
      <c r="J1746" s="87"/>
      <c r="K1746" s="61"/>
      <c r="L1746" s="62">
        <v>0</v>
      </c>
      <c r="M1746" s="63">
        <v>0</v>
      </c>
      <c r="N1746" s="64">
        <v>0</v>
      </c>
      <c r="O1746" s="62">
        <v>0</v>
      </c>
      <c r="P1746" s="65">
        <f t="shared" si="113"/>
        <v>0</v>
      </c>
      <c r="Q1746" s="66">
        <v>661</v>
      </c>
      <c r="R1746" s="66"/>
      <c r="S1746" s="66">
        <v>767</v>
      </c>
      <c r="T1746" s="66"/>
      <c r="U1746" s="66"/>
      <c r="V1746" s="66"/>
      <c r="W1746" s="66"/>
      <c r="X1746" s="66"/>
      <c r="Y1746" s="66"/>
      <c r="Z1746" s="66"/>
      <c r="AA1746" s="66">
        <v>700</v>
      </c>
      <c r="AB1746" s="66"/>
      <c r="AC1746" s="66">
        <v>771</v>
      </c>
      <c r="AD1746" s="66"/>
      <c r="AE1746" s="66"/>
      <c r="AF1746" s="66"/>
      <c r="AG1746" s="66"/>
      <c r="AH1746" s="66"/>
      <c r="AI1746" s="66"/>
      <c r="AJ1746" s="66"/>
      <c r="AK1746" s="66"/>
      <c r="AL1746" s="66"/>
      <c r="AM1746" s="66"/>
      <c r="AN1746" s="66"/>
      <c r="AO1746" s="66"/>
      <c r="AP1746" s="66"/>
      <c r="AQ1746" s="66"/>
      <c r="AR1746" s="66"/>
      <c r="AS1746" s="66"/>
      <c r="AT1746" s="66"/>
      <c r="AU1746" s="66"/>
      <c r="AV1746" s="66"/>
      <c r="AW1746" s="66"/>
      <c r="AX1746" s="66"/>
      <c r="AY1746" s="66"/>
      <c r="AZ1746" s="66"/>
      <c r="BA1746" s="66"/>
      <c r="BB1746" s="66"/>
      <c r="BC1746" s="66"/>
      <c r="BD1746" s="66"/>
      <c r="BE1746" s="67"/>
      <c r="BF1746" s="67"/>
      <c r="BG1746" s="68"/>
      <c r="BI1746" s="69">
        <v>0</v>
      </c>
      <c r="BJ1746" s="70">
        <v>0</v>
      </c>
      <c r="BK1746" s="71">
        <v>0</v>
      </c>
      <c r="BL1746" s="71">
        <v>0</v>
      </c>
      <c r="BM1746" s="71">
        <v>0</v>
      </c>
      <c r="BN1746" s="72">
        <v>0</v>
      </c>
      <c r="BO1746" s="151" t="e">
        <f t="shared" si="109"/>
        <v>#DIV/0!</v>
      </c>
      <c r="BP1746" s="151" t="e">
        <f t="shared" si="110"/>
        <v>#DIV/0!</v>
      </c>
      <c r="BQ1746" s="71">
        <v>0</v>
      </c>
      <c r="BR1746" s="71">
        <v>0</v>
      </c>
      <c r="BS1746" s="71">
        <v>0</v>
      </c>
      <c r="BT1746" s="72">
        <v>0</v>
      </c>
      <c r="BU1746" s="151" t="e">
        <f t="shared" si="111"/>
        <v>#DIV/0!</v>
      </c>
      <c r="BV1746" s="151" t="e">
        <f t="shared" si="112"/>
        <v>#DIV/0!</v>
      </c>
    </row>
    <row r="1747" ht="30" customHeight="1" spans="1:74">
      <c r="A1747" s="55">
        <v>0</v>
      </c>
      <c r="B1747" s="56" t="s">
        <v>2247</v>
      </c>
      <c r="C1747" s="57" t="s">
        <v>2261</v>
      </c>
      <c r="D1747" s="59" t="s">
        <v>2794</v>
      </c>
      <c r="E1747" s="59" t="s">
        <v>2810</v>
      </c>
      <c r="F1747" s="59" t="e">
        <f>VLOOKUP(E1747,[1]库存!$B$1:$C$65536,2,FALSE)</f>
        <v>#N/A</v>
      </c>
      <c r="G1747" s="59" t="e">
        <v>#N/A</v>
      </c>
      <c r="H1747" s="59" t="s">
        <v>2811</v>
      </c>
      <c r="I1747" s="59" t="s">
        <v>1129</v>
      </c>
      <c r="J1747" s="63"/>
      <c r="K1747" s="61"/>
      <c r="L1747" s="62">
        <v>0</v>
      </c>
      <c r="M1747" s="63">
        <v>600</v>
      </c>
      <c r="N1747" s="64">
        <v>24</v>
      </c>
      <c r="O1747" s="62">
        <v>0</v>
      </c>
      <c r="P1747" s="65">
        <f t="shared" si="113"/>
        <v>0</v>
      </c>
      <c r="Q1747" s="66"/>
      <c r="R1747" s="66"/>
      <c r="S1747" s="66"/>
      <c r="T1747" s="66"/>
      <c r="U1747" s="66"/>
      <c r="V1747" s="66"/>
      <c r="W1747" s="66"/>
      <c r="X1747" s="66"/>
      <c r="Y1747" s="66"/>
      <c r="Z1747" s="66"/>
      <c r="AA1747" s="66"/>
      <c r="AB1747" s="66"/>
      <c r="AC1747" s="66"/>
      <c r="AD1747" s="66"/>
      <c r="AE1747" s="66"/>
      <c r="AF1747" s="66"/>
      <c r="AG1747" s="66"/>
      <c r="AH1747" s="66"/>
      <c r="AI1747" s="66"/>
      <c r="AJ1747" s="66"/>
      <c r="AK1747" s="66"/>
      <c r="AL1747" s="66"/>
      <c r="AM1747" s="66"/>
      <c r="AN1747" s="66"/>
      <c r="AO1747" s="66"/>
      <c r="AP1747" s="66"/>
      <c r="AQ1747" s="66"/>
      <c r="AR1747" s="66"/>
      <c r="AS1747" s="66"/>
      <c r="AT1747" s="66"/>
      <c r="AU1747" s="66"/>
      <c r="AV1747" s="66"/>
      <c r="AW1747" s="66"/>
      <c r="AX1747" s="66"/>
      <c r="AY1747" s="66"/>
      <c r="AZ1747" s="66"/>
      <c r="BA1747" s="66"/>
      <c r="BB1747" s="66"/>
      <c r="BC1747" s="66"/>
      <c r="BD1747" s="66"/>
      <c r="BE1747" s="67"/>
      <c r="BF1747" s="67"/>
      <c r="BG1747" s="68"/>
      <c r="BI1747" s="69">
        <v>0</v>
      </c>
      <c r="BJ1747" s="70">
        <v>0</v>
      </c>
      <c r="BK1747" s="71">
        <v>0</v>
      </c>
      <c r="BL1747" s="71">
        <v>0</v>
      </c>
      <c r="BM1747" s="71">
        <v>0</v>
      </c>
      <c r="BN1747" s="72">
        <v>0</v>
      </c>
      <c r="BO1747" s="151" t="e">
        <f t="shared" si="109"/>
        <v>#DIV/0!</v>
      </c>
      <c r="BP1747" s="151" t="e">
        <f t="shared" si="110"/>
        <v>#DIV/0!</v>
      </c>
      <c r="BQ1747" s="71">
        <v>0</v>
      </c>
      <c r="BR1747" s="71">
        <v>0</v>
      </c>
      <c r="BS1747" s="71">
        <v>0</v>
      </c>
      <c r="BT1747" s="72">
        <v>0</v>
      </c>
      <c r="BU1747" s="151" t="e">
        <f t="shared" si="111"/>
        <v>#DIV/0!</v>
      </c>
      <c r="BV1747" s="151" t="e">
        <f t="shared" si="112"/>
        <v>#DIV/0!</v>
      </c>
    </row>
    <row r="1748" ht="30" customHeight="1" spans="1:74">
      <c r="A1748" s="55">
        <v>0</v>
      </c>
      <c r="B1748" s="56">
        <v>0</v>
      </c>
      <c r="C1748" s="57">
        <v>0</v>
      </c>
      <c r="D1748" s="74"/>
      <c r="E1748" s="74"/>
      <c r="F1748" s="59" t="e">
        <f>VLOOKUP(E1748,[1]库存!$B$1:$C$65536,2,FALSE)</f>
        <v>#N/A</v>
      </c>
      <c r="G1748" s="59" t="e">
        <v>#N/A</v>
      </c>
      <c r="H1748" s="74"/>
      <c r="I1748" s="74"/>
      <c r="J1748" s="87"/>
      <c r="K1748" s="61"/>
      <c r="L1748" s="62">
        <v>0</v>
      </c>
      <c r="M1748" s="63">
        <v>0</v>
      </c>
      <c r="N1748" s="64">
        <v>0</v>
      </c>
      <c r="O1748" s="62">
        <v>0</v>
      </c>
      <c r="P1748" s="65">
        <f t="shared" si="113"/>
        <v>0</v>
      </c>
      <c r="Q1748" s="66"/>
      <c r="R1748" s="66"/>
      <c r="S1748" s="66"/>
      <c r="T1748" s="66"/>
      <c r="U1748" s="66"/>
      <c r="V1748" s="66"/>
      <c r="W1748" s="66"/>
      <c r="X1748" s="66"/>
      <c r="Y1748" s="66"/>
      <c r="Z1748" s="66"/>
      <c r="AA1748" s="66"/>
      <c r="AB1748" s="66"/>
      <c r="AC1748" s="66"/>
      <c r="AD1748" s="66"/>
      <c r="AE1748" s="66"/>
      <c r="AF1748" s="66"/>
      <c r="AG1748" s="66"/>
      <c r="AH1748" s="66"/>
      <c r="AI1748" s="66"/>
      <c r="AJ1748" s="66"/>
      <c r="AK1748" s="66"/>
      <c r="AL1748" s="66"/>
      <c r="AM1748" s="66"/>
      <c r="AN1748" s="66"/>
      <c r="AO1748" s="66"/>
      <c r="AP1748" s="66"/>
      <c r="AQ1748" s="66"/>
      <c r="AR1748" s="66"/>
      <c r="AS1748" s="66"/>
      <c r="AT1748" s="66"/>
      <c r="AU1748" s="66"/>
      <c r="AV1748" s="66"/>
      <c r="AW1748" s="66"/>
      <c r="AX1748" s="66"/>
      <c r="AY1748" s="66"/>
      <c r="AZ1748" s="66"/>
      <c r="BA1748" s="66"/>
      <c r="BB1748" s="66"/>
      <c r="BC1748" s="66"/>
      <c r="BD1748" s="66"/>
      <c r="BE1748" s="67"/>
      <c r="BF1748" s="67"/>
      <c r="BG1748" s="68"/>
      <c r="BI1748" s="69">
        <v>0</v>
      </c>
      <c r="BJ1748" s="70">
        <v>0</v>
      </c>
      <c r="BK1748" s="71">
        <v>0</v>
      </c>
      <c r="BL1748" s="71">
        <v>0</v>
      </c>
      <c r="BM1748" s="71">
        <v>0</v>
      </c>
      <c r="BN1748" s="72">
        <v>0</v>
      </c>
      <c r="BO1748" s="151" t="e">
        <f t="shared" si="109"/>
        <v>#DIV/0!</v>
      </c>
      <c r="BP1748" s="151" t="e">
        <f t="shared" si="110"/>
        <v>#DIV/0!</v>
      </c>
      <c r="BQ1748" s="71">
        <v>0</v>
      </c>
      <c r="BR1748" s="71">
        <v>0</v>
      </c>
      <c r="BS1748" s="71">
        <v>0</v>
      </c>
      <c r="BT1748" s="72">
        <v>0</v>
      </c>
      <c r="BU1748" s="151" t="e">
        <f t="shared" si="111"/>
        <v>#DIV/0!</v>
      </c>
      <c r="BV1748" s="151" t="e">
        <f t="shared" si="112"/>
        <v>#DIV/0!</v>
      </c>
    </row>
    <row r="1749" ht="30" customHeight="1" spans="1:74">
      <c r="A1749" s="55">
        <v>0</v>
      </c>
      <c r="B1749" s="56" t="s">
        <v>2247</v>
      </c>
      <c r="C1749" s="57" t="s">
        <v>2261</v>
      </c>
      <c r="D1749" s="59" t="s">
        <v>2794</v>
      </c>
      <c r="E1749" s="59"/>
      <c r="F1749" s="59" t="e">
        <f>VLOOKUP(E1749,[1]库存!$B$1:$C$65536,2,FALSE)</f>
        <v>#N/A</v>
      </c>
      <c r="G1749" s="59" t="e">
        <v>#N/A</v>
      </c>
      <c r="H1749" s="59" t="s">
        <v>2812</v>
      </c>
      <c r="I1749" s="59" t="s">
        <v>2813</v>
      </c>
      <c r="J1749" s="63"/>
      <c r="K1749" s="61"/>
      <c r="L1749" s="62">
        <v>0</v>
      </c>
      <c r="M1749" s="63">
        <v>600</v>
      </c>
      <c r="N1749" s="64">
        <v>24</v>
      </c>
      <c r="O1749" s="62">
        <v>0</v>
      </c>
      <c r="P1749" s="65">
        <f t="shared" si="113"/>
        <v>0</v>
      </c>
      <c r="Q1749" s="66"/>
      <c r="R1749" s="66"/>
      <c r="S1749" s="66"/>
      <c r="T1749" s="66"/>
      <c r="U1749" s="66"/>
      <c r="V1749" s="66"/>
      <c r="W1749" s="66"/>
      <c r="X1749" s="66"/>
      <c r="Y1749" s="66"/>
      <c r="Z1749" s="66"/>
      <c r="AA1749" s="66"/>
      <c r="AB1749" s="66"/>
      <c r="AC1749" s="66"/>
      <c r="AD1749" s="66"/>
      <c r="AE1749" s="66"/>
      <c r="AF1749" s="66"/>
      <c r="AG1749" s="66"/>
      <c r="AH1749" s="66"/>
      <c r="AI1749" s="66"/>
      <c r="AJ1749" s="66"/>
      <c r="AK1749" s="66"/>
      <c r="AL1749" s="66"/>
      <c r="AM1749" s="66"/>
      <c r="AN1749" s="66"/>
      <c r="AO1749" s="66"/>
      <c r="AP1749" s="66"/>
      <c r="AQ1749" s="66"/>
      <c r="AR1749" s="66"/>
      <c r="AS1749" s="66"/>
      <c r="AT1749" s="66"/>
      <c r="AU1749" s="66"/>
      <c r="AV1749" s="66"/>
      <c r="AW1749" s="66"/>
      <c r="AX1749" s="66"/>
      <c r="AY1749" s="66"/>
      <c r="AZ1749" s="66"/>
      <c r="BA1749" s="66"/>
      <c r="BB1749" s="66"/>
      <c r="BC1749" s="66"/>
      <c r="BD1749" s="66"/>
      <c r="BE1749" s="67"/>
      <c r="BF1749" s="67"/>
      <c r="BG1749" s="68"/>
      <c r="BI1749" s="69">
        <v>0</v>
      </c>
      <c r="BJ1749" s="70">
        <v>0</v>
      </c>
      <c r="BK1749" s="71">
        <v>0</v>
      </c>
      <c r="BL1749" s="71">
        <v>0</v>
      </c>
      <c r="BM1749" s="71">
        <v>0</v>
      </c>
      <c r="BN1749" s="72">
        <v>0</v>
      </c>
      <c r="BO1749" s="151" t="e">
        <f t="shared" si="109"/>
        <v>#DIV/0!</v>
      </c>
      <c r="BP1749" s="151" t="e">
        <f t="shared" si="110"/>
        <v>#DIV/0!</v>
      </c>
      <c r="BQ1749" s="71">
        <v>0</v>
      </c>
      <c r="BR1749" s="71">
        <v>0</v>
      </c>
      <c r="BS1749" s="71">
        <v>0</v>
      </c>
      <c r="BT1749" s="72">
        <v>0</v>
      </c>
      <c r="BU1749" s="151" t="e">
        <f t="shared" si="111"/>
        <v>#DIV/0!</v>
      </c>
      <c r="BV1749" s="151" t="e">
        <f t="shared" si="112"/>
        <v>#DIV/0!</v>
      </c>
    </row>
    <row r="1750" ht="30" customHeight="1" spans="1:74">
      <c r="A1750" s="55">
        <v>0</v>
      </c>
      <c r="B1750" s="56">
        <v>0</v>
      </c>
      <c r="C1750" s="57">
        <v>0</v>
      </c>
      <c r="D1750" s="74"/>
      <c r="E1750" s="74"/>
      <c r="F1750" s="59" t="e">
        <f>VLOOKUP(E1750,[1]库存!$B$1:$C$65536,2,FALSE)</f>
        <v>#N/A</v>
      </c>
      <c r="G1750" s="59" t="e">
        <v>#N/A</v>
      </c>
      <c r="H1750" s="74"/>
      <c r="I1750" s="74"/>
      <c r="J1750" s="87"/>
      <c r="K1750" s="61"/>
      <c r="L1750" s="62">
        <v>0</v>
      </c>
      <c r="M1750" s="63">
        <v>0</v>
      </c>
      <c r="N1750" s="64">
        <v>0</v>
      </c>
      <c r="O1750" s="62">
        <v>0</v>
      </c>
      <c r="P1750" s="65">
        <f t="shared" si="113"/>
        <v>0</v>
      </c>
      <c r="Q1750" s="66"/>
      <c r="R1750" s="66"/>
      <c r="S1750" s="66"/>
      <c r="T1750" s="66"/>
      <c r="U1750" s="66"/>
      <c r="V1750" s="66"/>
      <c r="W1750" s="66"/>
      <c r="X1750" s="66"/>
      <c r="Y1750" s="66"/>
      <c r="Z1750" s="66"/>
      <c r="AA1750" s="66"/>
      <c r="AB1750" s="66"/>
      <c r="AC1750" s="66"/>
      <c r="AD1750" s="66"/>
      <c r="AE1750" s="66"/>
      <c r="AF1750" s="66"/>
      <c r="AG1750" s="66"/>
      <c r="AH1750" s="66"/>
      <c r="AI1750" s="66"/>
      <c r="AJ1750" s="66"/>
      <c r="AK1750" s="66"/>
      <c r="AL1750" s="66"/>
      <c r="AM1750" s="66"/>
      <c r="AN1750" s="66"/>
      <c r="AO1750" s="66"/>
      <c r="AP1750" s="66"/>
      <c r="AQ1750" s="66"/>
      <c r="AR1750" s="66"/>
      <c r="AS1750" s="66"/>
      <c r="AT1750" s="66"/>
      <c r="AU1750" s="66"/>
      <c r="AV1750" s="66"/>
      <c r="AW1750" s="66"/>
      <c r="AX1750" s="66"/>
      <c r="AY1750" s="66"/>
      <c r="AZ1750" s="66"/>
      <c r="BA1750" s="66"/>
      <c r="BB1750" s="66"/>
      <c r="BC1750" s="66"/>
      <c r="BD1750" s="66"/>
      <c r="BE1750" s="67"/>
      <c r="BF1750" s="67"/>
      <c r="BG1750" s="68"/>
      <c r="BI1750" s="69">
        <v>0</v>
      </c>
      <c r="BJ1750" s="70">
        <v>0</v>
      </c>
      <c r="BK1750" s="71">
        <v>0</v>
      </c>
      <c r="BL1750" s="71">
        <v>0</v>
      </c>
      <c r="BM1750" s="71">
        <v>0</v>
      </c>
      <c r="BN1750" s="72">
        <v>0</v>
      </c>
      <c r="BO1750" s="151" t="e">
        <f t="shared" si="109"/>
        <v>#DIV/0!</v>
      </c>
      <c r="BP1750" s="151" t="e">
        <f t="shared" si="110"/>
        <v>#DIV/0!</v>
      </c>
      <c r="BQ1750" s="71">
        <v>0</v>
      </c>
      <c r="BR1750" s="71">
        <v>0</v>
      </c>
      <c r="BS1750" s="71">
        <v>0</v>
      </c>
      <c r="BT1750" s="72">
        <v>0</v>
      </c>
      <c r="BU1750" s="151" t="e">
        <f t="shared" si="111"/>
        <v>#DIV/0!</v>
      </c>
      <c r="BV1750" s="151" t="e">
        <f t="shared" si="112"/>
        <v>#DIV/0!</v>
      </c>
    </row>
    <row r="1751" ht="30" customHeight="1" spans="1:74">
      <c r="A1751" s="55">
        <v>0</v>
      </c>
      <c r="B1751" s="56">
        <v>0</v>
      </c>
      <c r="C1751" s="57">
        <v>0</v>
      </c>
      <c r="D1751" s="210"/>
      <c r="E1751" s="88"/>
      <c r="F1751" s="59" t="e">
        <f>VLOOKUP(E1751,[1]库存!$B$1:$C$65536,2,FALSE)</f>
        <v>#N/A</v>
      </c>
      <c r="G1751" s="59" t="e">
        <v>#N/A</v>
      </c>
      <c r="H1751" s="238"/>
      <c r="I1751" s="239"/>
      <c r="J1751" s="90"/>
      <c r="K1751" s="61"/>
      <c r="L1751" s="62">
        <v>0</v>
      </c>
      <c r="M1751" s="63">
        <v>0</v>
      </c>
      <c r="N1751" s="64">
        <v>0</v>
      </c>
      <c r="O1751" s="62">
        <v>0</v>
      </c>
      <c r="P1751" s="65">
        <f t="shared" si="113"/>
        <v>0</v>
      </c>
      <c r="Q1751" s="66"/>
      <c r="R1751" s="66"/>
      <c r="S1751" s="66"/>
      <c r="T1751" s="66"/>
      <c r="U1751" s="66"/>
      <c r="V1751" s="66"/>
      <c r="W1751" s="66"/>
      <c r="X1751" s="66"/>
      <c r="Y1751" s="66"/>
      <c r="Z1751" s="66"/>
      <c r="AA1751" s="66"/>
      <c r="AB1751" s="66"/>
      <c r="AC1751" s="66"/>
      <c r="AD1751" s="66"/>
      <c r="AE1751" s="66"/>
      <c r="AF1751" s="66"/>
      <c r="AG1751" s="66"/>
      <c r="AH1751" s="66"/>
      <c r="AI1751" s="66"/>
      <c r="AJ1751" s="66"/>
      <c r="AK1751" s="66"/>
      <c r="AL1751" s="66"/>
      <c r="AM1751" s="66"/>
      <c r="AN1751" s="66"/>
      <c r="AO1751" s="66"/>
      <c r="AP1751" s="66"/>
      <c r="AQ1751" s="66"/>
      <c r="AR1751" s="66"/>
      <c r="AS1751" s="66"/>
      <c r="AT1751" s="66"/>
      <c r="AU1751" s="66"/>
      <c r="AV1751" s="66"/>
      <c r="AW1751" s="66"/>
      <c r="AX1751" s="66"/>
      <c r="AY1751" s="66"/>
      <c r="AZ1751" s="66"/>
      <c r="BA1751" s="66"/>
      <c r="BB1751" s="66"/>
      <c r="BC1751" s="66"/>
      <c r="BD1751" s="66"/>
      <c r="BE1751" s="67"/>
      <c r="BF1751" s="67"/>
      <c r="BG1751" s="68"/>
      <c r="BI1751" s="69">
        <v>0</v>
      </c>
      <c r="BJ1751" s="70">
        <v>0</v>
      </c>
      <c r="BK1751" s="71">
        <v>0</v>
      </c>
      <c r="BL1751" s="71">
        <v>0</v>
      </c>
      <c r="BM1751" s="71">
        <v>0</v>
      </c>
      <c r="BN1751" s="72">
        <v>0</v>
      </c>
      <c r="BO1751" s="151" t="e">
        <f t="shared" si="109"/>
        <v>#DIV/0!</v>
      </c>
      <c r="BP1751" s="151" t="e">
        <f t="shared" si="110"/>
        <v>#DIV/0!</v>
      </c>
      <c r="BQ1751" s="71">
        <v>0</v>
      </c>
      <c r="BR1751" s="71">
        <v>0</v>
      </c>
      <c r="BS1751" s="71">
        <v>0</v>
      </c>
      <c r="BT1751" s="72">
        <v>0</v>
      </c>
      <c r="BU1751" s="151" t="e">
        <f t="shared" si="111"/>
        <v>#DIV/0!</v>
      </c>
      <c r="BV1751" s="151" t="e">
        <f t="shared" si="112"/>
        <v>#DIV/0!</v>
      </c>
    </row>
    <row r="1752" ht="30" customHeight="1" spans="1:74">
      <c r="A1752" s="55" t="s">
        <v>165</v>
      </c>
      <c r="B1752" s="56" t="s">
        <v>2247</v>
      </c>
      <c r="C1752" s="57" t="s">
        <v>2248</v>
      </c>
      <c r="D1752" s="59" t="s">
        <v>2814</v>
      </c>
      <c r="E1752" s="59"/>
      <c r="F1752" s="59" t="e">
        <f>VLOOKUP(E1752,[1]库存!$B$1:$C$65536,2,FALSE)</f>
        <v>#N/A</v>
      </c>
      <c r="G1752" s="59" t="e">
        <v>#N/A</v>
      </c>
      <c r="H1752" s="59" t="s">
        <v>513</v>
      </c>
      <c r="I1752" s="59" t="s">
        <v>514</v>
      </c>
      <c r="J1752" s="82" t="s">
        <v>42</v>
      </c>
      <c r="K1752" s="61"/>
      <c r="L1752" s="62">
        <v>2</v>
      </c>
      <c r="M1752" s="63">
        <v>550</v>
      </c>
      <c r="N1752" s="64">
        <v>20</v>
      </c>
      <c r="O1752" s="62">
        <v>2</v>
      </c>
      <c r="P1752" s="65">
        <f t="shared" si="113"/>
        <v>0</v>
      </c>
      <c r="Q1752" s="103"/>
      <c r="R1752" s="103"/>
      <c r="S1752" s="103"/>
      <c r="T1752" s="103"/>
      <c r="U1752" s="103"/>
      <c r="V1752" s="103"/>
      <c r="W1752" s="103"/>
      <c r="X1752" s="103"/>
      <c r="Y1752" s="103"/>
      <c r="Z1752" s="103"/>
      <c r="AA1752" s="103"/>
      <c r="AB1752" s="103"/>
      <c r="AC1752" s="103"/>
      <c r="AD1752" s="103"/>
      <c r="AE1752" s="103"/>
      <c r="AF1752" s="103"/>
      <c r="AG1752" s="103"/>
      <c r="AH1752" s="103"/>
      <c r="AI1752" s="103"/>
      <c r="AJ1752" s="103"/>
      <c r="AK1752" s="103"/>
      <c r="AL1752" s="103"/>
      <c r="AM1752" s="103"/>
      <c r="AN1752" s="103"/>
      <c r="AO1752" s="103"/>
      <c r="AP1752" s="103"/>
      <c r="AQ1752" s="103"/>
      <c r="AR1752" s="103"/>
      <c r="AS1752" s="103"/>
      <c r="AT1752" s="103"/>
      <c r="AU1752" s="103"/>
      <c r="AV1752" s="103"/>
      <c r="AW1752" s="103"/>
      <c r="AX1752" s="103"/>
      <c r="AY1752" s="103"/>
      <c r="AZ1752" s="103"/>
      <c r="BA1752" s="103"/>
      <c r="BB1752" s="103"/>
      <c r="BC1752" s="103"/>
      <c r="BD1752" s="103"/>
      <c r="BE1752" s="105"/>
      <c r="BF1752" s="105"/>
      <c r="BG1752" s="68"/>
      <c r="BI1752" s="69">
        <v>0</v>
      </c>
      <c r="BJ1752" s="70">
        <v>0</v>
      </c>
      <c r="BK1752" s="71">
        <v>0</v>
      </c>
      <c r="BL1752" s="71">
        <v>0</v>
      </c>
      <c r="BM1752" s="71">
        <v>0</v>
      </c>
      <c r="BN1752" s="72">
        <v>0</v>
      </c>
      <c r="BO1752" s="151" t="e">
        <f t="shared" si="109"/>
        <v>#DIV/0!</v>
      </c>
      <c r="BP1752" s="151" t="e">
        <f t="shared" si="110"/>
        <v>#DIV/0!</v>
      </c>
      <c r="BQ1752" s="71">
        <v>0</v>
      </c>
      <c r="BR1752" s="71">
        <v>0</v>
      </c>
      <c r="BS1752" s="71">
        <v>0</v>
      </c>
      <c r="BT1752" s="72">
        <v>0</v>
      </c>
      <c r="BU1752" s="151" t="e">
        <f t="shared" si="111"/>
        <v>#DIV/0!</v>
      </c>
      <c r="BV1752" s="151" t="e">
        <f t="shared" si="112"/>
        <v>#DIV/0!</v>
      </c>
    </row>
    <row r="1753" ht="30" customHeight="1" spans="1:74">
      <c r="A1753" s="55">
        <v>0</v>
      </c>
      <c r="B1753" s="56">
        <v>0</v>
      </c>
      <c r="C1753" s="57">
        <v>0</v>
      </c>
      <c r="D1753" s="74"/>
      <c r="E1753" s="74"/>
      <c r="F1753" s="59" t="e">
        <f>VLOOKUP(E1753,[1]库存!$B$1:$C$65536,2,FALSE)</f>
        <v>#N/A</v>
      </c>
      <c r="G1753" s="59" t="e">
        <v>#N/A</v>
      </c>
      <c r="H1753" s="74"/>
      <c r="I1753" s="74"/>
      <c r="J1753" s="83"/>
      <c r="K1753" s="61"/>
      <c r="L1753" s="62">
        <v>0</v>
      </c>
      <c r="M1753" s="63">
        <v>0</v>
      </c>
      <c r="N1753" s="64">
        <v>0</v>
      </c>
      <c r="O1753" s="62">
        <v>0</v>
      </c>
      <c r="P1753" s="65">
        <f t="shared" si="113"/>
        <v>0</v>
      </c>
      <c r="Q1753" s="66"/>
      <c r="R1753" s="66"/>
      <c r="S1753" s="66"/>
      <c r="T1753" s="66"/>
      <c r="U1753" s="66"/>
      <c r="V1753" s="66"/>
      <c r="W1753" s="66"/>
      <c r="X1753" s="66"/>
      <c r="Y1753" s="66"/>
      <c r="Z1753" s="66"/>
      <c r="AA1753" s="66"/>
      <c r="AB1753" s="66"/>
      <c r="AC1753" s="66"/>
      <c r="AD1753" s="66"/>
      <c r="AE1753" s="66"/>
      <c r="AF1753" s="66"/>
      <c r="AG1753" s="66"/>
      <c r="AH1753" s="66"/>
      <c r="AI1753" s="66"/>
      <c r="AJ1753" s="66"/>
      <c r="AK1753" s="66"/>
      <c r="AL1753" s="66"/>
      <c r="AM1753" s="66"/>
      <c r="AN1753" s="66"/>
      <c r="AO1753" s="66"/>
      <c r="AP1753" s="66"/>
      <c r="AQ1753" s="66"/>
      <c r="AR1753" s="66"/>
      <c r="AS1753" s="66"/>
      <c r="AT1753" s="66"/>
      <c r="AU1753" s="66"/>
      <c r="AV1753" s="66"/>
      <c r="AW1753" s="66"/>
      <c r="AX1753" s="66"/>
      <c r="AY1753" s="66"/>
      <c r="AZ1753" s="66"/>
      <c r="BA1753" s="66"/>
      <c r="BB1753" s="66"/>
      <c r="BC1753" s="66"/>
      <c r="BD1753" s="66"/>
      <c r="BE1753" s="67"/>
      <c r="BF1753" s="67"/>
      <c r="BG1753" s="68"/>
      <c r="BI1753" s="69">
        <v>0</v>
      </c>
      <c r="BJ1753" s="70">
        <v>0</v>
      </c>
      <c r="BK1753" s="71">
        <v>0</v>
      </c>
      <c r="BL1753" s="71">
        <v>0</v>
      </c>
      <c r="BM1753" s="71">
        <v>0</v>
      </c>
      <c r="BN1753" s="72">
        <v>0</v>
      </c>
      <c r="BO1753" s="151" t="e">
        <f t="shared" si="109"/>
        <v>#DIV/0!</v>
      </c>
      <c r="BP1753" s="151" t="e">
        <f t="shared" si="110"/>
        <v>#DIV/0!</v>
      </c>
      <c r="BQ1753" s="71">
        <v>0</v>
      </c>
      <c r="BR1753" s="71">
        <v>0</v>
      </c>
      <c r="BS1753" s="71">
        <v>0</v>
      </c>
      <c r="BT1753" s="72">
        <v>0</v>
      </c>
      <c r="BU1753" s="151" t="e">
        <f t="shared" si="111"/>
        <v>#DIV/0!</v>
      </c>
      <c r="BV1753" s="151" t="e">
        <f t="shared" si="112"/>
        <v>#DIV/0!</v>
      </c>
    </row>
    <row r="1754" ht="30" customHeight="1" spans="1:74">
      <c r="A1754" s="55" t="s">
        <v>165</v>
      </c>
      <c r="B1754" s="56" t="s">
        <v>2247</v>
      </c>
      <c r="C1754" s="57" t="s">
        <v>2248</v>
      </c>
      <c r="D1754" s="91" t="s">
        <v>2814</v>
      </c>
      <c r="E1754" s="91" t="s">
        <v>2815</v>
      </c>
      <c r="F1754" s="91" t="str">
        <f>VLOOKUP(E1754,[1]库存!$B$1:$C$65536,2,FALSE)</f>
        <v>CHERY T19C FCA DRH B状态</v>
      </c>
      <c r="G1754" s="91" t="s">
        <v>2816</v>
      </c>
      <c r="H1754" s="91" t="s">
        <v>516</v>
      </c>
      <c r="I1754" s="59" t="s">
        <v>514</v>
      </c>
      <c r="J1754" s="63"/>
      <c r="K1754" s="61"/>
      <c r="L1754" s="62">
        <v>2</v>
      </c>
      <c r="M1754" s="63">
        <v>550</v>
      </c>
      <c r="N1754" s="64">
        <v>20</v>
      </c>
      <c r="O1754" s="62">
        <v>2</v>
      </c>
      <c r="P1754" s="65">
        <f t="shared" si="113"/>
        <v>0</v>
      </c>
      <c r="Q1754" s="103">
        <v>950</v>
      </c>
      <c r="R1754" s="103"/>
      <c r="S1754" s="103">
        <v>1050</v>
      </c>
      <c r="T1754" s="103"/>
      <c r="U1754" s="103">
        <v>1050</v>
      </c>
      <c r="V1754" s="103"/>
      <c r="W1754" s="103"/>
      <c r="X1754" s="103"/>
      <c r="Y1754" s="103"/>
      <c r="Z1754" s="103"/>
      <c r="AA1754" s="103"/>
      <c r="AB1754" s="103"/>
      <c r="AC1754" s="103"/>
      <c r="AD1754" s="103"/>
      <c r="AE1754" s="103"/>
      <c r="AF1754" s="103"/>
      <c r="AG1754" s="103"/>
      <c r="AH1754" s="103"/>
      <c r="AI1754" s="103"/>
      <c r="AJ1754" s="103"/>
      <c r="AK1754" s="103"/>
      <c r="AL1754" s="103"/>
      <c r="AM1754" s="103"/>
      <c r="AN1754" s="103"/>
      <c r="AO1754" s="103"/>
      <c r="AP1754" s="103"/>
      <c r="AQ1754" s="103"/>
      <c r="AR1754" s="103"/>
      <c r="AS1754" s="103"/>
      <c r="AT1754" s="103"/>
      <c r="AU1754" s="103"/>
      <c r="AV1754" s="103"/>
      <c r="AW1754" s="103"/>
      <c r="AX1754" s="103"/>
      <c r="AY1754" s="103"/>
      <c r="AZ1754" s="103"/>
      <c r="BA1754" s="103"/>
      <c r="BB1754" s="103"/>
      <c r="BC1754" s="103"/>
      <c r="BD1754" s="103"/>
      <c r="BE1754" s="105"/>
      <c r="BF1754" s="67"/>
      <c r="BG1754" s="68"/>
      <c r="BI1754" s="69">
        <v>0</v>
      </c>
      <c r="BJ1754" s="70">
        <v>0</v>
      </c>
      <c r="BK1754" s="71">
        <v>0</v>
      </c>
      <c r="BL1754" s="71">
        <v>0</v>
      </c>
      <c r="BM1754" s="71">
        <v>0</v>
      </c>
      <c r="BN1754" s="72">
        <v>0</v>
      </c>
      <c r="BO1754" s="151" t="e">
        <f t="shared" ref="BO1754:BO1789" si="114">(BK1754+BL1754)/BJ1754</f>
        <v>#DIV/0!</v>
      </c>
      <c r="BP1754" s="151" t="e">
        <f t="shared" ref="BP1754:BP1789" si="115">BM1754/BJ1754</f>
        <v>#DIV/0!</v>
      </c>
      <c r="BQ1754" s="71">
        <v>0</v>
      </c>
      <c r="BR1754" s="71">
        <v>0</v>
      </c>
      <c r="BS1754" s="71">
        <v>0</v>
      </c>
      <c r="BT1754" s="72">
        <v>0</v>
      </c>
      <c r="BU1754" s="151" t="e">
        <f t="shared" si="111"/>
        <v>#DIV/0!</v>
      </c>
      <c r="BV1754" s="151" t="e">
        <f t="shared" si="112"/>
        <v>#DIV/0!</v>
      </c>
    </row>
    <row r="1755" ht="30" customHeight="1" spans="1:74">
      <c r="A1755" s="55">
        <v>0</v>
      </c>
      <c r="B1755" s="56">
        <v>0</v>
      </c>
      <c r="C1755" s="57">
        <v>0</v>
      </c>
      <c r="D1755" s="92"/>
      <c r="E1755" s="92"/>
      <c r="F1755" s="91" t="e">
        <f>VLOOKUP(E1755,[1]库存!$B$1:$C$65536,2,FALSE)</f>
        <v>#N/A</v>
      </c>
      <c r="G1755" s="91" t="e">
        <v>#N/A</v>
      </c>
      <c r="H1755" s="92"/>
      <c r="I1755" s="74"/>
      <c r="J1755" s="87"/>
      <c r="K1755" s="61"/>
      <c r="L1755" s="62">
        <v>0</v>
      </c>
      <c r="M1755" s="63">
        <v>0</v>
      </c>
      <c r="N1755" s="64">
        <v>0</v>
      </c>
      <c r="O1755" s="62">
        <v>0</v>
      </c>
      <c r="P1755" s="65">
        <f t="shared" si="113"/>
        <v>0</v>
      </c>
      <c r="Q1755" s="12">
        <v>958</v>
      </c>
      <c r="R1755" s="66"/>
      <c r="S1755" s="12">
        <v>1055</v>
      </c>
      <c r="T1755" s="66"/>
      <c r="U1755" s="12">
        <v>1098</v>
      </c>
      <c r="V1755" s="66"/>
      <c r="X1755" s="66"/>
      <c r="Z1755" s="66"/>
      <c r="AB1755" s="66"/>
      <c r="AD1755" s="66"/>
      <c r="AF1755" s="66"/>
      <c r="AH1755" s="66"/>
      <c r="AJ1755" s="66"/>
      <c r="AL1755" s="66"/>
      <c r="AN1755" s="66"/>
      <c r="AP1755" s="66"/>
      <c r="AR1755" s="66"/>
      <c r="AT1755" s="66"/>
      <c r="AV1755" s="66"/>
      <c r="AX1755" s="66"/>
      <c r="AZ1755" s="66"/>
      <c r="BB1755" s="66"/>
      <c r="BD1755" s="66"/>
      <c r="BF1755" s="67"/>
      <c r="BG1755" s="68"/>
      <c r="BI1755" s="69">
        <v>0</v>
      </c>
      <c r="BJ1755" s="70">
        <v>0</v>
      </c>
      <c r="BK1755" s="71">
        <v>0</v>
      </c>
      <c r="BL1755" s="71">
        <v>0</v>
      </c>
      <c r="BM1755" s="71">
        <v>0</v>
      </c>
      <c r="BN1755" s="72">
        <v>0</v>
      </c>
      <c r="BO1755" s="151" t="e">
        <f t="shared" si="114"/>
        <v>#DIV/0!</v>
      </c>
      <c r="BP1755" s="151" t="e">
        <f t="shared" si="115"/>
        <v>#DIV/0!</v>
      </c>
      <c r="BQ1755" s="71">
        <v>0</v>
      </c>
      <c r="BR1755" s="71">
        <v>0</v>
      </c>
      <c r="BS1755" s="71">
        <v>0</v>
      </c>
      <c r="BT1755" s="72">
        <v>0</v>
      </c>
      <c r="BU1755" s="151" t="e">
        <f t="shared" si="111"/>
        <v>#DIV/0!</v>
      </c>
      <c r="BV1755" s="151" t="e">
        <f t="shared" si="112"/>
        <v>#DIV/0!</v>
      </c>
    </row>
    <row r="1756" ht="30" customHeight="1" spans="1:74">
      <c r="A1756" s="55" t="s">
        <v>165</v>
      </c>
      <c r="B1756" s="56" t="s">
        <v>2247</v>
      </c>
      <c r="C1756" s="57" t="s">
        <v>2248</v>
      </c>
      <c r="D1756" s="59" t="s">
        <v>2814</v>
      </c>
      <c r="E1756" s="59" t="s">
        <v>2817</v>
      </c>
      <c r="F1756" s="59" t="str">
        <f>VLOOKUP(E1756,[1]库存!$B$1:$C$65536,2,FALSE)</f>
        <v>VW3168 FCAB LHD B状态</v>
      </c>
      <c r="G1756" s="59" t="s">
        <v>2818</v>
      </c>
      <c r="H1756" s="250" t="s">
        <v>2819</v>
      </c>
      <c r="I1756" s="59" t="s">
        <v>521</v>
      </c>
      <c r="J1756" s="63"/>
      <c r="K1756" s="61"/>
      <c r="L1756" s="62">
        <v>2</v>
      </c>
      <c r="M1756" s="63">
        <v>300</v>
      </c>
      <c r="N1756" s="64">
        <v>16.5</v>
      </c>
      <c r="O1756" s="62">
        <v>2</v>
      </c>
      <c r="P1756" s="65">
        <f t="shared" si="113"/>
        <v>0</v>
      </c>
      <c r="Q1756" s="103"/>
      <c r="R1756" s="66"/>
      <c r="S1756" s="103"/>
      <c r="T1756" s="66"/>
      <c r="U1756" s="103"/>
      <c r="V1756" s="66"/>
      <c r="W1756" s="103"/>
      <c r="X1756" s="66"/>
      <c r="Y1756" s="103"/>
      <c r="Z1756" s="66"/>
      <c r="AA1756" s="103"/>
      <c r="AB1756" s="66"/>
      <c r="AC1756" s="103"/>
      <c r="AD1756" s="66"/>
      <c r="AE1756" s="103"/>
      <c r="AF1756" s="66"/>
      <c r="AG1756" s="103"/>
      <c r="AH1756" s="66"/>
      <c r="AI1756" s="103"/>
      <c r="AJ1756" s="66"/>
      <c r="AK1756" s="103"/>
      <c r="AL1756" s="66"/>
      <c r="AM1756" s="103"/>
      <c r="AN1756" s="66"/>
      <c r="AO1756" s="103"/>
      <c r="AP1756" s="66"/>
      <c r="AQ1756" s="103"/>
      <c r="AR1756" s="66"/>
      <c r="AS1756" s="103"/>
      <c r="AT1756" s="66"/>
      <c r="AU1756" s="103"/>
      <c r="AV1756" s="66"/>
      <c r="AW1756" s="103"/>
      <c r="AX1756" s="66"/>
      <c r="AY1756" s="103"/>
      <c r="AZ1756" s="66"/>
      <c r="BA1756" s="66"/>
      <c r="BB1756" s="66"/>
      <c r="BC1756" s="103"/>
      <c r="BD1756" s="66"/>
      <c r="BE1756" s="67"/>
      <c r="BF1756" s="67"/>
      <c r="BG1756" s="68"/>
      <c r="BI1756" s="69">
        <v>0</v>
      </c>
      <c r="BJ1756" s="70">
        <v>0</v>
      </c>
      <c r="BK1756" s="71">
        <v>0</v>
      </c>
      <c r="BL1756" s="71">
        <v>0</v>
      </c>
      <c r="BM1756" s="71">
        <v>0</v>
      </c>
      <c r="BN1756" s="72">
        <v>0</v>
      </c>
      <c r="BO1756" s="151" t="e">
        <f t="shared" si="114"/>
        <v>#DIV/0!</v>
      </c>
      <c r="BP1756" s="151" t="e">
        <f t="shared" si="115"/>
        <v>#DIV/0!</v>
      </c>
      <c r="BQ1756" s="71">
        <v>0</v>
      </c>
      <c r="BR1756" s="71">
        <v>0</v>
      </c>
      <c r="BS1756" s="71">
        <v>0</v>
      </c>
      <c r="BT1756" s="72">
        <v>0</v>
      </c>
      <c r="BU1756" s="151" t="e">
        <f t="shared" si="111"/>
        <v>#DIV/0!</v>
      </c>
      <c r="BV1756" s="151" t="e">
        <f t="shared" si="112"/>
        <v>#DIV/0!</v>
      </c>
    </row>
    <row r="1757" ht="30" customHeight="1" spans="1:74">
      <c r="A1757" s="55">
        <v>0</v>
      </c>
      <c r="B1757" s="56">
        <v>0</v>
      </c>
      <c r="C1757" s="57">
        <v>0</v>
      </c>
      <c r="D1757" s="74"/>
      <c r="E1757" s="74"/>
      <c r="F1757" s="59" t="e">
        <f>VLOOKUP(E1757,[1]库存!$B$1:$C$65536,2,FALSE)</f>
        <v>#N/A</v>
      </c>
      <c r="G1757" s="59" t="e">
        <v>#N/A</v>
      </c>
      <c r="H1757" s="74"/>
      <c r="I1757" s="74"/>
      <c r="J1757" s="87"/>
      <c r="K1757" s="61"/>
      <c r="L1757" s="62">
        <v>0</v>
      </c>
      <c r="M1757" s="63">
        <v>0</v>
      </c>
      <c r="N1757" s="64">
        <v>0</v>
      </c>
      <c r="O1757" s="62">
        <v>0</v>
      </c>
      <c r="P1757" s="65">
        <f t="shared" si="113"/>
        <v>0</v>
      </c>
      <c r="Q1757" s="66"/>
      <c r="R1757" s="66"/>
      <c r="S1757" s="66"/>
      <c r="T1757" s="66"/>
      <c r="U1757" s="66"/>
      <c r="V1757" s="66"/>
      <c r="W1757" s="66"/>
      <c r="X1757" s="66"/>
      <c r="Y1757" s="66"/>
      <c r="Z1757" s="66"/>
      <c r="AA1757" s="66"/>
      <c r="AB1757" s="66"/>
      <c r="AC1757" s="66"/>
      <c r="AD1757" s="66"/>
      <c r="AE1757" s="66"/>
      <c r="AF1757" s="66"/>
      <c r="AG1757" s="66"/>
      <c r="AH1757" s="66"/>
      <c r="AI1757" s="66"/>
      <c r="AJ1757" s="66"/>
      <c r="AK1757" s="66"/>
      <c r="AL1757" s="66"/>
      <c r="AM1757" s="66"/>
      <c r="AN1757" s="66"/>
      <c r="AO1757" s="66"/>
      <c r="AP1757" s="66"/>
      <c r="AQ1757" s="66"/>
      <c r="AR1757" s="66"/>
      <c r="AS1757" s="66"/>
      <c r="AT1757" s="66"/>
      <c r="AU1757" s="66"/>
      <c r="AV1757" s="66"/>
      <c r="AW1757" s="66"/>
      <c r="AX1757" s="66"/>
      <c r="AY1757" s="66"/>
      <c r="AZ1757" s="66"/>
      <c r="BA1757" s="66"/>
      <c r="BB1757" s="66"/>
      <c r="BC1757" s="66"/>
      <c r="BD1757" s="66"/>
      <c r="BE1757" s="67"/>
      <c r="BF1757" s="67"/>
      <c r="BG1757" s="68"/>
      <c r="BI1757" s="69">
        <v>0</v>
      </c>
      <c r="BJ1757" s="70">
        <v>0</v>
      </c>
      <c r="BK1757" s="71">
        <v>0</v>
      </c>
      <c r="BL1757" s="71">
        <v>0</v>
      </c>
      <c r="BM1757" s="71">
        <v>0</v>
      </c>
      <c r="BN1757" s="72">
        <v>0</v>
      </c>
      <c r="BO1757" s="151" t="e">
        <f t="shared" si="114"/>
        <v>#DIV/0!</v>
      </c>
      <c r="BP1757" s="151" t="e">
        <f t="shared" si="115"/>
        <v>#DIV/0!</v>
      </c>
      <c r="BQ1757" s="71">
        <v>0</v>
      </c>
      <c r="BR1757" s="71">
        <v>0</v>
      </c>
      <c r="BS1757" s="71">
        <v>0</v>
      </c>
      <c r="BT1757" s="72">
        <v>0</v>
      </c>
      <c r="BU1757" s="151" t="e">
        <f t="shared" si="111"/>
        <v>#DIV/0!</v>
      </c>
      <c r="BV1757" s="151" t="e">
        <f t="shared" si="112"/>
        <v>#DIV/0!</v>
      </c>
    </row>
    <row r="1758" ht="30" customHeight="1" spans="1:74">
      <c r="A1758" s="55" t="s">
        <v>165</v>
      </c>
      <c r="B1758" s="56" t="s">
        <v>2247</v>
      </c>
      <c r="C1758" s="57" t="s">
        <v>2248</v>
      </c>
      <c r="D1758" s="59" t="s">
        <v>2814</v>
      </c>
      <c r="E1758" s="59" t="s">
        <v>2820</v>
      </c>
      <c r="F1758" s="59" t="str">
        <f>VLOOKUP(E1758,[1]库存!$B$1:$C$65536,2,FALSE)</f>
        <v>VW3168 FCAB RHD B状态</v>
      </c>
      <c r="G1758" s="59" t="s">
        <v>2821</v>
      </c>
      <c r="H1758" s="59" t="s">
        <v>2822</v>
      </c>
      <c r="I1758" s="59" t="s">
        <v>521</v>
      </c>
      <c r="J1758" s="80" t="s">
        <v>65</v>
      </c>
      <c r="K1758" s="61"/>
      <c r="L1758" s="62">
        <v>2</v>
      </c>
      <c r="M1758" s="63">
        <v>300</v>
      </c>
      <c r="N1758" s="64">
        <v>16.5</v>
      </c>
      <c r="O1758" s="62">
        <v>2</v>
      </c>
      <c r="P1758" s="65">
        <f t="shared" si="113"/>
        <v>0</v>
      </c>
      <c r="Q1758" s="66"/>
      <c r="R1758" s="66"/>
      <c r="S1758" s="66"/>
      <c r="T1758" s="66"/>
      <c r="U1758" s="66"/>
      <c r="V1758" s="66"/>
      <c r="W1758" s="66"/>
      <c r="X1758" s="103"/>
      <c r="Y1758" s="66"/>
      <c r="Z1758" s="66"/>
      <c r="AA1758" s="66" t="s">
        <v>2254</v>
      </c>
      <c r="AB1758" s="66"/>
      <c r="AC1758" s="66">
        <v>900</v>
      </c>
      <c r="AD1758" s="66"/>
      <c r="AE1758" s="66"/>
      <c r="AF1758" s="66"/>
      <c r="AG1758" s="66"/>
      <c r="AH1758" s="66"/>
      <c r="AI1758" s="66"/>
      <c r="AJ1758" s="66"/>
      <c r="AK1758" s="66"/>
      <c r="AL1758" s="103"/>
      <c r="AM1758" s="66"/>
      <c r="AN1758" s="66"/>
      <c r="AO1758" s="66"/>
      <c r="AP1758" s="66"/>
      <c r="AQ1758" s="66"/>
      <c r="AR1758" s="66"/>
      <c r="AS1758" s="66"/>
      <c r="AT1758" s="66"/>
      <c r="AU1758" s="66"/>
      <c r="AV1758" s="66"/>
      <c r="AW1758" s="66"/>
      <c r="AX1758" s="66"/>
      <c r="AY1758" s="66"/>
      <c r="AZ1758" s="103"/>
      <c r="BA1758" s="66"/>
      <c r="BB1758" s="66"/>
      <c r="BC1758" s="66"/>
      <c r="BD1758" s="66"/>
      <c r="BE1758" s="67"/>
      <c r="BF1758" s="67"/>
      <c r="BG1758" s="68"/>
      <c r="BI1758" s="69">
        <v>0</v>
      </c>
      <c r="BJ1758" s="70">
        <v>0</v>
      </c>
      <c r="BK1758" s="71">
        <v>0</v>
      </c>
      <c r="BL1758" s="71">
        <v>0</v>
      </c>
      <c r="BM1758" s="71">
        <v>0</v>
      </c>
      <c r="BN1758" s="72">
        <v>0</v>
      </c>
      <c r="BO1758" s="151" t="e">
        <f t="shared" si="114"/>
        <v>#DIV/0!</v>
      </c>
      <c r="BP1758" s="151" t="e">
        <f t="shared" si="115"/>
        <v>#DIV/0!</v>
      </c>
      <c r="BQ1758" s="71">
        <v>0</v>
      </c>
      <c r="BR1758" s="71">
        <v>0</v>
      </c>
      <c r="BS1758" s="71">
        <v>0</v>
      </c>
      <c r="BT1758" s="72">
        <v>0</v>
      </c>
      <c r="BU1758" s="151" t="e">
        <f t="shared" si="111"/>
        <v>#DIV/0!</v>
      </c>
      <c r="BV1758" s="151" t="e">
        <f t="shared" si="112"/>
        <v>#DIV/0!</v>
      </c>
    </row>
    <row r="1759" ht="30" customHeight="1" spans="1:74">
      <c r="A1759" s="55">
        <v>0</v>
      </c>
      <c r="B1759" s="56">
        <v>0</v>
      </c>
      <c r="C1759" s="57">
        <v>0</v>
      </c>
      <c r="D1759" s="74"/>
      <c r="E1759" s="74"/>
      <c r="F1759" s="59" t="e">
        <f>VLOOKUP(E1759,[1]库存!$B$1:$C$65536,2,FALSE)</f>
        <v>#N/A</v>
      </c>
      <c r="G1759" s="59" t="e">
        <v>#N/A</v>
      </c>
      <c r="H1759" s="74"/>
      <c r="I1759" s="74"/>
      <c r="J1759" s="81"/>
      <c r="K1759" s="61"/>
      <c r="L1759" s="62">
        <v>0</v>
      </c>
      <c r="M1759" s="63">
        <v>0</v>
      </c>
      <c r="N1759" s="64">
        <v>0</v>
      </c>
      <c r="O1759" s="62">
        <v>0</v>
      </c>
      <c r="P1759" s="65">
        <f t="shared" si="113"/>
        <v>0</v>
      </c>
      <c r="R1759" s="66"/>
      <c r="T1759" s="66"/>
      <c r="V1759" s="66"/>
      <c r="X1759" s="66"/>
      <c r="Z1759" s="66"/>
      <c r="AA1759" s="12">
        <v>857</v>
      </c>
      <c r="AB1759" s="66"/>
      <c r="AC1759" s="12">
        <v>1026</v>
      </c>
      <c r="AD1759" s="66"/>
      <c r="AF1759" s="66"/>
      <c r="AH1759" s="66"/>
      <c r="AJ1759" s="66"/>
      <c r="AL1759" s="66"/>
      <c r="AN1759" s="66"/>
      <c r="AP1759" s="66"/>
      <c r="AR1759" s="66"/>
      <c r="AT1759" s="66"/>
      <c r="AV1759" s="66"/>
      <c r="AX1759" s="66"/>
      <c r="AZ1759" s="66"/>
      <c r="BB1759" s="66"/>
      <c r="BD1759" s="66"/>
      <c r="BF1759" s="67"/>
      <c r="BG1759" s="68"/>
      <c r="BI1759" s="69">
        <v>0</v>
      </c>
      <c r="BJ1759" s="70">
        <v>0</v>
      </c>
      <c r="BK1759" s="71">
        <v>0</v>
      </c>
      <c r="BL1759" s="71">
        <v>0</v>
      </c>
      <c r="BM1759" s="71">
        <v>0</v>
      </c>
      <c r="BN1759" s="72">
        <v>0</v>
      </c>
      <c r="BO1759" s="151" t="e">
        <f t="shared" si="114"/>
        <v>#DIV/0!</v>
      </c>
      <c r="BP1759" s="151" t="e">
        <f t="shared" si="115"/>
        <v>#DIV/0!</v>
      </c>
      <c r="BQ1759" s="71">
        <v>0</v>
      </c>
      <c r="BR1759" s="71">
        <v>0</v>
      </c>
      <c r="BS1759" s="71">
        <v>0</v>
      </c>
      <c r="BT1759" s="72">
        <v>0</v>
      </c>
      <c r="BU1759" s="151" t="e">
        <f t="shared" si="111"/>
        <v>#DIV/0!</v>
      </c>
      <c r="BV1759" s="151" t="e">
        <f t="shared" si="112"/>
        <v>#DIV/0!</v>
      </c>
    </row>
    <row r="1760" ht="30" customHeight="1" spans="1:74">
      <c r="A1760" s="55" t="s">
        <v>165</v>
      </c>
      <c r="B1760" s="56" t="s">
        <v>2247</v>
      </c>
      <c r="C1760" s="57" t="s">
        <v>2248</v>
      </c>
      <c r="D1760" s="59" t="s">
        <v>2814</v>
      </c>
      <c r="E1760" s="59" t="s">
        <v>2823</v>
      </c>
      <c r="F1760" s="59" t="str">
        <f>VLOOKUP(E1760,[1]库存!$B$1:$C$65536,2,FALSE)</f>
        <v>Lotus Lambda FCA DLH A状态</v>
      </c>
      <c r="G1760" s="59" t="s">
        <v>2824</v>
      </c>
      <c r="H1760" s="59" t="s">
        <v>2825</v>
      </c>
      <c r="I1760" s="59" t="s">
        <v>2826</v>
      </c>
      <c r="J1760" s="80" t="s">
        <v>65</v>
      </c>
      <c r="K1760" s="61"/>
      <c r="L1760" s="62">
        <v>0</v>
      </c>
      <c r="M1760" s="63">
        <v>550</v>
      </c>
      <c r="N1760" s="64">
        <v>20</v>
      </c>
      <c r="O1760" s="62">
        <v>0</v>
      </c>
      <c r="P1760" s="65">
        <f t="shared" si="113"/>
        <v>0</v>
      </c>
      <c r="Q1760" s="66"/>
      <c r="R1760" s="66"/>
      <c r="S1760" s="66"/>
      <c r="T1760" s="66"/>
      <c r="U1760" s="66"/>
      <c r="V1760" s="66"/>
      <c r="W1760" s="66"/>
      <c r="X1760" s="66"/>
      <c r="Y1760" s="66"/>
      <c r="Z1760" s="66"/>
      <c r="AA1760" s="66"/>
      <c r="AB1760" s="66"/>
      <c r="AC1760" s="66"/>
      <c r="AD1760" s="66"/>
      <c r="AE1760" s="66"/>
      <c r="AF1760" s="66"/>
      <c r="AG1760" s="66"/>
      <c r="AH1760" s="66"/>
      <c r="AI1760" s="66"/>
      <c r="AJ1760" s="66"/>
      <c r="AK1760" s="67"/>
      <c r="AL1760" s="67"/>
      <c r="AM1760" s="67"/>
      <c r="AN1760" s="67"/>
      <c r="AO1760" s="67"/>
      <c r="AP1760" s="67"/>
      <c r="AQ1760" s="67"/>
      <c r="AR1760" s="67"/>
      <c r="AS1760" s="67"/>
      <c r="AT1760" s="67"/>
      <c r="AU1760" s="67"/>
      <c r="AV1760" s="67"/>
      <c r="AW1760" s="67"/>
      <c r="AX1760" s="67"/>
      <c r="AY1760" s="67"/>
      <c r="AZ1760" s="67"/>
      <c r="BA1760" s="67"/>
      <c r="BB1760" s="67"/>
      <c r="BC1760" s="67"/>
      <c r="BD1760" s="67"/>
      <c r="BE1760" s="67"/>
      <c r="BF1760" s="67"/>
      <c r="BG1760" s="68"/>
      <c r="BI1760" s="69">
        <v>0</v>
      </c>
      <c r="BJ1760" s="70">
        <v>0</v>
      </c>
      <c r="BK1760" s="71">
        <v>0</v>
      </c>
      <c r="BL1760" s="71">
        <v>0</v>
      </c>
      <c r="BM1760" s="71">
        <v>0</v>
      </c>
      <c r="BN1760" s="72">
        <v>0</v>
      </c>
      <c r="BO1760" s="151" t="e">
        <f t="shared" si="114"/>
        <v>#DIV/0!</v>
      </c>
      <c r="BP1760" s="151" t="e">
        <f t="shared" si="115"/>
        <v>#DIV/0!</v>
      </c>
      <c r="BQ1760" s="71">
        <v>0</v>
      </c>
      <c r="BR1760" s="71">
        <v>0</v>
      </c>
      <c r="BS1760" s="71">
        <v>0</v>
      </c>
      <c r="BT1760" s="72">
        <v>0</v>
      </c>
      <c r="BU1760" s="151" t="e">
        <f t="shared" si="111"/>
        <v>#DIV/0!</v>
      </c>
      <c r="BV1760" s="151" t="e">
        <f t="shared" si="112"/>
        <v>#DIV/0!</v>
      </c>
    </row>
    <row r="1761" ht="30" customHeight="1" spans="1:75 16331:16349">
      <c r="A1761" s="55">
        <v>0</v>
      </c>
      <c r="B1761" s="56">
        <v>0</v>
      </c>
      <c r="C1761" s="57">
        <v>0</v>
      </c>
      <c r="D1761" s="74"/>
      <c r="E1761" s="74"/>
      <c r="F1761" s="59" t="e">
        <f>VLOOKUP(E1761,[1]库存!$B$1:$C$65536,2,FALSE)</f>
        <v>#N/A</v>
      </c>
      <c r="G1761" s="59" t="e">
        <v>#N/A</v>
      </c>
      <c r="H1761" s="74"/>
      <c r="I1761" s="74"/>
      <c r="J1761" s="81"/>
      <c r="K1761" s="61"/>
      <c r="L1761" s="62">
        <v>0</v>
      </c>
      <c r="M1761" s="63">
        <v>0</v>
      </c>
      <c r="N1761" s="64">
        <v>0</v>
      </c>
      <c r="O1761" s="62">
        <v>0</v>
      </c>
      <c r="P1761" s="65">
        <f t="shared" si="113"/>
        <v>0</v>
      </c>
      <c r="Q1761" s="66"/>
      <c r="R1761" s="66"/>
      <c r="S1761" s="66"/>
      <c r="T1761" s="66"/>
      <c r="U1761" s="66"/>
      <c r="V1761" s="66"/>
      <c r="W1761" s="66"/>
      <c r="X1761" s="66"/>
      <c r="Y1761" s="66"/>
      <c r="Z1761" s="66"/>
      <c r="AA1761" s="66"/>
      <c r="AB1761" s="66"/>
      <c r="AC1761" s="66"/>
      <c r="AD1761" s="66"/>
      <c r="AE1761" s="66"/>
      <c r="AF1761" s="66"/>
      <c r="AG1761" s="66"/>
      <c r="AH1761" s="66"/>
      <c r="AI1761" s="66"/>
      <c r="AJ1761" s="66"/>
      <c r="AK1761" s="67"/>
      <c r="AL1761" s="67"/>
      <c r="AM1761" s="67"/>
      <c r="AN1761" s="67"/>
      <c r="AO1761" s="67"/>
      <c r="AP1761" s="67"/>
      <c r="AQ1761" s="67"/>
      <c r="AR1761" s="67"/>
      <c r="AS1761" s="67"/>
      <c r="AT1761" s="67"/>
      <c r="AU1761" s="67"/>
      <c r="AV1761" s="67"/>
      <c r="AW1761" s="67"/>
      <c r="AX1761" s="67"/>
      <c r="AY1761" s="67"/>
      <c r="AZ1761" s="67"/>
      <c r="BA1761" s="67"/>
      <c r="BB1761" s="67"/>
      <c r="BC1761" s="67"/>
      <c r="BD1761" s="67"/>
      <c r="BE1761" s="67"/>
      <c r="BF1761" s="67"/>
      <c r="BG1761" s="68"/>
      <c r="BI1761" s="69">
        <v>0</v>
      </c>
      <c r="BJ1761" s="70">
        <v>0</v>
      </c>
      <c r="BK1761" s="71">
        <v>0</v>
      </c>
      <c r="BL1761" s="71">
        <v>0</v>
      </c>
      <c r="BM1761" s="71">
        <v>0</v>
      </c>
      <c r="BN1761" s="72">
        <v>0</v>
      </c>
      <c r="BO1761" s="151" t="e">
        <f t="shared" si="114"/>
        <v>#DIV/0!</v>
      </c>
      <c r="BP1761" s="151" t="e">
        <f t="shared" si="115"/>
        <v>#DIV/0!</v>
      </c>
      <c r="BQ1761" s="71">
        <v>0</v>
      </c>
      <c r="BR1761" s="71">
        <v>0</v>
      </c>
      <c r="BS1761" s="71">
        <v>0</v>
      </c>
      <c r="BT1761" s="72">
        <v>0</v>
      </c>
      <c r="BU1761" s="151" t="e">
        <f t="shared" si="111"/>
        <v>#DIV/0!</v>
      </c>
      <c r="BV1761" s="151" t="e">
        <f t="shared" si="112"/>
        <v>#DIV/0!</v>
      </c>
    </row>
    <row r="1762" ht="30" customHeight="1" spans="1:75 16331:16349">
      <c r="A1762" s="55" t="s">
        <v>165</v>
      </c>
      <c r="B1762" s="56" t="s">
        <v>2247</v>
      </c>
      <c r="C1762" s="57" t="s">
        <v>2248</v>
      </c>
      <c r="D1762" s="59" t="s">
        <v>2814</v>
      </c>
      <c r="E1762" s="59" t="s">
        <v>2827</v>
      </c>
      <c r="F1762" s="59" t="str">
        <f>VLOOKUP(E1762,[1]库存!$B$1:$C$65536,2,FALSE)</f>
        <v>Lotus Lambda FCA DRH A状态</v>
      </c>
      <c r="G1762" s="59" t="s">
        <v>2828</v>
      </c>
      <c r="H1762" s="59" t="s">
        <v>2829</v>
      </c>
      <c r="I1762" s="59" t="s">
        <v>2826</v>
      </c>
      <c r="J1762" s="80" t="s">
        <v>65</v>
      </c>
      <c r="K1762" s="61"/>
      <c r="L1762" s="62">
        <v>0</v>
      </c>
      <c r="M1762" s="63">
        <v>550</v>
      </c>
      <c r="N1762" s="64">
        <v>20</v>
      </c>
      <c r="O1762" s="62">
        <v>0</v>
      </c>
      <c r="P1762" s="65">
        <f t="shared" si="113"/>
        <v>0</v>
      </c>
      <c r="Q1762" s="66"/>
      <c r="R1762" s="66"/>
      <c r="S1762" s="66"/>
      <c r="T1762" s="66"/>
      <c r="U1762" s="66"/>
      <c r="V1762" s="66"/>
      <c r="W1762" s="66"/>
      <c r="X1762" s="66"/>
      <c r="Y1762" s="66"/>
      <c r="Z1762" s="66"/>
      <c r="AA1762" s="66"/>
      <c r="AB1762" s="66"/>
      <c r="AC1762" s="66"/>
      <c r="AD1762" s="66"/>
      <c r="AE1762" s="66"/>
      <c r="AF1762" s="66"/>
      <c r="AG1762" s="66"/>
      <c r="AH1762" s="66"/>
      <c r="AI1762" s="66"/>
      <c r="AJ1762" s="66"/>
      <c r="AK1762" s="67"/>
      <c r="AL1762" s="67"/>
      <c r="AM1762" s="67"/>
      <c r="AN1762" s="67"/>
      <c r="AO1762" s="67"/>
      <c r="AP1762" s="67"/>
      <c r="AQ1762" s="67"/>
      <c r="AR1762" s="67"/>
      <c r="AS1762" s="67"/>
      <c r="AT1762" s="67"/>
      <c r="AU1762" s="67"/>
      <c r="AV1762" s="67"/>
      <c r="AW1762" s="67"/>
      <c r="AX1762" s="67"/>
      <c r="AY1762" s="67"/>
      <c r="AZ1762" s="67"/>
      <c r="BA1762" s="67"/>
      <c r="BB1762" s="67"/>
      <c r="BC1762" s="67"/>
      <c r="BD1762" s="67"/>
      <c r="BE1762" s="67"/>
      <c r="BF1762" s="67"/>
      <c r="BG1762" s="68"/>
      <c r="BI1762" s="69">
        <v>0</v>
      </c>
      <c r="BJ1762" s="70">
        <v>0</v>
      </c>
      <c r="BK1762" s="71">
        <v>0</v>
      </c>
      <c r="BL1762" s="71">
        <v>0</v>
      </c>
      <c r="BM1762" s="71">
        <v>0</v>
      </c>
      <c r="BN1762" s="72">
        <v>0</v>
      </c>
      <c r="BO1762" s="151" t="e">
        <f t="shared" si="114"/>
        <v>#DIV/0!</v>
      </c>
      <c r="BP1762" s="151" t="e">
        <f t="shared" si="115"/>
        <v>#DIV/0!</v>
      </c>
      <c r="BQ1762" s="71">
        <v>0</v>
      </c>
      <c r="BR1762" s="71">
        <v>0</v>
      </c>
      <c r="BS1762" s="71">
        <v>0</v>
      </c>
      <c r="BT1762" s="72">
        <v>0</v>
      </c>
      <c r="BU1762" s="151" t="e">
        <f t="shared" si="111"/>
        <v>#DIV/0!</v>
      </c>
      <c r="BV1762" s="151" t="e">
        <f t="shared" si="112"/>
        <v>#DIV/0!</v>
      </c>
    </row>
    <row r="1763" ht="30" customHeight="1" spans="1:75 16331:16349">
      <c r="A1763" s="55">
        <v>0</v>
      </c>
      <c r="B1763" s="56">
        <v>0</v>
      </c>
      <c r="C1763" s="57">
        <v>0</v>
      </c>
      <c r="D1763" s="74"/>
      <c r="E1763" s="74"/>
      <c r="F1763" s="59" t="e">
        <f>VLOOKUP(E1763,[1]库存!$B$1:$C$65536,2,FALSE)</f>
        <v>#N/A</v>
      </c>
      <c r="G1763" s="59" t="e">
        <v>#N/A</v>
      </c>
      <c r="H1763" s="74"/>
      <c r="I1763" s="74"/>
      <c r="J1763" s="81"/>
      <c r="K1763" s="61"/>
      <c r="L1763" s="62">
        <v>0</v>
      </c>
      <c r="M1763" s="63">
        <v>0</v>
      </c>
      <c r="N1763" s="64">
        <v>0</v>
      </c>
      <c r="O1763" s="62">
        <v>0</v>
      </c>
      <c r="P1763" s="65">
        <f t="shared" si="113"/>
        <v>0</v>
      </c>
      <c r="R1763" s="66"/>
      <c r="T1763" s="66"/>
      <c r="V1763" s="66"/>
      <c r="X1763" s="66"/>
      <c r="Z1763" s="66"/>
      <c r="AB1763" s="66"/>
      <c r="AD1763" s="66"/>
      <c r="AF1763" s="66"/>
      <c r="AH1763" s="66"/>
      <c r="AJ1763" s="66"/>
      <c r="AK1763" s="13"/>
      <c r="AL1763" s="67"/>
      <c r="AM1763" s="13"/>
      <c r="AN1763" s="67"/>
      <c r="AO1763" s="13"/>
      <c r="AP1763" s="67"/>
      <c r="AQ1763" s="13"/>
      <c r="AR1763" s="67"/>
      <c r="AS1763" s="13"/>
      <c r="AT1763" s="67"/>
      <c r="AU1763" s="13"/>
      <c r="AV1763" s="67"/>
      <c r="AW1763" s="13"/>
      <c r="AX1763" s="67"/>
      <c r="AY1763" s="13"/>
      <c r="AZ1763" s="67"/>
      <c r="BA1763" s="13"/>
      <c r="BB1763" s="67"/>
      <c r="BC1763" s="13"/>
      <c r="BD1763" s="67"/>
      <c r="BF1763" s="67"/>
      <c r="BG1763" s="68"/>
      <c r="BI1763" s="69">
        <v>0</v>
      </c>
      <c r="BJ1763" s="70">
        <v>0</v>
      </c>
      <c r="BK1763" s="71">
        <v>0</v>
      </c>
      <c r="BL1763" s="71">
        <v>0</v>
      </c>
      <c r="BM1763" s="71">
        <v>0</v>
      </c>
      <c r="BN1763" s="72">
        <v>0</v>
      </c>
      <c r="BO1763" s="151" t="e">
        <f t="shared" si="114"/>
        <v>#DIV/0!</v>
      </c>
      <c r="BP1763" s="151" t="e">
        <f t="shared" si="115"/>
        <v>#DIV/0!</v>
      </c>
      <c r="BQ1763" s="71">
        <v>0</v>
      </c>
      <c r="BR1763" s="71">
        <v>0</v>
      </c>
      <c r="BS1763" s="71">
        <v>0</v>
      </c>
      <c r="BT1763" s="72">
        <v>0</v>
      </c>
      <c r="BU1763" s="151" t="e">
        <f t="shared" si="111"/>
        <v>#DIV/0!</v>
      </c>
      <c r="BV1763" s="151" t="e">
        <f t="shared" si="112"/>
        <v>#DIV/0!</v>
      </c>
    </row>
    <row r="1764" ht="30" customHeight="1" spans="1:75 16331:16349">
      <c r="A1764" s="55" t="s">
        <v>165</v>
      </c>
      <c r="B1764" s="56" t="s">
        <v>2247</v>
      </c>
      <c r="C1764" s="57" t="s">
        <v>2248</v>
      </c>
      <c r="D1764" s="59" t="s">
        <v>2814</v>
      </c>
      <c r="E1764" s="59" t="s">
        <v>2830</v>
      </c>
      <c r="F1764" s="59" t="str">
        <f>VLOOKUP(E1764,[1]库存!$B$1:$C$65536,2,FALSE)</f>
        <v>EF1E HTSAB LH B状态</v>
      </c>
      <c r="G1764" s="59" t="s">
        <v>2831</v>
      </c>
      <c r="H1764" s="59" t="s">
        <v>2832</v>
      </c>
      <c r="I1764" s="59" t="s">
        <v>986</v>
      </c>
      <c r="J1764" s="80" t="s">
        <v>65</v>
      </c>
      <c r="K1764" s="61"/>
      <c r="L1764" s="62">
        <v>2</v>
      </c>
      <c r="M1764" s="63">
        <v>400</v>
      </c>
      <c r="N1764" s="64">
        <v>15.5</v>
      </c>
      <c r="O1764" s="62">
        <v>2</v>
      </c>
      <c r="P1764" s="65">
        <f t="shared" si="113"/>
        <v>0</v>
      </c>
      <c r="Q1764" s="66"/>
      <c r="R1764" s="66"/>
      <c r="S1764" s="66"/>
      <c r="T1764" s="66"/>
      <c r="U1764" s="66"/>
      <c r="V1764" s="66"/>
      <c r="W1764" s="66"/>
      <c r="X1764" s="66"/>
      <c r="Y1764" s="66"/>
      <c r="Z1764" s="66"/>
      <c r="AA1764" s="66"/>
      <c r="AB1764" s="66"/>
      <c r="AC1764" s="66"/>
      <c r="AD1764" s="66"/>
      <c r="AE1764" s="66"/>
      <c r="AF1764" s="66"/>
      <c r="AG1764" s="66"/>
      <c r="AH1764" s="66"/>
      <c r="AI1764" s="66"/>
      <c r="AJ1764" s="66"/>
      <c r="AK1764" s="67"/>
      <c r="AL1764" s="67"/>
      <c r="AM1764" s="67"/>
      <c r="AN1764" s="67"/>
      <c r="AO1764" s="67"/>
      <c r="AP1764" s="67"/>
      <c r="AQ1764" s="67"/>
      <c r="AR1764" s="67"/>
      <c r="AS1764" s="67"/>
      <c r="AT1764" s="67"/>
      <c r="AU1764" s="67"/>
      <c r="AV1764" s="67"/>
      <c r="AW1764" s="67"/>
      <c r="AX1764" s="67"/>
      <c r="AY1764" s="67"/>
      <c r="AZ1764" s="67"/>
      <c r="BA1764" s="67"/>
      <c r="BB1764" s="67"/>
      <c r="BC1764" s="67"/>
      <c r="BD1764" s="67"/>
      <c r="BE1764" s="67"/>
      <c r="BF1764" s="67"/>
      <c r="BG1764" s="68"/>
      <c r="BI1764" s="69">
        <v>0</v>
      </c>
      <c r="BJ1764" s="70">
        <v>0</v>
      </c>
      <c r="BK1764" s="71">
        <v>0</v>
      </c>
      <c r="BL1764" s="71">
        <v>0</v>
      </c>
      <c r="BM1764" s="71">
        <v>0</v>
      </c>
      <c r="BN1764" s="72">
        <v>0</v>
      </c>
      <c r="BO1764" s="151" t="e">
        <f t="shared" si="114"/>
        <v>#DIV/0!</v>
      </c>
      <c r="BP1764" s="151" t="e">
        <f t="shared" si="115"/>
        <v>#DIV/0!</v>
      </c>
      <c r="BQ1764" s="71">
        <v>0</v>
      </c>
      <c r="BR1764" s="71">
        <v>0</v>
      </c>
      <c r="BS1764" s="71">
        <v>0</v>
      </c>
      <c r="BT1764" s="72">
        <v>0</v>
      </c>
      <c r="BU1764" s="151" t="e">
        <f t="shared" si="111"/>
        <v>#DIV/0!</v>
      </c>
      <c r="BV1764" s="151" t="e">
        <f t="shared" si="112"/>
        <v>#DIV/0!</v>
      </c>
    </row>
    <row r="1765" ht="30" customHeight="1" spans="1:75 16331:16349">
      <c r="A1765" s="55">
        <v>0</v>
      </c>
      <c r="B1765" s="56">
        <v>0</v>
      </c>
      <c r="C1765" s="57">
        <v>0</v>
      </c>
      <c r="D1765" s="74"/>
      <c r="E1765" s="74"/>
      <c r="F1765" s="59" t="e">
        <f>VLOOKUP(E1765,[1]库存!$B$1:$C$65536,2,FALSE)</f>
        <v>#N/A</v>
      </c>
      <c r="G1765" s="59" t="e">
        <v>#N/A</v>
      </c>
      <c r="H1765" s="74"/>
      <c r="I1765" s="74"/>
      <c r="J1765" s="81"/>
      <c r="K1765" s="61"/>
      <c r="L1765" s="62">
        <v>0</v>
      </c>
      <c r="M1765" s="63">
        <v>0</v>
      </c>
      <c r="N1765" s="64">
        <v>0</v>
      </c>
      <c r="O1765" s="62">
        <v>0</v>
      </c>
      <c r="P1765" s="65">
        <f t="shared" si="113"/>
        <v>0</v>
      </c>
      <c r="Q1765" s="66"/>
      <c r="R1765" s="66"/>
      <c r="S1765" s="66"/>
      <c r="T1765" s="66"/>
      <c r="U1765" s="66"/>
      <c r="V1765" s="66"/>
      <c r="W1765" s="66"/>
      <c r="X1765" s="66"/>
      <c r="Y1765" s="66"/>
      <c r="Z1765" s="66"/>
      <c r="AA1765" s="66"/>
      <c r="AB1765" s="66"/>
      <c r="AC1765" s="66"/>
      <c r="AD1765" s="66"/>
      <c r="AE1765" s="66"/>
      <c r="AF1765" s="66"/>
      <c r="AG1765" s="66"/>
      <c r="AH1765" s="66"/>
      <c r="AI1765" s="66"/>
      <c r="AJ1765" s="66"/>
      <c r="AK1765" s="67"/>
      <c r="AL1765" s="67"/>
      <c r="AM1765" s="67"/>
      <c r="AN1765" s="67"/>
      <c r="AO1765" s="67"/>
      <c r="AP1765" s="67"/>
      <c r="AQ1765" s="67"/>
      <c r="AR1765" s="67"/>
      <c r="AS1765" s="67"/>
      <c r="AT1765" s="67"/>
      <c r="AU1765" s="67"/>
      <c r="AV1765" s="67"/>
      <c r="AW1765" s="67"/>
      <c r="AX1765" s="67"/>
      <c r="AY1765" s="67"/>
      <c r="AZ1765" s="67"/>
      <c r="BA1765" s="67"/>
      <c r="BB1765" s="67"/>
      <c r="BC1765" s="67"/>
      <c r="BD1765" s="67"/>
      <c r="BE1765" s="67"/>
      <c r="BF1765" s="67"/>
      <c r="BG1765" s="68"/>
      <c r="BI1765" s="69">
        <v>0</v>
      </c>
      <c r="BJ1765" s="70">
        <v>0</v>
      </c>
      <c r="BK1765" s="71">
        <v>0</v>
      </c>
      <c r="BL1765" s="71">
        <v>0</v>
      </c>
      <c r="BM1765" s="71">
        <v>0</v>
      </c>
      <c r="BN1765" s="72">
        <v>0</v>
      </c>
      <c r="BO1765" s="151" t="e">
        <f t="shared" si="114"/>
        <v>#DIV/0!</v>
      </c>
      <c r="BP1765" s="151" t="e">
        <f t="shared" si="115"/>
        <v>#DIV/0!</v>
      </c>
      <c r="BQ1765" s="71">
        <v>0</v>
      </c>
      <c r="BR1765" s="71">
        <v>0</v>
      </c>
      <c r="BS1765" s="71">
        <v>0</v>
      </c>
      <c r="BT1765" s="72">
        <v>0</v>
      </c>
      <c r="BU1765" s="151" t="e">
        <f t="shared" si="111"/>
        <v>#DIV/0!</v>
      </c>
      <c r="BV1765" s="151" t="e">
        <f t="shared" si="112"/>
        <v>#DIV/0!</v>
      </c>
    </row>
    <row r="1766" ht="30" customHeight="1" spans="1:75 16331:16349">
      <c r="A1766" s="55" t="s">
        <v>165</v>
      </c>
      <c r="B1766" s="56" t="s">
        <v>2247</v>
      </c>
      <c r="C1766" s="57" t="s">
        <v>2248</v>
      </c>
      <c r="D1766" s="59" t="s">
        <v>2814</v>
      </c>
      <c r="E1766" s="59" t="s">
        <v>2833</v>
      </c>
      <c r="F1766" s="59" t="str">
        <f>VLOOKUP(E1766,[1]库存!$B$1:$C$65536,2,FALSE)</f>
        <v>EF1E HTSAB RH B状态</v>
      </c>
      <c r="G1766" s="59" t="s">
        <v>2834</v>
      </c>
      <c r="H1766" s="59" t="s">
        <v>2835</v>
      </c>
      <c r="I1766" s="59" t="s">
        <v>986</v>
      </c>
      <c r="J1766" s="80" t="s">
        <v>65</v>
      </c>
      <c r="K1766" s="61"/>
      <c r="L1766" s="62">
        <v>2</v>
      </c>
      <c r="M1766" s="63">
        <v>400</v>
      </c>
      <c r="N1766" s="64">
        <v>15.5</v>
      </c>
      <c r="O1766" s="62">
        <v>2</v>
      </c>
      <c r="P1766" s="65">
        <f t="shared" si="113"/>
        <v>0</v>
      </c>
      <c r="Q1766" s="66"/>
      <c r="R1766" s="66"/>
      <c r="S1766" s="66"/>
      <c r="T1766" s="66"/>
      <c r="U1766" s="66"/>
      <c r="V1766" s="66"/>
      <c r="W1766" s="66"/>
      <c r="X1766" s="66"/>
      <c r="Y1766" s="66"/>
      <c r="Z1766" s="66"/>
      <c r="AA1766" s="66"/>
      <c r="AB1766" s="66"/>
      <c r="AC1766" s="66"/>
      <c r="AD1766" s="66"/>
      <c r="AE1766" s="66"/>
      <c r="AF1766" s="66"/>
      <c r="AG1766" s="66"/>
      <c r="AH1766" s="66"/>
      <c r="AI1766" s="66"/>
      <c r="AJ1766" s="66"/>
      <c r="AK1766" s="67"/>
      <c r="AL1766" s="67"/>
      <c r="AM1766" s="67"/>
      <c r="AN1766" s="67"/>
      <c r="AO1766" s="67"/>
      <c r="AP1766" s="67"/>
      <c r="AQ1766" s="67"/>
      <c r="AR1766" s="67"/>
      <c r="AS1766" s="67"/>
      <c r="AT1766" s="67"/>
      <c r="AU1766" s="67"/>
      <c r="AV1766" s="67"/>
      <c r="AW1766" s="67"/>
      <c r="AX1766" s="67"/>
      <c r="AY1766" s="67"/>
      <c r="AZ1766" s="67"/>
      <c r="BA1766" s="67"/>
      <c r="BB1766" s="67"/>
      <c r="BC1766" s="67"/>
      <c r="BD1766" s="67"/>
      <c r="BE1766" s="67"/>
      <c r="BF1766" s="67"/>
      <c r="BG1766" s="68"/>
      <c r="BI1766" s="69">
        <v>0</v>
      </c>
      <c r="BJ1766" s="70">
        <v>0</v>
      </c>
      <c r="BK1766" s="71">
        <v>0</v>
      </c>
      <c r="BL1766" s="71">
        <v>0</v>
      </c>
      <c r="BM1766" s="71">
        <v>0</v>
      </c>
      <c r="BN1766" s="72">
        <v>0</v>
      </c>
      <c r="BO1766" s="151" t="e">
        <f t="shared" si="114"/>
        <v>#DIV/0!</v>
      </c>
      <c r="BP1766" s="151" t="e">
        <f t="shared" si="115"/>
        <v>#DIV/0!</v>
      </c>
      <c r="BQ1766" s="71">
        <v>0</v>
      </c>
      <c r="BR1766" s="71">
        <v>0</v>
      </c>
      <c r="BS1766" s="71">
        <v>0</v>
      </c>
      <c r="BT1766" s="72">
        <v>0</v>
      </c>
      <c r="BU1766" s="151" t="e">
        <f t="shared" si="111"/>
        <v>#DIV/0!</v>
      </c>
      <c r="BV1766" s="151" t="e">
        <f t="shared" si="112"/>
        <v>#DIV/0!</v>
      </c>
    </row>
    <row r="1767" ht="30" customHeight="1" spans="1:75 16331:16349">
      <c r="A1767" s="55">
        <v>0</v>
      </c>
      <c r="B1767" s="56">
        <v>0</v>
      </c>
      <c r="C1767" s="57">
        <v>0</v>
      </c>
      <c r="D1767" s="74"/>
      <c r="E1767" s="74"/>
      <c r="F1767" s="59" t="e">
        <f>VLOOKUP(E1767,[1]库存!$B$1:$C$65536,2,FALSE)</f>
        <v>#N/A</v>
      </c>
      <c r="G1767" s="59" t="e">
        <v>#N/A</v>
      </c>
      <c r="H1767" s="74"/>
      <c r="I1767" s="74"/>
      <c r="J1767" s="81"/>
      <c r="K1767" s="61"/>
      <c r="L1767" s="62">
        <v>0</v>
      </c>
      <c r="M1767" s="63">
        <v>0</v>
      </c>
      <c r="N1767" s="64">
        <v>0</v>
      </c>
      <c r="O1767" s="62">
        <v>0</v>
      </c>
      <c r="P1767" s="65">
        <f t="shared" si="113"/>
        <v>0</v>
      </c>
      <c r="R1767" s="66"/>
      <c r="T1767" s="66"/>
      <c r="V1767" s="66"/>
      <c r="X1767" s="66"/>
      <c r="Z1767" s="66"/>
      <c r="AB1767" s="66"/>
      <c r="AD1767" s="66"/>
      <c r="AF1767" s="66"/>
      <c r="AH1767" s="66"/>
      <c r="AJ1767" s="66"/>
      <c r="AK1767" s="13"/>
      <c r="AL1767" s="67"/>
      <c r="AM1767" s="13"/>
      <c r="AN1767" s="67"/>
      <c r="AO1767" s="13"/>
      <c r="AP1767" s="67"/>
      <c r="AQ1767" s="13"/>
      <c r="AR1767" s="67"/>
      <c r="AS1767" s="13"/>
      <c r="AT1767" s="67"/>
      <c r="AU1767" s="13"/>
      <c r="AV1767" s="67"/>
      <c r="AW1767" s="13"/>
      <c r="AX1767" s="67"/>
      <c r="AY1767" s="13"/>
      <c r="AZ1767" s="67"/>
      <c r="BA1767" s="13"/>
      <c r="BB1767" s="67"/>
      <c r="BC1767" s="13"/>
      <c r="BD1767" s="67"/>
      <c r="BF1767" s="67"/>
      <c r="BG1767" s="68"/>
      <c r="BI1767" s="69">
        <v>0</v>
      </c>
      <c r="BJ1767" s="70">
        <v>0</v>
      </c>
      <c r="BK1767" s="71">
        <v>0</v>
      </c>
      <c r="BL1767" s="71">
        <v>0</v>
      </c>
      <c r="BM1767" s="71">
        <v>0</v>
      </c>
      <c r="BN1767" s="72">
        <v>0</v>
      </c>
      <c r="BO1767" s="151" t="e">
        <f t="shared" si="114"/>
        <v>#DIV/0!</v>
      </c>
      <c r="BP1767" s="151" t="e">
        <f t="shared" si="115"/>
        <v>#DIV/0!</v>
      </c>
      <c r="BQ1767" s="71">
        <v>0</v>
      </c>
      <c r="BR1767" s="71">
        <v>0</v>
      </c>
      <c r="BS1767" s="71">
        <v>0</v>
      </c>
      <c r="BT1767" s="72">
        <v>0</v>
      </c>
      <c r="BU1767" s="151" t="e">
        <f t="shared" si="111"/>
        <v>#DIV/0!</v>
      </c>
      <c r="BV1767" s="151" t="e">
        <f t="shared" si="112"/>
        <v>#DIV/0!</v>
      </c>
    </row>
    <row r="1768" ht="30" customHeight="1" spans="1:75 16331:16349">
      <c r="A1768" s="55">
        <v>0</v>
      </c>
      <c r="B1768" s="56" t="s">
        <v>2247</v>
      </c>
      <c r="C1768" s="57" t="s">
        <v>2248</v>
      </c>
      <c r="D1768" s="59" t="s">
        <v>2814</v>
      </c>
      <c r="E1768" s="59"/>
      <c r="F1768" s="59" t="e">
        <f>VLOOKUP(E1768,[1]库存!$B$1:$C$65536,2,FALSE)</f>
        <v>#N/A</v>
      </c>
      <c r="G1768" s="59" t="e">
        <v>#N/A</v>
      </c>
      <c r="H1768" s="59" t="s">
        <v>2836</v>
      </c>
      <c r="I1768" s="59" t="s">
        <v>2837</v>
      </c>
      <c r="J1768" s="63"/>
      <c r="K1768" s="61"/>
      <c r="L1768" s="62">
        <v>2</v>
      </c>
      <c r="M1768" s="63">
        <v>400</v>
      </c>
      <c r="N1768" s="64">
        <v>15.5</v>
      </c>
      <c r="O1768" s="62">
        <v>2</v>
      </c>
      <c r="P1768" s="65">
        <f t="shared" si="113"/>
        <v>0</v>
      </c>
      <c r="Q1768" s="66"/>
      <c r="R1768" s="66"/>
      <c r="S1768" s="66"/>
      <c r="T1768" s="66"/>
      <c r="U1768" s="66"/>
      <c r="V1768" s="66"/>
      <c r="W1768" s="66"/>
      <c r="X1768" s="66"/>
      <c r="Y1768" s="66"/>
      <c r="Z1768" s="66"/>
      <c r="AA1768" s="66"/>
      <c r="AB1768" s="66"/>
      <c r="AC1768" s="66"/>
      <c r="AD1768" s="66"/>
      <c r="AE1768" s="66"/>
      <c r="AF1768" s="66"/>
      <c r="AG1768" s="66"/>
      <c r="AH1768" s="66"/>
      <c r="AI1768" s="66"/>
      <c r="AJ1768" s="66"/>
      <c r="AK1768" s="66"/>
      <c r="AL1768" s="66"/>
      <c r="AM1768" s="66"/>
      <c r="AN1768" s="66"/>
      <c r="AO1768" s="66"/>
      <c r="AP1768" s="66"/>
      <c r="AQ1768" s="66"/>
      <c r="AR1768" s="66"/>
      <c r="AS1768" s="66"/>
      <c r="AT1768" s="66"/>
      <c r="AU1768" s="66"/>
      <c r="AV1768" s="66"/>
      <c r="AW1768" s="66"/>
      <c r="AX1768" s="66"/>
      <c r="AY1768" s="66"/>
      <c r="AZ1768" s="66"/>
      <c r="BA1768" s="66"/>
      <c r="BB1768" s="66"/>
      <c r="BC1768" s="66"/>
      <c r="BD1768" s="66"/>
      <c r="BE1768" s="67"/>
      <c r="BF1768" s="67"/>
      <c r="BG1768" s="68"/>
      <c r="BI1768" s="69">
        <v>0</v>
      </c>
      <c r="BJ1768" s="70">
        <v>0</v>
      </c>
      <c r="BK1768" s="71">
        <v>0</v>
      </c>
      <c r="BL1768" s="71">
        <v>0</v>
      </c>
      <c r="BM1768" s="71">
        <v>0</v>
      </c>
      <c r="BN1768" s="72">
        <v>0</v>
      </c>
      <c r="BO1768" s="151" t="e">
        <f t="shared" si="114"/>
        <v>#DIV/0!</v>
      </c>
      <c r="BP1768" s="151" t="e">
        <f t="shared" si="115"/>
        <v>#DIV/0!</v>
      </c>
      <c r="BQ1768" s="71">
        <v>0</v>
      </c>
      <c r="BR1768" s="71">
        <v>0</v>
      </c>
      <c r="BS1768" s="71">
        <v>0</v>
      </c>
      <c r="BT1768" s="72">
        <v>0</v>
      </c>
      <c r="BU1768" s="151" t="e">
        <f t="shared" si="111"/>
        <v>#DIV/0!</v>
      </c>
      <c r="BV1768" s="151" t="e">
        <f t="shared" si="112"/>
        <v>#DIV/0!</v>
      </c>
    </row>
    <row r="1769" ht="30" customHeight="1" spans="1:75 16331:16349">
      <c r="A1769" s="55">
        <v>0</v>
      </c>
      <c r="B1769" s="56">
        <v>0</v>
      </c>
      <c r="C1769" s="57">
        <v>0</v>
      </c>
      <c r="D1769" s="74"/>
      <c r="E1769" s="74"/>
      <c r="F1769" s="59" t="e">
        <f>VLOOKUP(E1769,[1]库存!$B$1:$C$65536,2,FALSE)</f>
        <v>#N/A</v>
      </c>
      <c r="G1769" s="59" t="e">
        <v>#N/A</v>
      </c>
      <c r="H1769" s="74"/>
      <c r="I1769" s="74"/>
      <c r="J1769" s="87"/>
      <c r="K1769" s="61"/>
      <c r="L1769" s="62">
        <v>0</v>
      </c>
      <c r="M1769" s="63">
        <v>0</v>
      </c>
      <c r="N1769" s="64">
        <v>0</v>
      </c>
      <c r="O1769" s="62">
        <v>0</v>
      </c>
      <c r="P1769" s="65">
        <f t="shared" si="113"/>
        <v>0</v>
      </c>
      <c r="Q1769" s="66"/>
      <c r="R1769" s="66"/>
      <c r="S1769" s="66"/>
      <c r="T1769" s="66"/>
      <c r="U1769" s="66"/>
      <c r="V1769" s="66"/>
      <c r="W1769" s="66"/>
      <c r="X1769" s="66"/>
      <c r="Y1769" s="66"/>
      <c r="Z1769" s="66"/>
      <c r="AA1769" s="66"/>
      <c r="AB1769" s="66"/>
      <c r="AC1769" s="66"/>
      <c r="AD1769" s="66"/>
      <c r="AE1769" s="66"/>
      <c r="AF1769" s="66"/>
      <c r="AG1769" s="66"/>
      <c r="AH1769" s="66"/>
      <c r="AI1769" s="66"/>
      <c r="AJ1769" s="66"/>
      <c r="AK1769" s="66"/>
      <c r="AL1769" s="66"/>
      <c r="AM1769" s="66"/>
      <c r="AN1769" s="66"/>
      <c r="AO1769" s="66"/>
      <c r="AP1769" s="66"/>
      <c r="AQ1769" s="66"/>
      <c r="AR1769" s="66"/>
      <c r="AS1769" s="66"/>
      <c r="AT1769" s="66"/>
      <c r="AU1769" s="66"/>
      <c r="AV1769" s="66"/>
      <c r="AW1769" s="66"/>
      <c r="AX1769" s="66"/>
      <c r="AY1769" s="66"/>
      <c r="AZ1769" s="66"/>
      <c r="BA1769" s="66"/>
      <c r="BB1769" s="66"/>
      <c r="BC1769" s="66"/>
      <c r="BD1769" s="66"/>
      <c r="BE1769" s="67"/>
      <c r="BF1769" s="67"/>
      <c r="BG1769" s="68"/>
      <c r="BI1769" s="69">
        <v>0</v>
      </c>
      <c r="BJ1769" s="70">
        <v>0</v>
      </c>
      <c r="BK1769" s="71">
        <v>0</v>
      </c>
      <c r="BL1769" s="71">
        <v>0</v>
      </c>
      <c r="BM1769" s="71">
        <v>0</v>
      </c>
      <c r="BN1769" s="72">
        <v>0</v>
      </c>
      <c r="BO1769" s="151" t="e">
        <f t="shared" si="114"/>
        <v>#DIV/0!</v>
      </c>
      <c r="BP1769" s="151" t="e">
        <f t="shared" si="115"/>
        <v>#DIV/0!</v>
      </c>
      <c r="BQ1769" s="71">
        <v>0</v>
      </c>
      <c r="BR1769" s="71">
        <v>0</v>
      </c>
      <c r="BS1769" s="71">
        <v>0</v>
      </c>
      <c r="BT1769" s="72">
        <v>0</v>
      </c>
      <c r="BU1769" s="151" t="e">
        <f t="shared" si="111"/>
        <v>#DIV/0!</v>
      </c>
      <c r="BV1769" s="151" t="e">
        <f t="shared" si="112"/>
        <v>#DIV/0!</v>
      </c>
    </row>
    <row r="1770" ht="30" customHeight="1" spans="1:75 16331:16349">
      <c r="A1770" s="55">
        <v>0</v>
      </c>
      <c r="B1770" s="56" t="s">
        <v>2247</v>
      </c>
      <c r="C1770" s="57" t="s">
        <v>2248</v>
      </c>
      <c r="D1770" s="59" t="s">
        <v>2814</v>
      </c>
      <c r="E1770" s="59"/>
      <c r="F1770" s="59" t="e">
        <f>VLOOKUP(E1770,[1]库存!$B$1:$C$65536,2,FALSE)</f>
        <v>#N/A</v>
      </c>
      <c r="G1770" s="59" t="e">
        <v>#N/A</v>
      </c>
      <c r="H1770" s="59" t="s">
        <v>2838</v>
      </c>
      <c r="I1770" s="59" t="s">
        <v>2839</v>
      </c>
      <c r="J1770" s="63"/>
      <c r="K1770" s="61"/>
      <c r="L1770" s="62">
        <v>2</v>
      </c>
      <c r="M1770" s="63">
        <v>400</v>
      </c>
      <c r="N1770" s="64">
        <v>15.5</v>
      </c>
      <c r="O1770" s="62">
        <v>2</v>
      </c>
      <c r="P1770" s="65">
        <f t="shared" si="113"/>
        <v>0</v>
      </c>
      <c r="Q1770" s="66"/>
      <c r="R1770" s="66"/>
      <c r="S1770" s="66"/>
      <c r="T1770" s="66"/>
      <c r="U1770" s="66"/>
      <c r="V1770" s="66"/>
      <c r="W1770" s="66"/>
      <c r="X1770" s="66"/>
      <c r="Y1770" s="66"/>
      <c r="Z1770" s="66"/>
      <c r="AA1770" s="66"/>
      <c r="AB1770" s="66"/>
      <c r="AC1770" s="66"/>
      <c r="AD1770" s="66"/>
      <c r="AE1770" s="66"/>
      <c r="AF1770" s="66"/>
      <c r="AG1770" s="66"/>
      <c r="AH1770" s="66"/>
      <c r="AI1770" s="66"/>
      <c r="AJ1770" s="66"/>
      <c r="AK1770" s="66"/>
      <c r="AL1770" s="66"/>
      <c r="AM1770" s="66"/>
      <c r="AN1770" s="66"/>
      <c r="AO1770" s="66"/>
      <c r="AP1770" s="66"/>
      <c r="AQ1770" s="66"/>
      <c r="AR1770" s="66"/>
      <c r="AS1770" s="66"/>
      <c r="AT1770" s="66"/>
      <c r="AU1770" s="66"/>
      <c r="AV1770" s="66"/>
      <c r="AW1770" s="66"/>
      <c r="AX1770" s="66"/>
      <c r="AY1770" s="66"/>
      <c r="AZ1770" s="66"/>
      <c r="BA1770" s="66"/>
      <c r="BB1770" s="66"/>
      <c r="BC1770" s="66"/>
      <c r="BD1770" s="66"/>
      <c r="BE1770" s="67"/>
      <c r="BF1770" s="67"/>
      <c r="BG1770" s="68"/>
      <c r="BI1770" s="69">
        <v>0</v>
      </c>
      <c r="BJ1770" s="70">
        <v>0</v>
      </c>
      <c r="BK1770" s="71">
        <v>0</v>
      </c>
      <c r="BL1770" s="71">
        <v>0</v>
      </c>
      <c r="BM1770" s="71">
        <v>0</v>
      </c>
      <c r="BN1770" s="72">
        <v>0</v>
      </c>
      <c r="BO1770" s="151" t="e">
        <f t="shared" si="114"/>
        <v>#DIV/0!</v>
      </c>
      <c r="BP1770" s="151" t="e">
        <f t="shared" si="115"/>
        <v>#DIV/0!</v>
      </c>
      <c r="BQ1770" s="71">
        <v>0</v>
      </c>
      <c r="BR1770" s="71">
        <v>0</v>
      </c>
      <c r="BS1770" s="71">
        <v>0</v>
      </c>
      <c r="BT1770" s="72">
        <v>0</v>
      </c>
      <c r="BU1770" s="151" t="e">
        <f t="shared" si="111"/>
        <v>#DIV/0!</v>
      </c>
      <c r="BV1770" s="151" t="e">
        <f t="shared" si="112"/>
        <v>#DIV/0!</v>
      </c>
    </row>
    <row r="1771" ht="30" customHeight="1" spans="1:75 16331:16349">
      <c r="A1771" s="55">
        <v>0</v>
      </c>
      <c r="B1771" s="56">
        <v>0</v>
      </c>
      <c r="C1771" s="57">
        <v>0</v>
      </c>
      <c r="D1771" s="74"/>
      <c r="E1771" s="74"/>
      <c r="F1771" s="59" t="e">
        <f>VLOOKUP(E1771,[1]库存!$B$1:$C$65536,2,FALSE)</f>
        <v>#N/A</v>
      </c>
      <c r="G1771" s="59" t="e">
        <v>#N/A</v>
      </c>
      <c r="H1771" s="74"/>
      <c r="I1771" s="74"/>
      <c r="J1771" s="87"/>
      <c r="K1771" s="61"/>
      <c r="L1771" s="62">
        <v>0</v>
      </c>
      <c r="M1771" s="63">
        <v>0</v>
      </c>
      <c r="N1771" s="64">
        <v>0</v>
      </c>
      <c r="O1771" s="62">
        <v>0</v>
      </c>
      <c r="P1771" s="65">
        <f t="shared" si="113"/>
        <v>0</v>
      </c>
      <c r="R1771" s="66"/>
      <c r="T1771" s="66"/>
      <c r="V1771" s="66"/>
      <c r="X1771" s="66"/>
      <c r="Z1771" s="66"/>
      <c r="AB1771" s="66"/>
      <c r="AD1771" s="66"/>
      <c r="AF1771" s="66"/>
      <c r="AH1771" s="66"/>
      <c r="AJ1771" s="66"/>
      <c r="AL1771" s="66"/>
      <c r="AN1771" s="66"/>
      <c r="AP1771" s="66"/>
      <c r="AR1771" s="66"/>
      <c r="AT1771" s="66"/>
      <c r="AV1771" s="66"/>
      <c r="AX1771" s="66"/>
      <c r="AZ1771" s="66"/>
      <c r="BB1771" s="66"/>
      <c r="BD1771" s="66"/>
      <c r="BF1771" s="67"/>
      <c r="BG1771" s="68"/>
      <c r="BI1771" s="69">
        <v>0</v>
      </c>
      <c r="BJ1771" s="70">
        <v>0</v>
      </c>
      <c r="BK1771" s="71">
        <v>0</v>
      </c>
      <c r="BL1771" s="71">
        <v>0</v>
      </c>
      <c r="BM1771" s="71">
        <v>0</v>
      </c>
      <c r="BN1771" s="72">
        <v>0</v>
      </c>
      <c r="BO1771" s="151" t="e">
        <f t="shared" si="114"/>
        <v>#DIV/0!</v>
      </c>
      <c r="BP1771" s="151" t="e">
        <f t="shared" si="115"/>
        <v>#DIV/0!</v>
      </c>
      <c r="BQ1771" s="71">
        <v>0</v>
      </c>
      <c r="BR1771" s="71">
        <v>0</v>
      </c>
      <c r="BS1771" s="71">
        <v>0</v>
      </c>
      <c r="BT1771" s="72">
        <v>0</v>
      </c>
      <c r="BU1771" s="151" t="e">
        <f t="shared" si="111"/>
        <v>#DIV/0!</v>
      </c>
      <c r="BV1771" s="151" t="e">
        <f t="shared" si="112"/>
        <v>#DIV/0!</v>
      </c>
    </row>
    <row r="1772" ht="30" customHeight="1" spans="1:75 16331:16349">
      <c r="A1772" s="55">
        <v>0</v>
      </c>
      <c r="B1772" s="56">
        <v>0</v>
      </c>
      <c r="C1772" s="57">
        <v>0</v>
      </c>
      <c r="D1772" s="210"/>
      <c r="E1772" s="88"/>
      <c r="F1772" s="59" t="e">
        <f>VLOOKUP(E1772,[1]库存!$B$1:$C$65536,2,FALSE)</f>
        <v>#N/A</v>
      </c>
      <c r="G1772" s="59" t="e">
        <v>#N/A</v>
      </c>
      <c r="H1772" s="238"/>
      <c r="I1772" s="239"/>
      <c r="J1772" s="90"/>
      <c r="K1772" s="61"/>
      <c r="L1772" s="62">
        <v>0</v>
      </c>
      <c r="M1772" s="63">
        <v>0</v>
      </c>
      <c r="N1772" s="64">
        <v>0</v>
      </c>
      <c r="O1772" s="62">
        <v>0</v>
      </c>
      <c r="P1772" s="65">
        <f t="shared" si="113"/>
        <v>0</v>
      </c>
      <c r="Q1772" s="66"/>
      <c r="R1772" s="66"/>
      <c r="S1772" s="66"/>
      <c r="T1772" s="66"/>
      <c r="U1772" s="66"/>
      <c r="V1772" s="66"/>
      <c r="W1772" s="66"/>
      <c r="X1772" s="66"/>
      <c r="Y1772" s="66"/>
      <c r="Z1772" s="66"/>
      <c r="AA1772" s="66"/>
      <c r="AB1772" s="66"/>
      <c r="AC1772" s="66"/>
      <c r="AD1772" s="66"/>
      <c r="AE1772" s="66"/>
      <c r="AF1772" s="66"/>
      <c r="AG1772" s="66"/>
      <c r="AH1772" s="66"/>
      <c r="AI1772" s="66"/>
      <c r="AJ1772" s="66"/>
      <c r="AK1772" s="66"/>
      <c r="AL1772" s="66"/>
      <c r="AM1772" s="66"/>
      <c r="AN1772" s="66"/>
      <c r="AO1772" s="66"/>
      <c r="AP1772" s="66"/>
      <c r="AQ1772" s="66"/>
      <c r="AR1772" s="66"/>
      <c r="AS1772" s="66"/>
      <c r="AT1772" s="66"/>
      <c r="AU1772" s="66"/>
      <c r="AV1772" s="66"/>
      <c r="AW1772" s="66"/>
      <c r="AX1772" s="66"/>
      <c r="AY1772" s="66"/>
      <c r="AZ1772" s="66"/>
      <c r="BA1772" s="66"/>
      <c r="BB1772" s="66"/>
      <c r="BC1772" s="66"/>
      <c r="BD1772" s="66"/>
      <c r="BE1772" s="67"/>
      <c r="BF1772" s="67"/>
      <c r="BG1772" s="68"/>
      <c r="BI1772" s="69">
        <v>0</v>
      </c>
      <c r="BJ1772" s="70">
        <v>0</v>
      </c>
      <c r="BK1772" s="71">
        <v>0</v>
      </c>
      <c r="BL1772" s="71">
        <v>0</v>
      </c>
      <c r="BM1772" s="71">
        <v>0</v>
      </c>
      <c r="BN1772" s="72">
        <v>0</v>
      </c>
      <c r="BO1772" s="151" t="e">
        <f t="shared" si="114"/>
        <v>#DIV/0!</v>
      </c>
      <c r="BP1772" s="151" t="e">
        <f t="shared" si="115"/>
        <v>#DIV/0!</v>
      </c>
      <c r="BQ1772" s="71">
        <v>0</v>
      </c>
      <c r="BR1772" s="71">
        <v>0</v>
      </c>
      <c r="BS1772" s="71">
        <v>0</v>
      </c>
      <c r="BT1772" s="72">
        <v>0</v>
      </c>
      <c r="BU1772" s="151" t="e">
        <f t="shared" si="111"/>
        <v>#DIV/0!</v>
      </c>
      <c r="BV1772" s="151" t="e">
        <f t="shared" si="112"/>
        <v>#DIV/0!</v>
      </c>
    </row>
    <row r="1773" ht="30" customHeight="1" spans="1:75 16331:16349">
      <c r="A1773" s="55">
        <v>0</v>
      </c>
      <c r="B1773" s="56" t="s">
        <v>2247</v>
      </c>
      <c r="C1773" s="57" t="s">
        <v>2261</v>
      </c>
      <c r="D1773" s="52" t="s">
        <v>2840</v>
      </c>
      <c r="E1773" s="52" t="s">
        <v>2841</v>
      </c>
      <c r="F1773" s="59" t="e">
        <f>VLOOKUP(E1773,[1]库存!$B$1:$C$65536,2,FALSE)</f>
        <v>#N/A</v>
      </c>
      <c r="G1773" s="59" t="e">
        <v>#N/A</v>
      </c>
      <c r="H1773" s="59" t="s">
        <v>2842</v>
      </c>
      <c r="I1773" s="59" t="s">
        <v>289</v>
      </c>
      <c r="J1773" s="60" t="s">
        <v>1962</v>
      </c>
      <c r="K1773" s="61"/>
      <c r="L1773" s="62">
        <v>3</v>
      </c>
      <c r="M1773" s="63">
        <v>600</v>
      </c>
      <c r="N1773" s="64">
        <v>16</v>
      </c>
      <c r="O1773" s="62">
        <v>3</v>
      </c>
      <c r="P1773" s="65">
        <f t="shared" si="113"/>
        <v>0</v>
      </c>
      <c r="Q1773" s="66"/>
      <c r="R1773" s="66"/>
      <c r="S1773" s="66"/>
      <c r="T1773" s="66"/>
      <c r="U1773" s="66"/>
      <c r="V1773" s="66"/>
      <c r="W1773" s="66"/>
      <c r="X1773" s="66"/>
      <c r="Y1773" s="66"/>
      <c r="Z1773" s="66"/>
      <c r="AA1773" s="66"/>
      <c r="AB1773" s="66"/>
      <c r="AC1773" s="66"/>
      <c r="AD1773" s="66"/>
      <c r="AE1773" s="66"/>
      <c r="AF1773" s="66"/>
      <c r="AG1773" s="66"/>
      <c r="AH1773" s="66"/>
      <c r="AI1773" s="66"/>
      <c r="AJ1773" s="66"/>
      <c r="AK1773" s="66"/>
      <c r="AL1773" s="66"/>
      <c r="AM1773" s="66"/>
      <c r="AN1773" s="66"/>
      <c r="AO1773" s="66"/>
      <c r="AP1773" s="66"/>
      <c r="AQ1773" s="66"/>
      <c r="AR1773" s="66"/>
      <c r="AS1773" s="66"/>
      <c r="AT1773" s="66"/>
      <c r="AU1773" s="66"/>
      <c r="AV1773" s="66"/>
      <c r="AW1773" s="66"/>
      <c r="AX1773" s="66"/>
      <c r="AY1773" s="66"/>
      <c r="AZ1773" s="66"/>
      <c r="BA1773" s="66"/>
      <c r="BB1773" s="66"/>
      <c r="BC1773" s="66"/>
      <c r="BD1773" s="66"/>
      <c r="BE1773" s="67"/>
      <c r="BF1773" s="67"/>
      <c r="BG1773" s="68"/>
      <c r="BI1773" s="69">
        <v>0</v>
      </c>
      <c r="BJ1773" s="70">
        <v>0</v>
      </c>
      <c r="BK1773" s="71">
        <v>0</v>
      </c>
      <c r="BL1773" s="71">
        <v>0</v>
      </c>
      <c r="BM1773" s="71">
        <v>0</v>
      </c>
      <c r="BN1773" s="72">
        <v>0</v>
      </c>
      <c r="BO1773" s="151" t="e">
        <f t="shared" si="114"/>
        <v>#DIV/0!</v>
      </c>
      <c r="BP1773" s="151" t="e">
        <f t="shared" si="115"/>
        <v>#DIV/0!</v>
      </c>
      <c r="BQ1773" s="71">
        <v>0</v>
      </c>
      <c r="BR1773" s="71">
        <v>0</v>
      </c>
      <c r="BS1773" s="71">
        <v>0</v>
      </c>
      <c r="BT1773" s="72">
        <v>0</v>
      </c>
      <c r="BU1773" s="151" t="e">
        <f t="shared" si="111"/>
        <v>#DIV/0!</v>
      </c>
      <c r="BV1773" s="151" t="e">
        <f t="shared" si="112"/>
        <v>#DIV/0!</v>
      </c>
    </row>
    <row r="1774" ht="30" customHeight="1" spans="1:75 16331:16349">
      <c r="A1774" s="55">
        <v>0</v>
      </c>
      <c r="B1774" s="56">
        <v>0</v>
      </c>
      <c r="C1774" s="57">
        <v>0</v>
      </c>
      <c r="D1774" s="52"/>
      <c r="E1774" s="52"/>
      <c r="F1774" s="59" t="e">
        <f>VLOOKUP(E1774,[1]库存!$B$1:$C$65536,2,FALSE)</f>
        <v>#N/A</v>
      </c>
      <c r="G1774" s="59" t="e">
        <v>#N/A</v>
      </c>
      <c r="H1774" s="152"/>
      <c r="I1774" s="152"/>
      <c r="J1774" s="75"/>
      <c r="K1774" s="61"/>
      <c r="L1774" s="62">
        <v>0</v>
      </c>
      <c r="M1774" s="63">
        <v>0</v>
      </c>
      <c r="N1774" s="64">
        <v>0</v>
      </c>
      <c r="O1774" s="62">
        <v>0</v>
      </c>
      <c r="P1774" s="65">
        <f t="shared" si="113"/>
        <v>0</v>
      </c>
      <c r="Q1774" s="66"/>
      <c r="R1774" s="66"/>
      <c r="S1774" s="66"/>
      <c r="T1774" s="66"/>
      <c r="U1774" s="66"/>
      <c r="V1774" s="66"/>
      <c r="W1774" s="66"/>
      <c r="X1774" s="66"/>
      <c r="Y1774" s="66"/>
      <c r="Z1774" s="66"/>
      <c r="AA1774" s="66"/>
      <c r="AB1774" s="66"/>
      <c r="AC1774" s="66"/>
      <c r="AD1774" s="66"/>
      <c r="AE1774" s="66"/>
      <c r="AF1774" s="66"/>
      <c r="AG1774" s="66"/>
      <c r="AH1774" s="66"/>
      <c r="AI1774" s="66"/>
      <c r="AJ1774" s="66"/>
      <c r="AK1774" s="66"/>
      <c r="AL1774" s="66"/>
      <c r="AM1774" s="66"/>
      <c r="AN1774" s="66"/>
      <c r="AO1774" s="66"/>
      <c r="AP1774" s="66"/>
      <c r="AQ1774" s="66"/>
      <c r="AR1774" s="66"/>
      <c r="AS1774" s="66"/>
      <c r="AT1774" s="66"/>
      <c r="AU1774" s="66"/>
      <c r="AV1774" s="66"/>
      <c r="AW1774" s="66"/>
      <c r="AX1774" s="66"/>
      <c r="AY1774" s="66"/>
      <c r="AZ1774" s="66"/>
      <c r="BA1774" s="66"/>
      <c r="BB1774" s="66"/>
      <c r="BC1774" s="66"/>
      <c r="BD1774" s="66"/>
      <c r="BE1774" s="67"/>
      <c r="BF1774" s="67"/>
      <c r="BG1774" s="68"/>
      <c r="BI1774" s="69">
        <v>0</v>
      </c>
      <c r="BJ1774" s="70">
        <v>0</v>
      </c>
      <c r="BK1774" s="71">
        <v>0</v>
      </c>
      <c r="BL1774" s="71">
        <v>0</v>
      </c>
      <c r="BM1774" s="71">
        <v>0</v>
      </c>
      <c r="BN1774" s="72">
        <v>0</v>
      </c>
      <c r="BO1774" s="151" t="e">
        <f t="shared" si="114"/>
        <v>#DIV/0!</v>
      </c>
      <c r="BP1774" s="151" t="e">
        <f t="shared" si="115"/>
        <v>#DIV/0!</v>
      </c>
      <c r="BQ1774" s="71">
        <v>0</v>
      </c>
      <c r="BR1774" s="71">
        <v>0</v>
      </c>
      <c r="BS1774" s="71">
        <v>0</v>
      </c>
      <c r="BT1774" s="72">
        <v>0</v>
      </c>
      <c r="BU1774" s="151" t="e">
        <f t="shared" si="111"/>
        <v>#DIV/0!</v>
      </c>
      <c r="BV1774" s="151" t="e">
        <f t="shared" si="112"/>
        <v>#DIV/0!</v>
      </c>
    </row>
    <row r="1775" ht="30" customHeight="1" spans="1:75 16331:16349">
      <c r="A1775" s="55">
        <v>0</v>
      </c>
      <c r="B1775" s="56">
        <v>0</v>
      </c>
      <c r="C1775" s="57">
        <v>0</v>
      </c>
      <c r="E1775" s="155"/>
      <c r="F1775" s="59" t="e">
        <f>VLOOKUP(E1775,[1]库存!$B$1:$C$65536,2,FALSE)</f>
        <v>#N/A</v>
      </c>
      <c r="G1775" s="59" t="e">
        <v>#N/A</v>
      </c>
      <c r="H1775" s="89"/>
      <c r="I1775" s="88"/>
      <c r="J1775" s="90"/>
      <c r="K1775" s="61"/>
      <c r="L1775" s="62">
        <v>0</v>
      </c>
      <c r="M1775" s="63">
        <v>0</v>
      </c>
      <c r="N1775" s="64">
        <v>0</v>
      </c>
      <c r="O1775" s="62">
        <v>0</v>
      </c>
      <c r="P1775" s="65">
        <f t="shared" si="113"/>
        <v>0</v>
      </c>
      <c r="Q1775" s="66"/>
      <c r="R1775" s="66"/>
      <c r="S1775" s="66"/>
      <c r="T1775" s="66"/>
      <c r="U1775" s="66"/>
      <c r="V1775" s="66"/>
      <c r="W1775" s="66"/>
      <c r="X1775" s="66"/>
      <c r="Y1775" s="66"/>
      <c r="Z1775" s="66"/>
      <c r="AA1775" s="66"/>
      <c r="AB1775" s="66"/>
      <c r="AC1775" s="66"/>
      <c r="AD1775" s="66"/>
      <c r="AE1775" s="66"/>
      <c r="AF1775" s="66"/>
      <c r="AG1775" s="66"/>
      <c r="AH1775" s="66"/>
      <c r="AI1775" s="66"/>
      <c r="AJ1775" s="66"/>
      <c r="AK1775" s="66"/>
      <c r="AL1775" s="66"/>
      <c r="AM1775" s="66"/>
      <c r="AN1775" s="66"/>
      <c r="AO1775" s="66"/>
      <c r="AP1775" s="66"/>
      <c r="AQ1775" s="66"/>
      <c r="AR1775" s="66"/>
      <c r="AS1775" s="66"/>
      <c r="AT1775" s="66"/>
      <c r="AU1775" s="66"/>
      <c r="AV1775" s="66"/>
      <c r="AW1775" s="66"/>
      <c r="AX1775" s="66"/>
      <c r="AY1775" s="66"/>
      <c r="AZ1775" s="66"/>
      <c r="BA1775" s="66"/>
      <c r="BB1775" s="66"/>
      <c r="BC1775" s="66"/>
      <c r="BD1775" s="66"/>
      <c r="BE1775" s="67"/>
      <c r="BF1775" s="67"/>
      <c r="BG1775" s="68"/>
      <c r="BI1775" s="69">
        <v>0</v>
      </c>
      <c r="BJ1775" s="70">
        <v>0</v>
      </c>
      <c r="BK1775" s="71">
        <v>0</v>
      </c>
      <c r="BL1775" s="71">
        <v>0</v>
      </c>
      <c r="BM1775" s="71">
        <v>0</v>
      </c>
      <c r="BN1775" s="72">
        <v>0</v>
      </c>
      <c r="BO1775" s="151" t="e">
        <f t="shared" si="114"/>
        <v>#DIV/0!</v>
      </c>
      <c r="BP1775" s="151" t="e">
        <f t="shared" si="115"/>
        <v>#DIV/0!</v>
      </c>
      <c r="BQ1775" s="71">
        <v>0</v>
      </c>
      <c r="BR1775" s="71">
        <v>0</v>
      </c>
      <c r="BS1775" s="71">
        <v>0</v>
      </c>
      <c r="BT1775" s="72">
        <v>0</v>
      </c>
      <c r="BU1775" s="151" t="e">
        <f t="shared" si="111"/>
        <v>#DIV/0!</v>
      </c>
      <c r="BV1775" s="151" t="e">
        <f t="shared" si="112"/>
        <v>#DIV/0!</v>
      </c>
    </row>
    <row r="1776" s="1" customFormat="1" ht="30" customHeight="1" spans="1:75 16331:16349">
      <c r="A1776" s="110" t="s">
        <v>41</v>
      </c>
      <c r="B1776" s="111" t="s">
        <v>2247</v>
      </c>
      <c r="C1776" s="112" t="s">
        <v>2261</v>
      </c>
      <c r="D1776" s="113" t="s">
        <v>2843</v>
      </c>
      <c r="E1776" s="113" t="s">
        <v>2844</v>
      </c>
      <c r="F1776" s="113" t="str">
        <f>VLOOKUP(E1776,[1]库存!$B$1:$C$65536,2,FALSE)</f>
        <v>CHANGAN C673 EU PAB</v>
      </c>
      <c r="G1776" s="113" t="s">
        <v>2845</v>
      </c>
      <c r="H1776" s="113" t="s">
        <v>2846</v>
      </c>
      <c r="I1776" s="113" t="s">
        <v>2847</v>
      </c>
      <c r="J1776" s="201" t="s">
        <v>65</v>
      </c>
      <c r="K1776" s="115"/>
      <c r="L1776" s="116">
        <v>2</v>
      </c>
      <c r="M1776" s="117">
        <v>700</v>
      </c>
      <c r="N1776" s="114">
        <v>17</v>
      </c>
      <c r="O1776" s="116">
        <v>2</v>
      </c>
      <c r="P1776" s="30">
        <f t="shared" si="113"/>
        <v>0</v>
      </c>
      <c r="Q1776" s="67"/>
      <c r="R1776" s="67"/>
      <c r="S1776" s="67"/>
      <c r="T1776" s="67"/>
      <c r="U1776" s="67">
        <v>10</v>
      </c>
      <c r="V1776" s="67"/>
      <c r="W1776" s="67"/>
      <c r="X1776" s="67"/>
      <c r="Y1776" s="67"/>
      <c r="Z1776" s="67"/>
      <c r="AA1776" s="67"/>
      <c r="AB1776" s="67"/>
      <c r="AC1776" s="67"/>
      <c r="AD1776" s="67"/>
      <c r="AE1776" s="67"/>
      <c r="AF1776" s="67"/>
      <c r="AG1776" s="67"/>
      <c r="AH1776" s="67"/>
      <c r="AI1776" s="67"/>
      <c r="AJ1776" s="67"/>
      <c r="AK1776" s="67"/>
      <c r="AL1776" s="67"/>
      <c r="AM1776" s="67"/>
      <c r="AN1776" s="67"/>
      <c r="AO1776" s="67"/>
      <c r="AP1776" s="67"/>
      <c r="AQ1776" s="67"/>
      <c r="AR1776" s="67"/>
      <c r="AS1776" s="67"/>
      <c r="AT1776" s="67"/>
      <c r="AU1776" s="67"/>
      <c r="AV1776" s="67"/>
      <c r="AW1776" s="67"/>
      <c r="AX1776" s="67"/>
      <c r="AY1776" s="67"/>
      <c r="AZ1776" s="67"/>
      <c r="BA1776" s="67"/>
      <c r="BB1776" s="67"/>
      <c r="BC1776" s="67"/>
      <c r="BD1776" s="67"/>
      <c r="BE1776" s="67"/>
      <c r="BF1776" s="67"/>
      <c r="BG1776" s="118"/>
      <c r="BH1776" s="119"/>
      <c r="BI1776" s="120">
        <v>0</v>
      </c>
      <c r="BJ1776" s="121">
        <v>0</v>
      </c>
      <c r="BK1776" s="122">
        <v>0</v>
      </c>
      <c r="BL1776" s="122">
        <v>0</v>
      </c>
      <c r="BM1776" s="122">
        <v>0</v>
      </c>
      <c r="BN1776" s="123">
        <v>0</v>
      </c>
      <c r="BO1776" s="204" t="e">
        <f t="shared" si="114"/>
        <v>#DIV/0!</v>
      </c>
      <c r="BP1776" s="204" t="e">
        <f t="shared" si="115"/>
        <v>#DIV/0!</v>
      </c>
      <c r="BQ1776" s="122">
        <v>0</v>
      </c>
      <c r="BR1776" s="122">
        <v>0</v>
      </c>
      <c r="BS1776" s="122">
        <v>0</v>
      </c>
      <c r="BT1776" s="123">
        <v>0</v>
      </c>
      <c r="BU1776" s="204" t="e">
        <f t="shared" si="111"/>
        <v>#DIV/0!</v>
      </c>
      <c r="BV1776" s="204" t="e">
        <f t="shared" si="112"/>
        <v>#DIV/0!</v>
      </c>
      <c r="BW1776" s="125"/>
      <c r="XDC1776" s="126"/>
      <c r="XDD1776" s="126"/>
      <c r="XDE1776" s="126"/>
      <c r="XDF1776" s="126"/>
      <c r="XDG1776" s="126"/>
      <c r="XDH1776" s="126"/>
      <c r="XDI1776" s="126"/>
      <c r="XDJ1776" s="126"/>
      <c r="XDK1776" s="126"/>
      <c r="XDL1776" s="126"/>
      <c r="XDM1776" s="126"/>
      <c r="XDN1776" s="126"/>
      <c r="XDO1776" s="126"/>
      <c r="XDP1776" s="126"/>
      <c r="XDQ1776" s="126"/>
      <c r="XDR1776" s="126"/>
      <c r="XDS1776" s="126"/>
      <c r="XDT1776" s="126"/>
      <c r="XDU1776" s="126"/>
    </row>
    <row r="1777" s="1" customFormat="1" ht="30" customHeight="1" spans="1:75 16331:16349">
      <c r="A1777" s="110">
        <v>0</v>
      </c>
      <c r="B1777" s="111">
        <v>0</v>
      </c>
      <c r="C1777" s="112">
        <v>0</v>
      </c>
      <c r="D1777" s="127"/>
      <c r="E1777" s="127"/>
      <c r="F1777" s="113" t="e">
        <f>VLOOKUP(E1777,[1]库存!$B$1:$C$65536,2,FALSE)</f>
        <v>#N/A</v>
      </c>
      <c r="G1777" s="113" t="e">
        <v>#N/A</v>
      </c>
      <c r="H1777" s="127"/>
      <c r="I1777" s="127"/>
      <c r="J1777" s="202"/>
      <c r="K1777" s="115"/>
      <c r="L1777" s="116">
        <v>0</v>
      </c>
      <c r="M1777" s="117">
        <v>0</v>
      </c>
      <c r="N1777" s="114">
        <v>0</v>
      </c>
      <c r="O1777" s="116">
        <v>0</v>
      </c>
      <c r="P1777" s="30">
        <f t="shared" si="113"/>
        <v>0</v>
      </c>
      <c r="Q1777" s="67"/>
      <c r="R1777" s="67"/>
      <c r="S1777" s="67"/>
      <c r="T1777" s="67"/>
      <c r="U1777" s="67" t="s">
        <v>2848</v>
      </c>
      <c r="V1777" s="67" t="s">
        <v>2849</v>
      </c>
      <c r="W1777" s="67"/>
      <c r="X1777" s="67"/>
      <c r="Y1777" s="67"/>
      <c r="Z1777" s="67"/>
      <c r="AA1777" s="67"/>
      <c r="AB1777" s="67"/>
      <c r="AC1777" s="67"/>
      <c r="AD1777" s="67"/>
      <c r="AE1777" s="67"/>
      <c r="AF1777" s="67"/>
      <c r="AG1777" s="67"/>
      <c r="AH1777" s="67"/>
      <c r="AI1777" s="67"/>
      <c r="AJ1777" s="67"/>
      <c r="AK1777" s="67"/>
      <c r="AL1777" s="67"/>
      <c r="AM1777" s="67"/>
      <c r="AN1777" s="67"/>
      <c r="AO1777" s="67"/>
      <c r="AP1777" s="67"/>
      <c r="AQ1777" s="67"/>
      <c r="AR1777" s="67"/>
      <c r="AS1777" s="67"/>
      <c r="AT1777" s="67"/>
      <c r="AU1777" s="67"/>
      <c r="AV1777" s="67"/>
      <c r="AW1777" s="67"/>
      <c r="AX1777" s="67"/>
      <c r="AY1777" s="67"/>
      <c r="AZ1777" s="67"/>
      <c r="BA1777" s="67"/>
      <c r="BB1777" s="67"/>
      <c r="BC1777" s="67"/>
      <c r="BD1777" s="67"/>
      <c r="BE1777" s="67"/>
      <c r="BF1777" s="67"/>
      <c r="BG1777" s="118"/>
      <c r="BH1777" s="119"/>
      <c r="BI1777" s="120">
        <v>0</v>
      </c>
      <c r="BJ1777" s="121">
        <v>0</v>
      </c>
      <c r="BK1777" s="122">
        <v>0</v>
      </c>
      <c r="BL1777" s="122">
        <v>0</v>
      </c>
      <c r="BM1777" s="122">
        <v>0</v>
      </c>
      <c r="BN1777" s="123">
        <v>0</v>
      </c>
      <c r="BO1777" s="204" t="e">
        <f t="shared" si="114"/>
        <v>#DIV/0!</v>
      </c>
      <c r="BP1777" s="204" t="e">
        <f t="shared" si="115"/>
        <v>#DIV/0!</v>
      </c>
      <c r="BQ1777" s="122">
        <v>0</v>
      </c>
      <c r="BR1777" s="122">
        <v>0</v>
      </c>
      <c r="BS1777" s="122">
        <v>0</v>
      </c>
      <c r="BT1777" s="123">
        <v>0</v>
      </c>
      <c r="BU1777" s="204" t="e">
        <f t="shared" si="111"/>
        <v>#DIV/0!</v>
      </c>
      <c r="BV1777" s="204" t="e">
        <f t="shared" si="112"/>
        <v>#DIV/0!</v>
      </c>
      <c r="BW1777" s="125"/>
      <c r="XDC1777" s="126"/>
      <c r="XDD1777" s="126"/>
      <c r="XDE1777" s="126"/>
      <c r="XDF1777" s="126"/>
      <c r="XDG1777" s="126"/>
      <c r="XDH1777" s="126"/>
      <c r="XDI1777" s="126"/>
      <c r="XDJ1777" s="126"/>
      <c r="XDK1777" s="126"/>
      <c r="XDL1777" s="126"/>
      <c r="XDM1777" s="126"/>
      <c r="XDN1777" s="126"/>
      <c r="XDO1777" s="126"/>
      <c r="XDP1777" s="126"/>
      <c r="XDQ1777" s="126"/>
      <c r="XDR1777" s="126"/>
      <c r="XDS1777" s="126"/>
      <c r="XDT1777" s="126"/>
      <c r="XDU1777" s="126"/>
    </row>
    <row r="1778" s="1" customFormat="1" ht="30" customHeight="1" spans="1:75 16331:16349">
      <c r="A1778" s="110">
        <v>0</v>
      </c>
      <c r="B1778" s="111" t="s">
        <v>2247</v>
      </c>
      <c r="C1778" s="112" t="s">
        <v>2261</v>
      </c>
      <c r="D1778" s="113" t="s">
        <v>2843</v>
      </c>
      <c r="E1778" s="113"/>
      <c r="F1778" s="113" t="e">
        <f>VLOOKUP(E1778,[1]库存!$B$1:$C$65536,2,FALSE)</f>
        <v>#N/A</v>
      </c>
      <c r="G1778" s="113" t="e">
        <v>#N/A</v>
      </c>
      <c r="H1778" s="113" t="s">
        <v>2850</v>
      </c>
      <c r="I1778" s="113" t="s">
        <v>2851</v>
      </c>
      <c r="J1778" s="251"/>
      <c r="K1778" s="115"/>
      <c r="L1778" s="116">
        <v>2</v>
      </c>
      <c r="M1778" s="117">
        <v>900</v>
      </c>
      <c r="N1778" s="114">
        <v>17</v>
      </c>
      <c r="O1778" s="116">
        <v>2</v>
      </c>
      <c r="P1778" s="30">
        <f t="shared" si="113"/>
        <v>0</v>
      </c>
      <c r="Q1778" s="105"/>
      <c r="R1778" s="105"/>
      <c r="S1778" s="105"/>
      <c r="T1778" s="105"/>
      <c r="U1778" s="105"/>
      <c r="V1778" s="105"/>
      <c r="W1778" s="105"/>
      <c r="X1778" s="105"/>
      <c r="Y1778" s="105"/>
      <c r="Z1778" s="105"/>
      <c r="AA1778" s="105"/>
      <c r="AB1778" s="105"/>
      <c r="AC1778" s="105"/>
      <c r="AD1778" s="105"/>
      <c r="AE1778" s="105"/>
      <c r="AF1778" s="105"/>
      <c r="AG1778" s="105"/>
      <c r="AH1778" s="105"/>
      <c r="AI1778" s="105"/>
      <c r="AJ1778" s="105"/>
      <c r="AK1778" s="105"/>
      <c r="AL1778" s="105"/>
      <c r="AM1778" s="105"/>
      <c r="AN1778" s="105"/>
      <c r="AO1778" s="105"/>
      <c r="AP1778" s="105"/>
      <c r="AQ1778" s="105"/>
      <c r="AR1778" s="105"/>
      <c r="AS1778" s="105"/>
      <c r="AT1778" s="105"/>
      <c r="AU1778" s="105"/>
      <c r="AV1778" s="105"/>
      <c r="AW1778" s="105"/>
      <c r="AX1778" s="105"/>
      <c r="AY1778" s="105"/>
      <c r="AZ1778" s="105"/>
      <c r="BA1778" s="105"/>
      <c r="BB1778" s="105"/>
      <c r="BC1778" s="105"/>
      <c r="BD1778" s="105"/>
      <c r="BE1778" s="105"/>
      <c r="BF1778" s="105"/>
      <c r="BG1778" s="118"/>
      <c r="BH1778" s="119"/>
      <c r="BI1778" s="120">
        <v>0</v>
      </c>
      <c r="BJ1778" s="121">
        <v>0</v>
      </c>
      <c r="BK1778" s="122">
        <v>0</v>
      </c>
      <c r="BL1778" s="122">
        <v>0</v>
      </c>
      <c r="BM1778" s="122">
        <v>0</v>
      </c>
      <c r="BN1778" s="123">
        <v>0</v>
      </c>
      <c r="BO1778" s="204" t="e">
        <f t="shared" si="114"/>
        <v>#DIV/0!</v>
      </c>
      <c r="BP1778" s="204" t="e">
        <f t="shared" si="115"/>
        <v>#DIV/0!</v>
      </c>
      <c r="BQ1778" s="122">
        <v>0</v>
      </c>
      <c r="BR1778" s="122">
        <v>0</v>
      </c>
      <c r="BS1778" s="122">
        <v>0</v>
      </c>
      <c r="BT1778" s="123">
        <v>0</v>
      </c>
      <c r="BU1778" s="204" t="e">
        <f t="shared" si="111"/>
        <v>#DIV/0!</v>
      </c>
      <c r="BV1778" s="204" t="e">
        <f t="shared" si="112"/>
        <v>#DIV/0!</v>
      </c>
      <c r="BW1778" s="125"/>
      <c r="XDC1778" s="126"/>
      <c r="XDD1778" s="126"/>
      <c r="XDE1778" s="126"/>
      <c r="XDF1778" s="126"/>
      <c r="XDG1778" s="126"/>
      <c r="XDH1778" s="126"/>
      <c r="XDI1778" s="126"/>
      <c r="XDJ1778" s="126"/>
      <c r="XDK1778" s="126"/>
      <c r="XDL1778" s="126"/>
      <c r="XDM1778" s="126"/>
      <c r="XDN1778" s="126"/>
      <c r="XDO1778" s="126"/>
      <c r="XDP1778" s="126"/>
      <c r="XDQ1778" s="126"/>
      <c r="XDR1778" s="126"/>
      <c r="XDS1778" s="126"/>
      <c r="XDT1778" s="126"/>
      <c r="XDU1778" s="126"/>
    </row>
    <row r="1779" s="1" customFormat="1" ht="30" customHeight="1" spans="1:75 16331:16349">
      <c r="A1779" s="110">
        <v>0</v>
      </c>
      <c r="B1779" s="111">
        <v>0</v>
      </c>
      <c r="C1779" s="112">
        <v>0</v>
      </c>
      <c r="D1779" s="127"/>
      <c r="E1779" s="127"/>
      <c r="F1779" s="113" t="e">
        <f>VLOOKUP(E1779,[1]库存!$B$1:$C$65536,2,FALSE)</f>
        <v>#N/A</v>
      </c>
      <c r="G1779" s="113" t="e">
        <v>#N/A</v>
      </c>
      <c r="H1779" s="127"/>
      <c r="I1779" s="127"/>
      <c r="J1779" s="252"/>
      <c r="K1779" s="115"/>
      <c r="L1779" s="116">
        <v>0</v>
      </c>
      <c r="M1779" s="117">
        <v>0</v>
      </c>
      <c r="N1779" s="114">
        <v>0</v>
      </c>
      <c r="O1779" s="116">
        <v>0</v>
      </c>
      <c r="P1779" s="30">
        <f t="shared" si="113"/>
        <v>0</v>
      </c>
      <c r="Q1779" s="67"/>
      <c r="R1779" s="67"/>
      <c r="S1779" s="67"/>
      <c r="T1779" s="67"/>
      <c r="U1779" s="67"/>
      <c r="V1779" s="67"/>
      <c r="W1779" s="67"/>
      <c r="X1779" s="67"/>
      <c r="Y1779" s="67"/>
      <c r="Z1779" s="67"/>
      <c r="AA1779" s="67"/>
      <c r="AB1779" s="67"/>
      <c r="AC1779" s="67"/>
      <c r="AD1779" s="67"/>
      <c r="AE1779" s="67"/>
      <c r="AF1779" s="67"/>
      <c r="AG1779" s="67"/>
      <c r="AH1779" s="67"/>
      <c r="AI1779" s="67"/>
      <c r="AJ1779" s="67"/>
      <c r="AK1779" s="67"/>
      <c r="AL1779" s="67"/>
      <c r="AM1779" s="67"/>
      <c r="AN1779" s="67"/>
      <c r="AO1779" s="67"/>
      <c r="AP1779" s="67"/>
      <c r="AQ1779" s="67"/>
      <c r="AR1779" s="67"/>
      <c r="AS1779" s="67"/>
      <c r="AT1779" s="67"/>
      <c r="AU1779" s="67"/>
      <c r="AV1779" s="67"/>
      <c r="AW1779" s="67"/>
      <c r="AX1779" s="67"/>
      <c r="AY1779" s="67"/>
      <c r="AZ1779" s="67"/>
      <c r="BA1779" s="67"/>
      <c r="BB1779" s="67"/>
      <c r="BC1779" s="67"/>
      <c r="BD1779" s="67"/>
      <c r="BE1779" s="67"/>
      <c r="BF1779" s="67"/>
      <c r="BG1779" s="118"/>
      <c r="BH1779" s="119"/>
      <c r="BI1779" s="120">
        <v>0</v>
      </c>
      <c r="BJ1779" s="121">
        <v>0</v>
      </c>
      <c r="BK1779" s="122">
        <v>0</v>
      </c>
      <c r="BL1779" s="122">
        <v>0</v>
      </c>
      <c r="BM1779" s="122">
        <v>0</v>
      </c>
      <c r="BN1779" s="123">
        <v>0</v>
      </c>
      <c r="BO1779" s="204" t="e">
        <f t="shared" si="114"/>
        <v>#DIV/0!</v>
      </c>
      <c r="BP1779" s="204" t="e">
        <f t="shared" si="115"/>
        <v>#DIV/0!</v>
      </c>
      <c r="BQ1779" s="122">
        <v>0</v>
      </c>
      <c r="BR1779" s="122">
        <v>0</v>
      </c>
      <c r="BS1779" s="122">
        <v>0</v>
      </c>
      <c r="BT1779" s="123">
        <v>0</v>
      </c>
      <c r="BU1779" s="204" t="e">
        <f t="shared" si="111"/>
        <v>#DIV/0!</v>
      </c>
      <c r="BV1779" s="204" t="e">
        <f t="shared" si="112"/>
        <v>#DIV/0!</v>
      </c>
      <c r="BW1779" s="125"/>
      <c r="XDC1779" s="126"/>
      <c r="XDD1779" s="126"/>
      <c r="XDE1779" s="126"/>
      <c r="XDF1779" s="126"/>
      <c r="XDG1779" s="126"/>
      <c r="XDH1779" s="126"/>
      <c r="XDI1779" s="126"/>
      <c r="XDJ1779" s="126"/>
      <c r="XDK1779" s="126"/>
      <c r="XDL1779" s="126"/>
      <c r="XDM1779" s="126"/>
      <c r="XDN1779" s="126"/>
      <c r="XDO1779" s="126"/>
      <c r="XDP1779" s="126"/>
      <c r="XDQ1779" s="126"/>
      <c r="XDR1779" s="126"/>
      <c r="XDS1779" s="126"/>
      <c r="XDT1779" s="126"/>
      <c r="XDU1779" s="126"/>
    </row>
    <row r="1780" s="1" customFormat="1" ht="30" customHeight="1" spans="1:75 16331:16349">
      <c r="A1780" s="110">
        <v>0</v>
      </c>
      <c r="B1780" s="111" t="s">
        <v>2247</v>
      </c>
      <c r="C1780" s="112" t="s">
        <v>2261</v>
      </c>
      <c r="D1780" s="113" t="s">
        <v>2843</v>
      </c>
      <c r="E1780" s="113" t="s">
        <v>2852</v>
      </c>
      <c r="F1780" s="113" t="e">
        <f>VLOOKUP(E1780,[1]库存!$B$1:$C$65536,2,FALSE)</f>
        <v>#N/A</v>
      </c>
      <c r="G1780" s="113" t="e">
        <v>#N/A</v>
      </c>
      <c r="H1780" s="113" t="s">
        <v>2853</v>
      </c>
      <c r="I1780" s="113" t="s">
        <v>289</v>
      </c>
      <c r="J1780" s="163" t="s">
        <v>2854</v>
      </c>
      <c r="K1780" s="115"/>
      <c r="L1780" s="116">
        <v>2</v>
      </c>
      <c r="M1780" s="117">
        <v>850</v>
      </c>
      <c r="N1780" s="114">
        <v>17</v>
      </c>
      <c r="O1780" s="116">
        <v>2</v>
      </c>
      <c r="P1780" s="30">
        <f t="shared" si="113"/>
        <v>0</v>
      </c>
      <c r="Q1780" s="105"/>
      <c r="R1780" s="67"/>
      <c r="S1780" s="105"/>
      <c r="T1780" s="67"/>
      <c r="U1780" s="105"/>
      <c r="V1780" s="67"/>
      <c r="W1780" s="105"/>
      <c r="X1780" s="67"/>
      <c r="Y1780" s="105"/>
      <c r="Z1780" s="67"/>
      <c r="AA1780" s="105"/>
      <c r="AB1780" s="67"/>
      <c r="AC1780" s="105"/>
      <c r="AD1780" s="67"/>
      <c r="AE1780" s="105"/>
      <c r="AF1780" s="67"/>
      <c r="AG1780" s="105"/>
      <c r="AH1780" s="67"/>
      <c r="AI1780" s="105"/>
      <c r="AJ1780" s="67"/>
      <c r="AK1780" s="105"/>
      <c r="AL1780" s="67"/>
      <c r="AM1780" s="105"/>
      <c r="AN1780" s="67"/>
      <c r="AO1780" s="105"/>
      <c r="AP1780" s="67"/>
      <c r="AQ1780" s="105"/>
      <c r="AR1780" s="67"/>
      <c r="AS1780" s="105"/>
      <c r="AT1780" s="67"/>
      <c r="AU1780" s="105"/>
      <c r="AV1780" s="67"/>
      <c r="AW1780" s="105"/>
      <c r="AX1780" s="67"/>
      <c r="AY1780" s="105"/>
      <c r="AZ1780" s="67"/>
      <c r="BA1780" s="105"/>
      <c r="BB1780" s="67"/>
      <c r="BC1780" s="105"/>
      <c r="BD1780" s="67"/>
      <c r="BE1780" s="105"/>
      <c r="BF1780" s="67"/>
      <c r="BG1780" s="118"/>
      <c r="BH1780" s="119"/>
      <c r="BI1780" s="120">
        <v>0</v>
      </c>
      <c r="BJ1780" s="121">
        <v>0</v>
      </c>
      <c r="BK1780" s="122">
        <v>0</v>
      </c>
      <c r="BL1780" s="122">
        <v>0</v>
      </c>
      <c r="BM1780" s="122">
        <v>0</v>
      </c>
      <c r="BN1780" s="123">
        <v>0</v>
      </c>
      <c r="BO1780" s="204" t="e">
        <f t="shared" si="114"/>
        <v>#DIV/0!</v>
      </c>
      <c r="BP1780" s="204" t="e">
        <f t="shared" si="115"/>
        <v>#DIV/0!</v>
      </c>
      <c r="BQ1780" s="122">
        <v>0</v>
      </c>
      <c r="BR1780" s="122">
        <v>0</v>
      </c>
      <c r="BS1780" s="122">
        <v>0</v>
      </c>
      <c r="BT1780" s="123">
        <v>0</v>
      </c>
      <c r="BU1780" s="204" t="e">
        <f t="shared" si="111"/>
        <v>#DIV/0!</v>
      </c>
      <c r="BV1780" s="204" t="e">
        <f t="shared" si="112"/>
        <v>#DIV/0!</v>
      </c>
      <c r="BW1780" s="125"/>
      <c r="XDC1780" s="126"/>
      <c r="XDD1780" s="126"/>
      <c r="XDE1780" s="126"/>
      <c r="XDF1780" s="126"/>
      <c r="XDG1780" s="126"/>
      <c r="XDH1780" s="126"/>
      <c r="XDI1780" s="126"/>
      <c r="XDJ1780" s="126"/>
      <c r="XDK1780" s="126"/>
      <c r="XDL1780" s="126"/>
      <c r="XDM1780" s="126"/>
      <c r="XDN1780" s="126"/>
      <c r="XDO1780" s="126"/>
      <c r="XDP1780" s="126"/>
      <c r="XDQ1780" s="126"/>
      <c r="XDR1780" s="126"/>
      <c r="XDS1780" s="126"/>
      <c r="XDT1780" s="126"/>
      <c r="XDU1780" s="126"/>
    </row>
    <row r="1781" s="1" customFormat="1" ht="30" customHeight="1" spans="1:75 16331:16349">
      <c r="A1781" s="110">
        <v>0</v>
      </c>
      <c r="B1781" s="111">
        <v>0</v>
      </c>
      <c r="C1781" s="112">
        <v>0</v>
      </c>
      <c r="D1781" s="127"/>
      <c r="E1781" s="127"/>
      <c r="F1781" s="113" t="e">
        <f>VLOOKUP(E1781,[1]库存!$B$1:$C$65536,2,FALSE)</f>
        <v>#N/A</v>
      </c>
      <c r="G1781" s="113" t="e">
        <v>#N/A</v>
      </c>
      <c r="H1781" s="127"/>
      <c r="I1781" s="127"/>
      <c r="J1781" s="164"/>
      <c r="K1781" s="115"/>
      <c r="L1781" s="116">
        <v>0</v>
      </c>
      <c r="M1781" s="117">
        <v>0</v>
      </c>
      <c r="N1781" s="114">
        <v>0</v>
      </c>
      <c r="O1781" s="116">
        <v>0</v>
      </c>
      <c r="P1781" s="30">
        <f t="shared" si="113"/>
        <v>0</v>
      </c>
      <c r="Q1781" s="67"/>
      <c r="R1781" s="67"/>
      <c r="S1781" s="67"/>
      <c r="T1781" s="67"/>
      <c r="U1781" s="67"/>
      <c r="V1781" s="67"/>
      <c r="W1781" s="67"/>
      <c r="X1781" s="67"/>
      <c r="Y1781" s="67"/>
      <c r="Z1781" s="67"/>
      <c r="AA1781" s="67"/>
      <c r="AB1781" s="67"/>
      <c r="AC1781" s="67"/>
      <c r="AD1781" s="67"/>
      <c r="AE1781" s="67"/>
      <c r="AF1781" s="67"/>
      <c r="AG1781" s="67"/>
      <c r="AH1781" s="67"/>
      <c r="AI1781" s="67"/>
      <c r="AJ1781" s="67"/>
      <c r="AK1781" s="67"/>
      <c r="AL1781" s="67"/>
      <c r="AM1781" s="67"/>
      <c r="AN1781" s="67"/>
      <c r="AO1781" s="67"/>
      <c r="AP1781" s="67"/>
      <c r="AQ1781" s="67"/>
      <c r="AR1781" s="67"/>
      <c r="AS1781" s="67"/>
      <c r="AT1781" s="67"/>
      <c r="AU1781" s="67"/>
      <c r="AV1781" s="67"/>
      <c r="AW1781" s="67"/>
      <c r="AX1781" s="67"/>
      <c r="AY1781" s="67"/>
      <c r="AZ1781" s="67"/>
      <c r="BA1781" s="67"/>
      <c r="BB1781" s="67"/>
      <c r="BC1781" s="67"/>
      <c r="BD1781" s="67"/>
      <c r="BE1781" s="67"/>
      <c r="BF1781" s="67"/>
      <c r="BG1781" s="118"/>
      <c r="BH1781" s="119"/>
      <c r="BI1781" s="120">
        <v>0</v>
      </c>
      <c r="BJ1781" s="121">
        <v>0</v>
      </c>
      <c r="BK1781" s="122">
        <v>0</v>
      </c>
      <c r="BL1781" s="122">
        <v>0</v>
      </c>
      <c r="BM1781" s="122">
        <v>0</v>
      </c>
      <c r="BN1781" s="123">
        <v>0</v>
      </c>
      <c r="BO1781" s="204" t="e">
        <f t="shared" si="114"/>
        <v>#DIV/0!</v>
      </c>
      <c r="BP1781" s="204" t="e">
        <f t="shared" si="115"/>
        <v>#DIV/0!</v>
      </c>
      <c r="BQ1781" s="122">
        <v>0</v>
      </c>
      <c r="BR1781" s="122">
        <v>0</v>
      </c>
      <c r="BS1781" s="122">
        <v>0</v>
      </c>
      <c r="BT1781" s="123">
        <v>0</v>
      </c>
      <c r="BU1781" s="204" t="e">
        <f t="shared" si="111"/>
        <v>#DIV/0!</v>
      </c>
      <c r="BV1781" s="204" t="e">
        <f t="shared" si="112"/>
        <v>#DIV/0!</v>
      </c>
      <c r="BW1781" s="125"/>
      <c r="XDC1781" s="126"/>
      <c r="XDD1781" s="126"/>
      <c r="XDE1781" s="126"/>
      <c r="XDF1781" s="126"/>
      <c r="XDG1781" s="126"/>
      <c r="XDH1781" s="126"/>
      <c r="XDI1781" s="126"/>
      <c r="XDJ1781" s="126"/>
      <c r="XDK1781" s="126"/>
      <c r="XDL1781" s="126"/>
      <c r="XDM1781" s="126"/>
      <c r="XDN1781" s="126"/>
      <c r="XDO1781" s="126"/>
      <c r="XDP1781" s="126"/>
      <c r="XDQ1781" s="126"/>
      <c r="XDR1781" s="126"/>
      <c r="XDS1781" s="126"/>
      <c r="XDT1781" s="126"/>
      <c r="XDU1781" s="126"/>
    </row>
    <row r="1782" s="1" customFormat="1" ht="30" customHeight="1" spans="1:75 16331:16349">
      <c r="A1782" s="110">
        <v>0</v>
      </c>
      <c r="B1782" s="111" t="s">
        <v>2247</v>
      </c>
      <c r="C1782" s="112" t="s">
        <v>2261</v>
      </c>
      <c r="D1782" s="113" t="s">
        <v>2843</v>
      </c>
      <c r="E1782" s="113" t="s">
        <v>2855</v>
      </c>
      <c r="F1782" s="113" t="e">
        <f>VLOOKUP(E1782,[1]库存!$B$1:$C$65536,2,FALSE)</f>
        <v>#N/A</v>
      </c>
      <c r="G1782" s="113" t="e">
        <v>#N/A</v>
      </c>
      <c r="H1782" s="113" t="s">
        <v>2856</v>
      </c>
      <c r="I1782" s="113" t="s">
        <v>289</v>
      </c>
      <c r="J1782" s="220" t="s">
        <v>1495</v>
      </c>
      <c r="K1782" s="115"/>
      <c r="L1782" s="116">
        <v>2</v>
      </c>
      <c r="M1782" s="117">
        <v>900</v>
      </c>
      <c r="N1782" s="114">
        <v>17</v>
      </c>
      <c r="O1782" s="116">
        <v>2</v>
      </c>
      <c r="P1782" s="30">
        <f t="shared" si="113"/>
        <v>0</v>
      </c>
      <c r="Q1782" s="105"/>
      <c r="R1782" s="105"/>
      <c r="S1782" s="105"/>
      <c r="T1782" s="105"/>
      <c r="U1782" s="105"/>
      <c r="V1782" s="105"/>
      <c r="W1782" s="105"/>
      <c r="X1782" s="105"/>
      <c r="Y1782" s="105"/>
      <c r="Z1782" s="105"/>
      <c r="AA1782" s="105"/>
      <c r="AB1782" s="105"/>
      <c r="AC1782" s="105"/>
      <c r="AD1782" s="105"/>
      <c r="AE1782" s="105"/>
      <c r="AF1782" s="105"/>
      <c r="AG1782" s="105"/>
      <c r="AH1782" s="105"/>
      <c r="AI1782" s="105"/>
      <c r="AJ1782" s="105"/>
      <c r="AK1782" s="105"/>
      <c r="AL1782" s="105"/>
      <c r="AM1782" s="105"/>
      <c r="AN1782" s="105"/>
      <c r="AO1782" s="105"/>
      <c r="AP1782" s="105"/>
      <c r="AQ1782" s="105"/>
      <c r="AR1782" s="105"/>
      <c r="AS1782" s="105"/>
      <c r="AT1782" s="105"/>
      <c r="AU1782" s="105"/>
      <c r="AV1782" s="105"/>
      <c r="AW1782" s="105"/>
      <c r="AX1782" s="105"/>
      <c r="AY1782" s="105"/>
      <c r="AZ1782" s="105"/>
      <c r="BA1782" s="105"/>
      <c r="BB1782" s="105"/>
      <c r="BC1782" s="105"/>
      <c r="BD1782" s="105"/>
      <c r="BE1782" s="105"/>
      <c r="BF1782" s="105"/>
      <c r="BG1782" s="118"/>
      <c r="BH1782" s="119"/>
      <c r="BI1782" s="120">
        <v>0</v>
      </c>
      <c r="BJ1782" s="121">
        <v>0</v>
      </c>
      <c r="BK1782" s="122">
        <v>0</v>
      </c>
      <c r="BL1782" s="122">
        <v>0</v>
      </c>
      <c r="BM1782" s="122">
        <v>0</v>
      </c>
      <c r="BN1782" s="123">
        <v>0</v>
      </c>
      <c r="BO1782" s="204" t="e">
        <f t="shared" si="114"/>
        <v>#DIV/0!</v>
      </c>
      <c r="BP1782" s="204" t="e">
        <f t="shared" si="115"/>
        <v>#DIV/0!</v>
      </c>
      <c r="BQ1782" s="122">
        <v>0</v>
      </c>
      <c r="BR1782" s="122">
        <v>0</v>
      </c>
      <c r="BS1782" s="122">
        <v>0</v>
      </c>
      <c r="BT1782" s="123">
        <v>0</v>
      </c>
      <c r="BU1782" s="204" t="e">
        <f t="shared" si="111"/>
        <v>#DIV/0!</v>
      </c>
      <c r="BV1782" s="204" t="e">
        <f t="shared" si="112"/>
        <v>#DIV/0!</v>
      </c>
      <c r="BW1782" s="125"/>
      <c r="XDC1782" s="126"/>
      <c r="XDD1782" s="126"/>
      <c r="XDE1782" s="126"/>
      <c r="XDF1782" s="126"/>
      <c r="XDG1782" s="126"/>
      <c r="XDH1782" s="126"/>
      <c r="XDI1782" s="126"/>
      <c r="XDJ1782" s="126"/>
      <c r="XDK1782" s="126"/>
      <c r="XDL1782" s="126"/>
      <c r="XDM1782" s="126"/>
      <c r="XDN1782" s="126"/>
      <c r="XDO1782" s="126"/>
      <c r="XDP1782" s="126"/>
      <c r="XDQ1782" s="126"/>
      <c r="XDR1782" s="126"/>
      <c r="XDS1782" s="126"/>
      <c r="XDT1782" s="126"/>
      <c r="XDU1782" s="126"/>
    </row>
    <row r="1783" s="1" customFormat="1" ht="30" customHeight="1" spans="1:75 16331:16349">
      <c r="A1783" s="110">
        <v>0</v>
      </c>
      <c r="B1783" s="111">
        <v>0</v>
      </c>
      <c r="C1783" s="112">
        <v>0</v>
      </c>
      <c r="D1783" s="127"/>
      <c r="E1783" s="127"/>
      <c r="F1783" s="113" t="e">
        <f>VLOOKUP(E1783,[1]库存!$B$1:$C$65536,2,FALSE)</f>
        <v>#N/A</v>
      </c>
      <c r="G1783" s="113" t="e">
        <v>#N/A</v>
      </c>
      <c r="H1783" s="127"/>
      <c r="I1783" s="127"/>
      <c r="J1783" s="221"/>
      <c r="K1783" s="115"/>
      <c r="L1783" s="116">
        <v>0</v>
      </c>
      <c r="M1783" s="117">
        <v>0</v>
      </c>
      <c r="N1783" s="114">
        <v>0</v>
      </c>
      <c r="O1783" s="116">
        <v>0</v>
      </c>
      <c r="P1783" s="30">
        <f t="shared" si="113"/>
        <v>0</v>
      </c>
      <c r="Q1783" s="67"/>
      <c r="R1783" s="67"/>
      <c r="S1783" s="67"/>
      <c r="T1783" s="67"/>
      <c r="U1783" s="67"/>
      <c r="V1783" s="67"/>
      <c r="W1783" s="67"/>
      <c r="X1783" s="67"/>
      <c r="Y1783" s="67"/>
      <c r="Z1783" s="67"/>
      <c r="AA1783" s="67"/>
      <c r="AB1783" s="67"/>
      <c r="AC1783" s="67"/>
      <c r="AD1783" s="67"/>
      <c r="AE1783" s="67"/>
      <c r="AF1783" s="67"/>
      <c r="AG1783" s="67"/>
      <c r="AH1783" s="67"/>
      <c r="AI1783" s="67"/>
      <c r="AJ1783" s="67"/>
      <c r="AK1783" s="67"/>
      <c r="AL1783" s="67"/>
      <c r="AM1783" s="67"/>
      <c r="AN1783" s="67"/>
      <c r="AO1783" s="67"/>
      <c r="AP1783" s="67"/>
      <c r="AQ1783" s="67"/>
      <c r="AR1783" s="67"/>
      <c r="AS1783" s="67"/>
      <c r="AT1783" s="67"/>
      <c r="AU1783" s="67"/>
      <c r="AV1783" s="67"/>
      <c r="AW1783" s="67"/>
      <c r="AX1783" s="67"/>
      <c r="AY1783" s="67"/>
      <c r="AZ1783" s="67"/>
      <c r="BA1783" s="67"/>
      <c r="BB1783" s="67"/>
      <c r="BC1783" s="67"/>
      <c r="BD1783" s="67"/>
      <c r="BE1783" s="67"/>
      <c r="BF1783" s="67"/>
      <c r="BG1783" s="118"/>
      <c r="BH1783" s="119"/>
      <c r="BI1783" s="120">
        <v>0</v>
      </c>
      <c r="BJ1783" s="121">
        <v>0</v>
      </c>
      <c r="BK1783" s="122">
        <v>0</v>
      </c>
      <c r="BL1783" s="122">
        <v>0</v>
      </c>
      <c r="BM1783" s="122">
        <v>0</v>
      </c>
      <c r="BN1783" s="123">
        <v>0</v>
      </c>
      <c r="BO1783" s="204" t="e">
        <f t="shared" si="114"/>
        <v>#DIV/0!</v>
      </c>
      <c r="BP1783" s="204" t="e">
        <f t="shared" si="115"/>
        <v>#DIV/0!</v>
      </c>
      <c r="BQ1783" s="122">
        <v>0</v>
      </c>
      <c r="BR1783" s="122">
        <v>0</v>
      </c>
      <c r="BS1783" s="122">
        <v>0</v>
      </c>
      <c r="BT1783" s="123">
        <v>0</v>
      </c>
      <c r="BU1783" s="204" t="e">
        <f t="shared" si="111"/>
        <v>#DIV/0!</v>
      </c>
      <c r="BV1783" s="204" t="e">
        <f t="shared" si="112"/>
        <v>#DIV/0!</v>
      </c>
      <c r="BW1783" s="125"/>
      <c r="XDC1783" s="126"/>
      <c r="XDD1783" s="126"/>
      <c r="XDE1783" s="126"/>
      <c r="XDF1783" s="126"/>
      <c r="XDG1783" s="126"/>
      <c r="XDH1783" s="126"/>
      <c r="XDI1783" s="126"/>
      <c r="XDJ1783" s="126"/>
      <c r="XDK1783" s="126"/>
      <c r="XDL1783" s="126"/>
      <c r="XDM1783" s="126"/>
      <c r="XDN1783" s="126"/>
      <c r="XDO1783" s="126"/>
      <c r="XDP1783" s="126"/>
      <c r="XDQ1783" s="126"/>
      <c r="XDR1783" s="126"/>
      <c r="XDS1783" s="126"/>
      <c r="XDT1783" s="126"/>
      <c r="XDU1783" s="126"/>
    </row>
    <row r="1784" ht="30" customHeight="1" spans="1:75 16331:16349">
      <c r="A1784" s="55">
        <v>0</v>
      </c>
      <c r="B1784" s="56">
        <v>0</v>
      </c>
      <c r="C1784" s="57">
        <v>0</v>
      </c>
      <c r="D1784" s="210"/>
      <c r="E1784" s="88"/>
      <c r="F1784" s="59" t="e">
        <f>VLOOKUP(E1784,[1]库存!$B$1:$C$65536,2,FALSE)</f>
        <v>#N/A</v>
      </c>
      <c r="G1784" s="59" t="e">
        <v>#N/A</v>
      </c>
      <c r="H1784" s="238"/>
      <c r="I1784" s="239"/>
      <c r="J1784" s="90"/>
      <c r="K1784" s="61"/>
      <c r="L1784" s="62">
        <v>0</v>
      </c>
      <c r="M1784" s="63">
        <v>0</v>
      </c>
      <c r="N1784" s="64">
        <v>0</v>
      </c>
      <c r="O1784" s="62">
        <v>0</v>
      </c>
      <c r="P1784" s="65">
        <f t="shared" si="113"/>
        <v>0</v>
      </c>
      <c r="Q1784" s="66"/>
      <c r="R1784" s="66"/>
      <c r="S1784" s="66"/>
      <c r="T1784" s="66"/>
      <c r="U1784" s="66"/>
      <c r="V1784" s="66"/>
      <c r="W1784" s="66"/>
      <c r="X1784" s="66"/>
      <c r="Y1784" s="66"/>
      <c r="Z1784" s="66"/>
      <c r="AA1784" s="66"/>
      <c r="AB1784" s="66"/>
      <c r="AC1784" s="66"/>
      <c r="AD1784" s="66"/>
      <c r="AE1784" s="66"/>
      <c r="AF1784" s="66"/>
      <c r="AG1784" s="66"/>
      <c r="AH1784" s="66"/>
      <c r="AI1784" s="66"/>
      <c r="AJ1784" s="66"/>
      <c r="AK1784" s="66"/>
      <c r="AL1784" s="66"/>
      <c r="AM1784" s="66"/>
      <c r="AN1784" s="66"/>
      <c r="AO1784" s="66"/>
      <c r="AP1784" s="66"/>
      <c r="AQ1784" s="66"/>
      <c r="AR1784" s="66"/>
      <c r="AS1784" s="66"/>
      <c r="AT1784" s="66"/>
      <c r="AU1784" s="66"/>
      <c r="AV1784" s="66"/>
      <c r="AW1784" s="66"/>
      <c r="AX1784" s="66"/>
      <c r="AY1784" s="66"/>
      <c r="AZ1784" s="66"/>
      <c r="BA1784" s="66"/>
      <c r="BB1784" s="66"/>
      <c r="BC1784" s="66"/>
      <c r="BD1784" s="66"/>
      <c r="BE1784" s="67"/>
      <c r="BF1784" s="67"/>
      <c r="BG1784" s="68"/>
      <c r="BI1784" s="69">
        <v>0</v>
      </c>
      <c r="BJ1784" s="70">
        <v>0</v>
      </c>
      <c r="BK1784" s="71">
        <v>0</v>
      </c>
      <c r="BL1784" s="71">
        <v>0</v>
      </c>
      <c r="BM1784" s="71">
        <v>0</v>
      </c>
      <c r="BN1784" s="72">
        <v>0</v>
      </c>
      <c r="BO1784" s="151" t="e">
        <f t="shared" si="114"/>
        <v>#DIV/0!</v>
      </c>
      <c r="BP1784" s="151" t="e">
        <f t="shared" si="115"/>
        <v>#DIV/0!</v>
      </c>
      <c r="BQ1784" s="71">
        <v>0</v>
      </c>
      <c r="BR1784" s="71">
        <v>0</v>
      </c>
      <c r="BS1784" s="71">
        <v>0</v>
      </c>
      <c r="BT1784" s="72">
        <v>0</v>
      </c>
      <c r="BU1784" s="151" t="e">
        <f t="shared" si="111"/>
        <v>#DIV/0!</v>
      </c>
      <c r="BV1784" s="151" t="e">
        <f t="shared" si="112"/>
        <v>#DIV/0!</v>
      </c>
    </row>
    <row r="1785" ht="30" customHeight="1" spans="1:75 16331:16349">
      <c r="A1785" s="55" t="s">
        <v>165</v>
      </c>
      <c r="B1785" s="56" t="s">
        <v>2247</v>
      </c>
      <c r="C1785" s="57" t="s">
        <v>2248</v>
      </c>
      <c r="D1785" s="91" t="s">
        <v>2857</v>
      </c>
      <c r="E1785" s="230" t="s">
        <v>2858</v>
      </c>
      <c r="F1785" s="91" t="str">
        <f>VLOOKUP(E1785,[1]库存!$B$1:$C$65536,2,FALSE)</f>
        <v>CHERY M1E FSAB LH A状态</v>
      </c>
      <c r="G1785" s="91" t="s">
        <v>2859</v>
      </c>
      <c r="H1785" s="91" t="s">
        <v>1830</v>
      </c>
      <c r="I1785" s="91" t="s">
        <v>1831</v>
      </c>
      <c r="J1785" s="64"/>
      <c r="K1785" s="61"/>
      <c r="L1785" s="62">
        <v>2</v>
      </c>
      <c r="M1785" s="63">
        <v>1200</v>
      </c>
      <c r="N1785" s="64">
        <v>12</v>
      </c>
      <c r="O1785" s="62">
        <v>2</v>
      </c>
      <c r="P1785" s="65">
        <f t="shared" si="113"/>
        <v>0</v>
      </c>
      <c r="Q1785" s="66">
        <v>0</v>
      </c>
      <c r="R1785" s="66"/>
      <c r="S1785" s="66">
        <v>2200</v>
      </c>
      <c r="T1785" s="66"/>
      <c r="U1785" s="66"/>
      <c r="V1785" s="66"/>
      <c r="W1785" s="66"/>
      <c r="X1785" s="66"/>
      <c r="Y1785" s="66"/>
      <c r="Z1785" s="66"/>
      <c r="AA1785" s="66">
        <v>2200</v>
      </c>
      <c r="AB1785" s="66"/>
      <c r="AC1785" s="66">
        <v>2200</v>
      </c>
      <c r="AD1785" s="66"/>
      <c r="AE1785" s="66"/>
      <c r="AF1785" s="66"/>
      <c r="AG1785" s="66"/>
      <c r="AH1785" s="66"/>
      <c r="AI1785" s="66"/>
      <c r="AJ1785" s="66"/>
      <c r="AK1785" s="66"/>
      <c r="AL1785" s="66"/>
      <c r="AM1785" s="66"/>
      <c r="AN1785" s="66"/>
      <c r="AO1785" s="66"/>
      <c r="AP1785" s="66"/>
      <c r="AQ1785" s="66"/>
      <c r="AR1785" s="66"/>
      <c r="AS1785" s="66"/>
      <c r="AT1785" s="66"/>
      <c r="AU1785" s="66"/>
      <c r="AV1785" s="66"/>
      <c r="AW1785" s="66"/>
      <c r="AX1785" s="66"/>
      <c r="AY1785" s="66"/>
      <c r="AZ1785" s="66"/>
      <c r="BA1785" s="66"/>
      <c r="BB1785" s="66"/>
      <c r="BC1785" s="66"/>
      <c r="BD1785" s="66"/>
      <c r="BE1785" s="67"/>
      <c r="BF1785" s="67"/>
      <c r="BG1785" s="68"/>
      <c r="BI1785" s="69">
        <v>0</v>
      </c>
      <c r="BJ1785" s="70">
        <v>0</v>
      </c>
      <c r="BK1785" s="71">
        <v>0</v>
      </c>
      <c r="BL1785" s="71">
        <v>0</v>
      </c>
      <c r="BM1785" s="71">
        <v>0</v>
      </c>
      <c r="BN1785" s="72">
        <v>0</v>
      </c>
      <c r="BO1785" s="151" t="e">
        <f t="shared" si="114"/>
        <v>#DIV/0!</v>
      </c>
      <c r="BP1785" s="151" t="e">
        <f t="shared" si="115"/>
        <v>#DIV/0!</v>
      </c>
      <c r="BQ1785" s="71">
        <v>0</v>
      </c>
      <c r="BR1785" s="71">
        <v>0</v>
      </c>
      <c r="BS1785" s="71">
        <v>0</v>
      </c>
      <c r="BT1785" s="72">
        <v>0</v>
      </c>
      <c r="BU1785" s="73"/>
      <c r="BV1785" s="73"/>
    </row>
    <row r="1786" ht="30" customHeight="1" spans="1:75 16331:16349">
      <c r="A1786" s="55">
        <v>0</v>
      </c>
      <c r="B1786" s="56">
        <v>0</v>
      </c>
      <c r="C1786" s="57">
        <v>0</v>
      </c>
      <c r="D1786" s="154"/>
      <c r="E1786" s="231"/>
      <c r="F1786" s="91" t="e">
        <f>VLOOKUP(E1786,[1]库存!$B$1:$C$65536,2,FALSE)</f>
        <v>#N/A</v>
      </c>
      <c r="G1786" s="91" t="e">
        <v>#N/A</v>
      </c>
      <c r="H1786" s="154"/>
      <c r="I1786" s="154"/>
      <c r="J1786" s="93"/>
      <c r="K1786" s="61"/>
      <c r="L1786" s="62">
        <v>0</v>
      </c>
      <c r="M1786" s="63">
        <v>0</v>
      </c>
      <c r="N1786" s="64">
        <v>0</v>
      </c>
      <c r="O1786" s="62">
        <v>0</v>
      </c>
      <c r="P1786" s="65">
        <f t="shared" si="113"/>
        <v>0</v>
      </c>
      <c r="Q1786" s="66"/>
      <c r="R1786" s="66"/>
      <c r="S1786" s="66">
        <v>2243</v>
      </c>
      <c r="T1786" s="66"/>
      <c r="U1786" s="66"/>
      <c r="V1786" s="66"/>
      <c r="W1786" s="66"/>
      <c r="X1786" s="66"/>
      <c r="Y1786" s="66"/>
      <c r="Z1786" s="66"/>
      <c r="AA1786" s="66">
        <v>2248</v>
      </c>
      <c r="AB1786" s="66"/>
      <c r="AC1786" s="66">
        <v>2262</v>
      </c>
      <c r="AD1786" s="66"/>
      <c r="AE1786" s="66"/>
      <c r="AF1786" s="66"/>
      <c r="AG1786" s="66"/>
      <c r="AH1786" s="66"/>
      <c r="AI1786" s="66"/>
      <c r="AJ1786" s="66"/>
      <c r="AK1786" s="66"/>
      <c r="AL1786" s="66"/>
      <c r="AM1786" s="66"/>
      <c r="AN1786" s="66"/>
      <c r="AO1786" s="66"/>
      <c r="AP1786" s="66"/>
      <c r="AQ1786" s="66"/>
      <c r="AR1786" s="66"/>
      <c r="AS1786" s="66"/>
      <c r="AT1786" s="66"/>
      <c r="AU1786" s="66"/>
      <c r="AV1786" s="66"/>
      <c r="AW1786" s="66"/>
      <c r="AX1786" s="66"/>
      <c r="AY1786" s="66"/>
      <c r="AZ1786" s="66"/>
      <c r="BA1786" s="66"/>
      <c r="BB1786" s="66"/>
      <c r="BC1786" s="66"/>
      <c r="BD1786" s="66"/>
      <c r="BE1786" s="67"/>
      <c r="BF1786" s="67"/>
      <c r="BG1786" s="68"/>
      <c r="BI1786" s="69">
        <v>0</v>
      </c>
      <c r="BJ1786" s="70">
        <v>0</v>
      </c>
      <c r="BK1786" s="71">
        <v>0</v>
      </c>
      <c r="BL1786" s="71">
        <v>0</v>
      </c>
      <c r="BM1786" s="71">
        <v>0</v>
      </c>
      <c r="BN1786" s="72">
        <v>0</v>
      </c>
      <c r="BO1786" s="151" t="e">
        <f t="shared" si="114"/>
        <v>#DIV/0!</v>
      </c>
      <c r="BP1786" s="151" t="e">
        <f t="shared" si="115"/>
        <v>#DIV/0!</v>
      </c>
      <c r="BQ1786" s="71">
        <v>0</v>
      </c>
      <c r="BR1786" s="71">
        <v>0</v>
      </c>
      <c r="BS1786" s="71">
        <v>0</v>
      </c>
      <c r="BT1786" s="72">
        <v>0</v>
      </c>
      <c r="BU1786" s="73"/>
      <c r="BV1786" s="73"/>
    </row>
    <row r="1787" ht="30" customHeight="1" spans="1:75 16331:16349">
      <c r="A1787" s="55">
        <v>0</v>
      </c>
      <c r="B1787" s="56" t="s">
        <v>2247</v>
      </c>
      <c r="C1787" s="57" t="s">
        <v>2248</v>
      </c>
      <c r="D1787" s="91" t="s">
        <v>2857</v>
      </c>
      <c r="E1787" s="91" t="s">
        <v>1833</v>
      </c>
      <c r="F1787" s="91" t="str">
        <f>VLOOKUP(E1787,[1]库存!$B$1:$C$65536,2,FALSE)</f>
        <v>CHERY M1E FSAB RH A状态</v>
      </c>
      <c r="G1787" s="91" t="s">
        <v>1834</v>
      </c>
      <c r="H1787" s="91" t="s">
        <v>1835</v>
      </c>
      <c r="I1787" s="91" t="s">
        <v>1831</v>
      </c>
      <c r="J1787" s="64"/>
      <c r="K1787" s="61"/>
      <c r="L1787" s="62">
        <v>2</v>
      </c>
      <c r="M1787" s="63">
        <v>1200</v>
      </c>
      <c r="N1787" s="64">
        <v>12</v>
      </c>
      <c r="O1787" s="62">
        <v>2</v>
      </c>
      <c r="P1787" s="65">
        <f t="shared" si="113"/>
        <v>0</v>
      </c>
      <c r="Q1787" s="66"/>
      <c r="R1787" s="66"/>
      <c r="S1787" s="66"/>
      <c r="T1787" s="66"/>
      <c r="U1787" s="66"/>
      <c r="V1787" s="66"/>
      <c r="W1787" s="66"/>
      <c r="X1787" s="66"/>
      <c r="Y1787" s="66"/>
      <c r="Z1787" s="66"/>
      <c r="AA1787" s="66"/>
      <c r="AB1787" s="66"/>
      <c r="AC1787" s="66"/>
      <c r="AD1787" s="66"/>
      <c r="AE1787" s="66"/>
      <c r="AF1787" s="66"/>
      <c r="AG1787" s="66"/>
      <c r="AH1787" s="66"/>
      <c r="AI1787" s="66"/>
      <c r="AJ1787" s="66"/>
      <c r="AK1787" s="66"/>
      <c r="AL1787" s="66"/>
      <c r="AM1787" s="66"/>
      <c r="AN1787" s="66"/>
      <c r="AO1787" s="66"/>
      <c r="AP1787" s="66"/>
      <c r="AQ1787" s="66"/>
      <c r="AR1787" s="66"/>
      <c r="AS1787" s="66"/>
      <c r="AT1787" s="66"/>
      <c r="AU1787" s="66"/>
      <c r="AV1787" s="66"/>
      <c r="AW1787" s="66"/>
      <c r="AX1787" s="66"/>
      <c r="AY1787" s="66"/>
      <c r="AZ1787" s="66"/>
      <c r="BA1787" s="66"/>
      <c r="BB1787" s="66"/>
      <c r="BC1787" s="66"/>
      <c r="BD1787" s="66"/>
      <c r="BE1787" s="67"/>
      <c r="BF1787" s="67"/>
      <c r="BG1787" s="68"/>
      <c r="BI1787" s="69">
        <v>0</v>
      </c>
      <c r="BJ1787" s="70">
        <v>0</v>
      </c>
      <c r="BK1787" s="71">
        <v>0</v>
      </c>
      <c r="BL1787" s="71">
        <v>0</v>
      </c>
      <c r="BM1787" s="71">
        <v>0</v>
      </c>
      <c r="BN1787" s="72">
        <v>0</v>
      </c>
      <c r="BO1787" s="151" t="e">
        <f t="shared" si="114"/>
        <v>#DIV/0!</v>
      </c>
      <c r="BP1787" s="151" t="e">
        <f t="shared" si="115"/>
        <v>#DIV/0!</v>
      </c>
      <c r="BQ1787" s="71">
        <v>0</v>
      </c>
      <c r="BR1787" s="71">
        <v>0</v>
      </c>
      <c r="BS1787" s="71">
        <v>0</v>
      </c>
      <c r="BT1787" s="72">
        <v>0</v>
      </c>
      <c r="BU1787" s="73"/>
      <c r="BV1787" s="73"/>
    </row>
    <row r="1788" ht="30" customHeight="1" spans="1:75 16331:16349">
      <c r="A1788" s="55">
        <v>0</v>
      </c>
      <c r="B1788" s="56">
        <v>0</v>
      </c>
      <c r="C1788" s="57">
        <v>0</v>
      </c>
      <c r="D1788" s="154"/>
      <c r="E1788" s="154"/>
      <c r="F1788" s="91" t="e">
        <f>VLOOKUP(E1788,[1]库存!$B$1:$C$65536,2,FALSE)</f>
        <v>#N/A</v>
      </c>
      <c r="G1788" s="91" t="e">
        <v>#N/A</v>
      </c>
      <c r="H1788" s="154"/>
      <c r="I1788" s="154"/>
      <c r="J1788" s="93"/>
      <c r="K1788" s="61"/>
      <c r="L1788" s="62">
        <v>0</v>
      </c>
      <c r="M1788" s="63">
        <v>0</v>
      </c>
      <c r="N1788" s="64">
        <v>0</v>
      </c>
      <c r="O1788" s="62">
        <v>0</v>
      </c>
      <c r="P1788" s="65">
        <f t="shared" si="113"/>
        <v>0</v>
      </c>
      <c r="Q1788" s="66"/>
      <c r="R1788" s="66"/>
      <c r="S1788" s="66"/>
      <c r="T1788" s="66"/>
      <c r="U1788" s="66"/>
      <c r="V1788" s="66"/>
      <c r="W1788" s="66"/>
      <c r="X1788" s="66"/>
      <c r="Y1788" s="66"/>
      <c r="Z1788" s="66"/>
      <c r="AA1788" s="66"/>
      <c r="AB1788" s="66"/>
      <c r="AC1788" s="66"/>
      <c r="AD1788" s="66"/>
      <c r="AE1788" s="66"/>
      <c r="AF1788" s="66"/>
      <c r="AG1788" s="66"/>
      <c r="AH1788" s="66"/>
      <c r="AI1788" s="66"/>
      <c r="AJ1788" s="66"/>
      <c r="AK1788" s="66"/>
      <c r="AL1788" s="66"/>
      <c r="AM1788" s="66"/>
      <c r="AN1788" s="66"/>
      <c r="AO1788" s="66"/>
      <c r="AP1788" s="66"/>
      <c r="AQ1788" s="66"/>
      <c r="AR1788" s="66"/>
      <c r="AS1788" s="66"/>
      <c r="AT1788" s="66"/>
      <c r="AU1788" s="66"/>
      <c r="AV1788" s="66"/>
      <c r="AW1788" s="66"/>
      <c r="AX1788" s="66"/>
      <c r="AY1788" s="66"/>
      <c r="AZ1788" s="66"/>
      <c r="BA1788" s="66"/>
      <c r="BB1788" s="66"/>
      <c r="BC1788" s="66"/>
      <c r="BD1788" s="66"/>
      <c r="BE1788" s="67"/>
      <c r="BF1788" s="67"/>
      <c r="BG1788" s="68"/>
      <c r="BI1788" s="69">
        <v>0</v>
      </c>
      <c r="BJ1788" s="70">
        <v>0</v>
      </c>
      <c r="BK1788" s="71">
        <v>0</v>
      </c>
      <c r="BL1788" s="71">
        <v>0</v>
      </c>
      <c r="BM1788" s="71">
        <v>0</v>
      </c>
      <c r="BN1788" s="72">
        <v>0</v>
      </c>
      <c r="BO1788" s="151" t="e">
        <f t="shared" si="114"/>
        <v>#DIV/0!</v>
      </c>
      <c r="BP1788" s="151" t="e">
        <f t="shared" si="115"/>
        <v>#DIV/0!</v>
      </c>
      <c r="BQ1788" s="71">
        <v>0</v>
      </c>
      <c r="BR1788" s="71">
        <v>0</v>
      </c>
      <c r="BS1788" s="71">
        <v>0</v>
      </c>
      <c r="BT1788" s="72">
        <v>0</v>
      </c>
      <c r="BU1788" s="73"/>
      <c r="BV1788" s="73"/>
    </row>
    <row r="1789" ht="30" customHeight="1" spans="1:75 16331:16349">
      <c r="A1789" s="55">
        <v>0</v>
      </c>
      <c r="B1789" s="56">
        <v>0</v>
      </c>
      <c r="C1789" s="57">
        <v>0</v>
      </c>
      <c r="D1789" s="210"/>
      <c r="E1789" s="88"/>
      <c r="F1789" s="59" t="e">
        <f>VLOOKUP(E1789,[1]库存!$B$1:$C$65536,2,FALSE)</f>
        <v>#N/A</v>
      </c>
      <c r="G1789" s="59" t="e">
        <v>#N/A</v>
      </c>
      <c r="H1789" s="238"/>
      <c r="I1789" s="239"/>
      <c r="J1789" s="90"/>
      <c r="K1789" s="61"/>
      <c r="L1789" s="62">
        <v>0</v>
      </c>
      <c r="M1789" s="63">
        <v>0</v>
      </c>
      <c r="N1789" s="64">
        <v>0</v>
      </c>
      <c r="O1789" s="62">
        <v>0</v>
      </c>
      <c r="P1789" s="65">
        <f t="shared" si="113"/>
        <v>0</v>
      </c>
      <c r="Q1789" s="66"/>
      <c r="R1789" s="66"/>
      <c r="S1789" s="66"/>
      <c r="T1789" s="66"/>
      <c r="U1789" s="66"/>
      <c r="V1789" s="66"/>
      <c r="W1789" s="66"/>
      <c r="X1789" s="66"/>
      <c r="Y1789" s="66"/>
      <c r="Z1789" s="66"/>
      <c r="AA1789" s="66"/>
      <c r="AB1789" s="66"/>
      <c r="AC1789" s="66"/>
      <c r="AD1789" s="66"/>
      <c r="AE1789" s="66"/>
      <c r="AF1789" s="66"/>
      <c r="AG1789" s="66"/>
      <c r="AH1789" s="66"/>
      <c r="AI1789" s="66"/>
      <c r="AJ1789" s="66"/>
      <c r="AK1789" s="66"/>
      <c r="AL1789" s="66"/>
      <c r="AM1789" s="66"/>
      <c r="AN1789" s="66"/>
      <c r="AO1789" s="66"/>
      <c r="AP1789" s="66"/>
      <c r="AQ1789" s="66"/>
      <c r="AR1789" s="66"/>
      <c r="AS1789" s="66"/>
      <c r="AT1789" s="66"/>
      <c r="AU1789" s="66"/>
      <c r="AV1789" s="66"/>
      <c r="AW1789" s="66"/>
      <c r="AX1789" s="66"/>
      <c r="AY1789" s="66"/>
      <c r="AZ1789" s="66"/>
      <c r="BA1789" s="66"/>
      <c r="BB1789" s="66"/>
      <c r="BC1789" s="66"/>
      <c r="BD1789" s="66"/>
      <c r="BE1789" s="67"/>
      <c r="BF1789" s="67"/>
      <c r="BG1789" s="68"/>
      <c r="BI1789" s="69">
        <v>0</v>
      </c>
      <c r="BJ1789" s="70">
        <v>0</v>
      </c>
      <c r="BK1789" s="71">
        <v>0</v>
      </c>
      <c r="BL1789" s="71">
        <v>0</v>
      </c>
      <c r="BM1789" s="71">
        <v>0</v>
      </c>
      <c r="BN1789" s="72">
        <v>0</v>
      </c>
      <c r="BO1789" s="151" t="e">
        <f t="shared" si="114"/>
        <v>#DIV/0!</v>
      </c>
      <c r="BP1789" s="151" t="e">
        <f t="shared" si="115"/>
        <v>#DIV/0!</v>
      </c>
      <c r="BQ1789" s="71">
        <v>0</v>
      </c>
      <c r="BR1789" s="71">
        <v>0</v>
      </c>
      <c r="BS1789" s="71">
        <v>0</v>
      </c>
      <c r="BT1789" s="72">
        <v>0</v>
      </c>
      <c r="BU1789" s="151" t="e">
        <f>(BQ1789+BR1789)/BJ1789</f>
        <v>#DIV/0!</v>
      </c>
      <c r="BV1789" s="151" t="e">
        <f>BS1789/BJ1789</f>
        <v>#DIV/0!</v>
      </c>
    </row>
    <row r="1790" ht="30" customHeight="1" spans="1:75 16331:16349">
      <c r="A1790" s="55" t="s">
        <v>211</v>
      </c>
      <c r="B1790" s="56" t="s">
        <v>2247</v>
      </c>
      <c r="C1790" s="57" t="s">
        <v>2248</v>
      </c>
      <c r="D1790" s="59" t="s">
        <v>2860</v>
      </c>
      <c r="E1790" s="59" t="s">
        <v>2861</v>
      </c>
      <c r="F1790" s="59" t="str">
        <f>VLOOKUP(E1790,[1]库存!$B$1:$C$65536,2,FALSE)</f>
        <v>HA5H SAB LH A状态</v>
      </c>
      <c r="G1790" s="59" t="s">
        <v>2862</v>
      </c>
      <c r="H1790" s="59" t="s">
        <v>809</v>
      </c>
      <c r="I1790" s="59" t="s">
        <v>801</v>
      </c>
      <c r="J1790" s="63"/>
      <c r="K1790" s="61"/>
      <c r="L1790" s="62">
        <v>2</v>
      </c>
      <c r="M1790" s="63">
        <v>1400</v>
      </c>
      <c r="N1790" s="64">
        <v>8</v>
      </c>
      <c r="O1790" s="62">
        <v>2</v>
      </c>
      <c r="P1790" s="65">
        <f t="shared" si="113"/>
        <v>0</v>
      </c>
      <c r="Q1790" s="66"/>
      <c r="R1790" s="66"/>
      <c r="S1790" s="66"/>
      <c r="T1790" s="66"/>
      <c r="U1790" s="66"/>
      <c r="V1790" s="66"/>
      <c r="W1790" s="66"/>
      <c r="X1790" s="66"/>
      <c r="Y1790" s="66"/>
      <c r="Z1790" s="66"/>
      <c r="AA1790" s="66"/>
      <c r="AB1790" s="66"/>
      <c r="AC1790" s="66"/>
      <c r="AD1790" s="66"/>
      <c r="AE1790" s="66"/>
      <c r="AF1790" s="66"/>
      <c r="AG1790" s="66"/>
      <c r="AH1790" s="66"/>
      <c r="AI1790" s="66"/>
      <c r="AJ1790" s="66"/>
      <c r="AK1790" s="66"/>
      <c r="AL1790" s="66"/>
      <c r="AM1790" s="66"/>
      <c r="AN1790" s="66"/>
      <c r="AO1790" s="66"/>
      <c r="AP1790" s="66"/>
      <c r="AQ1790" s="66"/>
      <c r="AR1790" s="66"/>
      <c r="AS1790" s="66"/>
      <c r="AT1790" s="66"/>
      <c r="AU1790" s="66"/>
      <c r="AV1790" s="66"/>
      <c r="AW1790" s="66"/>
      <c r="AX1790" s="66"/>
      <c r="AY1790" s="66"/>
      <c r="AZ1790" s="66"/>
      <c r="BA1790" s="66"/>
      <c r="BB1790" s="66"/>
      <c r="BC1790" s="66"/>
      <c r="BD1790" s="66"/>
      <c r="BE1790" s="67"/>
      <c r="BF1790" s="67"/>
      <c r="BG1790" s="68"/>
      <c r="BI1790" s="69">
        <v>0</v>
      </c>
      <c r="BJ1790" s="70">
        <v>0</v>
      </c>
      <c r="BK1790" s="71">
        <v>0</v>
      </c>
      <c r="BL1790" s="71">
        <v>0</v>
      </c>
      <c r="BM1790" s="71">
        <v>0</v>
      </c>
      <c r="BN1790" s="72">
        <v>0</v>
      </c>
      <c r="BO1790" s="73"/>
      <c r="BP1790" s="73"/>
      <c r="BQ1790" s="71">
        <v>0</v>
      </c>
      <c r="BR1790" s="71">
        <v>0</v>
      </c>
      <c r="BS1790" s="71">
        <v>0</v>
      </c>
      <c r="BT1790" s="72">
        <v>0</v>
      </c>
      <c r="BU1790" s="73"/>
      <c r="BV1790" s="73"/>
    </row>
    <row r="1791" ht="30" customHeight="1" spans="1:75 16331:16349">
      <c r="A1791" s="55">
        <v>0</v>
      </c>
      <c r="B1791" s="56">
        <v>0</v>
      </c>
      <c r="C1791" s="57">
        <v>0</v>
      </c>
      <c r="D1791" s="74"/>
      <c r="E1791" s="74"/>
      <c r="F1791" s="59" t="e">
        <f>VLOOKUP(E1791,[1]库存!$B$1:$C$65536,2,FALSE)</f>
        <v>#N/A</v>
      </c>
      <c r="G1791" s="59" t="e">
        <v>#N/A</v>
      </c>
      <c r="H1791" s="74"/>
      <c r="I1791" s="74"/>
      <c r="J1791" s="87"/>
      <c r="K1791" s="61"/>
      <c r="L1791" s="62">
        <v>0</v>
      </c>
      <c r="M1791" s="63">
        <v>0</v>
      </c>
      <c r="N1791" s="64">
        <v>0</v>
      </c>
      <c r="O1791" s="62">
        <v>0</v>
      </c>
      <c r="P1791" s="65">
        <f t="shared" si="113"/>
        <v>0</v>
      </c>
      <c r="Q1791" s="66"/>
      <c r="R1791" s="66"/>
      <c r="S1791" s="66"/>
      <c r="T1791" s="66"/>
      <c r="U1791" s="66"/>
      <c r="V1791" s="66"/>
      <c r="W1791" s="66"/>
      <c r="X1791" s="66"/>
      <c r="Y1791" s="66"/>
      <c r="Z1791" s="66"/>
      <c r="AA1791" s="66"/>
      <c r="AB1791" s="66"/>
      <c r="AC1791" s="66"/>
      <c r="AD1791" s="66"/>
      <c r="AE1791" s="66"/>
      <c r="AF1791" s="66"/>
      <c r="AG1791" s="66"/>
      <c r="AH1791" s="66"/>
      <c r="AI1791" s="66"/>
      <c r="AJ1791" s="66"/>
      <c r="AK1791" s="66"/>
      <c r="AL1791" s="66"/>
      <c r="AM1791" s="66"/>
      <c r="AN1791" s="66"/>
      <c r="AO1791" s="66"/>
      <c r="AP1791" s="66"/>
      <c r="AQ1791" s="66"/>
      <c r="AR1791" s="66"/>
      <c r="AS1791" s="66"/>
      <c r="AT1791" s="66"/>
      <c r="AU1791" s="66"/>
      <c r="AV1791" s="66"/>
      <c r="AW1791" s="66"/>
      <c r="AX1791" s="66"/>
      <c r="AY1791" s="66"/>
      <c r="AZ1791" s="66"/>
      <c r="BA1791" s="66"/>
      <c r="BB1791" s="66"/>
      <c r="BC1791" s="66"/>
      <c r="BD1791" s="66"/>
      <c r="BE1791" s="67"/>
      <c r="BF1791" s="67"/>
      <c r="BG1791" s="68"/>
      <c r="BI1791" s="69">
        <v>0</v>
      </c>
      <c r="BJ1791" s="70">
        <v>0</v>
      </c>
      <c r="BK1791" s="71">
        <v>0</v>
      </c>
      <c r="BL1791" s="71">
        <v>0</v>
      </c>
      <c r="BM1791" s="71">
        <v>0</v>
      </c>
      <c r="BN1791" s="72">
        <v>0</v>
      </c>
      <c r="BO1791" s="73"/>
      <c r="BP1791" s="73"/>
      <c r="BQ1791" s="71">
        <v>0</v>
      </c>
      <c r="BR1791" s="71">
        <v>0</v>
      </c>
      <c r="BS1791" s="71">
        <v>0</v>
      </c>
      <c r="BT1791" s="72">
        <v>0</v>
      </c>
      <c r="BU1791" s="73"/>
      <c r="BV1791" s="73"/>
    </row>
    <row r="1792" ht="30" customHeight="1" spans="1:75 16331:16349">
      <c r="A1792" s="55">
        <v>0</v>
      </c>
      <c r="B1792" s="56" t="s">
        <v>2247</v>
      </c>
      <c r="C1792" s="57" t="s">
        <v>2248</v>
      </c>
      <c r="D1792" s="59" t="s">
        <v>2860</v>
      </c>
      <c r="E1792" s="59"/>
      <c r="F1792" s="59" t="e">
        <f>VLOOKUP(E1792,[1]库存!$B$1:$C$65536,2,FALSE)</f>
        <v>#N/A</v>
      </c>
      <c r="G1792" s="59" t="e">
        <v>#N/A</v>
      </c>
      <c r="H1792" s="59" t="s">
        <v>813</v>
      </c>
      <c r="I1792" s="59" t="s">
        <v>801</v>
      </c>
      <c r="J1792" s="63" t="s">
        <v>2863</v>
      </c>
      <c r="K1792" s="61"/>
      <c r="L1792" s="62">
        <v>2</v>
      </c>
      <c r="M1792" s="63">
        <v>1400</v>
      </c>
      <c r="N1792" s="64">
        <v>8</v>
      </c>
      <c r="O1792" s="62">
        <v>2</v>
      </c>
      <c r="P1792" s="65">
        <f t="shared" si="113"/>
        <v>0</v>
      </c>
      <c r="Q1792" s="66"/>
      <c r="R1792" s="66"/>
      <c r="S1792" s="66"/>
      <c r="T1792" s="66"/>
      <c r="U1792" s="66"/>
      <c r="V1792" s="66"/>
      <c r="W1792" s="66"/>
      <c r="X1792" s="66"/>
      <c r="Y1792" s="66"/>
      <c r="Z1792" s="66"/>
      <c r="AA1792" s="66"/>
      <c r="AB1792" s="66"/>
      <c r="AC1792" s="66"/>
      <c r="AD1792" s="66"/>
      <c r="AE1792" s="66"/>
      <c r="AF1792" s="66"/>
      <c r="AG1792" s="66"/>
      <c r="AH1792" s="66"/>
      <c r="AI1792" s="66"/>
      <c r="AJ1792" s="66"/>
      <c r="AK1792" s="66"/>
      <c r="AL1792" s="66"/>
      <c r="AM1792" s="66"/>
      <c r="AN1792" s="66"/>
      <c r="AO1792" s="66"/>
      <c r="AP1792" s="66"/>
      <c r="AQ1792" s="66"/>
      <c r="AR1792" s="66"/>
      <c r="AS1792" s="66"/>
      <c r="AT1792" s="66"/>
      <c r="AU1792" s="66"/>
      <c r="AV1792" s="66"/>
      <c r="AW1792" s="66"/>
      <c r="AX1792" s="66"/>
      <c r="AY1792" s="66"/>
      <c r="AZ1792" s="66"/>
      <c r="BA1792" s="66"/>
      <c r="BB1792" s="66"/>
      <c r="BC1792" s="66"/>
      <c r="BD1792" s="66"/>
      <c r="BE1792" s="67"/>
      <c r="BF1792" s="67"/>
      <c r="BG1792" s="68"/>
      <c r="BI1792" s="69">
        <v>0</v>
      </c>
      <c r="BJ1792" s="70">
        <v>0</v>
      </c>
      <c r="BK1792" s="71">
        <v>0</v>
      </c>
      <c r="BL1792" s="71">
        <v>0</v>
      </c>
      <c r="BM1792" s="71">
        <v>0</v>
      </c>
      <c r="BN1792" s="72">
        <v>0</v>
      </c>
      <c r="BO1792" s="73"/>
      <c r="BP1792" s="73"/>
      <c r="BQ1792" s="71">
        <v>0</v>
      </c>
      <c r="BR1792" s="71">
        <v>0</v>
      </c>
      <c r="BS1792" s="71">
        <v>0</v>
      </c>
      <c r="BT1792" s="72">
        <v>0</v>
      </c>
      <c r="BU1792" s="73"/>
      <c r="BV1792" s="73"/>
    </row>
    <row r="1793" ht="30" customHeight="1" spans="1:74">
      <c r="A1793" s="55">
        <v>0</v>
      </c>
      <c r="B1793" s="56">
        <v>0</v>
      </c>
      <c r="C1793" s="57">
        <v>0</v>
      </c>
      <c r="D1793" s="74"/>
      <c r="E1793" s="74"/>
      <c r="F1793" s="59" t="e">
        <f>VLOOKUP(E1793,[1]库存!$B$1:$C$65536,2,FALSE)</f>
        <v>#N/A</v>
      </c>
      <c r="G1793" s="59" t="e">
        <v>#N/A</v>
      </c>
      <c r="H1793" s="74"/>
      <c r="I1793" s="74"/>
      <c r="J1793" s="87"/>
      <c r="K1793" s="61"/>
      <c r="L1793" s="62">
        <v>0</v>
      </c>
      <c r="M1793" s="63">
        <v>0</v>
      </c>
      <c r="N1793" s="64">
        <v>0</v>
      </c>
      <c r="O1793" s="62">
        <v>0</v>
      </c>
      <c r="P1793" s="65">
        <f t="shared" si="113"/>
        <v>0</v>
      </c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  <c r="AA1793" s="66"/>
      <c r="AB1793" s="66"/>
      <c r="AC1793" s="66"/>
      <c r="AD1793" s="66"/>
      <c r="AE1793" s="66"/>
      <c r="AF1793" s="66"/>
      <c r="AG1793" s="66"/>
      <c r="AH1793" s="66"/>
      <c r="AI1793" s="66"/>
      <c r="AJ1793" s="66"/>
      <c r="AK1793" s="66"/>
      <c r="AL1793" s="66"/>
      <c r="AM1793" s="66"/>
      <c r="AN1793" s="66"/>
      <c r="AO1793" s="66"/>
      <c r="AP1793" s="66"/>
      <c r="AQ1793" s="66"/>
      <c r="AR1793" s="66"/>
      <c r="AS1793" s="66"/>
      <c r="AT1793" s="66"/>
      <c r="AU1793" s="66"/>
      <c r="AV1793" s="66"/>
      <c r="AW1793" s="66"/>
      <c r="AX1793" s="66"/>
      <c r="AY1793" s="66"/>
      <c r="AZ1793" s="66"/>
      <c r="BA1793" s="66"/>
      <c r="BB1793" s="66"/>
      <c r="BC1793" s="66"/>
      <c r="BD1793" s="66"/>
      <c r="BE1793" s="67"/>
      <c r="BF1793" s="67"/>
      <c r="BG1793" s="68"/>
      <c r="BI1793" s="69">
        <v>0</v>
      </c>
      <c r="BJ1793" s="70">
        <v>0</v>
      </c>
      <c r="BK1793" s="71">
        <v>0</v>
      </c>
      <c r="BL1793" s="71">
        <v>0</v>
      </c>
      <c r="BM1793" s="71">
        <v>0</v>
      </c>
      <c r="BN1793" s="72">
        <v>0</v>
      </c>
      <c r="BO1793" s="73"/>
      <c r="BP1793" s="73"/>
      <c r="BQ1793" s="71">
        <v>0</v>
      </c>
      <c r="BR1793" s="71">
        <v>0</v>
      </c>
      <c r="BS1793" s="71">
        <v>0</v>
      </c>
      <c r="BT1793" s="72">
        <v>0</v>
      </c>
      <c r="BU1793" s="73"/>
      <c r="BV1793" s="73"/>
    </row>
    <row r="1794" ht="30" customHeight="1" spans="1:74">
      <c r="A1794" s="55" t="s">
        <v>211</v>
      </c>
      <c r="B1794" s="56" t="s">
        <v>2247</v>
      </c>
      <c r="C1794" s="57" t="s">
        <v>2248</v>
      </c>
      <c r="D1794" s="59" t="s">
        <v>2860</v>
      </c>
      <c r="E1794" s="59" t="s">
        <v>2864</v>
      </c>
      <c r="F1794" s="59" t="str">
        <f>VLOOKUP(E1794,[1]库存!$B$1:$C$65536,2,FALSE)</f>
        <v>DAEA SAB LH B状态</v>
      </c>
      <c r="G1794" s="59" t="s">
        <v>2865</v>
      </c>
      <c r="H1794" s="59" t="s">
        <v>2866</v>
      </c>
      <c r="I1794" s="59" t="s">
        <v>2867</v>
      </c>
      <c r="J1794" s="63"/>
      <c r="K1794" s="61"/>
      <c r="L1794" s="62">
        <v>0</v>
      </c>
      <c r="M1794" s="63">
        <v>1500</v>
      </c>
      <c r="N1794" s="64">
        <v>8</v>
      </c>
      <c r="O1794" s="62">
        <v>2</v>
      </c>
      <c r="P1794" s="65">
        <f t="shared" si="113"/>
        <v>0</v>
      </c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  <c r="AA1794" s="66"/>
      <c r="AB1794" s="66"/>
      <c r="AC1794" s="66"/>
      <c r="AD1794" s="66"/>
      <c r="AE1794" s="66"/>
      <c r="AF1794" s="66"/>
      <c r="AG1794" s="66"/>
      <c r="AH1794" s="66"/>
      <c r="AI1794" s="66"/>
      <c r="AJ1794" s="66"/>
      <c r="AK1794" s="66"/>
      <c r="AL1794" s="66"/>
      <c r="AM1794" s="66"/>
      <c r="AN1794" s="66"/>
      <c r="AO1794" s="66"/>
      <c r="AP1794" s="66"/>
      <c r="AQ1794" s="66"/>
      <c r="AR1794" s="66"/>
      <c r="AS1794" s="66"/>
      <c r="AT1794" s="66"/>
      <c r="AU1794" s="66"/>
      <c r="AV1794" s="66"/>
      <c r="AW1794" s="66"/>
      <c r="AX1794" s="66"/>
      <c r="AY1794" s="66"/>
      <c r="AZ1794" s="66"/>
      <c r="BA1794" s="66"/>
      <c r="BB1794" s="66"/>
      <c r="BC1794" s="66"/>
      <c r="BD1794" s="66"/>
      <c r="BE1794" s="67"/>
      <c r="BF1794" s="67"/>
      <c r="BG1794" s="68"/>
      <c r="BI1794" s="69">
        <v>0</v>
      </c>
      <c r="BJ1794" s="70">
        <v>0</v>
      </c>
      <c r="BK1794" s="71">
        <v>0</v>
      </c>
      <c r="BL1794" s="71">
        <v>0</v>
      </c>
      <c r="BM1794" s="71">
        <v>0</v>
      </c>
      <c r="BN1794" s="72">
        <v>0</v>
      </c>
      <c r="BO1794" s="151" t="e">
        <f t="shared" ref="BO1794:BO1857" si="116">(BK1794+BL1794)/BJ1794</f>
        <v>#DIV/0!</v>
      </c>
      <c r="BP1794" s="151" t="e">
        <f t="shared" ref="BP1794:BP1857" si="117">BM1794/BJ1794</f>
        <v>#DIV/0!</v>
      </c>
      <c r="BQ1794" s="71">
        <v>0</v>
      </c>
      <c r="BR1794" s="71">
        <v>0</v>
      </c>
      <c r="BS1794" s="71">
        <v>0</v>
      </c>
      <c r="BT1794" s="72">
        <v>0</v>
      </c>
      <c r="BU1794" s="151" t="e">
        <f t="shared" ref="BU1794:BU1830" si="118">(BQ1794+BR1794)/BJ1794</f>
        <v>#DIV/0!</v>
      </c>
      <c r="BV1794" s="151" t="e">
        <f t="shared" ref="BV1794:BV1830" si="119">BS1794/BJ1794</f>
        <v>#DIV/0!</v>
      </c>
    </row>
    <row r="1795" ht="30" customHeight="1" spans="1:74">
      <c r="A1795" s="55">
        <v>0</v>
      </c>
      <c r="B1795" s="56"/>
      <c r="C1795" s="57">
        <v>0</v>
      </c>
      <c r="D1795" s="74"/>
      <c r="E1795" s="74"/>
      <c r="F1795" s="59" t="e">
        <f>VLOOKUP(E1795,[1]库存!$B$1:$C$65536,2,FALSE)</f>
        <v>#N/A</v>
      </c>
      <c r="G1795" s="59" t="e">
        <v>#N/A</v>
      </c>
      <c r="H1795" s="74"/>
      <c r="I1795" s="74"/>
      <c r="J1795" s="87"/>
      <c r="K1795" s="61"/>
      <c r="L1795" s="62">
        <v>0</v>
      </c>
      <c r="M1795" s="63">
        <v>0</v>
      </c>
      <c r="N1795" s="64">
        <v>0</v>
      </c>
      <c r="O1795" s="62">
        <v>0</v>
      </c>
      <c r="P1795" s="65">
        <f t="shared" si="113"/>
        <v>0</v>
      </c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  <c r="AA1795" s="66"/>
      <c r="AB1795" s="66"/>
      <c r="AC1795" s="66"/>
      <c r="AD1795" s="66"/>
      <c r="AE1795" s="66"/>
      <c r="AF1795" s="66"/>
      <c r="AG1795" s="66"/>
      <c r="AH1795" s="66"/>
      <c r="AI1795" s="66"/>
      <c r="AJ1795" s="66"/>
      <c r="AK1795" s="66"/>
      <c r="AL1795" s="66"/>
      <c r="AM1795" s="66"/>
      <c r="AN1795" s="66"/>
      <c r="AO1795" s="66"/>
      <c r="AP1795" s="66"/>
      <c r="AQ1795" s="66"/>
      <c r="AR1795" s="66"/>
      <c r="AS1795" s="66"/>
      <c r="AT1795" s="66"/>
      <c r="AU1795" s="66"/>
      <c r="AV1795" s="66"/>
      <c r="AW1795" s="66"/>
      <c r="AX1795" s="66"/>
      <c r="AY1795" s="66"/>
      <c r="AZ1795" s="66"/>
      <c r="BA1795" s="66"/>
      <c r="BB1795" s="66"/>
      <c r="BC1795" s="66"/>
      <c r="BD1795" s="66"/>
      <c r="BE1795" s="67"/>
      <c r="BF1795" s="67"/>
      <c r="BG1795" s="68"/>
      <c r="BI1795" s="69">
        <v>0</v>
      </c>
      <c r="BJ1795" s="70">
        <v>0</v>
      </c>
      <c r="BK1795" s="71">
        <v>0</v>
      </c>
      <c r="BL1795" s="71">
        <v>0</v>
      </c>
      <c r="BM1795" s="71">
        <v>0</v>
      </c>
      <c r="BN1795" s="72">
        <v>0</v>
      </c>
      <c r="BO1795" s="151" t="e">
        <f t="shared" si="116"/>
        <v>#DIV/0!</v>
      </c>
      <c r="BP1795" s="151" t="e">
        <f t="shared" si="117"/>
        <v>#DIV/0!</v>
      </c>
      <c r="BQ1795" s="71">
        <v>0</v>
      </c>
      <c r="BR1795" s="71">
        <v>0</v>
      </c>
      <c r="BS1795" s="71">
        <v>0</v>
      </c>
      <c r="BT1795" s="72">
        <v>0</v>
      </c>
      <c r="BU1795" s="151" t="e">
        <f t="shared" si="118"/>
        <v>#DIV/0!</v>
      </c>
      <c r="BV1795" s="151" t="e">
        <f t="shared" si="119"/>
        <v>#DIV/0!</v>
      </c>
    </row>
    <row r="1796" ht="30" customHeight="1" spans="1:74">
      <c r="A1796" s="55" t="s">
        <v>211</v>
      </c>
      <c r="B1796" s="56" t="s">
        <v>2247</v>
      </c>
      <c r="C1796" s="57" t="s">
        <v>2248</v>
      </c>
      <c r="D1796" s="59" t="s">
        <v>2860</v>
      </c>
      <c r="E1796" s="59" t="s">
        <v>2868</v>
      </c>
      <c r="F1796" s="59" t="str">
        <f>VLOOKUP(E1796,[1]库存!$B$1:$C$65536,2,FALSE)</f>
        <v>DAEA SAB RH B状态</v>
      </c>
      <c r="G1796" s="59" t="s">
        <v>2869</v>
      </c>
      <c r="H1796" s="59" t="s">
        <v>2870</v>
      </c>
      <c r="I1796" s="59" t="s">
        <v>2867</v>
      </c>
      <c r="J1796" s="63"/>
      <c r="K1796" s="61"/>
      <c r="L1796" s="62">
        <v>0</v>
      </c>
      <c r="M1796" s="63">
        <v>1500</v>
      </c>
      <c r="N1796" s="64">
        <v>8</v>
      </c>
      <c r="O1796" s="62">
        <v>2</v>
      </c>
      <c r="P1796" s="65">
        <f t="shared" si="113"/>
        <v>0</v>
      </c>
      <c r="Q1796" s="66"/>
      <c r="R1796" s="66"/>
      <c r="S1796" s="66"/>
      <c r="T1796" s="66"/>
      <c r="U1796" s="66"/>
      <c r="V1796" s="66"/>
      <c r="W1796" s="66"/>
      <c r="X1796" s="66"/>
      <c r="Y1796" s="66"/>
      <c r="Z1796" s="66"/>
      <c r="AA1796" s="66"/>
      <c r="AB1796" s="66"/>
      <c r="AC1796" s="66"/>
      <c r="AD1796" s="66"/>
      <c r="AE1796" s="66"/>
      <c r="AF1796" s="66"/>
      <c r="AG1796" s="66"/>
      <c r="AH1796" s="66"/>
      <c r="AI1796" s="66"/>
      <c r="AJ1796" s="66"/>
      <c r="AK1796" s="66"/>
      <c r="AL1796" s="66"/>
      <c r="AM1796" s="66"/>
      <c r="AN1796" s="66"/>
      <c r="AO1796" s="66"/>
      <c r="AP1796" s="66"/>
      <c r="AQ1796" s="66"/>
      <c r="AR1796" s="66"/>
      <c r="AS1796" s="66"/>
      <c r="AT1796" s="66"/>
      <c r="AU1796" s="66"/>
      <c r="AV1796" s="66"/>
      <c r="AW1796" s="66"/>
      <c r="AX1796" s="66"/>
      <c r="AY1796" s="66"/>
      <c r="AZ1796" s="66"/>
      <c r="BA1796" s="66"/>
      <c r="BB1796" s="66"/>
      <c r="BC1796" s="66"/>
      <c r="BD1796" s="66"/>
      <c r="BE1796" s="67"/>
      <c r="BF1796" s="67"/>
      <c r="BG1796" s="68"/>
      <c r="BI1796" s="69">
        <v>0</v>
      </c>
      <c r="BJ1796" s="70">
        <v>0</v>
      </c>
      <c r="BK1796" s="71">
        <v>0</v>
      </c>
      <c r="BL1796" s="71">
        <v>0</v>
      </c>
      <c r="BM1796" s="71">
        <v>0</v>
      </c>
      <c r="BN1796" s="72">
        <v>0</v>
      </c>
      <c r="BO1796" s="151" t="e">
        <f t="shared" si="116"/>
        <v>#DIV/0!</v>
      </c>
      <c r="BP1796" s="151" t="e">
        <f t="shared" si="117"/>
        <v>#DIV/0!</v>
      </c>
      <c r="BQ1796" s="71">
        <v>0</v>
      </c>
      <c r="BR1796" s="71">
        <v>0</v>
      </c>
      <c r="BS1796" s="71">
        <v>0</v>
      </c>
      <c r="BT1796" s="72">
        <v>0</v>
      </c>
      <c r="BU1796" s="151" t="e">
        <f t="shared" si="118"/>
        <v>#DIV/0!</v>
      </c>
      <c r="BV1796" s="151" t="e">
        <f t="shared" si="119"/>
        <v>#DIV/0!</v>
      </c>
    </row>
    <row r="1797" ht="30" customHeight="1" spans="1:74">
      <c r="A1797" s="55">
        <v>0</v>
      </c>
      <c r="B1797" s="56">
        <v>0</v>
      </c>
      <c r="C1797" s="57">
        <v>0</v>
      </c>
      <c r="D1797" s="74"/>
      <c r="E1797" s="74"/>
      <c r="F1797" s="59" t="e">
        <f>VLOOKUP(E1797,[1]库存!$B$1:$C$65536,2,FALSE)</f>
        <v>#N/A</v>
      </c>
      <c r="G1797" s="59" t="e">
        <v>#N/A</v>
      </c>
      <c r="H1797" s="74"/>
      <c r="I1797" s="74"/>
      <c r="J1797" s="87"/>
      <c r="K1797" s="61"/>
      <c r="L1797" s="62">
        <v>0</v>
      </c>
      <c r="M1797" s="63">
        <v>0</v>
      </c>
      <c r="N1797" s="64">
        <v>0</v>
      </c>
      <c r="O1797" s="62">
        <v>0</v>
      </c>
      <c r="P1797" s="65">
        <f t="shared" si="113"/>
        <v>0</v>
      </c>
      <c r="Q1797" s="66"/>
      <c r="R1797" s="66"/>
      <c r="S1797" s="66"/>
      <c r="T1797" s="66"/>
      <c r="U1797" s="66"/>
      <c r="V1797" s="66"/>
      <c r="W1797" s="66"/>
      <c r="X1797" s="66"/>
      <c r="Y1797" s="66"/>
      <c r="Z1797" s="66"/>
      <c r="AA1797" s="66"/>
      <c r="AB1797" s="66"/>
      <c r="AC1797" s="66"/>
      <c r="AD1797" s="66"/>
      <c r="AE1797" s="66"/>
      <c r="AF1797" s="66"/>
      <c r="AG1797" s="66"/>
      <c r="AH1797" s="66"/>
      <c r="AI1797" s="66"/>
      <c r="AJ1797" s="66"/>
      <c r="AK1797" s="66"/>
      <c r="AL1797" s="66"/>
      <c r="AM1797" s="66"/>
      <c r="AN1797" s="66"/>
      <c r="AO1797" s="66"/>
      <c r="AP1797" s="66"/>
      <c r="AQ1797" s="66"/>
      <c r="AR1797" s="66"/>
      <c r="AS1797" s="66"/>
      <c r="AT1797" s="66"/>
      <c r="AU1797" s="66"/>
      <c r="AV1797" s="66"/>
      <c r="AW1797" s="66"/>
      <c r="AX1797" s="66"/>
      <c r="AY1797" s="66"/>
      <c r="AZ1797" s="66"/>
      <c r="BA1797" s="66"/>
      <c r="BB1797" s="66"/>
      <c r="BC1797" s="66"/>
      <c r="BD1797" s="66"/>
      <c r="BE1797" s="67"/>
      <c r="BF1797" s="67"/>
      <c r="BG1797" s="68"/>
      <c r="BI1797" s="69">
        <v>0</v>
      </c>
      <c r="BJ1797" s="70">
        <v>0</v>
      </c>
      <c r="BK1797" s="71">
        <v>0</v>
      </c>
      <c r="BL1797" s="71">
        <v>0</v>
      </c>
      <c r="BM1797" s="71">
        <v>0</v>
      </c>
      <c r="BN1797" s="72">
        <v>0</v>
      </c>
      <c r="BO1797" s="151" t="e">
        <f t="shared" si="116"/>
        <v>#DIV/0!</v>
      </c>
      <c r="BP1797" s="151" t="e">
        <f t="shared" si="117"/>
        <v>#DIV/0!</v>
      </c>
      <c r="BQ1797" s="71">
        <v>0</v>
      </c>
      <c r="BR1797" s="71">
        <v>0</v>
      </c>
      <c r="BS1797" s="71">
        <v>0</v>
      </c>
      <c r="BT1797" s="72">
        <v>0</v>
      </c>
      <c r="BU1797" s="151" t="e">
        <f t="shared" si="118"/>
        <v>#DIV/0!</v>
      </c>
      <c r="BV1797" s="151" t="e">
        <f t="shared" si="119"/>
        <v>#DIV/0!</v>
      </c>
    </row>
    <row r="1798" ht="30" customHeight="1" spans="1:74">
      <c r="A1798" s="55" t="s">
        <v>211</v>
      </c>
      <c r="B1798" s="56" t="s">
        <v>2247</v>
      </c>
      <c r="C1798" s="57" t="s">
        <v>2248</v>
      </c>
      <c r="D1798" s="59" t="s">
        <v>2860</v>
      </c>
      <c r="E1798" s="59" t="s">
        <v>2871</v>
      </c>
      <c r="F1798" s="59" t="str">
        <f>VLOOKUP(E1798,[1]库存!$B$1:$C$65536,2,FALSE)</f>
        <v>C11 SAB LH</v>
      </c>
      <c r="G1798" s="59" t="s">
        <v>2872</v>
      </c>
      <c r="H1798" s="59" t="s">
        <v>2873</v>
      </c>
      <c r="I1798" s="59" t="s">
        <v>2874</v>
      </c>
      <c r="J1798" s="63"/>
      <c r="K1798" s="61"/>
      <c r="L1798" s="62">
        <v>2</v>
      </c>
      <c r="M1798" s="63">
        <v>1200</v>
      </c>
      <c r="N1798" s="64">
        <v>10</v>
      </c>
      <c r="O1798" s="62">
        <v>2</v>
      </c>
      <c r="P1798" s="65">
        <f t="shared" ref="P1798:P1861" si="120">SUM(AG1798:AJ1798)</f>
        <v>0</v>
      </c>
      <c r="Q1798" s="66"/>
      <c r="R1798" s="66"/>
      <c r="S1798" s="66"/>
      <c r="T1798" s="66"/>
      <c r="U1798" s="66"/>
      <c r="V1798" s="66"/>
      <c r="W1798" s="66"/>
      <c r="X1798" s="66"/>
      <c r="Y1798" s="66"/>
      <c r="Z1798" s="66"/>
      <c r="AA1798" s="66"/>
      <c r="AB1798" s="66"/>
      <c r="AC1798" s="66"/>
      <c r="AD1798" s="66"/>
      <c r="AE1798" s="66"/>
      <c r="AF1798" s="66"/>
      <c r="AG1798" s="66"/>
      <c r="AH1798" s="66"/>
      <c r="AI1798" s="66"/>
      <c r="AJ1798" s="66"/>
      <c r="AK1798" s="66"/>
      <c r="AL1798" s="66"/>
      <c r="AM1798" s="66"/>
      <c r="AN1798" s="66"/>
      <c r="AO1798" s="66"/>
      <c r="AP1798" s="66"/>
      <c r="AQ1798" s="66"/>
      <c r="AR1798" s="66"/>
      <c r="AS1798" s="66"/>
      <c r="AT1798" s="66"/>
      <c r="AU1798" s="66"/>
      <c r="AV1798" s="66"/>
      <c r="AW1798" s="66"/>
      <c r="AX1798" s="66"/>
      <c r="AY1798" s="66"/>
      <c r="AZ1798" s="66"/>
      <c r="BA1798" s="66"/>
      <c r="BB1798" s="66"/>
      <c r="BC1798" s="66"/>
      <c r="BD1798" s="66"/>
      <c r="BE1798" s="67"/>
      <c r="BF1798" s="67"/>
      <c r="BG1798" s="68"/>
      <c r="BI1798" s="69">
        <v>0</v>
      </c>
      <c r="BJ1798" s="70">
        <v>0</v>
      </c>
      <c r="BK1798" s="71">
        <v>0</v>
      </c>
      <c r="BL1798" s="71">
        <v>0</v>
      </c>
      <c r="BM1798" s="71">
        <v>0</v>
      </c>
      <c r="BN1798" s="72">
        <v>0</v>
      </c>
      <c r="BO1798" s="151" t="e">
        <f t="shared" si="116"/>
        <v>#DIV/0!</v>
      </c>
      <c r="BP1798" s="151" t="e">
        <f t="shared" si="117"/>
        <v>#DIV/0!</v>
      </c>
      <c r="BQ1798" s="71">
        <v>0</v>
      </c>
      <c r="BR1798" s="71">
        <v>0</v>
      </c>
      <c r="BS1798" s="71">
        <v>0</v>
      </c>
      <c r="BT1798" s="72">
        <v>0</v>
      </c>
      <c r="BU1798" s="151" t="e">
        <f t="shared" si="118"/>
        <v>#DIV/0!</v>
      </c>
      <c r="BV1798" s="151" t="e">
        <f t="shared" si="119"/>
        <v>#DIV/0!</v>
      </c>
    </row>
    <row r="1799" ht="30" customHeight="1" spans="1:74">
      <c r="A1799" s="55">
        <v>0</v>
      </c>
      <c r="B1799" s="56">
        <v>0</v>
      </c>
      <c r="C1799" s="57">
        <v>0</v>
      </c>
      <c r="D1799" s="74"/>
      <c r="E1799" s="74"/>
      <c r="F1799" s="59" t="e">
        <f>VLOOKUP(E1799,[1]库存!$B$1:$C$65536,2,FALSE)</f>
        <v>#N/A</v>
      </c>
      <c r="G1799" s="59" t="e">
        <v>#N/A</v>
      </c>
      <c r="H1799" s="74"/>
      <c r="I1799" s="74"/>
      <c r="J1799" s="87"/>
      <c r="K1799" s="61"/>
      <c r="L1799" s="62">
        <v>0</v>
      </c>
      <c r="M1799" s="63">
        <v>0</v>
      </c>
      <c r="N1799" s="64">
        <v>0</v>
      </c>
      <c r="O1799" s="62">
        <v>0</v>
      </c>
      <c r="P1799" s="65">
        <f t="shared" si="120"/>
        <v>0</v>
      </c>
      <c r="Q1799" s="66"/>
      <c r="R1799" s="66"/>
      <c r="S1799" s="66"/>
      <c r="T1799" s="66"/>
      <c r="U1799" s="66"/>
      <c r="V1799" s="66"/>
      <c r="W1799" s="66"/>
      <c r="X1799" s="66"/>
      <c r="Y1799" s="66"/>
      <c r="Z1799" s="66"/>
      <c r="AA1799" s="66"/>
      <c r="AB1799" s="66"/>
      <c r="AC1799" s="66"/>
      <c r="AD1799" s="66"/>
      <c r="AE1799" s="66"/>
      <c r="AF1799" s="66"/>
      <c r="AG1799" s="66"/>
      <c r="AH1799" s="66"/>
      <c r="AI1799" s="66"/>
      <c r="AJ1799" s="66"/>
      <c r="AK1799" s="66"/>
      <c r="AL1799" s="66"/>
      <c r="AM1799" s="66"/>
      <c r="AN1799" s="66"/>
      <c r="AO1799" s="66"/>
      <c r="AP1799" s="66"/>
      <c r="AQ1799" s="66"/>
      <c r="AR1799" s="66"/>
      <c r="AS1799" s="66"/>
      <c r="AT1799" s="66"/>
      <c r="AU1799" s="66"/>
      <c r="AV1799" s="66"/>
      <c r="AW1799" s="66"/>
      <c r="AX1799" s="66"/>
      <c r="AY1799" s="66"/>
      <c r="AZ1799" s="66"/>
      <c r="BA1799" s="66"/>
      <c r="BB1799" s="66"/>
      <c r="BC1799" s="66"/>
      <c r="BD1799" s="66"/>
      <c r="BE1799" s="67"/>
      <c r="BF1799" s="67"/>
      <c r="BG1799" s="68"/>
      <c r="BI1799" s="69">
        <v>0</v>
      </c>
      <c r="BJ1799" s="70">
        <v>0</v>
      </c>
      <c r="BK1799" s="71">
        <v>0</v>
      </c>
      <c r="BL1799" s="71">
        <v>0</v>
      </c>
      <c r="BM1799" s="71">
        <v>0</v>
      </c>
      <c r="BN1799" s="72">
        <v>0</v>
      </c>
      <c r="BO1799" s="151" t="e">
        <f t="shared" si="116"/>
        <v>#DIV/0!</v>
      </c>
      <c r="BP1799" s="151" t="e">
        <f t="shared" si="117"/>
        <v>#DIV/0!</v>
      </c>
      <c r="BQ1799" s="71">
        <v>0</v>
      </c>
      <c r="BR1799" s="71">
        <v>0</v>
      </c>
      <c r="BS1799" s="71">
        <v>0</v>
      </c>
      <c r="BT1799" s="72">
        <v>0</v>
      </c>
      <c r="BU1799" s="151" t="e">
        <f t="shared" si="118"/>
        <v>#DIV/0!</v>
      </c>
      <c r="BV1799" s="151" t="e">
        <f t="shared" si="119"/>
        <v>#DIV/0!</v>
      </c>
    </row>
    <row r="1800" ht="30" customHeight="1" spans="1:74">
      <c r="A1800" s="55" t="s">
        <v>211</v>
      </c>
      <c r="B1800" s="56" t="s">
        <v>2247</v>
      </c>
      <c r="C1800" s="57" t="s">
        <v>2248</v>
      </c>
      <c r="D1800" s="59" t="s">
        <v>2860</v>
      </c>
      <c r="E1800" s="59" t="s">
        <v>2875</v>
      </c>
      <c r="F1800" s="59" t="str">
        <f>VLOOKUP(E1800,[1]库存!$B$1:$C$65536,2,FALSE)</f>
        <v>C11 SAB RH</v>
      </c>
      <c r="G1800" s="59" t="s">
        <v>2876</v>
      </c>
      <c r="H1800" s="59" t="s">
        <v>2877</v>
      </c>
      <c r="I1800" s="59" t="s">
        <v>2874</v>
      </c>
      <c r="J1800" s="63"/>
      <c r="K1800" s="61"/>
      <c r="L1800" s="62">
        <v>2</v>
      </c>
      <c r="M1800" s="63">
        <v>1200</v>
      </c>
      <c r="N1800" s="64">
        <v>10</v>
      </c>
      <c r="O1800" s="62">
        <v>2</v>
      </c>
      <c r="P1800" s="65">
        <f t="shared" si="120"/>
        <v>0</v>
      </c>
      <c r="Q1800" s="66"/>
      <c r="R1800" s="66"/>
      <c r="S1800" s="66"/>
      <c r="T1800" s="66"/>
      <c r="U1800" s="66"/>
      <c r="V1800" s="66"/>
      <c r="W1800" s="66"/>
      <c r="X1800" s="66"/>
      <c r="Y1800" s="66"/>
      <c r="Z1800" s="66"/>
      <c r="AA1800" s="66"/>
      <c r="AB1800" s="66"/>
      <c r="AC1800" s="66"/>
      <c r="AD1800" s="66"/>
      <c r="AE1800" s="66"/>
      <c r="AF1800" s="66"/>
      <c r="AG1800" s="66"/>
      <c r="AH1800" s="66"/>
      <c r="AI1800" s="66"/>
      <c r="AJ1800" s="66"/>
      <c r="AK1800" s="66"/>
      <c r="AL1800" s="66"/>
      <c r="AM1800" s="66"/>
      <c r="AN1800" s="66"/>
      <c r="AO1800" s="66"/>
      <c r="AP1800" s="66"/>
      <c r="AQ1800" s="66"/>
      <c r="AR1800" s="66"/>
      <c r="AS1800" s="66"/>
      <c r="AT1800" s="66"/>
      <c r="AU1800" s="66"/>
      <c r="AV1800" s="66"/>
      <c r="AW1800" s="66"/>
      <c r="AX1800" s="66"/>
      <c r="AY1800" s="66"/>
      <c r="AZ1800" s="66"/>
      <c r="BA1800" s="66"/>
      <c r="BB1800" s="66"/>
      <c r="BC1800" s="66"/>
      <c r="BD1800" s="66"/>
      <c r="BE1800" s="67"/>
      <c r="BF1800" s="67"/>
      <c r="BG1800" s="68"/>
      <c r="BI1800" s="69">
        <v>0</v>
      </c>
      <c r="BJ1800" s="70">
        <v>0</v>
      </c>
      <c r="BK1800" s="71">
        <v>0</v>
      </c>
      <c r="BL1800" s="71">
        <v>0</v>
      </c>
      <c r="BM1800" s="71">
        <v>0</v>
      </c>
      <c r="BN1800" s="72">
        <v>0</v>
      </c>
      <c r="BO1800" s="151" t="e">
        <f t="shared" si="116"/>
        <v>#DIV/0!</v>
      </c>
      <c r="BP1800" s="151" t="e">
        <f t="shared" si="117"/>
        <v>#DIV/0!</v>
      </c>
      <c r="BQ1800" s="71">
        <v>0</v>
      </c>
      <c r="BR1800" s="71">
        <v>0</v>
      </c>
      <c r="BS1800" s="71">
        <v>0</v>
      </c>
      <c r="BT1800" s="72">
        <v>0</v>
      </c>
      <c r="BU1800" s="151" t="e">
        <f t="shared" si="118"/>
        <v>#DIV/0!</v>
      </c>
      <c r="BV1800" s="151" t="e">
        <f t="shared" si="119"/>
        <v>#DIV/0!</v>
      </c>
    </row>
    <row r="1801" ht="30" customHeight="1" spans="1:74">
      <c r="A1801" s="55">
        <v>0</v>
      </c>
      <c r="B1801" s="56">
        <v>0</v>
      </c>
      <c r="C1801" s="57">
        <v>0</v>
      </c>
      <c r="D1801" s="74"/>
      <c r="E1801" s="74"/>
      <c r="F1801" s="59" t="e">
        <f>VLOOKUP(E1801,[1]库存!$B$1:$C$65536,2,FALSE)</f>
        <v>#N/A</v>
      </c>
      <c r="G1801" s="59" t="e">
        <v>#N/A</v>
      </c>
      <c r="H1801" s="74"/>
      <c r="I1801" s="74"/>
      <c r="J1801" s="87"/>
      <c r="K1801" s="61"/>
      <c r="L1801" s="62">
        <v>0</v>
      </c>
      <c r="M1801" s="63">
        <v>0</v>
      </c>
      <c r="N1801" s="64">
        <v>0</v>
      </c>
      <c r="O1801" s="62">
        <v>0</v>
      </c>
      <c r="P1801" s="65">
        <f t="shared" si="120"/>
        <v>0</v>
      </c>
      <c r="Q1801" s="66"/>
      <c r="R1801" s="66"/>
      <c r="S1801" s="66"/>
      <c r="T1801" s="66"/>
      <c r="U1801" s="66"/>
      <c r="V1801" s="66"/>
      <c r="W1801" s="66"/>
      <c r="X1801" s="66"/>
      <c r="Y1801" s="66"/>
      <c r="Z1801" s="66"/>
      <c r="AA1801" s="66"/>
      <c r="AB1801" s="66"/>
      <c r="AC1801" s="66"/>
      <c r="AD1801" s="66"/>
      <c r="AE1801" s="66"/>
      <c r="AF1801" s="66"/>
      <c r="AG1801" s="66"/>
      <c r="AH1801" s="66"/>
      <c r="AI1801" s="66"/>
      <c r="AJ1801" s="66"/>
      <c r="AK1801" s="66"/>
      <c r="AL1801" s="66"/>
      <c r="AM1801" s="66"/>
      <c r="AN1801" s="66"/>
      <c r="AO1801" s="66"/>
      <c r="AP1801" s="66"/>
      <c r="AQ1801" s="66"/>
      <c r="AR1801" s="66"/>
      <c r="AS1801" s="66"/>
      <c r="AT1801" s="66"/>
      <c r="AU1801" s="66"/>
      <c r="AV1801" s="66"/>
      <c r="AW1801" s="66"/>
      <c r="AX1801" s="66"/>
      <c r="AY1801" s="66"/>
      <c r="AZ1801" s="66"/>
      <c r="BA1801" s="66"/>
      <c r="BB1801" s="66"/>
      <c r="BC1801" s="66"/>
      <c r="BD1801" s="66"/>
      <c r="BE1801" s="67"/>
      <c r="BF1801" s="67"/>
      <c r="BG1801" s="68"/>
      <c r="BI1801" s="69">
        <v>0</v>
      </c>
      <c r="BJ1801" s="70">
        <v>0</v>
      </c>
      <c r="BK1801" s="71">
        <v>0</v>
      </c>
      <c r="BL1801" s="71">
        <v>0</v>
      </c>
      <c r="BM1801" s="71">
        <v>0</v>
      </c>
      <c r="BN1801" s="72">
        <v>0</v>
      </c>
      <c r="BO1801" s="151" t="e">
        <f t="shared" si="116"/>
        <v>#DIV/0!</v>
      </c>
      <c r="BP1801" s="151" t="e">
        <f t="shared" si="117"/>
        <v>#DIV/0!</v>
      </c>
      <c r="BQ1801" s="71">
        <v>0</v>
      </c>
      <c r="BR1801" s="71">
        <v>0</v>
      </c>
      <c r="BS1801" s="71">
        <v>0</v>
      </c>
      <c r="BT1801" s="72">
        <v>0</v>
      </c>
      <c r="BU1801" s="151" t="e">
        <f t="shared" si="118"/>
        <v>#DIV/0!</v>
      </c>
      <c r="BV1801" s="151" t="e">
        <f t="shared" si="119"/>
        <v>#DIV/0!</v>
      </c>
    </row>
    <row r="1802" ht="30" customHeight="1" spans="1:74">
      <c r="A1802" s="55">
        <v>0</v>
      </c>
      <c r="B1802" s="56" t="s">
        <v>2247</v>
      </c>
      <c r="C1802" s="57" t="s">
        <v>2248</v>
      </c>
      <c r="D1802" s="59" t="s">
        <v>2860</v>
      </c>
      <c r="E1802" s="59"/>
      <c r="F1802" s="59" t="e">
        <f>VLOOKUP(E1802,[1]库存!$B$1:$C$65536,2,FALSE)</f>
        <v>#N/A</v>
      </c>
      <c r="G1802" s="59" t="e">
        <v>#N/A</v>
      </c>
      <c r="H1802" s="59" t="s">
        <v>2878</v>
      </c>
      <c r="I1802" s="59" t="s">
        <v>2879</v>
      </c>
      <c r="J1802" s="63"/>
      <c r="K1802" s="61"/>
      <c r="L1802" s="62">
        <v>2</v>
      </c>
      <c r="M1802" s="63">
        <v>1200</v>
      </c>
      <c r="N1802" s="64">
        <v>10</v>
      </c>
      <c r="O1802" s="62">
        <v>2</v>
      </c>
      <c r="P1802" s="65">
        <f t="shared" si="120"/>
        <v>0</v>
      </c>
      <c r="Q1802" s="66"/>
      <c r="R1802" s="66"/>
      <c r="S1802" s="66"/>
      <c r="T1802" s="66"/>
      <c r="U1802" s="66"/>
      <c r="V1802" s="66"/>
      <c r="W1802" s="66"/>
      <c r="X1802" s="66"/>
      <c r="Y1802" s="66"/>
      <c r="Z1802" s="66"/>
      <c r="AA1802" s="66"/>
      <c r="AB1802" s="66"/>
      <c r="AC1802" s="66"/>
      <c r="AD1802" s="66"/>
      <c r="AE1802" s="66"/>
      <c r="AF1802" s="66"/>
      <c r="AG1802" s="66"/>
      <c r="AH1802" s="66"/>
      <c r="AI1802" s="66"/>
      <c r="AJ1802" s="66"/>
      <c r="AK1802" s="66"/>
      <c r="AL1802" s="66"/>
      <c r="AM1802" s="66"/>
      <c r="AN1802" s="66"/>
      <c r="AO1802" s="66"/>
      <c r="AP1802" s="66"/>
      <c r="AQ1802" s="66"/>
      <c r="AR1802" s="66"/>
      <c r="AS1802" s="66"/>
      <c r="AT1802" s="66"/>
      <c r="AU1802" s="66"/>
      <c r="AV1802" s="66"/>
      <c r="AW1802" s="66"/>
      <c r="AX1802" s="66"/>
      <c r="AY1802" s="66"/>
      <c r="AZ1802" s="66"/>
      <c r="BA1802" s="66"/>
      <c r="BB1802" s="66"/>
      <c r="BC1802" s="66"/>
      <c r="BD1802" s="66"/>
      <c r="BE1802" s="67"/>
      <c r="BF1802" s="67"/>
      <c r="BG1802" s="68"/>
      <c r="BI1802" s="69">
        <v>0</v>
      </c>
      <c r="BJ1802" s="70">
        <v>0</v>
      </c>
      <c r="BK1802" s="71">
        <v>0</v>
      </c>
      <c r="BL1802" s="71">
        <v>0</v>
      </c>
      <c r="BM1802" s="71">
        <v>0</v>
      </c>
      <c r="BN1802" s="72">
        <v>0</v>
      </c>
      <c r="BO1802" s="151" t="e">
        <f t="shared" si="116"/>
        <v>#DIV/0!</v>
      </c>
      <c r="BP1802" s="151" t="e">
        <f t="shared" si="117"/>
        <v>#DIV/0!</v>
      </c>
      <c r="BQ1802" s="71">
        <v>0</v>
      </c>
      <c r="BR1802" s="71">
        <v>0</v>
      </c>
      <c r="BS1802" s="71">
        <v>0</v>
      </c>
      <c r="BT1802" s="72">
        <v>0</v>
      </c>
      <c r="BU1802" s="151" t="e">
        <f t="shared" si="118"/>
        <v>#DIV/0!</v>
      </c>
      <c r="BV1802" s="151" t="e">
        <f t="shared" si="119"/>
        <v>#DIV/0!</v>
      </c>
    </row>
    <row r="1803" ht="30" customHeight="1" spans="1:74">
      <c r="A1803" s="55">
        <v>0</v>
      </c>
      <c r="B1803" s="56">
        <v>0</v>
      </c>
      <c r="C1803" s="57">
        <v>0</v>
      </c>
      <c r="D1803" s="74"/>
      <c r="E1803" s="74"/>
      <c r="F1803" s="59" t="e">
        <f>VLOOKUP(E1803,[1]库存!$B$1:$C$65536,2,FALSE)</f>
        <v>#N/A</v>
      </c>
      <c r="G1803" s="59" t="e">
        <v>#N/A</v>
      </c>
      <c r="H1803" s="74"/>
      <c r="I1803" s="74"/>
      <c r="J1803" s="87"/>
      <c r="K1803" s="61"/>
      <c r="L1803" s="62">
        <v>0</v>
      </c>
      <c r="M1803" s="63">
        <v>0</v>
      </c>
      <c r="N1803" s="64">
        <v>0</v>
      </c>
      <c r="O1803" s="62">
        <v>0</v>
      </c>
      <c r="P1803" s="65">
        <f t="shared" si="120"/>
        <v>0</v>
      </c>
      <c r="Q1803" s="66"/>
      <c r="R1803" s="66"/>
      <c r="S1803" s="66"/>
      <c r="T1803" s="66"/>
      <c r="U1803" s="66"/>
      <c r="V1803" s="66"/>
      <c r="W1803" s="66"/>
      <c r="X1803" s="66"/>
      <c r="Y1803" s="66"/>
      <c r="Z1803" s="66"/>
      <c r="AA1803" s="66"/>
      <c r="AB1803" s="66"/>
      <c r="AC1803" s="66"/>
      <c r="AD1803" s="66"/>
      <c r="AE1803" s="66"/>
      <c r="AF1803" s="66"/>
      <c r="AG1803" s="66"/>
      <c r="AH1803" s="66"/>
      <c r="AI1803" s="66"/>
      <c r="AJ1803" s="66"/>
      <c r="AK1803" s="66"/>
      <c r="AL1803" s="66"/>
      <c r="AM1803" s="66"/>
      <c r="AN1803" s="66"/>
      <c r="AO1803" s="66"/>
      <c r="AP1803" s="66"/>
      <c r="AQ1803" s="66"/>
      <c r="AR1803" s="66"/>
      <c r="AS1803" s="66"/>
      <c r="AT1803" s="66"/>
      <c r="AU1803" s="66"/>
      <c r="AV1803" s="66"/>
      <c r="AW1803" s="66"/>
      <c r="AX1803" s="66"/>
      <c r="AY1803" s="66"/>
      <c r="AZ1803" s="66"/>
      <c r="BA1803" s="66"/>
      <c r="BB1803" s="66"/>
      <c r="BC1803" s="66"/>
      <c r="BD1803" s="66"/>
      <c r="BE1803" s="67"/>
      <c r="BF1803" s="67"/>
      <c r="BG1803" s="68"/>
      <c r="BI1803" s="69">
        <v>0</v>
      </c>
      <c r="BJ1803" s="70">
        <v>0</v>
      </c>
      <c r="BK1803" s="71">
        <v>0</v>
      </c>
      <c r="BL1803" s="71">
        <v>0</v>
      </c>
      <c r="BM1803" s="71">
        <v>0</v>
      </c>
      <c r="BN1803" s="72">
        <v>0</v>
      </c>
      <c r="BO1803" s="151" t="e">
        <f t="shared" si="116"/>
        <v>#DIV/0!</v>
      </c>
      <c r="BP1803" s="151" t="e">
        <f t="shared" si="117"/>
        <v>#DIV/0!</v>
      </c>
      <c r="BQ1803" s="71">
        <v>0</v>
      </c>
      <c r="BR1803" s="71">
        <v>0</v>
      </c>
      <c r="BS1803" s="71">
        <v>0</v>
      </c>
      <c r="BT1803" s="72">
        <v>0</v>
      </c>
      <c r="BU1803" s="151" t="e">
        <f t="shared" si="118"/>
        <v>#DIV/0!</v>
      </c>
      <c r="BV1803" s="151" t="e">
        <f t="shared" si="119"/>
        <v>#DIV/0!</v>
      </c>
    </row>
    <row r="1804" ht="30" customHeight="1" spans="1:74">
      <c r="A1804" s="55">
        <v>0</v>
      </c>
      <c r="B1804" s="56" t="s">
        <v>2247</v>
      </c>
      <c r="C1804" s="57" t="s">
        <v>2248</v>
      </c>
      <c r="D1804" s="59" t="s">
        <v>2860</v>
      </c>
      <c r="E1804" s="59"/>
      <c r="F1804" s="59" t="e">
        <f>VLOOKUP(E1804,[1]库存!$B$1:$C$65536,2,FALSE)</f>
        <v>#N/A</v>
      </c>
      <c r="G1804" s="59" t="e">
        <v>#N/A</v>
      </c>
      <c r="H1804" s="59" t="s">
        <v>2880</v>
      </c>
      <c r="I1804" s="59" t="s">
        <v>2881</v>
      </c>
      <c r="J1804" s="63"/>
      <c r="K1804" s="61"/>
      <c r="L1804" s="62">
        <v>2</v>
      </c>
      <c r="M1804" s="63">
        <v>1200</v>
      </c>
      <c r="N1804" s="64">
        <v>10</v>
      </c>
      <c r="O1804" s="62">
        <v>2</v>
      </c>
      <c r="P1804" s="65">
        <f t="shared" si="120"/>
        <v>0</v>
      </c>
      <c r="Q1804" s="66"/>
      <c r="R1804" s="66"/>
      <c r="S1804" s="66"/>
      <c r="T1804" s="66"/>
      <c r="U1804" s="66"/>
      <c r="V1804" s="66"/>
      <c r="W1804" s="66"/>
      <c r="X1804" s="66"/>
      <c r="Y1804" s="66"/>
      <c r="Z1804" s="66"/>
      <c r="AA1804" s="66"/>
      <c r="AB1804" s="66"/>
      <c r="AC1804" s="66"/>
      <c r="AD1804" s="66"/>
      <c r="AE1804" s="66"/>
      <c r="AF1804" s="66"/>
      <c r="AG1804" s="66"/>
      <c r="AH1804" s="66"/>
      <c r="AI1804" s="66"/>
      <c r="AJ1804" s="66"/>
      <c r="AK1804" s="66"/>
      <c r="AL1804" s="66"/>
      <c r="AM1804" s="66"/>
      <c r="AN1804" s="66"/>
      <c r="AO1804" s="66"/>
      <c r="AP1804" s="66"/>
      <c r="AQ1804" s="66"/>
      <c r="AR1804" s="66"/>
      <c r="AS1804" s="66"/>
      <c r="AT1804" s="66"/>
      <c r="AU1804" s="66"/>
      <c r="AV1804" s="66"/>
      <c r="AW1804" s="66"/>
      <c r="AX1804" s="66"/>
      <c r="AY1804" s="66"/>
      <c r="AZ1804" s="66"/>
      <c r="BA1804" s="66"/>
      <c r="BB1804" s="66"/>
      <c r="BC1804" s="66"/>
      <c r="BD1804" s="66"/>
      <c r="BE1804" s="67"/>
      <c r="BF1804" s="67"/>
      <c r="BG1804" s="68"/>
      <c r="BI1804" s="69">
        <v>0</v>
      </c>
      <c r="BJ1804" s="70">
        <v>0</v>
      </c>
      <c r="BK1804" s="71">
        <v>0</v>
      </c>
      <c r="BL1804" s="71">
        <v>0</v>
      </c>
      <c r="BM1804" s="71">
        <v>0</v>
      </c>
      <c r="BN1804" s="72">
        <v>0</v>
      </c>
      <c r="BO1804" s="151" t="e">
        <f t="shared" si="116"/>
        <v>#DIV/0!</v>
      </c>
      <c r="BP1804" s="151" t="e">
        <f t="shared" si="117"/>
        <v>#DIV/0!</v>
      </c>
      <c r="BQ1804" s="71">
        <v>0</v>
      </c>
      <c r="BR1804" s="71">
        <v>0</v>
      </c>
      <c r="BS1804" s="71">
        <v>0</v>
      </c>
      <c r="BT1804" s="72">
        <v>0</v>
      </c>
      <c r="BU1804" s="151" t="e">
        <f t="shared" si="118"/>
        <v>#DIV/0!</v>
      </c>
      <c r="BV1804" s="151" t="e">
        <f t="shared" si="119"/>
        <v>#DIV/0!</v>
      </c>
    </row>
    <row r="1805" ht="30" customHeight="1" spans="1:74">
      <c r="A1805" s="55">
        <v>0</v>
      </c>
      <c r="B1805" s="56">
        <v>0</v>
      </c>
      <c r="C1805" s="57">
        <v>0</v>
      </c>
      <c r="D1805" s="74"/>
      <c r="E1805" s="74"/>
      <c r="F1805" s="59" t="e">
        <f>VLOOKUP(E1805,[1]库存!$B$1:$C$65536,2,FALSE)</f>
        <v>#N/A</v>
      </c>
      <c r="G1805" s="59" t="e">
        <v>#N/A</v>
      </c>
      <c r="H1805" s="74"/>
      <c r="I1805" s="74"/>
      <c r="J1805" s="87"/>
      <c r="K1805" s="61"/>
      <c r="L1805" s="62">
        <v>0</v>
      </c>
      <c r="M1805" s="63">
        <v>0</v>
      </c>
      <c r="N1805" s="64">
        <v>0</v>
      </c>
      <c r="O1805" s="62">
        <v>0</v>
      </c>
      <c r="P1805" s="65">
        <f t="shared" si="120"/>
        <v>0</v>
      </c>
      <c r="Q1805" s="66"/>
      <c r="R1805" s="66"/>
      <c r="S1805" s="66"/>
      <c r="T1805" s="66"/>
      <c r="U1805" s="66"/>
      <c r="V1805" s="66"/>
      <c r="W1805" s="66"/>
      <c r="X1805" s="66"/>
      <c r="Y1805" s="66"/>
      <c r="Z1805" s="66"/>
      <c r="AA1805" s="66"/>
      <c r="AB1805" s="66"/>
      <c r="AC1805" s="66"/>
      <c r="AD1805" s="66"/>
      <c r="AE1805" s="66"/>
      <c r="AF1805" s="66"/>
      <c r="AG1805" s="66"/>
      <c r="AH1805" s="66"/>
      <c r="AI1805" s="66"/>
      <c r="AJ1805" s="66"/>
      <c r="AK1805" s="66"/>
      <c r="AL1805" s="66"/>
      <c r="AM1805" s="66"/>
      <c r="AN1805" s="66"/>
      <c r="AO1805" s="66"/>
      <c r="AP1805" s="66"/>
      <c r="AQ1805" s="66"/>
      <c r="AR1805" s="66"/>
      <c r="AS1805" s="66"/>
      <c r="AT1805" s="66"/>
      <c r="AU1805" s="66"/>
      <c r="AV1805" s="66"/>
      <c r="AW1805" s="66"/>
      <c r="AX1805" s="66"/>
      <c r="AY1805" s="66"/>
      <c r="AZ1805" s="66"/>
      <c r="BA1805" s="66"/>
      <c r="BB1805" s="66"/>
      <c r="BC1805" s="66"/>
      <c r="BD1805" s="66"/>
      <c r="BE1805" s="67"/>
      <c r="BF1805" s="67"/>
      <c r="BG1805" s="68"/>
      <c r="BI1805" s="69">
        <v>0</v>
      </c>
      <c r="BJ1805" s="70">
        <v>0</v>
      </c>
      <c r="BK1805" s="71">
        <v>0</v>
      </c>
      <c r="BL1805" s="71">
        <v>0</v>
      </c>
      <c r="BM1805" s="71">
        <v>0</v>
      </c>
      <c r="BN1805" s="72">
        <v>0</v>
      </c>
      <c r="BO1805" s="151" t="e">
        <f t="shared" si="116"/>
        <v>#DIV/0!</v>
      </c>
      <c r="BP1805" s="151" t="e">
        <f t="shared" si="117"/>
        <v>#DIV/0!</v>
      </c>
      <c r="BQ1805" s="71">
        <v>0</v>
      </c>
      <c r="BR1805" s="71">
        <v>0</v>
      </c>
      <c r="BS1805" s="71">
        <v>0</v>
      </c>
      <c r="BT1805" s="72">
        <v>0</v>
      </c>
      <c r="BU1805" s="151" t="e">
        <f t="shared" si="118"/>
        <v>#DIV/0!</v>
      </c>
      <c r="BV1805" s="151" t="e">
        <f t="shared" si="119"/>
        <v>#DIV/0!</v>
      </c>
    </row>
    <row r="1806" ht="30" customHeight="1" spans="1:74">
      <c r="A1806" s="55">
        <v>0</v>
      </c>
      <c r="B1806" s="56">
        <v>0</v>
      </c>
      <c r="C1806" s="57">
        <v>0</v>
      </c>
      <c r="D1806" s="210"/>
      <c r="E1806" s="88"/>
      <c r="F1806" s="59" t="e">
        <f>VLOOKUP(E1806,[1]库存!$B$1:$C$65536,2,FALSE)</f>
        <v>#N/A</v>
      </c>
      <c r="G1806" s="59" t="e">
        <v>#N/A</v>
      </c>
      <c r="H1806" s="238"/>
      <c r="I1806" s="239"/>
      <c r="J1806" s="90"/>
      <c r="K1806" s="61"/>
      <c r="L1806" s="62">
        <v>0</v>
      </c>
      <c r="M1806" s="63">
        <v>0</v>
      </c>
      <c r="N1806" s="64">
        <v>0</v>
      </c>
      <c r="O1806" s="62">
        <v>0</v>
      </c>
      <c r="P1806" s="65">
        <f t="shared" si="120"/>
        <v>0</v>
      </c>
      <c r="Q1806" s="66"/>
      <c r="R1806" s="66"/>
      <c r="S1806" s="66"/>
      <c r="T1806" s="66"/>
      <c r="U1806" s="66"/>
      <c r="V1806" s="66"/>
      <c r="W1806" s="66"/>
      <c r="X1806" s="66"/>
      <c r="Y1806" s="66"/>
      <c r="Z1806" s="66"/>
      <c r="AA1806" s="66"/>
      <c r="AB1806" s="66"/>
      <c r="AC1806" s="66"/>
      <c r="AD1806" s="66"/>
      <c r="AE1806" s="66"/>
      <c r="AF1806" s="66"/>
      <c r="AG1806" s="66"/>
      <c r="AH1806" s="66"/>
      <c r="AI1806" s="66"/>
      <c r="AJ1806" s="66"/>
      <c r="AK1806" s="66"/>
      <c r="AL1806" s="66"/>
      <c r="AM1806" s="66"/>
      <c r="AN1806" s="66"/>
      <c r="AO1806" s="66"/>
      <c r="AP1806" s="66"/>
      <c r="AQ1806" s="66"/>
      <c r="AR1806" s="66"/>
      <c r="AS1806" s="66"/>
      <c r="AT1806" s="66"/>
      <c r="AU1806" s="66"/>
      <c r="AV1806" s="66"/>
      <c r="AW1806" s="66"/>
      <c r="AX1806" s="66"/>
      <c r="AY1806" s="66"/>
      <c r="AZ1806" s="66"/>
      <c r="BA1806" s="66"/>
      <c r="BB1806" s="66"/>
      <c r="BC1806" s="66"/>
      <c r="BD1806" s="66"/>
      <c r="BE1806" s="67"/>
      <c r="BF1806" s="67"/>
      <c r="BG1806" s="68"/>
      <c r="BI1806" s="69">
        <v>0</v>
      </c>
      <c r="BJ1806" s="70">
        <v>0</v>
      </c>
      <c r="BK1806" s="71">
        <v>0</v>
      </c>
      <c r="BL1806" s="71">
        <v>0</v>
      </c>
      <c r="BM1806" s="71">
        <v>0</v>
      </c>
      <c r="BN1806" s="72">
        <v>0</v>
      </c>
      <c r="BO1806" s="151" t="e">
        <f t="shared" si="116"/>
        <v>#DIV/0!</v>
      </c>
      <c r="BP1806" s="151" t="e">
        <f t="shared" si="117"/>
        <v>#DIV/0!</v>
      </c>
      <c r="BQ1806" s="71">
        <v>0</v>
      </c>
      <c r="BR1806" s="71">
        <v>0</v>
      </c>
      <c r="BS1806" s="71">
        <v>0</v>
      </c>
      <c r="BT1806" s="72">
        <v>0</v>
      </c>
      <c r="BU1806" s="151" t="e">
        <f t="shared" si="118"/>
        <v>#DIV/0!</v>
      </c>
      <c r="BV1806" s="151" t="e">
        <f t="shared" si="119"/>
        <v>#DIV/0!</v>
      </c>
    </row>
    <row r="1807" ht="30" customHeight="1" spans="1:74">
      <c r="A1807" s="55">
        <v>0</v>
      </c>
      <c r="B1807" s="56" t="s">
        <v>2247</v>
      </c>
      <c r="C1807" s="57" t="s">
        <v>2261</v>
      </c>
      <c r="D1807" s="59" t="s">
        <v>2882</v>
      </c>
      <c r="E1807" s="59"/>
      <c r="F1807" s="59" t="e">
        <f>VLOOKUP(E1807,[1]库存!$B$1:$C$65536,2,FALSE)</f>
        <v>#N/A</v>
      </c>
      <c r="G1807" s="59" t="e">
        <v>#N/A</v>
      </c>
      <c r="H1807" s="59" t="s">
        <v>2442</v>
      </c>
      <c r="I1807" s="59" t="s">
        <v>2443</v>
      </c>
      <c r="J1807" s="94"/>
      <c r="K1807" s="61"/>
      <c r="L1807" s="62">
        <v>2</v>
      </c>
      <c r="M1807" s="63">
        <v>1600</v>
      </c>
      <c r="N1807" s="64">
        <v>8</v>
      </c>
      <c r="O1807" s="62">
        <v>2</v>
      </c>
      <c r="P1807" s="65">
        <f t="shared" si="120"/>
        <v>0</v>
      </c>
      <c r="Q1807" s="66"/>
      <c r="R1807" s="103"/>
      <c r="S1807" s="66"/>
      <c r="T1807" s="103"/>
      <c r="U1807" s="66"/>
      <c r="V1807" s="103"/>
      <c r="W1807" s="66"/>
      <c r="X1807" s="103"/>
      <c r="Y1807" s="66"/>
      <c r="Z1807" s="103"/>
      <c r="AA1807" s="66"/>
      <c r="AB1807" s="103"/>
      <c r="AC1807" s="66"/>
      <c r="AD1807" s="103"/>
      <c r="AE1807" s="66"/>
      <c r="AF1807" s="103"/>
      <c r="AG1807" s="66"/>
      <c r="AH1807" s="103"/>
      <c r="AI1807" s="66"/>
      <c r="AJ1807" s="103"/>
      <c r="AK1807" s="66"/>
      <c r="AL1807" s="103"/>
      <c r="AM1807" s="66"/>
      <c r="AN1807" s="103"/>
      <c r="AO1807" s="66"/>
      <c r="AP1807" s="103"/>
      <c r="AQ1807" s="66"/>
      <c r="AR1807" s="103"/>
      <c r="AS1807" s="66"/>
      <c r="AT1807" s="103"/>
      <c r="AU1807" s="66"/>
      <c r="AV1807" s="103"/>
      <c r="AW1807" s="66"/>
      <c r="AX1807" s="103"/>
      <c r="AY1807" s="66"/>
      <c r="AZ1807" s="103"/>
      <c r="BA1807" s="66"/>
      <c r="BB1807" s="103"/>
      <c r="BC1807" s="66"/>
      <c r="BD1807" s="103"/>
      <c r="BE1807" s="105"/>
      <c r="BF1807" s="105"/>
      <c r="BG1807" s="68"/>
      <c r="BI1807" s="69">
        <v>0</v>
      </c>
      <c r="BJ1807" s="70">
        <v>0</v>
      </c>
      <c r="BK1807" s="71">
        <v>0</v>
      </c>
      <c r="BL1807" s="71">
        <v>0</v>
      </c>
      <c r="BM1807" s="71">
        <v>0</v>
      </c>
      <c r="BN1807" s="72">
        <v>0</v>
      </c>
      <c r="BO1807" s="151" t="e">
        <f t="shared" si="116"/>
        <v>#DIV/0!</v>
      </c>
      <c r="BP1807" s="151" t="e">
        <f t="shared" si="117"/>
        <v>#DIV/0!</v>
      </c>
      <c r="BQ1807" s="71">
        <v>0</v>
      </c>
      <c r="BR1807" s="71">
        <v>0</v>
      </c>
      <c r="BS1807" s="71">
        <v>0</v>
      </c>
      <c r="BT1807" s="72">
        <v>0</v>
      </c>
      <c r="BU1807" s="151" t="e">
        <f t="shared" si="118"/>
        <v>#DIV/0!</v>
      </c>
      <c r="BV1807" s="151" t="e">
        <f t="shared" si="119"/>
        <v>#DIV/0!</v>
      </c>
    </row>
    <row r="1808" ht="30" customHeight="1" spans="1:74">
      <c r="A1808" s="55">
        <v>0</v>
      </c>
      <c r="B1808" s="56">
        <v>0</v>
      </c>
      <c r="C1808" s="57">
        <v>0</v>
      </c>
      <c r="D1808" s="74"/>
      <c r="E1808" s="74"/>
      <c r="F1808" s="59" t="e">
        <f>VLOOKUP(E1808,[1]库存!$B$1:$C$65536,2,FALSE)</f>
        <v>#N/A</v>
      </c>
      <c r="G1808" s="59" t="e">
        <v>#N/A</v>
      </c>
      <c r="H1808" s="74"/>
      <c r="I1808" s="74"/>
      <c r="J1808" s="95"/>
      <c r="K1808" s="61"/>
      <c r="L1808" s="62">
        <v>0</v>
      </c>
      <c r="M1808" s="63">
        <v>0</v>
      </c>
      <c r="N1808" s="64">
        <v>0</v>
      </c>
      <c r="O1808" s="62">
        <v>0</v>
      </c>
      <c r="P1808" s="65">
        <f t="shared" si="120"/>
        <v>0</v>
      </c>
      <c r="Q1808" s="66"/>
      <c r="R1808" s="66"/>
      <c r="S1808" s="66"/>
      <c r="T1808" s="66"/>
      <c r="U1808" s="66"/>
      <c r="V1808" s="66"/>
      <c r="W1808" s="66"/>
      <c r="X1808" s="66"/>
      <c r="Y1808" s="66"/>
      <c r="Z1808" s="66"/>
      <c r="AA1808" s="66"/>
      <c r="AB1808" s="66"/>
      <c r="AC1808" s="66"/>
      <c r="AD1808" s="66"/>
      <c r="AE1808" s="66"/>
      <c r="AF1808" s="66"/>
      <c r="AG1808" s="66"/>
      <c r="AH1808" s="66"/>
      <c r="AI1808" s="66"/>
      <c r="AJ1808" s="66"/>
      <c r="AK1808" s="66"/>
      <c r="AL1808" s="66"/>
      <c r="AM1808" s="66"/>
      <c r="AN1808" s="66"/>
      <c r="AO1808" s="66"/>
      <c r="AP1808" s="66"/>
      <c r="AQ1808" s="66"/>
      <c r="AR1808" s="66"/>
      <c r="AS1808" s="66"/>
      <c r="AT1808" s="66"/>
      <c r="AU1808" s="66"/>
      <c r="AV1808" s="66"/>
      <c r="AW1808" s="66"/>
      <c r="AX1808" s="66"/>
      <c r="AY1808" s="66"/>
      <c r="AZ1808" s="66"/>
      <c r="BA1808" s="66"/>
      <c r="BB1808" s="66"/>
      <c r="BC1808" s="66"/>
      <c r="BD1808" s="66"/>
      <c r="BE1808" s="67"/>
      <c r="BF1808" s="67"/>
      <c r="BG1808" s="68"/>
      <c r="BI1808" s="69">
        <v>0</v>
      </c>
      <c r="BJ1808" s="70">
        <v>0</v>
      </c>
      <c r="BK1808" s="71">
        <v>0</v>
      </c>
      <c r="BL1808" s="71">
        <v>0</v>
      </c>
      <c r="BM1808" s="71">
        <v>0</v>
      </c>
      <c r="BN1808" s="72">
        <v>0</v>
      </c>
      <c r="BO1808" s="151" t="e">
        <f t="shared" si="116"/>
        <v>#DIV/0!</v>
      </c>
      <c r="BP1808" s="151" t="e">
        <f t="shared" si="117"/>
        <v>#DIV/0!</v>
      </c>
      <c r="BQ1808" s="71">
        <v>0</v>
      </c>
      <c r="BR1808" s="71">
        <v>0</v>
      </c>
      <c r="BS1808" s="71">
        <v>0</v>
      </c>
      <c r="BT1808" s="72">
        <v>0</v>
      </c>
      <c r="BU1808" s="151" t="e">
        <f t="shared" si="118"/>
        <v>#DIV/0!</v>
      </c>
      <c r="BV1808" s="151" t="e">
        <f t="shared" si="119"/>
        <v>#DIV/0!</v>
      </c>
    </row>
    <row r="1809" ht="30" customHeight="1" spans="1:74">
      <c r="A1809" s="55" t="s">
        <v>211</v>
      </c>
      <c r="B1809" s="56" t="s">
        <v>2247</v>
      </c>
      <c r="C1809" s="57" t="s">
        <v>2261</v>
      </c>
      <c r="D1809" s="91" t="s">
        <v>2882</v>
      </c>
      <c r="E1809" s="91" t="s">
        <v>2883</v>
      </c>
      <c r="F1809" s="91" t="str">
        <f>VLOOKUP(E1809,[1]库存!$B$1:$C$65536,2,FALSE)</f>
        <v>SA3F SAB RH F状态</v>
      </c>
      <c r="G1809" s="91" t="s">
        <v>2884</v>
      </c>
      <c r="H1809" s="91" t="s">
        <v>2444</v>
      </c>
      <c r="I1809" s="91" t="s">
        <v>2443</v>
      </c>
      <c r="J1809" s="63"/>
      <c r="K1809" s="61"/>
      <c r="L1809" s="62">
        <v>2</v>
      </c>
      <c r="M1809" s="63">
        <v>1600</v>
      </c>
      <c r="N1809" s="64">
        <v>8</v>
      </c>
      <c r="O1809" s="62">
        <v>2</v>
      </c>
      <c r="P1809" s="65">
        <f t="shared" si="120"/>
        <v>0</v>
      </c>
      <c r="Q1809" s="66"/>
      <c r="R1809" s="66"/>
      <c r="S1809" s="66"/>
      <c r="T1809" s="66"/>
      <c r="U1809" s="66"/>
      <c r="V1809" s="66"/>
      <c r="W1809" s="66"/>
      <c r="X1809" s="66"/>
      <c r="Y1809" s="66"/>
      <c r="Z1809" s="66"/>
      <c r="AA1809" s="66"/>
      <c r="AB1809" s="66"/>
      <c r="AC1809" s="66"/>
      <c r="AD1809" s="66"/>
      <c r="AE1809" s="66"/>
      <c r="AF1809" s="66"/>
      <c r="AG1809" s="66"/>
      <c r="AH1809" s="66"/>
      <c r="AI1809" s="66"/>
      <c r="AJ1809" s="66"/>
      <c r="AK1809" s="66"/>
      <c r="AL1809" s="66"/>
      <c r="AM1809" s="66"/>
      <c r="AN1809" s="66"/>
      <c r="AO1809" s="66"/>
      <c r="AP1809" s="66"/>
      <c r="AQ1809" s="66"/>
      <c r="AR1809" s="66"/>
      <c r="AS1809" s="66"/>
      <c r="AT1809" s="66"/>
      <c r="AU1809" s="66"/>
      <c r="AV1809" s="66"/>
      <c r="AW1809" s="66"/>
      <c r="AX1809" s="66"/>
      <c r="AY1809" s="66"/>
      <c r="AZ1809" s="66"/>
      <c r="BA1809" s="66"/>
      <c r="BB1809" s="66"/>
      <c r="BC1809" s="66"/>
      <c r="BD1809" s="66"/>
      <c r="BE1809" s="67"/>
      <c r="BF1809" s="67"/>
      <c r="BG1809" s="68"/>
      <c r="BI1809" s="69">
        <v>0</v>
      </c>
      <c r="BJ1809" s="70">
        <v>0</v>
      </c>
      <c r="BK1809" s="71">
        <v>0</v>
      </c>
      <c r="BL1809" s="71">
        <v>0</v>
      </c>
      <c r="BM1809" s="71">
        <v>0</v>
      </c>
      <c r="BN1809" s="72">
        <v>0</v>
      </c>
      <c r="BO1809" s="151" t="e">
        <f t="shared" si="116"/>
        <v>#DIV/0!</v>
      </c>
      <c r="BP1809" s="151" t="e">
        <f t="shared" si="117"/>
        <v>#DIV/0!</v>
      </c>
      <c r="BQ1809" s="71">
        <v>0</v>
      </c>
      <c r="BR1809" s="71">
        <v>0</v>
      </c>
      <c r="BS1809" s="71">
        <v>0</v>
      </c>
      <c r="BT1809" s="72">
        <v>0</v>
      </c>
      <c r="BU1809" s="151" t="e">
        <f t="shared" si="118"/>
        <v>#DIV/0!</v>
      </c>
      <c r="BV1809" s="151" t="e">
        <f t="shared" si="119"/>
        <v>#DIV/0!</v>
      </c>
    </row>
    <row r="1810" ht="30" customHeight="1" spans="1:74">
      <c r="A1810" s="55">
        <v>0</v>
      </c>
      <c r="B1810" s="56">
        <v>0</v>
      </c>
      <c r="C1810" s="57">
        <v>0</v>
      </c>
      <c r="D1810" s="92"/>
      <c r="E1810" s="92"/>
      <c r="F1810" s="91" t="e">
        <f>VLOOKUP(E1810,[1]库存!$B$1:$C$65536,2,FALSE)</f>
        <v>#N/A</v>
      </c>
      <c r="G1810" s="91" t="e">
        <v>#N/A</v>
      </c>
      <c r="H1810" s="92"/>
      <c r="I1810" s="92"/>
      <c r="J1810" s="87"/>
      <c r="K1810" s="61"/>
      <c r="L1810" s="62">
        <v>0</v>
      </c>
      <c r="M1810" s="63">
        <v>0</v>
      </c>
      <c r="N1810" s="64">
        <v>0</v>
      </c>
      <c r="O1810" s="62">
        <v>0</v>
      </c>
      <c r="P1810" s="65">
        <f t="shared" si="120"/>
        <v>0</v>
      </c>
      <c r="Q1810" s="66"/>
      <c r="R1810" s="66"/>
      <c r="S1810" s="66"/>
      <c r="T1810" s="66"/>
      <c r="U1810" s="66"/>
      <c r="V1810" s="66"/>
      <c r="W1810" s="66"/>
      <c r="X1810" s="66"/>
      <c r="Y1810" s="66"/>
      <c r="Z1810" s="66"/>
      <c r="AA1810" s="66"/>
      <c r="AB1810" s="66"/>
      <c r="AC1810" s="66"/>
      <c r="AD1810" s="66"/>
      <c r="AE1810" s="66"/>
      <c r="AF1810" s="66"/>
      <c r="AG1810" s="66"/>
      <c r="AH1810" s="66"/>
      <c r="AI1810" s="66"/>
      <c r="AJ1810" s="66"/>
      <c r="AK1810" s="66"/>
      <c r="AL1810" s="66"/>
      <c r="AM1810" s="66"/>
      <c r="AN1810" s="66"/>
      <c r="AO1810" s="66"/>
      <c r="AP1810" s="66"/>
      <c r="AQ1810" s="66"/>
      <c r="AR1810" s="66"/>
      <c r="AS1810" s="66"/>
      <c r="AT1810" s="66"/>
      <c r="AU1810" s="66"/>
      <c r="AV1810" s="66"/>
      <c r="AW1810" s="66"/>
      <c r="AX1810" s="66"/>
      <c r="AY1810" s="66"/>
      <c r="AZ1810" s="66"/>
      <c r="BA1810" s="66"/>
      <c r="BB1810" s="66"/>
      <c r="BC1810" s="66"/>
      <c r="BD1810" s="66"/>
      <c r="BE1810" s="67"/>
      <c r="BF1810" s="67"/>
      <c r="BG1810" s="68"/>
      <c r="BI1810" s="69">
        <v>0</v>
      </c>
      <c r="BJ1810" s="70">
        <v>0</v>
      </c>
      <c r="BK1810" s="71">
        <v>0</v>
      </c>
      <c r="BL1810" s="71">
        <v>0</v>
      </c>
      <c r="BM1810" s="71">
        <v>0</v>
      </c>
      <c r="BN1810" s="72">
        <v>0</v>
      </c>
      <c r="BO1810" s="151" t="e">
        <f t="shared" si="116"/>
        <v>#DIV/0!</v>
      </c>
      <c r="BP1810" s="151" t="e">
        <f t="shared" si="117"/>
        <v>#DIV/0!</v>
      </c>
      <c r="BQ1810" s="71">
        <v>0</v>
      </c>
      <c r="BR1810" s="71">
        <v>0</v>
      </c>
      <c r="BS1810" s="71">
        <v>0</v>
      </c>
      <c r="BT1810" s="72">
        <v>0</v>
      </c>
      <c r="BU1810" s="151" t="e">
        <f t="shared" si="118"/>
        <v>#DIV/0!</v>
      </c>
      <c r="BV1810" s="151" t="e">
        <f t="shared" si="119"/>
        <v>#DIV/0!</v>
      </c>
    </row>
    <row r="1811" ht="30" customHeight="1" spans="1:74">
      <c r="A1811" s="55" t="s">
        <v>211</v>
      </c>
      <c r="B1811" s="56" t="s">
        <v>2247</v>
      </c>
      <c r="C1811" s="57" t="s">
        <v>2261</v>
      </c>
      <c r="D1811" s="113" t="s">
        <v>2882</v>
      </c>
      <c r="E1811" s="113" t="s">
        <v>2440</v>
      </c>
      <c r="F1811" s="113" t="s">
        <v>2885</v>
      </c>
      <c r="G1811" s="309" t="s">
        <v>2886</v>
      </c>
      <c r="H1811" s="113" t="s">
        <v>2887</v>
      </c>
      <c r="I1811" s="113"/>
      <c r="J1811" s="60" t="s">
        <v>2888</v>
      </c>
      <c r="K1811" s="61"/>
      <c r="L1811" s="62">
        <v>2</v>
      </c>
      <c r="M1811" s="63">
        <v>1600</v>
      </c>
      <c r="N1811" s="64">
        <v>8</v>
      </c>
      <c r="O1811" s="62">
        <v>2</v>
      </c>
      <c r="P1811" s="65">
        <f t="shared" si="120"/>
        <v>0</v>
      </c>
      <c r="Q1811" s="103"/>
      <c r="R1811" s="103"/>
      <c r="S1811" s="103"/>
      <c r="T1811" s="103"/>
      <c r="U1811" s="103"/>
      <c r="V1811" s="103"/>
      <c r="W1811" s="103"/>
      <c r="X1811" s="103"/>
      <c r="Y1811" s="103"/>
      <c r="Z1811" s="103"/>
      <c r="AA1811" s="103"/>
      <c r="AB1811" s="103"/>
      <c r="AC1811" s="103"/>
      <c r="AD1811" s="103"/>
      <c r="AE1811" s="103"/>
      <c r="AF1811" s="103"/>
      <c r="AG1811" s="103"/>
      <c r="AH1811" s="103"/>
      <c r="AI1811" s="103"/>
      <c r="AJ1811" s="103"/>
      <c r="AK1811" s="103"/>
      <c r="AL1811" s="103"/>
      <c r="AM1811" s="103"/>
      <c r="AN1811" s="103"/>
      <c r="AO1811" s="103"/>
      <c r="AP1811" s="103"/>
      <c r="AQ1811" s="103"/>
      <c r="AR1811" s="103"/>
      <c r="AS1811" s="103"/>
      <c r="AT1811" s="103"/>
      <c r="AU1811" s="103"/>
      <c r="AV1811" s="103"/>
      <c r="AW1811" s="103"/>
      <c r="AX1811" s="103"/>
      <c r="AY1811" s="103"/>
      <c r="AZ1811" s="103"/>
      <c r="BA1811" s="103"/>
      <c r="BB1811" s="103"/>
      <c r="BC1811" s="103"/>
      <c r="BD1811" s="103"/>
      <c r="BE1811" s="105"/>
      <c r="BF1811" s="105"/>
      <c r="BG1811" s="68"/>
      <c r="BI1811" s="69">
        <v>0</v>
      </c>
      <c r="BJ1811" s="70">
        <v>0</v>
      </c>
      <c r="BK1811" s="71">
        <v>0</v>
      </c>
      <c r="BL1811" s="71">
        <v>0</v>
      </c>
      <c r="BM1811" s="71">
        <v>0</v>
      </c>
      <c r="BN1811" s="72">
        <v>0</v>
      </c>
      <c r="BO1811" s="151" t="e">
        <f t="shared" si="116"/>
        <v>#DIV/0!</v>
      </c>
      <c r="BP1811" s="151" t="e">
        <f t="shared" si="117"/>
        <v>#DIV/0!</v>
      </c>
      <c r="BQ1811" s="71">
        <v>0</v>
      </c>
      <c r="BR1811" s="71">
        <v>0</v>
      </c>
      <c r="BS1811" s="71">
        <v>0</v>
      </c>
      <c r="BT1811" s="72">
        <v>0</v>
      </c>
      <c r="BU1811" s="151" t="e">
        <f t="shared" si="118"/>
        <v>#DIV/0!</v>
      </c>
      <c r="BV1811" s="151" t="e">
        <f t="shared" si="119"/>
        <v>#DIV/0!</v>
      </c>
    </row>
    <row r="1812" ht="30" customHeight="1" spans="1:74">
      <c r="A1812" s="55">
        <v>0</v>
      </c>
      <c r="B1812" s="56">
        <v>0</v>
      </c>
      <c r="C1812" s="57">
        <v>0</v>
      </c>
      <c r="D1812" s="127"/>
      <c r="E1812" s="127"/>
      <c r="F1812" s="113" t="e">
        <f>VLOOKUP(E1812,[1]库存!$B$1:$C$65536,2,FALSE)</f>
        <v>#N/A</v>
      </c>
      <c r="G1812" s="113" t="e">
        <v>#N/A</v>
      </c>
      <c r="H1812" s="127"/>
      <c r="I1812" s="127"/>
      <c r="J1812" s="75"/>
      <c r="K1812" s="61"/>
      <c r="L1812" s="62">
        <v>0</v>
      </c>
      <c r="M1812" s="63">
        <v>0</v>
      </c>
      <c r="N1812" s="64">
        <v>0</v>
      </c>
      <c r="O1812" s="62">
        <v>0</v>
      </c>
      <c r="P1812" s="65">
        <f t="shared" si="120"/>
        <v>0</v>
      </c>
      <c r="Q1812" s="66"/>
      <c r="R1812" s="66"/>
      <c r="S1812" s="66"/>
      <c r="T1812" s="66"/>
      <c r="U1812" s="66"/>
      <c r="V1812" s="66"/>
      <c r="W1812" s="66"/>
      <c r="X1812" s="66"/>
      <c r="Y1812" s="66"/>
      <c r="Z1812" s="66"/>
      <c r="AA1812" s="66"/>
      <c r="AB1812" s="66"/>
      <c r="AC1812" s="66"/>
      <c r="AD1812" s="66"/>
      <c r="AE1812" s="66"/>
      <c r="AF1812" s="66"/>
      <c r="AG1812" s="66"/>
      <c r="AH1812" s="66"/>
      <c r="AI1812" s="66"/>
      <c r="AJ1812" s="66"/>
      <c r="AK1812" s="66"/>
      <c r="AL1812" s="66"/>
      <c r="AM1812" s="66"/>
      <c r="AN1812" s="66"/>
      <c r="AO1812" s="66"/>
      <c r="AP1812" s="66"/>
      <c r="AQ1812" s="66"/>
      <c r="AR1812" s="66"/>
      <c r="AS1812" s="66"/>
      <c r="AT1812" s="66"/>
      <c r="AU1812" s="66"/>
      <c r="AV1812" s="66"/>
      <c r="AW1812" s="66"/>
      <c r="AX1812" s="66"/>
      <c r="AY1812" s="66"/>
      <c r="AZ1812" s="66"/>
      <c r="BA1812" s="66"/>
      <c r="BB1812" s="66"/>
      <c r="BC1812" s="66"/>
      <c r="BD1812" s="66"/>
      <c r="BE1812" s="67"/>
      <c r="BF1812" s="67"/>
      <c r="BG1812" s="68"/>
      <c r="BI1812" s="69">
        <v>0</v>
      </c>
      <c r="BJ1812" s="70">
        <v>0</v>
      </c>
      <c r="BK1812" s="71">
        <v>0</v>
      </c>
      <c r="BL1812" s="71">
        <v>0</v>
      </c>
      <c r="BM1812" s="71">
        <v>0</v>
      </c>
      <c r="BN1812" s="72">
        <v>0</v>
      </c>
      <c r="BO1812" s="151" t="e">
        <f t="shared" si="116"/>
        <v>#DIV/0!</v>
      </c>
      <c r="BP1812" s="151" t="e">
        <f t="shared" si="117"/>
        <v>#DIV/0!</v>
      </c>
      <c r="BQ1812" s="71">
        <v>0</v>
      </c>
      <c r="BR1812" s="71">
        <v>0</v>
      </c>
      <c r="BS1812" s="71">
        <v>0</v>
      </c>
      <c r="BT1812" s="72">
        <v>0</v>
      </c>
      <c r="BU1812" s="151" t="e">
        <f t="shared" si="118"/>
        <v>#DIV/0!</v>
      </c>
      <c r="BV1812" s="151" t="e">
        <f t="shared" si="119"/>
        <v>#DIV/0!</v>
      </c>
    </row>
    <row r="1813" ht="30" customHeight="1" spans="1:74">
      <c r="A1813" s="55" t="s">
        <v>211</v>
      </c>
      <c r="B1813" s="56" t="s">
        <v>2247</v>
      </c>
      <c r="C1813" s="57" t="s">
        <v>2261</v>
      </c>
      <c r="D1813" s="113" t="s">
        <v>2882</v>
      </c>
      <c r="E1813" s="113" t="s">
        <v>2883</v>
      </c>
      <c r="F1813" s="113" t="s">
        <v>2889</v>
      </c>
      <c r="G1813" s="309" t="s">
        <v>2890</v>
      </c>
      <c r="H1813" s="113" t="s">
        <v>2891</v>
      </c>
      <c r="I1813" s="113"/>
      <c r="J1813" s="75"/>
      <c r="K1813" s="61"/>
      <c r="L1813" s="62">
        <v>2</v>
      </c>
      <c r="M1813" s="63">
        <v>1600</v>
      </c>
      <c r="N1813" s="64">
        <v>8</v>
      </c>
      <c r="O1813" s="62">
        <v>2</v>
      </c>
      <c r="P1813" s="65">
        <f t="shared" si="120"/>
        <v>0</v>
      </c>
      <c r="Q1813" s="103"/>
      <c r="R1813" s="66"/>
      <c r="S1813" s="103"/>
      <c r="T1813" s="66"/>
      <c r="U1813" s="103"/>
      <c r="V1813" s="66"/>
      <c r="W1813" s="103"/>
      <c r="X1813" s="66"/>
      <c r="Y1813" s="103"/>
      <c r="Z1813" s="66"/>
      <c r="AA1813" s="103"/>
      <c r="AB1813" s="66"/>
      <c r="AC1813" s="103"/>
      <c r="AD1813" s="66"/>
      <c r="AE1813" s="103"/>
      <c r="AF1813" s="66"/>
      <c r="AG1813" s="103"/>
      <c r="AH1813" s="66"/>
      <c r="AI1813" s="103"/>
      <c r="AJ1813" s="66"/>
      <c r="AK1813" s="103"/>
      <c r="AL1813" s="66"/>
      <c r="AM1813" s="103"/>
      <c r="AN1813" s="66"/>
      <c r="AO1813" s="103"/>
      <c r="AP1813" s="66"/>
      <c r="AQ1813" s="103"/>
      <c r="AR1813" s="66"/>
      <c r="AS1813" s="103"/>
      <c r="AT1813" s="66"/>
      <c r="AU1813" s="103"/>
      <c r="AV1813" s="66"/>
      <c r="AW1813" s="103"/>
      <c r="AX1813" s="66"/>
      <c r="AY1813" s="103"/>
      <c r="AZ1813" s="66"/>
      <c r="BA1813" s="103"/>
      <c r="BB1813" s="66"/>
      <c r="BC1813" s="103"/>
      <c r="BD1813" s="66"/>
      <c r="BE1813" s="67"/>
      <c r="BF1813" s="67"/>
      <c r="BG1813" s="68"/>
      <c r="BI1813" s="69">
        <v>0</v>
      </c>
      <c r="BJ1813" s="70">
        <v>0</v>
      </c>
      <c r="BK1813" s="71">
        <v>0</v>
      </c>
      <c r="BL1813" s="71">
        <v>0</v>
      </c>
      <c r="BM1813" s="71">
        <v>0</v>
      </c>
      <c r="BN1813" s="72">
        <v>0</v>
      </c>
      <c r="BO1813" s="151" t="e">
        <f t="shared" si="116"/>
        <v>#DIV/0!</v>
      </c>
      <c r="BP1813" s="151" t="e">
        <f t="shared" si="117"/>
        <v>#DIV/0!</v>
      </c>
      <c r="BQ1813" s="71">
        <v>0</v>
      </c>
      <c r="BR1813" s="71">
        <v>0</v>
      </c>
      <c r="BS1813" s="71">
        <v>0</v>
      </c>
      <c r="BT1813" s="72">
        <v>0</v>
      </c>
      <c r="BU1813" s="151" t="e">
        <f t="shared" si="118"/>
        <v>#DIV/0!</v>
      </c>
      <c r="BV1813" s="151" t="e">
        <f t="shared" si="119"/>
        <v>#DIV/0!</v>
      </c>
    </row>
    <row r="1814" ht="30" customHeight="1" spans="1:74">
      <c r="A1814" s="55">
        <v>0</v>
      </c>
      <c r="B1814" s="56">
        <v>0</v>
      </c>
      <c r="C1814" s="57">
        <v>0</v>
      </c>
      <c r="D1814" s="127"/>
      <c r="E1814" s="127"/>
      <c r="F1814" s="113" t="e">
        <f>VLOOKUP(E1814,[1]库存!$B$1:$C$65536,2,FALSE)</f>
        <v>#N/A</v>
      </c>
      <c r="G1814" s="113" t="e">
        <v>#N/A</v>
      </c>
      <c r="H1814" s="127"/>
      <c r="I1814" s="127"/>
      <c r="J1814" s="75"/>
      <c r="K1814" s="61"/>
      <c r="L1814" s="62">
        <v>0</v>
      </c>
      <c r="M1814" s="63">
        <v>0</v>
      </c>
      <c r="N1814" s="64">
        <v>0</v>
      </c>
      <c r="O1814" s="62">
        <v>0</v>
      </c>
      <c r="P1814" s="65">
        <f t="shared" si="120"/>
        <v>0</v>
      </c>
      <c r="Q1814" s="66"/>
      <c r="R1814" s="66"/>
      <c r="S1814" s="66"/>
      <c r="T1814" s="66"/>
      <c r="U1814" s="66"/>
      <c r="V1814" s="66"/>
      <c r="W1814" s="66"/>
      <c r="X1814" s="66"/>
      <c r="Y1814" s="66"/>
      <c r="Z1814" s="66"/>
      <c r="AA1814" s="66"/>
      <c r="AB1814" s="66"/>
      <c r="AC1814" s="66"/>
      <c r="AD1814" s="66"/>
      <c r="AE1814" s="66"/>
      <c r="AF1814" s="66"/>
      <c r="AG1814" s="66"/>
      <c r="AH1814" s="66"/>
      <c r="AI1814" s="66"/>
      <c r="AJ1814" s="66"/>
      <c r="AK1814" s="66"/>
      <c r="AL1814" s="66"/>
      <c r="AM1814" s="66"/>
      <c r="AN1814" s="66"/>
      <c r="AO1814" s="66"/>
      <c r="AP1814" s="66"/>
      <c r="AQ1814" s="66"/>
      <c r="AR1814" s="66"/>
      <c r="AS1814" s="66"/>
      <c r="AT1814" s="66"/>
      <c r="AU1814" s="66"/>
      <c r="AV1814" s="66"/>
      <c r="AW1814" s="66"/>
      <c r="AX1814" s="66"/>
      <c r="AY1814" s="66"/>
      <c r="AZ1814" s="66"/>
      <c r="BA1814" s="66"/>
      <c r="BB1814" s="66"/>
      <c r="BC1814" s="66"/>
      <c r="BD1814" s="66"/>
      <c r="BE1814" s="67"/>
      <c r="BF1814" s="67"/>
      <c r="BG1814" s="68"/>
      <c r="BI1814" s="69">
        <v>0</v>
      </c>
      <c r="BJ1814" s="70">
        <v>0</v>
      </c>
      <c r="BK1814" s="71">
        <v>0</v>
      </c>
      <c r="BL1814" s="71">
        <v>0</v>
      </c>
      <c r="BM1814" s="71">
        <v>0</v>
      </c>
      <c r="BN1814" s="72">
        <v>0</v>
      </c>
      <c r="BO1814" s="151" t="e">
        <f t="shared" si="116"/>
        <v>#DIV/0!</v>
      </c>
      <c r="BP1814" s="151" t="e">
        <f t="shared" si="117"/>
        <v>#DIV/0!</v>
      </c>
      <c r="BQ1814" s="71">
        <v>0</v>
      </c>
      <c r="BR1814" s="71">
        <v>0</v>
      </c>
      <c r="BS1814" s="71">
        <v>0</v>
      </c>
      <c r="BT1814" s="72">
        <v>0</v>
      </c>
      <c r="BU1814" s="151" t="e">
        <f t="shared" si="118"/>
        <v>#DIV/0!</v>
      </c>
      <c r="BV1814" s="151" t="e">
        <f t="shared" si="119"/>
        <v>#DIV/0!</v>
      </c>
    </row>
    <row r="1815" ht="30" customHeight="1" spans="1:74">
      <c r="A1815" s="55">
        <v>0</v>
      </c>
      <c r="B1815" s="56">
        <v>0</v>
      </c>
      <c r="C1815" s="57">
        <v>0</v>
      </c>
      <c r="D1815" s="210"/>
      <c r="E1815" s="88"/>
      <c r="F1815" s="59" t="e">
        <f>VLOOKUP(E1815,[1]库存!$B$1:$C$65536,2,FALSE)</f>
        <v>#N/A</v>
      </c>
      <c r="G1815" s="59" t="e">
        <v>#N/A</v>
      </c>
      <c r="H1815" s="238"/>
      <c r="I1815" s="239"/>
      <c r="J1815" s="90"/>
      <c r="K1815" s="61"/>
      <c r="L1815" s="62">
        <v>0</v>
      </c>
      <c r="M1815" s="63">
        <v>0</v>
      </c>
      <c r="N1815" s="64">
        <v>0</v>
      </c>
      <c r="O1815" s="62">
        <v>0</v>
      </c>
      <c r="P1815" s="65">
        <f t="shared" si="120"/>
        <v>0</v>
      </c>
      <c r="Q1815" s="66"/>
      <c r="R1815" s="66"/>
      <c r="S1815" s="66"/>
      <c r="T1815" s="66"/>
      <c r="U1815" s="66"/>
      <c r="V1815" s="66"/>
      <c r="W1815" s="66"/>
      <c r="X1815" s="66"/>
      <c r="Y1815" s="66"/>
      <c r="Z1815" s="66"/>
      <c r="AA1815" s="66"/>
      <c r="AB1815" s="66"/>
      <c r="AC1815" s="66"/>
      <c r="AD1815" s="66"/>
      <c r="AE1815" s="66"/>
      <c r="AF1815" s="66"/>
      <c r="AG1815" s="66"/>
      <c r="AH1815" s="66"/>
      <c r="AI1815" s="66"/>
      <c r="AJ1815" s="66"/>
      <c r="AK1815" s="66"/>
      <c r="AL1815" s="66"/>
      <c r="AM1815" s="66"/>
      <c r="AN1815" s="66"/>
      <c r="AO1815" s="66"/>
      <c r="AP1815" s="66"/>
      <c r="AQ1815" s="66"/>
      <c r="AR1815" s="66"/>
      <c r="AS1815" s="66"/>
      <c r="AT1815" s="66"/>
      <c r="AU1815" s="66"/>
      <c r="AV1815" s="66"/>
      <c r="AW1815" s="66"/>
      <c r="AX1815" s="66"/>
      <c r="AY1815" s="66"/>
      <c r="AZ1815" s="66"/>
      <c r="BA1815" s="66"/>
      <c r="BB1815" s="66"/>
      <c r="BC1815" s="66"/>
      <c r="BD1815" s="66"/>
      <c r="BE1815" s="67"/>
      <c r="BF1815" s="67"/>
      <c r="BG1815" s="68"/>
      <c r="BI1815" s="69">
        <v>0</v>
      </c>
      <c r="BJ1815" s="70">
        <v>0</v>
      </c>
      <c r="BK1815" s="71">
        <v>0</v>
      </c>
      <c r="BL1815" s="71">
        <v>0</v>
      </c>
      <c r="BM1815" s="71">
        <v>0</v>
      </c>
      <c r="BN1815" s="72">
        <v>0</v>
      </c>
      <c r="BO1815" s="151" t="e">
        <f t="shared" si="116"/>
        <v>#DIV/0!</v>
      </c>
      <c r="BP1815" s="151" t="e">
        <f t="shared" si="117"/>
        <v>#DIV/0!</v>
      </c>
      <c r="BQ1815" s="71">
        <v>0</v>
      </c>
      <c r="BR1815" s="71">
        <v>0</v>
      </c>
      <c r="BS1815" s="71">
        <v>0</v>
      </c>
      <c r="BT1815" s="72">
        <v>0</v>
      </c>
      <c r="BU1815" s="151" t="e">
        <f t="shared" si="118"/>
        <v>#DIV/0!</v>
      </c>
      <c r="BV1815" s="151" t="e">
        <f t="shared" si="119"/>
        <v>#DIV/0!</v>
      </c>
    </row>
    <row r="1816" ht="30" customHeight="1" spans="1:74">
      <c r="A1816" s="55" t="s">
        <v>410</v>
      </c>
      <c r="B1816" s="56" t="s">
        <v>2247</v>
      </c>
      <c r="C1816" s="57" t="s">
        <v>2248</v>
      </c>
      <c r="D1816" s="59" t="s">
        <v>2892</v>
      </c>
      <c r="E1816" s="59" t="s">
        <v>2893</v>
      </c>
      <c r="F1816" s="59" t="str">
        <f>VLOOKUP(E1816,[1]库存!$B$1:$C$65536,2,FALSE)</f>
        <v>Xpeng G01 DAB A状态</v>
      </c>
      <c r="G1816" s="59" t="s">
        <v>2894</v>
      </c>
      <c r="H1816" s="59" t="s">
        <v>2895</v>
      </c>
      <c r="I1816" s="59" t="s">
        <v>429</v>
      </c>
      <c r="J1816" s="63"/>
      <c r="K1816" s="61"/>
      <c r="L1816" s="62">
        <v>0</v>
      </c>
      <c r="M1816" s="63">
        <v>1500</v>
      </c>
      <c r="N1816" s="64">
        <v>9</v>
      </c>
      <c r="O1816" s="62">
        <v>2</v>
      </c>
      <c r="P1816" s="65">
        <f t="shared" si="120"/>
        <v>0</v>
      </c>
      <c r="Q1816" s="66"/>
      <c r="R1816" s="66"/>
      <c r="S1816" s="66"/>
      <c r="T1816" s="66"/>
      <c r="U1816" s="66"/>
      <c r="V1816" s="66"/>
      <c r="W1816" s="66"/>
      <c r="X1816" s="66"/>
      <c r="Y1816" s="66"/>
      <c r="Z1816" s="66"/>
      <c r="AA1816" s="66"/>
      <c r="AB1816" s="66"/>
      <c r="AC1816" s="66"/>
      <c r="AD1816" s="66"/>
      <c r="AE1816" s="66"/>
      <c r="AF1816" s="66"/>
      <c r="AG1816" s="66"/>
      <c r="AH1816" s="66"/>
      <c r="AI1816" s="66"/>
      <c r="AJ1816" s="66"/>
      <c r="AK1816" s="66"/>
      <c r="AL1816" s="66"/>
      <c r="AM1816" s="66"/>
      <c r="AN1816" s="66"/>
      <c r="AO1816" s="66"/>
      <c r="AP1816" s="66"/>
      <c r="AQ1816" s="66"/>
      <c r="AR1816" s="66"/>
      <c r="AS1816" s="66"/>
      <c r="AT1816" s="66"/>
      <c r="AU1816" s="66"/>
      <c r="AV1816" s="66"/>
      <c r="AW1816" s="66"/>
      <c r="AX1816" s="66"/>
      <c r="AY1816" s="66"/>
      <c r="AZ1816" s="66"/>
      <c r="BA1816" s="66"/>
      <c r="BB1816" s="66"/>
      <c r="BC1816" s="66"/>
      <c r="BD1816" s="66"/>
      <c r="BE1816" s="67"/>
      <c r="BF1816" s="67"/>
      <c r="BG1816" s="68"/>
      <c r="BI1816" s="69">
        <v>0</v>
      </c>
      <c r="BJ1816" s="70">
        <v>0</v>
      </c>
      <c r="BK1816" s="71">
        <v>0</v>
      </c>
      <c r="BL1816" s="71">
        <v>0</v>
      </c>
      <c r="BM1816" s="71">
        <v>0</v>
      </c>
      <c r="BN1816" s="72">
        <v>0</v>
      </c>
      <c r="BO1816" s="151" t="e">
        <f t="shared" si="116"/>
        <v>#DIV/0!</v>
      </c>
      <c r="BP1816" s="151" t="e">
        <f t="shared" si="117"/>
        <v>#DIV/0!</v>
      </c>
      <c r="BQ1816" s="71">
        <v>0</v>
      </c>
      <c r="BR1816" s="71">
        <v>0</v>
      </c>
      <c r="BS1816" s="71">
        <v>0</v>
      </c>
      <c r="BT1816" s="72">
        <v>0</v>
      </c>
      <c r="BU1816" s="151" t="e">
        <f t="shared" si="118"/>
        <v>#DIV/0!</v>
      </c>
      <c r="BV1816" s="151" t="e">
        <f t="shared" si="119"/>
        <v>#DIV/0!</v>
      </c>
    </row>
    <row r="1817" ht="30" customHeight="1" spans="1:74">
      <c r="A1817" s="55">
        <v>0</v>
      </c>
      <c r="B1817" s="56">
        <v>0</v>
      </c>
      <c r="C1817" s="57">
        <v>0</v>
      </c>
      <c r="D1817" s="74"/>
      <c r="E1817" s="74"/>
      <c r="F1817" s="59" t="e">
        <f>VLOOKUP(E1817,[1]库存!$B$1:$C$65536,2,FALSE)</f>
        <v>#N/A</v>
      </c>
      <c r="G1817" s="59" t="e">
        <v>#N/A</v>
      </c>
      <c r="H1817" s="74"/>
      <c r="I1817" s="74"/>
      <c r="J1817" s="87"/>
      <c r="K1817" s="61"/>
      <c r="L1817" s="62">
        <v>0</v>
      </c>
      <c r="M1817" s="63">
        <v>0</v>
      </c>
      <c r="N1817" s="64">
        <v>0</v>
      </c>
      <c r="O1817" s="62">
        <v>0</v>
      </c>
      <c r="P1817" s="65">
        <f t="shared" si="120"/>
        <v>0</v>
      </c>
      <c r="Q1817" s="66"/>
      <c r="R1817" s="66"/>
      <c r="S1817" s="66"/>
      <c r="T1817" s="66"/>
      <c r="U1817" s="66"/>
      <c r="V1817" s="66"/>
      <c r="W1817" s="66"/>
      <c r="X1817" s="66"/>
      <c r="Y1817" s="66"/>
      <c r="Z1817" s="66"/>
      <c r="AA1817" s="66"/>
      <c r="AB1817" s="66"/>
      <c r="AC1817" s="66"/>
      <c r="AD1817" s="66"/>
      <c r="AE1817" s="66"/>
      <c r="AF1817" s="66"/>
      <c r="AG1817" s="66"/>
      <c r="AH1817" s="66"/>
      <c r="AI1817" s="66"/>
      <c r="AJ1817" s="66"/>
      <c r="AK1817" s="66"/>
      <c r="AL1817" s="66"/>
      <c r="AM1817" s="66"/>
      <c r="AN1817" s="66"/>
      <c r="AO1817" s="66"/>
      <c r="AP1817" s="66"/>
      <c r="AQ1817" s="66"/>
      <c r="AR1817" s="66"/>
      <c r="AS1817" s="66"/>
      <c r="AT1817" s="66"/>
      <c r="AU1817" s="66"/>
      <c r="AV1817" s="66"/>
      <c r="AW1817" s="66"/>
      <c r="AX1817" s="66"/>
      <c r="AY1817" s="66"/>
      <c r="AZ1817" s="66"/>
      <c r="BA1817" s="66"/>
      <c r="BB1817" s="66"/>
      <c r="BC1817" s="66"/>
      <c r="BD1817" s="66"/>
      <c r="BE1817" s="67"/>
      <c r="BF1817" s="67"/>
      <c r="BG1817" s="68"/>
      <c r="BI1817" s="69">
        <v>0</v>
      </c>
      <c r="BJ1817" s="70">
        <v>0</v>
      </c>
      <c r="BK1817" s="71">
        <v>0</v>
      </c>
      <c r="BL1817" s="71">
        <v>0</v>
      </c>
      <c r="BM1817" s="71">
        <v>0</v>
      </c>
      <c r="BN1817" s="72">
        <v>0</v>
      </c>
      <c r="BO1817" s="151" t="e">
        <f t="shared" si="116"/>
        <v>#DIV/0!</v>
      </c>
      <c r="BP1817" s="151" t="e">
        <f t="shared" si="117"/>
        <v>#DIV/0!</v>
      </c>
      <c r="BQ1817" s="71">
        <v>0</v>
      </c>
      <c r="BR1817" s="71">
        <v>0</v>
      </c>
      <c r="BS1817" s="71">
        <v>0</v>
      </c>
      <c r="BT1817" s="72">
        <v>0</v>
      </c>
      <c r="BU1817" s="151" t="e">
        <f t="shared" si="118"/>
        <v>#DIV/0!</v>
      </c>
      <c r="BV1817" s="151" t="e">
        <f t="shared" si="119"/>
        <v>#DIV/0!</v>
      </c>
    </row>
    <row r="1818" ht="30" customHeight="1" spans="1:74">
      <c r="A1818" s="55" t="s">
        <v>410</v>
      </c>
      <c r="B1818" s="56" t="s">
        <v>2247</v>
      </c>
      <c r="C1818" s="57" t="s">
        <v>2248</v>
      </c>
      <c r="D1818" s="59" t="s">
        <v>2892</v>
      </c>
      <c r="E1818" s="59" t="s">
        <v>2896</v>
      </c>
      <c r="F1818" s="59" t="str">
        <f>VLOOKUP(E1818,[1]库存!$B$1:$C$65536,2,FALSE)</f>
        <v>G01 DAB</v>
      </c>
      <c r="G1818" s="59" t="s">
        <v>2897</v>
      </c>
      <c r="H1818" s="253" t="s">
        <v>2898</v>
      </c>
      <c r="I1818" s="59" t="s">
        <v>433</v>
      </c>
      <c r="J1818" s="254"/>
      <c r="K1818" s="61"/>
      <c r="L1818" s="62">
        <v>0</v>
      </c>
      <c r="M1818" s="63">
        <v>1500</v>
      </c>
      <c r="N1818" s="64">
        <v>9</v>
      </c>
      <c r="O1818" s="62">
        <v>2</v>
      </c>
      <c r="P1818" s="65">
        <f t="shared" si="120"/>
        <v>0</v>
      </c>
      <c r="Q1818" s="66">
        <v>0</v>
      </c>
      <c r="R1818" s="66"/>
      <c r="S1818" s="66"/>
      <c r="T1818" s="66"/>
      <c r="U1818" s="66"/>
      <c r="V1818" s="66"/>
      <c r="W1818" s="66"/>
      <c r="X1818" s="66"/>
      <c r="Y1818" s="66"/>
      <c r="Z1818" s="66"/>
      <c r="AA1818" s="66" t="s">
        <v>2899</v>
      </c>
      <c r="AB1818" s="66"/>
      <c r="AC1818" s="66" t="s">
        <v>2899</v>
      </c>
      <c r="AD1818" s="66"/>
      <c r="AE1818" s="66"/>
      <c r="AF1818" s="66"/>
      <c r="AG1818" s="66"/>
      <c r="AH1818" s="66"/>
      <c r="AI1818" s="66"/>
      <c r="AJ1818" s="66"/>
      <c r="AK1818" s="66"/>
      <c r="AL1818" s="66"/>
      <c r="AM1818" s="66"/>
      <c r="AN1818" s="66"/>
      <c r="AO1818" s="66"/>
      <c r="AP1818" s="66"/>
      <c r="AQ1818" s="66"/>
      <c r="AR1818" s="66"/>
      <c r="AS1818" s="66"/>
      <c r="AT1818" s="66"/>
      <c r="AU1818" s="66"/>
      <c r="AV1818" s="66"/>
      <c r="AW1818" s="66"/>
      <c r="AX1818" s="66"/>
      <c r="AY1818" s="66"/>
      <c r="AZ1818" s="66"/>
      <c r="BA1818" s="66"/>
      <c r="BB1818" s="66"/>
      <c r="BC1818" s="66"/>
      <c r="BD1818" s="66"/>
      <c r="BE1818" s="67"/>
      <c r="BF1818" s="67"/>
      <c r="BG1818" s="68"/>
      <c r="BI1818" s="69">
        <v>0</v>
      </c>
      <c r="BJ1818" s="70">
        <v>0</v>
      </c>
      <c r="BK1818" s="71">
        <v>0</v>
      </c>
      <c r="BL1818" s="71">
        <v>0</v>
      </c>
      <c r="BM1818" s="71">
        <v>0</v>
      </c>
      <c r="BN1818" s="72">
        <v>0</v>
      </c>
      <c r="BO1818" s="151" t="e">
        <f t="shared" si="116"/>
        <v>#DIV/0!</v>
      </c>
      <c r="BP1818" s="151" t="e">
        <f t="shared" si="117"/>
        <v>#DIV/0!</v>
      </c>
      <c r="BQ1818" s="71">
        <v>0</v>
      </c>
      <c r="BR1818" s="71">
        <v>0</v>
      </c>
      <c r="BS1818" s="71">
        <v>0</v>
      </c>
      <c r="BT1818" s="72">
        <v>0</v>
      </c>
      <c r="BU1818" s="151" t="e">
        <f t="shared" si="118"/>
        <v>#DIV/0!</v>
      </c>
      <c r="BV1818" s="151" t="e">
        <f t="shared" si="119"/>
        <v>#DIV/0!</v>
      </c>
    </row>
    <row r="1819" ht="30" customHeight="1" spans="1:74">
      <c r="A1819" s="55">
        <v>0</v>
      </c>
      <c r="B1819" s="56">
        <v>0</v>
      </c>
      <c r="C1819" s="57">
        <v>0</v>
      </c>
      <c r="D1819" s="74"/>
      <c r="E1819" s="74"/>
      <c r="F1819" s="59" t="e">
        <f>VLOOKUP(E1819,[1]库存!$B$1:$C$65536,2,FALSE)</f>
        <v>#N/A</v>
      </c>
      <c r="G1819" s="59" t="e">
        <v>#N/A</v>
      </c>
      <c r="H1819" s="255"/>
      <c r="I1819" s="74"/>
      <c r="J1819" s="256"/>
      <c r="K1819" s="61"/>
      <c r="L1819" s="62">
        <v>0</v>
      </c>
      <c r="M1819" s="63">
        <v>0</v>
      </c>
      <c r="N1819" s="64">
        <v>0</v>
      </c>
      <c r="O1819" s="62">
        <v>0</v>
      </c>
      <c r="P1819" s="65">
        <f t="shared" si="120"/>
        <v>0</v>
      </c>
      <c r="Q1819" s="66"/>
      <c r="R1819" s="66"/>
      <c r="S1819" s="66"/>
      <c r="T1819" s="66"/>
      <c r="U1819" s="66"/>
      <c r="V1819" s="66"/>
      <c r="W1819" s="66"/>
      <c r="X1819" s="66"/>
      <c r="Y1819" s="66"/>
      <c r="Z1819" s="66"/>
      <c r="AA1819" s="66"/>
      <c r="AB1819" s="66"/>
      <c r="AC1819" s="66"/>
      <c r="AD1819" s="66"/>
      <c r="AE1819" s="66"/>
      <c r="AF1819" s="66"/>
      <c r="AG1819" s="66"/>
      <c r="AH1819" s="66"/>
      <c r="AI1819" s="66"/>
      <c r="AJ1819" s="66"/>
      <c r="AK1819" s="66"/>
      <c r="AL1819" s="66"/>
      <c r="AM1819" s="66"/>
      <c r="AN1819" s="66"/>
      <c r="AO1819" s="66"/>
      <c r="AP1819" s="66"/>
      <c r="AQ1819" s="66"/>
      <c r="AR1819" s="66"/>
      <c r="AS1819" s="66"/>
      <c r="AT1819" s="66"/>
      <c r="AU1819" s="66"/>
      <c r="AV1819" s="66"/>
      <c r="AW1819" s="66"/>
      <c r="AX1819" s="66"/>
      <c r="AY1819" s="66"/>
      <c r="AZ1819" s="66"/>
      <c r="BA1819" s="66"/>
      <c r="BB1819" s="66"/>
      <c r="BC1819" s="66"/>
      <c r="BD1819" s="66"/>
      <c r="BE1819" s="67"/>
      <c r="BF1819" s="67"/>
      <c r="BG1819" s="68"/>
      <c r="BI1819" s="69">
        <v>0</v>
      </c>
      <c r="BJ1819" s="70">
        <v>0</v>
      </c>
      <c r="BK1819" s="71">
        <v>0</v>
      </c>
      <c r="BL1819" s="71">
        <v>0</v>
      </c>
      <c r="BM1819" s="71">
        <v>0</v>
      </c>
      <c r="BN1819" s="72">
        <v>0</v>
      </c>
      <c r="BO1819" s="151" t="e">
        <f t="shared" si="116"/>
        <v>#DIV/0!</v>
      </c>
      <c r="BP1819" s="151" t="e">
        <f t="shared" si="117"/>
        <v>#DIV/0!</v>
      </c>
      <c r="BQ1819" s="71">
        <v>0</v>
      </c>
      <c r="BR1819" s="71">
        <v>0</v>
      </c>
      <c r="BS1819" s="71">
        <v>0</v>
      </c>
      <c r="BT1819" s="72">
        <v>0</v>
      </c>
      <c r="BU1819" s="151" t="e">
        <f t="shared" si="118"/>
        <v>#DIV/0!</v>
      </c>
      <c r="BV1819" s="151" t="e">
        <f t="shared" si="119"/>
        <v>#DIV/0!</v>
      </c>
    </row>
    <row r="1820" ht="30" customHeight="1" spans="1:74">
      <c r="A1820" s="55" t="s">
        <v>246</v>
      </c>
      <c r="B1820" s="56" t="s">
        <v>2247</v>
      </c>
      <c r="C1820" s="57" t="s">
        <v>2248</v>
      </c>
      <c r="D1820" s="59" t="s">
        <v>2892</v>
      </c>
      <c r="E1820" s="59" t="s">
        <v>2900</v>
      </c>
      <c r="F1820" s="59" t="str">
        <f>VLOOKUP(E1820,[1]库存!$B$1:$C$65536,2,FALSE)</f>
        <v>GWM B07 DAB</v>
      </c>
      <c r="G1820" s="59" t="s">
        <v>2901</v>
      </c>
      <c r="H1820" s="59" t="s">
        <v>2902</v>
      </c>
      <c r="I1820" s="59" t="s">
        <v>2903</v>
      </c>
      <c r="J1820" s="97" t="s">
        <v>65</v>
      </c>
      <c r="K1820" s="61"/>
      <c r="L1820" s="62">
        <v>2</v>
      </c>
      <c r="M1820" s="63">
        <v>1050</v>
      </c>
      <c r="N1820" s="64">
        <v>10</v>
      </c>
      <c r="O1820" s="62">
        <v>2</v>
      </c>
      <c r="P1820" s="65">
        <f t="shared" si="120"/>
        <v>0</v>
      </c>
      <c r="Q1820" s="66"/>
      <c r="R1820" s="66"/>
      <c r="S1820" s="66"/>
      <c r="T1820" s="66"/>
      <c r="U1820" s="66"/>
      <c r="V1820" s="66"/>
      <c r="W1820" s="66"/>
      <c r="X1820" s="66"/>
      <c r="Y1820" s="66"/>
      <c r="Z1820" s="66"/>
      <c r="AA1820" s="66"/>
      <c r="AB1820" s="66"/>
      <c r="AC1820" s="66"/>
      <c r="AD1820" s="66"/>
      <c r="AE1820" s="66"/>
      <c r="AF1820" s="66"/>
      <c r="AG1820" s="66"/>
      <c r="AH1820" s="66"/>
      <c r="AI1820" s="66"/>
      <c r="AJ1820" s="66"/>
      <c r="AK1820" s="66"/>
      <c r="AL1820" s="66"/>
      <c r="AM1820" s="66"/>
      <c r="AN1820" s="66"/>
      <c r="AO1820" s="66"/>
      <c r="AP1820" s="66"/>
      <c r="AQ1820" s="66"/>
      <c r="AR1820" s="66"/>
      <c r="AS1820" s="66"/>
      <c r="AT1820" s="66"/>
      <c r="AU1820" s="66"/>
      <c r="AV1820" s="66"/>
      <c r="AW1820" s="66"/>
      <c r="AX1820" s="66"/>
      <c r="AY1820" s="66"/>
      <c r="AZ1820" s="66"/>
      <c r="BA1820" s="66"/>
      <c r="BB1820" s="66"/>
      <c r="BC1820" s="66"/>
      <c r="BD1820" s="66"/>
      <c r="BE1820" s="67"/>
      <c r="BF1820" s="67"/>
      <c r="BG1820" s="68"/>
      <c r="BI1820" s="69">
        <v>0</v>
      </c>
      <c r="BJ1820" s="70">
        <v>0</v>
      </c>
      <c r="BK1820" s="71">
        <v>0</v>
      </c>
      <c r="BL1820" s="71">
        <v>0</v>
      </c>
      <c r="BM1820" s="71">
        <v>0</v>
      </c>
      <c r="BN1820" s="72">
        <v>0</v>
      </c>
      <c r="BO1820" s="151" t="e">
        <f t="shared" si="116"/>
        <v>#DIV/0!</v>
      </c>
      <c r="BP1820" s="151" t="e">
        <f t="shared" si="117"/>
        <v>#DIV/0!</v>
      </c>
      <c r="BQ1820" s="71">
        <v>0</v>
      </c>
      <c r="BR1820" s="71">
        <v>0</v>
      </c>
      <c r="BS1820" s="71">
        <v>0</v>
      </c>
      <c r="BT1820" s="72">
        <v>0</v>
      </c>
      <c r="BU1820" s="151" t="e">
        <f t="shared" si="118"/>
        <v>#DIV/0!</v>
      </c>
      <c r="BV1820" s="151" t="e">
        <f t="shared" si="119"/>
        <v>#DIV/0!</v>
      </c>
    </row>
    <row r="1821" ht="30" customHeight="1" spans="1:74">
      <c r="A1821" s="55">
        <v>0</v>
      </c>
      <c r="B1821" s="56">
        <v>0</v>
      </c>
      <c r="C1821" s="57">
        <v>0</v>
      </c>
      <c r="D1821" s="74"/>
      <c r="E1821" s="74"/>
      <c r="F1821" s="59" t="e">
        <f>VLOOKUP(E1821,[1]库存!$B$1:$C$65536,2,FALSE)</f>
        <v>#N/A</v>
      </c>
      <c r="G1821" s="59" t="e">
        <v>#N/A</v>
      </c>
      <c r="H1821" s="74"/>
      <c r="I1821" s="74"/>
      <c r="J1821" s="98"/>
      <c r="K1821" s="61"/>
      <c r="L1821" s="62">
        <v>0</v>
      </c>
      <c r="M1821" s="63">
        <v>0</v>
      </c>
      <c r="N1821" s="64">
        <v>0</v>
      </c>
      <c r="O1821" s="62">
        <v>0</v>
      </c>
      <c r="P1821" s="65">
        <f t="shared" si="120"/>
        <v>0</v>
      </c>
      <c r="Q1821" s="66"/>
      <c r="R1821" s="66"/>
      <c r="S1821" s="66"/>
      <c r="T1821" s="66"/>
      <c r="U1821" s="66"/>
      <c r="V1821" s="66"/>
      <c r="W1821" s="66"/>
      <c r="X1821" s="66"/>
      <c r="Y1821" s="66"/>
      <c r="Z1821" s="66"/>
      <c r="AA1821" s="66"/>
      <c r="AB1821" s="66"/>
      <c r="AC1821" s="66"/>
      <c r="AD1821" s="66"/>
      <c r="AE1821" s="66"/>
      <c r="AF1821" s="66"/>
      <c r="AG1821" s="66"/>
      <c r="AH1821" s="66"/>
      <c r="AI1821" s="66"/>
      <c r="AJ1821" s="66"/>
      <c r="AK1821" s="66"/>
      <c r="AL1821" s="66"/>
      <c r="AM1821" s="66"/>
      <c r="AN1821" s="66"/>
      <c r="AO1821" s="66"/>
      <c r="AP1821" s="66"/>
      <c r="AQ1821" s="66"/>
      <c r="AR1821" s="66"/>
      <c r="AS1821" s="66"/>
      <c r="AT1821" s="66"/>
      <c r="AU1821" s="66"/>
      <c r="AV1821" s="66"/>
      <c r="AW1821" s="66"/>
      <c r="AX1821" s="66"/>
      <c r="AY1821" s="66"/>
      <c r="AZ1821" s="66"/>
      <c r="BA1821" s="66"/>
      <c r="BB1821" s="66"/>
      <c r="BC1821" s="66"/>
      <c r="BD1821" s="66"/>
      <c r="BE1821" s="67"/>
      <c r="BF1821" s="67"/>
      <c r="BG1821" s="68"/>
      <c r="BI1821" s="69">
        <v>0</v>
      </c>
      <c r="BJ1821" s="70">
        <v>0</v>
      </c>
      <c r="BK1821" s="71">
        <v>0</v>
      </c>
      <c r="BL1821" s="71">
        <v>0</v>
      </c>
      <c r="BM1821" s="71">
        <v>0</v>
      </c>
      <c r="BN1821" s="72">
        <v>0</v>
      </c>
      <c r="BO1821" s="151" t="e">
        <f t="shared" si="116"/>
        <v>#DIV/0!</v>
      </c>
      <c r="BP1821" s="151" t="e">
        <f t="shared" si="117"/>
        <v>#DIV/0!</v>
      </c>
      <c r="BQ1821" s="71">
        <v>0</v>
      </c>
      <c r="BR1821" s="71">
        <v>0</v>
      </c>
      <c r="BS1821" s="71">
        <v>0</v>
      </c>
      <c r="BT1821" s="72">
        <v>0</v>
      </c>
      <c r="BU1821" s="151" t="e">
        <f t="shared" si="118"/>
        <v>#DIV/0!</v>
      </c>
      <c r="BV1821" s="151" t="e">
        <f t="shared" si="119"/>
        <v>#DIV/0!</v>
      </c>
    </row>
    <row r="1822" ht="30" customHeight="1" spans="1:74">
      <c r="A1822" s="55">
        <v>0</v>
      </c>
      <c r="B1822" s="56" t="s">
        <v>2247</v>
      </c>
      <c r="C1822" s="57" t="s">
        <v>2248</v>
      </c>
      <c r="D1822" s="59" t="s">
        <v>2892</v>
      </c>
      <c r="E1822" s="59"/>
      <c r="F1822" s="59" t="e">
        <f>VLOOKUP(E1822,[1]库存!$B$1:$C$65536,2,FALSE)</f>
        <v>#N/A</v>
      </c>
      <c r="G1822" s="59" t="e">
        <v>#N/A</v>
      </c>
      <c r="H1822" s="59" t="s">
        <v>2904</v>
      </c>
      <c r="I1822" s="59" t="s">
        <v>2905</v>
      </c>
      <c r="J1822" s="63"/>
      <c r="K1822" s="61"/>
      <c r="L1822" s="62">
        <v>0</v>
      </c>
      <c r="M1822" s="63">
        <v>1500</v>
      </c>
      <c r="N1822" s="64">
        <v>0</v>
      </c>
      <c r="O1822" s="62">
        <v>0</v>
      </c>
      <c r="P1822" s="65">
        <f t="shared" si="120"/>
        <v>0</v>
      </c>
      <c r="Q1822" s="66"/>
      <c r="R1822" s="66"/>
      <c r="S1822" s="66"/>
      <c r="T1822" s="66"/>
      <c r="U1822" s="66"/>
      <c r="V1822" s="66"/>
      <c r="W1822" s="66"/>
      <c r="X1822" s="66"/>
      <c r="Y1822" s="66"/>
      <c r="Z1822" s="66"/>
      <c r="AA1822" s="66"/>
      <c r="AB1822" s="66"/>
      <c r="AC1822" s="66"/>
      <c r="AD1822" s="66"/>
      <c r="AE1822" s="66"/>
      <c r="AF1822" s="66"/>
      <c r="AG1822" s="66"/>
      <c r="AH1822" s="66"/>
      <c r="AI1822" s="66"/>
      <c r="AJ1822" s="66"/>
      <c r="AK1822" s="66"/>
      <c r="AL1822" s="66"/>
      <c r="AM1822" s="66"/>
      <c r="AN1822" s="66"/>
      <c r="AO1822" s="66"/>
      <c r="AP1822" s="66"/>
      <c r="AQ1822" s="66"/>
      <c r="AR1822" s="66"/>
      <c r="AS1822" s="66"/>
      <c r="AT1822" s="66"/>
      <c r="AU1822" s="66"/>
      <c r="AV1822" s="66"/>
      <c r="AW1822" s="66"/>
      <c r="AX1822" s="66"/>
      <c r="AY1822" s="66"/>
      <c r="AZ1822" s="66"/>
      <c r="BA1822" s="66"/>
      <c r="BB1822" s="66"/>
      <c r="BC1822" s="66"/>
      <c r="BD1822" s="66"/>
      <c r="BE1822" s="67"/>
      <c r="BF1822" s="67"/>
      <c r="BG1822" s="68"/>
      <c r="BI1822" s="69">
        <v>0</v>
      </c>
      <c r="BJ1822" s="70">
        <v>0</v>
      </c>
      <c r="BK1822" s="71">
        <v>0</v>
      </c>
      <c r="BL1822" s="71">
        <v>0</v>
      </c>
      <c r="BM1822" s="71">
        <v>0</v>
      </c>
      <c r="BN1822" s="72">
        <v>0</v>
      </c>
      <c r="BO1822" s="151" t="e">
        <f t="shared" si="116"/>
        <v>#DIV/0!</v>
      </c>
      <c r="BP1822" s="151" t="e">
        <f t="shared" si="117"/>
        <v>#DIV/0!</v>
      </c>
      <c r="BQ1822" s="71">
        <v>0</v>
      </c>
      <c r="BR1822" s="71">
        <v>0</v>
      </c>
      <c r="BS1822" s="71">
        <v>0</v>
      </c>
      <c r="BT1822" s="72">
        <v>0</v>
      </c>
      <c r="BU1822" s="151" t="e">
        <f t="shared" si="118"/>
        <v>#DIV/0!</v>
      </c>
      <c r="BV1822" s="151" t="e">
        <f t="shared" si="119"/>
        <v>#DIV/0!</v>
      </c>
    </row>
    <row r="1823" ht="30" customHeight="1" spans="1:74">
      <c r="A1823" s="55">
        <v>0</v>
      </c>
      <c r="B1823" s="56">
        <v>0</v>
      </c>
      <c r="C1823" s="57">
        <v>0</v>
      </c>
      <c r="D1823" s="74"/>
      <c r="E1823" s="74"/>
      <c r="F1823" s="59" t="e">
        <f>VLOOKUP(E1823,[1]库存!$B$1:$C$65536,2,FALSE)</f>
        <v>#N/A</v>
      </c>
      <c r="G1823" s="59" t="e">
        <v>#N/A</v>
      </c>
      <c r="H1823" s="74"/>
      <c r="I1823" s="74"/>
      <c r="J1823" s="87"/>
      <c r="K1823" s="61"/>
      <c r="L1823" s="62">
        <v>0</v>
      </c>
      <c r="M1823" s="63">
        <v>0</v>
      </c>
      <c r="N1823" s="64">
        <v>0</v>
      </c>
      <c r="O1823" s="62">
        <v>0</v>
      </c>
      <c r="P1823" s="65">
        <f t="shared" si="120"/>
        <v>0</v>
      </c>
      <c r="Q1823" s="66"/>
      <c r="R1823" s="66"/>
      <c r="S1823" s="66"/>
      <c r="T1823" s="66"/>
      <c r="U1823" s="66"/>
      <c r="V1823" s="66"/>
      <c r="W1823" s="66"/>
      <c r="X1823" s="66"/>
      <c r="Y1823" s="66"/>
      <c r="Z1823" s="66"/>
      <c r="AA1823" s="66"/>
      <c r="AB1823" s="66"/>
      <c r="AC1823" s="66"/>
      <c r="AD1823" s="66"/>
      <c r="AE1823" s="66"/>
      <c r="AF1823" s="66"/>
      <c r="AG1823" s="66"/>
      <c r="AH1823" s="66"/>
      <c r="AI1823" s="66"/>
      <c r="AJ1823" s="66"/>
      <c r="AK1823" s="66"/>
      <c r="AL1823" s="66"/>
      <c r="AM1823" s="66"/>
      <c r="AN1823" s="66"/>
      <c r="AO1823" s="66"/>
      <c r="AP1823" s="66"/>
      <c r="AQ1823" s="66"/>
      <c r="AR1823" s="66"/>
      <c r="AS1823" s="66"/>
      <c r="AT1823" s="66"/>
      <c r="AU1823" s="66"/>
      <c r="AV1823" s="66"/>
      <c r="AW1823" s="66"/>
      <c r="AX1823" s="66"/>
      <c r="AY1823" s="66"/>
      <c r="AZ1823" s="66"/>
      <c r="BA1823" s="66"/>
      <c r="BB1823" s="66"/>
      <c r="BC1823" s="66"/>
      <c r="BD1823" s="66"/>
      <c r="BE1823" s="67"/>
      <c r="BF1823" s="67"/>
      <c r="BG1823" s="68"/>
      <c r="BI1823" s="69">
        <v>0</v>
      </c>
      <c r="BJ1823" s="70">
        <v>0</v>
      </c>
      <c r="BK1823" s="71">
        <v>0</v>
      </c>
      <c r="BL1823" s="71">
        <v>0</v>
      </c>
      <c r="BM1823" s="71">
        <v>0</v>
      </c>
      <c r="BN1823" s="72">
        <v>0</v>
      </c>
      <c r="BO1823" s="151" t="e">
        <f t="shared" si="116"/>
        <v>#DIV/0!</v>
      </c>
      <c r="BP1823" s="151" t="e">
        <f t="shared" si="117"/>
        <v>#DIV/0!</v>
      </c>
      <c r="BQ1823" s="71">
        <v>0</v>
      </c>
      <c r="BR1823" s="71">
        <v>0</v>
      </c>
      <c r="BS1823" s="71">
        <v>0</v>
      </c>
      <c r="BT1823" s="72">
        <v>0</v>
      </c>
      <c r="BU1823" s="151" t="e">
        <f t="shared" si="118"/>
        <v>#DIV/0!</v>
      </c>
      <c r="BV1823" s="151" t="e">
        <f t="shared" si="119"/>
        <v>#DIV/0!</v>
      </c>
    </row>
    <row r="1824" ht="30" customHeight="1" spans="1:74">
      <c r="A1824" s="55">
        <v>0</v>
      </c>
      <c r="B1824" s="56" t="s">
        <v>2247</v>
      </c>
      <c r="C1824" s="57" t="s">
        <v>2248</v>
      </c>
      <c r="D1824" s="59" t="s">
        <v>2892</v>
      </c>
      <c r="E1824" s="59"/>
      <c r="F1824" s="59" t="e">
        <f>VLOOKUP(E1824,[1]库存!$B$1:$C$65536,2,FALSE)</f>
        <v>#N/A</v>
      </c>
      <c r="G1824" s="59" t="e">
        <v>#N/A</v>
      </c>
      <c r="H1824" s="59" t="s">
        <v>2906</v>
      </c>
      <c r="I1824" s="59" t="s">
        <v>2907</v>
      </c>
      <c r="J1824" s="63"/>
      <c r="K1824" s="61"/>
      <c r="L1824" s="62">
        <v>0</v>
      </c>
      <c r="M1824" s="63">
        <v>1500</v>
      </c>
      <c r="N1824" s="64">
        <v>0</v>
      </c>
      <c r="O1824" s="62">
        <v>0</v>
      </c>
      <c r="P1824" s="65">
        <f t="shared" si="120"/>
        <v>0</v>
      </c>
      <c r="Q1824" s="66"/>
      <c r="R1824" s="66"/>
      <c r="S1824" s="66"/>
      <c r="T1824" s="66"/>
      <c r="U1824" s="66"/>
      <c r="V1824" s="66"/>
      <c r="W1824" s="66"/>
      <c r="X1824" s="66"/>
      <c r="Y1824" s="66"/>
      <c r="Z1824" s="66"/>
      <c r="AA1824" s="66"/>
      <c r="AB1824" s="66"/>
      <c r="AC1824" s="66"/>
      <c r="AD1824" s="66"/>
      <c r="AE1824" s="66"/>
      <c r="AF1824" s="66"/>
      <c r="AG1824" s="66"/>
      <c r="AH1824" s="66"/>
      <c r="AI1824" s="66"/>
      <c r="AJ1824" s="66"/>
      <c r="AK1824" s="66"/>
      <c r="AL1824" s="66"/>
      <c r="AM1824" s="66"/>
      <c r="AN1824" s="66"/>
      <c r="AO1824" s="66"/>
      <c r="AP1824" s="66"/>
      <c r="AQ1824" s="66"/>
      <c r="AR1824" s="66"/>
      <c r="AS1824" s="66"/>
      <c r="AT1824" s="66"/>
      <c r="AU1824" s="66"/>
      <c r="AV1824" s="66"/>
      <c r="AW1824" s="66"/>
      <c r="AX1824" s="66"/>
      <c r="AY1824" s="66"/>
      <c r="AZ1824" s="66"/>
      <c r="BA1824" s="66"/>
      <c r="BB1824" s="66"/>
      <c r="BC1824" s="66"/>
      <c r="BD1824" s="66"/>
      <c r="BE1824" s="67"/>
      <c r="BF1824" s="67"/>
      <c r="BG1824" s="68"/>
      <c r="BI1824" s="69">
        <v>0</v>
      </c>
      <c r="BJ1824" s="70">
        <v>0</v>
      </c>
      <c r="BK1824" s="71">
        <v>0</v>
      </c>
      <c r="BL1824" s="71">
        <v>0</v>
      </c>
      <c r="BM1824" s="71">
        <v>0</v>
      </c>
      <c r="BN1824" s="72">
        <v>0</v>
      </c>
      <c r="BO1824" s="151" t="e">
        <f t="shared" si="116"/>
        <v>#DIV/0!</v>
      </c>
      <c r="BP1824" s="151" t="e">
        <f t="shared" si="117"/>
        <v>#DIV/0!</v>
      </c>
      <c r="BQ1824" s="71">
        <v>0</v>
      </c>
      <c r="BR1824" s="71">
        <v>0</v>
      </c>
      <c r="BS1824" s="71">
        <v>0</v>
      </c>
      <c r="BT1824" s="72">
        <v>0</v>
      </c>
      <c r="BU1824" s="151" t="e">
        <f t="shared" si="118"/>
        <v>#DIV/0!</v>
      </c>
      <c r="BV1824" s="151" t="e">
        <f t="shared" si="119"/>
        <v>#DIV/0!</v>
      </c>
    </row>
    <row r="1825" ht="30" customHeight="1" spans="1:74">
      <c r="A1825" s="55">
        <v>0</v>
      </c>
      <c r="B1825" s="56">
        <v>0</v>
      </c>
      <c r="C1825" s="57">
        <v>0</v>
      </c>
      <c r="D1825" s="74"/>
      <c r="E1825" s="74"/>
      <c r="F1825" s="59" t="e">
        <f>VLOOKUP(E1825,[1]库存!$B$1:$C$65536,2,FALSE)</f>
        <v>#N/A</v>
      </c>
      <c r="G1825" s="59" t="e">
        <v>#N/A</v>
      </c>
      <c r="H1825" s="74"/>
      <c r="I1825" s="74"/>
      <c r="J1825" s="87"/>
      <c r="K1825" s="61"/>
      <c r="L1825" s="62">
        <v>0</v>
      </c>
      <c r="M1825" s="63">
        <v>0</v>
      </c>
      <c r="N1825" s="64">
        <v>0</v>
      </c>
      <c r="O1825" s="62">
        <v>0</v>
      </c>
      <c r="P1825" s="65">
        <f t="shared" si="120"/>
        <v>0</v>
      </c>
      <c r="Q1825" s="66"/>
      <c r="R1825" s="66"/>
      <c r="S1825" s="66"/>
      <c r="T1825" s="66"/>
      <c r="U1825" s="66"/>
      <c r="V1825" s="66"/>
      <c r="W1825" s="66"/>
      <c r="X1825" s="66"/>
      <c r="Y1825" s="66"/>
      <c r="Z1825" s="66"/>
      <c r="AA1825" s="66"/>
      <c r="AB1825" s="66"/>
      <c r="AC1825" s="66"/>
      <c r="AD1825" s="66"/>
      <c r="AE1825" s="66"/>
      <c r="AF1825" s="66"/>
      <c r="AG1825" s="66"/>
      <c r="AH1825" s="66"/>
      <c r="AI1825" s="66"/>
      <c r="AJ1825" s="66"/>
      <c r="AK1825" s="66"/>
      <c r="AL1825" s="66"/>
      <c r="AM1825" s="66"/>
      <c r="AN1825" s="66"/>
      <c r="AO1825" s="66"/>
      <c r="AP1825" s="66"/>
      <c r="AQ1825" s="66"/>
      <c r="AR1825" s="66"/>
      <c r="AS1825" s="66"/>
      <c r="AT1825" s="66"/>
      <c r="AU1825" s="66"/>
      <c r="AV1825" s="66"/>
      <c r="AW1825" s="66"/>
      <c r="AX1825" s="66"/>
      <c r="AY1825" s="66"/>
      <c r="AZ1825" s="66"/>
      <c r="BA1825" s="66"/>
      <c r="BB1825" s="66"/>
      <c r="BC1825" s="66"/>
      <c r="BD1825" s="66"/>
      <c r="BE1825" s="67"/>
      <c r="BF1825" s="67"/>
      <c r="BG1825" s="68"/>
      <c r="BI1825" s="69">
        <v>0</v>
      </c>
      <c r="BJ1825" s="70">
        <v>0</v>
      </c>
      <c r="BK1825" s="71">
        <v>0</v>
      </c>
      <c r="BL1825" s="71">
        <v>0</v>
      </c>
      <c r="BM1825" s="71">
        <v>0</v>
      </c>
      <c r="BN1825" s="72">
        <v>0</v>
      </c>
      <c r="BO1825" s="151" t="e">
        <f t="shared" si="116"/>
        <v>#DIV/0!</v>
      </c>
      <c r="BP1825" s="151" t="e">
        <f t="shared" si="117"/>
        <v>#DIV/0!</v>
      </c>
      <c r="BQ1825" s="71">
        <v>0</v>
      </c>
      <c r="BR1825" s="71">
        <v>0</v>
      </c>
      <c r="BS1825" s="71">
        <v>0</v>
      </c>
      <c r="BT1825" s="72">
        <v>0</v>
      </c>
      <c r="BU1825" s="151" t="e">
        <f t="shared" si="118"/>
        <v>#DIV/0!</v>
      </c>
      <c r="BV1825" s="151" t="e">
        <f t="shared" si="119"/>
        <v>#DIV/0!</v>
      </c>
    </row>
    <row r="1826" ht="30" customHeight="1" spans="1:74">
      <c r="A1826" s="55">
        <v>0</v>
      </c>
      <c r="B1826" s="56">
        <v>0</v>
      </c>
      <c r="C1826" s="57">
        <v>0</v>
      </c>
      <c r="D1826" s="210"/>
      <c r="E1826" s="88"/>
      <c r="F1826" s="59" t="e">
        <f>VLOOKUP(E1826,[1]库存!$B$1:$C$65536,2,FALSE)</f>
        <v>#N/A</v>
      </c>
      <c r="G1826" s="59" t="e">
        <v>#N/A</v>
      </c>
      <c r="H1826" s="238"/>
      <c r="I1826" s="239"/>
      <c r="J1826" s="90"/>
      <c r="K1826" s="61"/>
      <c r="L1826" s="62">
        <v>0</v>
      </c>
      <c r="M1826" s="63">
        <v>0</v>
      </c>
      <c r="N1826" s="64">
        <v>0</v>
      </c>
      <c r="O1826" s="62">
        <v>0</v>
      </c>
      <c r="P1826" s="65">
        <f t="shared" si="120"/>
        <v>0</v>
      </c>
      <c r="Q1826" s="66"/>
      <c r="R1826" s="66"/>
      <c r="S1826" s="66"/>
      <c r="T1826" s="66"/>
      <c r="U1826" s="66"/>
      <c r="V1826" s="66"/>
      <c r="W1826" s="66"/>
      <c r="X1826" s="66"/>
      <c r="Y1826" s="66"/>
      <c r="Z1826" s="66"/>
      <c r="AA1826" s="66"/>
      <c r="AB1826" s="66"/>
      <c r="AC1826" s="66"/>
      <c r="AD1826" s="66"/>
      <c r="AE1826" s="66"/>
      <c r="AF1826" s="66"/>
      <c r="AG1826" s="66"/>
      <c r="AH1826" s="66"/>
      <c r="AI1826" s="66"/>
      <c r="AJ1826" s="66"/>
      <c r="AK1826" s="66"/>
      <c r="AL1826" s="66"/>
      <c r="AM1826" s="66"/>
      <c r="AN1826" s="66"/>
      <c r="AO1826" s="66"/>
      <c r="AP1826" s="66"/>
      <c r="AQ1826" s="66"/>
      <c r="AR1826" s="66"/>
      <c r="AS1826" s="66"/>
      <c r="AT1826" s="66"/>
      <c r="AU1826" s="66"/>
      <c r="AV1826" s="66"/>
      <c r="AW1826" s="66"/>
      <c r="AX1826" s="66"/>
      <c r="AY1826" s="66"/>
      <c r="AZ1826" s="66"/>
      <c r="BA1826" s="66"/>
      <c r="BB1826" s="66"/>
      <c r="BC1826" s="66"/>
      <c r="BD1826" s="66"/>
      <c r="BE1826" s="67"/>
      <c r="BF1826" s="67"/>
      <c r="BG1826" s="68"/>
      <c r="BI1826" s="69">
        <v>0</v>
      </c>
      <c r="BJ1826" s="70">
        <v>0</v>
      </c>
      <c r="BK1826" s="71">
        <v>0</v>
      </c>
      <c r="BL1826" s="71">
        <v>0</v>
      </c>
      <c r="BM1826" s="71">
        <v>0</v>
      </c>
      <c r="BN1826" s="72">
        <v>0</v>
      </c>
      <c r="BO1826" s="151" t="e">
        <f t="shared" si="116"/>
        <v>#DIV/0!</v>
      </c>
      <c r="BP1826" s="151" t="e">
        <f t="shared" si="117"/>
        <v>#DIV/0!</v>
      </c>
      <c r="BQ1826" s="71">
        <v>0</v>
      </c>
      <c r="BR1826" s="71">
        <v>0</v>
      </c>
      <c r="BS1826" s="71">
        <v>0</v>
      </c>
      <c r="BT1826" s="72">
        <v>0</v>
      </c>
      <c r="BU1826" s="151" t="e">
        <f t="shared" si="118"/>
        <v>#DIV/0!</v>
      </c>
      <c r="BV1826" s="151" t="e">
        <f t="shared" si="119"/>
        <v>#DIV/0!</v>
      </c>
    </row>
    <row r="1827" ht="30" customHeight="1" spans="1:74">
      <c r="A1827" s="55" t="s">
        <v>165</v>
      </c>
      <c r="B1827" s="56" t="s">
        <v>2247</v>
      </c>
      <c r="C1827" s="57" t="s">
        <v>2248</v>
      </c>
      <c r="D1827" s="91" t="s">
        <v>2908</v>
      </c>
      <c r="E1827" s="91" t="s">
        <v>2909</v>
      </c>
      <c r="F1827" s="91" t="str">
        <f>VLOOKUP(E1827,[1]库存!$B$1:$C$65536,2,FALSE)</f>
        <v>VOLVO V216 SAB CN&amp;EU LH B状态</v>
      </c>
      <c r="G1827" s="91" t="s">
        <v>2910</v>
      </c>
      <c r="H1827" s="91" t="s">
        <v>2911</v>
      </c>
      <c r="I1827" s="91" t="s">
        <v>242</v>
      </c>
      <c r="J1827" s="63"/>
      <c r="K1827" s="61"/>
      <c r="L1827" s="62">
        <v>2</v>
      </c>
      <c r="M1827" s="63">
        <v>1050</v>
      </c>
      <c r="N1827" s="64">
        <v>10</v>
      </c>
      <c r="O1827" s="62">
        <v>2</v>
      </c>
      <c r="P1827" s="65">
        <f t="shared" si="120"/>
        <v>0</v>
      </c>
      <c r="Q1827" s="66"/>
      <c r="R1827" s="66"/>
      <c r="S1827" s="66"/>
      <c r="T1827" s="66"/>
      <c r="U1827" s="66"/>
      <c r="V1827" s="66"/>
      <c r="W1827" s="66"/>
      <c r="X1827" s="66"/>
      <c r="Y1827" s="66"/>
      <c r="Z1827" s="66"/>
      <c r="AA1827" s="66"/>
      <c r="AB1827" s="66"/>
      <c r="AC1827" s="66"/>
      <c r="AD1827" s="66"/>
      <c r="AE1827" s="66"/>
      <c r="AF1827" s="66"/>
      <c r="AG1827" s="66"/>
      <c r="AH1827" s="66"/>
      <c r="AI1827" s="66"/>
      <c r="AJ1827" s="66"/>
      <c r="AK1827" s="66"/>
      <c r="AL1827" s="66"/>
      <c r="AM1827" s="66"/>
      <c r="AN1827" s="66"/>
      <c r="AO1827" s="66"/>
      <c r="AP1827" s="66"/>
      <c r="AQ1827" s="66"/>
      <c r="AR1827" s="66"/>
      <c r="AS1827" s="66"/>
      <c r="AT1827" s="66"/>
      <c r="AU1827" s="66"/>
      <c r="AV1827" s="66"/>
      <c r="AW1827" s="66"/>
      <c r="AX1827" s="66"/>
      <c r="AY1827" s="66"/>
      <c r="AZ1827" s="66"/>
      <c r="BA1827" s="66"/>
      <c r="BB1827" s="66"/>
      <c r="BC1827" s="66"/>
      <c r="BD1827" s="66"/>
      <c r="BE1827" s="67"/>
      <c r="BF1827" s="67"/>
      <c r="BG1827" s="68"/>
      <c r="BI1827" s="69">
        <v>0</v>
      </c>
      <c r="BJ1827" s="70">
        <v>0</v>
      </c>
      <c r="BK1827" s="71">
        <v>0</v>
      </c>
      <c r="BL1827" s="71">
        <v>0</v>
      </c>
      <c r="BM1827" s="71">
        <v>0</v>
      </c>
      <c r="BN1827" s="72">
        <v>0</v>
      </c>
      <c r="BO1827" s="151" t="e">
        <f t="shared" si="116"/>
        <v>#DIV/0!</v>
      </c>
      <c r="BP1827" s="151" t="e">
        <f t="shared" si="117"/>
        <v>#DIV/0!</v>
      </c>
      <c r="BQ1827" s="71">
        <v>0</v>
      </c>
      <c r="BR1827" s="71">
        <v>0</v>
      </c>
      <c r="BS1827" s="71">
        <v>0</v>
      </c>
      <c r="BT1827" s="72">
        <v>0</v>
      </c>
      <c r="BU1827" s="151" t="e">
        <f t="shared" si="118"/>
        <v>#DIV/0!</v>
      </c>
      <c r="BV1827" s="151" t="e">
        <f t="shared" si="119"/>
        <v>#DIV/0!</v>
      </c>
    </row>
    <row r="1828" ht="30" customHeight="1" spans="1:74">
      <c r="A1828" s="55">
        <v>0</v>
      </c>
      <c r="B1828" s="56">
        <v>0</v>
      </c>
      <c r="C1828" s="57">
        <v>0</v>
      </c>
      <c r="D1828" s="92"/>
      <c r="E1828" s="92"/>
      <c r="F1828" s="91" t="e">
        <f>VLOOKUP(E1828,[1]库存!$B$1:$C$65536,2,FALSE)</f>
        <v>#N/A</v>
      </c>
      <c r="G1828" s="91" t="e">
        <v>#N/A</v>
      </c>
      <c r="H1828" s="92"/>
      <c r="I1828" s="92"/>
      <c r="J1828" s="87"/>
      <c r="K1828" s="61"/>
      <c r="L1828" s="62">
        <v>0</v>
      </c>
      <c r="M1828" s="63">
        <v>0</v>
      </c>
      <c r="N1828" s="64">
        <v>0</v>
      </c>
      <c r="O1828" s="62">
        <v>0</v>
      </c>
      <c r="P1828" s="65">
        <f t="shared" si="120"/>
        <v>0</v>
      </c>
      <c r="Q1828" s="66"/>
      <c r="R1828" s="66"/>
      <c r="S1828" s="66"/>
      <c r="T1828" s="66"/>
      <c r="U1828" s="66"/>
      <c r="V1828" s="66"/>
      <c r="W1828" s="66"/>
      <c r="X1828" s="66"/>
      <c r="Y1828" s="66"/>
      <c r="Z1828" s="66"/>
      <c r="AA1828" s="66"/>
      <c r="AB1828" s="66"/>
      <c r="AC1828" s="66"/>
      <c r="AD1828" s="66"/>
      <c r="AE1828" s="66"/>
      <c r="AF1828" s="66"/>
      <c r="AG1828" s="66"/>
      <c r="AH1828" s="66"/>
      <c r="AI1828" s="66"/>
      <c r="AJ1828" s="66"/>
      <c r="AK1828" s="66"/>
      <c r="AL1828" s="66"/>
      <c r="AM1828" s="66"/>
      <c r="AN1828" s="66"/>
      <c r="AO1828" s="66"/>
      <c r="AP1828" s="66"/>
      <c r="AQ1828" s="66"/>
      <c r="AR1828" s="66"/>
      <c r="AS1828" s="66"/>
      <c r="AT1828" s="66"/>
      <c r="AU1828" s="66"/>
      <c r="AV1828" s="66"/>
      <c r="AW1828" s="66"/>
      <c r="AX1828" s="66"/>
      <c r="AY1828" s="66"/>
      <c r="AZ1828" s="66"/>
      <c r="BA1828" s="66"/>
      <c r="BB1828" s="66"/>
      <c r="BC1828" s="66"/>
      <c r="BD1828" s="66"/>
      <c r="BE1828" s="67"/>
      <c r="BF1828" s="67"/>
      <c r="BG1828" s="68"/>
      <c r="BI1828" s="69">
        <v>0</v>
      </c>
      <c r="BJ1828" s="70">
        <v>0</v>
      </c>
      <c r="BK1828" s="71">
        <v>0</v>
      </c>
      <c r="BL1828" s="71">
        <v>0</v>
      </c>
      <c r="BM1828" s="71">
        <v>0</v>
      </c>
      <c r="BN1828" s="72">
        <v>0</v>
      </c>
      <c r="BO1828" s="151" t="e">
        <f t="shared" si="116"/>
        <v>#DIV/0!</v>
      </c>
      <c r="BP1828" s="151" t="e">
        <f t="shared" si="117"/>
        <v>#DIV/0!</v>
      </c>
      <c r="BQ1828" s="71">
        <v>0</v>
      </c>
      <c r="BR1828" s="71">
        <v>0</v>
      </c>
      <c r="BS1828" s="71">
        <v>0</v>
      </c>
      <c r="BT1828" s="72">
        <v>0</v>
      </c>
      <c r="BU1828" s="151" t="e">
        <f t="shared" si="118"/>
        <v>#DIV/0!</v>
      </c>
      <c r="BV1828" s="151" t="e">
        <f t="shared" si="119"/>
        <v>#DIV/0!</v>
      </c>
    </row>
    <row r="1829" ht="30" customHeight="1" spans="1:74">
      <c r="A1829" s="55" t="s">
        <v>165</v>
      </c>
      <c r="B1829" s="56" t="s">
        <v>2247</v>
      </c>
      <c r="C1829" s="57" t="s">
        <v>2248</v>
      </c>
      <c r="D1829" s="91" t="s">
        <v>2908</v>
      </c>
      <c r="E1829" s="91" t="s">
        <v>2912</v>
      </c>
      <c r="F1829" s="91" t="str">
        <f>VLOOKUP(E1829,[1]库存!$B$1:$C$65536,2,FALSE)</f>
        <v>VOLVO V216 SAB CN&amp;EU RH B状态</v>
      </c>
      <c r="G1829" s="91" t="s">
        <v>2913</v>
      </c>
      <c r="H1829" s="91" t="s">
        <v>2914</v>
      </c>
      <c r="I1829" s="91" t="s">
        <v>242</v>
      </c>
      <c r="J1829" s="63"/>
      <c r="K1829" s="61"/>
      <c r="L1829" s="62">
        <v>2</v>
      </c>
      <c r="M1829" s="63">
        <v>1050</v>
      </c>
      <c r="N1829" s="64">
        <v>10</v>
      </c>
      <c r="O1829" s="62">
        <v>2</v>
      </c>
      <c r="P1829" s="65">
        <f t="shared" si="120"/>
        <v>0</v>
      </c>
      <c r="Q1829" s="66"/>
      <c r="R1829" s="66"/>
      <c r="S1829" s="66"/>
      <c r="T1829" s="66"/>
      <c r="U1829" s="66"/>
      <c r="V1829" s="66"/>
      <c r="W1829" s="66"/>
      <c r="X1829" s="66"/>
      <c r="Y1829" s="66"/>
      <c r="Z1829" s="66"/>
      <c r="AA1829" s="66"/>
      <c r="AB1829" s="66"/>
      <c r="AC1829" s="66"/>
      <c r="AD1829" s="66"/>
      <c r="AE1829" s="66"/>
      <c r="AF1829" s="66"/>
      <c r="AG1829" s="66"/>
      <c r="AH1829" s="66"/>
      <c r="AI1829" s="66"/>
      <c r="AJ1829" s="66"/>
      <c r="AK1829" s="66"/>
      <c r="AL1829" s="66"/>
      <c r="AM1829" s="66"/>
      <c r="AN1829" s="66"/>
      <c r="AO1829" s="66"/>
      <c r="AP1829" s="66"/>
      <c r="AQ1829" s="66"/>
      <c r="AR1829" s="66"/>
      <c r="AS1829" s="66"/>
      <c r="AT1829" s="66"/>
      <c r="AU1829" s="66"/>
      <c r="AV1829" s="66"/>
      <c r="AW1829" s="66"/>
      <c r="AX1829" s="66"/>
      <c r="AY1829" s="66"/>
      <c r="AZ1829" s="66"/>
      <c r="BA1829" s="66"/>
      <c r="BB1829" s="66"/>
      <c r="BC1829" s="66"/>
      <c r="BD1829" s="66"/>
      <c r="BE1829" s="67"/>
      <c r="BF1829" s="67"/>
      <c r="BG1829" s="68"/>
      <c r="BI1829" s="69">
        <v>0</v>
      </c>
      <c r="BJ1829" s="70">
        <v>0</v>
      </c>
      <c r="BK1829" s="71">
        <v>0</v>
      </c>
      <c r="BL1829" s="71">
        <v>0</v>
      </c>
      <c r="BM1829" s="71">
        <v>0</v>
      </c>
      <c r="BN1829" s="72">
        <v>0</v>
      </c>
      <c r="BO1829" s="151" t="e">
        <f t="shared" si="116"/>
        <v>#DIV/0!</v>
      </c>
      <c r="BP1829" s="151" t="e">
        <f t="shared" si="117"/>
        <v>#DIV/0!</v>
      </c>
      <c r="BQ1829" s="71">
        <v>0</v>
      </c>
      <c r="BR1829" s="71">
        <v>0</v>
      </c>
      <c r="BS1829" s="71">
        <v>0</v>
      </c>
      <c r="BT1829" s="72">
        <v>0</v>
      </c>
      <c r="BU1829" s="151" t="e">
        <f t="shared" si="118"/>
        <v>#DIV/0!</v>
      </c>
      <c r="BV1829" s="151" t="e">
        <f t="shared" si="119"/>
        <v>#DIV/0!</v>
      </c>
    </row>
    <row r="1830" ht="30" customHeight="1" spans="1:74">
      <c r="A1830" s="55">
        <v>0</v>
      </c>
      <c r="B1830" s="56">
        <v>0</v>
      </c>
      <c r="C1830" s="57">
        <v>0</v>
      </c>
      <c r="D1830" s="92"/>
      <c r="E1830" s="92"/>
      <c r="F1830" s="91" t="e">
        <f>VLOOKUP(E1830,[1]库存!$B$1:$C$65536,2,FALSE)</f>
        <v>#N/A</v>
      </c>
      <c r="G1830" s="91" t="e">
        <v>#N/A</v>
      </c>
      <c r="H1830" s="92"/>
      <c r="I1830" s="92"/>
      <c r="J1830" s="87"/>
      <c r="K1830" s="61"/>
      <c r="L1830" s="62">
        <v>0</v>
      </c>
      <c r="M1830" s="63">
        <v>0</v>
      </c>
      <c r="N1830" s="64">
        <v>0</v>
      </c>
      <c r="O1830" s="62">
        <v>0</v>
      </c>
      <c r="P1830" s="65">
        <f t="shared" si="120"/>
        <v>0</v>
      </c>
      <c r="Q1830" s="66"/>
      <c r="R1830" s="66"/>
      <c r="S1830" s="66"/>
      <c r="T1830" s="66"/>
      <c r="U1830" s="66"/>
      <c r="V1830" s="66"/>
      <c r="W1830" s="66"/>
      <c r="X1830" s="66"/>
      <c r="Y1830" s="66"/>
      <c r="Z1830" s="66"/>
      <c r="AA1830" s="66"/>
      <c r="AB1830" s="66"/>
      <c r="AC1830" s="66"/>
      <c r="AD1830" s="66"/>
      <c r="AE1830" s="66"/>
      <c r="AF1830" s="66"/>
      <c r="AG1830" s="66"/>
      <c r="AH1830" s="66"/>
      <c r="AI1830" s="66"/>
      <c r="AJ1830" s="66"/>
      <c r="AK1830" s="66"/>
      <c r="AL1830" s="66"/>
      <c r="AM1830" s="66"/>
      <c r="AN1830" s="66"/>
      <c r="AO1830" s="66"/>
      <c r="AP1830" s="66"/>
      <c r="AQ1830" s="66"/>
      <c r="AR1830" s="66"/>
      <c r="AS1830" s="66"/>
      <c r="AT1830" s="66"/>
      <c r="AU1830" s="66"/>
      <c r="AV1830" s="66"/>
      <c r="AW1830" s="66"/>
      <c r="AX1830" s="66"/>
      <c r="AY1830" s="66"/>
      <c r="AZ1830" s="66"/>
      <c r="BA1830" s="66"/>
      <c r="BB1830" s="66"/>
      <c r="BC1830" s="66"/>
      <c r="BD1830" s="66"/>
      <c r="BE1830" s="67"/>
      <c r="BF1830" s="67"/>
      <c r="BG1830" s="68"/>
      <c r="BI1830" s="69">
        <v>0</v>
      </c>
      <c r="BJ1830" s="70">
        <v>0</v>
      </c>
      <c r="BK1830" s="71">
        <v>0</v>
      </c>
      <c r="BL1830" s="71">
        <v>0</v>
      </c>
      <c r="BM1830" s="71">
        <v>0</v>
      </c>
      <c r="BN1830" s="72">
        <v>0</v>
      </c>
      <c r="BO1830" s="151" t="e">
        <f t="shared" si="116"/>
        <v>#DIV/0!</v>
      </c>
      <c r="BP1830" s="151" t="e">
        <f t="shared" si="117"/>
        <v>#DIV/0!</v>
      </c>
      <c r="BQ1830" s="71">
        <v>0</v>
      </c>
      <c r="BR1830" s="71">
        <v>0</v>
      </c>
      <c r="BS1830" s="71">
        <v>0</v>
      </c>
      <c r="BT1830" s="72">
        <v>0</v>
      </c>
      <c r="BU1830" s="151" t="e">
        <f t="shared" si="118"/>
        <v>#DIV/0!</v>
      </c>
      <c r="BV1830" s="151" t="e">
        <f t="shared" si="119"/>
        <v>#DIV/0!</v>
      </c>
    </row>
    <row r="1831" ht="30" customHeight="1" spans="1:74">
      <c r="A1831" s="55">
        <v>0</v>
      </c>
      <c r="B1831" s="52" t="s">
        <v>2247</v>
      </c>
      <c r="C1831" s="76" t="s">
        <v>2248</v>
      </c>
      <c r="D1831" s="91" t="s">
        <v>2908</v>
      </c>
      <c r="E1831" s="91" t="s">
        <v>2915</v>
      </c>
      <c r="F1831" s="91" t="str">
        <f>VLOOKUP(E1831,[1]库存!$B$1:$C$65536,2,FALSE)</f>
        <v>CN210M SAB LH A状态</v>
      </c>
      <c r="G1831" s="91" t="s">
        <v>2916</v>
      </c>
      <c r="H1831" s="91" t="s">
        <v>2917</v>
      </c>
      <c r="I1831" s="91" t="s">
        <v>2918</v>
      </c>
      <c r="J1831" s="171"/>
      <c r="K1831" s="61"/>
      <c r="L1831" s="62">
        <v>0</v>
      </c>
      <c r="M1831" s="63">
        <v>1100</v>
      </c>
      <c r="N1831" s="64">
        <v>9</v>
      </c>
      <c r="O1831" s="62">
        <v>0</v>
      </c>
      <c r="P1831" s="65">
        <f t="shared" si="120"/>
        <v>0</v>
      </c>
      <c r="Q1831" s="66"/>
      <c r="R1831" s="66"/>
      <c r="S1831" s="66"/>
      <c r="T1831" s="66"/>
      <c r="U1831" s="66"/>
      <c r="V1831" s="66"/>
      <c r="W1831" s="66"/>
      <c r="X1831" s="66"/>
      <c r="Y1831" s="66"/>
      <c r="Z1831" s="66"/>
      <c r="AA1831" s="66">
        <v>1100</v>
      </c>
      <c r="AB1831" s="66"/>
      <c r="AC1831" s="66">
        <v>1500</v>
      </c>
      <c r="AD1831" s="66"/>
      <c r="AE1831" s="66"/>
      <c r="AF1831" s="66"/>
      <c r="AG1831" s="66"/>
      <c r="AH1831" s="66"/>
      <c r="AI1831" s="66"/>
      <c r="AJ1831" s="66"/>
      <c r="AK1831" s="66"/>
      <c r="AL1831" s="66"/>
      <c r="AM1831" s="66"/>
      <c r="AN1831" s="66"/>
      <c r="AO1831" s="66"/>
      <c r="AP1831" s="66"/>
      <c r="AQ1831" s="66"/>
      <c r="AR1831" s="66"/>
      <c r="AS1831" s="66"/>
      <c r="AT1831" s="66"/>
      <c r="AU1831" s="66"/>
      <c r="AV1831" s="66"/>
      <c r="AW1831" s="66"/>
      <c r="AX1831" s="66"/>
      <c r="AY1831" s="66"/>
      <c r="AZ1831" s="66"/>
      <c r="BA1831" s="66"/>
      <c r="BB1831" s="66"/>
      <c r="BC1831" s="66"/>
      <c r="BD1831" s="66"/>
      <c r="BE1831" s="67"/>
      <c r="BF1831" s="67"/>
      <c r="BG1831" s="68"/>
      <c r="BI1831" s="69">
        <v>0</v>
      </c>
      <c r="BJ1831" s="70">
        <v>0</v>
      </c>
      <c r="BK1831" s="71">
        <v>0</v>
      </c>
      <c r="BL1831" s="71">
        <v>0</v>
      </c>
      <c r="BM1831" s="71">
        <v>0</v>
      </c>
      <c r="BN1831" s="72">
        <v>0</v>
      </c>
      <c r="BO1831" s="151" t="e">
        <f t="shared" si="116"/>
        <v>#DIV/0!</v>
      </c>
      <c r="BP1831" s="151" t="e">
        <f t="shared" si="117"/>
        <v>#DIV/0!</v>
      </c>
      <c r="BQ1831" s="71">
        <v>0</v>
      </c>
      <c r="BR1831" s="71">
        <v>0</v>
      </c>
      <c r="BS1831" s="71">
        <v>0</v>
      </c>
      <c r="BT1831" s="72">
        <v>0</v>
      </c>
      <c r="BU1831" s="73"/>
      <c r="BV1831" s="73"/>
    </row>
    <row r="1832" ht="30" customHeight="1" spans="1:74">
      <c r="A1832" s="55">
        <v>0</v>
      </c>
      <c r="B1832" s="52">
        <v>0</v>
      </c>
      <c r="C1832" s="76">
        <v>0</v>
      </c>
      <c r="D1832" s="92"/>
      <c r="E1832" s="92"/>
      <c r="F1832" s="91" t="e">
        <f>VLOOKUP(E1832,[1]库存!$B$1:$C$65536,2,FALSE)</f>
        <v>#N/A</v>
      </c>
      <c r="G1832" s="91" t="e">
        <v>#N/A</v>
      </c>
      <c r="H1832" s="92"/>
      <c r="I1832" s="92"/>
      <c r="J1832" s="227"/>
      <c r="K1832" s="61"/>
      <c r="L1832" s="62">
        <v>0</v>
      </c>
      <c r="M1832" s="63">
        <v>0</v>
      </c>
      <c r="N1832" s="64">
        <v>0</v>
      </c>
      <c r="O1832" s="62">
        <v>0</v>
      </c>
      <c r="P1832" s="65">
        <f t="shared" si="120"/>
        <v>0</v>
      </c>
      <c r="Q1832" s="66"/>
      <c r="R1832" s="66"/>
      <c r="S1832" s="66"/>
      <c r="T1832" s="66"/>
      <c r="U1832" s="66"/>
      <c r="V1832" s="66"/>
      <c r="W1832" s="66"/>
      <c r="X1832" s="66"/>
      <c r="Y1832" s="66"/>
      <c r="Z1832" s="66"/>
      <c r="AA1832" s="66">
        <v>1390</v>
      </c>
      <c r="AB1832" s="66"/>
      <c r="AC1832" s="66">
        <v>1455</v>
      </c>
      <c r="AD1832" s="66"/>
      <c r="AE1832" s="66"/>
      <c r="AF1832" s="66"/>
      <c r="AG1832" s="66"/>
      <c r="AH1832" s="66"/>
      <c r="AI1832" s="66"/>
      <c r="AJ1832" s="66"/>
      <c r="AK1832" s="66"/>
      <c r="AL1832" s="66"/>
      <c r="AM1832" s="66"/>
      <c r="AN1832" s="66"/>
      <c r="AO1832" s="66"/>
      <c r="AP1832" s="66"/>
      <c r="AQ1832" s="66"/>
      <c r="AR1832" s="66"/>
      <c r="AS1832" s="66"/>
      <c r="AT1832" s="66"/>
      <c r="AU1832" s="66"/>
      <c r="AV1832" s="66"/>
      <c r="AW1832" s="66"/>
      <c r="AX1832" s="66"/>
      <c r="AY1832" s="66"/>
      <c r="AZ1832" s="66"/>
      <c r="BA1832" s="66"/>
      <c r="BB1832" s="66"/>
      <c r="BC1832" s="66"/>
      <c r="BD1832" s="66"/>
      <c r="BE1832" s="67"/>
      <c r="BF1832" s="67"/>
      <c r="BG1832" s="68"/>
      <c r="BI1832" s="69">
        <v>0</v>
      </c>
      <c r="BJ1832" s="70">
        <v>0</v>
      </c>
      <c r="BK1832" s="71">
        <v>0</v>
      </c>
      <c r="BL1832" s="71">
        <v>0</v>
      </c>
      <c r="BM1832" s="71">
        <v>0</v>
      </c>
      <c r="BN1832" s="72">
        <v>0</v>
      </c>
      <c r="BO1832" s="151" t="e">
        <f t="shared" si="116"/>
        <v>#DIV/0!</v>
      </c>
      <c r="BP1832" s="151" t="e">
        <f t="shared" si="117"/>
        <v>#DIV/0!</v>
      </c>
      <c r="BQ1832" s="71">
        <v>0</v>
      </c>
      <c r="BR1832" s="71">
        <v>0</v>
      </c>
      <c r="BS1832" s="71">
        <v>0</v>
      </c>
      <c r="BT1832" s="72">
        <v>0</v>
      </c>
      <c r="BU1832" s="73"/>
      <c r="BV1832" s="73"/>
    </row>
    <row r="1833" ht="30" customHeight="1" spans="1:74">
      <c r="A1833" s="55">
        <v>0</v>
      </c>
      <c r="B1833" s="52" t="s">
        <v>2247</v>
      </c>
      <c r="C1833" s="76" t="s">
        <v>2248</v>
      </c>
      <c r="D1833" s="91" t="s">
        <v>2908</v>
      </c>
      <c r="E1833" s="91" t="s">
        <v>2919</v>
      </c>
      <c r="F1833" s="91" t="str">
        <f>VLOOKUP(E1833,[1]库存!$B$1:$C$65536,2,FALSE)</f>
        <v>CN210M SAB RH A状态</v>
      </c>
      <c r="G1833" s="91" t="s">
        <v>2920</v>
      </c>
      <c r="H1833" s="91" t="s">
        <v>2921</v>
      </c>
      <c r="I1833" s="91" t="s">
        <v>2918</v>
      </c>
      <c r="J1833" s="171"/>
      <c r="K1833" s="61"/>
      <c r="L1833" s="62">
        <v>0</v>
      </c>
      <c r="M1833" s="63">
        <v>1100</v>
      </c>
      <c r="N1833" s="64">
        <v>9</v>
      </c>
      <c r="O1833" s="62">
        <v>0</v>
      </c>
      <c r="P1833" s="65">
        <f t="shared" si="120"/>
        <v>0</v>
      </c>
      <c r="Q1833" s="66"/>
      <c r="R1833" s="66"/>
      <c r="S1833" s="66"/>
      <c r="T1833" s="66"/>
      <c r="U1833" s="66"/>
      <c r="V1833" s="66"/>
      <c r="W1833" s="66"/>
      <c r="X1833" s="66"/>
      <c r="Y1833" s="66"/>
      <c r="Z1833" s="66"/>
      <c r="AA1833" s="66"/>
      <c r="AB1833" s="66"/>
      <c r="AC1833" s="66"/>
      <c r="AD1833" s="66"/>
      <c r="AE1833" s="66"/>
      <c r="AF1833" s="66"/>
      <c r="AG1833" s="66"/>
      <c r="AH1833" s="66"/>
      <c r="AI1833" s="66"/>
      <c r="AJ1833" s="66"/>
      <c r="AK1833" s="66"/>
      <c r="AL1833" s="66"/>
      <c r="AM1833" s="66"/>
      <c r="AN1833" s="66"/>
      <c r="AO1833" s="66"/>
      <c r="AP1833" s="66"/>
      <c r="AQ1833" s="66"/>
      <c r="AR1833" s="66"/>
      <c r="AS1833" s="66"/>
      <c r="AT1833" s="66"/>
      <c r="AU1833" s="66"/>
      <c r="AV1833" s="66"/>
      <c r="AW1833" s="66"/>
      <c r="AX1833" s="66"/>
      <c r="AY1833" s="66"/>
      <c r="AZ1833" s="66"/>
      <c r="BA1833" s="66"/>
      <c r="BB1833" s="66"/>
      <c r="BC1833" s="66"/>
      <c r="BD1833" s="66"/>
      <c r="BE1833" s="67"/>
      <c r="BF1833" s="67"/>
      <c r="BG1833" s="68"/>
      <c r="BI1833" s="69">
        <v>0</v>
      </c>
      <c r="BJ1833" s="70">
        <v>0</v>
      </c>
      <c r="BK1833" s="71">
        <v>0</v>
      </c>
      <c r="BL1833" s="71">
        <v>0</v>
      </c>
      <c r="BM1833" s="71">
        <v>0</v>
      </c>
      <c r="BN1833" s="72">
        <v>0</v>
      </c>
      <c r="BO1833" s="151" t="e">
        <f t="shared" si="116"/>
        <v>#DIV/0!</v>
      </c>
      <c r="BP1833" s="151" t="e">
        <f t="shared" si="117"/>
        <v>#DIV/0!</v>
      </c>
      <c r="BQ1833" s="71">
        <v>0</v>
      </c>
      <c r="BR1833" s="71">
        <v>0</v>
      </c>
      <c r="BS1833" s="71">
        <v>0</v>
      </c>
      <c r="BT1833" s="72">
        <v>0</v>
      </c>
      <c r="BU1833" s="73"/>
      <c r="BV1833" s="73"/>
    </row>
    <row r="1834" ht="30" customHeight="1" spans="1:74">
      <c r="A1834" s="55">
        <v>0</v>
      </c>
      <c r="B1834" s="52">
        <v>0</v>
      </c>
      <c r="C1834" s="76">
        <v>0</v>
      </c>
      <c r="D1834" s="92"/>
      <c r="E1834" s="92"/>
      <c r="F1834" s="91" t="e">
        <f>VLOOKUP(E1834,[1]库存!$B$1:$C$65536,2,FALSE)</f>
        <v>#N/A</v>
      </c>
      <c r="G1834" s="91" t="e">
        <v>#N/A</v>
      </c>
      <c r="H1834" s="92"/>
      <c r="I1834" s="92"/>
      <c r="J1834" s="227"/>
      <c r="K1834" s="61"/>
      <c r="L1834" s="62">
        <v>0</v>
      </c>
      <c r="M1834" s="63">
        <v>0</v>
      </c>
      <c r="N1834" s="64">
        <v>0</v>
      </c>
      <c r="O1834" s="62">
        <v>0</v>
      </c>
      <c r="P1834" s="65">
        <f t="shared" si="120"/>
        <v>0</v>
      </c>
      <c r="Q1834" s="66"/>
      <c r="R1834" s="66"/>
      <c r="S1834" s="66"/>
      <c r="T1834" s="66"/>
      <c r="U1834" s="66"/>
      <c r="V1834" s="66"/>
      <c r="W1834" s="66"/>
      <c r="X1834" s="66"/>
      <c r="Y1834" s="66"/>
      <c r="Z1834" s="66"/>
      <c r="AA1834" s="66"/>
      <c r="AB1834" s="66"/>
      <c r="AC1834" s="66"/>
      <c r="AD1834" s="66"/>
      <c r="AE1834" s="66"/>
      <c r="AF1834" s="66"/>
      <c r="AG1834" s="66"/>
      <c r="AH1834" s="66"/>
      <c r="AI1834" s="66"/>
      <c r="AJ1834" s="66"/>
      <c r="AK1834" s="66"/>
      <c r="AL1834" s="66"/>
      <c r="AM1834" s="66"/>
      <c r="AN1834" s="66"/>
      <c r="AO1834" s="66"/>
      <c r="AP1834" s="66"/>
      <c r="AQ1834" s="66"/>
      <c r="AR1834" s="66"/>
      <c r="AS1834" s="66"/>
      <c r="AT1834" s="66"/>
      <c r="AU1834" s="66"/>
      <c r="AV1834" s="66"/>
      <c r="AW1834" s="66"/>
      <c r="AX1834" s="66"/>
      <c r="AY1834" s="66"/>
      <c r="AZ1834" s="66"/>
      <c r="BA1834" s="66"/>
      <c r="BB1834" s="66"/>
      <c r="BC1834" s="66"/>
      <c r="BD1834" s="66"/>
      <c r="BE1834" s="67"/>
      <c r="BF1834" s="67"/>
      <c r="BG1834" s="68"/>
      <c r="BI1834" s="69">
        <v>0</v>
      </c>
      <c r="BJ1834" s="70">
        <v>0</v>
      </c>
      <c r="BK1834" s="71">
        <v>0</v>
      </c>
      <c r="BL1834" s="71">
        <v>0</v>
      </c>
      <c r="BM1834" s="71">
        <v>0</v>
      </c>
      <c r="BN1834" s="72">
        <v>0</v>
      </c>
      <c r="BO1834" s="151" t="e">
        <f t="shared" si="116"/>
        <v>#DIV/0!</v>
      </c>
      <c r="BP1834" s="151" t="e">
        <f t="shared" si="117"/>
        <v>#DIV/0!</v>
      </c>
      <c r="BQ1834" s="71">
        <v>0</v>
      </c>
      <c r="BR1834" s="71">
        <v>0</v>
      </c>
      <c r="BS1834" s="71">
        <v>0</v>
      </c>
      <c r="BT1834" s="72">
        <v>0</v>
      </c>
      <c r="BU1834" s="73"/>
      <c r="BV1834" s="73"/>
    </row>
    <row r="1835" ht="30" customHeight="1" spans="1:74">
      <c r="A1835" s="55" t="s">
        <v>165</v>
      </c>
      <c r="B1835" s="56" t="s">
        <v>2247</v>
      </c>
      <c r="C1835" s="57" t="s">
        <v>2248</v>
      </c>
      <c r="D1835" s="59" t="s">
        <v>2908</v>
      </c>
      <c r="E1835" s="59" t="s">
        <v>2922</v>
      </c>
      <c r="F1835" s="59" t="str">
        <f>VLOOKUP(E1835,[1]库存!$B$1:$C$65536,2,FALSE)</f>
        <v>GEELY DCY11 A2 SAB LH A状态</v>
      </c>
      <c r="G1835" s="59" t="s">
        <v>2923</v>
      </c>
      <c r="H1835" s="59" t="s">
        <v>2924</v>
      </c>
      <c r="I1835" s="59" t="s">
        <v>242</v>
      </c>
      <c r="J1835" s="97" t="s">
        <v>65</v>
      </c>
      <c r="K1835" s="61"/>
      <c r="L1835" s="62">
        <v>2</v>
      </c>
      <c r="M1835" s="63">
        <v>1100</v>
      </c>
      <c r="N1835" s="64">
        <v>12</v>
      </c>
      <c r="O1835" s="62">
        <v>2</v>
      </c>
      <c r="P1835" s="65">
        <f t="shared" si="120"/>
        <v>0</v>
      </c>
      <c r="Q1835" s="66"/>
      <c r="R1835" s="66"/>
      <c r="S1835" s="66"/>
      <c r="T1835" s="66"/>
      <c r="U1835" s="66"/>
      <c r="V1835" s="66"/>
      <c r="W1835" s="66"/>
      <c r="X1835" s="66"/>
      <c r="Y1835" s="66"/>
      <c r="Z1835" s="66"/>
      <c r="AA1835" s="66"/>
      <c r="AB1835" s="66"/>
      <c r="AC1835" s="66"/>
      <c r="AD1835" s="66"/>
      <c r="AE1835" s="66"/>
      <c r="AF1835" s="66"/>
      <c r="AG1835" s="66"/>
      <c r="AH1835" s="66"/>
      <c r="AI1835" s="66"/>
      <c r="AJ1835" s="66"/>
      <c r="AK1835" s="66"/>
      <c r="AL1835" s="66"/>
      <c r="AM1835" s="66"/>
      <c r="AN1835" s="66"/>
      <c r="AO1835" s="66"/>
      <c r="AP1835" s="66"/>
      <c r="AQ1835" s="66"/>
      <c r="AR1835" s="66"/>
      <c r="AS1835" s="66"/>
      <c r="AT1835" s="66"/>
      <c r="AU1835" s="66"/>
      <c r="AV1835" s="66"/>
      <c r="AW1835" s="66"/>
      <c r="AX1835" s="66"/>
      <c r="AY1835" s="66"/>
      <c r="AZ1835" s="66"/>
      <c r="BA1835" s="66"/>
      <c r="BB1835" s="66"/>
      <c r="BC1835" s="66"/>
      <c r="BD1835" s="66"/>
      <c r="BE1835" s="67"/>
      <c r="BF1835" s="67"/>
      <c r="BG1835" s="68"/>
      <c r="BI1835" s="69">
        <v>0</v>
      </c>
      <c r="BJ1835" s="70">
        <v>0</v>
      </c>
      <c r="BK1835" s="71">
        <v>0</v>
      </c>
      <c r="BL1835" s="71">
        <v>0</v>
      </c>
      <c r="BM1835" s="71">
        <v>0</v>
      </c>
      <c r="BN1835" s="72">
        <v>0</v>
      </c>
      <c r="BO1835" s="151" t="e">
        <f t="shared" si="116"/>
        <v>#DIV/0!</v>
      </c>
      <c r="BP1835" s="151" t="e">
        <f t="shared" si="117"/>
        <v>#DIV/0!</v>
      </c>
      <c r="BQ1835" s="71">
        <v>0</v>
      </c>
      <c r="BR1835" s="71">
        <v>0</v>
      </c>
      <c r="BS1835" s="71">
        <v>0</v>
      </c>
      <c r="BT1835" s="72">
        <v>0</v>
      </c>
      <c r="BU1835" s="151" t="e">
        <f t="shared" ref="BU1835:BU1898" si="121">(BQ1835+BR1835)/BJ1835</f>
        <v>#DIV/0!</v>
      </c>
      <c r="BV1835" s="151" t="e">
        <f t="shared" ref="BV1835:BV1898" si="122">BS1835/BJ1835</f>
        <v>#DIV/0!</v>
      </c>
    </row>
    <row r="1836" ht="30" customHeight="1" spans="1:74">
      <c r="A1836" s="55">
        <v>0</v>
      </c>
      <c r="B1836" s="56">
        <v>0</v>
      </c>
      <c r="C1836" s="57">
        <v>0</v>
      </c>
      <c r="D1836" s="74"/>
      <c r="E1836" s="74"/>
      <c r="F1836" s="59" t="e">
        <f>VLOOKUP(E1836,[1]库存!$B$1:$C$65536,2,FALSE)</f>
        <v>#N/A</v>
      </c>
      <c r="G1836" s="59" t="e">
        <v>#N/A</v>
      </c>
      <c r="H1836" s="74"/>
      <c r="I1836" s="74"/>
      <c r="J1836" s="98"/>
      <c r="K1836" s="61"/>
      <c r="L1836" s="62">
        <v>0</v>
      </c>
      <c r="M1836" s="63">
        <v>0</v>
      </c>
      <c r="N1836" s="64">
        <v>0</v>
      </c>
      <c r="O1836" s="62">
        <v>0</v>
      </c>
      <c r="P1836" s="65">
        <f t="shared" si="120"/>
        <v>0</v>
      </c>
      <c r="Q1836" s="66"/>
      <c r="R1836" s="66"/>
      <c r="S1836" s="66"/>
      <c r="T1836" s="66"/>
      <c r="U1836" s="66"/>
      <c r="V1836" s="66"/>
      <c r="W1836" s="66"/>
      <c r="X1836" s="66"/>
      <c r="Y1836" s="66"/>
      <c r="Z1836" s="66"/>
      <c r="AA1836" s="66"/>
      <c r="AB1836" s="66"/>
      <c r="AC1836" s="66"/>
      <c r="AD1836" s="66"/>
      <c r="AE1836" s="66"/>
      <c r="AF1836" s="66"/>
      <c r="AG1836" s="66"/>
      <c r="AH1836" s="66"/>
      <c r="AI1836" s="66"/>
      <c r="AJ1836" s="66"/>
      <c r="AK1836" s="66"/>
      <c r="AL1836" s="66"/>
      <c r="AM1836" s="66"/>
      <c r="AN1836" s="66"/>
      <c r="AO1836" s="66"/>
      <c r="AP1836" s="66"/>
      <c r="AQ1836" s="66"/>
      <c r="AR1836" s="66"/>
      <c r="AS1836" s="66"/>
      <c r="AT1836" s="66"/>
      <c r="AU1836" s="66"/>
      <c r="AV1836" s="66"/>
      <c r="AW1836" s="66"/>
      <c r="AX1836" s="66"/>
      <c r="AY1836" s="66"/>
      <c r="AZ1836" s="66"/>
      <c r="BA1836" s="66"/>
      <c r="BB1836" s="66"/>
      <c r="BC1836" s="66"/>
      <c r="BD1836" s="66"/>
      <c r="BE1836" s="67"/>
      <c r="BF1836" s="67"/>
      <c r="BG1836" s="68"/>
      <c r="BI1836" s="69">
        <v>0</v>
      </c>
      <c r="BJ1836" s="70">
        <v>0</v>
      </c>
      <c r="BK1836" s="71">
        <v>0</v>
      </c>
      <c r="BL1836" s="71">
        <v>0</v>
      </c>
      <c r="BM1836" s="71">
        <v>0</v>
      </c>
      <c r="BN1836" s="72">
        <v>0</v>
      </c>
      <c r="BO1836" s="151" t="e">
        <f t="shared" si="116"/>
        <v>#DIV/0!</v>
      </c>
      <c r="BP1836" s="151" t="e">
        <f t="shared" si="117"/>
        <v>#DIV/0!</v>
      </c>
      <c r="BQ1836" s="71">
        <v>0</v>
      </c>
      <c r="BR1836" s="71">
        <v>0</v>
      </c>
      <c r="BS1836" s="71">
        <v>0</v>
      </c>
      <c r="BT1836" s="72">
        <v>0</v>
      </c>
      <c r="BU1836" s="151" t="e">
        <f t="shared" si="121"/>
        <v>#DIV/0!</v>
      </c>
      <c r="BV1836" s="151" t="e">
        <f t="shared" si="122"/>
        <v>#DIV/0!</v>
      </c>
    </row>
    <row r="1837" ht="30" customHeight="1" spans="1:74">
      <c r="A1837" s="55" t="s">
        <v>165</v>
      </c>
      <c r="B1837" s="56" t="s">
        <v>2247</v>
      </c>
      <c r="C1837" s="57" t="s">
        <v>2248</v>
      </c>
      <c r="D1837" s="59" t="s">
        <v>2908</v>
      </c>
      <c r="E1837" s="59" t="s">
        <v>2925</v>
      </c>
      <c r="F1837" s="59" t="str">
        <f>VLOOKUP(E1837,[1]库存!$B$1:$C$65536,2,FALSE)</f>
        <v>GEELY DCY11 A2 SAB RH A状态</v>
      </c>
      <c r="G1837" s="59" t="s">
        <v>2926</v>
      </c>
      <c r="H1837" s="59" t="s">
        <v>2927</v>
      </c>
      <c r="I1837" s="59" t="s">
        <v>242</v>
      </c>
      <c r="J1837" s="97" t="s">
        <v>65</v>
      </c>
      <c r="K1837" s="61"/>
      <c r="L1837" s="62">
        <v>2</v>
      </c>
      <c r="M1837" s="63">
        <v>1100</v>
      </c>
      <c r="N1837" s="64">
        <v>12</v>
      </c>
      <c r="O1837" s="62">
        <v>2</v>
      </c>
      <c r="P1837" s="65">
        <f t="shared" si="120"/>
        <v>0</v>
      </c>
      <c r="Q1837" s="66"/>
      <c r="R1837" s="66"/>
      <c r="S1837" s="66"/>
      <c r="T1837" s="66"/>
      <c r="U1837" s="66"/>
      <c r="V1837" s="66"/>
      <c r="W1837" s="66"/>
      <c r="X1837" s="66"/>
      <c r="Y1837" s="66"/>
      <c r="Z1837" s="66"/>
      <c r="AA1837" s="66"/>
      <c r="AB1837" s="66"/>
      <c r="AC1837" s="66"/>
      <c r="AD1837" s="66"/>
      <c r="AE1837" s="66"/>
      <c r="AF1837" s="66"/>
      <c r="AG1837" s="66"/>
      <c r="AH1837" s="66"/>
      <c r="AI1837" s="66"/>
      <c r="AJ1837" s="66"/>
      <c r="AK1837" s="66"/>
      <c r="AL1837" s="66"/>
      <c r="AM1837" s="66"/>
      <c r="AN1837" s="66"/>
      <c r="AO1837" s="66"/>
      <c r="AP1837" s="66"/>
      <c r="AQ1837" s="66"/>
      <c r="AR1837" s="66"/>
      <c r="AS1837" s="66"/>
      <c r="AT1837" s="66"/>
      <c r="AU1837" s="66"/>
      <c r="AV1837" s="66"/>
      <c r="AW1837" s="66"/>
      <c r="AX1837" s="66"/>
      <c r="AY1837" s="66"/>
      <c r="AZ1837" s="66"/>
      <c r="BA1837" s="66"/>
      <c r="BB1837" s="66"/>
      <c r="BC1837" s="66"/>
      <c r="BD1837" s="66"/>
      <c r="BE1837" s="67"/>
      <c r="BF1837" s="67"/>
      <c r="BG1837" s="68"/>
      <c r="BI1837" s="69">
        <v>0</v>
      </c>
      <c r="BJ1837" s="70">
        <v>0</v>
      </c>
      <c r="BK1837" s="71">
        <v>0</v>
      </c>
      <c r="BL1837" s="71">
        <v>0</v>
      </c>
      <c r="BM1837" s="71">
        <v>0</v>
      </c>
      <c r="BN1837" s="72">
        <v>0</v>
      </c>
      <c r="BO1837" s="151" t="e">
        <f t="shared" si="116"/>
        <v>#DIV/0!</v>
      </c>
      <c r="BP1837" s="151" t="e">
        <f t="shared" si="117"/>
        <v>#DIV/0!</v>
      </c>
      <c r="BQ1837" s="71">
        <v>0</v>
      </c>
      <c r="BR1837" s="71">
        <v>0</v>
      </c>
      <c r="BS1837" s="71">
        <v>0</v>
      </c>
      <c r="BT1837" s="72">
        <v>0</v>
      </c>
      <c r="BU1837" s="151" t="e">
        <f t="shared" si="121"/>
        <v>#DIV/0!</v>
      </c>
      <c r="BV1837" s="151" t="e">
        <f t="shared" si="122"/>
        <v>#DIV/0!</v>
      </c>
    </row>
    <row r="1838" ht="30" customHeight="1" spans="1:74">
      <c r="A1838" s="55">
        <v>0</v>
      </c>
      <c r="B1838" s="56">
        <v>0</v>
      </c>
      <c r="C1838" s="57">
        <v>0</v>
      </c>
      <c r="D1838" s="74"/>
      <c r="E1838" s="74"/>
      <c r="F1838" s="59" t="e">
        <f>VLOOKUP(E1838,[1]库存!$B$1:$C$65536,2,FALSE)</f>
        <v>#N/A</v>
      </c>
      <c r="G1838" s="59" t="e">
        <v>#N/A</v>
      </c>
      <c r="H1838" s="74"/>
      <c r="I1838" s="74"/>
      <c r="J1838" s="98"/>
      <c r="K1838" s="61"/>
      <c r="L1838" s="62">
        <v>0</v>
      </c>
      <c r="M1838" s="63">
        <v>0</v>
      </c>
      <c r="N1838" s="64">
        <v>0</v>
      </c>
      <c r="O1838" s="62">
        <v>0</v>
      </c>
      <c r="P1838" s="65">
        <f t="shared" si="120"/>
        <v>0</v>
      </c>
      <c r="Q1838" s="66"/>
      <c r="R1838" s="66"/>
      <c r="S1838" s="66"/>
      <c r="T1838" s="66"/>
      <c r="U1838" s="66"/>
      <c r="V1838" s="66"/>
      <c r="W1838" s="66"/>
      <c r="X1838" s="66"/>
      <c r="Y1838" s="66"/>
      <c r="Z1838" s="66"/>
      <c r="AA1838" s="66"/>
      <c r="AB1838" s="66"/>
      <c r="AC1838" s="66"/>
      <c r="AD1838" s="66"/>
      <c r="AE1838" s="66"/>
      <c r="AF1838" s="66"/>
      <c r="AG1838" s="66"/>
      <c r="AH1838" s="66"/>
      <c r="AI1838" s="66"/>
      <c r="AJ1838" s="66"/>
      <c r="AK1838" s="66"/>
      <c r="AL1838" s="66"/>
      <c r="AM1838" s="66"/>
      <c r="AN1838" s="66"/>
      <c r="AO1838" s="66"/>
      <c r="AP1838" s="66"/>
      <c r="AQ1838" s="66"/>
      <c r="AR1838" s="66"/>
      <c r="AS1838" s="66"/>
      <c r="AT1838" s="66"/>
      <c r="AU1838" s="66"/>
      <c r="AV1838" s="66"/>
      <c r="AW1838" s="66"/>
      <c r="AX1838" s="66"/>
      <c r="AY1838" s="66"/>
      <c r="AZ1838" s="66"/>
      <c r="BA1838" s="66"/>
      <c r="BB1838" s="66"/>
      <c r="BC1838" s="66"/>
      <c r="BD1838" s="66"/>
      <c r="BE1838" s="67"/>
      <c r="BF1838" s="67"/>
      <c r="BG1838" s="68"/>
      <c r="BI1838" s="69">
        <v>0</v>
      </c>
      <c r="BJ1838" s="70">
        <v>0</v>
      </c>
      <c r="BK1838" s="71">
        <v>0</v>
      </c>
      <c r="BL1838" s="71">
        <v>0</v>
      </c>
      <c r="BM1838" s="71">
        <v>0</v>
      </c>
      <c r="BN1838" s="72">
        <v>0</v>
      </c>
      <c r="BO1838" s="151" t="e">
        <f t="shared" si="116"/>
        <v>#DIV/0!</v>
      </c>
      <c r="BP1838" s="151" t="e">
        <f t="shared" si="117"/>
        <v>#DIV/0!</v>
      </c>
      <c r="BQ1838" s="71">
        <v>0</v>
      </c>
      <c r="BR1838" s="71">
        <v>0</v>
      </c>
      <c r="BS1838" s="71">
        <v>0</v>
      </c>
      <c r="BT1838" s="72">
        <v>0</v>
      </c>
      <c r="BU1838" s="151" t="e">
        <f t="shared" si="121"/>
        <v>#DIV/0!</v>
      </c>
      <c r="BV1838" s="151" t="e">
        <f t="shared" si="122"/>
        <v>#DIV/0!</v>
      </c>
    </row>
    <row r="1839" ht="30" customHeight="1" spans="1:74">
      <c r="A1839" s="55" t="s">
        <v>165</v>
      </c>
      <c r="B1839" s="56" t="s">
        <v>2247</v>
      </c>
      <c r="C1839" s="57" t="s">
        <v>2248</v>
      </c>
      <c r="D1839" s="59" t="s">
        <v>2908</v>
      </c>
      <c r="E1839" s="59" t="s">
        <v>2928</v>
      </c>
      <c r="F1839" s="59" t="str">
        <f>VLOOKUP(E1839,[1]库存!$B$1:$C$65536,2,FALSE)</f>
        <v>VOLVO V216 SAB US LH A状态</v>
      </c>
      <c r="G1839" s="59" t="s">
        <v>2929</v>
      </c>
      <c r="H1839" s="59" t="s">
        <v>2930</v>
      </c>
      <c r="I1839" s="59" t="s">
        <v>242</v>
      </c>
      <c r="J1839" s="97" t="s">
        <v>65</v>
      </c>
      <c r="K1839" s="61"/>
      <c r="L1839" s="62">
        <v>2</v>
      </c>
      <c r="M1839" s="63">
        <v>1050</v>
      </c>
      <c r="N1839" s="64">
        <v>10</v>
      </c>
      <c r="O1839" s="62">
        <v>2</v>
      </c>
      <c r="P1839" s="65">
        <f t="shared" si="120"/>
        <v>0</v>
      </c>
      <c r="Q1839" s="66"/>
      <c r="R1839" s="66"/>
      <c r="S1839" s="66"/>
      <c r="T1839" s="66"/>
      <c r="U1839" s="66"/>
      <c r="V1839" s="66"/>
      <c r="W1839" s="66"/>
      <c r="X1839" s="66"/>
      <c r="Y1839" s="66"/>
      <c r="Z1839" s="66"/>
      <c r="AA1839" s="66"/>
      <c r="AB1839" s="66"/>
      <c r="AC1839" s="66"/>
      <c r="AD1839" s="66"/>
      <c r="AE1839" s="66"/>
      <c r="AF1839" s="66"/>
      <c r="AG1839" s="66"/>
      <c r="AH1839" s="66"/>
      <c r="AI1839" s="66"/>
      <c r="AJ1839" s="66"/>
      <c r="AK1839" s="66"/>
      <c r="AL1839" s="66"/>
      <c r="AM1839" s="66"/>
      <c r="AN1839" s="66"/>
      <c r="AO1839" s="66"/>
      <c r="AP1839" s="66"/>
      <c r="AQ1839" s="66"/>
      <c r="AR1839" s="66"/>
      <c r="AS1839" s="66"/>
      <c r="AT1839" s="66"/>
      <c r="AU1839" s="66"/>
      <c r="AV1839" s="66"/>
      <c r="AW1839" s="66"/>
      <c r="AX1839" s="66"/>
      <c r="AY1839" s="66"/>
      <c r="AZ1839" s="66"/>
      <c r="BA1839" s="66"/>
      <c r="BB1839" s="66"/>
      <c r="BC1839" s="66"/>
      <c r="BD1839" s="66"/>
      <c r="BE1839" s="67"/>
      <c r="BF1839" s="67"/>
      <c r="BG1839" s="68"/>
      <c r="BI1839" s="69">
        <v>0</v>
      </c>
      <c r="BJ1839" s="70">
        <v>0</v>
      </c>
      <c r="BK1839" s="71">
        <v>0</v>
      </c>
      <c r="BL1839" s="71">
        <v>0</v>
      </c>
      <c r="BM1839" s="71">
        <v>0</v>
      </c>
      <c r="BN1839" s="72">
        <v>0</v>
      </c>
      <c r="BO1839" s="151" t="e">
        <f t="shared" si="116"/>
        <v>#DIV/0!</v>
      </c>
      <c r="BP1839" s="151" t="e">
        <f t="shared" si="117"/>
        <v>#DIV/0!</v>
      </c>
      <c r="BQ1839" s="71">
        <v>0</v>
      </c>
      <c r="BR1839" s="71">
        <v>0</v>
      </c>
      <c r="BS1839" s="71">
        <v>0</v>
      </c>
      <c r="BT1839" s="72">
        <v>0</v>
      </c>
      <c r="BU1839" s="151" t="e">
        <f t="shared" si="121"/>
        <v>#DIV/0!</v>
      </c>
      <c r="BV1839" s="151" t="e">
        <f t="shared" si="122"/>
        <v>#DIV/0!</v>
      </c>
    </row>
    <row r="1840" ht="30" customHeight="1" spans="1:74">
      <c r="A1840" s="55">
        <v>0</v>
      </c>
      <c r="B1840" s="56">
        <v>0</v>
      </c>
      <c r="C1840" s="57">
        <v>0</v>
      </c>
      <c r="D1840" s="74"/>
      <c r="E1840" s="74"/>
      <c r="F1840" s="59" t="e">
        <f>VLOOKUP(E1840,[1]库存!$B$1:$C$65536,2,FALSE)</f>
        <v>#N/A</v>
      </c>
      <c r="G1840" s="59" t="e">
        <v>#N/A</v>
      </c>
      <c r="H1840" s="74"/>
      <c r="I1840" s="74"/>
      <c r="J1840" s="98"/>
      <c r="K1840" s="61"/>
      <c r="L1840" s="62">
        <v>0</v>
      </c>
      <c r="M1840" s="63">
        <v>0</v>
      </c>
      <c r="N1840" s="64">
        <v>0</v>
      </c>
      <c r="O1840" s="62">
        <v>0</v>
      </c>
      <c r="P1840" s="65">
        <f t="shared" si="120"/>
        <v>0</v>
      </c>
      <c r="Q1840" s="66"/>
      <c r="R1840" s="66"/>
      <c r="S1840" s="66"/>
      <c r="T1840" s="66"/>
      <c r="U1840" s="66"/>
      <c r="V1840" s="66"/>
      <c r="W1840" s="66"/>
      <c r="X1840" s="66"/>
      <c r="Y1840" s="66"/>
      <c r="Z1840" s="66"/>
      <c r="AA1840" s="66"/>
      <c r="AB1840" s="66"/>
      <c r="AC1840" s="66"/>
      <c r="AD1840" s="66"/>
      <c r="AE1840" s="66"/>
      <c r="AF1840" s="66"/>
      <c r="AG1840" s="66"/>
      <c r="AH1840" s="66"/>
      <c r="AI1840" s="66"/>
      <c r="AJ1840" s="66"/>
      <c r="AK1840" s="66"/>
      <c r="AL1840" s="66"/>
      <c r="AM1840" s="66"/>
      <c r="AN1840" s="66"/>
      <c r="AO1840" s="66"/>
      <c r="AP1840" s="66"/>
      <c r="AQ1840" s="66"/>
      <c r="AR1840" s="66"/>
      <c r="AS1840" s="66"/>
      <c r="AT1840" s="66"/>
      <c r="AU1840" s="66"/>
      <c r="AV1840" s="66"/>
      <c r="AW1840" s="66"/>
      <c r="AX1840" s="66"/>
      <c r="AY1840" s="66"/>
      <c r="AZ1840" s="66"/>
      <c r="BA1840" s="66"/>
      <c r="BB1840" s="66"/>
      <c r="BC1840" s="66"/>
      <c r="BD1840" s="66"/>
      <c r="BE1840" s="67"/>
      <c r="BF1840" s="67"/>
      <c r="BG1840" s="68"/>
      <c r="BI1840" s="69">
        <v>0</v>
      </c>
      <c r="BJ1840" s="70">
        <v>0</v>
      </c>
      <c r="BK1840" s="71">
        <v>0</v>
      </c>
      <c r="BL1840" s="71">
        <v>0</v>
      </c>
      <c r="BM1840" s="71">
        <v>0</v>
      </c>
      <c r="BN1840" s="72">
        <v>0</v>
      </c>
      <c r="BO1840" s="151" t="e">
        <f t="shared" si="116"/>
        <v>#DIV/0!</v>
      </c>
      <c r="BP1840" s="151" t="e">
        <f t="shared" si="117"/>
        <v>#DIV/0!</v>
      </c>
      <c r="BQ1840" s="71">
        <v>0</v>
      </c>
      <c r="BR1840" s="71">
        <v>0</v>
      </c>
      <c r="BS1840" s="71">
        <v>0</v>
      </c>
      <c r="BT1840" s="72">
        <v>0</v>
      </c>
      <c r="BU1840" s="151" t="e">
        <f t="shared" si="121"/>
        <v>#DIV/0!</v>
      </c>
      <c r="BV1840" s="151" t="e">
        <f t="shared" si="122"/>
        <v>#DIV/0!</v>
      </c>
    </row>
    <row r="1841" ht="30" customHeight="1" spans="1:74">
      <c r="A1841" s="55" t="s">
        <v>165</v>
      </c>
      <c r="B1841" s="56" t="s">
        <v>2247</v>
      </c>
      <c r="C1841" s="57" t="s">
        <v>2248</v>
      </c>
      <c r="D1841" s="59" t="s">
        <v>2908</v>
      </c>
      <c r="E1841" s="59" t="s">
        <v>2931</v>
      </c>
      <c r="F1841" s="59" t="str">
        <f>VLOOKUP(E1841,[1]库存!$B$1:$C$65536,2,FALSE)</f>
        <v>VOLVO V216 SAB US RH A状态</v>
      </c>
      <c r="G1841" s="59" t="s">
        <v>2932</v>
      </c>
      <c r="H1841" s="59" t="s">
        <v>2933</v>
      </c>
      <c r="I1841" s="59" t="s">
        <v>242</v>
      </c>
      <c r="J1841" s="97" t="s">
        <v>65</v>
      </c>
      <c r="K1841" s="61"/>
      <c r="L1841" s="62">
        <v>2</v>
      </c>
      <c r="M1841" s="63">
        <v>1050</v>
      </c>
      <c r="N1841" s="64">
        <v>10</v>
      </c>
      <c r="O1841" s="62">
        <v>2</v>
      </c>
      <c r="P1841" s="65">
        <f t="shared" si="120"/>
        <v>0</v>
      </c>
      <c r="Q1841" s="66"/>
      <c r="R1841" s="66"/>
      <c r="S1841" s="66"/>
      <c r="T1841" s="66"/>
      <c r="U1841" s="66"/>
      <c r="V1841" s="66"/>
      <c r="W1841" s="66"/>
      <c r="X1841" s="66"/>
      <c r="Y1841" s="66"/>
      <c r="Z1841" s="66"/>
      <c r="AA1841" s="66"/>
      <c r="AB1841" s="66"/>
      <c r="AC1841" s="66"/>
      <c r="AD1841" s="66"/>
      <c r="AE1841" s="66"/>
      <c r="AF1841" s="66"/>
      <c r="AG1841" s="66"/>
      <c r="AH1841" s="66"/>
      <c r="AI1841" s="66"/>
      <c r="AJ1841" s="66"/>
      <c r="AK1841" s="66"/>
      <c r="AL1841" s="66"/>
      <c r="AM1841" s="66"/>
      <c r="AN1841" s="66"/>
      <c r="AO1841" s="66"/>
      <c r="AP1841" s="66"/>
      <c r="AQ1841" s="66"/>
      <c r="AR1841" s="66"/>
      <c r="AS1841" s="66"/>
      <c r="AT1841" s="66"/>
      <c r="AU1841" s="66"/>
      <c r="AV1841" s="66"/>
      <c r="AW1841" s="66"/>
      <c r="AX1841" s="66"/>
      <c r="AY1841" s="66"/>
      <c r="AZ1841" s="66"/>
      <c r="BA1841" s="66"/>
      <c r="BB1841" s="66"/>
      <c r="BC1841" s="66"/>
      <c r="BD1841" s="66"/>
      <c r="BE1841" s="67"/>
      <c r="BF1841" s="67"/>
      <c r="BG1841" s="68"/>
      <c r="BI1841" s="69">
        <v>0</v>
      </c>
      <c r="BJ1841" s="70">
        <v>0</v>
      </c>
      <c r="BK1841" s="71">
        <v>0</v>
      </c>
      <c r="BL1841" s="71">
        <v>0</v>
      </c>
      <c r="BM1841" s="71">
        <v>0</v>
      </c>
      <c r="BN1841" s="72">
        <v>0</v>
      </c>
      <c r="BO1841" s="151" t="e">
        <f t="shared" si="116"/>
        <v>#DIV/0!</v>
      </c>
      <c r="BP1841" s="151" t="e">
        <f t="shared" si="117"/>
        <v>#DIV/0!</v>
      </c>
      <c r="BQ1841" s="71">
        <v>0</v>
      </c>
      <c r="BR1841" s="71">
        <v>0</v>
      </c>
      <c r="BS1841" s="71">
        <v>0</v>
      </c>
      <c r="BT1841" s="72">
        <v>0</v>
      </c>
      <c r="BU1841" s="151" t="e">
        <f t="shared" si="121"/>
        <v>#DIV/0!</v>
      </c>
      <c r="BV1841" s="151" t="e">
        <f t="shared" si="122"/>
        <v>#DIV/0!</v>
      </c>
    </row>
    <row r="1842" ht="30" customHeight="1" spans="1:74">
      <c r="A1842" s="55">
        <v>0</v>
      </c>
      <c r="B1842" s="56">
        <v>0</v>
      </c>
      <c r="C1842" s="57">
        <v>0</v>
      </c>
      <c r="D1842" s="74"/>
      <c r="E1842" s="74"/>
      <c r="F1842" s="59" t="e">
        <f>VLOOKUP(E1842,[1]库存!$B$1:$C$65536,2,FALSE)</f>
        <v>#N/A</v>
      </c>
      <c r="G1842" s="59" t="e">
        <v>#N/A</v>
      </c>
      <c r="H1842" s="74"/>
      <c r="I1842" s="74"/>
      <c r="J1842" s="98"/>
      <c r="K1842" s="61"/>
      <c r="L1842" s="62">
        <v>0</v>
      </c>
      <c r="M1842" s="63">
        <v>0</v>
      </c>
      <c r="N1842" s="64">
        <v>0</v>
      </c>
      <c r="O1842" s="62">
        <v>0</v>
      </c>
      <c r="P1842" s="65">
        <f t="shared" si="120"/>
        <v>0</v>
      </c>
      <c r="Q1842" s="66"/>
      <c r="R1842" s="66"/>
      <c r="S1842" s="66"/>
      <c r="T1842" s="66"/>
      <c r="U1842" s="66"/>
      <c r="V1842" s="66"/>
      <c r="W1842" s="66"/>
      <c r="X1842" s="66"/>
      <c r="Y1842" s="66"/>
      <c r="Z1842" s="66"/>
      <c r="AA1842" s="66"/>
      <c r="AB1842" s="66"/>
      <c r="AC1842" s="66"/>
      <c r="AD1842" s="66"/>
      <c r="AE1842" s="66"/>
      <c r="AF1842" s="66"/>
      <c r="AG1842" s="66"/>
      <c r="AH1842" s="66"/>
      <c r="AI1842" s="66"/>
      <c r="AJ1842" s="66"/>
      <c r="AK1842" s="66"/>
      <c r="AL1842" s="66"/>
      <c r="AM1842" s="66"/>
      <c r="AN1842" s="66"/>
      <c r="AO1842" s="66"/>
      <c r="AP1842" s="66"/>
      <c r="AQ1842" s="66"/>
      <c r="AR1842" s="66"/>
      <c r="AS1842" s="66"/>
      <c r="AT1842" s="66"/>
      <c r="AU1842" s="66"/>
      <c r="AV1842" s="66"/>
      <c r="AW1842" s="66"/>
      <c r="AX1842" s="66"/>
      <c r="AY1842" s="66"/>
      <c r="AZ1842" s="66"/>
      <c r="BA1842" s="66"/>
      <c r="BB1842" s="66"/>
      <c r="BC1842" s="66"/>
      <c r="BD1842" s="66"/>
      <c r="BE1842" s="67"/>
      <c r="BF1842" s="67"/>
      <c r="BG1842" s="68"/>
      <c r="BI1842" s="69">
        <v>0</v>
      </c>
      <c r="BJ1842" s="70">
        <v>0</v>
      </c>
      <c r="BK1842" s="71">
        <v>0</v>
      </c>
      <c r="BL1842" s="71">
        <v>0</v>
      </c>
      <c r="BM1842" s="71">
        <v>0</v>
      </c>
      <c r="BN1842" s="72">
        <v>0</v>
      </c>
      <c r="BO1842" s="151" t="e">
        <f t="shared" si="116"/>
        <v>#DIV/0!</v>
      </c>
      <c r="BP1842" s="151" t="e">
        <f t="shared" si="117"/>
        <v>#DIV/0!</v>
      </c>
      <c r="BQ1842" s="71">
        <v>0</v>
      </c>
      <c r="BR1842" s="71">
        <v>0</v>
      </c>
      <c r="BS1842" s="71">
        <v>0</v>
      </c>
      <c r="BT1842" s="72">
        <v>0</v>
      </c>
      <c r="BU1842" s="151" t="e">
        <f t="shared" si="121"/>
        <v>#DIV/0!</v>
      </c>
      <c r="BV1842" s="151" t="e">
        <f t="shared" si="122"/>
        <v>#DIV/0!</v>
      </c>
    </row>
    <row r="1843" ht="30" customHeight="1" spans="1:74">
      <c r="A1843" s="55" t="s">
        <v>165</v>
      </c>
      <c r="B1843" s="56" t="s">
        <v>2247</v>
      </c>
      <c r="C1843" s="57" t="s">
        <v>2248</v>
      </c>
      <c r="D1843" s="59" t="s">
        <v>2908</v>
      </c>
      <c r="E1843" s="59" t="s">
        <v>2934</v>
      </c>
      <c r="F1843" s="59" t="str">
        <f>VLOOKUP(E1843,[1]库存!$B$1:$C$65536,2,FALSE)</f>
        <v>GEELY BX1E SAB LH B状态</v>
      </c>
      <c r="G1843" s="59" t="s">
        <v>2935</v>
      </c>
      <c r="H1843" s="59" t="s">
        <v>2936</v>
      </c>
      <c r="I1843" s="59" t="s">
        <v>242</v>
      </c>
      <c r="J1843" s="63"/>
      <c r="K1843" s="61"/>
      <c r="L1843" s="62">
        <v>2</v>
      </c>
      <c r="M1843" s="63">
        <v>1050</v>
      </c>
      <c r="N1843" s="64">
        <v>12</v>
      </c>
      <c r="O1843" s="62">
        <v>2</v>
      </c>
      <c r="P1843" s="65">
        <f t="shared" si="120"/>
        <v>0</v>
      </c>
      <c r="Q1843" s="66"/>
      <c r="R1843" s="66"/>
      <c r="S1843" s="66"/>
      <c r="T1843" s="66"/>
      <c r="U1843" s="66"/>
      <c r="V1843" s="66"/>
      <c r="W1843" s="66"/>
      <c r="X1843" s="66"/>
      <c r="Y1843" s="66"/>
      <c r="Z1843" s="66"/>
      <c r="AA1843" s="66"/>
      <c r="AB1843" s="66"/>
      <c r="AC1843" s="66"/>
      <c r="AD1843" s="66"/>
      <c r="AE1843" s="66"/>
      <c r="AF1843" s="66"/>
      <c r="AG1843" s="66"/>
      <c r="AH1843" s="66"/>
      <c r="AI1843" s="66"/>
      <c r="AJ1843" s="66"/>
      <c r="AK1843" s="66"/>
      <c r="AL1843" s="66"/>
      <c r="AM1843" s="66"/>
      <c r="AN1843" s="66"/>
      <c r="AO1843" s="66"/>
      <c r="AP1843" s="66"/>
      <c r="AQ1843" s="66"/>
      <c r="AR1843" s="66"/>
      <c r="AS1843" s="66"/>
      <c r="AT1843" s="66"/>
      <c r="AU1843" s="66"/>
      <c r="AV1843" s="66"/>
      <c r="AW1843" s="66"/>
      <c r="AX1843" s="66"/>
      <c r="AY1843" s="66"/>
      <c r="AZ1843" s="66"/>
      <c r="BA1843" s="66"/>
      <c r="BB1843" s="66"/>
      <c r="BC1843" s="66"/>
      <c r="BD1843" s="66"/>
      <c r="BE1843" s="67"/>
      <c r="BF1843" s="67"/>
      <c r="BG1843" s="68"/>
      <c r="BI1843" s="69">
        <v>0</v>
      </c>
      <c r="BJ1843" s="70">
        <v>0</v>
      </c>
      <c r="BK1843" s="71">
        <v>0</v>
      </c>
      <c r="BL1843" s="71">
        <v>0</v>
      </c>
      <c r="BM1843" s="71">
        <v>0</v>
      </c>
      <c r="BN1843" s="72">
        <v>0</v>
      </c>
      <c r="BO1843" s="151" t="e">
        <f t="shared" si="116"/>
        <v>#DIV/0!</v>
      </c>
      <c r="BP1843" s="151" t="e">
        <f t="shared" si="117"/>
        <v>#DIV/0!</v>
      </c>
      <c r="BQ1843" s="71">
        <v>0</v>
      </c>
      <c r="BR1843" s="71">
        <v>0</v>
      </c>
      <c r="BS1843" s="71">
        <v>0</v>
      </c>
      <c r="BT1843" s="72">
        <v>0</v>
      </c>
      <c r="BU1843" s="151" t="e">
        <f t="shared" si="121"/>
        <v>#DIV/0!</v>
      </c>
      <c r="BV1843" s="151" t="e">
        <f t="shared" si="122"/>
        <v>#DIV/0!</v>
      </c>
    </row>
    <row r="1844" ht="30" customHeight="1" spans="1:74">
      <c r="A1844" s="55">
        <v>0</v>
      </c>
      <c r="B1844" s="56">
        <v>0</v>
      </c>
      <c r="C1844" s="57">
        <v>0</v>
      </c>
      <c r="D1844" s="74"/>
      <c r="E1844" s="74"/>
      <c r="F1844" s="59" t="e">
        <f>VLOOKUP(E1844,[1]库存!$B$1:$C$65536,2,FALSE)</f>
        <v>#N/A</v>
      </c>
      <c r="G1844" s="59" t="e">
        <v>#N/A</v>
      </c>
      <c r="H1844" s="74"/>
      <c r="I1844" s="74"/>
      <c r="J1844" s="87"/>
      <c r="K1844" s="61"/>
      <c r="L1844" s="62">
        <v>0</v>
      </c>
      <c r="M1844" s="63">
        <v>0</v>
      </c>
      <c r="N1844" s="64">
        <v>0</v>
      </c>
      <c r="O1844" s="62">
        <v>0</v>
      </c>
      <c r="P1844" s="65">
        <f t="shared" si="120"/>
        <v>0</v>
      </c>
      <c r="Q1844" s="66"/>
      <c r="R1844" s="66"/>
      <c r="S1844" s="66"/>
      <c r="T1844" s="66"/>
      <c r="U1844" s="66"/>
      <c r="V1844" s="66"/>
      <c r="W1844" s="66"/>
      <c r="X1844" s="66"/>
      <c r="Y1844" s="66"/>
      <c r="Z1844" s="66"/>
      <c r="AA1844" s="66"/>
      <c r="AB1844" s="66"/>
      <c r="AC1844" s="66"/>
      <c r="AD1844" s="66"/>
      <c r="AE1844" s="66"/>
      <c r="AF1844" s="66"/>
      <c r="AG1844" s="66"/>
      <c r="AH1844" s="66"/>
      <c r="AI1844" s="66"/>
      <c r="AJ1844" s="66"/>
      <c r="AK1844" s="66"/>
      <c r="AL1844" s="66"/>
      <c r="AM1844" s="66"/>
      <c r="AN1844" s="66"/>
      <c r="AO1844" s="66"/>
      <c r="AP1844" s="66"/>
      <c r="AQ1844" s="66"/>
      <c r="AR1844" s="66"/>
      <c r="AS1844" s="66"/>
      <c r="AT1844" s="66"/>
      <c r="AU1844" s="66"/>
      <c r="AV1844" s="66"/>
      <c r="AW1844" s="66"/>
      <c r="AX1844" s="66"/>
      <c r="AY1844" s="66"/>
      <c r="AZ1844" s="66"/>
      <c r="BA1844" s="66"/>
      <c r="BB1844" s="66"/>
      <c r="BC1844" s="66"/>
      <c r="BD1844" s="66"/>
      <c r="BE1844" s="67"/>
      <c r="BF1844" s="67"/>
      <c r="BG1844" s="68"/>
      <c r="BI1844" s="69">
        <v>0</v>
      </c>
      <c r="BJ1844" s="70">
        <v>0</v>
      </c>
      <c r="BK1844" s="71">
        <v>0</v>
      </c>
      <c r="BL1844" s="71">
        <v>0</v>
      </c>
      <c r="BM1844" s="71">
        <v>0</v>
      </c>
      <c r="BN1844" s="72">
        <v>0</v>
      </c>
      <c r="BO1844" s="151" t="e">
        <f t="shared" si="116"/>
        <v>#DIV/0!</v>
      </c>
      <c r="BP1844" s="151" t="e">
        <f t="shared" si="117"/>
        <v>#DIV/0!</v>
      </c>
      <c r="BQ1844" s="71">
        <v>0</v>
      </c>
      <c r="BR1844" s="71">
        <v>0</v>
      </c>
      <c r="BS1844" s="71">
        <v>0</v>
      </c>
      <c r="BT1844" s="72">
        <v>0</v>
      </c>
      <c r="BU1844" s="151" t="e">
        <f t="shared" si="121"/>
        <v>#DIV/0!</v>
      </c>
      <c r="BV1844" s="151" t="e">
        <f t="shared" si="122"/>
        <v>#DIV/0!</v>
      </c>
    </row>
    <row r="1845" ht="30" customHeight="1" spans="1:74">
      <c r="A1845" s="55" t="s">
        <v>165</v>
      </c>
      <c r="B1845" s="56" t="s">
        <v>2247</v>
      </c>
      <c r="C1845" s="57" t="s">
        <v>2248</v>
      </c>
      <c r="D1845" s="59" t="s">
        <v>2908</v>
      </c>
      <c r="E1845" s="59" t="s">
        <v>2937</v>
      </c>
      <c r="F1845" s="59" t="str">
        <f>VLOOKUP(E1845,[1]库存!$B$1:$C$65536,2,FALSE)</f>
        <v>GEELY BX1E SAB RH B状态</v>
      </c>
      <c r="G1845" s="59" t="s">
        <v>2938</v>
      </c>
      <c r="H1845" s="59" t="s">
        <v>2939</v>
      </c>
      <c r="I1845" s="59" t="s">
        <v>242</v>
      </c>
      <c r="J1845" s="63"/>
      <c r="K1845" s="61"/>
      <c r="L1845" s="62">
        <v>2</v>
      </c>
      <c r="M1845" s="63">
        <v>1050</v>
      </c>
      <c r="N1845" s="64">
        <v>12</v>
      </c>
      <c r="O1845" s="62">
        <v>2</v>
      </c>
      <c r="P1845" s="65">
        <f t="shared" si="120"/>
        <v>0</v>
      </c>
      <c r="Q1845" s="66"/>
      <c r="R1845" s="66"/>
      <c r="S1845" s="66"/>
      <c r="T1845" s="66"/>
      <c r="U1845" s="66"/>
      <c r="V1845" s="66"/>
      <c r="W1845" s="66"/>
      <c r="X1845" s="66"/>
      <c r="Y1845" s="66"/>
      <c r="Z1845" s="66"/>
      <c r="AA1845" s="66"/>
      <c r="AB1845" s="66"/>
      <c r="AC1845" s="66"/>
      <c r="AD1845" s="66"/>
      <c r="AE1845" s="66"/>
      <c r="AF1845" s="66"/>
      <c r="AG1845" s="66"/>
      <c r="AH1845" s="66"/>
      <c r="AI1845" s="66"/>
      <c r="AJ1845" s="66"/>
      <c r="AK1845" s="66"/>
      <c r="AL1845" s="66"/>
      <c r="AM1845" s="66"/>
      <c r="AN1845" s="66"/>
      <c r="AO1845" s="66"/>
      <c r="AP1845" s="66"/>
      <c r="AQ1845" s="66"/>
      <c r="AR1845" s="66"/>
      <c r="AS1845" s="66"/>
      <c r="AT1845" s="66"/>
      <c r="AU1845" s="66"/>
      <c r="AV1845" s="66"/>
      <c r="AW1845" s="66"/>
      <c r="AX1845" s="66"/>
      <c r="AY1845" s="66"/>
      <c r="AZ1845" s="66"/>
      <c r="BA1845" s="66"/>
      <c r="BB1845" s="66"/>
      <c r="BC1845" s="66"/>
      <c r="BD1845" s="66"/>
      <c r="BE1845" s="67"/>
      <c r="BF1845" s="67"/>
      <c r="BG1845" s="68"/>
      <c r="BI1845" s="69">
        <v>0</v>
      </c>
      <c r="BJ1845" s="70">
        <v>0</v>
      </c>
      <c r="BK1845" s="71">
        <v>0</v>
      </c>
      <c r="BL1845" s="71">
        <v>0</v>
      </c>
      <c r="BM1845" s="71">
        <v>0</v>
      </c>
      <c r="BN1845" s="72">
        <v>0</v>
      </c>
      <c r="BO1845" s="151" t="e">
        <f t="shared" si="116"/>
        <v>#DIV/0!</v>
      </c>
      <c r="BP1845" s="151" t="e">
        <f t="shared" si="117"/>
        <v>#DIV/0!</v>
      </c>
      <c r="BQ1845" s="71">
        <v>0</v>
      </c>
      <c r="BR1845" s="71">
        <v>0</v>
      </c>
      <c r="BS1845" s="71">
        <v>0</v>
      </c>
      <c r="BT1845" s="72">
        <v>0</v>
      </c>
      <c r="BU1845" s="151" t="e">
        <f t="shared" si="121"/>
        <v>#DIV/0!</v>
      </c>
      <c r="BV1845" s="151" t="e">
        <f t="shared" si="122"/>
        <v>#DIV/0!</v>
      </c>
    </row>
    <row r="1846" ht="30" customHeight="1" spans="1:74">
      <c r="A1846" s="55">
        <v>0</v>
      </c>
      <c r="B1846" s="56">
        <v>0</v>
      </c>
      <c r="C1846" s="57">
        <v>0</v>
      </c>
      <c r="D1846" s="74"/>
      <c r="E1846" s="74"/>
      <c r="F1846" s="59" t="e">
        <f>VLOOKUP(E1846,[1]库存!$B$1:$C$65536,2,FALSE)</f>
        <v>#N/A</v>
      </c>
      <c r="G1846" s="59" t="e">
        <v>#N/A</v>
      </c>
      <c r="H1846" s="74"/>
      <c r="I1846" s="74"/>
      <c r="J1846" s="87"/>
      <c r="K1846" s="61"/>
      <c r="L1846" s="62">
        <v>0</v>
      </c>
      <c r="M1846" s="63">
        <v>0</v>
      </c>
      <c r="N1846" s="64">
        <v>0</v>
      </c>
      <c r="O1846" s="62">
        <v>0</v>
      </c>
      <c r="P1846" s="65">
        <f t="shared" si="120"/>
        <v>0</v>
      </c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  <c r="AA1846" s="66"/>
      <c r="AB1846" s="66"/>
      <c r="AC1846" s="66"/>
      <c r="AD1846" s="66"/>
      <c r="AE1846" s="66"/>
      <c r="AF1846" s="66"/>
      <c r="AG1846" s="66"/>
      <c r="AH1846" s="66"/>
      <c r="AI1846" s="66"/>
      <c r="AJ1846" s="66"/>
      <c r="AK1846" s="66"/>
      <c r="AL1846" s="66"/>
      <c r="AM1846" s="66"/>
      <c r="AN1846" s="66"/>
      <c r="AO1846" s="66"/>
      <c r="AP1846" s="66"/>
      <c r="AQ1846" s="66"/>
      <c r="AR1846" s="66"/>
      <c r="AS1846" s="66"/>
      <c r="AT1846" s="66"/>
      <c r="AU1846" s="66"/>
      <c r="AV1846" s="66"/>
      <c r="AW1846" s="66"/>
      <c r="AX1846" s="66"/>
      <c r="AY1846" s="66"/>
      <c r="AZ1846" s="66"/>
      <c r="BA1846" s="66"/>
      <c r="BB1846" s="66"/>
      <c r="BC1846" s="66"/>
      <c r="BD1846" s="66"/>
      <c r="BE1846" s="67"/>
      <c r="BF1846" s="67"/>
      <c r="BG1846" s="68"/>
      <c r="BI1846" s="69">
        <v>0</v>
      </c>
      <c r="BJ1846" s="70">
        <v>0</v>
      </c>
      <c r="BK1846" s="71">
        <v>0</v>
      </c>
      <c r="BL1846" s="71">
        <v>0</v>
      </c>
      <c r="BM1846" s="71">
        <v>0</v>
      </c>
      <c r="BN1846" s="72">
        <v>0</v>
      </c>
      <c r="BO1846" s="151" t="e">
        <f t="shared" si="116"/>
        <v>#DIV/0!</v>
      </c>
      <c r="BP1846" s="151" t="e">
        <f t="shared" si="117"/>
        <v>#DIV/0!</v>
      </c>
      <c r="BQ1846" s="71">
        <v>0</v>
      </c>
      <c r="BR1846" s="71">
        <v>0</v>
      </c>
      <c r="BS1846" s="71">
        <v>0</v>
      </c>
      <c r="BT1846" s="72">
        <v>0</v>
      </c>
      <c r="BU1846" s="151" t="e">
        <f t="shared" si="121"/>
        <v>#DIV/0!</v>
      </c>
      <c r="BV1846" s="151" t="e">
        <f t="shared" si="122"/>
        <v>#DIV/0!</v>
      </c>
    </row>
    <row r="1847" ht="30" customHeight="1" spans="1:74">
      <c r="A1847" s="55">
        <v>0</v>
      </c>
      <c r="B1847" s="56">
        <v>0</v>
      </c>
      <c r="C1847" s="57">
        <v>0</v>
      </c>
      <c r="D1847" s="210"/>
      <c r="E1847" s="88"/>
      <c r="F1847" s="59" t="e">
        <f>VLOOKUP(E1847,[1]库存!$B$1:$C$65536,2,FALSE)</f>
        <v>#N/A</v>
      </c>
      <c r="G1847" s="59" t="e">
        <v>#N/A</v>
      </c>
      <c r="H1847" s="238"/>
      <c r="I1847" s="239"/>
      <c r="J1847" s="90"/>
      <c r="K1847" s="61"/>
      <c r="L1847" s="62">
        <v>0</v>
      </c>
      <c r="M1847" s="63">
        <v>0</v>
      </c>
      <c r="N1847" s="64">
        <v>0</v>
      </c>
      <c r="O1847" s="62">
        <v>0</v>
      </c>
      <c r="P1847" s="65">
        <f t="shared" si="120"/>
        <v>0</v>
      </c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  <c r="AA1847" s="66"/>
      <c r="AB1847" s="66"/>
      <c r="AC1847" s="66"/>
      <c r="AD1847" s="66"/>
      <c r="AE1847" s="66"/>
      <c r="AF1847" s="66"/>
      <c r="AG1847" s="66"/>
      <c r="AH1847" s="66"/>
      <c r="AI1847" s="66"/>
      <c r="AJ1847" s="66"/>
      <c r="AK1847" s="66"/>
      <c r="AL1847" s="66"/>
      <c r="AM1847" s="66"/>
      <c r="AN1847" s="66"/>
      <c r="AO1847" s="66"/>
      <c r="AP1847" s="66"/>
      <c r="AQ1847" s="66"/>
      <c r="AR1847" s="66"/>
      <c r="AS1847" s="66"/>
      <c r="AT1847" s="66"/>
      <c r="AU1847" s="66"/>
      <c r="AV1847" s="66"/>
      <c r="AW1847" s="66"/>
      <c r="AX1847" s="66"/>
      <c r="AY1847" s="66"/>
      <c r="AZ1847" s="66"/>
      <c r="BA1847" s="66"/>
      <c r="BB1847" s="66"/>
      <c r="BC1847" s="66"/>
      <c r="BD1847" s="66"/>
      <c r="BE1847" s="67"/>
      <c r="BF1847" s="67"/>
      <c r="BG1847" s="68"/>
      <c r="BI1847" s="69">
        <v>0</v>
      </c>
      <c r="BJ1847" s="70">
        <v>0</v>
      </c>
      <c r="BK1847" s="71">
        <v>0</v>
      </c>
      <c r="BL1847" s="71">
        <v>0</v>
      </c>
      <c r="BM1847" s="71">
        <v>0</v>
      </c>
      <c r="BN1847" s="72">
        <v>0</v>
      </c>
      <c r="BO1847" s="151" t="e">
        <f t="shared" si="116"/>
        <v>#DIV/0!</v>
      </c>
      <c r="BP1847" s="151" t="e">
        <f t="shared" si="117"/>
        <v>#DIV/0!</v>
      </c>
      <c r="BQ1847" s="71">
        <v>0</v>
      </c>
      <c r="BR1847" s="71">
        <v>0</v>
      </c>
      <c r="BS1847" s="71">
        <v>0</v>
      </c>
      <c r="BT1847" s="72">
        <v>0</v>
      </c>
      <c r="BU1847" s="151" t="e">
        <f t="shared" si="121"/>
        <v>#DIV/0!</v>
      </c>
      <c r="BV1847" s="151" t="e">
        <f t="shared" si="122"/>
        <v>#DIV/0!</v>
      </c>
    </row>
    <row r="1848" ht="30" customHeight="1" spans="1:74">
      <c r="A1848" s="55" t="s">
        <v>165</v>
      </c>
      <c r="B1848" s="56" t="s">
        <v>2247</v>
      </c>
      <c r="C1848" s="57" t="s">
        <v>2248</v>
      </c>
      <c r="D1848" s="59" t="s">
        <v>2940</v>
      </c>
      <c r="E1848" s="187" t="s">
        <v>2941</v>
      </c>
      <c r="F1848" s="169" t="s">
        <v>2942</v>
      </c>
      <c r="G1848" s="169" t="s">
        <v>2943</v>
      </c>
      <c r="H1848" s="187" t="s">
        <v>2944</v>
      </c>
      <c r="I1848" s="187" t="s">
        <v>2945</v>
      </c>
      <c r="J1848" s="257" t="s">
        <v>2946</v>
      </c>
      <c r="K1848" s="61"/>
      <c r="L1848" s="62">
        <v>2</v>
      </c>
      <c r="M1848" s="63">
        <v>1200</v>
      </c>
      <c r="N1848" s="64">
        <v>13</v>
      </c>
      <c r="O1848" s="62">
        <v>2</v>
      </c>
      <c r="P1848" s="65">
        <f t="shared" si="120"/>
        <v>0</v>
      </c>
      <c r="Q1848" s="66"/>
      <c r="R1848" s="66"/>
      <c r="S1848" s="66"/>
      <c r="T1848" s="66"/>
      <c r="U1848" s="66"/>
      <c r="V1848" s="66"/>
      <c r="W1848" s="66"/>
      <c r="X1848" s="103"/>
      <c r="Y1848" s="66"/>
      <c r="Z1848" s="66"/>
      <c r="AA1848" s="66"/>
      <c r="AB1848" s="66"/>
      <c r="AC1848" s="66"/>
      <c r="AD1848" s="66"/>
      <c r="AE1848" s="66"/>
      <c r="AF1848" s="66"/>
      <c r="AG1848" s="66"/>
      <c r="AH1848" s="66"/>
      <c r="AI1848" s="66"/>
      <c r="AJ1848" s="66"/>
      <c r="AK1848" s="66"/>
      <c r="AL1848" s="103"/>
      <c r="AM1848" s="66"/>
      <c r="AN1848" s="66"/>
      <c r="AO1848" s="66"/>
      <c r="AP1848" s="66"/>
      <c r="AQ1848" s="66"/>
      <c r="AR1848" s="66"/>
      <c r="AS1848" s="66"/>
      <c r="AT1848" s="66"/>
      <c r="AU1848" s="66"/>
      <c r="AV1848" s="66"/>
      <c r="AW1848" s="66"/>
      <c r="AX1848" s="66"/>
      <c r="AY1848" s="66"/>
      <c r="AZ1848" s="103"/>
      <c r="BA1848" s="66"/>
      <c r="BB1848" s="66"/>
      <c r="BC1848" s="66"/>
      <c r="BD1848" s="66"/>
      <c r="BE1848" s="67"/>
      <c r="BF1848" s="67"/>
      <c r="BG1848" s="68"/>
      <c r="BI1848" s="69">
        <v>0</v>
      </c>
      <c r="BJ1848" s="70">
        <v>0</v>
      </c>
      <c r="BK1848" s="71">
        <v>0</v>
      </c>
      <c r="BL1848" s="71">
        <v>0</v>
      </c>
      <c r="BM1848" s="71">
        <v>0</v>
      </c>
      <c r="BN1848" s="72">
        <v>0</v>
      </c>
      <c r="BO1848" s="151" t="e">
        <f t="shared" si="116"/>
        <v>#DIV/0!</v>
      </c>
      <c r="BP1848" s="151" t="e">
        <f t="shared" si="117"/>
        <v>#DIV/0!</v>
      </c>
      <c r="BQ1848" s="71">
        <v>0</v>
      </c>
      <c r="BR1848" s="71">
        <v>0</v>
      </c>
      <c r="BS1848" s="71">
        <v>0</v>
      </c>
      <c r="BT1848" s="72">
        <v>0</v>
      </c>
      <c r="BU1848" s="151" t="e">
        <f t="shared" si="121"/>
        <v>#DIV/0!</v>
      </c>
      <c r="BV1848" s="151" t="e">
        <f t="shared" si="122"/>
        <v>#DIV/0!</v>
      </c>
    </row>
    <row r="1849" ht="30" customHeight="1" spans="1:74">
      <c r="A1849" s="55">
        <v>0</v>
      </c>
      <c r="B1849" s="56">
        <v>0</v>
      </c>
      <c r="C1849" s="57">
        <v>0</v>
      </c>
      <c r="D1849" s="74"/>
      <c r="E1849" s="211"/>
      <c r="F1849" s="187" t="e">
        <f>VLOOKUP(E1849,[1]库存!$B$1:$C$65536,2,FALSE)</f>
        <v>#N/A</v>
      </c>
      <c r="G1849" s="187" t="e">
        <v>#N/A</v>
      </c>
      <c r="H1849" s="211"/>
      <c r="I1849" s="211"/>
      <c r="J1849" s="258"/>
      <c r="K1849" s="61"/>
      <c r="L1849" s="62">
        <v>0</v>
      </c>
      <c r="M1849" s="63">
        <v>0</v>
      </c>
      <c r="N1849" s="64">
        <v>0</v>
      </c>
      <c r="O1849" s="62">
        <v>0</v>
      </c>
      <c r="P1849" s="65">
        <f t="shared" si="120"/>
        <v>0</v>
      </c>
      <c r="Q1849" s="66"/>
      <c r="R1849" s="66"/>
      <c r="S1849" s="66"/>
      <c r="T1849" s="66"/>
      <c r="U1849" s="66"/>
      <c r="V1849" s="66"/>
      <c r="W1849" s="66"/>
      <c r="X1849" s="66"/>
      <c r="Y1849" s="66"/>
      <c r="Z1849" s="66"/>
      <c r="AA1849" s="66"/>
      <c r="AB1849" s="66"/>
      <c r="AC1849" s="66"/>
      <c r="AD1849" s="66"/>
      <c r="AE1849" s="66"/>
      <c r="AF1849" s="66"/>
      <c r="AG1849" s="66"/>
      <c r="AH1849" s="66"/>
      <c r="AI1849" s="66"/>
      <c r="AJ1849" s="66"/>
      <c r="AK1849" s="66"/>
      <c r="AL1849" s="66"/>
      <c r="AM1849" s="66"/>
      <c r="AN1849" s="66"/>
      <c r="AO1849" s="66"/>
      <c r="AP1849" s="66"/>
      <c r="AQ1849" s="66"/>
      <c r="AR1849" s="66"/>
      <c r="AS1849" s="66"/>
      <c r="AT1849" s="66"/>
      <c r="AU1849" s="66"/>
      <c r="AV1849" s="66"/>
      <c r="AW1849" s="66"/>
      <c r="AX1849" s="66"/>
      <c r="AY1849" s="66"/>
      <c r="AZ1849" s="66"/>
      <c r="BA1849" s="66"/>
      <c r="BB1849" s="66"/>
      <c r="BC1849" s="66"/>
      <c r="BD1849" s="66"/>
      <c r="BE1849" s="67"/>
      <c r="BF1849" s="67"/>
      <c r="BG1849" s="68"/>
      <c r="BI1849" s="69">
        <v>0</v>
      </c>
      <c r="BJ1849" s="70">
        <v>0</v>
      </c>
      <c r="BK1849" s="71">
        <v>0</v>
      </c>
      <c r="BL1849" s="71">
        <v>0</v>
      </c>
      <c r="BM1849" s="71">
        <v>0</v>
      </c>
      <c r="BN1849" s="72">
        <v>0</v>
      </c>
      <c r="BO1849" s="151" t="e">
        <f t="shared" si="116"/>
        <v>#DIV/0!</v>
      </c>
      <c r="BP1849" s="151" t="e">
        <f t="shared" si="117"/>
        <v>#DIV/0!</v>
      </c>
      <c r="BQ1849" s="71">
        <v>0</v>
      </c>
      <c r="BR1849" s="71">
        <v>0</v>
      </c>
      <c r="BS1849" s="71">
        <v>0</v>
      </c>
      <c r="BT1849" s="72">
        <v>0</v>
      </c>
      <c r="BU1849" s="151" t="e">
        <f t="shared" si="121"/>
        <v>#DIV/0!</v>
      </c>
      <c r="BV1849" s="151" t="e">
        <f t="shared" si="122"/>
        <v>#DIV/0!</v>
      </c>
    </row>
    <row r="1850" ht="30" customHeight="1" spans="1:74">
      <c r="A1850" s="55" t="s">
        <v>165</v>
      </c>
      <c r="B1850" s="56" t="s">
        <v>2247</v>
      </c>
      <c r="C1850" s="57" t="s">
        <v>2248</v>
      </c>
      <c r="D1850" s="59" t="s">
        <v>2940</v>
      </c>
      <c r="E1850" s="187" t="s">
        <v>2947</v>
      </c>
      <c r="F1850" s="169" t="s">
        <v>2948</v>
      </c>
      <c r="G1850" s="169" t="s">
        <v>2949</v>
      </c>
      <c r="H1850" s="187" t="s">
        <v>2950</v>
      </c>
      <c r="I1850" s="187" t="s">
        <v>2945</v>
      </c>
      <c r="J1850" s="257" t="s">
        <v>2946</v>
      </c>
      <c r="K1850" s="61"/>
      <c r="L1850" s="62">
        <v>2</v>
      </c>
      <c r="M1850" s="63">
        <v>1200</v>
      </c>
      <c r="N1850" s="64">
        <v>13</v>
      </c>
      <c r="O1850" s="62">
        <v>2</v>
      </c>
      <c r="P1850" s="65">
        <f t="shared" si="120"/>
        <v>0</v>
      </c>
      <c r="Q1850" s="66"/>
      <c r="R1850" s="66"/>
      <c r="S1850" s="66"/>
      <c r="T1850" s="66"/>
      <c r="U1850" s="66"/>
      <c r="V1850" s="66"/>
      <c r="W1850" s="66"/>
      <c r="X1850" s="66"/>
      <c r="Y1850" s="66"/>
      <c r="Z1850" s="66"/>
      <c r="AA1850" s="66"/>
      <c r="AB1850" s="66"/>
      <c r="AC1850" s="66"/>
      <c r="AD1850" s="66"/>
      <c r="AE1850" s="66"/>
      <c r="AF1850" s="66"/>
      <c r="AG1850" s="66"/>
      <c r="AH1850" s="66"/>
      <c r="AI1850" s="66"/>
      <c r="AJ1850" s="66"/>
      <c r="AK1850" s="66"/>
      <c r="AL1850" s="66"/>
      <c r="AM1850" s="66"/>
      <c r="AN1850" s="66"/>
      <c r="AO1850" s="66"/>
      <c r="AP1850" s="66"/>
      <c r="AQ1850" s="66"/>
      <c r="AR1850" s="66"/>
      <c r="AS1850" s="66"/>
      <c r="AT1850" s="66"/>
      <c r="AU1850" s="66"/>
      <c r="AV1850" s="66"/>
      <c r="AW1850" s="66"/>
      <c r="AX1850" s="66"/>
      <c r="AY1850" s="66"/>
      <c r="AZ1850" s="66"/>
      <c r="BA1850" s="66"/>
      <c r="BB1850" s="66"/>
      <c r="BC1850" s="66"/>
      <c r="BD1850" s="66"/>
      <c r="BE1850" s="67"/>
      <c r="BF1850" s="67"/>
      <c r="BG1850" s="68"/>
      <c r="BI1850" s="69">
        <v>0</v>
      </c>
      <c r="BJ1850" s="70">
        <v>0</v>
      </c>
      <c r="BK1850" s="71">
        <v>0</v>
      </c>
      <c r="BL1850" s="71">
        <v>0</v>
      </c>
      <c r="BM1850" s="71">
        <v>0</v>
      </c>
      <c r="BN1850" s="72">
        <v>0</v>
      </c>
      <c r="BO1850" s="151" t="e">
        <f t="shared" si="116"/>
        <v>#DIV/0!</v>
      </c>
      <c r="BP1850" s="151" t="e">
        <f t="shared" si="117"/>
        <v>#DIV/0!</v>
      </c>
      <c r="BQ1850" s="71">
        <v>0</v>
      </c>
      <c r="BR1850" s="71">
        <v>0</v>
      </c>
      <c r="BS1850" s="71">
        <v>0</v>
      </c>
      <c r="BT1850" s="72">
        <v>0</v>
      </c>
      <c r="BU1850" s="151" t="e">
        <f t="shared" si="121"/>
        <v>#DIV/0!</v>
      </c>
      <c r="BV1850" s="151" t="e">
        <f t="shared" si="122"/>
        <v>#DIV/0!</v>
      </c>
    </row>
    <row r="1851" ht="30" customHeight="1" spans="1:74">
      <c r="A1851" s="55">
        <v>0</v>
      </c>
      <c r="B1851" s="56">
        <v>0</v>
      </c>
      <c r="C1851" s="57">
        <v>0</v>
      </c>
      <c r="D1851" s="74"/>
      <c r="E1851" s="211"/>
      <c r="F1851" s="187" t="e">
        <f>VLOOKUP(E1851,[1]库存!$B$1:$C$65536,2,FALSE)</f>
        <v>#N/A</v>
      </c>
      <c r="G1851" s="187" t="e">
        <v>#N/A</v>
      </c>
      <c r="H1851" s="211"/>
      <c r="I1851" s="211"/>
      <c r="J1851" s="258"/>
      <c r="K1851" s="61"/>
      <c r="L1851" s="62">
        <v>0</v>
      </c>
      <c r="M1851" s="63">
        <v>0</v>
      </c>
      <c r="N1851" s="64">
        <v>0</v>
      </c>
      <c r="O1851" s="62">
        <v>0</v>
      </c>
      <c r="P1851" s="65">
        <f t="shared" si="120"/>
        <v>0</v>
      </c>
      <c r="Q1851" s="66"/>
      <c r="R1851" s="66"/>
      <c r="S1851" s="66"/>
      <c r="T1851" s="66"/>
      <c r="U1851" s="66"/>
      <c r="V1851" s="66"/>
      <c r="W1851" s="66"/>
      <c r="X1851" s="66"/>
      <c r="Y1851" s="66"/>
      <c r="Z1851" s="66"/>
      <c r="AA1851" s="66"/>
      <c r="AB1851" s="66"/>
      <c r="AC1851" s="66"/>
      <c r="AD1851" s="66"/>
      <c r="AE1851" s="66"/>
      <c r="AF1851" s="66"/>
      <c r="AG1851" s="66"/>
      <c r="AH1851" s="66"/>
      <c r="AI1851" s="66"/>
      <c r="AJ1851" s="66"/>
      <c r="AK1851" s="66"/>
      <c r="AL1851" s="66"/>
      <c r="AM1851" s="66"/>
      <c r="AN1851" s="66"/>
      <c r="AO1851" s="66"/>
      <c r="AP1851" s="66"/>
      <c r="AQ1851" s="66"/>
      <c r="AR1851" s="66"/>
      <c r="AS1851" s="66"/>
      <c r="AT1851" s="66"/>
      <c r="AU1851" s="66"/>
      <c r="AV1851" s="66"/>
      <c r="AW1851" s="66"/>
      <c r="AX1851" s="66"/>
      <c r="AY1851" s="66"/>
      <c r="AZ1851" s="66"/>
      <c r="BA1851" s="66"/>
      <c r="BB1851" s="66"/>
      <c r="BC1851" s="66"/>
      <c r="BD1851" s="66"/>
      <c r="BE1851" s="67"/>
      <c r="BF1851" s="67"/>
      <c r="BG1851" s="68"/>
      <c r="BI1851" s="69">
        <v>0</v>
      </c>
      <c r="BJ1851" s="70">
        <v>0</v>
      </c>
      <c r="BK1851" s="71">
        <v>0</v>
      </c>
      <c r="BL1851" s="71">
        <v>0</v>
      </c>
      <c r="BM1851" s="71">
        <v>0</v>
      </c>
      <c r="BN1851" s="72">
        <v>0</v>
      </c>
      <c r="BO1851" s="151" t="e">
        <f t="shared" si="116"/>
        <v>#DIV/0!</v>
      </c>
      <c r="BP1851" s="151" t="e">
        <f t="shared" si="117"/>
        <v>#DIV/0!</v>
      </c>
      <c r="BQ1851" s="71">
        <v>0</v>
      </c>
      <c r="BR1851" s="71">
        <v>0</v>
      </c>
      <c r="BS1851" s="71">
        <v>0</v>
      </c>
      <c r="BT1851" s="72">
        <v>0</v>
      </c>
      <c r="BU1851" s="151" t="e">
        <f t="shared" si="121"/>
        <v>#DIV/0!</v>
      </c>
      <c r="BV1851" s="151" t="e">
        <f t="shared" si="122"/>
        <v>#DIV/0!</v>
      </c>
    </row>
    <row r="1852" ht="30" customHeight="1" spans="1:74">
      <c r="A1852" s="55" t="s">
        <v>246</v>
      </c>
      <c r="B1852" s="56" t="s">
        <v>2247</v>
      </c>
      <c r="C1852" s="57" t="s">
        <v>2248</v>
      </c>
      <c r="D1852" s="59" t="s">
        <v>2940</v>
      </c>
      <c r="E1852" s="59" t="s">
        <v>2941</v>
      </c>
      <c r="F1852" s="59" t="str">
        <f>VLOOKUP(E1852,[1]库存!$B$1:$C$65536,2,FALSE)</f>
        <v>Changan CD701 FSAB LH C状态</v>
      </c>
      <c r="G1852" s="59" t="s">
        <v>2951</v>
      </c>
      <c r="H1852" s="59" t="s">
        <v>2952</v>
      </c>
      <c r="I1852" s="59" t="s">
        <v>2945</v>
      </c>
      <c r="J1852" s="63"/>
      <c r="K1852" s="61"/>
      <c r="L1852" s="62">
        <v>2</v>
      </c>
      <c r="M1852" s="63">
        <v>1200</v>
      </c>
      <c r="N1852" s="64">
        <v>13</v>
      </c>
      <c r="O1852" s="62">
        <v>2</v>
      </c>
      <c r="P1852" s="65">
        <f t="shared" si="120"/>
        <v>0</v>
      </c>
      <c r="Q1852" s="66"/>
      <c r="R1852" s="66"/>
      <c r="S1852" s="66"/>
      <c r="T1852" s="66"/>
      <c r="U1852" s="66"/>
      <c r="V1852" s="66"/>
      <c r="W1852" s="103"/>
      <c r="X1852" s="66"/>
      <c r="Y1852" s="66"/>
      <c r="Z1852" s="66"/>
      <c r="AA1852" s="66"/>
      <c r="AB1852" s="66"/>
      <c r="AC1852" s="66"/>
      <c r="AD1852" s="66"/>
      <c r="AE1852" s="66"/>
      <c r="AF1852" s="66"/>
      <c r="AG1852" s="66"/>
      <c r="AH1852" s="66"/>
      <c r="AI1852" s="66"/>
      <c r="AJ1852" s="66"/>
      <c r="AK1852" s="103"/>
      <c r="AL1852" s="66"/>
      <c r="AM1852" s="66"/>
      <c r="AN1852" s="66"/>
      <c r="AO1852" s="66"/>
      <c r="AP1852" s="66"/>
      <c r="AQ1852" s="66"/>
      <c r="AR1852" s="66"/>
      <c r="AS1852" s="66"/>
      <c r="AT1852" s="66"/>
      <c r="AU1852" s="66"/>
      <c r="AV1852" s="66"/>
      <c r="AW1852" s="66"/>
      <c r="AX1852" s="66"/>
      <c r="AY1852" s="103"/>
      <c r="AZ1852" s="66"/>
      <c r="BA1852" s="66"/>
      <c r="BB1852" s="66"/>
      <c r="BC1852" s="66"/>
      <c r="BD1852" s="66"/>
      <c r="BE1852" s="105"/>
      <c r="BF1852" s="67"/>
      <c r="BG1852" s="68"/>
      <c r="BI1852" s="69">
        <v>0</v>
      </c>
      <c r="BJ1852" s="70">
        <v>0</v>
      </c>
      <c r="BK1852" s="71">
        <v>0</v>
      </c>
      <c r="BL1852" s="71">
        <v>0</v>
      </c>
      <c r="BM1852" s="71">
        <v>0</v>
      </c>
      <c r="BN1852" s="72">
        <v>0</v>
      </c>
      <c r="BO1852" s="151" t="e">
        <f t="shared" si="116"/>
        <v>#DIV/0!</v>
      </c>
      <c r="BP1852" s="151" t="e">
        <f t="shared" si="117"/>
        <v>#DIV/0!</v>
      </c>
      <c r="BQ1852" s="71">
        <v>0</v>
      </c>
      <c r="BR1852" s="71">
        <v>0</v>
      </c>
      <c r="BS1852" s="71">
        <v>0</v>
      </c>
      <c r="BT1852" s="72">
        <v>0</v>
      </c>
      <c r="BU1852" s="151" t="e">
        <f t="shared" si="121"/>
        <v>#DIV/0!</v>
      </c>
      <c r="BV1852" s="151" t="e">
        <f t="shared" si="122"/>
        <v>#DIV/0!</v>
      </c>
    </row>
    <row r="1853" ht="30" customHeight="1" spans="1:74">
      <c r="A1853" s="55">
        <v>0</v>
      </c>
      <c r="B1853" s="56">
        <v>0</v>
      </c>
      <c r="C1853" s="57">
        <v>0</v>
      </c>
      <c r="D1853" s="74"/>
      <c r="E1853" s="74"/>
      <c r="F1853" s="59" t="e">
        <f>VLOOKUP(E1853,[1]库存!$B$1:$C$65536,2,FALSE)</f>
        <v>#N/A</v>
      </c>
      <c r="G1853" s="59" t="e">
        <v>#N/A</v>
      </c>
      <c r="H1853" s="74"/>
      <c r="I1853" s="74"/>
      <c r="J1853" s="87"/>
      <c r="K1853" s="61"/>
      <c r="L1853" s="62">
        <v>0</v>
      </c>
      <c r="M1853" s="63">
        <v>0</v>
      </c>
      <c r="N1853" s="64">
        <v>0</v>
      </c>
      <c r="O1853" s="62">
        <v>0</v>
      </c>
      <c r="P1853" s="65">
        <f t="shared" si="120"/>
        <v>0</v>
      </c>
      <c r="Q1853" s="66"/>
      <c r="R1853" s="66"/>
      <c r="S1853" s="66"/>
      <c r="T1853" s="66"/>
      <c r="U1853" s="66"/>
      <c r="V1853" s="66"/>
      <c r="W1853" s="66"/>
      <c r="X1853" s="66"/>
      <c r="Y1853" s="66"/>
      <c r="Z1853" s="66"/>
      <c r="AA1853" s="66"/>
      <c r="AB1853" s="66"/>
      <c r="AC1853" s="66"/>
      <c r="AD1853" s="66"/>
      <c r="AE1853" s="66"/>
      <c r="AF1853" s="66"/>
      <c r="AG1853" s="66"/>
      <c r="AH1853" s="66"/>
      <c r="AI1853" s="66"/>
      <c r="AJ1853" s="66"/>
      <c r="AK1853" s="66"/>
      <c r="AL1853" s="66"/>
      <c r="AM1853" s="66"/>
      <c r="AN1853" s="66"/>
      <c r="AO1853" s="66"/>
      <c r="AP1853" s="66"/>
      <c r="AQ1853" s="66"/>
      <c r="AR1853" s="66"/>
      <c r="AS1853" s="66"/>
      <c r="AT1853" s="66"/>
      <c r="AU1853" s="66"/>
      <c r="AV1853" s="66"/>
      <c r="AW1853" s="66"/>
      <c r="AX1853" s="66"/>
      <c r="AY1853" s="66"/>
      <c r="AZ1853" s="66"/>
      <c r="BA1853" s="66"/>
      <c r="BB1853" s="66"/>
      <c r="BC1853" s="66"/>
      <c r="BD1853" s="66"/>
      <c r="BE1853" s="67"/>
      <c r="BF1853" s="67"/>
      <c r="BG1853" s="68"/>
      <c r="BI1853" s="69">
        <v>0</v>
      </c>
      <c r="BJ1853" s="70">
        <v>0</v>
      </c>
      <c r="BK1853" s="71">
        <v>0</v>
      </c>
      <c r="BL1853" s="71">
        <v>0</v>
      </c>
      <c r="BM1853" s="71">
        <v>0</v>
      </c>
      <c r="BN1853" s="72">
        <v>0</v>
      </c>
      <c r="BO1853" s="151" t="e">
        <f t="shared" si="116"/>
        <v>#DIV/0!</v>
      </c>
      <c r="BP1853" s="151" t="e">
        <f t="shared" si="117"/>
        <v>#DIV/0!</v>
      </c>
      <c r="BQ1853" s="71">
        <v>0</v>
      </c>
      <c r="BR1853" s="71">
        <v>0</v>
      </c>
      <c r="BS1853" s="71">
        <v>0</v>
      </c>
      <c r="BT1853" s="72">
        <v>0</v>
      </c>
      <c r="BU1853" s="151" t="e">
        <f t="shared" si="121"/>
        <v>#DIV/0!</v>
      </c>
      <c r="BV1853" s="151" t="e">
        <f t="shared" si="122"/>
        <v>#DIV/0!</v>
      </c>
    </row>
    <row r="1854" ht="30" customHeight="1" spans="1:74">
      <c r="A1854" s="55" t="s">
        <v>246</v>
      </c>
      <c r="B1854" s="56" t="s">
        <v>2247</v>
      </c>
      <c r="C1854" s="57" t="s">
        <v>2248</v>
      </c>
      <c r="D1854" s="59" t="s">
        <v>2940</v>
      </c>
      <c r="E1854" s="59" t="s">
        <v>2947</v>
      </c>
      <c r="F1854" s="59" t="str">
        <f>VLOOKUP(E1854,[1]库存!$B$1:$C$65536,2,FALSE)</f>
        <v>Changan CD701 FSAB RH C状态</v>
      </c>
      <c r="G1854" s="59" t="s">
        <v>2953</v>
      </c>
      <c r="H1854" s="59" t="s">
        <v>2954</v>
      </c>
      <c r="I1854" s="59" t="s">
        <v>2945</v>
      </c>
      <c r="J1854" s="63"/>
      <c r="K1854" s="61"/>
      <c r="L1854" s="62">
        <v>2</v>
      </c>
      <c r="M1854" s="63">
        <v>1200</v>
      </c>
      <c r="N1854" s="64">
        <v>13</v>
      </c>
      <c r="O1854" s="62">
        <v>2</v>
      </c>
      <c r="P1854" s="65">
        <f t="shared" si="120"/>
        <v>0</v>
      </c>
      <c r="Q1854" s="66"/>
      <c r="R1854" s="103"/>
      <c r="S1854" s="66"/>
      <c r="T1854" s="103"/>
      <c r="U1854" s="66"/>
      <c r="V1854" s="103"/>
      <c r="W1854" s="66"/>
      <c r="X1854" s="103"/>
      <c r="Y1854" s="66"/>
      <c r="Z1854" s="103"/>
      <c r="AA1854" s="66"/>
      <c r="AB1854" s="103"/>
      <c r="AC1854" s="66"/>
      <c r="AD1854" s="103"/>
      <c r="AE1854" s="66"/>
      <c r="AF1854" s="103"/>
      <c r="AG1854" s="66"/>
      <c r="AH1854" s="103"/>
      <c r="AI1854" s="66"/>
      <c r="AJ1854" s="103"/>
      <c r="AK1854" s="66"/>
      <c r="AL1854" s="103"/>
      <c r="AM1854" s="66"/>
      <c r="AN1854" s="103"/>
      <c r="AO1854" s="66"/>
      <c r="AP1854" s="103"/>
      <c r="AQ1854" s="66"/>
      <c r="AR1854" s="103"/>
      <c r="AS1854" s="66"/>
      <c r="AT1854" s="103"/>
      <c r="AU1854" s="66"/>
      <c r="AV1854" s="103"/>
      <c r="AW1854" s="66"/>
      <c r="AX1854" s="103"/>
      <c r="AY1854" s="66"/>
      <c r="AZ1854" s="103"/>
      <c r="BA1854" s="66"/>
      <c r="BB1854" s="103"/>
      <c r="BC1854" s="66"/>
      <c r="BD1854" s="103"/>
      <c r="BE1854" s="105"/>
      <c r="BF1854" s="67"/>
      <c r="BG1854" s="68"/>
      <c r="BI1854" s="69">
        <v>0</v>
      </c>
      <c r="BJ1854" s="70">
        <v>0</v>
      </c>
      <c r="BK1854" s="71">
        <v>0</v>
      </c>
      <c r="BL1854" s="71">
        <v>0</v>
      </c>
      <c r="BM1854" s="71">
        <v>0</v>
      </c>
      <c r="BN1854" s="72">
        <v>0</v>
      </c>
      <c r="BO1854" s="151" t="e">
        <f t="shared" si="116"/>
        <v>#DIV/0!</v>
      </c>
      <c r="BP1854" s="151" t="e">
        <f t="shared" si="117"/>
        <v>#DIV/0!</v>
      </c>
      <c r="BQ1854" s="71">
        <v>0</v>
      </c>
      <c r="BR1854" s="71">
        <v>0</v>
      </c>
      <c r="BS1854" s="71">
        <v>0</v>
      </c>
      <c r="BT1854" s="72">
        <v>0</v>
      </c>
      <c r="BU1854" s="151" t="e">
        <f t="shared" si="121"/>
        <v>#DIV/0!</v>
      </c>
      <c r="BV1854" s="151" t="e">
        <f t="shared" si="122"/>
        <v>#DIV/0!</v>
      </c>
    </row>
    <row r="1855" ht="30" customHeight="1" spans="1:74">
      <c r="A1855" s="55">
        <v>0</v>
      </c>
      <c r="B1855" s="56">
        <v>0</v>
      </c>
      <c r="C1855" s="57">
        <v>0</v>
      </c>
      <c r="D1855" s="74"/>
      <c r="E1855" s="74"/>
      <c r="F1855" s="59" t="e">
        <f>VLOOKUP(E1855,[1]库存!$B$1:$C$65536,2,FALSE)</f>
        <v>#N/A</v>
      </c>
      <c r="G1855" s="59" t="e">
        <v>#N/A</v>
      </c>
      <c r="H1855" s="74"/>
      <c r="I1855" s="74"/>
      <c r="J1855" s="87"/>
      <c r="K1855" s="61"/>
      <c r="L1855" s="62">
        <v>0</v>
      </c>
      <c r="M1855" s="63">
        <v>0</v>
      </c>
      <c r="N1855" s="64">
        <v>0</v>
      </c>
      <c r="O1855" s="62">
        <v>0</v>
      </c>
      <c r="P1855" s="65">
        <f t="shared" si="120"/>
        <v>0</v>
      </c>
      <c r="Q1855" s="66"/>
      <c r="R1855" s="66"/>
      <c r="S1855" s="66"/>
      <c r="T1855" s="66"/>
      <c r="U1855" s="66"/>
      <c r="V1855" s="66"/>
      <c r="W1855" s="66"/>
      <c r="X1855" s="66"/>
      <c r="Y1855" s="66"/>
      <c r="Z1855" s="66"/>
      <c r="AA1855" s="66"/>
      <c r="AB1855" s="66"/>
      <c r="AC1855" s="66"/>
      <c r="AD1855" s="66"/>
      <c r="AE1855" s="66"/>
      <c r="AF1855" s="66"/>
      <c r="AG1855" s="66"/>
      <c r="AH1855" s="66"/>
      <c r="AI1855" s="66"/>
      <c r="AJ1855" s="66"/>
      <c r="AK1855" s="66"/>
      <c r="AL1855" s="66"/>
      <c r="AM1855" s="66"/>
      <c r="AN1855" s="66"/>
      <c r="AO1855" s="66"/>
      <c r="AP1855" s="66"/>
      <c r="AQ1855" s="66"/>
      <c r="AR1855" s="66"/>
      <c r="AS1855" s="66"/>
      <c r="AT1855" s="66"/>
      <c r="AU1855" s="66"/>
      <c r="AV1855" s="66"/>
      <c r="AW1855" s="66"/>
      <c r="AX1855" s="66"/>
      <c r="AY1855" s="66"/>
      <c r="AZ1855" s="66"/>
      <c r="BA1855" s="66"/>
      <c r="BB1855" s="66"/>
      <c r="BC1855" s="66"/>
      <c r="BD1855" s="66"/>
      <c r="BE1855" s="67"/>
      <c r="BF1855" s="67"/>
      <c r="BG1855" s="68"/>
      <c r="BI1855" s="69">
        <v>0</v>
      </c>
      <c r="BJ1855" s="70">
        <v>0</v>
      </c>
      <c r="BK1855" s="71">
        <v>0</v>
      </c>
      <c r="BL1855" s="71">
        <v>0</v>
      </c>
      <c r="BM1855" s="71">
        <v>0</v>
      </c>
      <c r="BN1855" s="72">
        <v>0</v>
      </c>
      <c r="BO1855" s="151" t="e">
        <f t="shared" si="116"/>
        <v>#DIV/0!</v>
      </c>
      <c r="BP1855" s="151" t="e">
        <f t="shared" si="117"/>
        <v>#DIV/0!</v>
      </c>
      <c r="BQ1855" s="71">
        <v>0</v>
      </c>
      <c r="BR1855" s="71">
        <v>0</v>
      </c>
      <c r="BS1855" s="71">
        <v>0</v>
      </c>
      <c r="BT1855" s="72">
        <v>0</v>
      </c>
      <c r="BU1855" s="151" t="e">
        <f t="shared" si="121"/>
        <v>#DIV/0!</v>
      </c>
      <c r="BV1855" s="151" t="e">
        <f t="shared" si="122"/>
        <v>#DIV/0!</v>
      </c>
    </row>
    <row r="1856" ht="30" customHeight="1" spans="1:74">
      <c r="A1856" s="55" t="s">
        <v>165</v>
      </c>
      <c r="B1856" s="56" t="s">
        <v>2247</v>
      </c>
      <c r="C1856" s="57" t="s">
        <v>2248</v>
      </c>
      <c r="D1856" s="59" t="s">
        <v>2940</v>
      </c>
      <c r="E1856" s="59" t="s">
        <v>2955</v>
      </c>
      <c r="F1856" s="59" t="str">
        <f>VLOOKUP(E1856,[1]库存!$B$1:$C$65536,2,FALSE)</f>
        <v>ROX01 SAB LH B状态</v>
      </c>
      <c r="G1856" s="59" t="s">
        <v>2956</v>
      </c>
      <c r="H1856" s="59" t="s">
        <v>2957</v>
      </c>
      <c r="I1856" s="59" t="s">
        <v>2505</v>
      </c>
      <c r="J1856" s="63"/>
      <c r="K1856" s="61"/>
      <c r="L1856" s="62">
        <v>2</v>
      </c>
      <c r="M1856" s="63">
        <v>1000</v>
      </c>
      <c r="N1856" s="64">
        <v>12</v>
      </c>
      <c r="O1856" s="62">
        <v>2</v>
      </c>
      <c r="P1856" s="65">
        <f t="shared" si="120"/>
        <v>0</v>
      </c>
      <c r="Q1856" s="66"/>
      <c r="R1856" s="66"/>
      <c r="S1856" s="66"/>
      <c r="T1856" s="66"/>
      <c r="U1856" s="66"/>
      <c r="V1856" s="66"/>
      <c r="W1856" s="66"/>
      <c r="X1856" s="66"/>
      <c r="Y1856" s="66"/>
      <c r="Z1856" s="66"/>
      <c r="AA1856" s="66"/>
      <c r="AB1856" s="66"/>
      <c r="AC1856" s="66"/>
      <c r="AD1856" s="66"/>
      <c r="AE1856" s="66"/>
      <c r="AF1856" s="66"/>
      <c r="AG1856" s="66"/>
      <c r="AH1856" s="66"/>
      <c r="AI1856" s="66"/>
      <c r="AJ1856" s="66"/>
      <c r="AK1856" s="66"/>
      <c r="AL1856" s="66"/>
      <c r="AM1856" s="66"/>
      <c r="AN1856" s="66"/>
      <c r="AO1856" s="66"/>
      <c r="AP1856" s="66"/>
      <c r="AQ1856" s="66"/>
      <c r="AR1856" s="66"/>
      <c r="AS1856" s="66"/>
      <c r="AT1856" s="66"/>
      <c r="AU1856" s="66"/>
      <c r="AV1856" s="66"/>
      <c r="AW1856" s="66"/>
      <c r="AX1856" s="66"/>
      <c r="AY1856" s="66"/>
      <c r="AZ1856" s="66"/>
      <c r="BA1856" s="66"/>
      <c r="BB1856" s="66"/>
      <c r="BC1856" s="66"/>
      <c r="BD1856" s="66"/>
      <c r="BE1856" s="67"/>
      <c r="BF1856" s="67"/>
      <c r="BG1856" s="68"/>
      <c r="BI1856" s="69">
        <v>0</v>
      </c>
      <c r="BJ1856" s="70">
        <v>0</v>
      </c>
      <c r="BK1856" s="71">
        <v>0</v>
      </c>
      <c r="BL1856" s="71">
        <v>0</v>
      </c>
      <c r="BM1856" s="71">
        <v>0</v>
      </c>
      <c r="BN1856" s="72">
        <v>0</v>
      </c>
      <c r="BO1856" s="151" t="e">
        <f t="shared" si="116"/>
        <v>#DIV/0!</v>
      </c>
      <c r="BP1856" s="151" t="e">
        <f t="shared" si="117"/>
        <v>#DIV/0!</v>
      </c>
      <c r="BQ1856" s="71">
        <v>0</v>
      </c>
      <c r="BR1856" s="71">
        <v>0</v>
      </c>
      <c r="BS1856" s="71">
        <v>0</v>
      </c>
      <c r="BT1856" s="72">
        <v>0</v>
      </c>
      <c r="BU1856" s="151" t="e">
        <f t="shared" si="121"/>
        <v>#DIV/0!</v>
      </c>
      <c r="BV1856" s="151" t="e">
        <f t="shared" si="122"/>
        <v>#DIV/0!</v>
      </c>
    </row>
    <row r="1857" ht="30" customHeight="1" spans="1:74">
      <c r="A1857" s="55">
        <v>0</v>
      </c>
      <c r="B1857" s="56">
        <v>0</v>
      </c>
      <c r="C1857" s="57">
        <v>0</v>
      </c>
      <c r="D1857" s="74"/>
      <c r="E1857" s="74"/>
      <c r="F1857" s="59" t="e">
        <f>VLOOKUP(E1857,[1]库存!$B$1:$C$65536,2,FALSE)</f>
        <v>#N/A</v>
      </c>
      <c r="G1857" s="59" t="e">
        <v>#N/A</v>
      </c>
      <c r="H1857" s="74"/>
      <c r="I1857" s="74"/>
      <c r="J1857" s="87"/>
      <c r="K1857" s="61"/>
      <c r="L1857" s="62">
        <v>0</v>
      </c>
      <c r="M1857" s="63">
        <v>0</v>
      </c>
      <c r="N1857" s="64">
        <v>0</v>
      </c>
      <c r="O1857" s="62">
        <v>0</v>
      </c>
      <c r="P1857" s="65">
        <f t="shared" si="120"/>
        <v>0</v>
      </c>
      <c r="Q1857" s="66"/>
      <c r="R1857" s="66"/>
      <c r="S1857" s="66"/>
      <c r="T1857" s="66"/>
      <c r="U1857" s="66"/>
      <c r="V1857" s="66"/>
      <c r="W1857" s="66"/>
      <c r="X1857" s="66"/>
      <c r="Y1857" s="66"/>
      <c r="Z1857" s="66"/>
      <c r="AA1857" s="66"/>
      <c r="AB1857" s="66"/>
      <c r="AC1857" s="66"/>
      <c r="AD1857" s="66"/>
      <c r="AE1857" s="66"/>
      <c r="AF1857" s="66"/>
      <c r="AG1857" s="66"/>
      <c r="AH1857" s="66"/>
      <c r="AI1857" s="66"/>
      <c r="AJ1857" s="66"/>
      <c r="AK1857" s="66"/>
      <c r="AL1857" s="66"/>
      <c r="AM1857" s="66"/>
      <c r="AN1857" s="66"/>
      <c r="AO1857" s="66"/>
      <c r="AP1857" s="66"/>
      <c r="AQ1857" s="66"/>
      <c r="AR1857" s="66"/>
      <c r="AS1857" s="66"/>
      <c r="AT1857" s="66"/>
      <c r="AU1857" s="66"/>
      <c r="AV1857" s="66"/>
      <c r="AW1857" s="66"/>
      <c r="AX1857" s="66"/>
      <c r="AY1857" s="66"/>
      <c r="AZ1857" s="66"/>
      <c r="BA1857" s="66"/>
      <c r="BB1857" s="66"/>
      <c r="BC1857" s="66"/>
      <c r="BD1857" s="66"/>
      <c r="BE1857" s="67"/>
      <c r="BF1857" s="67"/>
      <c r="BG1857" s="68"/>
      <c r="BI1857" s="69">
        <v>0</v>
      </c>
      <c r="BJ1857" s="70">
        <v>0</v>
      </c>
      <c r="BK1857" s="71">
        <v>0</v>
      </c>
      <c r="BL1857" s="71">
        <v>0</v>
      </c>
      <c r="BM1857" s="71">
        <v>0</v>
      </c>
      <c r="BN1857" s="72">
        <v>0</v>
      </c>
      <c r="BO1857" s="151" t="e">
        <f t="shared" si="116"/>
        <v>#DIV/0!</v>
      </c>
      <c r="BP1857" s="151" t="e">
        <f t="shared" si="117"/>
        <v>#DIV/0!</v>
      </c>
      <c r="BQ1857" s="71">
        <v>0</v>
      </c>
      <c r="BR1857" s="71">
        <v>0</v>
      </c>
      <c r="BS1857" s="71">
        <v>0</v>
      </c>
      <c r="BT1857" s="72">
        <v>0</v>
      </c>
      <c r="BU1857" s="151" t="e">
        <f t="shared" si="121"/>
        <v>#DIV/0!</v>
      </c>
      <c r="BV1857" s="151" t="e">
        <f t="shared" si="122"/>
        <v>#DIV/0!</v>
      </c>
    </row>
    <row r="1858" ht="30" customHeight="1" spans="1:74">
      <c r="A1858" s="55" t="s">
        <v>165</v>
      </c>
      <c r="B1858" s="56" t="s">
        <v>2247</v>
      </c>
      <c r="C1858" s="57" t="s">
        <v>2248</v>
      </c>
      <c r="D1858" s="59" t="s">
        <v>2940</v>
      </c>
      <c r="E1858" s="59" t="s">
        <v>2958</v>
      </c>
      <c r="F1858" s="59" t="str">
        <f>VLOOKUP(E1858,[1]库存!$B$1:$C$65536,2,FALSE)</f>
        <v>ROX01 SAB RH B状态</v>
      </c>
      <c r="G1858" s="59" t="s">
        <v>2959</v>
      </c>
      <c r="H1858" s="59" t="s">
        <v>2960</v>
      </c>
      <c r="I1858" s="59" t="s">
        <v>2505</v>
      </c>
      <c r="J1858" s="87"/>
      <c r="K1858" s="61"/>
      <c r="L1858" s="62">
        <v>2</v>
      </c>
      <c r="M1858" s="63">
        <v>1000</v>
      </c>
      <c r="N1858" s="64">
        <v>12</v>
      </c>
      <c r="O1858" s="62">
        <v>2</v>
      </c>
      <c r="P1858" s="65">
        <f t="shared" si="120"/>
        <v>0</v>
      </c>
      <c r="Q1858" s="66">
        <v>1500</v>
      </c>
      <c r="R1858" s="66"/>
      <c r="S1858" s="66"/>
      <c r="T1858" s="66"/>
      <c r="U1858" s="66"/>
      <c r="V1858" s="66"/>
      <c r="W1858" s="66"/>
      <c r="X1858" s="66"/>
      <c r="Y1858" s="66"/>
      <c r="Z1858" s="66"/>
      <c r="AA1858" s="66"/>
      <c r="AB1858" s="66"/>
      <c r="AC1858" s="66"/>
      <c r="AD1858" s="66"/>
      <c r="AE1858" s="66"/>
      <c r="AF1858" s="66"/>
      <c r="AG1858" s="66"/>
      <c r="AH1858" s="66"/>
      <c r="AI1858" s="66"/>
      <c r="AJ1858" s="66"/>
      <c r="AK1858" s="66"/>
      <c r="AL1858" s="66"/>
      <c r="AM1858" s="66"/>
      <c r="AN1858" s="66"/>
      <c r="AO1858" s="66"/>
      <c r="AP1858" s="66"/>
      <c r="AQ1858" s="66"/>
      <c r="AR1858" s="66"/>
      <c r="AS1858" s="66"/>
      <c r="AT1858" s="66"/>
      <c r="AU1858" s="66"/>
      <c r="AV1858" s="66"/>
      <c r="AW1858" s="66"/>
      <c r="AX1858" s="66"/>
      <c r="AY1858" s="66"/>
      <c r="AZ1858" s="66"/>
      <c r="BA1858" s="66"/>
      <c r="BB1858" s="66"/>
      <c r="BC1858" s="66"/>
      <c r="BD1858" s="66"/>
      <c r="BE1858" s="67"/>
      <c r="BF1858" s="67"/>
      <c r="BG1858" s="68"/>
      <c r="BI1858" s="69">
        <v>0</v>
      </c>
      <c r="BJ1858" s="70">
        <v>0</v>
      </c>
      <c r="BK1858" s="71">
        <v>0</v>
      </c>
      <c r="BL1858" s="71">
        <v>0</v>
      </c>
      <c r="BM1858" s="71">
        <v>0</v>
      </c>
      <c r="BN1858" s="72">
        <v>0</v>
      </c>
      <c r="BO1858" s="151" t="e">
        <f t="shared" ref="BO1858:BO1921" si="123">(BK1858+BL1858)/BJ1858</f>
        <v>#DIV/0!</v>
      </c>
      <c r="BP1858" s="151" t="e">
        <f t="shared" ref="BP1858:BP1921" si="124">BM1858/BJ1858</f>
        <v>#DIV/0!</v>
      </c>
      <c r="BQ1858" s="71">
        <v>0</v>
      </c>
      <c r="BR1858" s="71">
        <v>0</v>
      </c>
      <c r="BS1858" s="71">
        <v>0</v>
      </c>
      <c r="BT1858" s="72">
        <v>0</v>
      </c>
      <c r="BU1858" s="151" t="e">
        <f t="shared" si="121"/>
        <v>#DIV/0!</v>
      </c>
      <c r="BV1858" s="151" t="e">
        <f t="shared" si="122"/>
        <v>#DIV/0!</v>
      </c>
    </row>
    <row r="1859" ht="30" customHeight="1" spans="1:74">
      <c r="A1859" s="55">
        <v>0</v>
      </c>
      <c r="B1859" s="56">
        <v>0</v>
      </c>
      <c r="C1859" s="57">
        <v>0</v>
      </c>
      <c r="D1859" s="74"/>
      <c r="E1859" s="74"/>
      <c r="F1859" s="59" t="e">
        <f>VLOOKUP(E1859,[1]库存!$B$1:$C$65536,2,FALSE)</f>
        <v>#N/A</v>
      </c>
      <c r="G1859" s="59" t="e">
        <v>#N/A</v>
      </c>
      <c r="H1859" s="74"/>
      <c r="I1859" s="74"/>
      <c r="J1859" s="87"/>
      <c r="K1859" s="61"/>
      <c r="L1859" s="62">
        <v>0</v>
      </c>
      <c r="M1859" s="63">
        <v>0</v>
      </c>
      <c r="N1859" s="64">
        <v>0</v>
      </c>
      <c r="O1859" s="62">
        <v>0</v>
      </c>
      <c r="P1859" s="65">
        <f t="shared" si="120"/>
        <v>0</v>
      </c>
      <c r="Q1859" s="66">
        <v>1531</v>
      </c>
      <c r="R1859" s="66"/>
      <c r="S1859" s="66"/>
      <c r="T1859" s="66"/>
      <c r="U1859" s="66"/>
      <c r="V1859" s="66"/>
      <c r="W1859" s="66"/>
      <c r="X1859" s="66"/>
      <c r="Y1859" s="66"/>
      <c r="Z1859" s="66"/>
      <c r="AA1859" s="66"/>
      <c r="AB1859" s="66"/>
      <c r="AC1859" s="66"/>
      <c r="AD1859" s="66"/>
      <c r="AE1859" s="66"/>
      <c r="AF1859" s="66"/>
      <c r="AG1859" s="66"/>
      <c r="AH1859" s="66"/>
      <c r="AI1859" s="66"/>
      <c r="AJ1859" s="66"/>
      <c r="AK1859" s="66"/>
      <c r="AL1859" s="66"/>
      <c r="AM1859" s="66"/>
      <c r="AN1859" s="66"/>
      <c r="AO1859" s="66"/>
      <c r="AP1859" s="66"/>
      <c r="AQ1859" s="66"/>
      <c r="AR1859" s="66"/>
      <c r="AS1859" s="66"/>
      <c r="AT1859" s="66"/>
      <c r="AU1859" s="66"/>
      <c r="AV1859" s="66"/>
      <c r="AW1859" s="66"/>
      <c r="AX1859" s="66"/>
      <c r="AY1859" s="66"/>
      <c r="AZ1859" s="66"/>
      <c r="BA1859" s="66"/>
      <c r="BB1859" s="66"/>
      <c r="BC1859" s="66"/>
      <c r="BD1859" s="66"/>
      <c r="BE1859" s="67"/>
      <c r="BF1859" s="67"/>
      <c r="BG1859" s="68"/>
      <c r="BI1859" s="69">
        <v>0</v>
      </c>
      <c r="BJ1859" s="70">
        <v>0</v>
      </c>
      <c r="BK1859" s="71">
        <v>0</v>
      </c>
      <c r="BL1859" s="71">
        <v>0</v>
      </c>
      <c r="BM1859" s="71">
        <v>0</v>
      </c>
      <c r="BN1859" s="72">
        <v>0</v>
      </c>
      <c r="BO1859" s="151" t="e">
        <f t="shared" si="123"/>
        <v>#DIV/0!</v>
      </c>
      <c r="BP1859" s="151" t="e">
        <f t="shared" si="124"/>
        <v>#DIV/0!</v>
      </c>
      <c r="BQ1859" s="71">
        <v>0</v>
      </c>
      <c r="BR1859" s="71">
        <v>0</v>
      </c>
      <c r="BS1859" s="71">
        <v>0</v>
      </c>
      <c r="BT1859" s="72">
        <v>0</v>
      </c>
      <c r="BU1859" s="151" t="e">
        <f t="shared" si="121"/>
        <v>#DIV/0!</v>
      </c>
      <c r="BV1859" s="151" t="e">
        <f t="shared" si="122"/>
        <v>#DIV/0!</v>
      </c>
    </row>
    <row r="1860" ht="30" customHeight="1" spans="1:74">
      <c r="A1860" s="55">
        <v>0</v>
      </c>
      <c r="B1860" s="56" t="s">
        <v>2247</v>
      </c>
      <c r="C1860" s="57" t="s">
        <v>2248</v>
      </c>
      <c r="D1860" s="59" t="s">
        <v>2940</v>
      </c>
      <c r="E1860" s="59" t="s">
        <v>2961</v>
      </c>
      <c r="F1860" s="59" t="str">
        <f>VLOOKUP(E1860,[1]库存!$B$1:$C$65536,2,FALSE)</f>
        <v>CHANGAN B216 ME FSAB LH A状态</v>
      </c>
      <c r="G1860" s="59" t="s">
        <v>2962</v>
      </c>
      <c r="H1860" s="59" t="s">
        <v>2963</v>
      </c>
      <c r="I1860" s="59" t="s">
        <v>2688</v>
      </c>
      <c r="J1860" s="63"/>
      <c r="K1860" s="61"/>
      <c r="L1860" s="62">
        <v>2</v>
      </c>
      <c r="M1860" s="63">
        <v>700</v>
      </c>
      <c r="N1860" s="64">
        <v>12</v>
      </c>
      <c r="O1860" s="62">
        <v>2</v>
      </c>
      <c r="P1860" s="65">
        <f t="shared" si="120"/>
        <v>0</v>
      </c>
      <c r="Q1860" s="66"/>
      <c r="R1860" s="66"/>
      <c r="S1860" s="66">
        <v>500</v>
      </c>
      <c r="T1860" s="66"/>
      <c r="U1860" s="66"/>
      <c r="V1860" s="66"/>
      <c r="W1860" s="66"/>
      <c r="X1860" s="66"/>
      <c r="Y1860" s="66"/>
      <c r="Z1860" s="66"/>
      <c r="AA1860" s="66"/>
      <c r="AB1860" s="66"/>
      <c r="AC1860" s="66"/>
      <c r="AD1860" s="66"/>
      <c r="AE1860" s="66"/>
      <c r="AF1860" s="66"/>
      <c r="AG1860" s="66"/>
      <c r="AH1860" s="66"/>
      <c r="AI1860" s="66"/>
      <c r="AJ1860" s="66"/>
      <c r="AK1860" s="66"/>
      <c r="AL1860" s="66"/>
      <c r="AM1860" s="66"/>
      <c r="AN1860" s="66"/>
      <c r="AO1860" s="66"/>
      <c r="AP1860" s="66"/>
      <c r="AQ1860" s="66"/>
      <c r="AR1860" s="66"/>
      <c r="AS1860" s="66"/>
      <c r="AT1860" s="66"/>
      <c r="AU1860" s="66"/>
      <c r="AV1860" s="66"/>
      <c r="AW1860" s="66"/>
      <c r="AX1860" s="66"/>
      <c r="AY1860" s="66"/>
      <c r="AZ1860" s="66"/>
      <c r="BA1860" s="66"/>
      <c r="BB1860" s="66"/>
      <c r="BC1860" s="66"/>
      <c r="BD1860" s="66"/>
      <c r="BE1860" s="67"/>
      <c r="BF1860" s="67"/>
      <c r="BG1860" s="68"/>
      <c r="BI1860" s="69">
        <v>0</v>
      </c>
      <c r="BJ1860" s="70">
        <v>0</v>
      </c>
      <c r="BK1860" s="71">
        <v>0</v>
      </c>
      <c r="BL1860" s="71">
        <v>0</v>
      </c>
      <c r="BM1860" s="71">
        <v>0</v>
      </c>
      <c r="BN1860" s="72">
        <v>0</v>
      </c>
      <c r="BO1860" s="151" t="e">
        <f t="shared" si="123"/>
        <v>#DIV/0!</v>
      </c>
      <c r="BP1860" s="151" t="e">
        <f t="shared" si="124"/>
        <v>#DIV/0!</v>
      </c>
      <c r="BQ1860" s="71">
        <v>0</v>
      </c>
      <c r="BR1860" s="71">
        <v>0</v>
      </c>
      <c r="BS1860" s="71">
        <v>0</v>
      </c>
      <c r="BT1860" s="72">
        <v>0</v>
      </c>
      <c r="BU1860" s="151" t="e">
        <f t="shared" si="121"/>
        <v>#DIV/0!</v>
      </c>
      <c r="BV1860" s="151" t="e">
        <f t="shared" si="122"/>
        <v>#DIV/0!</v>
      </c>
    </row>
    <row r="1861" ht="30" customHeight="1" spans="1:74">
      <c r="A1861" s="55">
        <v>0</v>
      </c>
      <c r="B1861" s="56">
        <v>0</v>
      </c>
      <c r="C1861" s="57">
        <v>0</v>
      </c>
      <c r="D1861" s="74"/>
      <c r="E1861" s="74"/>
      <c r="F1861" s="59" t="e">
        <f>VLOOKUP(E1861,[1]库存!$B$1:$C$65536,2,FALSE)</f>
        <v>#N/A</v>
      </c>
      <c r="G1861" s="59" t="e">
        <v>#N/A</v>
      </c>
      <c r="H1861" s="74"/>
      <c r="I1861" s="74"/>
      <c r="J1861" s="87"/>
      <c r="K1861" s="61"/>
      <c r="L1861" s="62">
        <v>0</v>
      </c>
      <c r="M1861" s="63">
        <v>0</v>
      </c>
      <c r="N1861" s="64">
        <v>0</v>
      </c>
      <c r="O1861" s="62">
        <v>0</v>
      </c>
      <c r="P1861" s="65">
        <f t="shared" si="120"/>
        <v>0</v>
      </c>
      <c r="Q1861" s="66"/>
      <c r="R1861" s="66"/>
      <c r="S1861" s="66" t="s">
        <v>2964</v>
      </c>
      <c r="T1861" s="66"/>
      <c r="U1861" s="66"/>
      <c r="V1861" s="66"/>
      <c r="W1861" s="66"/>
      <c r="X1861" s="66"/>
      <c r="Y1861" s="66"/>
      <c r="Z1861" s="66"/>
      <c r="AA1861" s="66"/>
      <c r="AB1861" s="66"/>
      <c r="AC1861" s="66"/>
      <c r="AD1861" s="66"/>
      <c r="AE1861" s="66"/>
      <c r="AF1861" s="66"/>
      <c r="AG1861" s="66"/>
      <c r="AH1861" s="66"/>
      <c r="AI1861" s="66"/>
      <c r="AJ1861" s="66"/>
      <c r="AK1861" s="66"/>
      <c r="AL1861" s="66"/>
      <c r="AM1861" s="66"/>
      <c r="AN1861" s="66"/>
      <c r="AO1861" s="66"/>
      <c r="AP1861" s="66"/>
      <c r="AQ1861" s="66"/>
      <c r="AR1861" s="66"/>
      <c r="AS1861" s="66"/>
      <c r="AT1861" s="66"/>
      <c r="AU1861" s="66"/>
      <c r="AV1861" s="66"/>
      <c r="AW1861" s="66"/>
      <c r="AX1861" s="66"/>
      <c r="AY1861" s="66"/>
      <c r="AZ1861" s="66"/>
      <c r="BA1861" s="66"/>
      <c r="BB1861" s="66"/>
      <c r="BC1861" s="66"/>
      <c r="BD1861" s="66"/>
      <c r="BE1861" s="67"/>
      <c r="BF1861" s="67"/>
      <c r="BG1861" s="68"/>
      <c r="BI1861" s="69">
        <v>0</v>
      </c>
      <c r="BJ1861" s="70">
        <v>0</v>
      </c>
      <c r="BK1861" s="71">
        <v>0</v>
      </c>
      <c r="BL1861" s="71">
        <v>0</v>
      </c>
      <c r="BM1861" s="71">
        <v>0</v>
      </c>
      <c r="BN1861" s="72">
        <v>0</v>
      </c>
      <c r="BO1861" s="151" t="e">
        <f t="shared" si="123"/>
        <v>#DIV/0!</v>
      </c>
      <c r="BP1861" s="151" t="e">
        <f t="shared" si="124"/>
        <v>#DIV/0!</v>
      </c>
      <c r="BQ1861" s="71">
        <v>0</v>
      </c>
      <c r="BR1861" s="71">
        <v>0</v>
      </c>
      <c r="BS1861" s="71">
        <v>0</v>
      </c>
      <c r="BT1861" s="72">
        <v>0</v>
      </c>
      <c r="BU1861" s="151" t="e">
        <f t="shared" si="121"/>
        <v>#DIV/0!</v>
      </c>
      <c r="BV1861" s="151" t="e">
        <f t="shared" si="122"/>
        <v>#DIV/0!</v>
      </c>
    </row>
    <row r="1862" ht="30" customHeight="1" spans="1:74">
      <c r="A1862" s="55">
        <v>0</v>
      </c>
      <c r="B1862" s="56" t="s">
        <v>2247</v>
      </c>
      <c r="C1862" s="57" t="s">
        <v>2248</v>
      </c>
      <c r="D1862" s="59" t="s">
        <v>2940</v>
      </c>
      <c r="E1862" s="59" t="s">
        <v>2965</v>
      </c>
      <c r="F1862" s="59" t="str">
        <f>VLOOKUP(E1862,[1]库存!$B$1:$C$65536,2,FALSE)</f>
        <v>CHANGAN B216 ME FSAB RH A状态</v>
      </c>
      <c r="G1862" s="59" t="s">
        <v>2966</v>
      </c>
      <c r="H1862" s="59" t="s">
        <v>2967</v>
      </c>
      <c r="I1862" s="59" t="s">
        <v>2688</v>
      </c>
      <c r="J1862" s="63"/>
      <c r="K1862" s="61"/>
      <c r="L1862" s="62">
        <v>2</v>
      </c>
      <c r="M1862" s="63">
        <v>700</v>
      </c>
      <c r="N1862" s="64">
        <v>12</v>
      </c>
      <c r="O1862" s="62">
        <v>2</v>
      </c>
      <c r="P1862" s="65">
        <f t="shared" ref="P1862:P1925" si="125">SUM(AG1862:AJ1862)</f>
        <v>0</v>
      </c>
      <c r="Q1862" s="66"/>
      <c r="R1862" s="66"/>
      <c r="S1862" s="66">
        <v>500</v>
      </c>
      <c r="T1862" s="66"/>
      <c r="U1862" s="66"/>
      <c r="V1862" s="66"/>
      <c r="W1862" s="66"/>
      <c r="X1862" s="66"/>
      <c r="Y1862" s="66"/>
      <c r="Z1862" s="66"/>
      <c r="AA1862" s="66"/>
      <c r="AB1862" s="66"/>
      <c r="AC1862" s="66"/>
      <c r="AD1862" s="66"/>
      <c r="AE1862" s="66"/>
      <c r="AF1862" s="66"/>
      <c r="AG1862" s="66"/>
      <c r="AH1862" s="66"/>
      <c r="AI1862" s="66"/>
      <c r="AJ1862" s="66"/>
      <c r="AK1862" s="66"/>
      <c r="AL1862" s="66"/>
      <c r="AM1862" s="66"/>
      <c r="AN1862" s="66"/>
      <c r="AO1862" s="66"/>
      <c r="AP1862" s="66"/>
      <c r="AQ1862" s="66"/>
      <c r="AR1862" s="66"/>
      <c r="AS1862" s="66"/>
      <c r="AT1862" s="66"/>
      <c r="AU1862" s="66"/>
      <c r="AV1862" s="66"/>
      <c r="AW1862" s="66"/>
      <c r="AX1862" s="66"/>
      <c r="AY1862" s="66"/>
      <c r="AZ1862" s="66"/>
      <c r="BA1862" s="66"/>
      <c r="BB1862" s="66"/>
      <c r="BC1862" s="66"/>
      <c r="BD1862" s="66"/>
      <c r="BE1862" s="67"/>
      <c r="BF1862" s="67"/>
      <c r="BG1862" s="68"/>
      <c r="BI1862" s="69">
        <v>0</v>
      </c>
      <c r="BJ1862" s="70">
        <v>0</v>
      </c>
      <c r="BK1862" s="71">
        <v>0</v>
      </c>
      <c r="BL1862" s="71">
        <v>0</v>
      </c>
      <c r="BM1862" s="71">
        <v>0</v>
      </c>
      <c r="BN1862" s="72">
        <v>0</v>
      </c>
      <c r="BO1862" s="151" t="e">
        <f t="shared" si="123"/>
        <v>#DIV/0!</v>
      </c>
      <c r="BP1862" s="151" t="e">
        <f t="shared" si="124"/>
        <v>#DIV/0!</v>
      </c>
      <c r="BQ1862" s="71">
        <v>0</v>
      </c>
      <c r="BR1862" s="71">
        <v>0</v>
      </c>
      <c r="BS1862" s="71">
        <v>0</v>
      </c>
      <c r="BT1862" s="72">
        <v>0</v>
      </c>
      <c r="BU1862" s="151" t="e">
        <f t="shared" si="121"/>
        <v>#DIV/0!</v>
      </c>
      <c r="BV1862" s="151" t="e">
        <f t="shared" si="122"/>
        <v>#DIV/0!</v>
      </c>
    </row>
    <row r="1863" ht="30" customHeight="1" spans="1:74">
      <c r="A1863" s="55">
        <v>0</v>
      </c>
      <c r="B1863" s="56">
        <v>0</v>
      </c>
      <c r="C1863" s="57">
        <v>0</v>
      </c>
      <c r="D1863" s="74"/>
      <c r="E1863" s="74"/>
      <c r="F1863" s="59" t="e">
        <f>VLOOKUP(E1863,[1]库存!$B$1:$C$65536,2,FALSE)</f>
        <v>#N/A</v>
      </c>
      <c r="G1863" s="59" t="e">
        <v>#N/A</v>
      </c>
      <c r="H1863" s="74"/>
      <c r="I1863" s="74"/>
      <c r="J1863" s="87"/>
      <c r="K1863" s="61"/>
      <c r="L1863" s="62">
        <v>0</v>
      </c>
      <c r="M1863" s="63">
        <v>0</v>
      </c>
      <c r="N1863" s="64">
        <v>0</v>
      </c>
      <c r="O1863" s="62">
        <v>0</v>
      </c>
      <c r="P1863" s="65">
        <f t="shared" si="125"/>
        <v>0</v>
      </c>
      <c r="Q1863" s="66"/>
      <c r="R1863" s="66"/>
      <c r="S1863" s="66" t="s">
        <v>2968</v>
      </c>
      <c r="T1863" s="66"/>
      <c r="U1863" s="66"/>
      <c r="V1863" s="66"/>
      <c r="W1863" s="66"/>
      <c r="X1863" s="66"/>
      <c r="Y1863" s="66"/>
      <c r="Z1863" s="66"/>
      <c r="AA1863" s="66"/>
      <c r="AB1863" s="66"/>
      <c r="AC1863" s="66"/>
      <c r="AD1863" s="66"/>
      <c r="AE1863" s="66"/>
      <c r="AF1863" s="66"/>
      <c r="AG1863" s="66"/>
      <c r="AH1863" s="66"/>
      <c r="AI1863" s="66"/>
      <c r="AJ1863" s="66"/>
      <c r="AK1863" s="66"/>
      <c r="AL1863" s="66"/>
      <c r="AM1863" s="66"/>
      <c r="AN1863" s="66"/>
      <c r="AO1863" s="66"/>
      <c r="AP1863" s="66"/>
      <c r="AQ1863" s="66"/>
      <c r="AR1863" s="66"/>
      <c r="AS1863" s="66"/>
      <c r="AT1863" s="66"/>
      <c r="AU1863" s="66"/>
      <c r="AV1863" s="66"/>
      <c r="AW1863" s="66"/>
      <c r="AX1863" s="66"/>
      <c r="AY1863" s="66"/>
      <c r="AZ1863" s="66"/>
      <c r="BA1863" s="66"/>
      <c r="BB1863" s="66"/>
      <c r="BC1863" s="66"/>
      <c r="BD1863" s="66"/>
      <c r="BE1863" s="67"/>
      <c r="BF1863" s="67"/>
      <c r="BG1863" s="68"/>
      <c r="BI1863" s="69">
        <v>0</v>
      </c>
      <c r="BJ1863" s="70">
        <v>0</v>
      </c>
      <c r="BK1863" s="71">
        <v>0</v>
      </c>
      <c r="BL1863" s="71">
        <v>0</v>
      </c>
      <c r="BM1863" s="71">
        <v>0</v>
      </c>
      <c r="BN1863" s="72">
        <v>0</v>
      </c>
      <c r="BO1863" s="151" t="e">
        <f t="shared" si="123"/>
        <v>#DIV/0!</v>
      </c>
      <c r="BP1863" s="151" t="e">
        <f t="shared" si="124"/>
        <v>#DIV/0!</v>
      </c>
      <c r="BQ1863" s="71">
        <v>0</v>
      </c>
      <c r="BR1863" s="71">
        <v>0</v>
      </c>
      <c r="BS1863" s="71">
        <v>0</v>
      </c>
      <c r="BT1863" s="72">
        <v>0</v>
      </c>
      <c r="BU1863" s="151" t="e">
        <f t="shared" si="121"/>
        <v>#DIV/0!</v>
      </c>
      <c r="BV1863" s="151" t="e">
        <f t="shared" si="122"/>
        <v>#DIV/0!</v>
      </c>
    </row>
    <row r="1864" ht="30" customHeight="1" spans="1:74">
      <c r="A1864" s="55" t="s">
        <v>246</v>
      </c>
      <c r="B1864" s="56" t="s">
        <v>2247</v>
      </c>
      <c r="C1864" s="57" t="s">
        <v>2248</v>
      </c>
      <c r="D1864" s="59" t="s">
        <v>2940</v>
      </c>
      <c r="E1864" s="59" t="s">
        <v>2969</v>
      </c>
      <c r="F1864" s="59" t="str">
        <f>VLOOKUP(E1864,[1]库存!$B$1:$C$65536,2,FALSE)</f>
        <v>Changan C673 FSAB LH</v>
      </c>
      <c r="G1864" s="59" t="s">
        <v>2970</v>
      </c>
      <c r="H1864" s="59" t="s">
        <v>2971</v>
      </c>
      <c r="I1864" s="59" t="s">
        <v>1831</v>
      </c>
      <c r="J1864" s="63" t="s">
        <v>2972</v>
      </c>
      <c r="K1864" s="61"/>
      <c r="L1864" s="62">
        <v>2</v>
      </c>
      <c r="M1864" s="63">
        <v>1000</v>
      </c>
      <c r="N1864" s="64">
        <v>12</v>
      </c>
      <c r="O1864" s="62">
        <v>2</v>
      </c>
      <c r="P1864" s="65">
        <f t="shared" si="125"/>
        <v>0</v>
      </c>
      <c r="Q1864" s="66"/>
      <c r="R1864" s="66"/>
      <c r="S1864" s="66"/>
      <c r="T1864" s="66"/>
      <c r="U1864" s="66"/>
      <c r="V1864" s="66"/>
      <c r="W1864" s="66"/>
      <c r="X1864" s="66"/>
      <c r="Y1864" s="103"/>
      <c r="Z1864" s="66"/>
      <c r="AA1864" s="66"/>
      <c r="AB1864" s="66"/>
      <c r="AC1864" s="66"/>
      <c r="AD1864" s="66"/>
      <c r="AE1864" s="66"/>
      <c r="AF1864" s="66"/>
      <c r="AG1864" s="66"/>
      <c r="AH1864" s="66"/>
      <c r="AI1864" s="66"/>
      <c r="AJ1864" s="66"/>
      <c r="AK1864" s="66"/>
      <c r="AL1864" s="66"/>
      <c r="AM1864" s="103"/>
      <c r="AN1864" s="66"/>
      <c r="AO1864" s="66"/>
      <c r="AP1864" s="66"/>
      <c r="AQ1864" s="66"/>
      <c r="AR1864" s="66"/>
      <c r="AS1864" s="66"/>
      <c r="AT1864" s="66"/>
      <c r="AU1864" s="66"/>
      <c r="AV1864" s="66"/>
      <c r="AW1864" s="66"/>
      <c r="AX1864" s="66"/>
      <c r="AY1864" s="66"/>
      <c r="AZ1864" s="66"/>
      <c r="BA1864" s="103"/>
      <c r="BB1864" s="66"/>
      <c r="BC1864" s="66"/>
      <c r="BD1864" s="66"/>
      <c r="BE1864" s="67"/>
      <c r="BF1864" s="67"/>
      <c r="BG1864" s="68"/>
      <c r="BI1864" s="69">
        <v>0</v>
      </c>
      <c r="BJ1864" s="70">
        <v>0</v>
      </c>
      <c r="BK1864" s="71">
        <v>0</v>
      </c>
      <c r="BL1864" s="71">
        <v>0</v>
      </c>
      <c r="BM1864" s="71">
        <v>0</v>
      </c>
      <c r="BN1864" s="72">
        <v>0</v>
      </c>
      <c r="BO1864" s="151" t="e">
        <f t="shared" si="123"/>
        <v>#DIV/0!</v>
      </c>
      <c r="BP1864" s="151" t="e">
        <f t="shared" si="124"/>
        <v>#DIV/0!</v>
      </c>
      <c r="BQ1864" s="71">
        <v>0</v>
      </c>
      <c r="BR1864" s="71">
        <v>0</v>
      </c>
      <c r="BS1864" s="71">
        <v>0</v>
      </c>
      <c r="BT1864" s="72">
        <v>0</v>
      </c>
      <c r="BU1864" s="151" t="e">
        <f t="shared" si="121"/>
        <v>#DIV/0!</v>
      </c>
      <c r="BV1864" s="151" t="e">
        <f t="shared" si="122"/>
        <v>#DIV/0!</v>
      </c>
    </row>
    <row r="1865" ht="30" customHeight="1" spans="1:74">
      <c r="A1865" s="55">
        <v>0</v>
      </c>
      <c r="B1865" s="56">
        <v>0</v>
      </c>
      <c r="C1865" s="57">
        <v>0</v>
      </c>
      <c r="D1865" s="74"/>
      <c r="E1865" s="74"/>
      <c r="F1865" s="59" t="e">
        <f>VLOOKUP(E1865,[1]库存!$B$1:$C$65536,2,FALSE)</f>
        <v>#N/A</v>
      </c>
      <c r="G1865" s="59" t="e">
        <v>#N/A</v>
      </c>
      <c r="H1865" s="74"/>
      <c r="I1865" s="74"/>
      <c r="J1865" s="87"/>
      <c r="K1865" s="61"/>
      <c r="L1865" s="62">
        <v>0</v>
      </c>
      <c r="M1865" s="63">
        <v>0</v>
      </c>
      <c r="N1865" s="64">
        <v>0</v>
      </c>
      <c r="O1865" s="62">
        <v>0</v>
      </c>
      <c r="P1865" s="65">
        <f t="shared" si="125"/>
        <v>0</v>
      </c>
      <c r="Q1865" s="66"/>
      <c r="R1865" s="66"/>
      <c r="S1865" s="66"/>
      <c r="T1865" s="66"/>
      <c r="U1865" s="66"/>
      <c r="V1865" s="66"/>
      <c r="W1865" s="66"/>
      <c r="X1865" s="66"/>
      <c r="Y1865" s="66"/>
      <c r="Z1865" s="66"/>
      <c r="AA1865" s="66"/>
      <c r="AB1865" s="66"/>
      <c r="AC1865" s="66"/>
      <c r="AD1865" s="66"/>
      <c r="AE1865" s="66"/>
      <c r="AF1865" s="66"/>
      <c r="AG1865" s="66"/>
      <c r="AH1865" s="66"/>
      <c r="AI1865" s="66"/>
      <c r="AJ1865" s="66"/>
      <c r="AK1865" s="66"/>
      <c r="AL1865" s="66"/>
      <c r="AM1865" s="66"/>
      <c r="AN1865" s="66"/>
      <c r="AO1865" s="66"/>
      <c r="AP1865" s="66"/>
      <c r="AQ1865" s="66"/>
      <c r="AR1865" s="66"/>
      <c r="AS1865" s="66"/>
      <c r="AT1865" s="66"/>
      <c r="AU1865" s="66"/>
      <c r="AV1865" s="66"/>
      <c r="AW1865" s="66"/>
      <c r="AX1865" s="66"/>
      <c r="AY1865" s="66"/>
      <c r="AZ1865" s="66"/>
      <c r="BA1865" s="66"/>
      <c r="BB1865" s="66"/>
      <c r="BC1865" s="66"/>
      <c r="BD1865" s="66"/>
      <c r="BE1865" s="67"/>
      <c r="BF1865" s="67"/>
      <c r="BG1865" s="68"/>
      <c r="BI1865" s="69">
        <v>0</v>
      </c>
      <c r="BJ1865" s="70">
        <v>0</v>
      </c>
      <c r="BK1865" s="71">
        <v>0</v>
      </c>
      <c r="BL1865" s="71">
        <v>0</v>
      </c>
      <c r="BM1865" s="71">
        <v>0</v>
      </c>
      <c r="BN1865" s="72">
        <v>0</v>
      </c>
      <c r="BO1865" s="151" t="e">
        <f t="shared" si="123"/>
        <v>#DIV/0!</v>
      </c>
      <c r="BP1865" s="151" t="e">
        <f t="shared" si="124"/>
        <v>#DIV/0!</v>
      </c>
      <c r="BQ1865" s="71">
        <v>0</v>
      </c>
      <c r="BR1865" s="71">
        <v>0</v>
      </c>
      <c r="BS1865" s="71">
        <v>0</v>
      </c>
      <c r="BT1865" s="72">
        <v>0</v>
      </c>
      <c r="BU1865" s="151" t="e">
        <f t="shared" si="121"/>
        <v>#DIV/0!</v>
      </c>
      <c r="BV1865" s="151" t="e">
        <f t="shared" si="122"/>
        <v>#DIV/0!</v>
      </c>
    </row>
    <row r="1866" ht="30" customHeight="1" spans="1:74">
      <c r="A1866" s="55" t="s">
        <v>246</v>
      </c>
      <c r="B1866" s="56" t="s">
        <v>2247</v>
      </c>
      <c r="C1866" s="57" t="s">
        <v>2248</v>
      </c>
      <c r="D1866" s="59" t="s">
        <v>2940</v>
      </c>
      <c r="E1866" s="59" t="s">
        <v>2973</v>
      </c>
      <c r="F1866" s="59" t="str">
        <f>VLOOKUP(E1866,[1]库存!$B$1:$C$65536,2,FALSE)</f>
        <v>Changan C673 FSAB RH</v>
      </c>
      <c r="G1866" s="59" t="s">
        <v>2974</v>
      </c>
      <c r="H1866" s="59" t="s">
        <v>2975</v>
      </c>
      <c r="I1866" s="59" t="s">
        <v>1831</v>
      </c>
      <c r="J1866" s="87"/>
      <c r="K1866" s="61"/>
      <c r="L1866" s="62">
        <v>2</v>
      </c>
      <c r="M1866" s="63">
        <v>1000</v>
      </c>
      <c r="N1866" s="64">
        <v>12</v>
      </c>
      <c r="O1866" s="62">
        <v>2</v>
      </c>
      <c r="P1866" s="65">
        <f t="shared" si="125"/>
        <v>0</v>
      </c>
      <c r="Q1866" s="103"/>
      <c r="R1866" s="66"/>
      <c r="S1866" s="103"/>
      <c r="T1866" s="66"/>
      <c r="U1866" s="103"/>
      <c r="V1866" s="66"/>
      <c r="W1866" s="103"/>
      <c r="X1866" s="66"/>
      <c r="Y1866" s="103"/>
      <c r="Z1866" s="66"/>
      <c r="AA1866" s="103"/>
      <c r="AB1866" s="66"/>
      <c r="AC1866" s="66"/>
      <c r="AD1866" s="66"/>
      <c r="AE1866" s="103"/>
      <c r="AF1866" s="66"/>
      <c r="AG1866" s="66"/>
      <c r="AH1866" s="66"/>
      <c r="AI1866" s="103"/>
      <c r="AJ1866" s="66"/>
      <c r="AK1866" s="103"/>
      <c r="AL1866" s="66"/>
      <c r="AM1866" s="103"/>
      <c r="AN1866" s="66"/>
      <c r="AO1866" s="103"/>
      <c r="AP1866" s="66"/>
      <c r="AQ1866" s="103"/>
      <c r="AR1866" s="66"/>
      <c r="AS1866" s="103"/>
      <c r="AT1866" s="66"/>
      <c r="AU1866" s="103"/>
      <c r="AV1866" s="66"/>
      <c r="AW1866" s="103"/>
      <c r="AX1866" s="66"/>
      <c r="AY1866" s="103"/>
      <c r="AZ1866" s="66"/>
      <c r="BA1866" s="103"/>
      <c r="BB1866" s="66"/>
      <c r="BC1866" s="103"/>
      <c r="BD1866" s="66"/>
      <c r="BE1866" s="105"/>
      <c r="BF1866" s="67"/>
      <c r="BG1866" s="68"/>
      <c r="BI1866" s="69">
        <v>0</v>
      </c>
      <c r="BJ1866" s="70">
        <v>0</v>
      </c>
      <c r="BK1866" s="71">
        <v>0</v>
      </c>
      <c r="BL1866" s="71">
        <v>0</v>
      </c>
      <c r="BM1866" s="71">
        <v>0</v>
      </c>
      <c r="BN1866" s="72">
        <v>0</v>
      </c>
      <c r="BO1866" s="151" t="e">
        <f t="shared" si="123"/>
        <v>#DIV/0!</v>
      </c>
      <c r="BP1866" s="151" t="e">
        <f t="shared" si="124"/>
        <v>#DIV/0!</v>
      </c>
      <c r="BQ1866" s="71">
        <v>0</v>
      </c>
      <c r="BR1866" s="71">
        <v>0</v>
      </c>
      <c r="BS1866" s="71">
        <v>0</v>
      </c>
      <c r="BT1866" s="72">
        <v>0</v>
      </c>
      <c r="BU1866" s="151" t="e">
        <f t="shared" si="121"/>
        <v>#DIV/0!</v>
      </c>
      <c r="BV1866" s="151" t="e">
        <f t="shared" si="122"/>
        <v>#DIV/0!</v>
      </c>
    </row>
    <row r="1867" ht="30" customHeight="1" spans="1:74">
      <c r="A1867" s="55">
        <v>0</v>
      </c>
      <c r="B1867" s="56">
        <v>0</v>
      </c>
      <c r="C1867" s="57">
        <v>0</v>
      </c>
      <c r="D1867" s="74"/>
      <c r="E1867" s="74"/>
      <c r="F1867" s="59" t="e">
        <f>VLOOKUP(E1867,[1]库存!$B$1:$C$65536,2,FALSE)</f>
        <v>#N/A</v>
      </c>
      <c r="G1867" s="59" t="e">
        <v>#N/A</v>
      </c>
      <c r="H1867" s="74"/>
      <c r="I1867" s="74"/>
      <c r="J1867" s="87"/>
      <c r="K1867" s="61"/>
      <c r="L1867" s="62">
        <v>0</v>
      </c>
      <c r="M1867" s="63">
        <v>0</v>
      </c>
      <c r="N1867" s="64">
        <v>0</v>
      </c>
      <c r="O1867" s="62">
        <v>0</v>
      </c>
      <c r="P1867" s="65">
        <f t="shared" si="125"/>
        <v>0</v>
      </c>
      <c r="Q1867" s="66"/>
      <c r="R1867" s="66"/>
      <c r="S1867" s="66"/>
      <c r="T1867" s="66"/>
      <c r="U1867" s="66"/>
      <c r="V1867" s="66"/>
      <c r="W1867" s="66"/>
      <c r="X1867" s="66"/>
      <c r="Y1867" s="66"/>
      <c r="Z1867" s="66"/>
      <c r="AA1867" s="66"/>
      <c r="AB1867" s="66"/>
      <c r="AC1867" s="66"/>
      <c r="AD1867" s="66"/>
      <c r="AE1867" s="66"/>
      <c r="AF1867" s="66"/>
      <c r="AG1867" s="66"/>
      <c r="AH1867" s="66"/>
      <c r="AI1867" s="66"/>
      <c r="AJ1867" s="66"/>
      <c r="AK1867" s="66"/>
      <c r="AL1867" s="66"/>
      <c r="AM1867" s="66"/>
      <c r="AN1867" s="66"/>
      <c r="AO1867" s="66"/>
      <c r="AP1867" s="66"/>
      <c r="AQ1867" s="66"/>
      <c r="AR1867" s="66"/>
      <c r="AS1867" s="66"/>
      <c r="AT1867" s="66"/>
      <c r="AU1867" s="66"/>
      <c r="AV1867" s="66"/>
      <c r="AW1867" s="66"/>
      <c r="AX1867" s="66"/>
      <c r="AY1867" s="66"/>
      <c r="AZ1867" s="66"/>
      <c r="BA1867" s="66"/>
      <c r="BB1867" s="66"/>
      <c r="BC1867" s="66"/>
      <c r="BD1867" s="66"/>
      <c r="BE1867" s="67"/>
      <c r="BF1867" s="67"/>
      <c r="BG1867" s="68"/>
      <c r="BI1867" s="69">
        <v>0</v>
      </c>
      <c r="BJ1867" s="70">
        <v>0</v>
      </c>
      <c r="BK1867" s="71">
        <v>0</v>
      </c>
      <c r="BL1867" s="71">
        <v>0</v>
      </c>
      <c r="BM1867" s="71">
        <v>0</v>
      </c>
      <c r="BN1867" s="72">
        <v>0</v>
      </c>
      <c r="BO1867" s="151" t="e">
        <f t="shared" si="123"/>
        <v>#DIV/0!</v>
      </c>
      <c r="BP1867" s="151" t="e">
        <f t="shared" si="124"/>
        <v>#DIV/0!</v>
      </c>
      <c r="BQ1867" s="71">
        <v>0</v>
      </c>
      <c r="BR1867" s="71">
        <v>0</v>
      </c>
      <c r="BS1867" s="71">
        <v>0</v>
      </c>
      <c r="BT1867" s="72">
        <v>0</v>
      </c>
      <c r="BU1867" s="151" t="e">
        <f t="shared" si="121"/>
        <v>#DIV/0!</v>
      </c>
      <c r="BV1867" s="151" t="e">
        <f t="shared" si="122"/>
        <v>#DIV/0!</v>
      </c>
    </row>
    <row r="1868" ht="30" customHeight="1" spans="1:74">
      <c r="A1868" s="55">
        <v>0</v>
      </c>
      <c r="B1868" s="56" t="s">
        <v>2247</v>
      </c>
      <c r="C1868" s="57" t="s">
        <v>2248</v>
      </c>
      <c r="D1868" s="59" t="s">
        <v>2940</v>
      </c>
      <c r="E1868" s="59" t="s">
        <v>2976</v>
      </c>
      <c r="F1868" s="59" t="e">
        <f>VLOOKUP(E1868,[1]库存!$B$1:$C$65536,2,FALSE)</f>
        <v>#N/A</v>
      </c>
      <c r="G1868" s="59" t="e">
        <v>#N/A</v>
      </c>
      <c r="H1868" s="59" t="s">
        <v>2977</v>
      </c>
      <c r="I1868" s="59" t="s">
        <v>2945</v>
      </c>
      <c r="J1868" s="77" t="s">
        <v>2978</v>
      </c>
      <c r="K1868" s="61"/>
      <c r="L1868" s="62">
        <v>2</v>
      </c>
      <c r="M1868" s="63">
        <v>1200</v>
      </c>
      <c r="N1868" s="64">
        <v>13</v>
      </c>
      <c r="O1868" s="62">
        <v>2</v>
      </c>
      <c r="P1868" s="65">
        <f t="shared" si="125"/>
        <v>0</v>
      </c>
      <c r="Q1868" s="66"/>
      <c r="R1868" s="66"/>
      <c r="S1868" s="66"/>
      <c r="T1868" s="66"/>
      <c r="U1868" s="66"/>
      <c r="V1868" s="66"/>
      <c r="W1868" s="66"/>
      <c r="X1868" s="66"/>
      <c r="Y1868" s="66"/>
      <c r="Z1868" s="66"/>
      <c r="AA1868" s="66"/>
      <c r="AB1868" s="66"/>
      <c r="AC1868" s="66"/>
      <c r="AD1868" s="66"/>
      <c r="AE1868" s="66"/>
      <c r="AF1868" s="66"/>
      <c r="AG1868" s="66"/>
      <c r="AH1868" s="66"/>
      <c r="AI1868" s="66"/>
      <c r="AJ1868" s="66"/>
      <c r="AK1868" s="66"/>
      <c r="AL1868" s="66"/>
      <c r="AM1868" s="66"/>
      <c r="AN1868" s="66"/>
      <c r="AO1868" s="66"/>
      <c r="AP1868" s="66"/>
      <c r="AQ1868" s="66"/>
      <c r="AR1868" s="66"/>
      <c r="AS1868" s="66"/>
      <c r="AT1868" s="66"/>
      <c r="AU1868" s="66"/>
      <c r="AV1868" s="66"/>
      <c r="AW1868" s="66"/>
      <c r="AX1868" s="66"/>
      <c r="AY1868" s="66"/>
      <c r="AZ1868" s="66"/>
      <c r="BA1868" s="66"/>
      <c r="BB1868" s="66"/>
      <c r="BC1868" s="66"/>
      <c r="BD1868" s="66"/>
      <c r="BE1868" s="67"/>
      <c r="BF1868" s="67"/>
      <c r="BG1868" s="68"/>
      <c r="BI1868" s="69">
        <v>0</v>
      </c>
      <c r="BJ1868" s="70">
        <v>0</v>
      </c>
      <c r="BK1868" s="71">
        <v>0</v>
      </c>
      <c r="BL1868" s="71">
        <v>0</v>
      </c>
      <c r="BM1868" s="71">
        <v>0</v>
      </c>
      <c r="BN1868" s="72">
        <v>0</v>
      </c>
      <c r="BO1868" s="151" t="e">
        <f t="shared" si="123"/>
        <v>#DIV/0!</v>
      </c>
      <c r="BP1868" s="151" t="e">
        <f t="shared" si="124"/>
        <v>#DIV/0!</v>
      </c>
      <c r="BQ1868" s="71">
        <v>0</v>
      </c>
      <c r="BR1868" s="71">
        <v>0</v>
      </c>
      <c r="BS1868" s="71">
        <v>0</v>
      </c>
      <c r="BT1868" s="72">
        <v>0</v>
      </c>
      <c r="BU1868" s="151" t="e">
        <f t="shared" si="121"/>
        <v>#DIV/0!</v>
      </c>
      <c r="BV1868" s="151" t="e">
        <f t="shared" si="122"/>
        <v>#DIV/0!</v>
      </c>
    </row>
    <row r="1869" ht="30" customHeight="1" spans="1:74">
      <c r="A1869" s="55">
        <v>0</v>
      </c>
      <c r="B1869" s="56">
        <v>0</v>
      </c>
      <c r="C1869" s="57">
        <v>0</v>
      </c>
      <c r="D1869" s="74"/>
      <c r="E1869" s="74"/>
      <c r="F1869" s="59" t="e">
        <f>VLOOKUP(E1869,[1]库存!$B$1:$C$65536,2,FALSE)</f>
        <v>#N/A</v>
      </c>
      <c r="G1869" s="59" t="e">
        <v>#N/A</v>
      </c>
      <c r="H1869" s="74"/>
      <c r="I1869" s="74"/>
      <c r="J1869" s="79"/>
      <c r="K1869" s="61"/>
      <c r="L1869" s="62">
        <v>0</v>
      </c>
      <c r="M1869" s="63">
        <v>0</v>
      </c>
      <c r="N1869" s="64">
        <v>0</v>
      </c>
      <c r="O1869" s="62">
        <v>0</v>
      </c>
      <c r="P1869" s="65">
        <f t="shared" si="125"/>
        <v>0</v>
      </c>
      <c r="Q1869" s="66"/>
      <c r="R1869" s="66"/>
      <c r="S1869" s="66"/>
      <c r="T1869" s="66"/>
      <c r="U1869" s="66"/>
      <c r="V1869" s="66"/>
      <c r="W1869" s="66"/>
      <c r="X1869" s="66"/>
      <c r="Y1869" s="66"/>
      <c r="Z1869" s="66"/>
      <c r="AA1869" s="66"/>
      <c r="AB1869" s="66"/>
      <c r="AC1869" s="66"/>
      <c r="AD1869" s="66"/>
      <c r="AE1869" s="66"/>
      <c r="AF1869" s="66"/>
      <c r="AG1869" s="66"/>
      <c r="AH1869" s="66"/>
      <c r="AI1869" s="66"/>
      <c r="AJ1869" s="66"/>
      <c r="AK1869" s="66"/>
      <c r="AL1869" s="66"/>
      <c r="AM1869" s="66"/>
      <c r="AN1869" s="66"/>
      <c r="AO1869" s="66"/>
      <c r="AP1869" s="66"/>
      <c r="AQ1869" s="66"/>
      <c r="AR1869" s="66"/>
      <c r="AS1869" s="66"/>
      <c r="AT1869" s="66"/>
      <c r="AU1869" s="66"/>
      <c r="AV1869" s="66"/>
      <c r="AW1869" s="66"/>
      <c r="AX1869" s="66"/>
      <c r="AY1869" s="66"/>
      <c r="AZ1869" s="66"/>
      <c r="BA1869" s="66"/>
      <c r="BB1869" s="66"/>
      <c r="BC1869" s="66"/>
      <c r="BD1869" s="66"/>
      <c r="BE1869" s="67"/>
      <c r="BF1869" s="67"/>
      <c r="BG1869" s="68"/>
      <c r="BI1869" s="69">
        <v>0</v>
      </c>
      <c r="BJ1869" s="70">
        <v>0</v>
      </c>
      <c r="BK1869" s="71">
        <v>0</v>
      </c>
      <c r="BL1869" s="71">
        <v>0</v>
      </c>
      <c r="BM1869" s="71">
        <v>0</v>
      </c>
      <c r="BN1869" s="72">
        <v>0</v>
      </c>
      <c r="BO1869" s="151" t="e">
        <f t="shared" si="123"/>
        <v>#DIV/0!</v>
      </c>
      <c r="BP1869" s="151" t="e">
        <f t="shared" si="124"/>
        <v>#DIV/0!</v>
      </c>
      <c r="BQ1869" s="71">
        <v>0</v>
      </c>
      <c r="BR1869" s="71">
        <v>0</v>
      </c>
      <c r="BS1869" s="71">
        <v>0</v>
      </c>
      <c r="BT1869" s="72">
        <v>0</v>
      </c>
      <c r="BU1869" s="151" t="e">
        <f t="shared" si="121"/>
        <v>#DIV/0!</v>
      </c>
      <c r="BV1869" s="151" t="e">
        <f t="shared" si="122"/>
        <v>#DIV/0!</v>
      </c>
    </row>
    <row r="1870" ht="30" customHeight="1" spans="1:74">
      <c r="A1870" s="55">
        <v>0</v>
      </c>
      <c r="B1870" s="56" t="s">
        <v>2247</v>
      </c>
      <c r="C1870" s="57" t="s">
        <v>2248</v>
      </c>
      <c r="D1870" s="59" t="s">
        <v>2940</v>
      </c>
      <c r="E1870" s="59" t="s">
        <v>2979</v>
      </c>
      <c r="F1870" s="59" t="e">
        <f>VLOOKUP(E1870,[1]库存!$B$1:$C$65536,2,FALSE)</f>
        <v>#N/A</v>
      </c>
      <c r="G1870" s="59" t="e">
        <v>#N/A</v>
      </c>
      <c r="H1870" s="59" t="s">
        <v>2980</v>
      </c>
      <c r="I1870" s="59" t="s">
        <v>2945</v>
      </c>
      <c r="J1870" s="79"/>
      <c r="K1870" s="61"/>
      <c r="L1870" s="62">
        <v>2</v>
      </c>
      <c r="M1870" s="63">
        <v>1200</v>
      </c>
      <c r="N1870" s="64">
        <v>13</v>
      </c>
      <c r="O1870" s="62">
        <v>2</v>
      </c>
      <c r="P1870" s="65">
        <f t="shared" si="125"/>
        <v>0</v>
      </c>
      <c r="Q1870" s="66"/>
      <c r="R1870" s="66"/>
      <c r="S1870" s="66"/>
      <c r="T1870" s="66"/>
      <c r="U1870" s="66"/>
      <c r="V1870" s="66"/>
      <c r="W1870" s="66"/>
      <c r="X1870" s="66"/>
      <c r="Y1870" s="66"/>
      <c r="Z1870" s="66"/>
      <c r="AA1870" s="66"/>
      <c r="AB1870" s="66"/>
      <c r="AC1870" s="66"/>
      <c r="AD1870" s="66"/>
      <c r="AE1870" s="66"/>
      <c r="AF1870" s="66"/>
      <c r="AG1870" s="66"/>
      <c r="AH1870" s="66"/>
      <c r="AI1870" s="66"/>
      <c r="AJ1870" s="66"/>
      <c r="AK1870" s="66"/>
      <c r="AL1870" s="66"/>
      <c r="AM1870" s="66"/>
      <c r="AN1870" s="66"/>
      <c r="AO1870" s="66"/>
      <c r="AP1870" s="66"/>
      <c r="AQ1870" s="66"/>
      <c r="AR1870" s="66"/>
      <c r="AS1870" s="66"/>
      <c r="AT1870" s="66"/>
      <c r="AU1870" s="66"/>
      <c r="AV1870" s="66"/>
      <c r="AW1870" s="66"/>
      <c r="AX1870" s="66"/>
      <c r="AY1870" s="66"/>
      <c r="AZ1870" s="66"/>
      <c r="BA1870" s="66"/>
      <c r="BB1870" s="66"/>
      <c r="BC1870" s="66"/>
      <c r="BD1870" s="66"/>
      <c r="BE1870" s="67"/>
      <c r="BF1870" s="67"/>
      <c r="BG1870" s="68"/>
      <c r="BI1870" s="69">
        <v>0</v>
      </c>
      <c r="BJ1870" s="70">
        <v>0</v>
      </c>
      <c r="BK1870" s="71">
        <v>0</v>
      </c>
      <c r="BL1870" s="71">
        <v>0</v>
      </c>
      <c r="BM1870" s="71">
        <v>0</v>
      </c>
      <c r="BN1870" s="72">
        <v>0</v>
      </c>
      <c r="BO1870" s="151" t="e">
        <f t="shared" si="123"/>
        <v>#DIV/0!</v>
      </c>
      <c r="BP1870" s="151" t="e">
        <f t="shared" si="124"/>
        <v>#DIV/0!</v>
      </c>
      <c r="BQ1870" s="71">
        <v>0</v>
      </c>
      <c r="BR1870" s="71">
        <v>0</v>
      </c>
      <c r="BS1870" s="71">
        <v>0</v>
      </c>
      <c r="BT1870" s="72">
        <v>0</v>
      </c>
      <c r="BU1870" s="151" t="e">
        <f t="shared" si="121"/>
        <v>#DIV/0!</v>
      </c>
      <c r="BV1870" s="151" t="e">
        <f t="shared" si="122"/>
        <v>#DIV/0!</v>
      </c>
    </row>
    <row r="1871" ht="30" customHeight="1" spans="1:74">
      <c r="A1871" s="55">
        <v>0</v>
      </c>
      <c r="B1871" s="56">
        <v>0</v>
      </c>
      <c r="C1871" s="57">
        <v>0</v>
      </c>
      <c r="D1871" s="74"/>
      <c r="E1871" s="74"/>
      <c r="F1871" s="59" t="e">
        <f>VLOOKUP(E1871,[1]库存!$B$1:$C$65536,2,FALSE)</f>
        <v>#N/A</v>
      </c>
      <c r="G1871" s="59" t="e">
        <v>#N/A</v>
      </c>
      <c r="H1871" s="74"/>
      <c r="I1871" s="74"/>
      <c r="J1871" s="79"/>
      <c r="K1871" s="61"/>
      <c r="L1871" s="62">
        <v>0</v>
      </c>
      <c r="M1871" s="63">
        <v>0</v>
      </c>
      <c r="N1871" s="64">
        <v>0</v>
      </c>
      <c r="O1871" s="62">
        <v>0</v>
      </c>
      <c r="P1871" s="65">
        <f t="shared" si="125"/>
        <v>0</v>
      </c>
      <c r="Q1871" s="66"/>
      <c r="R1871" s="66"/>
      <c r="S1871" s="66"/>
      <c r="T1871" s="66"/>
      <c r="U1871" s="66"/>
      <c r="V1871" s="66"/>
      <c r="W1871" s="66"/>
      <c r="X1871" s="66"/>
      <c r="Y1871" s="66"/>
      <c r="Z1871" s="66"/>
      <c r="AA1871" s="66"/>
      <c r="AB1871" s="66"/>
      <c r="AC1871" s="66"/>
      <c r="AD1871" s="66"/>
      <c r="AE1871" s="66"/>
      <c r="AF1871" s="66"/>
      <c r="AG1871" s="66"/>
      <c r="AH1871" s="66"/>
      <c r="AI1871" s="66"/>
      <c r="AJ1871" s="66"/>
      <c r="AK1871" s="66"/>
      <c r="AL1871" s="66"/>
      <c r="AM1871" s="66"/>
      <c r="AN1871" s="66"/>
      <c r="AO1871" s="66"/>
      <c r="AP1871" s="66"/>
      <c r="AQ1871" s="66"/>
      <c r="AR1871" s="66"/>
      <c r="AS1871" s="66"/>
      <c r="AT1871" s="66"/>
      <c r="AU1871" s="66"/>
      <c r="AV1871" s="66"/>
      <c r="AW1871" s="66"/>
      <c r="AX1871" s="66"/>
      <c r="AY1871" s="66"/>
      <c r="AZ1871" s="66"/>
      <c r="BA1871" s="66"/>
      <c r="BB1871" s="66"/>
      <c r="BC1871" s="66"/>
      <c r="BD1871" s="66"/>
      <c r="BE1871" s="67"/>
      <c r="BF1871" s="67"/>
      <c r="BG1871" s="68"/>
      <c r="BI1871" s="69">
        <v>0</v>
      </c>
      <c r="BJ1871" s="70">
        <v>0</v>
      </c>
      <c r="BK1871" s="71">
        <v>0</v>
      </c>
      <c r="BL1871" s="71">
        <v>0</v>
      </c>
      <c r="BM1871" s="71">
        <v>0</v>
      </c>
      <c r="BN1871" s="72">
        <v>0</v>
      </c>
      <c r="BO1871" s="151" t="e">
        <f t="shared" si="123"/>
        <v>#DIV/0!</v>
      </c>
      <c r="BP1871" s="151" t="e">
        <f t="shared" si="124"/>
        <v>#DIV/0!</v>
      </c>
      <c r="BQ1871" s="71">
        <v>0</v>
      </c>
      <c r="BR1871" s="71">
        <v>0</v>
      </c>
      <c r="BS1871" s="71">
        <v>0</v>
      </c>
      <c r="BT1871" s="72">
        <v>0</v>
      </c>
      <c r="BU1871" s="151" t="e">
        <f t="shared" si="121"/>
        <v>#DIV/0!</v>
      </c>
      <c r="BV1871" s="151" t="e">
        <f t="shared" si="122"/>
        <v>#DIV/0!</v>
      </c>
    </row>
    <row r="1872" ht="30" customHeight="1" spans="1:74">
      <c r="A1872" s="55">
        <v>0</v>
      </c>
      <c r="B1872" s="56" t="s">
        <v>2247</v>
      </c>
      <c r="C1872" s="57" t="s">
        <v>2248</v>
      </c>
      <c r="D1872" s="59" t="s">
        <v>2940</v>
      </c>
      <c r="E1872" s="59"/>
      <c r="F1872" s="59" t="e">
        <f>VLOOKUP(E1872,[1]库存!$B$1:$C$65536,2,FALSE)</f>
        <v>#N/A</v>
      </c>
      <c r="G1872" s="59" t="e">
        <v>#N/A</v>
      </c>
      <c r="H1872" s="59" t="s">
        <v>2981</v>
      </c>
      <c r="I1872" s="59" t="s">
        <v>2982</v>
      </c>
      <c r="J1872" s="63"/>
      <c r="K1872" s="61"/>
      <c r="L1872" s="62">
        <v>2</v>
      </c>
      <c r="M1872" s="63">
        <v>1200</v>
      </c>
      <c r="N1872" s="64">
        <v>13</v>
      </c>
      <c r="O1872" s="62">
        <v>2</v>
      </c>
      <c r="P1872" s="65">
        <f t="shared" si="125"/>
        <v>0</v>
      </c>
      <c r="Q1872" s="66"/>
      <c r="R1872" s="66"/>
      <c r="S1872" s="66"/>
      <c r="T1872" s="66"/>
      <c r="U1872" s="66"/>
      <c r="V1872" s="66"/>
      <c r="W1872" s="66"/>
      <c r="X1872" s="66"/>
      <c r="Y1872" s="66"/>
      <c r="Z1872" s="66"/>
      <c r="AA1872" s="66"/>
      <c r="AB1872" s="66"/>
      <c r="AC1872" s="66"/>
      <c r="AD1872" s="66"/>
      <c r="AE1872" s="66"/>
      <c r="AF1872" s="66"/>
      <c r="AG1872" s="66"/>
      <c r="AH1872" s="66"/>
      <c r="AI1872" s="66"/>
      <c r="AJ1872" s="66"/>
      <c r="AK1872" s="66"/>
      <c r="AL1872" s="66"/>
      <c r="AM1872" s="66"/>
      <c r="AN1872" s="66"/>
      <c r="AO1872" s="66"/>
      <c r="AP1872" s="66"/>
      <c r="AQ1872" s="66"/>
      <c r="AR1872" s="66"/>
      <c r="AS1872" s="66"/>
      <c r="AT1872" s="66"/>
      <c r="AU1872" s="66"/>
      <c r="AV1872" s="66"/>
      <c r="AW1872" s="66"/>
      <c r="AX1872" s="66"/>
      <c r="AY1872" s="66"/>
      <c r="AZ1872" s="66"/>
      <c r="BA1872" s="66"/>
      <c r="BB1872" s="66"/>
      <c r="BC1872" s="66"/>
      <c r="BD1872" s="66"/>
      <c r="BE1872" s="67"/>
      <c r="BF1872" s="67"/>
      <c r="BG1872" s="68"/>
      <c r="BI1872" s="69">
        <v>0</v>
      </c>
      <c r="BJ1872" s="70">
        <v>0</v>
      </c>
      <c r="BK1872" s="71">
        <v>0</v>
      </c>
      <c r="BL1872" s="71">
        <v>0</v>
      </c>
      <c r="BM1872" s="71">
        <v>0</v>
      </c>
      <c r="BN1872" s="72">
        <v>0</v>
      </c>
      <c r="BO1872" s="151" t="e">
        <f t="shared" si="123"/>
        <v>#DIV/0!</v>
      </c>
      <c r="BP1872" s="151" t="e">
        <f t="shared" si="124"/>
        <v>#DIV/0!</v>
      </c>
      <c r="BQ1872" s="71">
        <v>0</v>
      </c>
      <c r="BR1872" s="71">
        <v>0</v>
      </c>
      <c r="BS1872" s="71">
        <v>0</v>
      </c>
      <c r="BT1872" s="72">
        <v>0</v>
      </c>
      <c r="BU1872" s="151" t="e">
        <f t="shared" si="121"/>
        <v>#DIV/0!</v>
      </c>
      <c r="BV1872" s="151" t="e">
        <f t="shared" si="122"/>
        <v>#DIV/0!</v>
      </c>
    </row>
    <row r="1873" ht="30" customHeight="1" spans="1:74">
      <c r="A1873" s="55">
        <v>0</v>
      </c>
      <c r="B1873" s="56">
        <v>0</v>
      </c>
      <c r="C1873" s="57">
        <v>0</v>
      </c>
      <c r="D1873" s="74"/>
      <c r="E1873" s="74"/>
      <c r="F1873" s="59" t="e">
        <f>VLOOKUP(E1873,[1]库存!$B$1:$C$65536,2,FALSE)</f>
        <v>#N/A</v>
      </c>
      <c r="G1873" s="59" t="e">
        <v>#N/A</v>
      </c>
      <c r="H1873" s="74"/>
      <c r="I1873" s="74"/>
      <c r="J1873" s="87"/>
      <c r="K1873" s="61"/>
      <c r="L1873" s="62">
        <v>0</v>
      </c>
      <c r="M1873" s="63">
        <v>0</v>
      </c>
      <c r="N1873" s="64">
        <v>0</v>
      </c>
      <c r="O1873" s="62">
        <v>0</v>
      </c>
      <c r="P1873" s="65">
        <f t="shared" si="125"/>
        <v>0</v>
      </c>
      <c r="Q1873" s="66"/>
      <c r="R1873" s="66"/>
      <c r="S1873" s="66"/>
      <c r="T1873" s="66"/>
      <c r="U1873" s="66"/>
      <c r="V1873" s="66"/>
      <c r="W1873" s="66"/>
      <c r="X1873" s="66"/>
      <c r="Y1873" s="66"/>
      <c r="Z1873" s="66"/>
      <c r="AA1873" s="66"/>
      <c r="AB1873" s="66"/>
      <c r="AC1873" s="66"/>
      <c r="AD1873" s="66"/>
      <c r="AE1873" s="66"/>
      <c r="AF1873" s="66"/>
      <c r="AG1873" s="66"/>
      <c r="AH1873" s="66"/>
      <c r="AI1873" s="66"/>
      <c r="AJ1873" s="66"/>
      <c r="AK1873" s="66"/>
      <c r="AL1873" s="66"/>
      <c r="AM1873" s="66"/>
      <c r="AN1873" s="66"/>
      <c r="AO1873" s="66"/>
      <c r="AP1873" s="66"/>
      <c r="AQ1873" s="66"/>
      <c r="AR1873" s="66"/>
      <c r="AS1873" s="66"/>
      <c r="AT1873" s="66"/>
      <c r="AU1873" s="66"/>
      <c r="AV1873" s="66"/>
      <c r="AW1873" s="66"/>
      <c r="AX1873" s="66"/>
      <c r="AY1873" s="66"/>
      <c r="AZ1873" s="66"/>
      <c r="BA1873" s="66"/>
      <c r="BB1873" s="66"/>
      <c r="BC1873" s="66"/>
      <c r="BD1873" s="66"/>
      <c r="BE1873" s="67"/>
      <c r="BF1873" s="67"/>
      <c r="BG1873" s="68"/>
      <c r="BI1873" s="69">
        <v>0</v>
      </c>
      <c r="BJ1873" s="70">
        <v>0</v>
      </c>
      <c r="BK1873" s="71">
        <v>0</v>
      </c>
      <c r="BL1873" s="71">
        <v>0</v>
      </c>
      <c r="BM1873" s="71">
        <v>0</v>
      </c>
      <c r="BN1873" s="72">
        <v>0</v>
      </c>
      <c r="BO1873" s="151" t="e">
        <f t="shared" si="123"/>
        <v>#DIV/0!</v>
      </c>
      <c r="BP1873" s="151" t="e">
        <f t="shared" si="124"/>
        <v>#DIV/0!</v>
      </c>
      <c r="BQ1873" s="71">
        <v>0</v>
      </c>
      <c r="BR1873" s="71">
        <v>0</v>
      </c>
      <c r="BS1873" s="71">
        <v>0</v>
      </c>
      <c r="BT1873" s="72">
        <v>0</v>
      </c>
      <c r="BU1873" s="151" t="e">
        <f t="shared" si="121"/>
        <v>#DIV/0!</v>
      </c>
      <c r="BV1873" s="151" t="e">
        <f t="shared" si="122"/>
        <v>#DIV/0!</v>
      </c>
    </row>
    <row r="1874" ht="30" customHeight="1" spans="1:74">
      <c r="A1874" s="55">
        <v>0</v>
      </c>
      <c r="B1874" s="56" t="s">
        <v>2247</v>
      </c>
      <c r="C1874" s="57" t="s">
        <v>2248</v>
      </c>
      <c r="D1874" s="59" t="s">
        <v>2940</v>
      </c>
      <c r="E1874" s="59"/>
      <c r="F1874" s="59" t="e">
        <f>VLOOKUP(E1874,[1]库存!$B$1:$C$65536,2,FALSE)</f>
        <v>#N/A</v>
      </c>
      <c r="G1874" s="59" t="e">
        <v>#N/A</v>
      </c>
      <c r="H1874" s="59" t="s">
        <v>2983</v>
      </c>
      <c r="I1874" s="59" t="s">
        <v>2984</v>
      </c>
      <c r="J1874" s="63"/>
      <c r="K1874" s="61"/>
      <c r="L1874" s="62">
        <v>2</v>
      </c>
      <c r="M1874" s="63">
        <v>1200</v>
      </c>
      <c r="N1874" s="64">
        <v>13</v>
      </c>
      <c r="O1874" s="62">
        <v>2</v>
      </c>
      <c r="P1874" s="65">
        <f t="shared" si="125"/>
        <v>0</v>
      </c>
      <c r="Q1874" s="66"/>
      <c r="R1874" s="66"/>
      <c r="S1874" s="66"/>
      <c r="T1874" s="66"/>
      <c r="U1874" s="66"/>
      <c r="V1874" s="66"/>
      <c r="W1874" s="66"/>
      <c r="X1874" s="66"/>
      <c r="Y1874" s="66"/>
      <c r="Z1874" s="66"/>
      <c r="AA1874" s="66"/>
      <c r="AB1874" s="66"/>
      <c r="AC1874" s="66"/>
      <c r="AD1874" s="66"/>
      <c r="AE1874" s="66"/>
      <c r="AF1874" s="66"/>
      <c r="AG1874" s="66"/>
      <c r="AH1874" s="66"/>
      <c r="AI1874" s="66"/>
      <c r="AJ1874" s="66"/>
      <c r="AK1874" s="66"/>
      <c r="AL1874" s="66"/>
      <c r="AM1874" s="66"/>
      <c r="AN1874" s="66"/>
      <c r="AO1874" s="66"/>
      <c r="AP1874" s="66"/>
      <c r="AQ1874" s="66"/>
      <c r="AR1874" s="66"/>
      <c r="AS1874" s="66"/>
      <c r="AT1874" s="66"/>
      <c r="AU1874" s="66"/>
      <c r="AV1874" s="66"/>
      <c r="AW1874" s="66"/>
      <c r="AX1874" s="66"/>
      <c r="AY1874" s="66"/>
      <c r="AZ1874" s="66"/>
      <c r="BA1874" s="66"/>
      <c r="BB1874" s="66"/>
      <c r="BC1874" s="66"/>
      <c r="BD1874" s="66"/>
      <c r="BE1874" s="67"/>
      <c r="BF1874" s="67"/>
      <c r="BG1874" s="68"/>
      <c r="BI1874" s="69">
        <v>0</v>
      </c>
      <c r="BJ1874" s="70">
        <v>0</v>
      </c>
      <c r="BK1874" s="71">
        <v>0</v>
      </c>
      <c r="BL1874" s="71">
        <v>0</v>
      </c>
      <c r="BM1874" s="71">
        <v>0</v>
      </c>
      <c r="BN1874" s="72">
        <v>0</v>
      </c>
      <c r="BO1874" s="151" t="e">
        <f t="shared" si="123"/>
        <v>#DIV/0!</v>
      </c>
      <c r="BP1874" s="151" t="e">
        <f t="shared" si="124"/>
        <v>#DIV/0!</v>
      </c>
      <c r="BQ1874" s="71">
        <v>0</v>
      </c>
      <c r="BR1874" s="71">
        <v>0</v>
      </c>
      <c r="BS1874" s="71">
        <v>0</v>
      </c>
      <c r="BT1874" s="72">
        <v>0</v>
      </c>
      <c r="BU1874" s="151" t="e">
        <f t="shared" si="121"/>
        <v>#DIV/0!</v>
      </c>
      <c r="BV1874" s="151" t="e">
        <f t="shared" si="122"/>
        <v>#DIV/0!</v>
      </c>
    </row>
    <row r="1875" ht="30" customHeight="1" spans="1:74">
      <c r="A1875" s="55">
        <v>0</v>
      </c>
      <c r="B1875" s="56">
        <v>0</v>
      </c>
      <c r="C1875" s="57">
        <v>0</v>
      </c>
      <c r="D1875" s="74"/>
      <c r="E1875" s="74"/>
      <c r="F1875" s="59" t="e">
        <f>VLOOKUP(E1875,[1]库存!$B$1:$C$65536,2,FALSE)</f>
        <v>#N/A</v>
      </c>
      <c r="G1875" s="59" t="e">
        <v>#N/A</v>
      </c>
      <c r="H1875" s="74"/>
      <c r="I1875" s="74"/>
      <c r="J1875" s="87"/>
      <c r="K1875" s="61"/>
      <c r="L1875" s="62">
        <v>0</v>
      </c>
      <c r="M1875" s="63">
        <v>0</v>
      </c>
      <c r="N1875" s="64">
        <v>0</v>
      </c>
      <c r="O1875" s="62">
        <v>0</v>
      </c>
      <c r="P1875" s="65">
        <f t="shared" si="125"/>
        <v>0</v>
      </c>
      <c r="Q1875" s="66"/>
      <c r="R1875" s="66"/>
      <c r="S1875" s="66"/>
      <c r="T1875" s="66"/>
      <c r="U1875" s="66"/>
      <c r="V1875" s="66"/>
      <c r="W1875" s="66"/>
      <c r="X1875" s="66"/>
      <c r="Y1875" s="66"/>
      <c r="Z1875" s="66"/>
      <c r="AA1875" s="66"/>
      <c r="AB1875" s="66"/>
      <c r="AC1875" s="66"/>
      <c r="AD1875" s="66"/>
      <c r="AE1875" s="66"/>
      <c r="AF1875" s="66"/>
      <c r="AG1875" s="66"/>
      <c r="AH1875" s="66"/>
      <c r="AI1875" s="66"/>
      <c r="AJ1875" s="66"/>
      <c r="AK1875" s="66"/>
      <c r="AL1875" s="66"/>
      <c r="AM1875" s="66"/>
      <c r="AN1875" s="66"/>
      <c r="AO1875" s="66"/>
      <c r="AP1875" s="66"/>
      <c r="AQ1875" s="66"/>
      <c r="AR1875" s="66"/>
      <c r="AS1875" s="66"/>
      <c r="AT1875" s="66"/>
      <c r="AU1875" s="66"/>
      <c r="AV1875" s="66"/>
      <c r="AW1875" s="66"/>
      <c r="AX1875" s="66"/>
      <c r="AY1875" s="66"/>
      <c r="AZ1875" s="66"/>
      <c r="BA1875" s="66"/>
      <c r="BB1875" s="66"/>
      <c r="BC1875" s="66"/>
      <c r="BD1875" s="66"/>
      <c r="BE1875" s="67"/>
      <c r="BF1875" s="67"/>
      <c r="BG1875" s="68"/>
      <c r="BI1875" s="69">
        <v>0</v>
      </c>
      <c r="BJ1875" s="70">
        <v>0</v>
      </c>
      <c r="BK1875" s="71">
        <v>0</v>
      </c>
      <c r="BL1875" s="71">
        <v>0</v>
      </c>
      <c r="BM1875" s="71">
        <v>0</v>
      </c>
      <c r="BN1875" s="72">
        <v>0</v>
      </c>
      <c r="BO1875" s="151" t="e">
        <f t="shared" si="123"/>
        <v>#DIV/0!</v>
      </c>
      <c r="BP1875" s="151" t="e">
        <f t="shared" si="124"/>
        <v>#DIV/0!</v>
      </c>
      <c r="BQ1875" s="71">
        <v>0</v>
      </c>
      <c r="BR1875" s="71">
        <v>0</v>
      </c>
      <c r="BS1875" s="71">
        <v>0</v>
      </c>
      <c r="BT1875" s="72">
        <v>0</v>
      </c>
      <c r="BU1875" s="151" t="e">
        <f t="shared" si="121"/>
        <v>#DIV/0!</v>
      </c>
      <c r="BV1875" s="151" t="e">
        <f t="shared" si="122"/>
        <v>#DIV/0!</v>
      </c>
    </row>
    <row r="1876" ht="30" customHeight="1" spans="1:74">
      <c r="A1876" s="55">
        <v>0</v>
      </c>
      <c r="B1876" s="56" t="s">
        <v>2247</v>
      </c>
      <c r="C1876" s="57" t="s">
        <v>2248</v>
      </c>
      <c r="D1876" s="59" t="s">
        <v>2940</v>
      </c>
      <c r="E1876" s="59"/>
      <c r="F1876" s="59" t="e">
        <f>VLOOKUP(E1876,[1]库存!$B$1:$C$65536,2,FALSE)</f>
        <v>#N/A</v>
      </c>
      <c r="G1876" s="59" t="e">
        <v>#N/A</v>
      </c>
      <c r="H1876" s="59" t="s">
        <v>2985</v>
      </c>
      <c r="I1876" s="59" t="s">
        <v>2986</v>
      </c>
      <c r="J1876" s="63"/>
      <c r="K1876" s="61"/>
      <c r="L1876" s="62">
        <v>2</v>
      </c>
      <c r="M1876" s="63">
        <v>1200</v>
      </c>
      <c r="N1876" s="64">
        <v>13</v>
      </c>
      <c r="O1876" s="62">
        <v>2</v>
      </c>
      <c r="P1876" s="65">
        <f t="shared" si="125"/>
        <v>0</v>
      </c>
      <c r="Q1876" s="66"/>
      <c r="R1876" s="66"/>
      <c r="S1876" s="66"/>
      <c r="T1876" s="66"/>
      <c r="U1876" s="66"/>
      <c r="V1876" s="66"/>
      <c r="W1876" s="66"/>
      <c r="X1876" s="66"/>
      <c r="Y1876" s="66"/>
      <c r="Z1876" s="66"/>
      <c r="AA1876" s="66"/>
      <c r="AB1876" s="66"/>
      <c r="AC1876" s="66"/>
      <c r="AD1876" s="66"/>
      <c r="AE1876" s="66"/>
      <c r="AF1876" s="66"/>
      <c r="AG1876" s="66"/>
      <c r="AH1876" s="66"/>
      <c r="AI1876" s="234"/>
      <c r="AJ1876" s="234"/>
      <c r="AK1876" s="234"/>
      <c r="AL1876" s="66"/>
      <c r="AM1876" s="66"/>
      <c r="AN1876" s="66"/>
      <c r="AO1876" s="66"/>
      <c r="AP1876" s="66"/>
      <c r="AQ1876" s="66"/>
      <c r="AR1876" s="66"/>
      <c r="AS1876" s="66"/>
      <c r="AT1876" s="66"/>
      <c r="AU1876" s="66"/>
      <c r="AV1876" s="66"/>
      <c r="AW1876" s="66"/>
      <c r="AX1876" s="66"/>
      <c r="AY1876" s="66"/>
      <c r="AZ1876" s="66"/>
      <c r="BA1876" s="66"/>
      <c r="BB1876" s="66"/>
      <c r="BC1876" s="66"/>
      <c r="BD1876" s="66"/>
      <c r="BE1876" s="67"/>
      <c r="BF1876" s="67"/>
      <c r="BG1876" s="68"/>
      <c r="BI1876" s="69">
        <v>0</v>
      </c>
      <c r="BJ1876" s="70">
        <v>0</v>
      </c>
      <c r="BK1876" s="71">
        <v>0</v>
      </c>
      <c r="BL1876" s="71">
        <v>0</v>
      </c>
      <c r="BM1876" s="71">
        <v>0</v>
      </c>
      <c r="BN1876" s="72">
        <v>0</v>
      </c>
      <c r="BO1876" s="151" t="e">
        <f t="shared" si="123"/>
        <v>#DIV/0!</v>
      </c>
      <c r="BP1876" s="151" t="e">
        <f t="shared" si="124"/>
        <v>#DIV/0!</v>
      </c>
      <c r="BQ1876" s="71">
        <v>0</v>
      </c>
      <c r="BR1876" s="71">
        <v>0</v>
      </c>
      <c r="BS1876" s="71">
        <v>0</v>
      </c>
      <c r="BT1876" s="72">
        <v>0</v>
      </c>
      <c r="BU1876" s="151" t="e">
        <f t="shared" si="121"/>
        <v>#DIV/0!</v>
      </c>
      <c r="BV1876" s="151" t="e">
        <f t="shared" si="122"/>
        <v>#DIV/0!</v>
      </c>
    </row>
    <row r="1877" ht="30" customHeight="1" spans="1:74">
      <c r="A1877" s="55">
        <v>0</v>
      </c>
      <c r="B1877" s="56">
        <v>0</v>
      </c>
      <c r="C1877" s="57">
        <v>0</v>
      </c>
      <c r="D1877" s="74"/>
      <c r="E1877" s="74"/>
      <c r="F1877" s="59" t="e">
        <f>VLOOKUP(E1877,[1]库存!$B$1:$C$65536,2,FALSE)</f>
        <v>#N/A</v>
      </c>
      <c r="G1877" s="59" t="e">
        <v>#N/A</v>
      </c>
      <c r="H1877" s="74"/>
      <c r="I1877" s="74"/>
      <c r="J1877" s="87"/>
      <c r="K1877" s="61"/>
      <c r="L1877" s="62">
        <v>0</v>
      </c>
      <c r="M1877" s="63">
        <v>0</v>
      </c>
      <c r="N1877" s="64">
        <v>0</v>
      </c>
      <c r="O1877" s="62">
        <v>0</v>
      </c>
      <c r="P1877" s="65">
        <f t="shared" si="125"/>
        <v>0</v>
      </c>
      <c r="Q1877" s="66"/>
      <c r="R1877" s="66"/>
      <c r="S1877" s="66"/>
      <c r="T1877" s="66"/>
      <c r="U1877" s="66"/>
      <c r="V1877" s="66"/>
      <c r="W1877" s="66"/>
      <c r="X1877" s="66"/>
      <c r="Y1877" s="66"/>
      <c r="Z1877" s="66"/>
      <c r="AA1877" s="66"/>
      <c r="AB1877" s="66"/>
      <c r="AC1877" s="66"/>
      <c r="AD1877" s="66"/>
      <c r="AE1877" s="66"/>
      <c r="AF1877" s="66"/>
      <c r="AG1877" s="66"/>
      <c r="AH1877" s="66"/>
      <c r="AI1877" s="234"/>
      <c r="AJ1877" s="234"/>
      <c r="AK1877" s="234"/>
      <c r="AL1877" s="66"/>
      <c r="AM1877" s="66"/>
      <c r="AN1877" s="66"/>
      <c r="AO1877" s="66"/>
      <c r="AP1877" s="66"/>
      <c r="AQ1877" s="66"/>
      <c r="AR1877" s="66"/>
      <c r="AS1877" s="66"/>
      <c r="AT1877" s="66"/>
      <c r="AU1877" s="66"/>
      <c r="AV1877" s="66"/>
      <c r="AW1877" s="66"/>
      <c r="AX1877" s="66"/>
      <c r="AY1877" s="66"/>
      <c r="AZ1877" s="66"/>
      <c r="BA1877" s="66"/>
      <c r="BB1877" s="66"/>
      <c r="BC1877" s="66"/>
      <c r="BD1877" s="66"/>
      <c r="BE1877" s="67"/>
      <c r="BF1877" s="67"/>
      <c r="BG1877" s="68"/>
      <c r="BI1877" s="69">
        <v>0</v>
      </c>
      <c r="BJ1877" s="70">
        <v>0</v>
      </c>
      <c r="BK1877" s="71">
        <v>0</v>
      </c>
      <c r="BL1877" s="71">
        <v>0</v>
      </c>
      <c r="BM1877" s="71">
        <v>0</v>
      </c>
      <c r="BN1877" s="72">
        <v>0</v>
      </c>
      <c r="BO1877" s="151" t="e">
        <f t="shared" si="123"/>
        <v>#DIV/0!</v>
      </c>
      <c r="BP1877" s="151" t="e">
        <f t="shared" si="124"/>
        <v>#DIV/0!</v>
      </c>
      <c r="BQ1877" s="71">
        <v>0</v>
      </c>
      <c r="BR1877" s="71">
        <v>0</v>
      </c>
      <c r="BS1877" s="71">
        <v>0</v>
      </c>
      <c r="BT1877" s="72">
        <v>0</v>
      </c>
      <c r="BU1877" s="151" t="e">
        <f t="shared" si="121"/>
        <v>#DIV/0!</v>
      </c>
      <c r="BV1877" s="151" t="e">
        <f t="shared" si="122"/>
        <v>#DIV/0!</v>
      </c>
    </row>
    <row r="1878" ht="30" customHeight="1" spans="1:74">
      <c r="A1878" s="55">
        <v>0</v>
      </c>
      <c r="B1878" s="56" t="s">
        <v>2247</v>
      </c>
      <c r="C1878" s="57" t="s">
        <v>2248</v>
      </c>
      <c r="D1878" s="59" t="s">
        <v>2940</v>
      </c>
      <c r="E1878" s="59"/>
      <c r="F1878" s="59" t="e">
        <f>VLOOKUP(E1878,[1]库存!$B$1:$C$65536,2,FALSE)</f>
        <v>#N/A</v>
      </c>
      <c r="G1878" s="59" t="e">
        <v>#N/A</v>
      </c>
      <c r="H1878" s="59" t="s">
        <v>2987</v>
      </c>
      <c r="I1878" s="59" t="s">
        <v>2988</v>
      </c>
      <c r="J1878" s="63"/>
      <c r="K1878" s="61"/>
      <c r="L1878" s="62">
        <v>2</v>
      </c>
      <c r="M1878" s="63">
        <v>1200</v>
      </c>
      <c r="N1878" s="64">
        <v>13</v>
      </c>
      <c r="O1878" s="62">
        <v>2</v>
      </c>
      <c r="P1878" s="65">
        <f t="shared" si="125"/>
        <v>0</v>
      </c>
      <c r="Q1878" s="66"/>
      <c r="R1878" s="66"/>
      <c r="S1878" s="66"/>
      <c r="T1878" s="66"/>
      <c r="U1878" s="66"/>
      <c r="V1878" s="66"/>
      <c r="W1878" s="66"/>
      <c r="X1878" s="66"/>
      <c r="Y1878" s="66"/>
      <c r="Z1878" s="66"/>
      <c r="AA1878" s="66"/>
      <c r="AB1878" s="66"/>
      <c r="AC1878" s="66"/>
      <c r="AD1878" s="66"/>
      <c r="AE1878" s="66"/>
      <c r="AF1878" s="66"/>
      <c r="AG1878" s="66"/>
      <c r="AH1878" s="66"/>
      <c r="AI1878" s="234"/>
      <c r="AJ1878" s="234"/>
      <c r="AK1878" s="234"/>
      <c r="AL1878" s="66"/>
      <c r="AM1878" s="66"/>
      <c r="AN1878" s="66"/>
      <c r="AO1878" s="66"/>
      <c r="AP1878" s="66"/>
      <c r="AQ1878" s="66"/>
      <c r="AR1878" s="66"/>
      <c r="AS1878" s="66"/>
      <c r="AT1878" s="66"/>
      <c r="AU1878" s="66"/>
      <c r="AV1878" s="66"/>
      <c r="AW1878" s="66"/>
      <c r="AX1878" s="66"/>
      <c r="AY1878" s="66"/>
      <c r="AZ1878" s="66"/>
      <c r="BA1878" s="66"/>
      <c r="BB1878" s="66"/>
      <c r="BC1878" s="66"/>
      <c r="BD1878" s="66"/>
      <c r="BE1878" s="67"/>
      <c r="BF1878" s="67"/>
      <c r="BG1878" s="68"/>
      <c r="BI1878" s="69">
        <v>0</v>
      </c>
      <c r="BJ1878" s="70">
        <v>0</v>
      </c>
      <c r="BK1878" s="71">
        <v>0</v>
      </c>
      <c r="BL1878" s="71">
        <v>0</v>
      </c>
      <c r="BM1878" s="71">
        <v>0</v>
      </c>
      <c r="BN1878" s="72">
        <v>0</v>
      </c>
      <c r="BO1878" s="151" t="e">
        <f t="shared" si="123"/>
        <v>#DIV/0!</v>
      </c>
      <c r="BP1878" s="151" t="e">
        <f t="shared" si="124"/>
        <v>#DIV/0!</v>
      </c>
      <c r="BQ1878" s="71">
        <v>0</v>
      </c>
      <c r="BR1878" s="71">
        <v>0</v>
      </c>
      <c r="BS1878" s="71">
        <v>0</v>
      </c>
      <c r="BT1878" s="72">
        <v>0</v>
      </c>
      <c r="BU1878" s="151" t="e">
        <f t="shared" si="121"/>
        <v>#DIV/0!</v>
      </c>
      <c r="BV1878" s="151" t="e">
        <f t="shared" si="122"/>
        <v>#DIV/0!</v>
      </c>
    </row>
    <row r="1879" ht="30" customHeight="1" spans="1:74">
      <c r="A1879" s="55">
        <v>0</v>
      </c>
      <c r="B1879" s="56">
        <v>0</v>
      </c>
      <c r="C1879" s="57">
        <v>0</v>
      </c>
      <c r="D1879" s="74"/>
      <c r="E1879" s="74"/>
      <c r="F1879" s="59" t="e">
        <f>VLOOKUP(E1879,[1]库存!$B$1:$C$65536,2,FALSE)</f>
        <v>#N/A</v>
      </c>
      <c r="G1879" s="59" t="e">
        <v>#N/A</v>
      </c>
      <c r="H1879" s="74"/>
      <c r="I1879" s="74"/>
      <c r="J1879" s="87"/>
      <c r="K1879" s="61"/>
      <c r="L1879" s="62">
        <v>0</v>
      </c>
      <c r="M1879" s="63">
        <v>0</v>
      </c>
      <c r="N1879" s="64">
        <v>0</v>
      </c>
      <c r="O1879" s="62">
        <v>0</v>
      </c>
      <c r="P1879" s="65">
        <f t="shared" si="125"/>
        <v>0</v>
      </c>
      <c r="Q1879" s="66"/>
      <c r="R1879" s="66"/>
      <c r="S1879" s="66"/>
      <c r="T1879" s="66"/>
      <c r="U1879" s="66"/>
      <c r="V1879" s="66"/>
      <c r="W1879" s="66"/>
      <c r="X1879" s="66"/>
      <c r="Y1879" s="66"/>
      <c r="Z1879" s="66"/>
      <c r="AA1879" s="66"/>
      <c r="AB1879" s="66"/>
      <c r="AC1879" s="66"/>
      <c r="AD1879" s="66"/>
      <c r="AE1879" s="66"/>
      <c r="AF1879" s="66"/>
      <c r="AG1879" s="66"/>
      <c r="AH1879" s="66"/>
      <c r="AI1879" s="234"/>
      <c r="AJ1879" s="234"/>
      <c r="AK1879" s="234"/>
      <c r="AL1879" s="66"/>
      <c r="AM1879" s="66"/>
      <c r="AN1879" s="66"/>
      <c r="AO1879" s="66"/>
      <c r="AP1879" s="66"/>
      <c r="AQ1879" s="66"/>
      <c r="AR1879" s="66"/>
      <c r="AS1879" s="66"/>
      <c r="AT1879" s="66"/>
      <c r="AU1879" s="66"/>
      <c r="AV1879" s="66"/>
      <c r="AW1879" s="66"/>
      <c r="AX1879" s="66"/>
      <c r="AY1879" s="66"/>
      <c r="AZ1879" s="66"/>
      <c r="BA1879" s="66"/>
      <c r="BB1879" s="66"/>
      <c r="BC1879" s="66"/>
      <c r="BD1879" s="66"/>
      <c r="BE1879" s="67"/>
      <c r="BF1879" s="67"/>
      <c r="BG1879" s="68"/>
      <c r="BI1879" s="69">
        <v>0</v>
      </c>
      <c r="BJ1879" s="70">
        <v>0</v>
      </c>
      <c r="BK1879" s="71">
        <v>0</v>
      </c>
      <c r="BL1879" s="71">
        <v>0</v>
      </c>
      <c r="BM1879" s="71">
        <v>0</v>
      </c>
      <c r="BN1879" s="72">
        <v>0</v>
      </c>
      <c r="BO1879" s="151" t="e">
        <f t="shared" si="123"/>
        <v>#DIV/0!</v>
      </c>
      <c r="BP1879" s="151" t="e">
        <f t="shared" si="124"/>
        <v>#DIV/0!</v>
      </c>
      <c r="BQ1879" s="71">
        <v>0</v>
      </c>
      <c r="BR1879" s="71">
        <v>0</v>
      </c>
      <c r="BS1879" s="71">
        <v>0</v>
      </c>
      <c r="BT1879" s="72">
        <v>0</v>
      </c>
      <c r="BU1879" s="151" t="e">
        <f t="shared" si="121"/>
        <v>#DIV/0!</v>
      </c>
      <c r="BV1879" s="151" t="e">
        <f t="shared" si="122"/>
        <v>#DIV/0!</v>
      </c>
    </row>
    <row r="1880" ht="30" customHeight="1" spans="1:74">
      <c r="A1880" s="55">
        <v>0</v>
      </c>
      <c r="B1880" s="56">
        <v>0</v>
      </c>
      <c r="C1880" s="57">
        <v>0</v>
      </c>
      <c r="D1880" s="210"/>
      <c r="E1880" s="88"/>
      <c r="F1880" s="59" t="e">
        <f>VLOOKUP(E1880,[1]库存!$B$1:$C$65536,2,FALSE)</f>
        <v>#N/A</v>
      </c>
      <c r="G1880" s="59" t="e">
        <v>#N/A</v>
      </c>
      <c r="H1880" s="238"/>
      <c r="I1880" s="239"/>
      <c r="J1880" s="90"/>
      <c r="K1880" s="61"/>
      <c r="L1880" s="62">
        <v>0</v>
      </c>
      <c r="M1880" s="63">
        <v>0</v>
      </c>
      <c r="N1880" s="64">
        <v>0</v>
      </c>
      <c r="O1880" s="62">
        <v>0</v>
      </c>
      <c r="P1880" s="65">
        <f t="shared" si="125"/>
        <v>0</v>
      </c>
      <c r="Q1880" s="66"/>
      <c r="R1880" s="66"/>
      <c r="S1880" s="66"/>
      <c r="T1880" s="66"/>
      <c r="U1880" s="66"/>
      <c r="V1880" s="66"/>
      <c r="W1880" s="66"/>
      <c r="X1880" s="66"/>
      <c r="Y1880" s="66"/>
      <c r="Z1880" s="66"/>
      <c r="AA1880" s="66"/>
      <c r="AB1880" s="66"/>
      <c r="AC1880" s="66"/>
      <c r="AD1880" s="66"/>
      <c r="AE1880" s="66"/>
      <c r="AF1880" s="66"/>
      <c r="AG1880" s="66"/>
      <c r="AH1880" s="66"/>
      <c r="AI1880" s="66"/>
      <c r="AJ1880" s="66"/>
      <c r="AK1880" s="66"/>
      <c r="AL1880" s="66"/>
      <c r="AM1880" s="66"/>
      <c r="AN1880" s="66"/>
      <c r="AO1880" s="66"/>
      <c r="AP1880" s="66"/>
      <c r="AQ1880" s="66"/>
      <c r="AR1880" s="66"/>
      <c r="AS1880" s="66"/>
      <c r="AT1880" s="66"/>
      <c r="AU1880" s="66"/>
      <c r="AV1880" s="66"/>
      <c r="AW1880" s="66"/>
      <c r="AX1880" s="66"/>
      <c r="AY1880" s="66"/>
      <c r="AZ1880" s="66"/>
      <c r="BA1880" s="66"/>
      <c r="BB1880" s="66"/>
      <c r="BC1880" s="66"/>
      <c r="BD1880" s="66"/>
      <c r="BE1880" s="67"/>
      <c r="BF1880" s="67"/>
      <c r="BG1880" s="68"/>
      <c r="BI1880" s="69">
        <v>0</v>
      </c>
      <c r="BJ1880" s="70">
        <v>0</v>
      </c>
      <c r="BK1880" s="71">
        <v>0</v>
      </c>
      <c r="BL1880" s="71">
        <v>0</v>
      </c>
      <c r="BM1880" s="71">
        <v>0</v>
      </c>
      <c r="BN1880" s="72">
        <v>0</v>
      </c>
      <c r="BO1880" s="151" t="e">
        <f t="shared" si="123"/>
        <v>#DIV/0!</v>
      </c>
      <c r="BP1880" s="151" t="e">
        <f t="shared" si="124"/>
        <v>#DIV/0!</v>
      </c>
      <c r="BQ1880" s="71">
        <v>0</v>
      </c>
      <c r="BR1880" s="71">
        <v>0</v>
      </c>
      <c r="BS1880" s="71">
        <v>0</v>
      </c>
      <c r="BT1880" s="72">
        <v>0</v>
      </c>
      <c r="BU1880" s="151" t="e">
        <f t="shared" si="121"/>
        <v>#DIV/0!</v>
      </c>
      <c r="BV1880" s="151" t="e">
        <f t="shared" si="122"/>
        <v>#DIV/0!</v>
      </c>
    </row>
    <row r="1881" ht="30" customHeight="1" spans="1:74">
      <c r="A1881" s="55">
        <v>0</v>
      </c>
      <c r="B1881" s="56" t="s">
        <v>2247</v>
      </c>
      <c r="C1881" s="57" t="s">
        <v>2248</v>
      </c>
      <c r="D1881" s="59" t="s">
        <v>2989</v>
      </c>
      <c r="E1881" s="59" t="s">
        <v>2990</v>
      </c>
      <c r="F1881" s="59" t="str">
        <f>VLOOKUP(E1881,[1]库存!$B$1:$C$65536,2,FALSE)</f>
        <v>D01 JFL1 RSAB LH</v>
      </c>
      <c r="G1881" s="59" t="s">
        <v>2991</v>
      </c>
      <c r="H1881" s="59" t="s">
        <v>2992</v>
      </c>
      <c r="I1881" s="59" t="s">
        <v>2993</v>
      </c>
      <c r="J1881" s="63"/>
      <c r="K1881" s="61"/>
      <c r="L1881" s="62">
        <v>2</v>
      </c>
      <c r="M1881" s="63">
        <v>1350</v>
      </c>
      <c r="N1881" s="64">
        <v>11</v>
      </c>
      <c r="O1881" s="62">
        <v>2</v>
      </c>
      <c r="P1881" s="65">
        <f t="shared" si="125"/>
        <v>0</v>
      </c>
      <c r="Q1881" s="66"/>
      <c r="R1881" s="66"/>
      <c r="S1881" s="66"/>
      <c r="T1881" s="66"/>
      <c r="U1881" s="66"/>
      <c r="V1881" s="66"/>
      <c r="W1881" s="66"/>
      <c r="X1881" s="66"/>
      <c r="Y1881" s="66"/>
      <c r="Z1881" s="66"/>
      <c r="AA1881" s="66"/>
      <c r="AB1881" s="66"/>
      <c r="AC1881" s="66"/>
      <c r="AD1881" s="66"/>
      <c r="AE1881" s="66"/>
      <c r="AF1881" s="66"/>
      <c r="AG1881" s="66"/>
      <c r="AH1881" s="66"/>
      <c r="AI1881" s="66"/>
      <c r="AJ1881" s="66"/>
      <c r="AK1881" s="66"/>
      <c r="AL1881" s="66"/>
      <c r="AM1881" s="66"/>
      <c r="AN1881" s="66"/>
      <c r="AO1881" s="66"/>
      <c r="AP1881" s="66"/>
      <c r="AQ1881" s="66"/>
      <c r="AR1881" s="66"/>
      <c r="AS1881" s="66"/>
      <c r="AT1881" s="66"/>
      <c r="AU1881" s="66"/>
      <c r="AV1881" s="66"/>
      <c r="AW1881" s="66"/>
      <c r="AX1881" s="66"/>
      <c r="AY1881" s="66"/>
      <c r="AZ1881" s="66"/>
      <c r="BA1881" s="66"/>
      <c r="BB1881" s="66"/>
      <c r="BC1881" s="66"/>
      <c r="BD1881" s="66"/>
      <c r="BE1881" s="67"/>
      <c r="BF1881" s="67"/>
      <c r="BG1881" s="68"/>
      <c r="BI1881" s="69">
        <v>0</v>
      </c>
      <c r="BJ1881" s="70">
        <v>0</v>
      </c>
      <c r="BK1881" s="71">
        <v>0</v>
      </c>
      <c r="BL1881" s="71">
        <v>0</v>
      </c>
      <c r="BM1881" s="71">
        <v>0</v>
      </c>
      <c r="BN1881" s="72">
        <v>0</v>
      </c>
      <c r="BO1881" s="151" t="e">
        <f t="shared" si="123"/>
        <v>#DIV/0!</v>
      </c>
      <c r="BP1881" s="151" t="e">
        <f t="shared" si="124"/>
        <v>#DIV/0!</v>
      </c>
      <c r="BQ1881" s="71">
        <v>0</v>
      </c>
      <c r="BR1881" s="71">
        <v>0</v>
      </c>
      <c r="BS1881" s="71">
        <v>0</v>
      </c>
      <c r="BT1881" s="72">
        <v>0</v>
      </c>
      <c r="BU1881" s="151" t="e">
        <f t="shared" si="121"/>
        <v>#DIV/0!</v>
      </c>
      <c r="BV1881" s="151" t="e">
        <f t="shared" si="122"/>
        <v>#DIV/0!</v>
      </c>
    </row>
    <row r="1882" ht="30" customHeight="1" spans="1:74">
      <c r="A1882" s="55">
        <v>0</v>
      </c>
      <c r="B1882" s="56">
        <v>0</v>
      </c>
      <c r="C1882" s="57">
        <v>0</v>
      </c>
      <c r="D1882" s="74"/>
      <c r="E1882" s="74"/>
      <c r="F1882" s="59" t="e">
        <f>VLOOKUP(E1882,[1]库存!$B$1:$C$65536,2,FALSE)</f>
        <v>#N/A</v>
      </c>
      <c r="G1882" s="59" t="e">
        <v>#N/A</v>
      </c>
      <c r="H1882" s="74"/>
      <c r="I1882" s="74"/>
      <c r="J1882" s="87"/>
      <c r="K1882" s="61"/>
      <c r="L1882" s="62">
        <v>0</v>
      </c>
      <c r="M1882" s="63">
        <v>0</v>
      </c>
      <c r="N1882" s="64">
        <v>0</v>
      </c>
      <c r="O1882" s="62">
        <v>0</v>
      </c>
      <c r="P1882" s="65">
        <f t="shared" si="125"/>
        <v>0</v>
      </c>
      <c r="Q1882" s="66"/>
      <c r="R1882" s="66"/>
      <c r="S1882" s="66"/>
      <c r="T1882" s="66"/>
      <c r="U1882" s="66"/>
      <c r="V1882" s="66"/>
      <c r="W1882" s="66"/>
      <c r="X1882" s="66"/>
      <c r="Y1882" s="66"/>
      <c r="Z1882" s="66"/>
      <c r="AA1882" s="66"/>
      <c r="AB1882" s="66"/>
      <c r="AC1882" s="66"/>
      <c r="AD1882" s="66"/>
      <c r="AE1882" s="66"/>
      <c r="AF1882" s="66"/>
      <c r="AG1882" s="66"/>
      <c r="AH1882" s="66"/>
      <c r="AI1882" s="66"/>
      <c r="AJ1882" s="66"/>
      <c r="AK1882" s="66"/>
      <c r="AL1882" s="66"/>
      <c r="AM1882" s="66"/>
      <c r="AN1882" s="66"/>
      <c r="AO1882" s="66"/>
      <c r="AP1882" s="66"/>
      <c r="AQ1882" s="66"/>
      <c r="AR1882" s="66"/>
      <c r="AS1882" s="66"/>
      <c r="AT1882" s="66"/>
      <c r="AU1882" s="66"/>
      <c r="AV1882" s="66"/>
      <c r="AW1882" s="66"/>
      <c r="AX1882" s="66"/>
      <c r="AY1882" s="66"/>
      <c r="AZ1882" s="66"/>
      <c r="BA1882" s="66"/>
      <c r="BB1882" s="66"/>
      <c r="BC1882" s="66"/>
      <c r="BD1882" s="66"/>
      <c r="BE1882" s="67"/>
      <c r="BF1882" s="67"/>
      <c r="BG1882" s="68"/>
      <c r="BI1882" s="69">
        <v>0</v>
      </c>
      <c r="BJ1882" s="70">
        <v>0</v>
      </c>
      <c r="BK1882" s="71">
        <v>0</v>
      </c>
      <c r="BL1882" s="71">
        <v>0</v>
      </c>
      <c r="BM1882" s="71">
        <v>0</v>
      </c>
      <c r="BN1882" s="72">
        <v>0</v>
      </c>
      <c r="BO1882" s="151" t="e">
        <f t="shared" si="123"/>
        <v>#DIV/0!</v>
      </c>
      <c r="BP1882" s="151" t="e">
        <f t="shared" si="124"/>
        <v>#DIV/0!</v>
      </c>
      <c r="BQ1882" s="71">
        <v>0</v>
      </c>
      <c r="BR1882" s="71">
        <v>0</v>
      </c>
      <c r="BS1882" s="71">
        <v>0</v>
      </c>
      <c r="BT1882" s="72">
        <v>0</v>
      </c>
      <c r="BU1882" s="151" t="e">
        <f t="shared" si="121"/>
        <v>#DIV/0!</v>
      </c>
      <c r="BV1882" s="151" t="e">
        <f t="shared" si="122"/>
        <v>#DIV/0!</v>
      </c>
    </row>
    <row r="1883" ht="30" customHeight="1" spans="1:74">
      <c r="A1883" s="55">
        <v>0</v>
      </c>
      <c r="B1883" s="56" t="s">
        <v>2247</v>
      </c>
      <c r="C1883" s="57" t="s">
        <v>2248</v>
      </c>
      <c r="D1883" s="59" t="s">
        <v>2989</v>
      </c>
      <c r="E1883" s="59" t="s">
        <v>2994</v>
      </c>
      <c r="F1883" s="59" t="str">
        <f>VLOOKUP(E1883,[1]库存!$B$1:$C$65536,2,FALSE)</f>
        <v>D01 JFL1 RSAB RH</v>
      </c>
      <c r="G1883" s="59" t="s">
        <v>2995</v>
      </c>
      <c r="H1883" s="59" t="s">
        <v>2996</v>
      </c>
      <c r="I1883" s="59" t="s">
        <v>2993</v>
      </c>
      <c r="J1883" s="63"/>
      <c r="K1883" s="61"/>
      <c r="L1883" s="62">
        <v>2</v>
      </c>
      <c r="M1883" s="63">
        <v>1350</v>
      </c>
      <c r="N1883" s="64">
        <v>11</v>
      </c>
      <c r="O1883" s="62">
        <v>2</v>
      </c>
      <c r="P1883" s="65">
        <f t="shared" si="125"/>
        <v>0</v>
      </c>
      <c r="Q1883" s="66"/>
      <c r="R1883" s="66"/>
      <c r="S1883" s="66"/>
      <c r="T1883" s="66"/>
      <c r="U1883" s="66"/>
      <c r="V1883" s="66"/>
      <c r="W1883" s="66"/>
      <c r="X1883" s="66"/>
      <c r="Y1883" s="66"/>
      <c r="Z1883" s="66"/>
      <c r="AA1883" s="66"/>
      <c r="AB1883" s="66"/>
      <c r="AC1883" s="66"/>
      <c r="AD1883" s="66"/>
      <c r="AE1883" s="66"/>
      <c r="AF1883" s="66"/>
      <c r="AG1883" s="66"/>
      <c r="AH1883" s="66"/>
      <c r="AI1883" s="66"/>
      <c r="AJ1883" s="66"/>
      <c r="AK1883" s="66"/>
      <c r="AL1883" s="66"/>
      <c r="AM1883" s="66"/>
      <c r="AN1883" s="66"/>
      <c r="AO1883" s="66"/>
      <c r="AP1883" s="66"/>
      <c r="AQ1883" s="66"/>
      <c r="AR1883" s="66"/>
      <c r="AS1883" s="66"/>
      <c r="AT1883" s="66"/>
      <c r="AU1883" s="66"/>
      <c r="AV1883" s="66"/>
      <c r="AW1883" s="66"/>
      <c r="AX1883" s="66"/>
      <c r="AY1883" s="66"/>
      <c r="AZ1883" s="66"/>
      <c r="BA1883" s="66"/>
      <c r="BB1883" s="66"/>
      <c r="BC1883" s="66"/>
      <c r="BD1883" s="66"/>
      <c r="BE1883" s="67"/>
      <c r="BF1883" s="67"/>
      <c r="BG1883" s="68"/>
      <c r="BI1883" s="69">
        <v>0</v>
      </c>
      <c r="BJ1883" s="70">
        <v>0</v>
      </c>
      <c r="BK1883" s="71">
        <v>0</v>
      </c>
      <c r="BL1883" s="71">
        <v>0</v>
      </c>
      <c r="BM1883" s="71">
        <v>0</v>
      </c>
      <c r="BN1883" s="72">
        <v>0</v>
      </c>
      <c r="BO1883" s="151" t="e">
        <f t="shared" si="123"/>
        <v>#DIV/0!</v>
      </c>
      <c r="BP1883" s="151" t="e">
        <f t="shared" si="124"/>
        <v>#DIV/0!</v>
      </c>
      <c r="BQ1883" s="71">
        <v>0</v>
      </c>
      <c r="BR1883" s="71">
        <v>0</v>
      </c>
      <c r="BS1883" s="71">
        <v>0</v>
      </c>
      <c r="BT1883" s="72">
        <v>0</v>
      </c>
      <c r="BU1883" s="151" t="e">
        <f t="shared" si="121"/>
        <v>#DIV/0!</v>
      </c>
      <c r="BV1883" s="151" t="e">
        <f t="shared" si="122"/>
        <v>#DIV/0!</v>
      </c>
    </row>
    <row r="1884" ht="30" customHeight="1" spans="1:74">
      <c r="A1884" s="55">
        <v>0</v>
      </c>
      <c r="B1884" s="56">
        <v>0</v>
      </c>
      <c r="C1884" s="57">
        <v>0</v>
      </c>
      <c r="D1884" s="74"/>
      <c r="E1884" s="74"/>
      <c r="F1884" s="59" t="e">
        <f>VLOOKUP(E1884,[1]库存!$B$1:$C$65536,2,FALSE)</f>
        <v>#N/A</v>
      </c>
      <c r="G1884" s="59" t="e">
        <v>#N/A</v>
      </c>
      <c r="H1884" s="74"/>
      <c r="I1884" s="74"/>
      <c r="J1884" s="87"/>
      <c r="K1884" s="61"/>
      <c r="L1884" s="62">
        <v>0</v>
      </c>
      <c r="M1884" s="63">
        <v>0</v>
      </c>
      <c r="N1884" s="64">
        <v>0</v>
      </c>
      <c r="O1884" s="62">
        <v>0</v>
      </c>
      <c r="P1884" s="65">
        <f t="shared" si="125"/>
        <v>0</v>
      </c>
      <c r="Q1884" s="66"/>
      <c r="R1884" s="66"/>
      <c r="S1884" s="66"/>
      <c r="T1884" s="66"/>
      <c r="U1884" s="66"/>
      <c r="V1884" s="66"/>
      <c r="W1884" s="66"/>
      <c r="X1884" s="66"/>
      <c r="Y1884" s="66"/>
      <c r="Z1884" s="66"/>
      <c r="AA1884" s="66"/>
      <c r="AB1884" s="66"/>
      <c r="AC1884" s="66"/>
      <c r="AD1884" s="66"/>
      <c r="AE1884" s="66"/>
      <c r="AF1884" s="66"/>
      <c r="AG1884" s="66"/>
      <c r="AH1884" s="66"/>
      <c r="AI1884" s="66"/>
      <c r="AJ1884" s="66"/>
      <c r="AK1884" s="66"/>
      <c r="AL1884" s="66"/>
      <c r="AM1884" s="66"/>
      <c r="AN1884" s="66"/>
      <c r="AO1884" s="66"/>
      <c r="AP1884" s="66"/>
      <c r="AQ1884" s="66"/>
      <c r="AR1884" s="66"/>
      <c r="AS1884" s="66"/>
      <c r="AT1884" s="66"/>
      <c r="AU1884" s="66"/>
      <c r="AV1884" s="66"/>
      <c r="AW1884" s="66"/>
      <c r="AX1884" s="66"/>
      <c r="AY1884" s="66"/>
      <c r="AZ1884" s="66"/>
      <c r="BA1884" s="66"/>
      <c r="BB1884" s="66"/>
      <c r="BC1884" s="66"/>
      <c r="BD1884" s="66"/>
      <c r="BE1884" s="67"/>
      <c r="BF1884" s="67"/>
      <c r="BG1884" s="68"/>
      <c r="BI1884" s="69">
        <v>0</v>
      </c>
      <c r="BJ1884" s="70">
        <v>0</v>
      </c>
      <c r="BK1884" s="71">
        <v>0</v>
      </c>
      <c r="BL1884" s="71">
        <v>0</v>
      </c>
      <c r="BM1884" s="71">
        <v>0</v>
      </c>
      <c r="BN1884" s="72">
        <v>0</v>
      </c>
      <c r="BO1884" s="151" t="e">
        <f t="shared" si="123"/>
        <v>#DIV/0!</v>
      </c>
      <c r="BP1884" s="151" t="e">
        <f t="shared" si="124"/>
        <v>#DIV/0!</v>
      </c>
      <c r="BQ1884" s="71">
        <v>0</v>
      </c>
      <c r="BR1884" s="71">
        <v>0</v>
      </c>
      <c r="BS1884" s="71">
        <v>0</v>
      </c>
      <c r="BT1884" s="72">
        <v>0</v>
      </c>
      <c r="BU1884" s="151" t="e">
        <f t="shared" si="121"/>
        <v>#DIV/0!</v>
      </c>
      <c r="BV1884" s="151" t="e">
        <f t="shared" si="122"/>
        <v>#DIV/0!</v>
      </c>
    </row>
    <row r="1885" ht="30" customHeight="1" spans="1:74">
      <c r="A1885" s="55" t="s">
        <v>165</v>
      </c>
      <c r="B1885" s="56" t="s">
        <v>2247</v>
      </c>
      <c r="C1885" s="57" t="s">
        <v>2248</v>
      </c>
      <c r="D1885" s="59" t="s">
        <v>2989</v>
      </c>
      <c r="E1885" s="59" t="s">
        <v>2997</v>
      </c>
      <c r="F1885" s="59" t="str">
        <f>VLOOKUP(E1885,[1]库存!$B$1:$C$65536,2,FALSE)</f>
        <v>E0S (D01) RSAB LH</v>
      </c>
      <c r="G1885" s="59" t="s">
        <v>2998</v>
      </c>
      <c r="H1885" s="59" t="s">
        <v>2999</v>
      </c>
      <c r="I1885" s="59" t="s">
        <v>1029</v>
      </c>
      <c r="J1885" s="63"/>
      <c r="K1885" s="61"/>
      <c r="L1885" s="62">
        <v>2</v>
      </c>
      <c r="M1885" s="63">
        <v>1200</v>
      </c>
      <c r="N1885" s="64">
        <v>11</v>
      </c>
      <c r="O1885" s="62">
        <v>2</v>
      </c>
      <c r="P1885" s="65">
        <f t="shared" si="125"/>
        <v>0</v>
      </c>
      <c r="Q1885" s="66"/>
      <c r="R1885" s="66"/>
      <c r="S1885" s="66"/>
      <c r="T1885" s="66"/>
      <c r="U1885" s="66"/>
      <c r="V1885" s="66"/>
      <c r="W1885" s="66"/>
      <c r="X1885" s="66"/>
      <c r="Y1885" s="66"/>
      <c r="Z1885" s="66"/>
      <c r="AA1885" s="66"/>
      <c r="AB1885" s="66"/>
      <c r="AC1885" s="66"/>
      <c r="AD1885" s="66"/>
      <c r="AE1885" s="66"/>
      <c r="AF1885" s="66"/>
      <c r="AG1885" s="66"/>
      <c r="AH1885" s="66"/>
      <c r="AI1885" s="66"/>
      <c r="AJ1885" s="66"/>
      <c r="AK1885" s="66"/>
      <c r="AL1885" s="66"/>
      <c r="AM1885" s="66"/>
      <c r="AN1885" s="66"/>
      <c r="AO1885" s="66"/>
      <c r="AP1885" s="66"/>
      <c r="AQ1885" s="66"/>
      <c r="AR1885" s="66"/>
      <c r="AS1885" s="66"/>
      <c r="AT1885" s="66"/>
      <c r="AU1885" s="66"/>
      <c r="AV1885" s="66"/>
      <c r="AW1885" s="66"/>
      <c r="AX1885" s="66"/>
      <c r="AY1885" s="66"/>
      <c r="AZ1885" s="66"/>
      <c r="BA1885" s="66"/>
      <c r="BB1885" s="66"/>
      <c r="BC1885" s="66"/>
      <c r="BD1885" s="66"/>
      <c r="BE1885" s="67"/>
      <c r="BF1885" s="67"/>
      <c r="BG1885" s="68"/>
      <c r="BI1885" s="69">
        <v>0</v>
      </c>
      <c r="BJ1885" s="70">
        <v>0</v>
      </c>
      <c r="BK1885" s="71">
        <v>0</v>
      </c>
      <c r="BL1885" s="71">
        <v>0</v>
      </c>
      <c r="BM1885" s="71">
        <v>0</v>
      </c>
      <c r="BN1885" s="72">
        <v>0</v>
      </c>
      <c r="BO1885" s="151" t="e">
        <f t="shared" si="123"/>
        <v>#DIV/0!</v>
      </c>
      <c r="BP1885" s="151" t="e">
        <f t="shared" si="124"/>
        <v>#DIV/0!</v>
      </c>
      <c r="BQ1885" s="71">
        <v>0</v>
      </c>
      <c r="BR1885" s="71">
        <v>0</v>
      </c>
      <c r="BS1885" s="71">
        <v>0</v>
      </c>
      <c r="BT1885" s="72">
        <v>0</v>
      </c>
      <c r="BU1885" s="151" t="e">
        <f t="shared" si="121"/>
        <v>#DIV/0!</v>
      </c>
      <c r="BV1885" s="151" t="e">
        <f t="shared" si="122"/>
        <v>#DIV/0!</v>
      </c>
    </row>
    <row r="1886" ht="30" customHeight="1" spans="1:74">
      <c r="A1886" s="55">
        <v>0</v>
      </c>
      <c r="B1886" s="56">
        <v>0</v>
      </c>
      <c r="C1886" s="57">
        <v>0</v>
      </c>
      <c r="D1886" s="74"/>
      <c r="E1886" s="74"/>
      <c r="F1886" s="59" t="e">
        <f>VLOOKUP(E1886,[1]库存!$B$1:$C$65536,2,FALSE)</f>
        <v>#N/A</v>
      </c>
      <c r="G1886" s="59" t="e">
        <v>#N/A</v>
      </c>
      <c r="H1886" s="74"/>
      <c r="I1886" s="74"/>
      <c r="J1886" s="87"/>
      <c r="K1886" s="61"/>
      <c r="L1886" s="62">
        <v>0</v>
      </c>
      <c r="M1886" s="63">
        <v>0</v>
      </c>
      <c r="N1886" s="64">
        <v>0</v>
      </c>
      <c r="O1886" s="62">
        <v>0</v>
      </c>
      <c r="P1886" s="65">
        <f t="shared" si="125"/>
        <v>0</v>
      </c>
      <c r="Q1886" s="66"/>
      <c r="R1886" s="66"/>
      <c r="S1886" s="66"/>
      <c r="T1886" s="66"/>
      <c r="U1886" s="66"/>
      <c r="V1886" s="66"/>
      <c r="W1886" s="66"/>
      <c r="X1886" s="66"/>
      <c r="Y1886" s="66"/>
      <c r="Z1886" s="66"/>
      <c r="AA1886" s="66"/>
      <c r="AB1886" s="66"/>
      <c r="AC1886" s="66"/>
      <c r="AD1886" s="66"/>
      <c r="AE1886" s="66"/>
      <c r="AF1886" s="66"/>
      <c r="AG1886" s="66"/>
      <c r="AH1886" s="66"/>
      <c r="AI1886" s="66"/>
      <c r="AJ1886" s="66"/>
      <c r="AK1886" s="66"/>
      <c r="AL1886" s="66"/>
      <c r="AM1886" s="66"/>
      <c r="AN1886" s="66"/>
      <c r="AO1886" s="66"/>
      <c r="AP1886" s="66"/>
      <c r="AQ1886" s="66"/>
      <c r="AR1886" s="66"/>
      <c r="AS1886" s="66"/>
      <c r="AT1886" s="66"/>
      <c r="AU1886" s="66"/>
      <c r="AV1886" s="66"/>
      <c r="AW1886" s="66"/>
      <c r="AX1886" s="66"/>
      <c r="AY1886" s="66"/>
      <c r="AZ1886" s="66"/>
      <c r="BA1886" s="66"/>
      <c r="BB1886" s="66"/>
      <c r="BC1886" s="66"/>
      <c r="BD1886" s="66"/>
      <c r="BE1886" s="67"/>
      <c r="BF1886" s="67"/>
      <c r="BG1886" s="68"/>
      <c r="BI1886" s="69">
        <v>0</v>
      </c>
      <c r="BJ1886" s="70">
        <v>0</v>
      </c>
      <c r="BK1886" s="71">
        <v>0</v>
      </c>
      <c r="BL1886" s="71">
        <v>0</v>
      </c>
      <c r="BM1886" s="71">
        <v>0</v>
      </c>
      <c r="BN1886" s="72">
        <v>0</v>
      </c>
      <c r="BO1886" s="151" t="e">
        <f t="shared" si="123"/>
        <v>#DIV/0!</v>
      </c>
      <c r="BP1886" s="151" t="e">
        <f t="shared" si="124"/>
        <v>#DIV/0!</v>
      </c>
      <c r="BQ1886" s="71">
        <v>0</v>
      </c>
      <c r="BR1886" s="71">
        <v>0</v>
      </c>
      <c r="BS1886" s="71">
        <v>0</v>
      </c>
      <c r="BT1886" s="72">
        <v>0</v>
      </c>
      <c r="BU1886" s="151" t="e">
        <f t="shared" si="121"/>
        <v>#DIV/0!</v>
      </c>
      <c r="BV1886" s="151" t="e">
        <f t="shared" si="122"/>
        <v>#DIV/0!</v>
      </c>
    </row>
    <row r="1887" ht="30" customHeight="1" spans="1:74">
      <c r="A1887" s="55" t="s">
        <v>165</v>
      </c>
      <c r="B1887" s="56" t="s">
        <v>2247</v>
      </c>
      <c r="C1887" s="57" t="s">
        <v>2248</v>
      </c>
      <c r="D1887" s="59" t="s">
        <v>2989</v>
      </c>
      <c r="E1887" s="59" t="s">
        <v>3000</v>
      </c>
      <c r="F1887" s="59" t="str">
        <f>VLOOKUP(E1887,[1]库存!$B$1:$C$65536,2,FALSE)</f>
        <v>E0S (D01) RSAB RH</v>
      </c>
      <c r="G1887" s="59" t="s">
        <v>3001</v>
      </c>
      <c r="H1887" s="59" t="s">
        <v>3002</v>
      </c>
      <c r="I1887" s="59" t="s">
        <v>1029</v>
      </c>
      <c r="J1887" s="63"/>
      <c r="K1887" s="61"/>
      <c r="L1887" s="62">
        <v>2</v>
      </c>
      <c r="M1887" s="63">
        <v>1200</v>
      </c>
      <c r="N1887" s="64">
        <v>11</v>
      </c>
      <c r="O1887" s="62">
        <v>2</v>
      </c>
      <c r="P1887" s="65">
        <f t="shared" si="125"/>
        <v>0</v>
      </c>
      <c r="Q1887" s="66"/>
      <c r="R1887" s="66"/>
      <c r="S1887" s="66"/>
      <c r="T1887" s="66"/>
      <c r="U1887" s="66"/>
      <c r="V1887" s="66"/>
      <c r="W1887" s="66"/>
      <c r="X1887" s="66"/>
      <c r="Y1887" s="66"/>
      <c r="Z1887" s="66"/>
      <c r="AA1887" s="66"/>
      <c r="AB1887" s="66"/>
      <c r="AC1887" s="66"/>
      <c r="AD1887" s="66"/>
      <c r="AE1887" s="66"/>
      <c r="AF1887" s="66"/>
      <c r="AG1887" s="66"/>
      <c r="AH1887" s="66"/>
      <c r="AI1887" s="66"/>
      <c r="AJ1887" s="66"/>
      <c r="AK1887" s="66"/>
      <c r="AL1887" s="66"/>
      <c r="AM1887" s="66"/>
      <c r="AN1887" s="66"/>
      <c r="AO1887" s="66"/>
      <c r="AP1887" s="66"/>
      <c r="AQ1887" s="66"/>
      <c r="AR1887" s="66"/>
      <c r="AS1887" s="66"/>
      <c r="AT1887" s="66"/>
      <c r="AU1887" s="66"/>
      <c r="AV1887" s="66"/>
      <c r="AW1887" s="66"/>
      <c r="AX1887" s="66"/>
      <c r="AY1887" s="66"/>
      <c r="AZ1887" s="66"/>
      <c r="BA1887" s="66"/>
      <c r="BB1887" s="66"/>
      <c r="BC1887" s="66"/>
      <c r="BD1887" s="66"/>
      <c r="BE1887" s="67"/>
      <c r="BF1887" s="67"/>
      <c r="BG1887" s="68"/>
      <c r="BI1887" s="69">
        <v>0</v>
      </c>
      <c r="BJ1887" s="70">
        <v>0</v>
      </c>
      <c r="BK1887" s="71">
        <v>0</v>
      </c>
      <c r="BL1887" s="71">
        <v>0</v>
      </c>
      <c r="BM1887" s="71">
        <v>0</v>
      </c>
      <c r="BN1887" s="72">
        <v>0</v>
      </c>
      <c r="BO1887" s="151" t="e">
        <f t="shared" si="123"/>
        <v>#DIV/0!</v>
      </c>
      <c r="BP1887" s="151" t="e">
        <f t="shared" si="124"/>
        <v>#DIV/0!</v>
      </c>
      <c r="BQ1887" s="71">
        <v>0</v>
      </c>
      <c r="BR1887" s="71">
        <v>0</v>
      </c>
      <c r="BS1887" s="71">
        <v>0</v>
      </c>
      <c r="BT1887" s="72">
        <v>0</v>
      </c>
      <c r="BU1887" s="151" t="e">
        <f t="shared" si="121"/>
        <v>#DIV/0!</v>
      </c>
      <c r="BV1887" s="151" t="e">
        <f t="shared" si="122"/>
        <v>#DIV/0!</v>
      </c>
    </row>
    <row r="1888" ht="30" customHeight="1" spans="1:74">
      <c r="A1888" s="55">
        <v>0</v>
      </c>
      <c r="B1888" s="56">
        <v>0</v>
      </c>
      <c r="C1888" s="57">
        <v>0</v>
      </c>
      <c r="D1888" s="74"/>
      <c r="E1888" s="74"/>
      <c r="F1888" s="59" t="e">
        <f>VLOOKUP(E1888,[1]库存!$B$1:$C$65536,2,FALSE)</f>
        <v>#N/A</v>
      </c>
      <c r="G1888" s="59" t="e">
        <v>#N/A</v>
      </c>
      <c r="H1888" s="74"/>
      <c r="I1888" s="74"/>
      <c r="J1888" s="87"/>
      <c r="K1888" s="61"/>
      <c r="L1888" s="62">
        <v>0</v>
      </c>
      <c r="M1888" s="63">
        <v>0</v>
      </c>
      <c r="N1888" s="64">
        <v>0</v>
      </c>
      <c r="O1888" s="62">
        <v>0</v>
      </c>
      <c r="P1888" s="65">
        <f t="shared" si="125"/>
        <v>0</v>
      </c>
      <c r="Q1888" s="66"/>
      <c r="R1888" s="66"/>
      <c r="S1888" s="66"/>
      <c r="T1888" s="66"/>
      <c r="U1888" s="66"/>
      <c r="V1888" s="66"/>
      <c r="W1888" s="66"/>
      <c r="X1888" s="66"/>
      <c r="Y1888" s="66"/>
      <c r="Z1888" s="66"/>
      <c r="AA1888" s="66"/>
      <c r="AB1888" s="66"/>
      <c r="AC1888" s="66"/>
      <c r="AD1888" s="66"/>
      <c r="AE1888" s="66"/>
      <c r="AF1888" s="66"/>
      <c r="AG1888" s="66"/>
      <c r="AH1888" s="66"/>
      <c r="AI1888" s="66"/>
      <c r="AJ1888" s="66"/>
      <c r="AK1888" s="66"/>
      <c r="AL1888" s="66"/>
      <c r="AM1888" s="66"/>
      <c r="AN1888" s="66"/>
      <c r="AO1888" s="66"/>
      <c r="AP1888" s="66"/>
      <c r="AQ1888" s="66"/>
      <c r="AR1888" s="66"/>
      <c r="AS1888" s="66"/>
      <c r="AT1888" s="66"/>
      <c r="AU1888" s="66"/>
      <c r="AV1888" s="66"/>
      <c r="AW1888" s="66"/>
      <c r="AX1888" s="66"/>
      <c r="AY1888" s="66"/>
      <c r="AZ1888" s="66"/>
      <c r="BA1888" s="66"/>
      <c r="BB1888" s="66"/>
      <c r="BC1888" s="66"/>
      <c r="BD1888" s="66"/>
      <c r="BE1888" s="67"/>
      <c r="BF1888" s="67"/>
      <c r="BG1888" s="68"/>
      <c r="BI1888" s="69">
        <v>0</v>
      </c>
      <c r="BJ1888" s="70">
        <v>0</v>
      </c>
      <c r="BK1888" s="71">
        <v>0</v>
      </c>
      <c r="BL1888" s="71">
        <v>0</v>
      </c>
      <c r="BM1888" s="71">
        <v>0</v>
      </c>
      <c r="BN1888" s="72">
        <v>0</v>
      </c>
      <c r="BO1888" s="151" t="e">
        <f t="shared" si="123"/>
        <v>#DIV/0!</v>
      </c>
      <c r="BP1888" s="151" t="e">
        <f t="shared" si="124"/>
        <v>#DIV/0!</v>
      </c>
      <c r="BQ1888" s="71">
        <v>0</v>
      </c>
      <c r="BR1888" s="71">
        <v>0</v>
      </c>
      <c r="BS1888" s="71">
        <v>0</v>
      </c>
      <c r="BT1888" s="72">
        <v>0</v>
      </c>
      <c r="BU1888" s="151" t="e">
        <f t="shared" si="121"/>
        <v>#DIV/0!</v>
      </c>
      <c r="BV1888" s="151" t="e">
        <f t="shared" si="122"/>
        <v>#DIV/0!</v>
      </c>
    </row>
    <row r="1889" ht="30" customHeight="1" spans="1:74">
      <c r="A1889" s="55" t="s">
        <v>246</v>
      </c>
      <c r="B1889" s="56" t="s">
        <v>2247</v>
      </c>
      <c r="C1889" s="57" t="s">
        <v>2248</v>
      </c>
      <c r="D1889" s="59" t="s">
        <v>2989</v>
      </c>
      <c r="E1889" s="59" t="s">
        <v>3003</v>
      </c>
      <c r="F1889" s="59" t="str">
        <f>VLOOKUP(E1889,[1]库存!$B$1:$C$65536,2,FALSE)</f>
        <v>C673 OVERSEA FSAB LH A状态</v>
      </c>
      <c r="G1889" s="59" t="s">
        <v>3004</v>
      </c>
      <c r="H1889" s="59" t="s">
        <v>3005</v>
      </c>
      <c r="I1889" s="59" t="s">
        <v>250</v>
      </c>
      <c r="J1889" s="82" t="s">
        <v>3006</v>
      </c>
      <c r="K1889" s="61"/>
      <c r="L1889" s="62">
        <v>2</v>
      </c>
      <c r="M1889" s="63">
        <v>1250</v>
      </c>
      <c r="N1889" s="64">
        <v>13</v>
      </c>
      <c r="O1889" s="62">
        <v>2</v>
      </c>
      <c r="P1889" s="65">
        <f t="shared" si="125"/>
        <v>0</v>
      </c>
      <c r="Q1889" s="103"/>
      <c r="R1889" s="66"/>
      <c r="S1889" s="103"/>
      <c r="T1889" s="66"/>
      <c r="U1889" s="103"/>
      <c r="V1889" s="66"/>
      <c r="W1889" s="66"/>
      <c r="X1889" s="66"/>
      <c r="Y1889" s="103"/>
      <c r="Z1889" s="66"/>
      <c r="AA1889" s="103">
        <v>1000</v>
      </c>
      <c r="AB1889" s="66"/>
      <c r="AC1889" s="66"/>
      <c r="AD1889" s="66"/>
      <c r="AE1889" s="103"/>
      <c r="AF1889" s="66"/>
      <c r="AG1889" s="103"/>
      <c r="AH1889" s="66"/>
      <c r="AI1889" s="103"/>
      <c r="AJ1889" s="66"/>
      <c r="AK1889" s="66"/>
      <c r="AL1889" s="66"/>
      <c r="AM1889" s="103"/>
      <c r="AN1889" s="66"/>
      <c r="AO1889" s="103"/>
      <c r="AP1889" s="66"/>
      <c r="AQ1889" s="103"/>
      <c r="AR1889" s="66"/>
      <c r="AS1889" s="103"/>
      <c r="AT1889" s="66"/>
      <c r="AU1889" s="103"/>
      <c r="AV1889" s="66"/>
      <c r="AW1889" s="103"/>
      <c r="AX1889" s="66"/>
      <c r="AY1889" s="66"/>
      <c r="AZ1889" s="66"/>
      <c r="BA1889" s="103"/>
      <c r="BB1889" s="66"/>
      <c r="BC1889" s="103"/>
      <c r="BD1889" s="66"/>
      <c r="BE1889" s="67"/>
      <c r="BF1889" s="67"/>
      <c r="BG1889" s="68"/>
      <c r="BI1889" s="69">
        <v>0</v>
      </c>
      <c r="BJ1889" s="70">
        <v>0</v>
      </c>
      <c r="BK1889" s="71">
        <v>0</v>
      </c>
      <c r="BL1889" s="71">
        <v>0</v>
      </c>
      <c r="BM1889" s="71">
        <v>0</v>
      </c>
      <c r="BN1889" s="72">
        <v>0</v>
      </c>
      <c r="BO1889" s="151" t="e">
        <f t="shared" si="123"/>
        <v>#DIV/0!</v>
      </c>
      <c r="BP1889" s="151" t="e">
        <f t="shared" si="124"/>
        <v>#DIV/0!</v>
      </c>
      <c r="BQ1889" s="71">
        <v>0</v>
      </c>
      <c r="BR1889" s="71">
        <v>0</v>
      </c>
      <c r="BS1889" s="71">
        <v>0</v>
      </c>
      <c r="BT1889" s="72">
        <v>0</v>
      </c>
      <c r="BU1889" s="151" t="e">
        <f t="shared" si="121"/>
        <v>#DIV/0!</v>
      </c>
      <c r="BV1889" s="151" t="e">
        <f t="shared" si="122"/>
        <v>#DIV/0!</v>
      </c>
    </row>
    <row r="1890" ht="30" customHeight="1" spans="1:74">
      <c r="A1890" s="55">
        <v>0</v>
      </c>
      <c r="B1890" s="56">
        <v>0</v>
      </c>
      <c r="C1890" s="57">
        <v>0</v>
      </c>
      <c r="D1890" s="74"/>
      <c r="E1890" s="74"/>
      <c r="F1890" s="59" t="e">
        <f>VLOOKUP(E1890,[1]库存!$B$1:$C$65536,2,FALSE)</f>
        <v>#N/A</v>
      </c>
      <c r="G1890" s="59" t="e">
        <v>#N/A</v>
      </c>
      <c r="H1890" s="74"/>
      <c r="I1890" s="74"/>
      <c r="J1890" s="83"/>
      <c r="K1890" s="61"/>
      <c r="L1890" s="62">
        <v>0</v>
      </c>
      <c r="M1890" s="63">
        <v>0</v>
      </c>
      <c r="N1890" s="64">
        <v>0</v>
      </c>
      <c r="O1890" s="62">
        <v>0</v>
      </c>
      <c r="P1890" s="65">
        <f t="shared" si="125"/>
        <v>0</v>
      </c>
      <c r="Q1890" s="66"/>
      <c r="R1890" s="66"/>
      <c r="S1890" s="66"/>
      <c r="T1890" s="66"/>
      <c r="U1890" s="66"/>
      <c r="V1890" s="66"/>
      <c r="W1890" s="66"/>
      <c r="X1890" s="66"/>
      <c r="Y1890" s="66"/>
      <c r="Z1890" s="66"/>
      <c r="AA1890" s="66" t="s">
        <v>3007</v>
      </c>
      <c r="AB1890" s="66"/>
      <c r="AC1890" s="66"/>
      <c r="AD1890" s="66"/>
      <c r="AE1890" s="66"/>
      <c r="AF1890" s="66"/>
      <c r="AG1890" s="66"/>
      <c r="AH1890" s="66"/>
      <c r="AI1890" s="66"/>
      <c r="AJ1890" s="66"/>
      <c r="AK1890" s="66"/>
      <c r="AL1890" s="66"/>
      <c r="AM1890" s="66"/>
      <c r="AN1890" s="66"/>
      <c r="AO1890" s="66"/>
      <c r="AP1890" s="66"/>
      <c r="AQ1890" s="66"/>
      <c r="AR1890" s="66"/>
      <c r="AS1890" s="66"/>
      <c r="AT1890" s="66"/>
      <c r="AU1890" s="66"/>
      <c r="AV1890" s="66"/>
      <c r="AW1890" s="66"/>
      <c r="AX1890" s="66"/>
      <c r="AY1890" s="66"/>
      <c r="AZ1890" s="66"/>
      <c r="BA1890" s="66"/>
      <c r="BB1890" s="66"/>
      <c r="BC1890" s="66"/>
      <c r="BD1890" s="66"/>
      <c r="BE1890" s="67"/>
      <c r="BF1890" s="67"/>
      <c r="BG1890" s="68"/>
      <c r="BI1890" s="69">
        <v>0</v>
      </c>
      <c r="BJ1890" s="70">
        <v>0</v>
      </c>
      <c r="BK1890" s="71">
        <v>0</v>
      </c>
      <c r="BL1890" s="71">
        <v>0</v>
      </c>
      <c r="BM1890" s="71">
        <v>0</v>
      </c>
      <c r="BN1890" s="72">
        <v>0</v>
      </c>
      <c r="BO1890" s="151" t="e">
        <f t="shared" si="123"/>
        <v>#DIV/0!</v>
      </c>
      <c r="BP1890" s="151" t="e">
        <f t="shared" si="124"/>
        <v>#DIV/0!</v>
      </c>
      <c r="BQ1890" s="71">
        <v>0</v>
      </c>
      <c r="BR1890" s="71">
        <v>0</v>
      </c>
      <c r="BS1890" s="71">
        <v>0</v>
      </c>
      <c r="BT1890" s="72">
        <v>0</v>
      </c>
      <c r="BU1890" s="151" t="e">
        <f t="shared" si="121"/>
        <v>#DIV/0!</v>
      </c>
      <c r="BV1890" s="151" t="e">
        <f t="shared" si="122"/>
        <v>#DIV/0!</v>
      </c>
    </row>
    <row r="1891" ht="30" customHeight="1" spans="1:74">
      <c r="A1891" s="55" t="s">
        <v>246</v>
      </c>
      <c r="B1891" s="56" t="s">
        <v>2247</v>
      </c>
      <c r="C1891" s="57" t="s">
        <v>2248</v>
      </c>
      <c r="D1891" s="59" t="s">
        <v>2989</v>
      </c>
      <c r="E1891" s="59" t="s">
        <v>3008</v>
      </c>
      <c r="F1891" s="59" t="str">
        <f>VLOOKUP(E1891,[1]库存!$B$1:$C$65536,2,FALSE)</f>
        <v>C673 OVERSEA FSAB RH A状态</v>
      </c>
      <c r="G1891" s="59" t="s">
        <v>3009</v>
      </c>
      <c r="H1891" s="59" t="s">
        <v>3010</v>
      </c>
      <c r="I1891" s="59" t="s">
        <v>250</v>
      </c>
      <c r="J1891" s="82" t="s">
        <v>3006</v>
      </c>
      <c r="K1891" s="61"/>
      <c r="L1891" s="62">
        <v>2</v>
      </c>
      <c r="M1891" s="63">
        <v>1250</v>
      </c>
      <c r="N1891" s="64">
        <v>13</v>
      </c>
      <c r="O1891" s="62">
        <v>2</v>
      </c>
      <c r="P1891" s="65">
        <f t="shared" si="125"/>
        <v>0</v>
      </c>
      <c r="Q1891" s="103"/>
      <c r="R1891" s="66"/>
      <c r="S1891" s="103"/>
      <c r="T1891" s="66"/>
      <c r="U1891" s="103"/>
      <c r="V1891" s="66"/>
      <c r="W1891" s="103"/>
      <c r="X1891" s="66"/>
      <c r="Y1891" s="103"/>
      <c r="Z1891" s="66"/>
      <c r="AA1891" s="103"/>
      <c r="AB1891" s="66"/>
      <c r="AC1891" s="103">
        <v>1000</v>
      </c>
      <c r="AD1891" s="66"/>
      <c r="AE1891" s="103"/>
      <c r="AF1891" s="66"/>
      <c r="AG1891" s="103"/>
      <c r="AH1891" s="66"/>
      <c r="AI1891" s="103"/>
      <c r="AJ1891" s="66"/>
      <c r="AK1891" s="66"/>
      <c r="AL1891" s="66"/>
      <c r="AM1891" s="103"/>
      <c r="AN1891" s="66"/>
      <c r="AO1891" s="103"/>
      <c r="AP1891" s="66"/>
      <c r="AQ1891" s="103"/>
      <c r="AR1891" s="66"/>
      <c r="AS1891" s="103"/>
      <c r="AT1891" s="66"/>
      <c r="AU1891" s="103"/>
      <c r="AV1891" s="66"/>
      <c r="AW1891" s="103"/>
      <c r="AX1891" s="66"/>
      <c r="AY1891" s="66"/>
      <c r="AZ1891" s="66"/>
      <c r="BA1891" s="103"/>
      <c r="BB1891" s="66"/>
      <c r="BC1891" s="103"/>
      <c r="BD1891" s="66"/>
      <c r="BE1891" s="67"/>
      <c r="BF1891" s="67"/>
      <c r="BG1891" s="68"/>
      <c r="BI1891" s="69">
        <v>0</v>
      </c>
      <c r="BJ1891" s="70">
        <v>0</v>
      </c>
      <c r="BK1891" s="71">
        <v>0</v>
      </c>
      <c r="BL1891" s="71">
        <v>0</v>
      </c>
      <c r="BM1891" s="71">
        <v>0</v>
      </c>
      <c r="BN1891" s="72">
        <v>0</v>
      </c>
      <c r="BO1891" s="151" t="e">
        <f t="shared" si="123"/>
        <v>#DIV/0!</v>
      </c>
      <c r="BP1891" s="151" t="e">
        <f t="shared" si="124"/>
        <v>#DIV/0!</v>
      </c>
      <c r="BQ1891" s="71">
        <v>0</v>
      </c>
      <c r="BR1891" s="71">
        <v>0</v>
      </c>
      <c r="BS1891" s="71">
        <v>0</v>
      </c>
      <c r="BT1891" s="72">
        <v>0</v>
      </c>
      <c r="BU1891" s="151" t="e">
        <f t="shared" si="121"/>
        <v>#DIV/0!</v>
      </c>
      <c r="BV1891" s="151" t="e">
        <f t="shared" si="122"/>
        <v>#DIV/0!</v>
      </c>
    </row>
    <row r="1892" ht="30" customHeight="1" spans="1:74">
      <c r="A1892" s="55">
        <v>0</v>
      </c>
      <c r="B1892" s="56">
        <v>0</v>
      </c>
      <c r="C1892" s="57">
        <v>0</v>
      </c>
      <c r="D1892" s="74"/>
      <c r="E1892" s="74"/>
      <c r="F1892" s="59" t="e">
        <f>VLOOKUP(E1892,[1]库存!$B$1:$C$65536,2,FALSE)</f>
        <v>#N/A</v>
      </c>
      <c r="G1892" s="59" t="e">
        <v>#N/A</v>
      </c>
      <c r="H1892" s="74"/>
      <c r="I1892" s="74"/>
      <c r="J1892" s="83"/>
      <c r="K1892" s="61"/>
      <c r="L1892" s="62">
        <v>0</v>
      </c>
      <c r="M1892" s="63">
        <v>0</v>
      </c>
      <c r="N1892" s="64">
        <v>0</v>
      </c>
      <c r="O1892" s="62">
        <v>0</v>
      </c>
      <c r="P1892" s="65">
        <f t="shared" si="125"/>
        <v>0</v>
      </c>
      <c r="Q1892" s="66"/>
      <c r="R1892" s="66"/>
      <c r="S1892" s="66"/>
      <c r="T1892" s="66"/>
      <c r="U1892" s="66"/>
      <c r="V1892" s="66"/>
      <c r="W1892" s="66"/>
      <c r="X1892" s="66"/>
      <c r="Y1892" s="66"/>
      <c r="Z1892" s="66"/>
      <c r="AA1892" s="66"/>
      <c r="AB1892" s="66"/>
      <c r="AC1892" s="66" t="s">
        <v>3011</v>
      </c>
      <c r="AD1892" s="66"/>
      <c r="AE1892" s="66"/>
      <c r="AF1892" s="66"/>
      <c r="AG1892" s="66"/>
      <c r="AH1892" s="66"/>
      <c r="AI1892" s="66"/>
      <c r="AJ1892" s="66"/>
      <c r="AK1892" s="66"/>
      <c r="AL1892" s="66"/>
      <c r="AM1892" s="66"/>
      <c r="AN1892" s="66"/>
      <c r="AO1892" s="66"/>
      <c r="AP1892" s="66"/>
      <c r="AQ1892" s="66"/>
      <c r="AR1892" s="66"/>
      <c r="AS1892" s="66"/>
      <c r="AT1892" s="66"/>
      <c r="AU1892" s="66"/>
      <c r="AV1892" s="66"/>
      <c r="AW1892" s="66"/>
      <c r="AX1892" s="66"/>
      <c r="AY1892" s="66"/>
      <c r="AZ1892" s="66"/>
      <c r="BA1892" s="66"/>
      <c r="BB1892" s="66"/>
      <c r="BC1892" s="66"/>
      <c r="BD1892" s="66"/>
      <c r="BE1892" s="67"/>
      <c r="BF1892" s="67"/>
      <c r="BG1892" s="68"/>
      <c r="BI1892" s="69">
        <v>0</v>
      </c>
      <c r="BJ1892" s="70">
        <v>0</v>
      </c>
      <c r="BK1892" s="71">
        <v>0</v>
      </c>
      <c r="BL1892" s="71">
        <v>0</v>
      </c>
      <c r="BM1892" s="71">
        <v>0</v>
      </c>
      <c r="BN1892" s="72">
        <v>0</v>
      </c>
      <c r="BO1892" s="151" t="e">
        <f t="shared" si="123"/>
        <v>#DIV/0!</v>
      </c>
      <c r="BP1892" s="151" t="e">
        <f t="shared" si="124"/>
        <v>#DIV/0!</v>
      </c>
      <c r="BQ1892" s="71">
        <v>0</v>
      </c>
      <c r="BR1892" s="71">
        <v>0</v>
      </c>
      <c r="BS1892" s="71">
        <v>0</v>
      </c>
      <c r="BT1892" s="72">
        <v>0</v>
      </c>
      <c r="BU1892" s="151" t="e">
        <f t="shared" si="121"/>
        <v>#DIV/0!</v>
      </c>
      <c r="BV1892" s="151" t="e">
        <f t="shared" si="122"/>
        <v>#DIV/0!</v>
      </c>
    </row>
    <row r="1893" ht="30" customHeight="1" spans="1:74">
      <c r="A1893" s="55">
        <v>0</v>
      </c>
      <c r="B1893" s="56" t="s">
        <v>2247</v>
      </c>
      <c r="C1893" s="57" t="s">
        <v>2248</v>
      </c>
      <c r="D1893" s="59" t="s">
        <v>2989</v>
      </c>
      <c r="E1893" s="59" t="s">
        <v>3012</v>
      </c>
      <c r="F1893" s="59" t="str">
        <f>VLOOKUP(E1893,[1]库存!$B$1:$C$65536,2,FALSE)</f>
        <v>Changan C673 FSAB LH B状态</v>
      </c>
      <c r="G1893" s="59" t="s">
        <v>3013</v>
      </c>
      <c r="H1893" s="59" t="s">
        <v>3014</v>
      </c>
      <c r="I1893" s="59" t="s">
        <v>250</v>
      </c>
      <c r="J1893" s="80" t="s">
        <v>3015</v>
      </c>
      <c r="K1893" s="61"/>
      <c r="L1893" s="62">
        <v>2</v>
      </c>
      <c r="M1893" s="63">
        <v>1150</v>
      </c>
      <c r="N1893" s="64">
        <v>14</v>
      </c>
      <c r="O1893" s="62">
        <v>2</v>
      </c>
      <c r="P1893" s="65">
        <f t="shared" si="125"/>
        <v>0</v>
      </c>
      <c r="Q1893" s="66"/>
      <c r="R1893" s="66"/>
      <c r="S1893" s="66"/>
      <c r="T1893" s="66"/>
      <c r="U1893" s="66"/>
      <c r="V1893" s="66"/>
      <c r="W1893" s="66"/>
      <c r="X1893" s="66"/>
      <c r="Y1893" s="66"/>
      <c r="Z1893" s="66"/>
      <c r="AA1893" s="66"/>
      <c r="AB1893" s="66"/>
      <c r="AC1893" s="66"/>
      <c r="AD1893" s="66"/>
      <c r="AE1893" s="66"/>
      <c r="AF1893" s="66"/>
      <c r="AG1893" s="66"/>
      <c r="AH1893" s="66"/>
      <c r="AI1893" s="66"/>
      <c r="AJ1893" s="66"/>
      <c r="AK1893" s="66"/>
      <c r="AL1893" s="66"/>
      <c r="AM1893" s="66"/>
      <c r="AN1893" s="66"/>
      <c r="AO1893" s="66"/>
      <c r="AP1893" s="66"/>
      <c r="AQ1893" s="66"/>
      <c r="AR1893" s="66"/>
      <c r="AS1893" s="66"/>
      <c r="AT1893" s="66"/>
      <c r="AU1893" s="66"/>
      <c r="AV1893" s="66"/>
      <c r="AW1893" s="66"/>
      <c r="AX1893" s="66"/>
      <c r="AY1893" s="66"/>
      <c r="AZ1893" s="66"/>
      <c r="BA1893" s="66"/>
      <c r="BB1893" s="66"/>
      <c r="BC1893" s="66"/>
      <c r="BD1893" s="66"/>
      <c r="BE1893" s="67"/>
      <c r="BF1893" s="67"/>
      <c r="BG1893" s="68"/>
      <c r="BI1893" s="69">
        <v>0</v>
      </c>
      <c r="BJ1893" s="70">
        <v>0</v>
      </c>
      <c r="BK1893" s="71">
        <v>0</v>
      </c>
      <c r="BL1893" s="71">
        <v>0</v>
      </c>
      <c r="BM1893" s="71">
        <v>0</v>
      </c>
      <c r="BN1893" s="72">
        <v>0</v>
      </c>
      <c r="BO1893" s="151" t="e">
        <f t="shared" si="123"/>
        <v>#DIV/0!</v>
      </c>
      <c r="BP1893" s="151" t="e">
        <f t="shared" si="124"/>
        <v>#DIV/0!</v>
      </c>
      <c r="BQ1893" s="71">
        <v>0</v>
      </c>
      <c r="BR1893" s="71">
        <v>0</v>
      </c>
      <c r="BS1893" s="71">
        <v>0</v>
      </c>
      <c r="BT1893" s="72">
        <v>0</v>
      </c>
      <c r="BU1893" s="151" t="e">
        <f t="shared" si="121"/>
        <v>#DIV/0!</v>
      </c>
      <c r="BV1893" s="151" t="e">
        <f t="shared" si="122"/>
        <v>#DIV/0!</v>
      </c>
    </row>
    <row r="1894" ht="30" customHeight="1" spans="1:74">
      <c r="A1894" s="55">
        <v>0</v>
      </c>
      <c r="B1894" s="56">
        <v>0</v>
      </c>
      <c r="C1894" s="57">
        <v>0</v>
      </c>
      <c r="D1894" s="74"/>
      <c r="E1894" s="74"/>
      <c r="F1894" s="59" t="e">
        <f>VLOOKUP(E1894,[1]库存!$B$1:$C$65536,2,FALSE)</f>
        <v>#N/A</v>
      </c>
      <c r="G1894" s="59" t="e">
        <v>#N/A</v>
      </c>
      <c r="H1894" s="74"/>
      <c r="I1894" s="74"/>
      <c r="J1894" s="81"/>
      <c r="K1894" s="61"/>
      <c r="L1894" s="62">
        <v>0</v>
      </c>
      <c r="M1894" s="63">
        <v>0</v>
      </c>
      <c r="N1894" s="64">
        <v>0</v>
      </c>
      <c r="O1894" s="62">
        <v>0</v>
      </c>
      <c r="P1894" s="65">
        <f t="shared" si="125"/>
        <v>0</v>
      </c>
      <c r="Q1894" s="66"/>
      <c r="R1894" s="66"/>
      <c r="S1894" s="66"/>
      <c r="T1894" s="66"/>
      <c r="U1894" s="66"/>
      <c r="V1894" s="66"/>
      <c r="W1894" s="66"/>
      <c r="X1894" s="66"/>
      <c r="Y1894" s="66"/>
      <c r="Z1894" s="66"/>
      <c r="AA1894" s="66"/>
      <c r="AB1894" s="66"/>
      <c r="AC1894" s="66"/>
      <c r="AD1894" s="66"/>
      <c r="AE1894" s="66"/>
      <c r="AF1894" s="66"/>
      <c r="AG1894" s="66"/>
      <c r="AH1894" s="66"/>
      <c r="AI1894" s="66"/>
      <c r="AJ1894" s="66"/>
      <c r="AK1894" s="66"/>
      <c r="AL1894" s="66"/>
      <c r="AM1894" s="66"/>
      <c r="AN1894" s="66"/>
      <c r="AO1894" s="66"/>
      <c r="AP1894" s="66"/>
      <c r="AQ1894" s="66"/>
      <c r="AR1894" s="66"/>
      <c r="AS1894" s="66"/>
      <c r="AT1894" s="66"/>
      <c r="AU1894" s="66"/>
      <c r="AV1894" s="66"/>
      <c r="AW1894" s="66"/>
      <c r="AX1894" s="66"/>
      <c r="AY1894" s="66"/>
      <c r="AZ1894" s="66"/>
      <c r="BA1894" s="66"/>
      <c r="BB1894" s="66"/>
      <c r="BC1894" s="66"/>
      <c r="BD1894" s="66"/>
      <c r="BE1894" s="67"/>
      <c r="BF1894" s="67"/>
      <c r="BG1894" s="68"/>
      <c r="BI1894" s="69">
        <v>0</v>
      </c>
      <c r="BJ1894" s="70">
        <v>0</v>
      </c>
      <c r="BK1894" s="71">
        <v>0</v>
      </c>
      <c r="BL1894" s="71">
        <v>0</v>
      </c>
      <c r="BM1894" s="71">
        <v>0</v>
      </c>
      <c r="BN1894" s="72">
        <v>0</v>
      </c>
      <c r="BO1894" s="151" t="e">
        <f t="shared" si="123"/>
        <v>#DIV/0!</v>
      </c>
      <c r="BP1894" s="151" t="e">
        <f t="shared" si="124"/>
        <v>#DIV/0!</v>
      </c>
      <c r="BQ1894" s="71">
        <v>0</v>
      </c>
      <c r="BR1894" s="71">
        <v>0</v>
      </c>
      <c r="BS1894" s="71">
        <v>0</v>
      </c>
      <c r="BT1894" s="72">
        <v>0</v>
      </c>
      <c r="BU1894" s="151" t="e">
        <f t="shared" si="121"/>
        <v>#DIV/0!</v>
      </c>
      <c r="BV1894" s="151" t="e">
        <f t="shared" si="122"/>
        <v>#DIV/0!</v>
      </c>
    </row>
    <row r="1895" ht="30" customHeight="1" spans="1:74">
      <c r="A1895" s="55">
        <v>0</v>
      </c>
      <c r="B1895" s="56" t="s">
        <v>2247</v>
      </c>
      <c r="C1895" s="57" t="s">
        <v>2248</v>
      </c>
      <c r="D1895" s="59" t="s">
        <v>2989</v>
      </c>
      <c r="E1895" s="59" t="s">
        <v>3016</v>
      </c>
      <c r="F1895" s="59" t="str">
        <f>VLOOKUP(E1895,[1]库存!$B$1:$C$65536,2,FALSE)</f>
        <v>Changan C673 FSAB RH B状态</v>
      </c>
      <c r="G1895" s="59" t="s">
        <v>3017</v>
      </c>
      <c r="H1895" s="59" t="s">
        <v>3018</v>
      </c>
      <c r="I1895" s="59" t="s">
        <v>250</v>
      </c>
      <c r="J1895" s="81"/>
      <c r="K1895" s="61"/>
      <c r="L1895" s="62">
        <v>2</v>
      </c>
      <c r="M1895" s="63">
        <v>1150</v>
      </c>
      <c r="N1895" s="64">
        <v>14</v>
      </c>
      <c r="O1895" s="62">
        <v>2</v>
      </c>
      <c r="P1895" s="65">
        <f t="shared" si="125"/>
        <v>0</v>
      </c>
      <c r="Q1895" s="66"/>
      <c r="R1895" s="66"/>
      <c r="S1895" s="66"/>
      <c r="T1895" s="66"/>
      <c r="U1895" s="66"/>
      <c r="V1895" s="66"/>
      <c r="W1895" s="66"/>
      <c r="X1895" s="66"/>
      <c r="Y1895" s="66"/>
      <c r="Z1895" s="66"/>
      <c r="AA1895" s="66"/>
      <c r="AB1895" s="66"/>
      <c r="AC1895" s="66"/>
      <c r="AD1895" s="66"/>
      <c r="AE1895" s="66"/>
      <c r="AF1895" s="66"/>
      <c r="AG1895" s="66"/>
      <c r="AH1895" s="66"/>
      <c r="AI1895" s="66"/>
      <c r="AJ1895" s="66"/>
      <c r="AK1895" s="66"/>
      <c r="AL1895" s="66"/>
      <c r="AM1895" s="66"/>
      <c r="AN1895" s="66"/>
      <c r="AO1895" s="66"/>
      <c r="AP1895" s="66"/>
      <c r="AQ1895" s="66"/>
      <c r="AR1895" s="66"/>
      <c r="AS1895" s="66"/>
      <c r="AT1895" s="66"/>
      <c r="AU1895" s="66"/>
      <c r="AV1895" s="66"/>
      <c r="AW1895" s="66"/>
      <c r="AX1895" s="66"/>
      <c r="AY1895" s="66"/>
      <c r="AZ1895" s="66"/>
      <c r="BA1895" s="66"/>
      <c r="BB1895" s="66"/>
      <c r="BC1895" s="66"/>
      <c r="BD1895" s="66"/>
      <c r="BE1895" s="67"/>
      <c r="BF1895" s="67"/>
      <c r="BG1895" s="68"/>
      <c r="BI1895" s="69">
        <v>0</v>
      </c>
      <c r="BJ1895" s="70">
        <v>0</v>
      </c>
      <c r="BK1895" s="71">
        <v>0</v>
      </c>
      <c r="BL1895" s="71">
        <v>0</v>
      </c>
      <c r="BM1895" s="71">
        <v>0</v>
      </c>
      <c r="BN1895" s="72">
        <v>0</v>
      </c>
      <c r="BO1895" s="151" t="e">
        <f t="shared" si="123"/>
        <v>#DIV/0!</v>
      </c>
      <c r="BP1895" s="151" t="e">
        <f t="shared" si="124"/>
        <v>#DIV/0!</v>
      </c>
      <c r="BQ1895" s="71">
        <v>0</v>
      </c>
      <c r="BR1895" s="71">
        <v>0</v>
      </c>
      <c r="BS1895" s="71">
        <v>0</v>
      </c>
      <c r="BT1895" s="72">
        <v>0</v>
      </c>
      <c r="BU1895" s="151" t="e">
        <f t="shared" si="121"/>
        <v>#DIV/0!</v>
      </c>
      <c r="BV1895" s="151" t="e">
        <f t="shared" si="122"/>
        <v>#DIV/0!</v>
      </c>
    </row>
    <row r="1896" ht="30" customHeight="1" spans="1:74">
      <c r="A1896" s="55">
        <v>0</v>
      </c>
      <c r="B1896" s="56">
        <v>0</v>
      </c>
      <c r="C1896" s="57">
        <v>0</v>
      </c>
      <c r="D1896" s="74"/>
      <c r="E1896" s="74"/>
      <c r="F1896" s="59" t="e">
        <f>VLOOKUP(E1896,[1]库存!$B$1:$C$65536,2,FALSE)</f>
        <v>#N/A</v>
      </c>
      <c r="G1896" s="59" t="e">
        <v>#N/A</v>
      </c>
      <c r="H1896" s="74"/>
      <c r="I1896" s="74"/>
      <c r="J1896" s="81"/>
      <c r="K1896" s="61"/>
      <c r="L1896" s="62">
        <v>0</v>
      </c>
      <c r="M1896" s="63">
        <v>0</v>
      </c>
      <c r="N1896" s="64">
        <v>0</v>
      </c>
      <c r="O1896" s="62">
        <v>0</v>
      </c>
      <c r="P1896" s="65">
        <f t="shared" si="125"/>
        <v>0</v>
      </c>
      <c r="Q1896" s="66"/>
      <c r="R1896" s="66"/>
      <c r="S1896" s="66"/>
      <c r="T1896" s="66"/>
      <c r="U1896" s="66"/>
      <c r="V1896" s="66"/>
      <c r="W1896" s="66"/>
      <c r="X1896" s="66"/>
      <c r="Y1896" s="66"/>
      <c r="Z1896" s="66"/>
      <c r="AA1896" s="66"/>
      <c r="AB1896" s="66"/>
      <c r="AC1896" s="66"/>
      <c r="AD1896" s="66"/>
      <c r="AE1896" s="66"/>
      <c r="AF1896" s="66"/>
      <c r="AG1896" s="66"/>
      <c r="AH1896" s="66"/>
      <c r="AI1896" s="66"/>
      <c r="AJ1896" s="66"/>
      <c r="AK1896" s="66"/>
      <c r="AL1896" s="66"/>
      <c r="AM1896" s="66"/>
      <c r="AN1896" s="66"/>
      <c r="AO1896" s="66"/>
      <c r="AP1896" s="66"/>
      <c r="AQ1896" s="66"/>
      <c r="AR1896" s="66"/>
      <c r="AS1896" s="66"/>
      <c r="AT1896" s="66"/>
      <c r="AU1896" s="66"/>
      <c r="AV1896" s="66"/>
      <c r="AW1896" s="66"/>
      <c r="AX1896" s="66"/>
      <c r="AY1896" s="66"/>
      <c r="AZ1896" s="66"/>
      <c r="BA1896" s="66"/>
      <c r="BB1896" s="66"/>
      <c r="BC1896" s="66"/>
      <c r="BD1896" s="66"/>
      <c r="BE1896" s="67"/>
      <c r="BF1896" s="67"/>
      <c r="BG1896" s="68"/>
      <c r="BI1896" s="69">
        <v>0</v>
      </c>
      <c r="BJ1896" s="70">
        <v>0</v>
      </c>
      <c r="BK1896" s="71">
        <v>0</v>
      </c>
      <c r="BL1896" s="71">
        <v>0</v>
      </c>
      <c r="BM1896" s="71">
        <v>0</v>
      </c>
      <c r="BN1896" s="72">
        <v>0</v>
      </c>
      <c r="BO1896" s="151" t="e">
        <f t="shared" si="123"/>
        <v>#DIV/0!</v>
      </c>
      <c r="BP1896" s="151" t="e">
        <f t="shared" si="124"/>
        <v>#DIV/0!</v>
      </c>
      <c r="BQ1896" s="71">
        <v>0</v>
      </c>
      <c r="BR1896" s="71">
        <v>0</v>
      </c>
      <c r="BS1896" s="71">
        <v>0</v>
      </c>
      <c r="BT1896" s="72">
        <v>0</v>
      </c>
      <c r="BU1896" s="151" t="e">
        <f t="shared" si="121"/>
        <v>#DIV/0!</v>
      </c>
      <c r="BV1896" s="151" t="e">
        <f t="shared" si="122"/>
        <v>#DIV/0!</v>
      </c>
    </row>
    <row r="1897" ht="30" customHeight="1" spans="1:74">
      <c r="A1897" s="55">
        <v>0</v>
      </c>
      <c r="B1897" s="56">
        <v>0</v>
      </c>
      <c r="C1897" s="57">
        <v>0</v>
      </c>
      <c r="D1897" s="210"/>
      <c r="E1897" s="88"/>
      <c r="F1897" s="59" t="e">
        <f>VLOOKUP(E1897,[1]库存!$B$1:$C$65536,2,FALSE)</f>
        <v>#N/A</v>
      </c>
      <c r="G1897" s="59" t="e">
        <v>#N/A</v>
      </c>
      <c r="H1897" s="238"/>
      <c r="I1897" s="239"/>
      <c r="J1897" s="90"/>
      <c r="K1897" s="61"/>
      <c r="L1897" s="62">
        <v>0</v>
      </c>
      <c r="M1897" s="63">
        <v>0</v>
      </c>
      <c r="N1897" s="64">
        <v>0</v>
      </c>
      <c r="O1897" s="62">
        <v>0</v>
      </c>
      <c r="P1897" s="65">
        <f t="shared" si="125"/>
        <v>0</v>
      </c>
      <c r="Q1897" s="66"/>
      <c r="R1897" s="66"/>
      <c r="S1897" s="66"/>
      <c r="T1897" s="66"/>
      <c r="U1897" s="66"/>
      <c r="V1897" s="66"/>
      <c r="W1897" s="66"/>
      <c r="X1897" s="66"/>
      <c r="Y1897" s="66"/>
      <c r="Z1897" s="66"/>
      <c r="AA1897" s="66"/>
      <c r="AB1897" s="66"/>
      <c r="AC1897" s="66"/>
      <c r="AD1897" s="66"/>
      <c r="AE1897" s="66"/>
      <c r="AF1897" s="66"/>
      <c r="AG1897" s="66"/>
      <c r="AH1897" s="66"/>
      <c r="AI1897" s="66"/>
      <c r="AJ1897" s="66"/>
      <c r="AK1897" s="66"/>
      <c r="AL1897" s="66"/>
      <c r="AM1897" s="66"/>
      <c r="AN1897" s="66"/>
      <c r="AO1897" s="66"/>
      <c r="AP1897" s="66"/>
      <c r="AQ1897" s="66"/>
      <c r="AR1897" s="66"/>
      <c r="AS1897" s="66"/>
      <c r="AT1897" s="66"/>
      <c r="AU1897" s="66"/>
      <c r="AV1897" s="66"/>
      <c r="AW1897" s="66"/>
      <c r="AX1897" s="66"/>
      <c r="AY1897" s="66"/>
      <c r="AZ1897" s="66"/>
      <c r="BA1897" s="66"/>
      <c r="BB1897" s="66"/>
      <c r="BC1897" s="66"/>
      <c r="BD1897" s="66"/>
      <c r="BE1897" s="67"/>
      <c r="BF1897" s="67"/>
      <c r="BG1897" s="68"/>
      <c r="BI1897" s="69">
        <v>0</v>
      </c>
      <c r="BJ1897" s="70">
        <v>0</v>
      </c>
      <c r="BK1897" s="71">
        <v>0</v>
      </c>
      <c r="BL1897" s="71">
        <v>0</v>
      </c>
      <c r="BM1897" s="71">
        <v>0</v>
      </c>
      <c r="BN1897" s="72">
        <v>0</v>
      </c>
      <c r="BO1897" s="151" t="e">
        <f t="shared" si="123"/>
        <v>#DIV/0!</v>
      </c>
      <c r="BP1897" s="151" t="e">
        <f t="shared" si="124"/>
        <v>#DIV/0!</v>
      </c>
      <c r="BQ1897" s="71">
        <v>0</v>
      </c>
      <c r="BR1897" s="71">
        <v>0</v>
      </c>
      <c r="BS1897" s="71">
        <v>0</v>
      </c>
      <c r="BT1897" s="72">
        <v>0</v>
      </c>
      <c r="BU1897" s="151" t="e">
        <f t="shared" si="121"/>
        <v>#DIV/0!</v>
      </c>
      <c r="BV1897" s="151" t="e">
        <f t="shared" si="122"/>
        <v>#DIV/0!</v>
      </c>
    </row>
    <row r="1898" ht="30" customHeight="1" spans="1:74">
      <c r="A1898" s="55" t="s">
        <v>165</v>
      </c>
      <c r="B1898" s="56" t="s">
        <v>2247</v>
      </c>
      <c r="C1898" s="57" t="s">
        <v>2261</v>
      </c>
      <c r="D1898" s="91" t="s">
        <v>3019</v>
      </c>
      <c r="E1898" s="91" t="s">
        <v>3020</v>
      </c>
      <c r="F1898" s="91" t="str">
        <f>VLOOKUP(E1898,[1]库存!$B$1:$C$65536,2,FALSE)</f>
        <v>VOLVO V216 US PAB B状态</v>
      </c>
      <c r="G1898" s="91" t="s">
        <v>3021</v>
      </c>
      <c r="H1898" s="91" t="s">
        <v>3022</v>
      </c>
      <c r="I1898" s="91" t="s">
        <v>3023</v>
      </c>
      <c r="J1898" s="63"/>
      <c r="K1898" s="61"/>
      <c r="L1898" s="62">
        <v>2</v>
      </c>
      <c r="M1898" s="63">
        <v>500</v>
      </c>
      <c r="N1898" s="64">
        <v>38</v>
      </c>
      <c r="O1898" s="62">
        <v>2</v>
      </c>
      <c r="P1898" s="65">
        <f t="shared" si="125"/>
        <v>0</v>
      </c>
      <c r="Q1898" s="66"/>
      <c r="R1898" s="66"/>
      <c r="S1898" s="66"/>
      <c r="T1898" s="66"/>
      <c r="U1898" s="66"/>
      <c r="V1898" s="66"/>
      <c r="W1898" s="66"/>
      <c r="X1898" s="66"/>
      <c r="Y1898" s="66"/>
      <c r="Z1898" s="66"/>
      <c r="AA1898" s="66"/>
      <c r="AB1898" s="66"/>
      <c r="AC1898" s="66"/>
      <c r="AD1898" s="66"/>
      <c r="AE1898" s="66"/>
      <c r="AF1898" s="66"/>
      <c r="AG1898" s="66"/>
      <c r="AH1898" s="66"/>
      <c r="AI1898" s="66"/>
      <c r="AJ1898" s="66"/>
      <c r="AK1898" s="66"/>
      <c r="AL1898" s="66"/>
      <c r="AM1898" s="66"/>
      <c r="AN1898" s="66"/>
      <c r="AO1898" s="66"/>
      <c r="AP1898" s="66"/>
      <c r="AQ1898" s="66"/>
      <c r="AR1898" s="66"/>
      <c r="AS1898" s="66"/>
      <c r="AT1898" s="66"/>
      <c r="AU1898" s="66"/>
      <c r="AV1898" s="66"/>
      <c r="AW1898" s="66"/>
      <c r="AX1898" s="66"/>
      <c r="AY1898" s="66"/>
      <c r="AZ1898" s="66"/>
      <c r="BA1898" s="66"/>
      <c r="BB1898" s="66"/>
      <c r="BC1898" s="66"/>
      <c r="BD1898" s="66"/>
      <c r="BE1898" s="67"/>
      <c r="BF1898" s="67"/>
      <c r="BG1898" s="68"/>
      <c r="BI1898" s="69">
        <v>0</v>
      </c>
      <c r="BJ1898" s="70">
        <v>0</v>
      </c>
      <c r="BK1898" s="71">
        <v>0</v>
      </c>
      <c r="BL1898" s="71">
        <v>0</v>
      </c>
      <c r="BM1898" s="71">
        <v>0</v>
      </c>
      <c r="BN1898" s="72">
        <v>0</v>
      </c>
      <c r="BO1898" s="151" t="e">
        <f t="shared" si="123"/>
        <v>#DIV/0!</v>
      </c>
      <c r="BP1898" s="151" t="e">
        <f t="shared" si="124"/>
        <v>#DIV/0!</v>
      </c>
      <c r="BQ1898" s="71">
        <v>0</v>
      </c>
      <c r="BR1898" s="71">
        <v>0</v>
      </c>
      <c r="BS1898" s="71">
        <v>0</v>
      </c>
      <c r="BT1898" s="72">
        <v>0</v>
      </c>
      <c r="BU1898" s="151" t="e">
        <f t="shared" si="121"/>
        <v>#DIV/0!</v>
      </c>
      <c r="BV1898" s="151" t="e">
        <f t="shared" si="122"/>
        <v>#DIV/0!</v>
      </c>
    </row>
    <row r="1899" ht="30" customHeight="1" spans="1:74">
      <c r="A1899" s="55">
        <v>0</v>
      </c>
      <c r="B1899" s="56">
        <v>0</v>
      </c>
      <c r="C1899" s="57">
        <v>0</v>
      </c>
      <c r="D1899" s="92"/>
      <c r="E1899" s="92"/>
      <c r="F1899" s="91" t="e">
        <f>VLOOKUP(E1899,[1]库存!$B$1:$C$65536,2,FALSE)</f>
        <v>#N/A</v>
      </c>
      <c r="G1899" s="91" t="e">
        <v>#N/A</v>
      </c>
      <c r="H1899" s="92"/>
      <c r="I1899" s="92"/>
      <c r="J1899" s="87"/>
      <c r="K1899" s="61"/>
      <c r="L1899" s="62">
        <v>0</v>
      </c>
      <c r="M1899" s="63">
        <v>0</v>
      </c>
      <c r="N1899" s="64">
        <v>0</v>
      </c>
      <c r="O1899" s="62">
        <v>0</v>
      </c>
      <c r="P1899" s="65">
        <f t="shared" si="125"/>
        <v>0</v>
      </c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  <c r="AA1899" s="66"/>
      <c r="AB1899" s="66"/>
      <c r="AC1899" s="66"/>
      <c r="AD1899" s="66"/>
      <c r="AE1899" s="66"/>
      <c r="AF1899" s="66"/>
      <c r="AG1899" s="66"/>
      <c r="AH1899" s="66"/>
      <c r="AI1899" s="66"/>
      <c r="AJ1899" s="66"/>
      <c r="AK1899" s="66"/>
      <c r="AL1899" s="66"/>
      <c r="AM1899" s="66"/>
      <c r="AN1899" s="66"/>
      <c r="AO1899" s="66"/>
      <c r="AP1899" s="66"/>
      <c r="AQ1899" s="66"/>
      <c r="AR1899" s="66"/>
      <c r="AS1899" s="66"/>
      <c r="AT1899" s="66"/>
      <c r="AU1899" s="66"/>
      <c r="AV1899" s="66"/>
      <c r="AW1899" s="66"/>
      <c r="AX1899" s="66"/>
      <c r="AY1899" s="66"/>
      <c r="AZ1899" s="66"/>
      <c r="BA1899" s="66"/>
      <c r="BB1899" s="66"/>
      <c r="BC1899" s="66"/>
      <c r="BD1899" s="66"/>
      <c r="BE1899" s="67"/>
      <c r="BF1899" s="67"/>
      <c r="BG1899" s="68"/>
      <c r="BI1899" s="69">
        <v>0</v>
      </c>
      <c r="BJ1899" s="70">
        <v>0</v>
      </c>
      <c r="BK1899" s="71">
        <v>0</v>
      </c>
      <c r="BL1899" s="71">
        <v>0</v>
      </c>
      <c r="BM1899" s="71">
        <v>0</v>
      </c>
      <c r="BN1899" s="72">
        <v>0</v>
      </c>
      <c r="BO1899" s="151" t="e">
        <f t="shared" si="123"/>
        <v>#DIV/0!</v>
      </c>
      <c r="BP1899" s="151" t="e">
        <f t="shared" si="124"/>
        <v>#DIV/0!</v>
      </c>
      <c r="BQ1899" s="71">
        <v>0</v>
      </c>
      <c r="BR1899" s="71">
        <v>0</v>
      </c>
      <c r="BS1899" s="71">
        <v>0</v>
      </c>
      <c r="BT1899" s="72">
        <v>0</v>
      </c>
      <c r="BU1899" s="151" t="e">
        <f t="shared" ref="BU1899:BU1962" si="126">(BQ1899+BR1899)/BJ1899</f>
        <v>#DIV/0!</v>
      </c>
      <c r="BV1899" s="151" t="e">
        <f t="shared" ref="BV1899:BV1962" si="127">BS1899/BJ1899</f>
        <v>#DIV/0!</v>
      </c>
    </row>
    <row r="1900" ht="30" customHeight="1" spans="1:74">
      <c r="A1900" s="55" t="s">
        <v>165</v>
      </c>
      <c r="B1900" s="56" t="s">
        <v>2247</v>
      </c>
      <c r="C1900" s="57" t="s">
        <v>2261</v>
      </c>
      <c r="D1900" s="59" t="s">
        <v>3019</v>
      </c>
      <c r="E1900" s="59" t="s">
        <v>3024</v>
      </c>
      <c r="F1900" s="59" t="str">
        <f>VLOOKUP(E1900,[1]库存!$B$1:$C$65536,2,FALSE)</f>
        <v>Ford P789 PAB A状态</v>
      </c>
      <c r="G1900" s="59" t="s">
        <v>3025</v>
      </c>
      <c r="H1900" s="59" t="s">
        <v>3026</v>
      </c>
      <c r="I1900" s="59" t="s">
        <v>356</v>
      </c>
      <c r="J1900" s="213" t="s">
        <v>3027</v>
      </c>
      <c r="K1900" s="61"/>
      <c r="L1900" s="62">
        <v>2</v>
      </c>
      <c r="M1900" s="63">
        <v>300</v>
      </c>
      <c r="N1900" s="64">
        <v>22</v>
      </c>
      <c r="O1900" s="62">
        <v>2</v>
      </c>
      <c r="P1900" s="65">
        <f t="shared" si="125"/>
        <v>0</v>
      </c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  <c r="AA1900" s="66"/>
      <c r="AB1900" s="66"/>
      <c r="AC1900" s="66"/>
      <c r="AD1900" s="66"/>
      <c r="AE1900" s="66"/>
      <c r="AF1900" s="66"/>
      <c r="AG1900" s="66"/>
      <c r="AH1900" s="66"/>
      <c r="AI1900" s="66"/>
      <c r="AJ1900" s="66"/>
      <c r="AK1900" s="66"/>
      <c r="AL1900" s="66"/>
      <c r="AM1900" s="66"/>
      <c r="AN1900" s="66"/>
      <c r="AO1900" s="66"/>
      <c r="AP1900" s="66"/>
      <c r="AQ1900" s="66"/>
      <c r="AR1900" s="66"/>
      <c r="AS1900" s="66"/>
      <c r="AT1900" s="66"/>
      <c r="AU1900" s="66"/>
      <c r="AV1900" s="66"/>
      <c r="AW1900" s="66"/>
      <c r="AX1900" s="66"/>
      <c r="AY1900" s="66"/>
      <c r="AZ1900" s="66"/>
      <c r="BA1900" s="66"/>
      <c r="BB1900" s="66"/>
      <c r="BC1900" s="66"/>
      <c r="BD1900" s="66"/>
      <c r="BE1900" s="67"/>
      <c r="BF1900" s="67"/>
      <c r="BG1900" s="68"/>
      <c r="BI1900" s="69">
        <v>0</v>
      </c>
      <c r="BJ1900" s="70">
        <v>0</v>
      </c>
      <c r="BK1900" s="71">
        <v>0</v>
      </c>
      <c r="BL1900" s="71">
        <v>0</v>
      </c>
      <c r="BM1900" s="71">
        <v>0</v>
      </c>
      <c r="BN1900" s="72">
        <v>0</v>
      </c>
      <c r="BO1900" s="151" t="e">
        <f t="shared" si="123"/>
        <v>#DIV/0!</v>
      </c>
      <c r="BP1900" s="151" t="e">
        <f t="shared" si="124"/>
        <v>#DIV/0!</v>
      </c>
      <c r="BQ1900" s="71">
        <v>0</v>
      </c>
      <c r="BR1900" s="71">
        <v>0</v>
      </c>
      <c r="BS1900" s="71">
        <v>0</v>
      </c>
      <c r="BT1900" s="72">
        <v>0</v>
      </c>
      <c r="BU1900" s="151" t="e">
        <f t="shared" si="126"/>
        <v>#DIV/0!</v>
      </c>
      <c r="BV1900" s="151" t="e">
        <f t="shared" si="127"/>
        <v>#DIV/0!</v>
      </c>
    </row>
    <row r="1901" ht="30" customHeight="1" spans="1:74">
      <c r="A1901" s="55">
        <v>0</v>
      </c>
      <c r="B1901" s="56">
        <v>0</v>
      </c>
      <c r="C1901" s="57">
        <v>0</v>
      </c>
      <c r="D1901" s="74"/>
      <c r="E1901" s="74"/>
      <c r="F1901" s="59" t="e">
        <f>VLOOKUP(E1901,[1]库存!$B$1:$C$65536,2,FALSE)</f>
        <v>#N/A</v>
      </c>
      <c r="G1901" s="59" t="e">
        <v>#N/A</v>
      </c>
      <c r="H1901" s="74"/>
      <c r="I1901" s="74"/>
      <c r="J1901" s="214"/>
      <c r="K1901" s="61"/>
      <c r="L1901" s="62">
        <v>0</v>
      </c>
      <c r="M1901" s="63">
        <v>0</v>
      </c>
      <c r="N1901" s="64">
        <v>0</v>
      </c>
      <c r="O1901" s="62">
        <v>0</v>
      </c>
      <c r="P1901" s="65">
        <f t="shared" si="125"/>
        <v>0</v>
      </c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  <c r="AA1901" s="66"/>
      <c r="AB1901" s="66"/>
      <c r="AC1901" s="66"/>
      <c r="AD1901" s="66"/>
      <c r="AE1901" s="66"/>
      <c r="AF1901" s="66"/>
      <c r="AG1901" s="66"/>
      <c r="AH1901" s="66"/>
      <c r="AI1901" s="66"/>
      <c r="AJ1901" s="66"/>
      <c r="AK1901" s="66"/>
      <c r="AL1901" s="66"/>
      <c r="AM1901" s="66"/>
      <c r="AN1901" s="66"/>
      <c r="AO1901" s="66"/>
      <c r="AP1901" s="66"/>
      <c r="AQ1901" s="66"/>
      <c r="AR1901" s="66"/>
      <c r="AS1901" s="66"/>
      <c r="AT1901" s="66"/>
      <c r="AU1901" s="66"/>
      <c r="AV1901" s="66"/>
      <c r="AW1901" s="66"/>
      <c r="AX1901" s="66"/>
      <c r="AY1901" s="66"/>
      <c r="AZ1901" s="66"/>
      <c r="BA1901" s="66"/>
      <c r="BB1901" s="66"/>
      <c r="BC1901" s="66"/>
      <c r="BD1901" s="66"/>
      <c r="BE1901" s="67"/>
      <c r="BF1901" s="67"/>
      <c r="BG1901" s="68"/>
      <c r="BI1901" s="69">
        <v>0</v>
      </c>
      <c r="BJ1901" s="70">
        <v>0</v>
      </c>
      <c r="BK1901" s="71">
        <v>0</v>
      </c>
      <c r="BL1901" s="71">
        <v>0</v>
      </c>
      <c r="BM1901" s="71">
        <v>0</v>
      </c>
      <c r="BN1901" s="72">
        <v>0</v>
      </c>
      <c r="BO1901" s="151" t="e">
        <f t="shared" si="123"/>
        <v>#DIV/0!</v>
      </c>
      <c r="BP1901" s="151" t="e">
        <f t="shared" si="124"/>
        <v>#DIV/0!</v>
      </c>
      <c r="BQ1901" s="71">
        <v>0</v>
      </c>
      <c r="BR1901" s="71">
        <v>0</v>
      </c>
      <c r="BS1901" s="71">
        <v>0</v>
      </c>
      <c r="BT1901" s="72">
        <v>0</v>
      </c>
      <c r="BU1901" s="151" t="e">
        <f t="shared" si="126"/>
        <v>#DIV/0!</v>
      </c>
      <c r="BV1901" s="151" t="e">
        <f t="shared" si="127"/>
        <v>#DIV/0!</v>
      </c>
    </row>
    <row r="1902" ht="30" customHeight="1" spans="1:74">
      <c r="A1902" s="55">
        <v>0</v>
      </c>
      <c r="B1902" s="56" t="s">
        <v>2247</v>
      </c>
      <c r="C1902" s="57" t="s">
        <v>2261</v>
      </c>
      <c r="D1902" s="59" t="s">
        <v>3019</v>
      </c>
      <c r="E1902" s="59" t="s">
        <v>3028</v>
      </c>
      <c r="F1902" s="59" t="str">
        <f>VLOOKUP(E1902,[1]库存!$B$1:$C$65536,2,FALSE)</f>
        <v>V216 CN PAB A状态</v>
      </c>
      <c r="G1902" s="59" t="s">
        <v>3029</v>
      </c>
      <c r="H1902" s="59" t="s">
        <v>3030</v>
      </c>
      <c r="I1902" s="59" t="s">
        <v>3031</v>
      </c>
      <c r="J1902" s="63"/>
      <c r="K1902" s="61"/>
      <c r="L1902" s="62">
        <v>2</v>
      </c>
      <c r="M1902" s="63">
        <v>300</v>
      </c>
      <c r="N1902" s="64">
        <v>30</v>
      </c>
      <c r="O1902" s="62">
        <v>4</v>
      </c>
      <c r="P1902" s="65">
        <f t="shared" si="125"/>
        <v>0</v>
      </c>
      <c r="Q1902" s="66"/>
      <c r="R1902" s="66"/>
      <c r="S1902" s="66"/>
      <c r="T1902" s="66"/>
      <c r="U1902" s="66"/>
      <c r="V1902" s="66"/>
      <c r="W1902" s="66"/>
      <c r="X1902" s="66"/>
      <c r="Y1902" s="66"/>
      <c r="Z1902" s="66"/>
      <c r="AA1902" s="66"/>
      <c r="AB1902" s="66"/>
      <c r="AC1902" s="66"/>
      <c r="AD1902" s="66"/>
      <c r="AE1902" s="66"/>
      <c r="AF1902" s="66"/>
      <c r="AG1902" s="66"/>
      <c r="AH1902" s="66"/>
      <c r="AI1902" s="66"/>
      <c r="AJ1902" s="66"/>
      <c r="AK1902" s="66"/>
      <c r="AL1902" s="66"/>
      <c r="AM1902" s="66"/>
      <c r="AN1902" s="66"/>
      <c r="AO1902" s="66"/>
      <c r="AP1902" s="66"/>
      <c r="AQ1902" s="66"/>
      <c r="AR1902" s="66"/>
      <c r="AS1902" s="66"/>
      <c r="AT1902" s="66"/>
      <c r="AU1902" s="66"/>
      <c r="AV1902" s="66"/>
      <c r="AW1902" s="66"/>
      <c r="AX1902" s="66"/>
      <c r="AY1902" s="66"/>
      <c r="AZ1902" s="66"/>
      <c r="BA1902" s="66"/>
      <c r="BB1902" s="66"/>
      <c r="BC1902" s="66"/>
      <c r="BD1902" s="66"/>
      <c r="BE1902" s="67"/>
      <c r="BF1902" s="67"/>
      <c r="BG1902" s="68"/>
      <c r="BI1902" s="69">
        <v>0</v>
      </c>
      <c r="BJ1902" s="70">
        <v>0</v>
      </c>
      <c r="BK1902" s="71">
        <v>0</v>
      </c>
      <c r="BL1902" s="71">
        <v>0</v>
      </c>
      <c r="BM1902" s="71">
        <v>0</v>
      </c>
      <c r="BN1902" s="72">
        <v>0</v>
      </c>
      <c r="BO1902" s="151" t="e">
        <f t="shared" si="123"/>
        <v>#DIV/0!</v>
      </c>
      <c r="BP1902" s="151" t="e">
        <f t="shared" si="124"/>
        <v>#DIV/0!</v>
      </c>
      <c r="BQ1902" s="71">
        <v>0</v>
      </c>
      <c r="BR1902" s="71">
        <v>0</v>
      </c>
      <c r="BS1902" s="71">
        <v>0</v>
      </c>
      <c r="BT1902" s="72">
        <v>0</v>
      </c>
      <c r="BU1902" s="151" t="e">
        <f t="shared" si="126"/>
        <v>#DIV/0!</v>
      </c>
      <c r="BV1902" s="151" t="e">
        <f t="shared" si="127"/>
        <v>#DIV/0!</v>
      </c>
    </row>
    <row r="1903" ht="30" customHeight="1" spans="1:74">
      <c r="A1903" s="55">
        <v>0</v>
      </c>
      <c r="B1903" s="56">
        <v>0</v>
      </c>
      <c r="C1903" s="57">
        <v>0</v>
      </c>
      <c r="D1903" s="74"/>
      <c r="E1903" s="74"/>
      <c r="F1903" s="59" t="e">
        <f>VLOOKUP(E1903,[1]库存!$B$1:$C$65536,2,FALSE)</f>
        <v>#N/A</v>
      </c>
      <c r="G1903" s="59" t="e">
        <v>#N/A</v>
      </c>
      <c r="H1903" s="74"/>
      <c r="I1903" s="74"/>
      <c r="J1903" s="87"/>
      <c r="K1903" s="61"/>
      <c r="L1903" s="62">
        <v>0</v>
      </c>
      <c r="M1903" s="63">
        <v>0</v>
      </c>
      <c r="N1903" s="64">
        <v>0</v>
      </c>
      <c r="O1903" s="62">
        <v>0</v>
      </c>
      <c r="P1903" s="65">
        <f t="shared" si="125"/>
        <v>0</v>
      </c>
      <c r="Q1903" s="66"/>
      <c r="R1903" s="66"/>
      <c r="S1903" s="66"/>
      <c r="T1903" s="66"/>
      <c r="U1903" s="66"/>
      <c r="V1903" s="66"/>
      <c r="W1903" s="66"/>
      <c r="X1903" s="66"/>
      <c r="Y1903" s="66"/>
      <c r="Z1903" s="66"/>
      <c r="AA1903" s="66"/>
      <c r="AB1903" s="66"/>
      <c r="AC1903" s="66"/>
      <c r="AD1903" s="66"/>
      <c r="AE1903" s="66"/>
      <c r="AF1903" s="66"/>
      <c r="AG1903" s="66"/>
      <c r="AH1903" s="66"/>
      <c r="AI1903" s="66"/>
      <c r="AJ1903" s="66"/>
      <c r="AK1903" s="66"/>
      <c r="AL1903" s="66"/>
      <c r="AM1903" s="66"/>
      <c r="AN1903" s="66"/>
      <c r="AO1903" s="66"/>
      <c r="AP1903" s="66"/>
      <c r="AQ1903" s="66"/>
      <c r="AR1903" s="66"/>
      <c r="AS1903" s="66"/>
      <c r="AT1903" s="66"/>
      <c r="AU1903" s="66"/>
      <c r="AV1903" s="66"/>
      <c r="AW1903" s="66"/>
      <c r="AX1903" s="66"/>
      <c r="AY1903" s="66"/>
      <c r="AZ1903" s="66"/>
      <c r="BA1903" s="66"/>
      <c r="BB1903" s="66"/>
      <c r="BC1903" s="66"/>
      <c r="BD1903" s="66"/>
      <c r="BE1903" s="67"/>
      <c r="BF1903" s="67"/>
      <c r="BG1903" s="68"/>
      <c r="BI1903" s="69">
        <v>0</v>
      </c>
      <c r="BJ1903" s="70">
        <v>0</v>
      </c>
      <c r="BK1903" s="71">
        <v>0</v>
      </c>
      <c r="BL1903" s="71">
        <v>0</v>
      </c>
      <c r="BM1903" s="71">
        <v>0</v>
      </c>
      <c r="BN1903" s="72">
        <v>0</v>
      </c>
      <c r="BO1903" s="151" t="e">
        <f t="shared" si="123"/>
        <v>#DIV/0!</v>
      </c>
      <c r="BP1903" s="151" t="e">
        <f t="shared" si="124"/>
        <v>#DIV/0!</v>
      </c>
      <c r="BQ1903" s="71">
        <v>0</v>
      </c>
      <c r="BR1903" s="71">
        <v>0</v>
      </c>
      <c r="BS1903" s="71">
        <v>0</v>
      </c>
      <c r="BT1903" s="72">
        <v>0</v>
      </c>
      <c r="BU1903" s="151" t="e">
        <f t="shared" si="126"/>
        <v>#DIV/0!</v>
      </c>
      <c r="BV1903" s="151" t="e">
        <f t="shared" si="127"/>
        <v>#DIV/0!</v>
      </c>
    </row>
    <row r="1904" ht="30" customHeight="1" spans="1:74">
      <c r="A1904" s="55">
        <v>0</v>
      </c>
      <c r="B1904" s="56">
        <v>0</v>
      </c>
      <c r="C1904" s="57">
        <v>0</v>
      </c>
      <c r="D1904" s="210"/>
      <c r="E1904" s="88"/>
      <c r="F1904" s="59" t="e">
        <f>VLOOKUP(E1904,[1]库存!$B$1:$C$65536,2,FALSE)</f>
        <v>#N/A</v>
      </c>
      <c r="G1904" s="59" t="e">
        <v>#N/A</v>
      </c>
      <c r="H1904" s="238"/>
      <c r="I1904" s="239"/>
      <c r="J1904" s="90"/>
      <c r="K1904" s="61"/>
      <c r="L1904" s="62">
        <v>0</v>
      </c>
      <c r="M1904" s="63">
        <v>0</v>
      </c>
      <c r="N1904" s="64">
        <v>0</v>
      </c>
      <c r="O1904" s="62">
        <v>0</v>
      </c>
      <c r="P1904" s="65">
        <f t="shared" si="125"/>
        <v>0</v>
      </c>
      <c r="Q1904" s="66"/>
      <c r="R1904" s="66"/>
      <c r="S1904" s="66"/>
      <c r="T1904" s="66"/>
      <c r="U1904" s="66"/>
      <c r="V1904" s="66"/>
      <c r="W1904" s="66"/>
      <c r="X1904" s="66"/>
      <c r="Y1904" s="66"/>
      <c r="Z1904" s="66"/>
      <c r="AA1904" s="66"/>
      <c r="AB1904" s="66"/>
      <c r="AC1904" s="66"/>
      <c r="AD1904" s="66"/>
      <c r="AE1904" s="66"/>
      <c r="AF1904" s="66"/>
      <c r="AG1904" s="66"/>
      <c r="AH1904" s="66"/>
      <c r="AI1904" s="66"/>
      <c r="AJ1904" s="66"/>
      <c r="AK1904" s="66"/>
      <c r="AL1904" s="66"/>
      <c r="AM1904" s="66"/>
      <c r="AN1904" s="66"/>
      <c r="AO1904" s="66"/>
      <c r="AP1904" s="66"/>
      <c r="AQ1904" s="66"/>
      <c r="AR1904" s="66"/>
      <c r="AS1904" s="66"/>
      <c r="AT1904" s="66"/>
      <c r="AU1904" s="66"/>
      <c r="AV1904" s="66"/>
      <c r="AW1904" s="66"/>
      <c r="AX1904" s="66"/>
      <c r="AY1904" s="66"/>
      <c r="AZ1904" s="66"/>
      <c r="BA1904" s="66"/>
      <c r="BB1904" s="66"/>
      <c r="BC1904" s="66"/>
      <c r="BD1904" s="66"/>
      <c r="BE1904" s="67"/>
      <c r="BF1904" s="67"/>
      <c r="BG1904" s="68"/>
      <c r="BI1904" s="69">
        <v>0</v>
      </c>
      <c r="BJ1904" s="70">
        <v>0</v>
      </c>
      <c r="BK1904" s="71">
        <v>0</v>
      </c>
      <c r="BL1904" s="71">
        <v>0</v>
      </c>
      <c r="BM1904" s="71">
        <v>0</v>
      </c>
      <c r="BN1904" s="72">
        <v>0</v>
      </c>
      <c r="BO1904" s="151" t="e">
        <f t="shared" si="123"/>
        <v>#DIV/0!</v>
      </c>
      <c r="BP1904" s="151" t="e">
        <f t="shared" si="124"/>
        <v>#DIV/0!</v>
      </c>
      <c r="BQ1904" s="71">
        <v>0</v>
      </c>
      <c r="BR1904" s="71">
        <v>0</v>
      </c>
      <c r="BS1904" s="71">
        <v>0</v>
      </c>
      <c r="BT1904" s="72">
        <v>0</v>
      </c>
      <c r="BU1904" s="151" t="e">
        <f t="shared" si="126"/>
        <v>#DIV/0!</v>
      </c>
      <c r="BV1904" s="151" t="e">
        <f t="shared" si="127"/>
        <v>#DIV/0!</v>
      </c>
    </row>
    <row r="1905" ht="30" customHeight="1" spans="1:75">
      <c r="A1905" s="55" t="s">
        <v>410</v>
      </c>
      <c r="B1905" s="56" t="s">
        <v>2247</v>
      </c>
      <c r="C1905" s="57" t="s">
        <v>2261</v>
      </c>
      <c r="D1905" s="59" t="s">
        <v>3032</v>
      </c>
      <c r="E1905" s="59" t="s">
        <v>3033</v>
      </c>
      <c r="F1905" s="59" t="str">
        <f>VLOOKUP(E1905,[1]库存!$B$1:$C$65536,2,FALSE)</f>
        <v>Xpeng E38 FSAB LH A状态</v>
      </c>
      <c r="G1905" s="59" t="s">
        <v>3034</v>
      </c>
      <c r="H1905" s="59" t="s">
        <v>3035</v>
      </c>
      <c r="I1905" s="59" t="s">
        <v>2782</v>
      </c>
      <c r="J1905" s="63"/>
      <c r="K1905" s="61"/>
      <c r="L1905" s="62">
        <v>0</v>
      </c>
      <c r="M1905" s="63">
        <v>1200</v>
      </c>
      <c r="N1905" s="64">
        <v>12</v>
      </c>
      <c r="O1905" s="62">
        <v>2</v>
      </c>
      <c r="P1905" s="65">
        <f t="shared" si="125"/>
        <v>0</v>
      </c>
      <c r="Q1905" s="66"/>
      <c r="R1905" s="66"/>
      <c r="S1905" s="66"/>
      <c r="T1905" s="66"/>
      <c r="U1905" s="66"/>
      <c r="V1905" s="66"/>
      <c r="W1905" s="66"/>
      <c r="X1905" s="66"/>
      <c r="Y1905" s="66"/>
      <c r="Z1905" s="66"/>
      <c r="AA1905" s="66"/>
      <c r="AB1905" s="66"/>
      <c r="AC1905" s="66"/>
      <c r="AD1905" s="66"/>
      <c r="AE1905" s="66"/>
      <c r="AF1905" s="66"/>
      <c r="AG1905" s="66"/>
      <c r="AH1905" s="66"/>
      <c r="AI1905" s="66"/>
      <c r="AJ1905" s="66"/>
      <c r="AK1905" s="66"/>
      <c r="AL1905" s="66"/>
      <c r="AM1905" s="66"/>
      <c r="AN1905" s="66"/>
      <c r="AO1905" s="66"/>
      <c r="AP1905" s="66"/>
      <c r="AQ1905" s="66"/>
      <c r="AR1905" s="66"/>
      <c r="AS1905" s="66"/>
      <c r="AT1905" s="66"/>
      <c r="AU1905" s="66"/>
      <c r="AV1905" s="66"/>
      <c r="AW1905" s="66"/>
      <c r="AX1905" s="66"/>
      <c r="AY1905" s="66"/>
      <c r="AZ1905" s="66"/>
      <c r="BA1905" s="66"/>
      <c r="BB1905" s="66"/>
      <c r="BC1905" s="66"/>
      <c r="BD1905" s="66"/>
      <c r="BE1905" s="67"/>
      <c r="BF1905" s="67"/>
      <c r="BG1905" s="68"/>
      <c r="BI1905" s="69">
        <v>0</v>
      </c>
      <c r="BJ1905" s="70">
        <v>0</v>
      </c>
      <c r="BK1905" s="71">
        <v>0</v>
      </c>
      <c r="BL1905" s="71">
        <v>0</v>
      </c>
      <c r="BM1905" s="71">
        <v>0</v>
      </c>
      <c r="BN1905" s="72">
        <v>0</v>
      </c>
      <c r="BO1905" s="151" t="e">
        <f t="shared" si="123"/>
        <v>#DIV/0!</v>
      </c>
      <c r="BP1905" s="151" t="e">
        <f t="shared" si="124"/>
        <v>#DIV/0!</v>
      </c>
      <c r="BQ1905" s="71">
        <v>0</v>
      </c>
      <c r="BR1905" s="71">
        <v>0</v>
      </c>
      <c r="BS1905" s="71">
        <v>0</v>
      </c>
      <c r="BT1905" s="72">
        <v>0</v>
      </c>
      <c r="BU1905" s="151" t="e">
        <f t="shared" si="126"/>
        <v>#DIV/0!</v>
      </c>
      <c r="BV1905" s="151" t="e">
        <f t="shared" si="127"/>
        <v>#DIV/0!</v>
      </c>
    </row>
    <row r="1906" ht="30" customHeight="1" spans="1:75">
      <c r="A1906" s="55">
        <v>0</v>
      </c>
      <c r="B1906" s="56">
        <v>0</v>
      </c>
      <c r="C1906" s="57">
        <v>0</v>
      </c>
      <c r="D1906" s="74"/>
      <c r="E1906" s="74"/>
      <c r="F1906" s="59" t="e">
        <f>VLOOKUP(E1906,[1]库存!$B$1:$C$65536,2,FALSE)</f>
        <v>#N/A</v>
      </c>
      <c r="G1906" s="59" t="e">
        <v>#N/A</v>
      </c>
      <c r="H1906" s="74"/>
      <c r="I1906" s="74"/>
      <c r="J1906" s="87"/>
      <c r="K1906" s="61"/>
      <c r="L1906" s="62">
        <v>0</v>
      </c>
      <c r="M1906" s="63">
        <v>0</v>
      </c>
      <c r="N1906" s="64">
        <v>0</v>
      </c>
      <c r="O1906" s="62">
        <v>0</v>
      </c>
      <c r="P1906" s="65">
        <f t="shared" si="125"/>
        <v>0</v>
      </c>
      <c r="Q1906" s="66"/>
      <c r="R1906" s="66"/>
      <c r="S1906" s="66"/>
      <c r="T1906" s="66"/>
      <c r="U1906" s="66"/>
      <c r="V1906" s="66"/>
      <c r="W1906" s="66"/>
      <c r="X1906" s="66"/>
      <c r="Y1906" s="66"/>
      <c r="Z1906" s="66"/>
      <c r="AA1906" s="66"/>
      <c r="AB1906" s="66"/>
      <c r="AC1906" s="66"/>
      <c r="AD1906" s="66"/>
      <c r="AE1906" s="66"/>
      <c r="AF1906" s="66"/>
      <c r="AG1906" s="66"/>
      <c r="AH1906" s="66"/>
      <c r="AI1906" s="66"/>
      <c r="AJ1906" s="66"/>
      <c r="AK1906" s="66"/>
      <c r="AL1906" s="66"/>
      <c r="AM1906" s="66"/>
      <c r="AN1906" s="66"/>
      <c r="AO1906" s="66"/>
      <c r="AP1906" s="66"/>
      <c r="AQ1906" s="66"/>
      <c r="AR1906" s="66"/>
      <c r="AS1906" s="66"/>
      <c r="AT1906" s="66"/>
      <c r="AU1906" s="66"/>
      <c r="AV1906" s="66"/>
      <c r="AW1906" s="66"/>
      <c r="AX1906" s="66"/>
      <c r="AY1906" s="66"/>
      <c r="AZ1906" s="66"/>
      <c r="BA1906" s="66"/>
      <c r="BB1906" s="66"/>
      <c r="BC1906" s="66"/>
      <c r="BD1906" s="66"/>
      <c r="BE1906" s="67"/>
      <c r="BF1906" s="67"/>
      <c r="BG1906" s="68"/>
      <c r="BI1906" s="69">
        <v>0</v>
      </c>
      <c r="BJ1906" s="70">
        <v>0</v>
      </c>
      <c r="BK1906" s="71">
        <v>0</v>
      </c>
      <c r="BL1906" s="71">
        <v>0</v>
      </c>
      <c r="BM1906" s="71">
        <v>0</v>
      </c>
      <c r="BN1906" s="72">
        <v>0</v>
      </c>
      <c r="BO1906" s="151" t="e">
        <f t="shared" si="123"/>
        <v>#DIV/0!</v>
      </c>
      <c r="BP1906" s="151" t="e">
        <f t="shared" si="124"/>
        <v>#DIV/0!</v>
      </c>
      <c r="BQ1906" s="71">
        <v>0</v>
      </c>
      <c r="BR1906" s="71">
        <v>0</v>
      </c>
      <c r="BS1906" s="71">
        <v>0</v>
      </c>
      <c r="BT1906" s="72">
        <v>0</v>
      </c>
      <c r="BU1906" s="151" t="e">
        <f t="shared" si="126"/>
        <v>#DIV/0!</v>
      </c>
      <c r="BV1906" s="151" t="e">
        <f t="shared" si="127"/>
        <v>#DIV/0!</v>
      </c>
    </row>
    <row r="1907" ht="30" customHeight="1" spans="1:75">
      <c r="A1907" s="55" t="s">
        <v>410</v>
      </c>
      <c r="B1907" s="56" t="s">
        <v>2247</v>
      </c>
      <c r="C1907" s="57" t="s">
        <v>2261</v>
      </c>
      <c r="D1907" s="59" t="s">
        <v>3032</v>
      </c>
      <c r="E1907" s="59" t="s">
        <v>3036</v>
      </c>
      <c r="F1907" s="59" t="str">
        <f>VLOOKUP(E1907,[1]库存!$B$1:$C$65536,2,FALSE)</f>
        <v>Xpeng E38 FSAB RH A状态</v>
      </c>
      <c r="G1907" s="59" t="s">
        <v>3037</v>
      </c>
      <c r="H1907" s="59" t="s">
        <v>3038</v>
      </c>
      <c r="I1907" s="59" t="s">
        <v>2782</v>
      </c>
      <c r="J1907" s="63"/>
      <c r="K1907" s="61"/>
      <c r="L1907" s="62">
        <v>0</v>
      </c>
      <c r="M1907" s="63">
        <v>1200</v>
      </c>
      <c r="N1907" s="64">
        <v>12</v>
      </c>
      <c r="O1907" s="62">
        <v>2</v>
      </c>
      <c r="P1907" s="65">
        <f t="shared" si="125"/>
        <v>0</v>
      </c>
      <c r="Q1907" s="66"/>
      <c r="R1907" s="66"/>
      <c r="S1907" s="66"/>
      <c r="T1907" s="66"/>
      <c r="U1907" s="66"/>
      <c r="V1907" s="66"/>
      <c r="W1907" s="66"/>
      <c r="X1907" s="66"/>
      <c r="Y1907" s="66"/>
      <c r="Z1907" s="66"/>
      <c r="AA1907" s="66"/>
      <c r="AB1907" s="66"/>
      <c r="AC1907" s="66"/>
      <c r="AD1907" s="66"/>
      <c r="AE1907" s="66"/>
      <c r="AF1907" s="66"/>
      <c r="AG1907" s="66"/>
      <c r="AH1907" s="66"/>
      <c r="AI1907" s="66"/>
      <c r="AJ1907" s="66"/>
      <c r="AK1907" s="66"/>
      <c r="AL1907" s="66"/>
      <c r="AM1907" s="66"/>
      <c r="AN1907" s="66"/>
      <c r="AO1907" s="66"/>
      <c r="AP1907" s="66"/>
      <c r="AQ1907" s="66"/>
      <c r="AR1907" s="66"/>
      <c r="AS1907" s="66"/>
      <c r="AT1907" s="66"/>
      <c r="AU1907" s="66"/>
      <c r="AV1907" s="66"/>
      <c r="AW1907" s="66"/>
      <c r="AX1907" s="66"/>
      <c r="AY1907" s="66"/>
      <c r="AZ1907" s="66"/>
      <c r="BA1907" s="66"/>
      <c r="BB1907" s="66"/>
      <c r="BC1907" s="66"/>
      <c r="BD1907" s="66"/>
      <c r="BE1907" s="67"/>
      <c r="BF1907" s="67"/>
      <c r="BG1907" s="68"/>
      <c r="BI1907" s="69">
        <v>0</v>
      </c>
      <c r="BJ1907" s="70">
        <v>0</v>
      </c>
      <c r="BK1907" s="71">
        <v>0</v>
      </c>
      <c r="BL1907" s="71">
        <v>0</v>
      </c>
      <c r="BM1907" s="71">
        <v>0</v>
      </c>
      <c r="BN1907" s="72">
        <v>0</v>
      </c>
      <c r="BO1907" s="151" t="e">
        <f t="shared" si="123"/>
        <v>#DIV/0!</v>
      </c>
      <c r="BP1907" s="151" t="e">
        <f t="shared" si="124"/>
        <v>#DIV/0!</v>
      </c>
      <c r="BQ1907" s="71">
        <v>0</v>
      </c>
      <c r="BR1907" s="71">
        <v>0</v>
      </c>
      <c r="BS1907" s="71">
        <v>0</v>
      </c>
      <c r="BT1907" s="72">
        <v>0</v>
      </c>
      <c r="BU1907" s="151" t="e">
        <f t="shared" si="126"/>
        <v>#DIV/0!</v>
      </c>
      <c r="BV1907" s="151" t="e">
        <f t="shared" si="127"/>
        <v>#DIV/0!</v>
      </c>
    </row>
    <row r="1908" ht="30" customHeight="1" spans="1:75">
      <c r="A1908" s="55">
        <v>0</v>
      </c>
      <c r="B1908" s="56">
        <v>0</v>
      </c>
      <c r="C1908" s="57">
        <v>0</v>
      </c>
      <c r="D1908" s="74"/>
      <c r="E1908" s="74"/>
      <c r="F1908" s="59" t="e">
        <f>VLOOKUP(E1908,[1]库存!$B$1:$C$65536,2,FALSE)</f>
        <v>#N/A</v>
      </c>
      <c r="G1908" s="59" t="e">
        <v>#N/A</v>
      </c>
      <c r="H1908" s="74"/>
      <c r="I1908" s="74"/>
      <c r="J1908" s="87"/>
      <c r="K1908" s="61"/>
      <c r="L1908" s="62">
        <v>0</v>
      </c>
      <c r="M1908" s="63">
        <v>0</v>
      </c>
      <c r="N1908" s="64">
        <v>0</v>
      </c>
      <c r="O1908" s="62">
        <v>0</v>
      </c>
      <c r="P1908" s="65">
        <f t="shared" si="125"/>
        <v>0</v>
      </c>
      <c r="Q1908" s="66"/>
      <c r="R1908" s="66"/>
      <c r="S1908" s="66"/>
      <c r="T1908" s="66"/>
      <c r="U1908" s="66"/>
      <c r="V1908" s="66"/>
      <c r="W1908" s="66"/>
      <c r="X1908" s="66"/>
      <c r="Y1908" s="66"/>
      <c r="Z1908" s="66"/>
      <c r="AA1908" s="66"/>
      <c r="AB1908" s="66"/>
      <c r="AC1908" s="66"/>
      <c r="AD1908" s="66"/>
      <c r="AE1908" s="66"/>
      <c r="AF1908" s="66"/>
      <c r="AG1908" s="66"/>
      <c r="AH1908" s="66"/>
      <c r="AI1908" s="66"/>
      <c r="AJ1908" s="66"/>
      <c r="AK1908" s="66"/>
      <c r="AL1908" s="66"/>
      <c r="AM1908" s="66"/>
      <c r="AN1908" s="66"/>
      <c r="AO1908" s="66"/>
      <c r="AP1908" s="66"/>
      <c r="AQ1908" s="66"/>
      <c r="AR1908" s="66"/>
      <c r="AS1908" s="66"/>
      <c r="AT1908" s="66"/>
      <c r="AU1908" s="66"/>
      <c r="AV1908" s="66"/>
      <c r="AW1908" s="66"/>
      <c r="AX1908" s="66"/>
      <c r="AY1908" s="66"/>
      <c r="AZ1908" s="66"/>
      <c r="BA1908" s="66"/>
      <c r="BB1908" s="66"/>
      <c r="BC1908" s="66"/>
      <c r="BD1908" s="66"/>
      <c r="BE1908" s="67"/>
      <c r="BF1908" s="67"/>
      <c r="BG1908" s="68"/>
      <c r="BI1908" s="69">
        <v>0</v>
      </c>
      <c r="BJ1908" s="70">
        <v>0</v>
      </c>
      <c r="BK1908" s="71">
        <v>0</v>
      </c>
      <c r="BL1908" s="71">
        <v>0</v>
      </c>
      <c r="BM1908" s="71">
        <v>0</v>
      </c>
      <c r="BN1908" s="72">
        <v>0</v>
      </c>
      <c r="BO1908" s="151" t="e">
        <f t="shared" si="123"/>
        <v>#DIV/0!</v>
      </c>
      <c r="BP1908" s="151" t="e">
        <f t="shared" si="124"/>
        <v>#DIV/0!</v>
      </c>
      <c r="BQ1908" s="71">
        <v>0</v>
      </c>
      <c r="BR1908" s="71">
        <v>0</v>
      </c>
      <c r="BS1908" s="71">
        <v>0</v>
      </c>
      <c r="BT1908" s="72">
        <v>0</v>
      </c>
      <c r="BU1908" s="151" t="e">
        <f t="shared" si="126"/>
        <v>#DIV/0!</v>
      </c>
      <c r="BV1908" s="151" t="e">
        <f t="shared" si="127"/>
        <v>#DIV/0!</v>
      </c>
    </row>
    <row r="1909" ht="30" customHeight="1" spans="1:75">
      <c r="A1909" s="55">
        <v>0</v>
      </c>
      <c r="B1909" s="56">
        <v>0</v>
      </c>
      <c r="C1909" s="57">
        <v>0</v>
      </c>
      <c r="D1909" s="210"/>
      <c r="E1909" s="88"/>
      <c r="F1909" s="59" t="e">
        <f>VLOOKUP(E1909,[1]库存!$B$1:$C$65536,2,FALSE)</f>
        <v>#N/A</v>
      </c>
      <c r="G1909" s="59" t="e">
        <v>#N/A</v>
      </c>
      <c r="H1909" s="238"/>
      <c r="I1909" s="239"/>
      <c r="J1909" s="90"/>
      <c r="K1909" s="61"/>
      <c r="L1909" s="62">
        <v>0</v>
      </c>
      <c r="M1909" s="63">
        <v>0</v>
      </c>
      <c r="N1909" s="64">
        <v>0</v>
      </c>
      <c r="O1909" s="62">
        <v>0</v>
      </c>
      <c r="P1909" s="65">
        <f t="shared" si="125"/>
        <v>0</v>
      </c>
      <c r="Q1909" s="66"/>
      <c r="R1909" s="66"/>
      <c r="S1909" s="66"/>
      <c r="T1909" s="66"/>
      <c r="U1909" s="66"/>
      <c r="V1909" s="66"/>
      <c r="W1909" s="66"/>
      <c r="X1909" s="66"/>
      <c r="Y1909" s="66"/>
      <c r="Z1909" s="66"/>
      <c r="AA1909" s="66"/>
      <c r="AB1909" s="66"/>
      <c r="AC1909" s="66"/>
      <c r="AD1909" s="66"/>
      <c r="AE1909" s="66"/>
      <c r="AF1909" s="66"/>
      <c r="AG1909" s="66"/>
      <c r="AH1909" s="66"/>
      <c r="AI1909" s="66"/>
      <c r="AJ1909" s="66"/>
      <c r="AK1909" s="66"/>
      <c r="AL1909" s="66"/>
      <c r="AM1909" s="66"/>
      <c r="AN1909" s="66"/>
      <c r="AO1909" s="66"/>
      <c r="AP1909" s="66"/>
      <c r="AQ1909" s="66"/>
      <c r="AR1909" s="66"/>
      <c r="AS1909" s="66"/>
      <c r="AT1909" s="66"/>
      <c r="AU1909" s="66"/>
      <c r="AV1909" s="66"/>
      <c r="AW1909" s="66"/>
      <c r="AX1909" s="66"/>
      <c r="AY1909" s="66"/>
      <c r="AZ1909" s="66"/>
      <c r="BA1909" s="66"/>
      <c r="BB1909" s="66"/>
      <c r="BC1909" s="66"/>
      <c r="BD1909" s="66"/>
      <c r="BE1909" s="67"/>
      <c r="BF1909" s="67"/>
      <c r="BG1909" s="68"/>
      <c r="BI1909" s="69">
        <v>0</v>
      </c>
      <c r="BJ1909" s="70">
        <v>0</v>
      </c>
      <c r="BK1909" s="71">
        <v>0</v>
      </c>
      <c r="BL1909" s="71">
        <v>0</v>
      </c>
      <c r="BM1909" s="71">
        <v>0</v>
      </c>
      <c r="BN1909" s="72">
        <v>0</v>
      </c>
      <c r="BO1909" s="151" t="e">
        <f t="shared" si="123"/>
        <v>#DIV/0!</v>
      </c>
      <c r="BP1909" s="151" t="e">
        <f t="shared" si="124"/>
        <v>#DIV/0!</v>
      </c>
      <c r="BQ1909" s="71">
        <v>0</v>
      </c>
      <c r="BR1909" s="71">
        <v>0</v>
      </c>
      <c r="BS1909" s="71">
        <v>0</v>
      </c>
      <c r="BT1909" s="72">
        <v>0</v>
      </c>
      <c r="BU1909" s="151" t="e">
        <f t="shared" si="126"/>
        <v>#DIV/0!</v>
      </c>
      <c r="BV1909" s="151" t="e">
        <f t="shared" si="127"/>
        <v>#DIV/0!</v>
      </c>
    </row>
    <row r="1910" ht="30" customHeight="1" spans="1:75">
      <c r="A1910" s="55" t="s">
        <v>165</v>
      </c>
      <c r="B1910" s="56" t="s">
        <v>2247</v>
      </c>
      <c r="C1910" s="57" t="s">
        <v>2248</v>
      </c>
      <c r="D1910" s="52" t="s">
        <v>3039</v>
      </c>
      <c r="E1910" s="52" t="s">
        <v>3040</v>
      </c>
      <c r="F1910" s="59" t="str">
        <f>VLOOKUP(E1910,[1]库存!$B$1:$C$65536,2,FALSE)</f>
        <v>GWM J01 EU DAB B状态</v>
      </c>
      <c r="G1910" s="59" t="s">
        <v>3041</v>
      </c>
      <c r="H1910" s="59" t="s">
        <v>3042</v>
      </c>
      <c r="I1910" s="59" t="s">
        <v>3043</v>
      </c>
      <c r="J1910" s="63"/>
      <c r="K1910" s="61"/>
      <c r="L1910" s="62">
        <v>2</v>
      </c>
      <c r="M1910" s="63">
        <v>700</v>
      </c>
      <c r="N1910" s="64">
        <v>16</v>
      </c>
      <c r="O1910" s="62">
        <v>2</v>
      </c>
      <c r="P1910" s="65">
        <f t="shared" si="125"/>
        <v>0</v>
      </c>
      <c r="Q1910" s="66"/>
      <c r="R1910" s="66"/>
      <c r="S1910" s="66"/>
      <c r="T1910" s="66"/>
      <c r="U1910" s="66"/>
      <c r="V1910" s="66"/>
      <c r="W1910" s="66">
        <v>900</v>
      </c>
      <c r="X1910" s="66"/>
      <c r="Y1910" s="66">
        <v>900</v>
      </c>
      <c r="Z1910" s="66"/>
      <c r="AA1910" s="66"/>
      <c r="AB1910" s="66"/>
      <c r="AC1910" s="66"/>
      <c r="AD1910" s="66"/>
      <c r="AE1910" s="66"/>
      <c r="AF1910" s="66"/>
      <c r="AG1910" s="66"/>
      <c r="AH1910" s="66"/>
      <c r="AI1910" s="66"/>
      <c r="AJ1910" s="66"/>
      <c r="AK1910" s="66"/>
      <c r="AL1910" s="66"/>
      <c r="AM1910" s="66"/>
      <c r="AN1910" s="66"/>
      <c r="AO1910" s="66"/>
      <c r="AP1910" s="66"/>
      <c r="AQ1910" s="66"/>
      <c r="AR1910" s="66"/>
      <c r="AS1910" s="66"/>
      <c r="AT1910" s="66"/>
      <c r="AU1910" s="66"/>
      <c r="AV1910" s="66"/>
      <c r="AW1910" s="66"/>
      <c r="AX1910" s="66"/>
      <c r="AY1910" s="66"/>
      <c r="AZ1910" s="66"/>
      <c r="BA1910" s="66"/>
      <c r="BB1910" s="66"/>
      <c r="BC1910" s="66"/>
      <c r="BD1910" s="66"/>
      <c r="BE1910" s="67"/>
      <c r="BF1910" s="67"/>
      <c r="BG1910" s="68"/>
      <c r="BI1910" s="69">
        <v>0</v>
      </c>
      <c r="BJ1910" s="70">
        <v>0</v>
      </c>
      <c r="BK1910" s="71">
        <v>0</v>
      </c>
      <c r="BL1910" s="71">
        <v>0</v>
      </c>
      <c r="BM1910" s="71">
        <v>0</v>
      </c>
      <c r="BN1910" s="72">
        <v>0</v>
      </c>
      <c r="BO1910" s="151" t="e">
        <f t="shared" si="123"/>
        <v>#DIV/0!</v>
      </c>
      <c r="BP1910" s="151" t="e">
        <f t="shared" si="124"/>
        <v>#DIV/0!</v>
      </c>
      <c r="BQ1910" s="71">
        <v>0</v>
      </c>
      <c r="BR1910" s="71">
        <v>0</v>
      </c>
      <c r="BS1910" s="71">
        <v>0</v>
      </c>
      <c r="BT1910" s="72">
        <v>0</v>
      </c>
      <c r="BU1910" s="151" t="e">
        <f t="shared" si="126"/>
        <v>#DIV/0!</v>
      </c>
      <c r="BV1910" s="151" t="e">
        <f t="shared" si="127"/>
        <v>#DIV/0!</v>
      </c>
      <c r="BW1910" s="14" t="s">
        <v>3044</v>
      </c>
    </row>
    <row r="1911" ht="30" customHeight="1" spans="1:75">
      <c r="A1911" s="55">
        <v>0</v>
      </c>
      <c r="B1911" s="56">
        <v>0</v>
      </c>
      <c r="C1911" s="57">
        <v>0</v>
      </c>
      <c r="D1911" s="52"/>
      <c r="E1911" s="52"/>
      <c r="F1911" s="59" t="e">
        <f>VLOOKUP(E1911,[1]库存!$B$1:$C$65536,2,FALSE)</f>
        <v>#N/A</v>
      </c>
      <c r="G1911" s="59" t="e">
        <v>#N/A</v>
      </c>
      <c r="H1911" s="152"/>
      <c r="I1911" s="152"/>
      <c r="J1911" s="87"/>
      <c r="K1911" s="61"/>
      <c r="L1911" s="62">
        <v>0</v>
      </c>
      <c r="M1911" s="63">
        <v>0</v>
      </c>
      <c r="N1911" s="64">
        <v>0</v>
      </c>
      <c r="O1911" s="62">
        <v>0</v>
      </c>
      <c r="P1911" s="65">
        <f t="shared" si="125"/>
        <v>0</v>
      </c>
      <c r="Q1911" s="66"/>
      <c r="R1911" s="66"/>
      <c r="S1911" s="66"/>
      <c r="T1911" s="66"/>
      <c r="U1911" s="66"/>
      <c r="V1911" s="66"/>
      <c r="W1911" s="66">
        <v>921</v>
      </c>
      <c r="X1911" s="66"/>
      <c r="Y1911" s="66">
        <v>944</v>
      </c>
      <c r="Z1911" s="66"/>
      <c r="AA1911" s="66"/>
      <c r="AB1911" s="66"/>
      <c r="AC1911" s="66"/>
      <c r="AD1911" s="66"/>
      <c r="AE1911" s="66"/>
      <c r="AF1911" s="66"/>
      <c r="AG1911" s="66"/>
      <c r="AH1911" s="66"/>
      <c r="AI1911" s="66"/>
      <c r="AJ1911" s="66"/>
      <c r="AK1911" s="66"/>
      <c r="AL1911" s="66"/>
      <c r="AM1911" s="66"/>
      <c r="AN1911" s="66"/>
      <c r="AO1911" s="66"/>
      <c r="AP1911" s="66"/>
      <c r="AQ1911" s="66"/>
      <c r="AR1911" s="66"/>
      <c r="AS1911" s="66"/>
      <c r="AT1911" s="66"/>
      <c r="AU1911" s="66"/>
      <c r="AV1911" s="66"/>
      <c r="AW1911" s="66"/>
      <c r="AX1911" s="66"/>
      <c r="AY1911" s="66"/>
      <c r="AZ1911" s="66"/>
      <c r="BA1911" s="66"/>
      <c r="BB1911" s="66"/>
      <c r="BC1911" s="66"/>
      <c r="BD1911" s="66"/>
      <c r="BE1911" s="67"/>
      <c r="BF1911" s="67"/>
      <c r="BG1911" s="68"/>
      <c r="BI1911" s="69">
        <v>0</v>
      </c>
      <c r="BJ1911" s="70">
        <v>0</v>
      </c>
      <c r="BK1911" s="71">
        <v>0</v>
      </c>
      <c r="BL1911" s="71">
        <v>0</v>
      </c>
      <c r="BM1911" s="71">
        <v>0</v>
      </c>
      <c r="BN1911" s="72">
        <v>0</v>
      </c>
      <c r="BO1911" s="151" t="e">
        <f t="shared" si="123"/>
        <v>#DIV/0!</v>
      </c>
      <c r="BP1911" s="151" t="e">
        <f t="shared" si="124"/>
        <v>#DIV/0!</v>
      </c>
      <c r="BQ1911" s="71">
        <v>0</v>
      </c>
      <c r="BR1911" s="71">
        <v>0</v>
      </c>
      <c r="BS1911" s="71">
        <v>0</v>
      </c>
      <c r="BT1911" s="72">
        <v>0</v>
      </c>
      <c r="BU1911" s="151" t="e">
        <f t="shared" si="126"/>
        <v>#DIV/0!</v>
      </c>
      <c r="BV1911" s="151" t="e">
        <f t="shared" si="127"/>
        <v>#DIV/0!</v>
      </c>
    </row>
    <row r="1912" ht="30" customHeight="1" spans="1:75">
      <c r="A1912" s="55">
        <v>0</v>
      </c>
      <c r="B1912" s="56">
        <v>0</v>
      </c>
      <c r="C1912" s="57">
        <v>0</v>
      </c>
      <c r="E1912" s="155"/>
      <c r="F1912" s="59" t="e">
        <f>VLOOKUP(E1912,[1]库存!$B$1:$C$65536,2,FALSE)</f>
        <v>#N/A</v>
      </c>
      <c r="G1912" s="59" t="e">
        <v>#N/A</v>
      </c>
      <c r="H1912" s="89"/>
      <c r="I1912" s="88"/>
      <c r="J1912" s="90"/>
      <c r="K1912" s="61"/>
      <c r="L1912" s="62">
        <v>0</v>
      </c>
      <c r="M1912" s="63">
        <v>0</v>
      </c>
      <c r="N1912" s="64">
        <v>0</v>
      </c>
      <c r="O1912" s="62">
        <v>0</v>
      </c>
      <c r="P1912" s="65">
        <f t="shared" si="125"/>
        <v>0</v>
      </c>
      <c r="Q1912" s="66"/>
      <c r="R1912" s="66"/>
      <c r="S1912" s="66"/>
      <c r="T1912" s="66"/>
      <c r="U1912" s="66"/>
      <c r="V1912" s="66"/>
      <c r="W1912" s="66"/>
      <c r="X1912" s="66"/>
      <c r="Y1912" s="66"/>
      <c r="Z1912" s="66"/>
      <c r="AA1912" s="66"/>
      <c r="AB1912" s="66"/>
      <c r="AC1912" s="66"/>
      <c r="AD1912" s="66"/>
      <c r="AE1912" s="66"/>
      <c r="AF1912" s="66"/>
      <c r="AG1912" s="66"/>
      <c r="AH1912" s="66"/>
      <c r="AI1912" s="66"/>
      <c r="AJ1912" s="66"/>
      <c r="AK1912" s="66"/>
      <c r="AL1912" s="66"/>
      <c r="AM1912" s="66"/>
      <c r="AN1912" s="66"/>
      <c r="AO1912" s="66"/>
      <c r="AP1912" s="66"/>
      <c r="AQ1912" s="66"/>
      <c r="AR1912" s="66"/>
      <c r="AS1912" s="66"/>
      <c r="AT1912" s="66"/>
      <c r="AU1912" s="66"/>
      <c r="AV1912" s="66"/>
      <c r="AW1912" s="66"/>
      <c r="AX1912" s="66"/>
      <c r="AY1912" s="66"/>
      <c r="AZ1912" s="66"/>
      <c r="BA1912" s="66"/>
      <c r="BB1912" s="66"/>
      <c r="BC1912" s="66"/>
      <c r="BD1912" s="66"/>
      <c r="BE1912" s="67"/>
      <c r="BF1912" s="67"/>
      <c r="BG1912" s="68"/>
      <c r="BI1912" s="69">
        <v>0</v>
      </c>
      <c r="BJ1912" s="70">
        <v>0</v>
      </c>
      <c r="BK1912" s="71">
        <v>0</v>
      </c>
      <c r="BL1912" s="71">
        <v>0</v>
      </c>
      <c r="BM1912" s="71">
        <v>0</v>
      </c>
      <c r="BN1912" s="72">
        <v>0</v>
      </c>
      <c r="BO1912" s="151" t="e">
        <f t="shared" si="123"/>
        <v>#DIV/0!</v>
      </c>
      <c r="BP1912" s="151" t="e">
        <f t="shared" si="124"/>
        <v>#DIV/0!</v>
      </c>
      <c r="BQ1912" s="71">
        <v>0</v>
      </c>
      <c r="BR1912" s="71">
        <v>0</v>
      </c>
      <c r="BS1912" s="71">
        <v>0</v>
      </c>
      <c r="BT1912" s="72">
        <v>0</v>
      </c>
      <c r="BU1912" s="151" t="e">
        <f t="shared" si="126"/>
        <v>#DIV/0!</v>
      </c>
      <c r="BV1912" s="151" t="e">
        <f t="shared" si="127"/>
        <v>#DIV/0!</v>
      </c>
    </row>
    <row r="1913" ht="30" customHeight="1" spans="1:75">
      <c r="A1913" s="55" t="s">
        <v>165</v>
      </c>
      <c r="B1913" s="56" t="s">
        <v>2247</v>
      </c>
      <c r="C1913" s="57" t="s">
        <v>2261</v>
      </c>
      <c r="D1913" s="52" t="s">
        <v>3045</v>
      </c>
      <c r="E1913" s="52" t="s">
        <v>3046</v>
      </c>
      <c r="F1913" s="59" t="str">
        <f>VLOOKUP(E1913,[1]库存!$B$1:$C$65536,2,FALSE)</f>
        <v>X01 PAB C状态</v>
      </c>
      <c r="G1913" s="59" t="s">
        <v>3047</v>
      </c>
      <c r="H1913" s="59" t="s">
        <v>3048</v>
      </c>
      <c r="I1913" s="59" t="s">
        <v>3049</v>
      </c>
      <c r="J1913" s="63"/>
      <c r="K1913" s="61"/>
      <c r="L1913" s="62">
        <v>3</v>
      </c>
      <c r="M1913" s="63">
        <v>1000</v>
      </c>
      <c r="N1913" s="64">
        <v>30</v>
      </c>
      <c r="O1913" s="62">
        <v>3</v>
      </c>
      <c r="P1913" s="65">
        <f t="shared" si="125"/>
        <v>0</v>
      </c>
      <c r="Q1913" s="66"/>
      <c r="R1913" s="66"/>
      <c r="S1913" s="66"/>
      <c r="T1913" s="66"/>
      <c r="U1913" s="66"/>
      <c r="V1913" s="66"/>
      <c r="W1913" s="66"/>
      <c r="X1913" s="66"/>
      <c r="Y1913" s="66"/>
      <c r="Z1913" s="66"/>
      <c r="AA1913" s="66"/>
      <c r="AB1913" s="66"/>
      <c r="AC1913" s="66"/>
      <c r="AD1913" s="66"/>
      <c r="AE1913" s="66"/>
      <c r="AF1913" s="66"/>
      <c r="AG1913" s="66"/>
      <c r="AH1913" s="66"/>
      <c r="AI1913" s="66"/>
      <c r="AJ1913" s="66"/>
      <c r="AK1913" s="66"/>
      <c r="AL1913" s="66"/>
      <c r="AM1913" s="66"/>
      <c r="AN1913" s="66"/>
      <c r="AO1913" s="66"/>
      <c r="AP1913" s="66"/>
      <c r="AQ1913" s="66"/>
      <c r="AR1913" s="66"/>
      <c r="AS1913" s="66"/>
      <c r="AT1913" s="66"/>
      <c r="AU1913" s="66"/>
      <c r="AV1913" s="66"/>
      <c r="AW1913" s="66"/>
      <c r="AX1913" s="66"/>
      <c r="AY1913" s="66"/>
      <c r="AZ1913" s="66"/>
      <c r="BA1913" s="66"/>
      <c r="BB1913" s="66"/>
      <c r="BC1913" s="66"/>
      <c r="BD1913" s="66"/>
      <c r="BE1913" s="67"/>
      <c r="BF1913" s="67"/>
      <c r="BG1913" s="68"/>
      <c r="BI1913" s="69">
        <v>0</v>
      </c>
      <c r="BJ1913" s="70">
        <v>0</v>
      </c>
      <c r="BK1913" s="71">
        <v>0</v>
      </c>
      <c r="BL1913" s="71">
        <v>0</v>
      </c>
      <c r="BM1913" s="71">
        <v>0</v>
      </c>
      <c r="BN1913" s="72">
        <v>0</v>
      </c>
      <c r="BO1913" s="151" t="e">
        <f t="shared" si="123"/>
        <v>#DIV/0!</v>
      </c>
      <c r="BP1913" s="151" t="e">
        <f t="shared" si="124"/>
        <v>#DIV/0!</v>
      </c>
      <c r="BQ1913" s="71">
        <v>0</v>
      </c>
      <c r="BR1913" s="71">
        <v>0</v>
      </c>
      <c r="BS1913" s="71">
        <v>0</v>
      </c>
      <c r="BT1913" s="72">
        <v>0</v>
      </c>
      <c r="BU1913" s="151" t="e">
        <f t="shared" si="126"/>
        <v>#DIV/0!</v>
      </c>
      <c r="BV1913" s="151" t="e">
        <f t="shared" si="127"/>
        <v>#DIV/0!</v>
      </c>
    </row>
    <row r="1914" ht="30" customHeight="1" spans="1:75">
      <c r="A1914" s="55">
        <v>0</v>
      </c>
      <c r="B1914" s="56">
        <v>0</v>
      </c>
      <c r="C1914" s="57">
        <v>0</v>
      </c>
      <c r="D1914" s="52"/>
      <c r="E1914" s="52"/>
      <c r="F1914" s="59" t="e">
        <f>VLOOKUP(E1914,[1]库存!$B$1:$C$65536,2,FALSE)</f>
        <v>#N/A</v>
      </c>
      <c r="G1914" s="59" t="e">
        <v>#N/A</v>
      </c>
      <c r="H1914" s="152"/>
      <c r="I1914" s="152"/>
      <c r="J1914" s="87"/>
      <c r="K1914" s="61"/>
      <c r="L1914" s="62">
        <v>0</v>
      </c>
      <c r="M1914" s="63">
        <v>0</v>
      </c>
      <c r="N1914" s="64">
        <v>0</v>
      </c>
      <c r="O1914" s="62">
        <v>0</v>
      </c>
      <c r="P1914" s="65">
        <f t="shared" si="125"/>
        <v>0</v>
      </c>
      <c r="Q1914" s="66"/>
      <c r="R1914" s="66"/>
      <c r="S1914" s="66"/>
      <c r="T1914" s="66"/>
      <c r="U1914" s="66"/>
      <c r="V1914" s="66"/>
      <c r="W1914" s="66"/>
      <c r="X1914" s="66"/>
      <c r="Y1914" s="66"/>
      <c r="Z1914" s="66"/>
      <c r="AA1914" s="66"/>
      <c r="AB1914" s="66"/>
      <c r="AC1914" s="66"/>
      <c r="AD1914" s="66"/>
      <c r="AE1914" s="66"/>
      <c r="AF1914" s="66"/>
      <c r="AG1914" s="66"/>
      <c r="AH1914" s="66"/>
      <c r="AI1914" s="66"/>
      <c r="AJ1914" s="66"/>
      <c r="AK1914" s="66"/>
      <c r="AL1914" s="66"/>
      <c r="AM1914" s="66"/>
      <c r="AN1914" s="66"/>
      <c r="AO1914" s="66"/>
      <c r="AP1914" s="66"/>
      <c r="AQ1914" s="66"/>
      <c r="AR1914" s="66"/>
      <c r="AS1914" s="66"/>
      <c r="AT1914" s="66"/>
      <c r="AU1914" s="66"/>
      <c r="AV1914" s="66"/>
      <c r="AW1914" s="66"/>
      <c r="AX1914" s="66"/>
      <c r="AY1914" s="66"/>
      <c r="AZ1914" s="66"/>
      <c r="BA1914" s="66"/>
      <c r="BB1914" s="66"/>
      <c r="BC1914" s="66"/>
      <c r="BD1914" s="66"/>
      <c r="BE1914" s="67"/>
      <c r="BF1914" s="67"/>
      <c r="BG1914" s="68"/>
      <c r="BI1914" s="69">
        <v>0</v>
      </c>
      <c r="BJ1914" s="70">
        <v>0</v>
      </c>
      <c r="BK1914" s="71">
        <v>0</v>
      </c>
      <c r="BL1914" s="71">
        <v>0</v>
      </c>
      <c r="BM1914" s="71">
        <v>0</v>
      </c>
      <c r="BN1914" s="72">
        <v>0</v>
      </c>
      <c r="BO1914" s="151" t="e">
        <f t="shared" si="123"/>
        <v>#DIV/0!</v>
      </c>
      <c r="BP1914" s="151" t="e">
        <f t="shared" si="124"/>
        <v>#DIV/0!</v>
      </c>
      <c r="BQ1914" s="71">
        <v>0</v>
      </c>
      <c r="BR1914" s="71">
        <v>0</v>
      </c>
      <c r="BS1914" s="71">
        <v>0</v>
      </c>
      <c r="BT1914" s="72">
        <v>0</v>
      </c>
      <c r="BU1914" s="151" t="e">
        <f t="shared" si="126"/>
        <v>#DIV/0!</v>
      </c>
      <c r="BV1914" s="151" t="e">
        <f t="shared" si="127"/>
        <v>#DIV/0!</v>
      </c>
    </row>
    <row r="1915" ht="30" customHeight="1" spans="1:75">
      <c r="A1915" s="55">
        <v>0</v>
      </c>
      <c r="B1915" s="56">
        <v>0</v>
      </c>
      <c r="C1915" s="57">
        <v>0</v>
      </c>
      <c r="E1915" s="155"/>
      <c r="F1915" s="59" t="e">
        <f>VLOOKUP(E1915,[1]库存!$B$1:$C$65536,2,FALSE)</f>
        <v>#N/A</v>
      </c>
      <c r="G1915" s="59" t="e">
        <v>#N/A</v>
      </c>
      <c r="H1915" s="89"/>
      <c r="I1915" s="88"/>
      <c r="J1915" s="90"/>
      <c r="K1915" s="61"/>
      <c r="L1915" s="62">
        <v>0</v>
      </c>
      <c r="M1915" s="63">
        <v>0</v>
      </c>
      <c r="N1915" s="64">
        <v>0</v>
      </c>
      <c r="O1915" s="62">
        <v>0</v>
      </c>
      <c r="P1915" s="65">
        <f t="shared" si="125"/>
        <v>0</v>
      </c>
      <c r="Q1915" s="66"/>
      <c r="R1915" s="66"/>
      <c r="S1915" s="66"/>
      <c r="T1915" s="66"/>
      <c r="U1915" s="66"/>
      <c r="V1915" s="66"/>
      <c r="W1915" s="66"/>
      <c r="X1915" s="66"/>
      <c r="Y1915" s="66"/>
      <c r="Z1915" s="66"/>
      <c r="AA1915" s="66"/>
      <c r="AB1915" s="66"/>
      <c r="AC1915" s="66"/>
      <c r="AD1915" s="66"/>
      <c r="AE1915" s="66"/>
      <c r="AF1915" s="66"/>
      <c r="AG1915" s="66"/>
      <c r="AH1915" s="66"/>
      <c r="AI1915" s="66"/>
      <c r="AJ1915" s="66"/>
      <c r="AK1915" s="66"/>
      <c r="AL1915" s="66"/>
      <c r="AM1915" s="66"/>
      <c r="AN1915" s="66"/>
      <c r="AO1915" s="66"/>
      <c r="AP1915" s="66"/>
      <c r="AQ1915" s="66"/>
      <c r="AR1915" s="66"/>
      <c r="AS1915" s="66"/>
      <c r="AT1915" s="66"/>
      <c r="AU1915" s="66"/>
      <c r="AV1915" s="66"/>
      <c r="AW1915" s="66"/>
      <c r="AX1915" s="66"/>
      <c r="AY1915" s="66"/>
      <c r="AZ1915" s="66"/>
      <c r="BA1915" s="66"/>
      <c r="BB1915" s="66"/>
      <c r="BC1915" s="66"/>
      <c r="BD1915" s="66"/>
      <c r="BE1915" s="67"/>
      <c r="BF1915" s="67"/>
      <c r="BG1915" s="68"/>
      <c r="BI1915" s="69">
        <v>0</v>
      </c>
      <c r="BJ1915" s="70">
        <v>0</v>
      </c>
      <c r="BK1915" s="71">
        <v>0</v>
      </c>
      <c r="BL1915" s="71">
        <v>0</v>
      </c>
      <c r="BM1915" s="71">
        <v>0</v>
      </c>
      <c r="BN1915" s="72">
        <v>0</v>
      </c>
      <c r="BO1915" s="151" t="e">
        <f t="shared" si="123"/>
        <v>#DIV/0!</v>
      </c>
      <c r="BP1915" s="151" t="e">
        <f t="shared" si="124"/>
        <v>#DIV/0!</v>
      </c>
      <c r="BQ1915" s="71">
        <v>0</v>
      </c>
      <c r="BR1915" s="71">
        <v>0</v>
      </c>
      <c r="BS1915" s="71">
        <v>0</v>
      </c>
      <c r="BT1915" s="72">
        <v>0</v>
      </c>
      <c r="BU1915" s="151" t="e">
        <f t="shared" si="126"/>
        <v>#DIV/0!</v>
      </c>
      <c r="BV1915" s="151" t="e">
        <f t="shared" si="127"/>
        <v>#DIV/0!</v>
      </c>
    </row>
    <row r="1916" ht="30" customHeight="1" spans="1:75">
      <c r="A1916" s="55" t="s">
        <v>165</v>
      </c>
      <c r="B1916" s="56" t="s">
        <v>2247</v>
      </c>
      <c r="C1916" s="57" t="s">
        <v>2261</v>
      </c>
      <c r="D1916" s="52" t="s">
        <v>3050</v>
      </c>
      <c r="E1916" s="52" t="s">
        <v>3051</v>
      </c>
      <c r="F1916" s="59" t="str">
        <f>VLOOKUP(E1916,[1]库存!$B$1:$C$65536,2,FALSE)</f>
        <v>ZEEKR BX1E PAB D状态</v>
      </c>
      <c r="G1916" s="59" t="s">
        <v>3052</v>
      </c>
      <c r="H1916" s="59" t="s">
        <v>3053</v>
      </c>
      <c r="I1916" s="59" t="s">
        <v>3054</v>
      </c>
      <c r="J1916" s="63"/>
      <c r="K1916" s="61"/>
      <c r="L1916" s="62">
        <v>2</v>
      </c>
      <c r="M1916" s="63">
        <v>600</v>
      </c>
      <c r="N1916" s="64">
        <v>23.5</v>
      </c>
      <c r="O1916" s="62">
        <v>2</v>
      </c>
      <c r="P1916" s="65">
        <f t="shared" si="125"/>
        <v>0</v>
      </c>
      <c r="Q1916" s="66"/>
      <c r="R1916" s="66"/>
      <c r="S1916" s="66"/>
      <c r="T1916" s="66"/>
      <c r="U1916" s="66"/>
      <c r="V1916" s="66"/>
      <c r="W1916" s="66"/>
      <c r="X1916" s="66"/>
      <c r="Y1916" s="66"/>
      <c r="Z1916" s="66"/>
      <c r="AA1916" s="66"/>
      <c r="AB1916" s="66"/>
      <c r="AC1916" s="66"/>
      <c r="AD1916" s="66"/>
      <c r="AE1916" s="66"/>
      <c r="AF1916" s="66"/>
      <c r="AG1916" s="66"/>
      <c r="AH1916" s="66"/>
      <c r="AI1916" s="66"/>
      <c r="AJ1916" s="66"/>
      <c r="AK1916" s="66"/>
      <c r="AL1916" s="66"/>
      <c r="AM1916" s="66"/>
      <c r="AN1916" s="66"/>
      <c r="AO1916" s="66"/>
      <c r="AP1916" s="66"/>
      <c r="AQ1916" s="66"/>
      <c r="AR1916" s="66"/>
      <c r="AS1916" s="66"/>
      <c r="AT1916" s="66"/>
      <c r="AU1916" s="66"/>
      <c r="AV1916" s="66"/>
      <c r="AW1916" s="66"/>
      <c r="AX1916" s="66"/>
      <c r="AY1916" s="66"/>
      <c r="AZ1916" s="66"/>
      <c r="BA1916" s="66"/>
      <c r="BB1916" s="66"/>
      <c r="BC1916" s="66"/>
      <c r="BD1916" s="66"/>
      <c r="BE1916" s="67"/>
      <c r="BF1916" s="67"/>
      <c r="BG1916" s="68"/>
      <c r="BI1916" s="69">
        <v>0</v>
      </c>
      <c r="BJ1916" s="70">
        <v>0</v>
      </c>
      <c r="BK1916" s="71">
        <v>0</v>
      </c>
      <c r="BL1916" s="71">
        <v>0</v>
      </c>
      <c r="BM1916" s="71">
        <v>0</v>
      </c>
      <c r="BN1916" s="72">
        <v>0</v>
      </c>
      <c r="BO1916" s="151" t="e">
        <f t="shared" si="123"/>
        <v>#DIV/0!</v>
      </c>
      <c r="BP1916" s="151" t="e">
        <f t="shared" si="124"/>
        <v>#DIV/0!</v>
      </c>
      <c r="BQ1916" s="71">
        <v>0</v>
      </c>
      <c r="BR1916" s="71">
        <v>0</v>
      </c>
      <c r="BS1916" s="71">
        <v>0</v>
      </c>
      <c r="BT1916" s="72">
        <v>0</v>
      </c>
      <c r="BU1916" s="151" t="e">
        <f t="shared" si="126"/>
        <v>#DIV/0!</v>
      </c>
      <c r="BV1916" s="151" t="e">
        <f t="shared" si="127"/>
        <v>#DIV/0!</v>
      </c>
    </row>
    <row r="1917" ht="30" customHeight="1" spans="1:75">
      <c r="A1917" s="55">
        <v>0</v>
      </c>
      <c r="B1917" s="56">
        <v>0</v>
      </c>
      <c r="C1917" s="57">
        <v>0</v>
      </c>
      <c r="D1917" s="52"/>
      <c r="E1917" s="52"/>
      <c r="F1917" s="59" t="e">
        <f>VLOOKUP(E1917,[1]库存!$B$1:$C$65536,2,FALSE)</f>
        <v>#N/A</v>
      </c>
      <c r="G1917" s="59" t="e">
        <v>#N/A</v>
      </c>
      <c r="H1917" s="152"/>
      <c r="I1917" s="152"/>
      <c r="J1917" s="87"/>
      <c r="K1917" s="61"/>
      <c r="L1917" s="62">
        <v>0</v>
      </c>
      <c r="M1917" s="63">
        <v>0</v>
      </c>
      <c r="N1917" s="64">
        <v>0</v>
      </c>
      <c r="O1917" s="62">
        <v>0</v>
      </c>
      <c r="P1917" s="65">
        <f t="shared" si="125"/>
        <v>0</v>
      </c>
      <c r="Q1917" s="66"/>
      <c r="R1917" s="66"/>
      <c r="S1917" s="66"/>
      <c r="T1917" s="66"/>
      <c r="U1917" s="66"/>
      <c r="V1917" s="66"/>
      <c r="W1917" s="66"/>
      <c r="X1917" s="66"/>
      <c r="Y1917" s="66"/>
      <c r="Z1917" s="66"/>
      <c r="AA1917" s="66"/>
      <c r="AB1917" s="66"/>
      <c r="AC1917" s="66"/>
      <c r="AD1917" s="66"/>
      <c r="AE1917" s="66"/>
      <c r="AF1917" s="66"/>
      <c r="AG1917" s="66"/>
      <c r="AH1917" s="66"/>
      <c r="AI1917" s="66"/>
      <c r="AJ1917" s="66"/>
      <c r="AK1917" s="66"/>
      <c r="AL1917" s="66"/>
      <c r="AM1917" s="66"/>
      <c r="AN1917" s="66"/>
      <c r="AO1917" s="66"/>
      <c r="AP1917" s="66"/>
      <c r="AQ1917" s="66"/>
      <c r="AR1917" s="66"/>
      <c r="AS1917" s="66"/>
      <c r="AT1917" s="66"/>
      <c r="AU1917" s="66"/>
      <c r="AV1917" s="66"/>
      <c r="AW1917" s="66"/>
      <c r="AX1917" s="66"/>
      <c r="AY1917" s="66"/>
      <c r="AZ1917" s="66"/>
      <c r="BA1917" s="66"/>
      <c r="BB1917" s="66"/>
      <c r="BC1917" s="66"/>
      <c r="BD1917" s="66"/>
      <c r="BE1917" s="67"/>
      <c r="BF1917" s="67"/>
      <c r="BG1917" s="68"/>
      <c r="BI1917" s="69">
        <v>0</v>
      </c>
      <c r="BJ1917" s="70">
        <v>0</v>
      </c>
      <c r="BK1917" s="71">
        <v>0</v>
      </c>
      <c r="BL1917" s="71">
        <v>0</v>
      </c>
      <c r="BM1917" s="71">
        <v>0</v>
      </c>
      <c r="BN1917" s="72">
        <v>0</v>
      </c>
      <c r="BO1917" s="151" t="e">
        <f t="shared" si="123"/>
        <v>#DIV/0!</v>
      </c>
      <c r="BP1917" s="151" t="e">
        <f t="shared" si="124"/>
        <v>#DIV/0!</v>
      </c>
      <c r="BQ1917" s="71">
        <v>0</v>
      </c>
      <c r="BR1917" s="71">
        <v>0</v>
      </c>
      <c r="BS1917" s="71">
        <v>0</v>
      </c>
      <c r="BT1917" s="72">
        <v>0</v>
      </c>
      <c r="BU1917" s="151" t="e">
        <f t="shared" si="126"/>
        <v>#DIV/0!</v>
      </c>
      <c r="BV1917" s="151" t="e">
        <f t="shared" si="127"/>
        <v>#DIV/0!</v>
      </c>
    </row>
    <row r="1918" ht="30" customHeight="1" spans="1:75">
      <c r="A1918" s="55" t="s">
        <v>165</v>
      </c>
      <c r="B1918" s="56" t="s">
        <v>2247</v>
      </c>
      <c r="C1918" s="57" t="s">
        <v>2261</v>
      </c>
      <c r="D1918" s="52" t="s">
        <v>3050</v>
      </c>
      <c r="E1918" s="52" t="s">
        <v>3055</v>
      </c>
      <c r="F1918" s="59" t="str">
        <f>VLOOKUP(E1918,[1]库存!$B$1:$C$65536,2,FALSE)</f>
        <v>DC1E A2 PAB A状态</v>
      </c>
      <c r="G1918" s="59" t="s">
        <v>3056</v>
      </c>
      <c r="H1918" s="59" t="s">
        <v>3057</v>
      </c>
      <c r="I1918" s="59" t="s">
        <v>3058</v>
      </c>
      <c r="J1918" s="63"/>
      <c r="K1918" s="61"/>
      <c r="L1918" s="62">
        <v>2</v>
      </c>
      <c r="M1918" s="63">
        <v>600</v>
      </c>
      <c r="N1918" s="64">
        <v>26</v>
      </c>
      <c r="O1918" s="62">
        <v>2</v>
      </c>
      <c r="P1918" s="65">
        <f t="shared" si="125"/>
        <v>0</v>
      </c>
      <c r="Q1918" s="66"/>
      <c r="R1918" s="66"/>
      <c r="S1918" s="66"/>
      <c r="T1918" s="66"/>
      <c r="U1918" s="66"/>
      <c r="V1918" s="66"/>
      <c r="W1918" s="66"/>
      <c r="X1918" s="66"/>
      <c r="Y1918" s="66"/>
      <c r="Z1918" s="66"/>
      <c r="AA1918" s="66"/>
      <c r="AB1918" s="66"/>
      <c r="AC1918" s="66"/>
      <c r="AD1918" s="66"/>
      <c r="AE1918" s="66"/>
      <c r="AF1918" s="66"/>
      <c r="AG1918" s="66"/>
      <c r="AH1918" s="66"/>
      <c r="AI1918" s="66"/>
      <c r="AJ1918" s="66"/>
      <c r="AK1918" s="66"/>
      <c r="AL1918" s="66"/>
      <c r="AM1918" s="66"/>
      <c r="AN1918" s="66"/>
      <c r="AO1918" s="66"/>
      <c r="AP1918" s="66"/>
      <c r="AQ1918" s="66"/>
      <c r="AR1918" s="66"/>
      <c r="AS1918" s="66"/>
      <c r="AT1918" s="66"/>
      <c r="AU1918" s="66"/>
      <c r="AV1918" s="66"/>
      <c r="AW1918" s="66"/>
      <c r="AX1918" s="66"/>
      <c r="AY1918" s="66"/>
      <c r="AZ1918" s="66"/>
      <c r="BA1918" s="66"/>
      <c r="BB1918" s="66"/>
      <c r="BC1918" s="66"/>
      <c r="BD1918" s="66"/>
      <c r="BE1918" s="67"/>
      <c r="BF1918" s="67"/>
      <c r="BG1918" s="68"/>
      <c r="BI1918" s="69">
        <v>0</v>
      </c>
      <c r="BJ1918" s="70">
        <v>0</v>
      </c>
      <c r="BK1918" s="71">
        <v>0</v>
      </c>
      <c r="BL1918" s="71">
        <v>0</v>
      </c>
      <c r="BM1918" s="71">
        <v>0</v>
      </c>
      <c r="BN1918" s="72">
        <v>0</v>
      </c>
      <c r="BO1918" s="151" t="e">
        <f t="shared" si="123"/>
        <v>#DIV/0!</v>
      </c>
      <c r="BP1918" s="151" t="e">
        <f t="shared" si="124"/>
        <v>#DIV/0!</v>
      </c>
      <c r="BQ1918" s="71">
        <v>0</v>
      </c>
      <c r="BR1918" s="71">
        <v>0</v>
      </c>
      <c r="BS1918" s="71">
        <v>0</v>
      </c>
      <c r="BT1918" s="72">
        <v>0</v>
      </c>
      <c r="BU1918" s="151" t="e">
        <f t="shared" si="126"/>
        <v>#DIV/0!</v>
      </c>
      <c r="BV1918" s="151" t="e">
        <f t="shared" si="127"/>
        <v>#DIV/0!</v>
      </c>
    </row>
    <row r="1919" ht="30" customHeight="1" spans="1:75">
      <c r="A1919" s="55">
        <v>0</v>
      </c>
      <c r="B1919" s="56">
        <v>0</v>
      </c>
      <c r="C1919" s="57">
        <v>0</v>
      </c>
      <c r="D1919" s="52"/>
      <c r="E1919" s="52"/>
      <c r="F1919" s="59" t="e">
        <f>VLOOKUP(E1919,[1]库存!$B$1:$C$65536,2,FALSE)</f>
        <v>#N/A</v>
      </c>
      <c r="G1919" s="59" t="e">
        <v>#N/A</v>
      </c>
      <c r="H1919" s="152"/>
      <c r="I1919" s="152"/>
      <c r="J1919" s="87"/>
      <c r="K1919" s="61"/>
      <c r="L1919" s="62">
        <v>0</v>
      </c>
      <c r="M1919" s="63">
        <v>0</v>
      </c>
      <c r="N1919" s="64">
        <v>0</v>
      </c>
      <c r="O1919" s="62">
        <v>0</v>
      </c>
      <c r="P1919" s="65">
        <f t="shared" si="125"/>
        <v>0</v>
      </c>
      <c r="Q1919" s="66"/>
      <c r="R1919" s="66"/>
      <c r="S1919" s="66"/>
      <c r="T1919" s="66"/>
      <c r="U1919" s="66"/>
      <c r="V1919" s="66"/>
      <c r="W1919" s="66"/>
      <c r="X1919" s="66"/>
      <c r="Y1919" s="66"/>
      <c r="Z1919" s="66"/>
      <c r="AA1919" s="66"/>
      <c r="AB1919" s="66"/>
      <c r="AC1919" s="66"/>
      <c r="AD1919" s="66"/>
      <c r="AE1919" s="66"/>
      <c r="AF1919" s="66"/>
      <c r="AG1919" s="66"/>
      <c r="AH1919" s="66"/>
      <c r="AI1919" s="66"/>
      <c r="AJ1919" s="66"/>
      <c r="AK1919" s="66"/>
      <c r="AL1919" s="66"/>
      <c r="AM1919" s="66"/>
      <c r="AN1919" s="66"/>
      <c r="AO1919" s="66"/>
      <c r="AP1919" s="66"/>
      <c r="AQ1919" s="66"/>
      <c r="AR1919" s="66"/>
      <c r="AS1919" s="66"/>
      <c r="AT1919" s="66"/>
      <c r="AU1919" s="66"/>
      <c r="AV1919" s="66"/>
      <c r="AW1919" s="66"/>
      <c r="AX1919" s="66"/>
      <c r="AY1919" s="66"/>
      <c r="AZ1919" s="66"/>
      <c r="BA1919" s="66"/>
      <c r="BB1919" s="66"/>
      <c r="BC1919" s="66"/>
      <c r="BD1919" s="66"/>
      <c r="BE1919" s="67"/>
      <c r="BF1919" s="67"/>
      <c r="BG1919" s="68"/>
      <c r="BI1919" s="69">
        <v>0</v>
      </c>
      <c r="BJ1919" s="70">
        <v>0</v>
      </c>
      <c r="BK1919" s="71">
        <v>0</v>
      </c>
      <c r="BL1919" s="71">
        <v>0</v>
      </c>
      <c r="BM1919" s="71">
        <v>0</v>
      </c>
      <c r="BN1919" s="72">
        <v>0</v>
      </c>
      <c r="BO1919" s="151" t="e">
        <f t="shared" si="123"/>
        <v>#DIV/0!</v>
      </c>
      <c r="BP1919" s="151" t="e">
        <f t="shared" si="124"/>
        <v>#DIV/0!</v>
      </c>
      <c r="BQ1919" s="71">
        <v>0</v>
      </c>
      <c r="BR1919" s="71">
        <v>0</v>
      </c>
      <c r="BS1919" s="71">
        <v>0</v>
      </c>
      <c r="BT1919" s="72">
        <v>0</v>
      </c>
      <c r="BU1919" s="151" t="e">
        <f t="shared" si="126"/>
        <v>#DIV/0!</v>
      </c>
      <c r="BV1919" s="151" t="e">
        <f t="shared" si="127"/>
        <v>#DIV/0!</v>
      </c>
    </row>
    <row r="1920" ht="30" customHeight="1" spans="1:75">
      <c r="A1920" s="55" t="s">
        <v>165</v>
      </c>
      <c r="B1920" s="56" t="s">
        <v>2247</v>
      </c>
      <c r="C1920" s="57" t="s">
        <v>2261</v>
      </c>
      <c r="D1920" s="52" t="s">
        <v>3050</v>
      </c>
      <c r="E1920" s="52" t="s">
        <v>3059</v>
      </c>
      <c r="F1920" s="59" t="str">
        <f>VLOOKUP(E1920,[1]库存!$B$1:$C$65536,2,FALSE)</f>
        <v>GEELY E335 PAB A状态</v>
      </c>
      <c r="G1920" s="59" t="s">
        <v>3060</v>
      </c>
      <c r="H1920" s="59" t="s">
        <v>3061</v>
      </c>
      <c r="I1920" s="59" t="s">
        <v>3058</v>
      </c>
      <c r="J1920" s="259" t="s">
        <v>3062</v>
      </c>
      <c r="K1920" s="61"/>
      <c r="L1920" s="62">
        <v>2</v>
      </c>
      <c r="M1920" s="63">
        <v>600</v>
      </c>
      <c r="N1920" s="64">
        <v>24</v>
      </c>
      <c r="O1920" s="62">
        <v>2</v>
      </c>
      <c r="P1920" s="65">
        <f t="shared" si="125"/>
        <v>0</v>
      </c>
      <c r="Q1920" s="66"/>
      <c r="R1920" s="66"/>
      <c r="S1920" s="66"/>
      <c r="T1920" s="66"/>
      <c r="U1920" s="66"/>
      <c r="V1920" s="66"/>
      <c r="W1920" s="66"/>
      <c r="X1920" s="66"/>
      <c r="Y1920" s="66"/>
      <c r="Z1920" s="66"/>
      <c r="AA1920" s="66"/>
      <c r="AB1920" s="66"/>
      <c r="AC1920" s="66"/>
      <c r="AD1920" s="66"/>
      <c r="AE1920" s="66"/>
      <c r="AF1920" s="66"/>
      <c r="AG1920" s="66"/>
      <c r="AH1920" s="66"/>
      <c r="AI1920" s="66"/>
      <c r="AJ1920" s="66"/>
      <c r="AK1920" s="66"/>
      <c r="AL1920" s="66"/>
      <c r="AM1920" s="66"/>
      <c r="AN1920" s="66"/>
      <c r="AO1920" s="66"/>
      <c r="AP1920" s="66"/>
      <c r="AQ1920" s="66"/>
      <c r="AR1920" s="66"/>
      <c r="AS1920" s="66"/>
      <c r="AT1920" s="66"/>
      <c r="AU1920" s="66"/>
      <c r="AV1920" s="66"/>
      <c r="AW1920" s="66"/>
      <c r="AX1920" s="66"/>
      <c r="AY1920" s="66"/>
      <c r="AZ1920" s="66"/>
      <c r="BA1920" s="66"/>
      <c r="BB1920" s="66"/>
      <c r="BC1920" s="66"/>
      <c r="BD1920" s="66"/>
      <c r="BE1920" s="67"/>
      <c r="BF1920" s="67"/>
      <c r="BG1920" s="68"/>
      <c r="BI1920" s="69">
        <v>0</v>
      </c>
      <c r="BJ1920" s="70">
        <v>0</v>
      </c>
      <c r="BK1920" s="71">
        <v>0</v>
      </c>
      <c r="BL1920" s="71">
        <v>0</v>
      </c>
      <c r="BM1920" s="71">
        <v>0</v>
      </c>
      <c r="BN1920" s="72">
        <v>0</v>
      </c>
      <c r="BO1920" s="151" t="e">
        <f t="shared" si="123"/>
        <v>#DIV/0!</v>
      </c>
      <c r="BP1920" s="151" t="e">
        <f t="shared" si="124"/>
        <v>#DIV/0!</v>
      </c>
      <c r="BQ1920" s="71">
        <v>0</v>
      </c>
      <c r="BR1920" s="71">
        <v>0</v>
      </c>
      <c r="BS1920" s="71">
        <v>0</v>
      </c>
      <c r="BT1920" s="72">
        <v>0</v>
      </c>
      <c r="BU1920" s="151" t="e">
        <f t="shared" si="126"/>
        <v>#DIV/0!</v>
      </c>
      <c r="BV1920" s="151" t="e">
        <f t="shared" si="127"/>
        <v>#DIV/0!</v>
      </c>
    </row>
    <row r="1921" ht="30" customHeight="1" spans="1:75">
      <c r="A1921" s="55">
        <v>0</v>
      </c>
      <c r="B1921" s="56">
        <v>0</v>
      </c>
      <c r="C1921" s="57">
        <v>0</v>
      </c>
      <c r="D1921" s="52"/>
      <c r="E1921" s="52"/>
      <c r="F1921" s="59" t="e">
        <f>VLOOKUP(E1921,[1]库存!$B$1:$C$65536,2,FALSE)</f>
        <v>#N/A</v>
      </c>
      <c r="G1921" s="59" t="e">
        <v>#N/A</v>
      </c>
      <c r="H1921" s="152"/>
      <c r="I1921" s="152"/>
      <c r="J1921" s="260"/>
      <c r="K1921" s="61"/>
      <c r="L1921" s="62">
        <v>0</v>
      </c>
      <c r="M1921" s="63">
        <v>0</v>
      </c>
      <c r="N1921" s="64">
        <v>0</v>
      </c>
      <c r="O1921" s="62">
        <v>0</v>
      </c>
      <c r="P1921" s="65">
        <f t="shared" si="125"/>
        <v>0</v>
      </c>
      <c r="Q1921" s="66"/>
      <c r="R1921" s="66"/>
      <c r="S1921" s="66"/>
      <c r="T1921" s="66"/>
      <c r="U1921" s="66"/>
      <c r="V1921" s="66"/>
      <c r="W1921" s="66"/>
      <c r="X1921" s="66"/>
      <c r="Y1921" s="66"/>
      <c r="Z1921" s="66"/>
      <c r="AA1921" s="66"/>
      <c r="AB1921" s="66"/>
      <c r="AC1921" s="66"/>
      <c r="AD1921" s="66"/>
      <c r="AE1921" s="66"/>
      <c r="AF1921" s="66"/>
      <c r="AG1921" s="66"/>
      <c r="AH1921" s="66"/>
      <c r="AI1921" s="66"/>
      <c r="AJ1921" s="66"/>
      <c r="AK1921" s="66"/>
      <c r="AL1921" s="66"/>
      <c r="AM1921" s="66"/>
      <c r="AN1921" s="66"/>
      <c r="AO1921" s="66"/>
      <c r="AP1921" s="66"/>
      <c r="AQ1921" s="66"/>
      <c r="AR1921" s="66"/>
      <c r="AS1921" s="66"/>
      <c r="AT1921" s="66"/>
      <c r="AU1921" s="66"/>
      <c r="AV1921" s="66"/>
      <c r="AW1921" s="66"/>
      <c r="AX1921" s="66"/>
      <c r="AY1921" s="66"/>
      <c r="AZ1921" s="66"/>
      <c r="BA1921" s="66"/>
      <c r="BB1921" s="66"/>
      <c r="BC1921" s="66"/>
      <c r="BD1921" s="66"/>
      <c r="BE1921" s="67"/>
      <c r="BF1921" s="67"/>
      <c r="BG1921" s="68"/>
      <c r="BI1921" s="69">
        <v>0</v>
      </c>
      <c r="BJ1921" s="70">
        <v>0</v>
      </c>
      <c r="BK1921" s="71">
        <v>0</v>
      </c>
      <c r="BL1921" s="71">
        <v>0</v>
      </c>
      <c r="BM1921" s="71">
        <v>0</v>
      </c>
      <c r="BN1921" s="72">
        <v>0</v>
      </c>
      <c r="BO1921" s="151" t="e">
        <f t="shared" si="123"/>
        <v>#DIV/0!</v>
      </c>
      <c r="BP1921" s="151" t="e">
        <f t="shared" si="124"/>
        <v>#DIV/0!</v>
      </c>
      <c r="BQ1921" s="71">
        <v>0</v>
      </c>
      <c r="BR1921" s="71">
        <v>0</v>
      </c>
      <c r="BS1921" s="71">
        <v>0</v>
      </c>
      <c r="BT1921" s="72">
        <v>0</v>
      </c>
      <c r="BU1921" s="151" t="e">
        <f t="shared" si="126"/>
        <v>#DIV/0!</v>
      </c>
      <c r="BV1921" s="151" t="e">
        <f t="shared" si="127"/>
        <v>#DIV/0!</v>
      </c>
    </row>
    <row r="1922" ht="30" customHeight="1" spans="1:75">
      <c r="A1922" s="55">
        <v>0</v>
      </c>
      <c r="B1922" s="56">
        <v>0</v>
      </c>
      <c r="C1922" s="57">
        <v>0</v>
      </c>
      <c r="D1922" s="106"/>
      <c r="E1922" s="107"/>
      <c r="F1922" s="59" t="e">
        <f>VLOOKUP(E1922,[1]库存!$B$1:$C$65536,2,FALSE)</f>
        <v>#N/A</v>
      </c>
      <c r="G1922" s="59" t="e">
        <v>#N/A</v>
      </c>
      <c r="H1922" s="89"/>
      <c r="I1922" s="88"/>
      <c r="J1922" s="90"/>
      <c r="K1922" s="61"/>
      <c r="L1922" s="62">
        <v>0</v>
      </c>
      <c r="M1922" s="63">
        <v>0</v>
      </c>
      <c r="N1922" s="64">
        <v>0</v>
      </c>
      <c r="O1922" s="62">
        <v>0</v>
      </c>
      <c r="P1922" s="65">
        <f t="shared" si="125"/>
        <v>0</v>
      </c>
      <c r="Q1922" s="66"/>
      <c r="R1922" s="66"/>
      <c r="S1922" s="66"/>
      <c r="T1922" s="66"/>
      <c r="U1922" s="66"/>
      <c r="V1922" s="66"/>
      <c r="W1922" s="66"/>
      <c r="X1922" s="66"/>
      <c r="Y1922" s="66"/>
      <c r="Z1922" s="66"/>
      <c r="AA1922" s="66"/>
      <c r="AB1922" s="66"/>
      <c r="AC1922" s="66"/>
      <c r="AD1922" s="66"/>
      <c r="AE1922" s="66"/>
      <c r="AF1922" s="66"/>
      <c r="AG1922" s="66"/>
      <c r="AH1922" s="66"/>
      <c r="AI1922" s="66"/>
      <c r="AJ1922" s="66"/>
      <c r="AK1922" s="66"/>
      <c r="AL1922" s="66"/>
      <c r="AM1922" s="66"/>
      <c r="AN1922" s="66"/>
      <c r="AO1922" s="66"/>
      <c r="AP1922" s="66"/>
      <c r="AQ1922" s="66"/>
      <c r="AR1922" s="66"/>
      <c r="AS1922" s="66"/>
      <c r="AT1922" s="66"/>
      <c r="AU1922" s="66"/>
      <c r="AV1922" s="66"/>
      <c r="AW1922" s="66"/>
      <c r="AX1922" s="66"/>
      <c r="AY1922" s="66"/>
      <c r="AZ1922" s="66"/>
      <c r="BA1922" s="66"/>
      <c r="BB1922" s="66"/>
      <c r="BC1922" s="66"/>
      <c r="BD1922" s="66"/>
      <c r="BE1922" s="67"/>
      <c r="BF1922" s="67"/>
      <c r="BG1922" s="68"/>
      <c r="BI1922" s="69">
        <v>0</v>
      </c>
      <c r="BJ1922" s="70">
        <v>0</v>
      </c>
      <c r="BK1922" s="71">
        <v>0</v>
      </c>
      <c r="BL1922" s="71">
        <v>0</v>
      </c>
      <c r="BM1922" s="71">
        <v>0</v>
      </c>
      <c r="BN1922" s="72">
        <v>0</v>
      </c>
      <c r="BO1922" s="151" t="e">
        <f t="shared" ref="BO1922:BO1985" si="128">(BK1922+BL1922)/BJ1922</f>
        <v>#DIV/0!</v>
      </c>
      <c r="BP1922" s="151" t="e">
        <f t="shared" ref="BP1922:BP1985" si="129">BM1922/BJ1922</f>
        <v>#DIV/0!</v>
      </c>
      <c r="BQ1922" s="71">
        <v>0</v>
      </c>
      <c r="BR1922" s="71">
        <v>0</v>
      </c>
      <c r="BS1922" s="71">
        <v>0</v>
      </c>
      <c r="BT1922" s="72">
        <v>0</v>
      </c>
      <c r="BU1922" s="151" t="e">
        <f t="shared" si="126"/>
        <v>#DIV/0!</v>
      </c>
      <c r="BV1922" s="151" t="e">
        <f t="shared" si="127"/>
        <v>#DIV/0!</v>
      </c>
    </row>
    <row r="1923" ht="30" customHeight="1" spans="1:75">
      <c r="A1923" s="55" t="s">
        <v>246</v>
      </c>
      <c r="B1923" s="56" t="s">
        <v>2247</v>
      </c>
      <c r="C1923" s="57" t="s">
        <v>2248</v>
      </c>
      <c r="D1923" s="56" t="s">
        <v>3063</v>
      </c>
      <c r="E1923" s="56" t="s">
        <v>1870</v>
      </c>
      <c r="F1923" s="91" t="str">
        <f>VLOOKUP(E1923,[1]库存!$B$1:$C$65536,2,FALSE)</f>
        <v>GWM P11 DAB C状态</v>
      </c>
      <c r="G1923" s="91" t="s">
        <v>1871</v>
      </c>
      <c r="H1923" s="91" t="s">
        <v>1872</v>
      </c>
      <c r="I1923" s="56" t="s">
        <v>1873</v>
      </c>
      <c r="J1923" s="63"/>
      <c r="K1923" s="61"/>
      <c r="L1923" s="62">
        <v>2</v>
      </c>
      <c r="M1923" s="63">
        <v>960</v>
      </c>
      <c r="N1923" s="64">
        <v>10</v>
      </c>
      <c r="O1923" s="62">
        <v>2</v>
      </c>
      <c r="P1923" s="65">
        <f t="shared" si="125"/>
        <v>0</v>
      </c>
      <c r="Q1923" s="66"/>
      <c r="R1923" s="66"/>
      <c r="S1923" s="66"/>
      <c r="T1923" s="66"/>
      <c r="U1923" s="66"/>
      <c r="V1923" s="66"/>
      <c r="W1923" s="66"/>
      <c r="X1923" s="66"/>
      <c r="Y1923" s="66"/>
      <c r="Z1923" s="66"/>
      <c r="AA1923" s="66"/>
      <c r="AB1923" s="66"/>
      <c r="AC1923" s="66"/>
      <c r="AD1923" s="66"/>
      <c r="AE1923" s="66"/>
      <c r="AF1923" s="66"/>
      <c r="AG1923" s="66"/>
      <c r="AH1923" s="66"/>
      <c r="AI1923" s="66"/>
      <c r="AJ1923" s="66"/>
      <c r="AK1923" s="66"/>
      <c r="AL1923" s="66"/>
      <c r="AM1923" s="66"/>
      <c r="AN1923" s="66"/>
      <c r="AO1923" s="66"/>
      <c r="AP1923" s="66"/>
      <c r="AQ1923" s="66"/>
      <c r="AR1923" s="66"/>
      <c r="AS1923" s="66"/>
      <c r="AT1923" s="66"/>
      <c r="AU1923" s="66"/>
      <c r="AV1923" s="66"/>
      <c r="AW1923" s="66"/>
      <c r="AX1923" s="66"/>
      <c r="AY1923" s="66"/>
      <c r="AZ1923" s="66"/>
      <c r="BA1923" s="66"/>
      <c r="BB1923" s="66"/>
      <c r="BC1923" s="66"/>
      <c r="BD1923" s="66"/>
      <c r="BE1923" s="67"/>
      <c r="BF1923" s="67"/>
      <c r="BG1923" s="68"/>
      <c r="BI1923" s="69">
        <v>0</v>
      </c>
      <c r="BJ1923" s="70">
        <v>0</v>
      </c>
      <c r="BK1923" s="71">
        <v>0</v>
      </c>
      <c r="BL1923" s="71">
        <v>0</v>
      </c>
      <c r="BM1923" s="71">
        <v>0</v>
      </c>
      <c r="BN1923" s="72">
        <v>0</v>
      </c>
      <c r="BO1923" s="151" t="e">
        <f t="shared" si="128"/>
        <v>#DIV/0!</v>
      </c>
      <c r="BP1923" s="151" t="e">
        <f t="shared" si="129"/>
        <v>#DIV/0!</v>
      </c>
      <c r="BQ1923" s="71">
        <v>0</v>
      </c>
      <c r="BR1923" s="71">
        <v>0</v>
      </c>
      <c r="BS1923" s="71">
        <v>0</v>
      </c>
      <c r="BT1923" s="72">
        <v>0</v>
      </c>
      <c r="BU1923" s="151" t="e">
        <f t="shared" si="126"/>
        <v>#DIV/0!</v>
      </c>
      <c r="BV1923" s="151" t="e">
        <f t="shared" si="127"/>
        <v>#DIV/0!</v>
      </c>
    </row>
    <row r="1924" ht="30" customHeight="1" spans="1:75">
      <c r="A1924" s="55">
        <v>0</v>
      </c>
      <c r="B1924" s="56">
        <v>0</v>
      </c>
      <c r="C1924" s="57">
        <v>0</v>
      </c>
      <c r="D1924" s="56"/>
      <c r="E1924" s="56"/>
      <c r="F1924" s="91" t="e">
        <f>VLOOKUP(E1924,[1]库存!$B$1:$C$65536,2,FALSE)</f>
        <v>#N/A</v>
      </c>
      <c r="G1924" s="91" t="e">
        <v>#N/A</v>
      </c>
      <c r="H1924" s="154"/>
      <c r="I1924" s="56"/>
      <c r="J1924" s="87"/>
      <c r="K1924" s="61"/>
      <c r="L1924" s="62">
        <v>0</v>
      </c>
      <c r="M1924" s="63">
        <v>0</v>
      </c>
      <c r="N1924" s="64">
        <v>0</v>
      </c>
      <c r="O1924" s="62">
        <v>0</v>
      </c>
      <c r="P1924" s="65">
        <f t="shared" si="125"/>
        <v>0</v>
      </c>
      <c r="Q1924" s="66"/>
      <c r="R1924" s="66"/>
      <c r="S1924" s="66"/>
      <c r="T1924" s="66"/>
      <c r="U1924" s="66"/>
      <c r="V1924" s="66"/>
      <c r="W1924" s="66"/>
      <c r="X1924" s="66"/>
      <c r="Y1924" s="66"/>
      <c r="Z1924" s="66"/>
      <c r="AA1924" s="66"/>
      <c r="AB1924" s="66"/>
      <c r="AC1924" s="66"/>
      <c r="AD1924" s="66"/>
      <c r="AE1924" s="66"/>
      <c r="AF1924" s="66"/>
      <c r="AG1924" s="66"/>
      <c r="AH1924" s="66"/>
      <c r="AI1924" s="66"/>
      <c r="AJ1924" s="66"/>
      <c r="AK1924" s="66"/>
      <c r="AL1924" s="66"/>
      <c r="AM1924" s="66"/>
      <c r="AN1924" s="66"/>
      <c r="AO1924" s="66"/>
      <c r="AP1924" s="66"/>
      <c r="AQ1924" s="66"/>
      <c r="AR1924" s="66"/>
      <c r="AS1924" s="66"/>
      <c r="AT1924" s="66"/>
      <c r="AU1924" s="66"/>
      <c r="AV1924" s="66"/>
      <c r="AW1924" s="66"/>
      <c r="AX1924" s="66"/>
      <c r="AY1924" s="66"/>
      <c r="AZ1924" s="66"/>
      <c r="BA1924" s="66"/>
      <c r="BB1924" s="66"/>
      <c r="BC1924" s="66"/>
      <c r="BD1924" s="66"/>
      <c r="BE1924" s="67"/>
      <c r="BF1924" s="67"/>
      <c r="BG1924" s="68"/>
      <c r="BI1924" s="69">
        <v>0</v>
      </c>
      <c r="BJ1924" s="70">
        <v>0</v>
      </c>
      <c r="BK1924" s="71">
        <v>0</v>
      </c>
      <c r="BL1924" s="71">
        <v>0</v>
      </c>
      <c r="BM1924" s="71">
        <v>0</v>
      </c>
      <c r="BN1924" s="72">
        <v>0</v>
      </c>
      <c r="BO1924" s="151" t="e">
        <f t="shared" si="128"/>
        <v>#DIV/0!</v>
      </c>
      <c r="BP1924" s="151" t="e">
        <f t="shared" si="129"/>
        <v>#DIV/0!</v>
      </c>
      <c r="BQ1924" s="71">
        <v>0</v>
      </c>
      <c r="BR1924" s="71">
        <v>0</v>
      </c>
      <c r="BS1924" s="71">
        <v>0</v>
      </c>
      <c r="BT1924" s="72">
        <v>0</v>
      </c>
      <c r="BU1924" s="151" t="e">
        <f t="shared" si="126"/>
        <v>#DIV/0!</v>
      </c>
      <c r="BV1924" s="151" t="e">
        <f t="shared" si="127"/>
        <v>#DIV/0!</v>
      </c>
    </row>
    <row r="1925" ht="30" customHeight="1" spans="1:75">
      <c r="A1925" s="55" t="s">
        <v>165</v>
      </c>
      <c r="B1925" s="56" t="s">
        <v>2247</v>
      </c>
      <c r="C1925" s="57" t="s">
        <v>2248</v>
      </c>
      <c r="D1925" s="56" t="s">
        <v>3063</v>
      </c>
      <c r="E1925" s="56" t="s">
        <v>3064</v>
      </c>
      <c r="F1925" s="91" t="str">
        <f>VLOOKUP(E1925,[1]库存!$B$1:$C$65536,2,FALSE)</f>
        <v>GEELY CX1E DAB</v>
      </c>
      <c r="G1925" s="91" t="s">
        <v>3065</v>
      </c>
      <c r="H1925" s="91" t="s">
        <v>3066</v>
      </c>
      <c r="I1925" s="56" t="s">
        <v>3067</v>
      </c>
      <c r="J1925" s="63"/>
      <c r="K1925" s="61"/>
      <c r="L1925" s="62">
        <v>2</v>
      </c>
      <c r="M1925" s="63">
        <v>1100</v>
      </c>
      <c r="N1925" s="64">
        <v>10</v>
      </c>
      <c r="O1925" s="62">
        <v>2</v>
      </c>
      <c r="P1925" s="65">
        <f t="shared" si="125"/>
        <v>0</v>
      </c>
      <c r="Q1925" s="66"/>
      <c r="R1925" s="66"/>
      <c r="S1925" s="66"/>
      <c r="T1925" s="66"/>
      <c r="U1925" s="66">
        <v>1300</v>
      </c>
      <c r="V1925" s="66"/>
      <c r="W1925" s="66">
        <v>1300</v>
      </c>
      <c r="X1925" s="66"/>
      <c r="Y1925" s="66">
        <v>1300</v>
      </c>
      <c r="Z1925" s="66"/>
      <c r="AA1925" s="66">
        <v>1300</v>
      </c>
      <c r="AB1925" s="66"/>
      <c r="AC1925" s="66">
        <v>1400</v>
      </c>
      <c r="AD1925" s="66"/>
      <c r="AE1925" s="66"/>
      <c r="AF1925" s="66"/>
      <c r="AG1925" s="66"/>
      <c r="AH1925" s="66"/>
      <c r="AI1925" s="66"/>
      <c r="AJ1925" s="66"/>
      <c r="AK1925" s="66"/>
      <c r="AL1925" s="66"/>
      <c r="AM1925" s="66"/>
      <c r="AN1925" s="66"/>
      <c r="AO1925" s="66"/>
      <c r="AP1925" s="66"/>
      <c r="AQ1925" s="66"/>
      <c r="AR1925" s="66"/>
      <c r="AS1925" s="66"/>
      <c r="AT1925" s="66"/>
      <c r="AU1925" s="66"/>
      <c r="AV1925" s="66"/>
      <c r="AW1925" s="66"/>
      <c r="AX1925" s="66"/>
      <c r="AY1925" s="66"/>
      <c r="AZ1925" s="66"/>
      <c r="BA1925" s="66"/>
      <c r="BB1925" s="66"/>
      <c r="BC1925" s="66"/>
      <c r="BD1925" s="66"/>
      <c r="BE1925" s="67"/>
      <c r="BF1925" s="67"/>
      <c r="BG1925" s="68"/>
      <c r="BI1925" s="69">
        <v>0</v>
      </c>
      <c r="BJ1925" s="70">
        <v>0</v>
      </c>
      <c r="BK1925" s="71">
        <v>0</v>
      </c>
      <c r="BL1925" s="71">
        <v>0</v>
      </c>
      <c r="BM1925" s="71">
        <v>0</v>
      </c>
      <c r="BN1925" s="72">
        <v>0</v>
      </c>
      <c r="BO1925" s="151" t="e">
        <f t="shared" si="128"/>
        <v>#DIV/0!</v>
      </c>
      <c r="BP1925" s="151" t="e">
        <f t="shared" si="129"/>
        <v>#DIV/0!</v>
      </c>
      <c r="BQ1925" s="71">
        <v>0</v>
      </c>
      <c r="BR1925" s="71">
        <v>0</v>
      </c>
      <c r="BS1925" s="71">
        <v>0</v>
      </c>
      <c r="BT1925" s="72">
        <v>0</v>
      </c>
      <c r="BU1925" s="151" t="e">
        <f t="shared" si="126"/>
        <v>#DIV/0!</v>
      </c>
      <c r="BV1925" s="151" t="e">
        <f t="shared" si="127"/>
        <v>#DIV/0!</v>
      </c>
    </row>
    <row r="1926" ht="30" customHeight="1" spans="1:75">
      <c r="A1926" s="55">
        <v>0</v>
      </c>
      <c r="B1926" s="56">
        <v>0</v>
      </c>
      <c r="C1926" s="57">
        <v>0</v>
      </c>
      <c r="D1926" s="56"/>
      <c r="E1926" s="56"/>
      <c r="F1926" s="91" t="e">
        <f>VLOOKUP(E1926,[1]库存!$B$1:$C$65536,2,FALSE)</f>
        <v>#N/A</v>
      </c>
      <c r="G1926" s="91" t="e">
        <v>#N/A</v>
      </c>
      <c r="H1926" s="154"/>
      <c r="I1926" s="56"/>
      <c r="J1926" s="87"/>
      <c r="K1926" s="61"/>
      <c r="L1926" s="62">
        <v>0</v>
      </c>
      <c r="M1926" s="63">
        <v>0</v>
      </c>
      <c r="N1926" s="64">
        <v>0</v>
      </c>
      <c r="O1926" s="62">
        <v>0</v>
      </c>
      <c r="P1926" s="65">
        <f t="shared" ref="P1926:P1989" si="130">SUM(AG1926:AJ1926)</f>
        <v>0</v>
      </c>
      <c r="Q1926" s="66"/>
      <c r="R1926" s="66"/>
      <c r="S1926" s="66"/>
      <c r="T1926" s="66"/>
      <c r="U1926" s="66">
        <v>1384</v>
      </c>
      <c r="V1926" s="66"/>
      <c r="W1926" s="66">
        <v>1415</v>
      </c>
      <c r="X1926" s="66"/>
      <c r="Y1926" s="66">
        <v>1421</v>
      </c>
      <c r="Z1926" s="66"/>
      <c r="AA1926" s="66">
        <v>1283</v>
      </c>
      <c r="AB1926" s="66"/>
      <c r="AC1926" s="66">
        <v>1362</v>
      </c>
      <c r="AD1926" s="66"/>
      <c r="AE1926" s="66"/>
      <c r="AF1926" s="66"/>
      <c r="AG1926" s="66"/>
      <c r="AH1926" s="66"/>
      <c r="AI1926" s="66"/>
      <c r="AJ1926" s="66"/>
      <c r="AK1926" s="66"/>
      <c r="AL1926" s="66"/>
      <c r="AM1926" s="66"/>
      <c r="AN1926" s="66"/>
      <c r="AO1926" s="66"/>
      <c r="AP1926" s="66"/>
      <c r="AQ1926" s="66"/>
      <c r="AR1926" s="66"/>
      <c r="AS1926" s="66"/>
      <c r="AT1926" s="66"/>
      <c r="AU1926" s="66"/>
      <c r="AV1926" s="66"/>
      <c r="AW1926" s="66"/>
      <c r="AX1926" s="66"/>
      <c r="AY1926" s="66"/>
      <c r="AZ1926" s="66"/>
      <c r="BA1926" s="66"/>
      <c r="BB1926" s="66"/>
      <c r="BC1926" s="66"/>
      <c r="BD1926" s="66"/>
      <c r="BE1926" s="67"/>
      <c r="BF1926" s="67"/>
      <c r="BG1926" s="68"/>
      <c r="BI1926" s="69">
        <v>0</v>
      </c>
      <c r="BJ1926" s="70">
        <v>0</v>
      </c>
      <c r="BK1926" s="71">
        <v>0</v>
      </c>
      <c r="BL1926" s="71">
        <v>0</v>
      </c>
      <c r="BM1926" s="71">
        <v>0</v>
      </c>
      <c r="BN1926" s="72">
        <v>0</v>
      </c>
      <c r="BO1926" s="151" t="e">
        <f t="shared" si="128"/>
        <v>#DIV/0!</v>
      </c>
      <c r="BP1926" s="151" t="e">
        <f t="shared" si="129"/>
        <v>#DIV/0!</v>
      </c>
      <c r="BQ1926" s="71">
        <v>0</v>
      </c>
      <c r="BR1926" s="71">
        <v>0</v>
      </c>
      <c r="BS1926" s="71">
        <v>0</v>
      </c>
      <c r="BT1926" s="72">
        <v>0</v>
      </c>
      <c r="BU1926" s="151" t="e">
        <f t="shared" si="126"/>
        <v>#DIV/0!</v>
      </c>
      <c r="BV1926" s="151" t="e">
        <f t="shared" si="127"/>
        <v>#DIV/0!</v>
      </c>
    </row>
    <row r="1927" ht="30" customHeight="1" spans="1:75">
      <c r="A1927" s="55" t="s">
        <v>165</v>
      </c>
      <c r="B1927" s="56" t="s">
        <v>2247</v>
      </c>
      <c r="C1927" s="57" t="s">
        <v>2248</v>
      </c>
      <c r="D1927" s="52" t="s">
        <v>3063</v>
      </c>
      <c r="E1927" s="52" t="s">
        <v>3068</v>
      </c>
      <c r="F1927" s="59" t="str">
        <f>VLOOKUP(E1927,[1]库存!$B$1:$C$65536,2,FALSE)</f>
        <v>VOLVO P417 CN DAB</v>
      </c>
      <c r="G1927" s="59" t="s">
        <v>3069</v>
      </c>
      <c r="H1927" s="59" t="s">
        <v>3070</v>
      </c>
      <c r="I1927" s="59" t="s">
        <v>210</v>
      </c>
      <c r="J1927" s="97" t="s">
        <v>65</v>
      </c>
      <c r="K1927" s="61"/>
      <c r="L1927" s="62">
        <v>2</v>
      </c>
      <c r="M1927" s="63">
        <v>750</v>
      </c>
      <c r="N1927" s="64">
        <v>10</v>
      </c>
      <c r="O1927" s="62">
        <v>2</v>
      </c>
      <c r="P1927" s="65">
        <f t="shared" si="130"/>
        <v>0</v>
      </c>
      <c r="Q1927" s="66">
        <v>1200</v>
      </c>
      <c r="R1927" s="66"/>
      <c r="S1927" s="66">
        <v>1200</v>
      </c>
      <c r="T1927" s="66"/>
      <c r="U1927" s="66"/>
      <c r="V1927" s="66"/>
      <c r="W1927" s="66"/>
      <c r="X1927" s="66"/>
      <c r="Y1927" s="66"/>
      <c r="Z1927" s="66"/>
      <c r="AA1927" s="66"/>
      <c r="AB1927" s="66"/>
      <c r="AC1927" s="66"/>
      <c r="AD1927" s="66"/>
      <c r="AE1927" s="66"/>
      <c r="AF1927" s="66"/>
      <c r="AG1927" s="66"/>
      <c r="AH1927" s="66"/>
      <c r="AI1927" s="66"/>
      <c r="AJ1927" s="66"/>
      <c r="AK1927" s="66"/>
      <c r="AL1927" s="66"/>
      <c r="AM1927" s="66"/>
      <c r="AN1927" s="66"/>
      <c r="AO1927" s="66"/>
      <c r="AP1927" s="66"/>
      <c r="AQ1927" s="66"/>
      <c r="AR1927" s="66"/>
      <c r="AS1927" s="66"/>
      <c r="AT1927" s="66"/>
      <c r="AU1927" s="66"/>
      <c r="AV1927" s="66"/>
      <c r="AW1927" s="66"/>
      <c r="AX1927" s="66"/>
      <c r="AY1927" s="66"/>
      <c r="AZ1927" s="66"/>
      <c r="BA1927" s="66"/>
      <c r="BB1927" s="66"/>
      <c r="BC1927" s="66"/>
      <c r="BD1927" s="66"/>
      <c r="BE1927" s="67"/>
      <c r="BF1927" s="67"/>
      <c r="BG1927" s="68"/>
      <c r="BI1927" s="69">
        <v>0</v>
      </c>
      <c r="BJ1927" s="70">
        <v>0</v>
      </c>
      <c r="BK1927" s="71">
        <v>0</v>
      </c>
      <c r="BL1927" s="71">
        <v>0</v>
      </c>
      <c r="BM1927" s="71">
        <v>0</v>
      </c>
      <c r="BN1927" s="72">
        <v>0</v>
      </c>
      <c r="BO1927" s="151" t="e">
        <f t="shared" si="128"/>
        <v>#DIV/0!</v>
      </c>
      <c r="BP1927" s="151" t="e">
        <f t="shared" si="129"/>
        <v>#DIV/0!</v>
      </c>
      <c r="BQ1927" s="71">
        <v>0</v>
      </c>
      <c r="BR1927" s="71">
        <v>0</v>
      </c>
      <c r="BS1927" s="71">
        <v>0</v>
      </c>
      <c r="BT1927" s="72">
        <v>0</v>
      </c>
      <c r="BU1927" s="151" t="e">
        <f t="shared" si="126"/>
        <v>#DIV/0!</v>
      </c>
      <c r="BV1927" s="151" t="e">
        <f t="shared" si="127"/>
        <v>#DIV/0!</v>
      </c>
    </row>
    <row r="1928" ht="30" customHeight="1" spans="1:75">
      <c r="A1928" s="55">
        <v>0</v>
      </c>
      <c r="B1928" s="56">
        <v>0</v>
      </c>
      <c r="C1928" s="57">
        <v>0</v>
      </c>
      <c r="D1928" s="52"/>
      <c r="E1928" s="52"/>
      <c r="F1928" s="59" t="e">
        <f>VLOOKUP(E1928,[1]库存!$B$1:$C$65536,2,FALSE)</f>
        <v>#N/A</v>
      </c>
      <c r="G1928" s="59" t="e">
        <v>#N/A</v>
      </c>
      <c r="H1928" s="152"/>
      <c r="I1928" s="152"/>
      <c r="J1928" s="98"/>
      <c r="K1928" s="61"/>
      <c r="L1928" s="62">
        <v>0</v>
      </c>
      <c r="M1928" s="63">
        <v>0</v>
      </c>
      <c r="N1928" s="64">
        <v>0</v>
      </c>
      <c r="O1928" s="62">
        <v>0</v>
      </c>
      <c r="P1928" s="65">
        <f t="shared" si="130"/>
        <v>0</v>
      </c>
      <c r="Q1928" s="66">
        <v>1221</v>
      </c>
      <c r="R1928" s="66"/>
      <c r="S1928" s="66">
        <v>1269</v>
      </c>
      <c r="T1928" s="66"/>
      <c r="U1928" s="66"/>
      <c r="V1928" s="66"/>
      <c r="W1928" s="66"/>
      <c r="X1928" s="66"/>
      <c r="Y1928" s="66"/>
      <c r="Z1928" s="66"/>
      <c r="AA1928" s="66"/>
      <c r="AB1928" s="66"/>
      <c r="AC1928" s="66"/>
      <c r="AD1928" s="66"/>
      <c r="AE1928" s="66"/>
      <c r="AF1928" s="66"/>
      <c r="AG1928" s="66"/>
      <c r="AH1928" s="66"/>
      <c r="AI1928" s="66"/>
      <c r="AJ1928" s="66"/>
      <c r="AK1928" s="66"/>
      <c r="AL1928" s="66"/>
      <c r="AM1928" s="66"/>
      <c r="AN1928" s="66"/>
      <c r="AO1928" s="66"/>
      <c r="AP1928" s="66"/>
      <c r="AQ1928" s="66"/>
      <c r="AR1928" s="66"/>
      <c r="AS1928" s="66"/>
      <c r="AT1928" s="66"/>
      <c r="AU1928" s="66"/>
      <c r="AV1928" s="66"/>
      <c r="AW1928" s="66"/>
      <c r="AX1928" s="66"/>
      <c r="AY1928" s="66"/>
      <c r="AZ1928" s="66"/>
      <c r="BA1928" s="66"/>
      <c r="BB1928" s="66"/>
      <c r="BC1928" s="66"/>
      <c r="BD1928" s="66"/>
      <c r="BE1928" s="67"/>
      <c r="BF1928" s="67"/>
      <c r="BG1928" s="68"/>
      <c r="BI1928" s="69">
        <v>0</v>
      </c>
      <c r="BJ1928" s="70">
        <v>0</v>
      </c>
      <c r="BK1928" s="71">
        <v>0</v>
      </c>
      <c r="BL1928" s="71">
        <v>0</v>
      </c>
      <c r="BM1928" s="71">
        <v>0</v>
      </c>
      <c r="BN1928" s="72">
        <v>0</v>
      </c>
      <c r="BO1928" s="151" t="e">
        <f t="shared" si="128"/>
        <v>#DIV/0!</v>
      </c>
      <c r="BP1928" s="151" t="e">
        <f t="shared" si="129"/>
        <v>#DIV/0!</v>
      </c>
      <c r="BQ1928" s="71">
        <v>0</v>
      </c>
      <c r="BR1928" s="71">
        <v>0</v>
      </c>
      <c r="BS1928" s="71">
        <v>0</v>
      </c>
      <c r="BT1928" s="72">
        <v>0</v>
      </c>
      <c r="BU1928" s="151" t="e">
        <f t="shared" si="126"/>
        <v>#DIV/0!</v>
      </c>
      <c r="BV1928" s="151" t="e">
        <f t="shared" si="127"/>
        <v>#DIV/0!</v>
      </c>
    </row>
    <row r="1929" ht="30" customHeight="1" spans="1:75">
      <c r="A1929" s="55" t="s">
        <v>165</v>
      </c>
      <c r="B1929" s="56" t="s">
        <v>2247</v>
      </c>
      <c r="C1929" s="57" t="s">
        <v>2248</v>
      </c>
      <c r="D1929" s="52" t="s">
        <v>3063</v>
      </c>
      <c r="E1929" s="52" t="s">
        <v>3071</v>
      </c>
      <c r="F1929" s="59" t="str">
        <f>VLOOKUP(E1929,[1]库存!$B$1:$C$65536,2,FALSE)</f>
        <v>GEELY EF1E-M-R DAB</v>
      </c>
      <c r="G1929" s="59" t="s">
        <v>3072</v>
      </c>
      <c r="H1929" s="59" t="s">
        <v>3073</v>
      </c>
      <c r="I1929" s="52" t="s">
        <v>2305</v>
      </c>
      <c r="J1929" s="97" t="s">
        <v>65</v>
      </c>
      <c r="K1929" s="61"/>
      <c r="L1929" s="62">
        <v>2</v>
      </c>
      <c r="M1929" s="63">
        <v>700</v>
      </c>
      <c r="N1929" s="64">
        <v>10.5</v>
      </c>
      <c r="O1929" s="62">
        <v>2</v>
      </c>
      <c r="P1929" s="65">
        <f t="shared" si="130"/>
        <v>0</v>
      </c>
      <c r="Q1929" s="66"/>
      <c r="R1929" s="66"/>
      <c r="S1929" s="66"/>
      <c r="T1929" s="66"/>
      <c r="U1929" s="66"/>
      <c r="V1929" s="66"/>
      <c r="W1929" s="66"/>
      <c r="X1929" s="66"/>
      <c r="Y1929" s="66"/>
      <c r="Z1929" s="66"/>
      <c r="AA1929" s="66"/>
      <c r="AB1929" s="66"/>
      <c r="AC1929" s="66"/>
      <c r="AD1929" s="66"/>
      <c r="AE1929" s="66"/>
      <c r="AF1929" s="66"/>
      <c r="AG1929" s="66"/>
      <c r="AH1929" s="66"/>
      <c r="AI1929" s="66"/>
      <c r="AJ1929" s="66"/>
      <c r="AK1929" s="66"/>
      <c r="AL1929" s="66"/>
      <c r="AM1929" s="66"/>
      <c r="AN1929" s="66"/>
      <c r="AO1929" s="66"/>
      <c r="AP1929" s="66"/>
      <c r="AQ1929" s="66"/>
      <c r="AR1929" s="66"/>
      <c r="AS1929" s="66"/>
      <c r="AT1929" s="66"/>
      <c r="AU1929" s="66"/>
      <c r="AV1929" s="66"/>
      <c r="AW1929" s="66"/>
      <c r="AX1929" s="66"/>
      <c r="AY1929" s="66"/>
      <c r="AZ1929" s="66"/>
      <c r="BA1929" s="66"/>
      <c r="BB1929" s="66"/>
      <c r="BC1929" s="66"/>
      <c r="BD1929" s="66"/>
      <c r="BE1929" s="67"/>
      <c r="BF1929" s="67"/>
      <c r="BG1929" s="68"/>
      <c r="BI1929" s="69">
        <v>0</v>
      </c>
      <c r="BJ1929" s="70">
        <v>0</v>
      </c>
      <c r="BK1929" s="71">
        <v>0</v>
      </c>
      <c r="BL1929" s="71">
        <v>0</v>
      </c>
      <c r="BM1929" s="71">
        <v>0</v>
      </c>
      <c r="BN1929" s="72">
        <v>0</v>
      </c>
      <c r="BO1929" s="151" t="e">
        <f t="shared" si="128"/>
        <v>#DIV/0!</v>
      </c>
      <c r="BP1929" s="151" t="e">
        <f t="shared" si="129"/>
        <v>#DIV/0!</v>
      </c>
      <c r="BQ1929" s="71">
        <v>0</v>
      </c>
      <c r="BR1929" s="71">
        <v>0</v>
      </c>
      <c r="BS1929" s="71">
        <v>0</v>
      </c>
      <c r="BT1929" s="72">
        <v>0</v>
      </c>
      <c r="BU1929" s="151" t="e">
        <f t="shared" si="126"/>
        <v>#DIV/0!</v>
      </c>
      <c r="BV1929" s="151" t="e">
        <f t="shared" si="127"/>
        <v>#DIV/0!</v>
      </c>
    </row>
    <row r="1930" ht="30" customHeight="1" spans="1:75">
      <c r="A1930" s="55">
        <v>0</v>
      </c>
      <c r="B1930" s="56">
        <v>0</v>
      </c>
      <c r="C1930" s="57">
        <v>0</v>
      </c>
      <c r="D1930" s="52"/>
      <c r="E1930" s="52"/>
      <c r="F1930" s="59" t="e">
        <f>VLOOKUP(E1930,[1]库存!$B$1:$C$65536,2,FALSE)</f>
        <v>#N/A</v>
      </c>
      <c r="G1930" s="59" t="e">
        <v>#N/A</v>
      </c>
      <c r="H1930" s="152"/>
      <c r="I1930" s="52"/>
      <c r="J1930" s="98"/>
      <c r="K1930" s="61"/>
      <c r="L1930" s="62">
        <v>0</v>
      </c>
      <c r="M1930" s="63">
        <v>0</v>
      </c>
      <c r="N1930" s="64">
        <v>0</v>
      </c>
      <c r="O1930" s="62">
        <v>0</v>
      </c>
      <c r="P1930" s="65">
        <f t="shared" si="130"/>
        <v>0</v>
      </c>
      <c r="Q1930" s="66"/>
      <c r="R1930" s="66"/>
      <c r="S1930" s="66"/>
      <c r="T1930" s="66"/>
      <c r="U1930" s="66"/>
      <c r="V1930" s="66"/>
      <c r="W1930" s="66"/>
      <c r="X1930" s="66"/>
      <c r="Y1930" s="66"/>
      <c r="Z1930" s="66"/>
      <c r="AA1930" s="66"/>
      <c r="AB1930" s="66"/>
      <c r="AC1930" s="66"/>
      <c r="AD1930" s="66"/>
      <c r="AE1930" s="66"/>
      <c r="AF1930" s="66"/>
      <c r="AG1930" s="66"/>
      <c r="AH1930" s="66"/>
      <c r="AI1930" s="66"/>
      <c r="AJ1930" s="66"/>
      <c r="AK1930" s="66"/>
      <c r="AL1930" s="66"/>
      <c r="AM1930" s="66"/>
      <c r="AN1930" s="66"/>
      <c r="AO1930" s="66"/>
      <c r="AP1930" s="66"/>
      <c r="AQ1930" s="66"/>
      <c r="AR1930" s="66"/>
      <c r="AS1930" s="66"/>
      <c r="AT1930" s="66"/>
      <c r="AU1930" s="66"/>
      <c r="AV1930" s="66"/>
      <c r="AW1930" s="66"/>
      <c r="AX1930" s="66"/>
      <c r="AY1930" s="66"/>
      <c r="AZ1930" s="66"/>
      <c r="BA1930" s="66"/>
      <c r="BB1930" s="66"/>
      <c r="BC1930" s="66"/>
      <c r="BD1930" s="66"/>
      <c r="BE1930" s="67"/>
      <c r="BF1930" s="67"/>
      <c r="BG1930" s="68"/>
      <c r="BI1930" s="69">
        <v>0</v>
      </c>
      <c r="BJ1930" s="70">
        <v>0</v>
      </c>
      <c r="BK1930" s="71">
        <v>0</v>
      </c>
      <c r="BL1930" s="71">
        <v>0</v>
      </c>
      <c r="BM1930" s="71">
        <v>0</v>
      </c>
      <c r="BN1930" s="72">
        <v>0</v>
      </c>
      <c r="BO1930" s="151" t="e">
        <f t="shared" si="128"/>
        <v>#DIV/0!</v>
      </c>
      <c r="BP1930" s="151" t="e">
        <f t="shared" si="129"/>
        <v>#DIV/0!</v>
      </c>
      <c r="BQ1930" s="71">
        <v>0</v>
      </c>
      <c r="BR1930" s="71">
        <v>0</v>
      </c>
      <c r="BS1930" s="71">
        <v>0</v>
      </c>
      <c r="BT1930" s="72">
        <v>0</v>
      </c>
      <c r="BU1930" s="151" t="e">
        <f t="shared" si="126"/>
        <v>#DIV/0!</v>
      </c>
      <c r="BV1930" s="151" t="e">
        <f t="shared" si="127"/>
        <v>#DIV/0!</v>
      </c>
    </row>
    <row r="1931" ht="30" customHeight="1" spans="1:75">
      <c r="A1931" s="55" t="s">
        <v>165</v>
      </c>
      <c r="B1931" s="56" t="s">
        <v>2247</v>
      </c>
      <c r="C1931" s="57" t="s">
        <v>2248</v>
      </c>
      <c r="D1931" s="52" t="s">
        <v>3063</v>
      </c>
      <c r="E1931" s="52" t="s">
        <v>3074</v>
      </c>
      <c r="F1931" s="59" t="str">
        <f>VLOOKUP(E1931,[1]库存!$B$1:$C$65536,2,FALSE)</f>
        <v>GEELY DC1E A2 DAB</v>
      </c>
      <c r="G1931" s="59" t="s">
        <v>3075</v>
      </c>
      <c r="H1931" s="59" t="s">
        <v>3076</v>
      </c>
      <c r="I1931" s="59" t="s">
        <v>210</v>
      </c>
      <c r="J1931" s="97" t="s">
        <v>65</v>
      </c>
      <c r="K1931" s="61"/>
      <c r="L1931" s="62">
        <v>2</v>
      </c>
      <c r="M1931" s="63">
        <v>900</v>
      </c>
      <c r="N1931" s="64">
        <v>10.5</v>
      </c>
      <c r="O1931" s="62">
        <v>2</v>
      </c>
      <c r="P1931" s="65">
        <f t="shared" si="130"/>
        <v>0</v>
      </c>
      <c r="Q1931" s="66"/>
      <c r="R1931" s="66"/>
      <c r="S1931" s="66"/>
      <c r="T1931" s="66"/>
      <c r="U1931" s="66"/>
      <c r="V1931" s="66"/>
      <c r="W1931" s="66"/>
      <c r="X1931" s="66"/>
      <c r="Y1931" s="66"/>
      <c r="Z1931" s="66"/>
      <c r="AA1931" s="66"/>
      <c r="AB1931" s="66"/>
      <c r="AC1931" s="66"/>
      <c r="AD1931" s="66"/>
      <c r="AE1931" s="66"/>
      <c r="AF1931" s="66"/>
      <c r="AG1931" s="66"/>
      <c r="AH1931" s="66"/>
      <c r="AI1931" s="66"/>
      <c r="AJ1931" s="66"/>
      <c r="AK1931" s="66"/>
      <c r="AL1931" s="66"/>
      <c r="AM1931" s="66"/>
      <c r="AN1931" s="66"/>
      <c r="AO1931" s="66"/>
      <c r="AP1931" s="66"/>
      <c r="AQ1931" s="66"/>
      <c r="AR1931" s="66"/>
      <c r="AS1931" s="66"/>
      <c r="AT1931" s="66"/>
      <c r="AU1931" s="66"/>
      <c r="AV1931" s="66"/>
      <c r="AW1931" s="66"/>
      <c r="AX1931" s="66"/>
      <c r="AY1931" s="66"/>
      <c r="AZ1931" s="66"/>
      <c r="BA1931" s="66"/>
      <c r="BB1931" s="66"/>
      <c r="BC1931" s="66"/>
      <c r="BD1931" s="66"/>
      <c r="BE1931" s="67"/>
      <c r="BF1931" s="67"/>
      <c r="BG1931" s="68"/>
      <c r="BI1931" s="69">
        <v>0</v>
      </c>
      <c r="BJ1931" s="70">
        <v>0</v>
      </c>
      <c r="BK1931" s="71">
        <v>0</v>
      </c>
      <c r="BL1931" s="71">
        <v>0</v>
      </c>
      <c r="BM1931" s="71">
        <v>0</v>
      </c>
      <c r="BN1931" s="72">
        <v>0</v>
      </c>
      <c r="BO1931" s="151" t="e">
        <f t="shared" si="128"/>
        <v>#DIV/0!</v>
      </c>
      <c r="BP1931" s="151" t="e">
        <f t="shared" si="129"/>
        <v>#DIV/0!</v>
      </c>
      <c r="BQ1931" s="71">
        <v>0</v>
      </c>
      <c r="BR1931" s="71">
        <v>0</v>
      </c>
      <c r="BS1931" s="71">
        <v>0</v>
      </c>
      <c r="BT1931" s="72">
        <v>0</v>
      </c>
      <c r="BU1931" s="151" t="e">
        <f t="shared" si="126"/>
        <v>#DIV/0!</v>
      </c>
      <c r="BV1931" s="151" t="e">
        <f t="shared" si="127"/>
        <v>#DIV/0!</v>
      </c>
      <c r="BW1931" s="14" t="s">
        <v>3044</v>
      </c>
    </row>
    <row r="1932" ht="30" customHeight="1" spans="1:75">
      <c r="A1932" s="55">
        <v>0</v>
      </c>
      <c r="B1932" s="56">
        <v>0</v>
      </c>
      <c r="C1932" s="57">
        <v>0</v>
      </c>
      <c r="D1932" s="52"/>
      <c r="E1932" s="52"/>
      <c r="F1932" s="59" t="e">
        <f>VLOOKUP(E1932,[1]库存!$B$1:$C$65536,2,FALSE)</f>
        <v>#N/A</v>
      </c>
      <c r="G1932" s="59" t="e">
        <v>#N/A</v>
      </c>
      <c r="H1932" s="152"/>
      <c r="I1932" s="152"/>
      <c r="J1932" s="98"/>
      <c r="K1932" s="61"/>
      <c r="L1932" s="62">
        <v>0</v>
      </c>
      <c r="M1932" s="63">
        <v>0</v>
      </c>
      <c r="N1932" s="64">
        <v>0</v>
      </c>
      <c r="O1932" s="62">
        <v>0</v>
      </c>
      <c r="P1932" s="65">
        <f t="shared" si="130"/>
        <v>0</v>
      </c>
      <c r="Q1932" s="66"/>
      <c r="R1932" s="66"/>
      <c r="S1932" s="66"/>
      <c r="T1932" s="66"/>
      <c r="U1932" s="66"/>
      <c r="V1932" s="66"/>
      <c r="W1932" s="66"/>
      <c r="X1932" s="66"/>
      <c r="Y1932" s="66"/>
      <c r="Z1932" s="66"/>
      <c r="AA1932" s="66"/>
      <c r="AB1932" s="66"/>
      <c r="AC1932" s="66"/>
      <c r="AD1932" s="66"/>
      <c r="AE1932" s="66"/>
      <c r="AF1932" s="66"/>
      <c r="AG1932" s="66"/>
      <c r="AH1932" s="66"/>
      <c r="AI1932" s="66"/>
      <c r="AJ1932" s="66"/>
      <c r="AK1932" s="66"/>
      <c r="AL1932" s="66"/>
      <c r="AM1932" s="66"/>
      <c r="AN1932" s="66"/>
      <c r="AO1932" s="66"/>
      <c r="AP1932" s="66"/>
      <c r="AQ1932" s="66"/>
      <c r="AR1932" s="66"/>
      <c r="AS1932" s="66"/>
      <c r="AT1932" s="66"/>
      <c r="AU1932" s="66"/>
      <c r="AV1932" s="66"/>
      <c r="AW1932" s="66"/>
      <c r="AX1932" s="66"/>
      <c r="AY1932" s="66"/>
      <c r="AZ1932" s="66"/>
      <c r="BA1932" s="66"/>
      <c r="BB1932" s="66"/>
      <c r="BC1932" s="66"/>
      <c r="BD1932" s="66"/>
      <c r="BE1932" s="67"/>
      <c r="BF1932" s="67"/>
      <c r="BG1932" s="68"/>
      <c r="BI1932" s="69">
        <v>0</v>
      </c>
      <c r="BJ1932" s="70">
        <v>0</v>
      </c>
      <c r="BK1932" s="71">
        <v>0</v>
      </c>
      <c r="BL1932" s="71">
        <v>0</v>
      </c>
      <c r="BM1932" s="71">
        <v>0</v>
      </c>
      <c r="BN1932" s="72">
        <v>0</v>
      </c>
      <c r="BO1932" s="151" t="e">
        <f t="shared" si="128"/>
        <v>#DIV/0!</v>
      </c>
      <c r="BP1932" s="151" t="e">
        <f t="shared" si="129"/>
        <v>#DIV/0!</v>
      </c>
      <c r="BQ1932" s="71">
        <v>0</v>
      </c>
      <c r="BR1932" s="71">
        <v>0</v>
      </c>
      <c r="BS1932" s="71">
        <v>0</v>
      </c>
      <c r="BT1932" s="72">
        <v>0</v>
      </c>
      <c r="BU1932" s="151" t="e">
        <f t="shared" si="126"/>
        <v>#DIV/0!</v>
      </c>
      <c r="BV1932" s="151" t="e">
        <f t="shared" si="127"/>
        <v>#DIV/0!</v>
      </c>
    </row>
    <row r="1933" ht="30" customHeight="1" spans="1:75">
      <c r="A1933" s="55" t="s">
        <v>165</v>
      </c>
      <c r="B1933" s="56" t="s">
        <v>2247</v>
      </c>
      <c r="C1933" s="57" t="s">
        <v>2248</v>
      </c>
      <c r="D1933" s="52" t="s">
        <v>3063</v>
      </c>
      <c r="E1933" s="52" t="s">
        <v>3077</v>
      </c>
      <c r="F1933" s="59" t="str">
        <f>VLOOKUP(E1933,[1]库存!$B$1:$C$65536,2,FALSE)</f>
        <v>Geely CS1E DAB</v>
      </c>
      <c r="G1933" s="59" t="s">
        <v>3078</v>
      </c>
      <c r="H1933" s="59" t="s">
        <v>3079</v>
      </c>
      <c r="I1933" s="59" t="s">
        <v>3080</v>
      </c>
      <c r="J1933" s="97" t="s">
        <v>65</v>
      </c>
      <c r="K1933" s="61"/>
      <c r="L1933" s="62">
        <v>2</v>
      </c>
      <c r="M1933" s="63">
        <v>900</v>
      </c>
      <c r="N1933" s="64">
        <v>10.5</v>
      </c>
      <c r="O1933" s="62">
        <v>2</v>
      </c>
      <c r="P1933" s="65">
        <f t="shared" si="130"/>
        <v>0</v>
      </c>
      <c r="Q1933" s="66"/>
      <c r="R1933" s="66"/>
      <c r="S1933" s="66"/>
      <c r="T1933" s="66"/>
      <c r="U1933" s="66"/>
      <c r="V1933" s="66"/>
      <c r="W1933" s="66"/>
      <c r="X1933" s="66"/>
      <c r="Y1933" s="66"/>
      <c r="Z1933" s="66"/>
      <c r="AA1933" s="66"/>
      <c r="AB1933" s="66"/>
      <c r="AC1933" s="66"/>
      <c r="AD1933" s="66"/>
      <c r="AE1933" s="66"/>
      <c r="AF1933" s="66"/>
      <c r="AG1933" s="66"/>
      <c r="AH1933" s="66"/>
      <c r="AI1933" s="66"/>
      <c r="AJ1933" s="66"/>
      <c r="AK1933" s="66"/>
      <c r="AL1933" s="66"/>
      <c r="AM1933" s="66"/>
      <c r="AN1933" s="66"/>
      <c r="AO1933" s="66"/>
      <c r="AP1933" s="66"/>
      <c r="AQ1933" s="66"/>
      <c r="AR1933" s="66"/>
      <c r="AS1933" s="66"/>
      <c r="AT1933" s="66"/>
      <c r="AU1933" s="66"/>
      <c r="AV1933" s="66"/>
      <c r="AW1933" s="66"/>
      <c r="AX1933" s="66"/>
      <c r="AY1933" s="66"/>
      <c r="AZ1933" s="66"/>
      <c r="BA1933" s="66"/>
      <c r="BB1933" s="66"/>
      <c r="BC1933" s="66"/>
      <c r="BD1933" s="66"/>
      <c r="BE1933" s="67"/>
      <c r="BF1933" s="67"/>
      <c r="BG1933" s="68"/>
      <c r="BI1933" s="69">
        <v>0</v>
      </c>
      <c r="BJ1933" s="70">
        <v>0</v>
      </c>
      <c r="BK1933" s="71">
        <v>0</v>
      </c>
      <c r="BL1933" s="71">
        <v>0</v>
      </c>
      <c r="BM1933" s="71">
        <v>0</v>
      </c>
      <c r="BN1933" s="72">
        <v>0</v>
      </c>
      <c r="BO1933" s="151" t="e">
        <f t="shared" si="128"/>
        <v>#DIV/0!</v>
      </c>
      <c r="BP1933" s="151" t="e">
        <f t="shared" si="129"/>
        <v>#DIV/0!</v>
      </c>
      <c r="BQ1933" s="71">
        <v>0</v>
      </c>
      <c r="BR1933" s="71">
        <v>0</v>
      </c>
      <c r="BS1933" s="71">
        <v>0</v>
      </c>
      <c r="BT1933" s="72">
        <v>0</v>
      </c>
      <c r="BU1933" s="151" t="e">
        <f t="shared" si="126"/>
        <v>#DIV/0!</v>
      </c>
      <c r="BV1933" s="151" t="e">
        <f t="shared" si="127"/>
        <v>#DIV/0!</v>
      </c>
    </row>
    <row r="1934" ht="30" customHeight="1" spans="1:75">
      <c r="A1934" s="55">
        <v>0</v>
      </c>
      <c r="B1934" s="56">
        <v>0</v>
      </c>
      <c r="C1934" s="57">
        <v>0</v>
      </c>
      <c r="D1934" s="52"/>
      <c r="E1934" s="52"/>
      <c r="F1934" s="59" t="e">
        <f>VLOOKUP(E1934,[1]库存!$B$1:$C$65536,2,FALSE)</f>
        <v>#N/A</v>
      </c>
      <c r="G1934" s="59" t="e">
        <v>#N/A</v>
      </c>
      <c r="H1934" s="152"/>
      <c r="I1934" s="152"/>
      <c r="J1934" s="98"/>
      <c r="K1934" s="61"/>
      <c r="L1934" s="62">
        <v>0</v>
      </c>
      <c r="M1934" s="63">
        <v>0</v>
      </c>
      <c r="N1934" s="64">
        <v>0</v>
      </c>
      <c r="O1934" s="62">
        <v>0</v>
      </c>
      <c r="P1934" s="65">
        <f t="shared" si="130"/>
        <v>0</v>
      </c>
      <c r="Q1934" s="66"/>
      <c r="R1934" s="66"/>
      <c r="S1934" s="66"/>
      <c r="T1934" s="66"/>
      <c r="U1934" s="66"/>
      <c r="V1934" s="66"/>
      <c r="W1934" s="66"/>
      <c r="X1934" s="66"/>
      <c r="Y1934" s="66"/>
      <c r="Z1934" s="66"/>
      <c r="AA1934" s="66"/>
      <c r="AB1934" s="66"/>
      <c r="AC1934" s="66"/>
      <c r="AD1934" s="66"/>
      <c r="AE1934" s="66"/>
      <c r="AF1934" s="66"/>
      <c r="AG1934" s="66"/>
      <c r="AH1934" s="66"/>
      <c r="AI1934" s="66"/>
      <c r="AJ1934" s="66"/>
      <c r="AK1934" s="66"/>
      <c r="AL1934" s="66"/>
      <c r="AM1934" s="66"/>
      <c r="AN1934" s="66"/>
      <c r="AO1934" s="66"/>
      <c r="AP1934" s="66"/>
      <c r="AQ1934" s="66"/>
      <c r="AR1934" s="66"/>
      <c r="AS1934" s="66"/>
      <c r="AT1934" s="66"/>
      <c r="AU1934" s="66"/>
      <c r="AV1934" s="66"/>
      <c r="AW1934" s="66"/>
      <c r="AX1934" s="66"/>
      <c r="AY1934" s="66"/>
      <c r="AZ1934" s="66"/>
      <c r="BA1934" s="66"/>
      <c r="BB1934" s="66"/>
      <c r="BC1934" s="66"/>
      <c r="BD1934" s="66"/>
      <c r="BE1934" s="67"/>
      <c r="BF1934" s="67"/>
      <c r="BG1934" s="68"/>
      <c r="BI1934" s="69">
        <v>0</v>
      </c>
      <c r="BJ1934" s="70">
        <v>0</v>
      </c>
      <c r="BK1934" s="71">
        <v>0</v>
      </c>
      <c r="BL1934" s="71">
        <v>0</v>
      </c>
      <c r="BM1934" s="71">
        <v>0</v>
      </c>
      <c r="BN1934" s="72">
        <v>0</v>
      </c>
      <c r="BO1934" s="151" t="e">
        <f t="shared" si="128"/>
        <v>#DIV/0!</v>
      </c>
      <c r="BP1934" s="151" t="e">
        <f t="shared" si="129"/>
        <v>#DIV/0!</v>
      </c>
      <c r="BQ1934" s="71">
        <v>0</v>
      </c>
      <c r="BR1934" s="71">
        <v>0</v>
      </c>
      <c r="BS1934" s="71">
        <v>0</v>
      </c>
      <c r="BT1934" s="72">
        <v>0</v>
      </c>
      <c r="BU1934" s="151" t="e">
        <f t="shared" si="126"/>
        <v>#DIV/0!</v>
      </c>
      <c r="BV1934" s="151" t="e">
        <f t="shared" si="127"/>
        <v>#DIV/0!</v>
      </c>
    </row>
    <row r="1935" ht="30" customHeight="1" spans="1:75">
      <c r="A1935" s="55" t="s">
        <v>165</v>
      </c>
      <c r="B1935" s="56" t="s">
        <v>2247</v>
      </c>
      <c r="C1935" s="57" t="s">
        <v>2248</v>
      </c>
      <c r="D1935" s="52" t="s">
        <v>3063</v>
      </c>
      <c r="E1935" s="52" t="s">
        <v>3081</v>
      </c>
      <c r="F1935" s="59" t="str">
        <f>VLOOKUP(E1935,[1]库存!$B$1:$C$65536,2,FALSE)</f>
        <v>VOLVO P417 US DAB A状态</v>
      </c>
      <c r="G1935" s="59" t="s">
        <v>3082</v>
      </c>
      <c r="H1935" s="59" t="s">
        <v>3083</v>
      </c>
      <c r="I1935" s="52" t="s">
        <v>3084</v>
      </c>
      <c r="J1935" s="97" t="s">
        <v>65</v>
      </c>
      <c r="K1935" s="61"/>
      <c r="L1935" s="62">
        <v>2</v>
      </c>
      <c r="M1935" s="63">
        <v>1100</v>
      </c>
      <c r="N1935" s="64">
        <v>10</v>
      </c>
      <c r="O1935" s="62">
        <v>2</v>
      </c>
      <c r="P1935" s="65">
        <f t="shared" si="130"/>
        <v>0</v>
      </c>
      <c r="Q1935" s="66"/>
      <c r="R1935" s="66"/>
      <c r="S1935" s="66"/>
      <c r="T1935" s="66"/>
      <c r="U1935" s="66"/>
      <c r="V1935" s="66"/>
      <c r="W1935" s="66"/>
      <c r="X1935" s="66"/>
      <c r="Y1935" s="66"/>
      <c r="Z1935" s="66"/>
      <c r="AA1935" s="66"/>
      <c r="AB1935" s="66"/>
      <c r="AC1935" s="66"/>
      <c r="AD1935" s="66"/>
      <c r="AE1935" s="66"/>
      <c r="AF1935" s="66"/>
      <c r="AG1935" s="66"/>
      <c r="AH1935" s="66"/>
      <c r="AI1935" s="66"/>
      <c r="AJ1935" s="66"/>
      <c r="AK1935" s="66"/>
      <c r="AL1935" s="66"/>
      <c r="AM1935" s="66"/>
      <c r="AN1935" s="66"/>
      <c r="AO1935" s="66"/>
      <c r="AP1935" s="66"/>
      <c r="AQ1935" s="66"/>
      <c r="AR1935" s="66"/>
      <c r="AS1935" s="66"/>
      <c r="AT1935" s="66"/>
      <c r="AU1935" s="66"/>
      <c r="AV1935" s="66"/>
      <c r="AW1935" s="66"/>
      <c r="AX1935" s="66"/>
      <c r="AY1935" s="66"/>
      <c r="AZ1935" s="66"/>
      <c r="BA1935" s="66"/>
      <c r="BB1935" s="66"/>
      <c r="BC1935" s="66"/>
      <c r="BD1935" s="66"/>
      <c r="BE1935" s="67"/>
      <c r="BF1935" s="67"/>
      <c r="BG1935" s="68"/>
      <c r="BI1935" s="69">
        <v>0</v>
      </c>
      <c r="BJ1935" s="70">
        <v>0</v>
      </c>
      <c r="BK1935" s="71">
        <v>0</v>
      </c>
      <c r="BL1935" s="71">
        <v>0</v>
      </c>
      <c r="BM1935" s="71">
        <v>0</v>
      </c>
      <c r="BN1935" s="72">
        <v>0</v>
      </c>
      <c r="BO1935" s="151" t="e">
        <f t="shared" si="128"/>
        <v>#DIV/0!</v>
      </c>
      <c r="BP1935" s="151" t="e">
        <f t="shared" si="129"/>
        <v>#DIV/0!</v>
      </c>
      <c r="BQ1935" s="71">
        <v>0</v>
      </c>
      <c r="BR1935" s="71">
        <v>0</v>
      </c>
      <c r="BS1935" s="71">
        <v>0</v>
      </c>
      <c r="BT1935" s="72">
        <v>0</v>
      </c>
      <c r="BU1935" s="151" t="e">
        <f t="shared" si="126"/>
        <v>#DIV/0!</v>
      </c>
      <c r="BV1935" s="151" t="e">
        <f t="shared" si="127"/>
        <v>#DIV/0!</v>
      </c>
    </row>
    <row r="1936" ht="30" customHeight="1" spans="1:75">
      <c r="A1936" s="55">
        <v>0</v>
      </c>
      <c r="B1936" s="56">
        <v>0</v>
      </c>
      <c r="C1936" s="57">
        <v>0</v>
      </c>
      <c r="D1936" s="52"/>
      <c r="E1936" s="52"/>
      <c r="F1936" s="59" t="e">
        <f>VLOOKUP(E1936,[1]库存!$B$1:$C$65536,2,FALSE)</f>
        <v>#N/A</v>
      </c>
      <c r="G1936" s="59" t="e">
        <v>#N/A</v>
      </c>
      <c r="H1936" s="152"/>
      <c r="I1936" s="52"/>
      <c r="J1936" s="98"/>
      <c r="K1936" s="61"/>
      <c r="L1936" s="62">
        <v>0</v>
      </c>
      <c r="M1936" s="63">
        <v>0</v>
      </c>
      <c r="N1936" s="64">
        <v>0</v>
      </c>
      <c r="O1936" s="62">
        <v>0</v>
      </c>
      <c r="P1936" s="65">
        <f t="shared" si="130"/>
        <v>0</v>
      </c>
      <c r="Q1936" s="66"/>
      <c r="R1936" s="66"/>
      <c r="S1936" s="66"/>
      <c r="T1936" s="66"/>
      <c r="U1936" s="66"/>
      <c r="V1936" s="66"/>
      <c r="W1936" s="66"/>
      <c r="X1936" s="66"/>
      <c r="Y1936" s="66"/>
      <c r="Z1936" s="66"/>
      <c r="AA1936" s="66"/>
      <c r="AB1936" s="66"/>
      <c r="AC1936" s="66"/>
      <c r="AD1936" s="66"/>
      <c r="AE1936" s="66"/>
      <c r="AF1936" s="66"/>
      <c r="AG1936" s="66"/>
      <c r="AH1936" s="66"/>
      <c r="AI1936" s="66"/>
      <c r="AJ1936" s="66"/>
      <c r="AK1936" s="66"/>
      <c r="AL1936" s="66"/>
      <c r="AM1936" s="66"/>
      <c r="AN1936" s="66"/>
      <c r="AO1936" s="66"/>
      <c r="AP1936" s="66"/>
      <c r="AQ1936" s="66"/>
      <c r="AR1936" s="66"/>
      <c r="AS1936" s="66"/>
      <c r="AT1936" s="66"/>
      <c r="AU1936" s="66"/>
      <c r="AV1936" s="66"/>
      <c r="AW1936" s="66"/>
      <c r="AX1936" s="66"/>
      <c r="AY1936" s="66"/>
      <c r="AZ1936" s="66"/>
      <c r="BA1936" s="66"/>
      <c r="BB1936" s="66"/>
      <c r="BC1936" s="66"/>
      <c r="BD1936" s="66"/>
      <c r="BE1936" s="67"/>
      <c r="BF1936" s="67"/>
      <c r="BG1936" s="68"/>
      <c r="BI1936" s="69">
        <v>0</v>
      </c>
      <c r="BJ1936" s="70">
        <v>0</v>
      </c>
      <c r="BK1936" s="71">
        <v>0</v>
      </c>
      <c r="BL1936" s="71">
        <v>0</v>
      </c>
      <c r="BM1936" s="71">
        <v>0</v>
      </c>
      <c r="BN1936" s="72">
        <v>0</v>
      </c>
      <c r="BO1936" s="151" t="e">
        <f t="shared" si="128"/>
        <v>#DIV/0!</v>
      </c>
      <c r="BP1936" s="151" t="e">
        <f t="shared" si="129"/>
        <v>#DIV/0!</v>
      </c>
      <c r="BQ1936" s="71">
        <v>0</v>
      </c>
      <c r="BR1936" s="71">
        <v>0</v>
      </c>
      <c r="BS1936" s="71">
        <v>0</v>
      </c>
      <c r="BT1936" s="72">
        <v>0</v>
      </c>
      <c r="BU1936" s="151" t="e">
        <f t="shared" si="126"/>
        <v>#DIV/0!</v>
      </c>
      <c r="BV1936" s="151" t="e">
        <f t="shared" si="127"/>
        <v>#DIV/0!</v>
      </c>
    </row>
    <row r="1937" ht="30" customHeight="1" spans="1:74">
      <c r="A1937" s="55" t="s">
        <v>165</v>
      </c>
      <c r="B1937" s="56" t="s">
        <v>2247</v>
      </c>
      <c r="C1937" s="57" t="s">
        <v>2248</v>
      </c>
      <c r="D1937" s="52" t="s">
        <v>3063</v>
      </c>
      <c r="E1937" s="52"/>
      <c r="F1937" s="59" t="e">
        <f>VLOOKUP(E1937,[1]库存!$B$1:$C$65536,2,FALSE)</f>
        <v>#N/A</v>
      </c>
      <c r="G1937" s="59" t="e">
        <v>#N/A</v>
      </c>
      <c r="H1937" s="59" t="s">
        <v>3085</v>
      </c>
      <c r="I1937" s="52" t="s">
        <v>3086</v>
      </c>
      <c r="J1937" s="63"/>
      <c r="K1937" s="61"/>
      <c r="L1937" s="62">
        <v>2</v>
      </c>
      <c r="M1937" s="63">
        <v>1100</v>
      </c>
      <c r="N1937" s="64">
        <v>10</v>
      </c>
      <c r="O1937" s="62">
        <v>2</v>
      </c>
      <c r="P1937" s="65">
        <f t="shared" si="130"/>
        <v>0</v>
      </c>
      <c r="Q1937" s="66"/>
      <c r="R1937" s="66"/>
      <c r="S1937" s="66"/>
      <c r="T1937" s="66"/>
      <c r="U1937" s="66"/>
      <c r="V1937" s="66"/>
      <c r="W1937" s="66"/>
      <c r="X1937" s="66"/>
      <c r="Y1937" s="66"/>
      <c r="Z1937" s="66"/>
      <c r="AA1937" s="66"/>
      <c r="AB1937" s="66"/>
      <c r="AC1937" s="66"/>
      <c r="AD1937" s="66"/>
      <c r="AE1937" s="66"/>
      <c r="AF1937" s="66"/>
      <c r="AG1937" s="66"/>
      <c r="AH1937" s="66"/>
      <c r="AI1937" s="66"/>
      <c r="AJ1937" s="66"/>
      <c r="AK1937" s="66"/>
      <c r="AL1937" s="66"/>
      <c r="AM1937" s="66"/>
      <c r="AN1937" s="66"/>
      <c r="AO1937" s="66"/>
      <c r="AP1937" s="66"/>
      <c r="AQ1937" s="66"/>
      <c r="AR1937" s="66"/>
      <c r="AS1937" s="66"/>
      <c r="AT1937" s="66"/>
      <c r="AU1937" s="66"/>
      <c r="AV1937" s="66"/>
      <c r="AW1937" s="66"/>
      <c r="AX1937" s="66"/>
      <c r="AY1937" s="66"/>
      <c r="AZ1937" s="66"/>
      <c r="BA1937" s="66"/>
      <c r="BB1937" s="66"/>
      <c r="BC1937" s="66"/>
      <c r="BD1937" s="66"/>
      <c r="BE1937" s="67"/>
      <c r="BF1937" s="67"/>
      <c r="BG1937" s="68"/>
      <c r="BI1937" s="69">
        <v>0</v>
      </c>
      <c r="BJ1937" s="70">
        <v>0</v>
      </c>
      <c r="BK1937" s="71">
        <v>0</v>
      </c>
      <c r="BL1937" s="71">
        <v>0</v>
      </c>
      <c r="BM1937" s="71">
        <v>0</v>
      </c>
      <c r="BN1937" s="72">
        <v>0</v>
      </c>
      <c r="BO1937" s="151" t="e">
        <f t="shared" si="128"/>
        <v>#DIV/0!</v>
      </c>
      <c r="BP1937" s="151" t="e">
        <f t="shared" si="129"/>
        <v>#DIV/0!</v>
      </c>
      <c r="BQ1937" s="71">
        <v>0</v>
      </c>
      <c r="BR1937" s="71">
        <v>0</v>
      </c>
      <c r="BS1937" s="71">
        <v>0</v>
      </c>
      <c r="BT1937" s="72">
        <v>0</v>
      </c>
      <c r="BU1937" s="151" t="e">
        <f t="shared" si="126"/>
        <v>#DIV/0!</v>
      </c>
      <c r="BV1937" s="151" t="e">
        <f t="shared" si="127"/>
        <v>#DIV/0!</v>
      </c>
    </row>
    <row r="1938" ht="30" customHeight="1" spans="1:74">
      <c r="A1938" s="55">
        <v>0</v>
      </c>
      <c r="B1938" s="56">
        <v>0</v>
      </c>
      <c r="C1938" s="57">
        <v>0</v>
      </c>
      <c r="D1938" s="52"/>
      <c r="E1938" s="52"/>
      <c r="F1938" s="59" t="e">
        <f>VLOOKUP(E1938,[1]库存!$B$1:$C$65536,2,FALSE)</f>
        <v>#N/A</v>
      </c>
      <c r="G1938" s="59" t="e">
        <v>#N/A</v>
      </c>
      <c r="H1938" s="152"/>
      <c r="I1938" s="52"/>
      <c r="J1938" s="87"/>
      <c r="K1938" s="61"/>
      <c r="L1938" s="62">
        <v>0</v>
      </c>
      <c r="M1938" s="63">
        <v>0</v>
      </c>
      <c r="N1938" s="64">
        <v>0</v>
      </c>
      <c r="O1938" s="62">
        <v>0</v>
      </c>
      <c r="P1938" s="65">
        <f t="shared" si="130"/>
        <v>0</v>
      </c>
      <c r="Q1938" s="66"/>
      <c r="R1938" s="66"/>
      <c r="S1938" s="66"/>
      <c r="T1938" s="66"/>
      <c r="U1938" s="66"/>
      <c r="V1938" s="66"/>
      <c r="W1938" s="66"/>
      <c r="X1938" s="66"/>
      <c r="Y1938" s="66"/>
      <c r="Z1938" s="66"/>
      <c r="AA1938" s="66"/>
      <c r="AB1938" s="66"/>
      <c r="AC1938" s="66"/>
      <c r="AD1938" s="66"/>
      <c r="AE1938" s="66"/>
      <c r="AF1938" s="66"/>
      <c r="AG1938" s="66"/>
      <c r="AH1938" s="66"/>
      <c r="AI1938" s="66"/>
      <c r="AJ1938" s="66"/>
      <c r="AK1938" s="66"/>
      <c r="AL1938" s="66"/>
      <c r="AM1938" s="66"/>
      <c r="AN1938" s="66"/>
      <c r="AO1938" s="66"/>
      <c r="AP1938" s="66"/>
      <c r="AQ1938" s="66"/>
      <c r="AR1938" s="66"/>
      <c r="AS1938" s="66"/>
      <c r="AT1938" s="66"/>
      <c r="AU1938" s="66"/>
      <c r="AV1938" s="66"/>
      <c r="AW1938" s="66"/>
      <c r="AX1938" s="66"/>
      <c r="AY1938" s="66"/>
      <c r="AZ1938" s="66"/>
      <c r="BA1938" s="66"/>
      <c r="BB1938" s="66"/>
      <c r="BC1938" s="66"/>
      <c r="BD1938" s="66"/>
      <c r="BE1938" s="67"/>
      <c r="BF1938" s="67"/>
      <c r="BG1938" s="68"/>
      <c r="BI1938" s="69">
        <v>0</v>
      </c>
      <c r="BJ1938" s="70">
        <v>0</v>
      </c>
      <c r="BK1938" s="71">
        <v>0</v>
      </c>
      <c r="BL1938" s="71">
        <v>0</v>
      </c>
      <c r="BM1938" s="71">
        <v>0</v>
      </c>
      <c r="BN1938" s="72">
        <v>0</v>
      </c>
      <c r="BO1938" s="151" t="e">
        <f t="shared" si="128"/>
        <v>#DIV/0!</v>
      </c>
      <c r="BP1938" s="151" t="e">
        <f t="shared" si="129"/>
        <v>#DIV/0!</v>
      </c>
      <c r="BQ1938" s="71">
        <v>0</v>
      </c>
      <c r="BR1938" s="71">
        <v>0</v>
      </c>
      <c r="BS1938" s="71">
        <v>0</v>
      </c>
      <c r="BT1938" s="72">
        <v>0</v>
      </c>
      <c r="BU1938" s="151" t="e">
        <f t="shared" si="126"/>
        <v>#DIV/0!</v>
      </c>
      <c r="BV1938" s="151" t="e">
        <f t="shared" si="127"/>
        <v>#DIV/0!</v>
      </c>
    </row>
    <row r="1939" ht="30" customHeight="1" spans="1:74">
      <c r="A1939" s="55">
        <v>0</v>
      </c>
      <c r="B1939" s="56">
        <v>0</v>
      </c>
      <c r="C1939" s="57">
        <v>0</v>
      </c>
      <c r="D1939" s="106"/>
      <c r="E1939" s="107"/>
      <c r="F1939" s="59" t="e">
        <f>VLOOKUP(E1939,[1]库存!$B$1:$C$65536,2,FALSE)</f>
        <v>#N/A</v>
      </c>
      <c r="G1939" s="59" t="e">
        <v>#N/A</v>
      </c>
      <c r="H1939" s="89"/>
      <c r="I1939" s="88"/>
      <c r="J1939" s="90"/>
      <c r="K1939" s="61"/>
      <c r="L1939" s="62">
        <v>0</v>
      </c>
      <c r="M1939" s="63">
        <v>0</v>
      </c>
      <c r="N1939" s="64">
        <v>0</v>
      </c>
      <c r="O1939" s="62">
        <v>0</v>
      </c>
      <c r="P1939" s="65">
        <f t="shared" si="130"/>
        <v>0</v>
      </c>
      <c r="Q1939" s="66"/>
      <c r="R1939" s="66"/>
      <c r="S1939" s="66"/>
      <c r="T1939" s="66"/>
      <c r="U1939" s="66"/>
      <c r="V1939" s="66"/>
      <c r="W1939" s="66"/>
      <c r="X1939" s="66"/>
      <c r="Y1939" s="66"/>
      <c r="Z1939" s="66"/>
      <c r="AA1939" s="66"/>
      <c r="AB1939" s="66"/>
      <c r="AC1939" s="66"/>
      <c r="AD1939" s="66"/>
      <c r="AE1939" s="66"/>
      <c r="AF1939" s="66"/>
      <c r="AG1939" s="66"/>
      <c r="AH1939" s="66"/>
      <c r="AI1939" s="66"/>
      <c r="AJ1939" s="66"/>
      <c r="AK1939" s="66"/>
      <c r="AL1939" s="66"/>
      <c r="AM1939" s="66"/>
      <c r="AN1939" s="66"/>
      <c r="AO1939" s="66"/>
      <c r="AP1939" s="66"/>
      <c r="AQ1939" s="66"/>
      <c r="AR1939" s="66"/>
      <c r="AS1939" s="66"/>
      <c r="AT1939" s="66"/>
      <c r="AU1939" s="66"/>
      <c r="AV1939" s="66"/>
      <c r="AW1939" s="66"/>
      <c r="AX1939" s="66"/>
      <c r="AY1939" s="66"/>
      <c r="AZ1939" s="66"/>
      <c r="BA1939" s="66"/>
      <c r="BB1939" s="66"/>
      <c r="BC1939" s="66"/>
      <c r="BD1939" s="66"/>
      <c r="BE1939" s="67"/>
      <c r="BF1939" s="67"/>
      <c r="BG1939" s="68"/>
      <c r="BI1939" s="69">
        <v>0</v>
      </c>
      <c r="BJ1939" s="70">
        <v>0</v>
      </c>
      <c r="BK1939" s="71">
        <v>0</v>
      </c>
      <c r="BL1939" s="71">
        <v>0</v>
      </c>
      <c r="BM1939" s="71">
        <v>0</v>
      </c>
      <c r="BN1939" s="72">
        <v>0</v>
      </c>
      <c r="BO1939" s="151" t="e">
        <f t="shared" si="128"/>
        <v>#DIV/0!</v>
      </c>
      <c r="BP1939" s="151" t="e">
        <f t="shared" si="129"/>
        <v>#DIV/0!</v>
      </c>
      <c r="BQ1939" s="71">
        <v>0</v>
      </c>
      <c r="BR1939" s="71">
        <v>0</v>
      </c>
      <c r="BS1939" s="71">
        <v>0</v>
      </c>
      <c r="BT1939" s="72">
        <v>0</v>
      </c>
      <c r="BU1939" s="151" t="e">
        <f t="shared" si="126"/>
        <v>#DIV/0!</v>
      </c>
      <c r="BV1939" s="151" t="e">
        <f t="shared" si="127"/>
        <v>#DIV/0!</v>
      </c>
    </row>
    <row r="1940" ht="30" customHeight="1" spans="1:74">
      <c r="A1940" s="55" t="s">
        <v>165</v>
      </c>
      <c r="B1940" s="56" t="s">
        <v>2247</v>
      </c>
      <c r="C1940" s="57" t="s">
        <v>2261</v>
      </c>
      <c r="D1940" s="52" t="s">
        <v>3087</v>
      </c>
      <c r="E1940" s="52" t="s">
        <v>3088</v>
      </c>
      <c r="F1940" s="59" t="str">
        <f>VLOOKUP(E1940,[1]库存!$B$1:$C$65536,2,FALSE)</f>
        <v>VW313 FSAB LH</v>
      </c>
      <c r="G1940" s="59" t="s">
        <v>3089</v>
      </c>
      <c r="H1940" s="59" t="s">
        <v>3090</v>
      </c>
      <c r="I1940" s="52" t="s">
        <v>3091</v>
      </c>
      <c r="J1940" s="63"/>
      <c r="K1940" s="61"/>
      <c r="L1940" s="62">
        <v>2</v>
      </c>
      <c r="M1940" s="63">
        <v>1150</v>
      </c>
      <c r="N1940" s="64">
        <v>12</v>
      </c>
      <c r="O1940" s="62">
        <v>2</v>
      </c>
      <c r="P1940" s="65">
        <f t="shared" si="130"/>
        <v>0</v>
      </c>
      <c r="Q1940" s="66"/>
      <c r="R1940" s="66"/>
      <c r="S1940" s="66"/>
      <c r="T1940" s="66"/>
      <c r="U1940" s="66"/>
      <c r="V1940" s="66"/>
      <c r="W1940" s="66"/>
      <c r="X1940" s="66"/>
      <c r="Y1940" s="66"/>
      <c r="Z1940" s="66"/>
      <c r="AA1940" s="66"/>
      <c r="AB1940" s="66"/>
      <c r="AC1940" s="66"/>
      <c r="AD1940" s="66"/>
      <c r="AE1940" s="66"/>
      <c r="AF1940" s="66"/>
      <c r="AG1940" s="66"/>
      <c r="AH1940" s="66"/>
      <c r="AI1940" s="66"/>
      <c r="AJ1940" s="66"/>
      <c r="AK1940" s="66"/>
      <c r="AL1940" s="66"/>
      <c r="AM1940" s="66"/>
      <c r="AN1940" s="66"/>
      <c r="AO1940" s="66"/>
      <c r="AP1940" s="66"/>
      <c r="AQ1940" s="66"/>
      <c r="AR1940" s="66"/>
      <c r="AS1940" s="66"/>
      <c r="AT1940" s="66"/>
      <c r="AU1940" s="66"/>
      <c r="AV1940" s="66"/>
      <c r="AW1940" s="66"/>
      <c r="AX1940" s="66"/>
      <c r="AY1940" s="66"/>
      <c r="AZ1940" s="66"/>
      <c r="BA1940" s="66"/>
      <c r="BB1940" s="66"/>
      <c r="BC1940" s="66"/>
      <c r="BD1940" s="66"/>
      <c r="BE1940" s="67"/>
      <c r="BF1940" s="67"/>
      <c r="BG1940" s="68"/>
      <c r="BI1940" s="69">
        <v>0</v>
      </c>
      <c r="BJ1940" s="70">
        <v>0</v>
      </c>
      <c r="BK1940" s="71">
        <v>0</v>
      </c>
      <c r="BL1940" s="71">
        <v>0</v>
      </c>
      <c r="BM1940" s="71">
        <v>0</v>
      </c>
      <c r="BN1940" s="72">
        <v>0</v>
      </c>
      <c r="BO1940" s="151" t="e">
        <f t="shared" si="128"/>
        <v>#DIV/0!</v>
      </c>
      <c r="BP1940" s="151" t="e">
        <f t="shared" si="129"/>
        <v>#DIV/0!</v>
      </c>
      <c r="BQ1940" s="71">
        <v>0</v>
      </c>
      <c r="BR1940" s="71">
        <v>0</v>
      </c>
      <c r="BS1940" s="71">
        <v>0</v>
      </c>
      <c r="BT1940" s="72">
        <v>0</v>
      </c>
      <c r="BU1940" s="151" t="e">
        <f t="shared" si="126"/>
        <v>#DIV/0!</v>
      </c>
      <c r="BV1940" s="151" t="e">
        <f t="shared" si="127"/>
        <v>#DIV/0!</v>
      </c>
    </row>
    <row r="1941" ht="30" customHeight="1" spans="1:74">
      <c r="A1941" s="55">
        <v>0</v>
      </c>
      <c r="B1941" s="56">
        <v>0</v>
      </c>
      <c r="C1941" s="57">
        <v>0</v>
      </c>
      <c r="D1941" s="52"/>
      <c r="E1941" s="52"/>
      <c r="F1941" s="59" t="e">
        <f>VLOOKUP(E1941,[1]库存!$B$1:$C$65536,2,FALSE)</f>
        <v>#N/A</v>
      </c>
      <c r="G1941" s="59" t="e">
        <v>#N/A</v>
      </c>
      <c r="H1941" s="152"/>
      <c r="I1941" s="52"/>
      <c r="J1941" s="87"/>
      <c r="K1941" s="61"/>
      <c r="L1941" s="62">
        <v>0</v>
      </c>
      <c r="M1941" s="63">
        <v>0</v>
      </c>
      <c r="N1941" s="64">
        <v>0</v>
      </c>
      <c r="O1941" s="62">
        <v>0</v>
      </c>
      <c r="P1941" s="65">
        <f t="shared" si="130"/>
        <v>0</v>
      </c>
      <c r="Q1941" s="66"/>
      <c r="R1941" s="66"/>
      <c r="S1941" s="66"/>
      <c r="T1941" s="66"/>
      <c r="U1941" s="66"/>
      <c r="V1941" s="66"/>
      <c r="W1941" s="66"/>
      <c r="X1941" s="66"/>
      <c r="Y1941" s="66"/>
      <c r="Z1941" s="66"/>
      <c r="AA1941" s="66"/>
      <c r="AB1941" s="66"/>
      <c r="AC1941" s="66"/>
      <c r="AD1941" s="66"/>
      <c r="AE1941" s="66"/>
      <c r="AF1941" s="66"/>
      <c r="AG1941" s="66"/>
      <c r="AH1941" s="66"/>
      <c r="AI1941" s="66"/>
      <c r="AJ1941" s="66"/>
      <c r="AK1941" s="66"/>
      <c r="AL1941" s="66"/>
      <c r="AM1941" s="66"/>
      <c r="AN1941" s="66"/>
      <c r="AO1941" s="66"/>
      <c r="AP1941" s="66"/>
      <c r="AQ1941" s="66"/>
      <c r="AR1941" s="66"/>
      <c r="AS1941" s="66"/>
      <c r="AT1941" s="66"/>
      <c r="AU1941" s="66"/>
      <c r="AV1941" s="66"/>
      <c r="AW1941" s="66"/>
      <c r="AX1941" s="66"/>
      <c r="AY1941" s="66"/>
      <c r="AZ1941" s="66"/>
      <c r="BA1941" s="66"/>
      <c r="BB1941" s="66"/>
      <c r="BC1941" s="66"/>
      <c r="BD1941" s="66"/>
      <c r="BE1941" s="67"/>
      <c r="BF1941" s="67"/>
      <c r="BG1941" s="68"/>
      <c r="BI1941" s="69">
        <v>0</v>
      </c>
      <c r="BJ1941" s="70">
        <v>0</v>
      </c>
      <c r="BK1941" s="71">
        <v>0</v>
      </c>
      <c r="BL1941" s="71">
        <v>0</v>
      </c>
      <c r="BM1941" s="71">
        <v>0</v>
      </c>
      <c r="BN1941" s="72">
        <v>0</v>
      </c>
      <c r="BO1941" s="151" t="e">
        <f t="shared" si="128"/>
        <v>#DIV/0!</v>
      </c>
      <c r="BP1941" s="151" t="e">
        <f t="shared" si="129"/>
        <v>#DIV/0!</v>
      </c>
      <c r="BQ1941" s="71">
        <v>0</v>
      </c>
      <c r="BR1941" s="71">
        <v>0</v>
      </c>
      <c r="BS1941" s="71">
        <v>0</v>
      </c>
      <c r="BT1941" s="72">
        <v>0</v>
      </c>
      <c r="BU1941" s="151" t="e">
        <f t="shared" si="126"/>
        <v>#DIV/0!</v>
      </c>
      <c r="BV1941" s="151" t="e">
        <f t="shared" si="127"/>
        <v>#DIV/0!</v>
      </c>
    </row>
    <row r="1942" ht="30" customHeight="1" spans="1:74">
      <c r="A1942" s="55" t="s">
        <v>165</v>
      </c>
      <c r="B1942" s="56" t="s">
        <v>2247</v>
      </c>
      <c r="C1942" s="57" t="s">
        <v>2261</v>
      </c>
      <c r="D1942" s="52" t="s">
        <v>3087</v>
      </c>
      <c r="E1942" s="52" t="s">
        <v>3092</v>
      </c>
      <c r="F1942" s="59" t="str">
        <f>VLOOKUP(E1942,[1]库存!$B$1:$C$65536,2,FALSE)</f>
        <v>VW313 FSAB RH</v>
      </c>
      <c r="G1942" s="59" t="s">
        <v>3093</v>
      </c>
      <c r="H1942" s="59" t="s">
        <v>3094</v>
      </c>
      <c r="I1942" s="52" t="s">
        <v>3091</v>
      </c>
      <c r="J1942" s="63"/>
      <c r="K1942" s="61"/>
      <c r="L1942" s="62">
        <v>2</v>
      </c>
      <c r="M1942" s="63">
        <v>1150</v>
      </c>
      <c r="N1942" s="64">
        <v>12</v>
      </c>
      <c r="O1942" s="62">
        <v>2</v>
      </c>
      <c r="P1942" s="65">
        <f t="shared" si="130"/>
        <v>0</v>
      </c>
      <c r="Q1942" s="66"/>
      <c r="R1942" s="66"/>
      <c r="S1942" s="66"/>
      <c r="T1942" s="66"/>
      <c r="U1942" s="66"/>
      <c r="V1942" s="66"/>
      <c r="W1942" s="66"/>
      <c r="X1942" s="66"/>
      <c r="Y1942" s="66"/>
      <c r="Z1942" s="66"/>
      <c r="AA1942" s="66"/>
      <c r="AB1942" s="66"/>
      <c r="AC1942" s="66"/>
      <c r="AD1942" s="66"/>
      <c r="AE1942" s="66"/>
      <c r="AF1942" s="66"/>
      <c r="AG1942" s="66"/>
      <c r="AH1942" s="66"/>
      <c r="AI1942" s="66"/>
      <c r="AJ1942" s="66"/>
      <c r="AK1942" s="66"/>
      <c r="AL1942" s="66"/>
      <c r="AM1942" s="66"/>
      <c r="AN1942" s="66"/>
      <c r="AO1942" s="66"/>
      <c r="AP1942" s="66"/>
      <c r="AQ1942" s="66"/>
      <c r="AR1942" s="66"/>
      <c r="AS1942" s="66"/>
      <c r="AT1942" s="66"/>
      <c r="AU1942" s="66"/>
      <c r="AV1942" s="66"/>
      <c r="AW1942" s="66"/>
      <c r="AX1942" s="66"/>
      <c r="AY1942" s="66"/>
      <c r="AZ1942" s="66"/>
      <c r="BA1942" s="66"/>
      <c r="BB1942" s="66"/>
      <c r="BC1942" s="66"/>
      <c r="BD1942" s="66"/>
      <c r="BE1942" s="67"/>
      <c r="BF1942" s="67"/>
      <c r="BG1942" s="68"/>
      <c r="BI1942" s="69">
        <v>0</v>
      </c>
      <c r="BJ1942" s="70">
        <v>0</v>
      </c>
      <c r="BK1942" s="71">
        <v>0</v>
      </c>
      <c r="BL1942" s="71">
        <v>0</v>
      </c>
      <c r="BM1942" s="71">
        <v>0</v>
      </c>
      <c r="BN1942" s="72">
        <v>0</v>
      </c>
      <c r="BO1942" s="151" t="e">
        <f t="shared" si="128"/>
        <v>#DIV/0!</v>
      </c>
      <c r="BP1942" s="151" t="e">
        <f t="shared" si="129"/>
        <v>#DIV/0!</v>
      </c>
      <c r="BQ1942" s="71">
        <v>0</v>
      </c>
      <c r="BR1942" s="71">
        <v>0</v>
      </c>
      <c r="BS1942" s="71">
        <v>0</v>
      </c>
      <c r="BT1942" s="72">
        <v>0</v>
      </c>
      <c r="BU1942" s="151" t="e">
        <f t="shared" si="126"/>
        <v>#DIV/0!</v>
      </c>
      <c r="BV1942" s="151" t="e">
        <f t="shared" si="127"/>
        <v>#DIV/0!</v>
      </c>
    </row>
    <row r="1943" ht="30" customHeight="1" spans="1:74">
      <c r="A1943" s="55">
        <v>0</v>
      </c>
      <c r="B1943" s="56">
        <v>0</v>
      </c>
      <c r="C1943" s="57">
        <v>0</v>
      </c>
      <c r="D1943" s="52"/>
      <c r="E1943" s="52"/>
      <c r="F1943" s="59" t="e">
        <f>VLOOKUP(E1943,[1]库存!$B$1:$C$65536,2,FALSE)</f>
        <v>#N/A</v>
      </c>
      <c r="G1943" s="59" t="e">
        <v>#N/A</v>
      </c>
      <c r="H1943" s="152"/>
      <c r="I1943" s="52"/>
      <c r="J1943" s="87"/>
      <c r="K1943" s="61"/>
      <c r="L1943" s="62">
        <v>0</v>
      </c>
      <c r="M1943" s="63">
        <v>0</v>
      </c>
      <c r="N1943" s="64">
        <v>0</v>
      </c>
      <c r="O1943" s="62">
        <v>0</v>
      </c>
      <c r="P1943" s="65">
        <f t="shared" si="130"/>
        <v>0</v>
      </c>
      <c r="Q1943" s="66"/>
      <c r="R1943" s="66"/>
      <c r="S1943" s="66"/>
      <c r="T1943" s="66"/>
      <c r="U1943" s="66"/>
      <c r="V1943" s="66"/>
      <c r="W1943" s="66"/>
      <c r="X1943" s="66"/>
      <c r="Y1943" s="66"/>
      <c r="Z1943" s="66"/>
      <c r="AA1943" s="66"/>
      <c r="AB1943" s="66"/>
      <c r="AC1943" s="66"/>
      <c r="AD1943" s="66"/>
      <c r="AE1943" s="66"/>
      <c r="AF1943" s="66"/>
      <c r="AG1943" s="66"/>
      <c r="AH1943" s="66"/>
      <c r="AI1943" s="66"/>
      <c r="AJ1943" s="66"/>
      <c r="AK1943" s="66"/>
      <c r="AL1943" s="66"/>
      <c r="AM1943" s="66"/>
      <c r="AN1943" s="66"/>
      <c r="AO1943" s="66"/>
      <c r="AP1943" s="66"/>
      <c r="AQ1943" s="66"/>
      <c r="AR1943" s="66"/>
      <c r="AS1943" s="66"/>
      <c r="AT1943" s="66"/>
      <c r="AU1943" s="66"/>
      <c r="AV1943" s="66"/>
      <c r="AW1943" s="66"/>
      <c r="AX1943" s="66"/>
      <c r="AY1943" s="66"/>
      <c r="AZ1943" s="66"/>
      <c r="BA1943" s="66"/>
      <c r="BB1943" s="66"/>
      <c r="BC1943" s="66"/>
      <c r="BD1943" s="66"/>
      <c r="BE1943" s="67"/>
      <c r="BF1943" s="67"/>
      <c r="BG1943" s="68"/>
      <c r="BI1943" s="69">
        <v>0</v>
      </c>
      <c r="BJ1943" s="70">
        <v>0</v>
      </c>
      <c r="BK1943" s="71">
        <v>0</v>
      </c>
      <c r="BL1943" s="71">
        <v>0</v>
      </c>
      <c r="BM1943" s="71">
        <v>0</v>
      </c>
      <c r="BN1943" s="72">
        <v>0</v>
      </c>
      <c r="BO1943" s="151" t="e">
        <f t="shared" si="128"/>
        <v>#DIV/0!</v>
      </c>
      <c r="BP1943" s="151" t="e">
        <f t="shared" si="129"/>
        <v>#DIV/0!</v>
      </c>
      <c r="BQ1943" s="71">
        <v>0</v>
      </c>
      <c r="BR1943" s="71">
        <v>0</v>
      </c>
      <c r="BS1943" s="71">
        <v>0</v>
      </c>
      <c r="BT1943" s="72">
        <v>0</v>
      </c>
      <c r="BU1943" s="151" t="e">
        <f t="shared" si="126"/>
        <v>#DIV/0!</v>
      </c>
      <c r="BV1943" s="151" t="e">
        <f t="shared" si="127"/>
        <v>#DIV/0!</v>
      </c>
    </row>
    <row r="1944" ht="30" customHeight="1" spans="1:74">
      <c r="A1944" s="55">
        <v>0</v>
      </c>
      <c r="B1944" s="56">
        <v>0</v>
      </c>
      <c r="C1944" s="57">
        <v>0</v>
      </c>
      <c r="D1944" s="106"/>
      <c r="E1944" s="107"/>
      <c r="F1944" s="59" t="e">
        <f>VLOOKUP(E1944,[1]库存!$B$1:$C$65536,2,FALSE)</f>
        <v>#N/A</v>
      </c>
      <c r="G1944" s="59" t="e">
        <v>#N/A</v>
      </c>
      <c r="H1944" s="89"/>
      <c r="I1944" s="88"/>
      <c r="J1944" s="90"/>
      <c r="K1944" s="61"/>
      <c r="L1944" s="62">
        <v>0</v>
      </c>
      <c r="M1944" s="63">
        <v>0</v>
      </c>
      <c r="N1944" s="64">
        <v>0</v>
      </c>
      <c r="O1944" s="62">
        <v>0</v>
      </c>
      <c r="P1944" s="65">
        <f t="shared" si="130"/>
        <v>0</v>
      </c>
      <c r="Q1944" s="66"/>
      <c r="R1944" s="66"/>
      <c r="S1944" s="66"/>
      <c r="T1944" s="66"/>
      <c r="U1944" s="66"/>
      <c r="V1944" s="66"/>
      <c r="W1944" s="66"/>
      <c r="X1944" s="66"/>
      <c r="Y1944" s="66"/>
      <c r="Z1944" s="66"/>
      <c r="AA1944" s="66"/>
      <c r="AB1944" s="66"/>
      <c r="AC1944" s="66"/>
      <c r="AD1944" s="66"/>
      <c r="AE1944" s="66"/>
      <c r="AF1944" s="66"/>
      <c r="AG1944" s="66"/>
      <c r="AH1944" s="66"/>
      <c r="AI1944" s="66"/>
      <c r="AJ1944" s="66"/>
      <c r="AK1944" s="66"/>
      <c r="AL1944" s="66"/>
      <c r="AM1944" s="66"/>
      <c r="AN1944" s="66"/>
      <c r="AO1944" s="66"/>
      <c r="AP1944" s="66"/>
      <c r="AQ1944" s="66"/>
      <c r="AR1944" s="66"/>
      <c r="AS1944" s="66"/>
      <c r="AT1944" s="66"/>
      <c r="AU1944" s="66"/>
      <c r="AV1944" s="66"/>
      <c r="AW1944" s="66"/>
      <c r="AX1944" s="66"/>
      <c r="AY1944" s="66"/>
      <c r="AZ1944" s="66"/>
      <c r="BA1944" s="66"/>
      <c r="BB1944" s="66"/>
      <c r="BC1944" s="66"/>
      <c r="BD1944" s="66"/>
      <c r="BE1944" s="67"/>
      <c r="BF1944" s="67"/>
      <c r="BG1944" s="68"/>
      <c r="BI1944" s="69">
        <v>0</v>
      </c>
      <c r="BJ1944" s="70">
        <v>0</v>
      </c>
      <c r="BK1944" s="71">
        <v>0</v>
      </c>
      <c r="BL1944" s="71">
        <v>0</v>
      </c>
      <c r="BM1944" s="71">
        <v>0</v>
      </c>
      <c r="BN1944" s="72">
        <v>0</v>
      </c>
      <c r="BO1944" s="151" t="e">
        <f t="shared" si="128"/>
        <v>#DIV/0!</v>
      </c>
      <c r="BP1944" s="151" t="e">
        <f t="shared" si="129"/>
        <v>#DIV/0!</v>
      </c>
      <c r="BQ1944" s="71">
        <v>0</v>
      </c>
      <c r="BR1944" s="71">
        <v>0</v>
      </c>
      <c r="BS1944" s="71">
        <v>0</v>
      </c>
      <c r="BT1944" s="72">
        <v>0</v>
      </c>
      <c r="BU1944" s="151" t="e">
        <f t="shared" si="126"/>
        <v>#DIV/0!</v>
      </c>
      <c r="BV1944" s="151" t="e">
        <f t="shared" si="127"/>
        <v>#DIV/0!</v>
      </c>
    </row>
    <row r="1945" ht="30" customHeight="1" spans="1:74">
      <c r="A1945" s="55">
        <v>0</v>
      </c>
      <c r="B1945" s="56" t="s">
        <v>2247</v>
      </c>
      <c r="C1945" s="57" t="s">
        <v>2261</v>
      </c>
      <c r="D1945" s="56" t="s">
        <v>3095</v>
      </c>
      <c r="E1945" s="56" t="s">
        <v>3096</v>
      </c>
      <c r="F1945" s="91" t="str">
        <f>VLOOKUP(E1945,[1]库存!$B$1:$C$65536,2,FALSE)</f>
        <v>HC2EA SAB LH B状态</v>
      </c>
      <c r="G1945" s="91" t="s">
        <v>3097</v>
      </c>
      <c r="H1945" s="91" t="s">
        <v>3098</v>
      </c>
      <c r="I1945" s="56" t="s">
        <v>729</v>
      </c>
      <c r="J1945" s="63"/>
      <c r="K1945" s="61"/>
      <c r="L1945" s="62">
        <v>2</v>
      </c>
      <c r="M1945" s="63">
        <v>1400</v>
      </c>
      <c r="N1945" s="64">
        <v>11</v>
      </c>
      <c r="O1945" s="62">
        <v>2</v>
      </c>
      <c r="P1945" s="65">
        <f t="shared" si="130"/>
        <v>0</v>
      </c>
      <c r="Q1945" s="66">
        <v>2000</v>
      </c>
      <c r="R1945" s="66">
        <v>2000</v>
      </c>
      <c r="S1945" s="66">
        <v>2000</v>
      </c>
      <c r="T1945" s="66"/>
      <c r="U1945" s="66"/>
      <c r="V1945" s="66"/>
      <c r="W1945" s="66"/>
      <c r="X1945" s="66"/>
      <c r="Y1945" s="66"/>
      <c r="Z1945" s="66"/>
      <c r="AA1945" s="66"/>
      <c r="AB1945" s="66"/>
      <c r="AC1945" s="66"/>
      <c r="AD1945" s="66"/>
      <c r="AE1945" s="66"/>
      <c r="AF1945" s="66"/>
      <c r="AG1945" s="66"/>
      <c r="AH1945" s="66"/>
      <c r="AI1945" s="66"/>
      <c r="AJ1945" s="66"/>
      <c r="AK1945" s="66"/>
      <c r="AL1945" s="66"/>
      <c r="AM1945" s="66"/>
      <c r="AN1945" s="66"/>
      <c r="AO1945" s="66"/>
      <c r="AP1945" s="66"/>
      <c r="AQ1945" s="66"/>
      <c r="AR1945" s="66"/>
      <c r="AS1945" s="66"/>
      <c r="AT1945" s="66"/>
      <c r="AU1945" s="66"/>
      <c r="AV1945" s="66"/>
      <c r="AW1945" s="66"/>
      <c r="AX1945" s="66"/>
      <c r="AY1945" s="66"/>
      <c r="AZ1945" s="66"/>
      <c r="BA1945" s="66"/>
      <c r="BB1945" s="66"/>
      <c r="BC1945" s="66"/>
      <c r="BD1945" s="66"/>
      <c r="BE1945" s="67"/>
      <c r="BF1945" s="67"/>
      <c r="BG1945" s="68"/>
      <c r="BI1945" s="69">
        <v>0</v>
      </c>
      <c r="BJ1945" s="70">
        <v>0</v>
      </c>
      <c r="BK1945" s="71">
        <v>0</v>
      </c>
      <c r="BL1945" s="71">
        <v>0</v>
      </c>
      <c r="BM1945" s="71">
        <v>0</v>
      </c>
      <c r="BN1945" s="72">
        <v>0</v>
      </c>
      <c r="BO1945" s="151" t="e">
        <f t="shared" si="128"/>
        <v>#DIV/0!</v>
      </c>
      <c r="BP1945" s="151" t="e">
        <f t="shared" si="129"/>
        <v>#DIV/0!</v>
      </c>
      <c r="BQ1945" s="71">
        <v>0</v>
      </c>
      <c r="BR1945" s="71">
        <v>0</v>
      </c>
      <c r="BS1945" s="71">
        <v>0</v>
      </c>
      <c r="BT1945" s="72">
        <v>0</v>
      </c>
      <c r="BU1945" s="151" t="e">
        <f t="shared" si="126"/>
        <v>#DIV/0!</v>
      </c>
      <c r="BV1945" s="151" t="e">
        <f t="shared" si="127"/>
        <v>#DIV/0!</v>
      </c>
    </row>
    <row r="1946" ht="30" customHeight="1" spans="1:74">
      <c r="A1946" s="55">
        <v>0</v>
      </c>
      <c r="B1946" s="56">
        <v>0</v>
      </c>
      <c r="C1946" s="57">
        <v>0</v>
      </c>
      <c r="D1946" s="56"/>
      <c r="E1946" s="56"/>
      <c r="F1946" s="91" t="e">
        <f>VLOOKUP(E1946,[1]库存!$B$1:$C$65536,2,FALSE)</f>
        <v>#N/A</v>
      </c>
      <c r="G1946" s="91" t="e">
        <v>#N/A</v>
      </c>
      <c r="H1946" s="154"/>
      <c r="I1946" s="56"/>
      <c r="J1946" s="87"/>
      <c r="K1946" s="61"/>
      <c r="L1946" s="62">
        <v>0</v>
      </c>
      <c r="M1946" s="63">
        <v>0</v>
      </c>
      <c r="N1946" s="64">
        <v>0</v>
      </c>
      <c r="O1946" s="62">
        <v>0</v>
      </c>
      <c r="P1946" s="65">
        <f t="shared" si="130"/>
        <v>0</v>
      </c>
      <c r="Q1946" s="66">
        <v>1929</v>
      </c>
      <c r="R1946" s="66">
        <v>1954</v>
      </c>
      <c r="S1946" s="66">
        <v>2078</v>
      </c>
      <c r="T1946" s="66"/>
      <c r="U1946" s="66"/>
      <c r="V1946" s="66"/>
      <c r="W1946" s="66"/>
      <c r="X1946" s="66"/>
      <c r="Y1946" s="66"/>
      <c r="Z1946" s="66"/>
      <c r="AA1946" s="66"/>
      <c r="AB1946" s="66"/>
      <c r="AC1946" s="66"/>
      <c r="AD1946" s="66"/>
      <c r="AE1946" s="66"/>
      <c r="AF1946" s="66"/>
      <c r="AG1946" s="66"/>
      <c r="AH1946" s="66"/>
      <c r="AI1946" s="66"/>
      <c r="AJ1946" s="66"/>
      <c r="AK1946" s="66"/>
      <c r="AL1946" s="66"/>
      <c r="AM1946" s="66"/>
      <c r="AN1946" s="66"/>
      <c r="AO1946" s="66"/>
      <c r="AP1946" s="66"/>
      <c r="AQ1946" s="66"/>
      <c r="AR1946" s="66"/>
      <c r="AS1946" s="66"/>
      <c r="AT1946" s="66"/>
      <c r="AU1946" s="66"/>
      <c r="AV1946" s="66"/>
      <c r="AW1946" s="66"/>
      <c r="AX1946" s="66"/>
      <c r="AY1946" s="66"/>
      <c r="AZ1946" s="66"/>
      <c r="BA1946" s="66"/>
      <c r="BB1946" s="66"/>
      <c r="BC1946" s="66"/>
      <c r="BD1946" s="66"/>
      <c r="BE1946" s="67"/>
      <c r="BF1946" s="67"/>
      <c r="BG1946" s="68"/>
      <c r="BI1946" s="69">
        <v>0</v>
      </c>
      <c r="BJ1946" s="70">
        <v>0</v>
      </c>
      <c r="BK1946" s="71">
        <v>0</v>
      </c>
      <c r="BL1946" s="71">
        <v>0</v>
      </c>
      <c r="BM1946" s="71">
        <v>0</v>
      </c>
      <c r="BN1946" s="72">
        <v>0</v>
      </c>
      <c r="BO1946" s="151" t="e">
        <f t="shared" si="128"/>
        <v>#DIV/0!</v>
      </c>
      <c r="BP1946" s="151" t="e">
        <f t="shared" si="129"/>
        <v>#DIV/0!</v>
      </c>
      <c r="BQ1946" s="71">
        <v>0</v>
      </c>
      <c r="BR1946" s="71">
        <v>0</v>
      </c>
      <c r="BS1946" s="71">
        <v>0</v>
      </c>
      <c r="BT1946" s="72">
        <v>0</v>
      </c>
      <c r="BU1946" s="151" t="e">
        <f t="shared" si="126"/>
        <v>#DIV/0!</v>
      </c>
      <c r="BV1946" s="151" t="e">
        <f t="shared" si="127"/>
        <v>#DIV/0!</v>
      </c>
    </row>
    <row r="1947" ht="30" customHeight="1" spans="1:74">
      <c r="A1947" s="55">
        <v>0</v>
      </c>
      <c r="B1947" s="56" t="s">
        <v>2247</v>
      </c>
      <c r="C1947" s="57" t="s">
        <v>2261</v>
      </c>
      <c r="D1947" s="56" t="s">
        <v>3095</v>
      </c>
      <c r="E1947" s="56" t="s">
        <v>3099</v>
      </c>
      <c r="F1947" s="91" t="str">
        <f>VLOOKUP(E1947,[1]库存!$B$1:$C$65536,2,FALSE)</f>
        <v>HC2EA SAB RH B状态</v>
      </c>
      <c r="G1947" s="91" t="s">
        <v>3100</v>
      </c>
      <c r="H1947" s="91" t="s">
        <v>3101</v>
      </c>
      <c r="I1947" s="56" t="s">
        <v>729</v>
      </c>
      <c r="J1947" s="63"/>
      <c r="K1947" s="61"/>
      <c r="L1947" s="62">
        <v>2</v>
      </c>
      <c r="M1947" s="63">
        <v>1400</v>
      </c>
      <c r="N1947" s="64">
        <v>11</v>
      </c>
      <c r="O1947" s="62">
        <v>2</v>
      </c>
      <c r="P1947" s="65">
        <f t="shared" si="130"/>
        <v>0</v>
      </c>
      <c r="Q1947" s="66"/>
      <c r="R1947" s="66"/>
      <c r="S1947" s="66"/>
      <c r="T1947" s="66">
        <v>2000</v>
      </c>
      <c r="U1947" s="66">
        <v>1400</v>
      </c>
      <c r="V1947" s="66">
        <v>2000</v>
      </c>
      <c r="W1947" s="66">
        <v>0</v>
      </c>
      <c r="X1947" s="66">
        <v>0</v>
      </c>
      <c r="Y1947" s="66"/>
      <c r="Z1947" s="66">
        <v>0</v>
      </c>
      <c r="AA1947" s="66">
        <v>2000</v>
      </c>
      <c r="AB1947" s="66"/>
      <c r="AC1947" s="66">
        <v>2000</v>
      </c>
      <c r="AD1947" s="66"/>
      <c r="AE1947" s="66"/>
      <c r="AF1947" s="66"/>
      <c r="AG1947" s="66"/>
      <c r="AH1947" s="66"/>
      <c r="AI1947" s="66"/>
      <c r="AJ1947" s="66"/>
      <c r="AK1947" s="66"/>
      <c r="AL1947" s="66"/>
      <c r="AM1947" s="66"/>
      <c r="AN1947" s="66"/>
      <c r="AO1947" s="66"/>
      <c r="AP1947" s="66"/>
      <c r="AQ1947" s="66"/>
      <c r="AR1947" s="66"/>
      <c r="AS1947" s="66"/>
      <c r="AT1947" s="66"/>
      <c r="AU1947" s="66"/>
      <c r="AV1947" s="66"/>
      <c r="AW1947" s="66"/>
      <c r="AX1947" s="66"/>
      <c r="AY1947" s="66"/>
      <c r="AZ1947" s="66"/>
      <c r="BA1947" s="66"/>
      <c r="BB1947" s="66"/>
      <c r="BC1947" s="66"/>
      <c r="BD1947" s="66"/>
      <c r="BE1947" s="67"/>
      <c r="BF1947" s="67"/>
      <c r="BG1947" s="68"/>
      <c r="BI1947" s="69">
        <v>0</v>
      </c>
      <c r="BJ1947" s="70">
        <v>0</v>
      </c>
      <c r="BK1947" s="71">
        <v>0</v>
      </c>
      <c r="BL1947" s="71">
        <v>0</v>
      </c>
      <c r="BM1947" s="71">
        <v>0</v>
      </c>
      <c r="BN1947" s="72">
        <v>0</v>
      </c>
      <c r="BO1947" s="151" t="e">
        <f t="shared" si="128"/>
        <v>#DIV/0!</v>
      </c>
      <c r="BP1947" s="151" t="e">
        <f t="shared" si="129"/>
        <v>#DIV/0!</v>
      </c>
      <c r="BQ1947" s="71">
        <v>0</v>
      </c>
      <c r="BR1947" s="71">
        <v>0</v>
      </c>
      <c r="BS1947" s="71">
        <v>0</v>
      </c>
      <c r="BT1947" s="72">
        <v>0</v>
      </c>
      <c r="BU1947" s="151" t="e">
        <f t="shared" si="126"/>
        <v>#DIV/0!</v>
      </c>
      <c r="BV1947" s="151" t="e">
        <f t="shared" si="127"/>
        <v>#DIV/0!</v>
      </c>
    </row>
    <row r="1948" ht="30" customHeight="1" spans="1:74">
      <c r="A1948" s="55">
        <v>0</v>
      </c>
      <c r="B1948" s="56">
        <v>0</v>
      </c>
      <c r="C1948" s="57">
        <v>0</v>
      </c>
      <c r="D1948" s="56"/>
      <c r="E1948" s="56"/>
      <c r="F1948" s="91" t="e">
        <f>VLOOKUP(E1948,[1]库存!$B$1:$C$65536,2,FALSE)</f>
        <v>#N/A</v>
      </c>
      <c r="G1948" s="91" t="e">
        <v>#N/A</v>
      </c>
      <c r="H1948" s="154"/>
      <c r="I1948" s="56"/>
      <c r="J1948" s="87"/>
      <c r="K1948" s="61"/>
      <c r="L1948" s="62">
        <v>0</v>
      </c>
      <c r="M1948" s="63">
        <v>0</v>
      </c>
      <c r="N1948" s="64">
        <v>0</v>
      </c>
      <c r="O1948" s="62">
        <v>0</v>
      </c>
      <c r="P1948" s="65">
        <f t="shared" si="130"/>
        <v>0</v>
      </c>
      <c r="Q1948" s="66"/>
      <c r="R1948" s="66"/>
      <c r="S1948" s="66"/>
      <c r="T1948" s="66">
        <v>1907</v>
      </c>
      <c r="U1948" s="66">
        <v>1406</v>
      </c>
      <c r="V1948" s="66">
        <v>2011</v>
      </c>
      <c r="W1948" s="66"/>
      <c r="X1948" s="66"/>
      <c r="Y1948" s="66"/>
      <c r="Z1948" s="66"/>
      <c r="AA1948" s="66">
        <v>2006</v>
      </c>
      <c r="AB1948" s="66"/>
      <c r="AC1948" s="66">
        <v>2051</v>
      </c>
      <c r="AD1948" s="66"/>
      <c r="AE1948" s="66"/>
      <c r="AF1948" s="66"/>
      <c r="AG1948" s="66"/>
      <c r="AH1948" s="66"/>
      <c r="AI1948" s="66"/>
      <c r="AJ1948" s="66"/>
      <c r="AK1948" s="66"/>
      <c r="AL1948" s="66"/>
      <c r="AM1948" s="66"/>
      <c r="AN1948" s="66"/>
      <c r="AO1948" s="66"/>
      <c r="AP1948" s="66"/>
      <c r="AQ1948" s="66"/>
      <c r="AR1948" s="66"/>
      <c r="AS1948" s="66"/>
      <c r="AT1948" s="66"/>
      <c r="AU1948" s="66"/>
      <c r="AV1948" s="66"/>
      <c r="AW1948" s="66"/>
      <c r="AX1948" s="66"/>
      <c r="AY1948" s="66"/>
      <c r="AZ1948" s="66"/>
      <c r="BA1948" s="66"/>
      <c r="BB1948" s="66"/>
      <c r="BC1948" s="66"/>
      <c r="BD1948" s="66"/>
      <c r="BE1948" s="67"/>
      <c r="BF1948" s="67"/>
      <c r="BG1948" s="68"/>
      <c r="BI1948" s="69">
        <v>0</v>
      </c>
      <c r="BJ1948" s="70">
        <v>0</v>
      </c>
      <c r="BK1948" s="71">
        <v>0</v>
      </c>
      <c r="BL1948" s="71">
        <v>0</v>
      </c>
      <c r="BM1948" s="71">
        <v>0</v>
      </c>
      <c r="BN1948" s="72">
        <v>0</v>
      </c>
      <c r="BO1948" s="151" t="e">
        <f t="shared" si="128"/>
        <v>#DIV/0!</v>
      </c>
      <c r="BP1948" s="151" t="e">
        <f t="shared" si="129"/>
        <v>#DIV/0!</v>
      </c>
      <c r="BQ1948" s="71">
        <v>0</v>
      </c>
      <c r="BR1948" s="71">
        <v>0</v>
      </c>
      <c r="BS1948" s="71">
        <v>0</v>
      </c>
      <c r="BT1948" s="72">
        <v>0</v>
      </c>
      <c r="BU1948" s="151" t="e">
        <f t="shared" si="126"/>
        <v>#DIV/0!</v>
      </c>
      <c r="BV1948" s="151" t="e">
        <f t="shared" si="127"/>
        <v>#DIV/0!</v>
      </c>
    </row>
    <row r="1949" ht="30" customHeight="1" spans="1:74">
      <c r="A1949" s="55" t="s">
        <v>211</v>
      </c>
      <c r="B1949" s="56" t="s">
        <v>2247</v>
      </c>
      <c r="C1949" s="57" t="s">
        <v>2261</v>
      </c>
      <c r="D1949" s="232" t="s">
        <v>3095</v>
      </c>
      <c r="E1949" s="232" t="s">
        <v>3096</v>
      </c>
      <c r="F1949" s="113" t="s">
        <v>3102</v>
      </c>
      <c r="G1949" s="113">
        <v>8000005207</v>
      </c>
      <c r="H1949" s="113" t="s">
        <v>3103</v>
      </c>
      <c r="I1949" s="232" t="s">
        <v>3096</v>
      </c>
      <c r="J1949" s="80" t="s">
        <v>65</v>
      </c>
      <c r="K1949" s="61"/>
      <c r="L1949" s="62">
        <v>2</v>
      </c>
      <c r="M1949" s="63">
        <v>1600</v>
      </c>
      <c r="N1949" s="64">
        <v>11</v>
      </c>
      <c r="O1949" s="62">
        <v>2</v>
      </c>
      <c r="P1949" s="65">
        <f t="shared" si="130"/>
        <v>0</v>
      </c>
      <c r="Q1949" s="103"/>
      <c r="R1949" s="66"/>
      <c r="S1949" s="103"/>
      <c r="T1949" s="66"/>
      <c r="U1949" s="103"/>
      <c r="V1949" s="66"/>
      <c r="W1949" s="103"/>
      <c r="X1949" s="66"/>
      <c r="Y1949" s="103"/>
      <c r="Z1949" s="66"/>
      <c r="AA1949" s="103"/>
      <c r="AB1949" s="66"/>
      <c r="AC1949" s="103"/>
      <c r="AD1949" s="66"/>
      <c r="AE1949" s="103"/>
      <c r="AF1949" s="66"/>
      <c r="AG1949" s="103"/>
      <c r="AH1949" s="66"/>
      <c r="AI1949" s="103"/>
      <c r="AJ1949" s="66"/>
      <c r="AK1949" s="103"/>
      <c r="AL1949" s="66"/>
      <c r="AM1949" s="103"/>
      <c r="AN1949" s="66"/>
      <c r="AO1949" s="103"/>
      <c r="AP1949" s="66"/>
      <c r="AQ1949" s="103"/>
      <c r="AR1949" s="66"/>
      <c r="AS1949" s="103"/>
      <c r="AT1949" s="66"/>
      <c r="AU1949" s="103"/>
      <c r="AV1949" s="66"/>
      <c r="AW1949" s="103"/>
      <c r="AX1949" s="66"/>
      <c r="AY1949" s="103"/>
      <c r="AZ1949" s="66"/>
      <c r="BA1949" s="103"/>
      <c r="BB1949" s="66"/>
      <c r="BC1949" s="103"/>
      <c r="BD1949" s="66"/>
      <c r="BE1949" s="67"/>
      <c r="BF1949" s="67"/>
      <c r="BG1949" s="68"/>
      <c r="BI1949" s="69">
        <v>0</v>
      </c>
      <c r="BJ1949" s="70">
        <v>0</v>
      </c>
      <c r="BK1949" s="71">
        <v>0</v>
      </c>
      <c r="BL1949" s="71">
        <v>0</v>
      </c>
      <c r="BM1949" s="71">
        <v>0</v>
      </c>
      <c r="BN1949" s="72">
        <v>0</v>
      </c>
      <c r="BO1949" s="151" t="e">
        <f t="shared" si="128"/>
        <v>#DIV/0!</v>
      </c>
      <c r="BP1949" s="151" t="e">
        <f t="shared" si="129"/>
        <v>#DIV/0!</v>
      </c>
      <c r="BQ1949" s="71">
        <v>0</v>
      </c>
      <c r="BR1949" s="71">
        <v>0</v>
      </c>
      <c r="BS1949" s="71">
        <v>0</v>
      </c>
      <c r="BT1949" s="72">
        <v>0</v>
      </c>
      <c r="BU1949" s="151" t="e">
        <f t="shared" si="126"/>
        <v>#DIV/0!</v>
      </c>
      <c r="BV1949" s="151" t="e">
        <f t="shared" si="127"/>
        <v>#DIV/0!</v>
      </c>
    </row>
    <row r="1950" ht="30" customHeight="1" spans="1:74">
      <c r="A1950" s="55">
        <v>0</v>
      </c>
      <c r="B1950" s="56">
        <v>0</v>
      </c>
      <c r="C1950" s="57">
        <v>0</v>
      </c>
      <c r="D1950" s="232"/>
      <c r="E1950" s="232"/>
      <c r="F1950" s="113" t="e">
        <f>VLOOKUP(E1950,[1]库存!$B$1:$C$65536,2,FALSE)</f>
        <v>#N/A</v>
      </c>
      <c r="G1950" s="113" t="e">
        <v>#N/A</v>
      </c>
      <c r="H1950" s="233"/>
      <c r="I1950" s="232"/>
      <c r="J1950" s="81"/>
      <c r="K1950" s="61"/>
      <c r="L1950" s="62">
        <v>0</v>
      </c>
      <c r="M1950" s="63">
        <v>0</v>
      </c>
      <c r="N1950" s="64">
        <v>0</v>
      </c>
      <c r="O1950" s="62">
        <v>0</v>
      </c>
      <c r="P1950" s="65">
        <f t="shared" si="130"/>
        <v>0</v>
      </c>
      <c r="Q1950" s="66"/>
      <c r="R1950" s="66"/>
      <c r="S1950" s="66"/>
      <c r="T1950" s="66"/>
      <c r="U1950" s="66"/>
      <c r="V1950" s="66"/>
      <c r="W1950" s="66"/>
      <c r="X1950" s="66"/>
      <c r="Y1950" s="66"/>
      <c r="Z1950" s="66"/>
      <c r="AA1950" s="66"/>
      <c r="AB1950" s="66"/>
      <c r="AC1950" s="66"/>
      <c r="AD1950" s="66"/>
      <c r="AE1950" s="66"/>
      <c r="AF1950" s="66"/>
      <c r="AG1950" s="66"/>
      <c r="AH1950" s="66"/>
      <c r="AI1950" s="66"/>
      <c r="AJ1950" s="66"/>
      <c r="AK1950" s="66"/>
      <c r="AL1950" s="66"/>
      <c r="AM1950" s="66"/>
      <c r="AN1950" s="66"/>
      <c r="AO1950" s="66"/>
      <c r="AP1950" s="66"/>
      <c r="AQ1950" s="66"/>
      <c r="AR1950" s="66"/>
      <c r="AS1950" s="66"/>
      <c r="AT1950" s="66"/>
      <c r="AU1950" s="66"/>
      <c r="AV1950" s="66"/>
      <c r="AW1950" s="66"/>
      <c r="AX1950" s="66"/>
      <c r="AY1950" s="66"/>
      <c r="AZ1950" s="66"/>
      <c r="BA1950" s="66"/>
      <c r="BB1950" s="66"/>
      <c r="BC1950" s="66"/>
      <c r="BD1950" s="66"/>
      <c r="BE1950" s="67"/>
      <c r="BF1950" s="67"/>
      <c r="BG1950" s="68"/>
      <c r="BI1950" s="69">
        <v>0</v>
      </c>
      <c r="BJ1950" s="70">
        <v>0</v>
      </c>
      <c r="BK1950" s="71">
        <v>0</v>
      </c>
      <c r="BL1950" s="71">
        <v>0</v>
      </c>
      <c r="BM1950" s="71">
        <v>0</v>
      </c>
      <c r="BN1950" s="72">
        <v>0</v>
      </c>
      <c r="BO1950" s="151" t="e">
        <f t="shared" si="128"/>
        <v>#DIV/0!</v>
      </c>
      <c r="BP1950" s="151" t="e">
        <f t="shared" si="129"/>
        <v>#DIV/0!</v>
      </c>
      <c r="BQ1950" s="71">
        <v>0</v>
      </c>
      <c r="BR1950" s="71">
        <v>0</v>
      </c>
      <c r="BS1950" s="71">
        <v>0</v>
      </c>
      <c r="BT1950" s="72">
        <v>0</v>
      </c>
      <c r="BU1950" s="151" t="e">
        <f t="shared" si="126"/>
        <v>#DIV/0!</v>
      </c>
      <c r="BV1950" s="151" t="e">
        <f t="shared" si="127"/>
        <v>#DIV/0!</v>
      </c>
    </row>
    <row r="1951" ht="30" customHeight="1" spans="1:74">
      <c r="A1951" s="55" t="s">
        <v>211</v>
      </c>
      <c r="B1951" s="56" t="s">
        <v>2247</v>
      </c>
      <c r="C1951" s="57" t="s">
        <v>2261</v>
      </c>
      <c r="D1951" s="232" t="s">
        <v>3095</v>
      </c>
      <c r="E1951" s="232" t="s">
        <v>3099</v>
      </c>
      <c r="F1951" s="113" t="s">
        <v>3104</v>
      </c>
      <c r="G1951" s="113">
        <v>8000005208</v>
      </c>
      <c r="H1951" s="113" t="s">
        <v>3105</v>
      </c>
      <c r="I1951" s="232" t="s">
        <v>3099</v>
      </c>
      <c r="J1951" s="80" t="s">
        <v>65</v>
      </c>
      <c r="K1951" s="61"/>
      <c r="L1951" s="62">
        <v>2</v>
      </c>
      <c r="M1951" s="63">
        <v>1600</v>
      </c>
      <c r="N1951" s="64">
        <v>11</v>
      </c>
      <c r="O1951" s="62">
        <v>2</v>
      </c>
      <c r="P1951" s="65">
        <f t="shared" si="130"/>
        <v>0</v>
      </c>
      <c r="Q1951" s="103"/>
      <c r="R1951" s="66"/>
      <c r="S1951" s="103"/>
      <c r="T1951" s="66"/>
      <c r="U1951" s="103"/>
      <c r="V1951" s="66"/>
      <c r="W1951" s="103"/>
      <c r="X1951" s="66"/>
      <c r="Y1951" s="103"/>
      <c r="Z1951" s="66"/>
      <c r="AA1951" s="103"/>
      <c r="AB1951" s="66"/>
      <c r="AC1951" s="103"/>
      <c r="AD1951" s="66"/>
      <c r="AE1951" s="103"/>
      <c r="AF1951" s="66"/>
      <c r="AG1951" s="103"/>
      <c r="AH1951" s="66"/>
      <c r="AI1951" s="103"/>
      <c r="AJ1951" s="66"/>
      <c r="AK1951" s="103"/>
      <c r="AL1951" s="66"/>
      <c r="AM1951" s="103"/>
      <c r="AN1951" s="66"/>
      <c r="AO1951" s="103"/>
      <c r="AP1951" s="66"/>
      <c r="AQ1951" s="103"/>
      <c r="AR1951" s="66"/>
      <c r="AS1951" s="103"/>
      <c r="AT1951" s="66"/>
      <c r="AU1951" s="103"/>
      <c r="AV1951" s="66"/>
      <c r="AW1951" s="103"/>
      <c r="AX1951" s="66"/>
      <c r="AY1951" s="103"/>
      <c r="AZ1951" s="66"/>
      <c r="BA1951" s="103"/>
      <c r="BB1951" s="66"/>
      <c r="BC1951" s="103"/>
      <c r="BD1951" s="66"/>
      <c r="BE1951" s="67"/>
      <c r="BF1951" s="67"/>
      <c r="BG1951" s="68"/>
      <c r="BI1951" s="69">
        <v>0</v>
      </c>
      <c r="BJ1951" s="70">
        <v>0</v>
      </c>
      <c r="BK1951" s="71">
        <v>0</v>
      </c>
      <c r="BL1951" s="71">
        <v>0</v>
      </c>
      <c r="BM1951" s="71">
        <v>0</v>
      </c>
      <c r="BN1951" s="72">
        <v>0</v>
      </c>
      <c r="BO1951" s="151" t="e">
        <f t="shared" si="128"/>
        <v>#DIV/0!</v>
      </c>
      <c r="BP1951" s="151" t="e">
        <f t="shared" si="129"/>
        <v>#DIV/0!</v>
      </c>
      <c r="BQ1951" s="71">
        <v>0</v>
      </c>
      <c r="BR1951" s="71">
        <v>0</v>
      </c>
      <c r="BS1951" s="71">
        <v>0</v>
      </c>
      <c r="BT1951" s="72">
        <v>0</v>
      </c>
      <c r="BU1951" s="151" t="e">
        <f t="shared" si="126"/>
        <v>#DIV/0!</v>
      </c>
      <c r="BV1951" s="151" t="e">
        <f t="shared" si="127"/>
        <v>#DIV/0!</v>
      </c>
    </row>
    <row r="1952" ht="30" customHeight="1" spans="1:74">
      <c r="A1952" s="55">
        <v>0</v>
      </c>
      <c r="B1952" s="56">
        <v>0</v>
      </c>
      <c r="C1952" s="57">
        <v>0</v>
      </c>
      <c r="D1952" s="232"/>
      <c r="E1952" s="232"/>
      <c r="F1952" s="113" t="e">
        <f>VLOOKUP(E1952,[1]库存!$B$1:$C$65536,2,FALSE)</f>
        <v>#N/A</v>
      </c>
      <c r="G1952" s="113" t="e">
        <v>#N/A</v>
      </c>
      <c r="H1952" s="233"/>
      <c r="I1952" s="232"/>
      <c r="J1952" s="81"/>
      <c r="K1952" s="61"/>
      <c r="L1952" s="62">
        <v>0</v>
      </c>
      <c r="M1952" s="63">
        <v>0</v>
      </c>
      <c r="N1952" s="64">
        <v>0</v>
      </c>
      <c r="O1952" s="62">
        <v>0</v>
      </c>
      <c r="P1952" s="65">
        <f t="shared" si="130"/>
        <v>0</v>
      </c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  <c r="AA1952" s="66"/>
      <c r="AB1952" s="66"/>
      <c r="AC1952" s="66"/>
      <c r="AD1952" s="66"/>
      <c r="AE1952" s="66"/>
      <c r="AF1952" s="66"/>
      <c r="AG1952" s="66"/>
      <c r="AH1952" s="66"/>
      <c r="AI1952" s="66"/>
      <c r="AJ1952" s="66"/>
      <c r="AK1952" s="66"/>
      <c r="AL1952" s="66"/>
      <c r="AM1952" s="66"/>
      <c r="AN1952" s="66"/>
      <c r="AO1952" s="66"/>
      <c r="AP1952" s="66"/>
      <c r="AQ1952" s="66"/>
      <c r="AR1952" s="66"/>
      <c r="AS1952" s="66"/>
      <c r="AT1952" s="66"/>
      <c r="AU1952" s="66"/>
      <c r="AV1952" s="66"/>
      <c r="AW1952" s="66"/>
      <c r="AX1952" s="66"/>
      <c r="AY1952" s="66"/>
      <c r="AZ1952" s="66"/>
      <c r="BA1952" s="66"/>
      <c r="BB1952" s="66"/>
      <c r="BC1952" s="66"/>
      <c r="BD1952" s="66"/>
      <c r="BE1952" s="67"/>
      <c r="BF1952" s="67"/>
      <c r="BG1952" s="68"/>
      <c r="BI1952" s="69">
        <v>0</v>
      </c>
      <c r="BJ1952" s="70">
        <v>0</v>
      </c>
      <c r="BK1952" s="71">
        <v>0</v>
      </c>
      <c r="BL1952" s="71">
        <v>0</v>
      </c>
      <c r="BM1952" s="71">
        <v>0</v>
      </c>
      <c r="BN1952" s="72">
        <v>0</v>
      </c>
      <c r="BO1952" s="151" t="e">
        <f t="shared" si="128"/>
        <v>#DIV/0!</v>
      </c>
      <c r="BP1952" s="151" t="e">
        <f t="shared" si="129"/>
        <v>#DIV/0!</v>
      </c>
      <c r="BQ1952" s="71">
        <v>0</v>
      </c>
      <c r="BR1952" s="71">
        <v>0</v>
      </c>
      <c r="BS1952" s="71">
        <v>0</v>
      </c>
      <c r="BT1952" s="72">
        <v>0</v>
      </c>
      <c r="BU1952" s="151" t="e">
        <f t="shared" si="126"/>
        <v>#DIV/0!</v>
      </c>
      <c r="BV1952" s="151" t="e">
        <f t="shared" si="127"/>
        <v>#DIV/0!</v>
      </c>
    </row>
    <row r="1953" ht="30" customHeight="1" spans="1:74">
      <c r="A1953" s="55" t="s">
        <v>211</v>
      </c>
      <c r="B1953" s="56" t="s">
        <v>2247</v>
      </c>
      <c r="C1953" s="57" t="s">
        <v>2261</v>
      </c>
      <c r="D1953" s="52" t="s">
        <v>3095</v>
      </c>
      <c r="E1953" s="52" t="s">
        <v>3106</v>
      </c>
      <c r="F1953" s="59" t="e">
        <f>VLOOKUP(E1953,[1]库存!$B$1:$C$65536,2,FALSE)</f>
        <v>#N/A</v>
      </c>
      <c r="G1953" s="59" t="e">
        <v>#N/A</v>
      </c>
      <c r="H1953" s="59" t="s">
        <v>3107</v>
      </c>
      <c r="I1953" s="52" t="s">
        <v>729</v>
      </c>
      <c r="J1953" s="63"/>
      <c r="K1953" s="61"/>
      <c r="L1953" s="62">
        <v>2</v>
      </c>
      <c r="M1953" s="63">
        <v>1450</v>
      </c>
      <c r="N1953" s="64">
        <v>11</v>
      </c>
      <c r="O1953" s="62">
        <v>2</v>
      </c>
      <c r="P1953" s="65">
        <f t="shared" si="130"/>
        <v>0</v>
      </c>
      <c r="Q1953" s="103"/>
      <c r="R1953" s="66"/>
      <c r="S1953" s="103"/>
      <c r="T1953" s="66"/>
      <c r="U1953" s="103"/>
      <c r="V1953" s="66"/>
      <c r="W1953" s="103"/>
      <c r="X1953" s="66"/>
      <c r="Y1953" s="103"/>
      <c r="Z1953" s="66"/>
      <c r="AA1953" s="103"/>
      <c r="AB1953" s="66"/>
      <c r="AC1953" s="103"/>
      <c r="AD1953" s="66"/>
      <c r="AE1953" s="103"/>
      <c r="AF1953" s="66"/>
      <c r="AG1953" s="103"/>
      <c r="AH1953" s="66"/>
      <c r="AI1953" s="103"/>
      <c r="AJ1953" s="66"/>
      <c r="AK1953" s="103"/>
      <c r="AL1953" s="66"/>
      <c r="AM1953" s="103"/>
      <c r="AN1953" s="66"/>
      <c r="AO1953" s="103"/>
      <c r="AP1953" s="66"/>
      <c r="AQ1953" s="103"/>
      <c r="AR1953" s="66"/>
      <c r="AS1953" s="103"/>
      <c r="AT1953" s="66"/>
      <c r="AU1953" s="103"/>
      <c r="AV1953" s="66"/>
      <c r="AW1953" s="103"/>
      <c r="AX1953" s="66"/>
      <c r="AY1953" s="103"/>
      <c r="AZ1953" s="66"/>
      <c r="BA1953" s="103"/>
      <c r="BB1953" s="66"/>
      <c r="BC1953" s="103"/>
      <c r="BD1953" s="66"/>
      <c r="BE1953" s="67"/>
      <c r="BF1953" s="67"/>
      <c r="BG1953" s="68"/>
      <c r="BI1953" s="69">
        <v>0</v>
      </c>
      <c r="BJ1953" s="70">
        <v>0</v>
      </c>
      <c r="BK1953" s="71">
        <v>0</v>
      </c>
      <c r="BL1953" s="71">
        <v>0</v>
      </c>
      <c r="BM1953" s="71">
        <v>0</v>
      </c>
      <c r="BN1953" s="72">
        <v>0</v>
      </c>
      <c r="BO1953" s="151" t="e">
        <f t="shared" si="128"/>
        <v>#DIV/0!</v>
      </c>
      <c r="BP1953" s="151" t="e">
        <f t="shared" si="129"/>
        <v>#DIV/0!</v>
      </c>
      <c r="BQ1953" s="71">
        <v>0</v>
      </c>
      <c r="BR1953" s="71">
        <v>0</v>
      </c>
      <c r="BS1953" s="71">
        <v>0</v>
      </c>
      <c r="BT1953" s="72">
        <v>0</v>
      </c>
      <c r="BU1953" s="151" t="e">
        <f t="shared" si="126"/>
        <v>#DIV/0!</v>
      </c>
      <c r="BV1953" s="151" t="e">
        <f t="shared" si="127"/>
        <v>#DIV/0!</v>
      </c>
    </row>
    <row r="1954" ht="30" customHeight="1" spans="1:74">
      <c r="A1954" s="55">
        <v>0</v>
      </c>
      <c r="B1954" s="56">
        <v>0</v>
      </c>
      <c r="C1954" s="57">
        <v>0</v>
      </c>
      <c r="D1954" s="52"/>
      <c r="E1954" s="52"/>
      <c r="F1954" s="59" t="e">
        <f>VLOOKUP(E1954,[1]库存!$B$1:$C$65536,2,FALSE)</f>
        <v>#N/A</v>
      </c>
      <c r="G1954" s="59" t="e">
        <v>#N/A</v>
      </c>
      <c r="H1954" s="152"/>
      <c r="I1954" s="52"/>
      <c r="J1954" s="87"/>
      <c r="K1954" s="61"/>
      <c r="L1954" s="62">
        <v>0</v>
      </c>
      <c r="M1954" s="63">
        <v>0</v>
      </c>
      <c r="N1954" s="64">
        <v>0</v>
      </c>
      <c r="O1954" s="62">
        <v>0</v>
      </c>
      <c r="P1954" s="65">
        <f t="shared" si="130"/>
        <v>0</v>
      </c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  <c r="AA1954" s="66"/>
      <c r="AB1954" s="66"/>
      <c r="AC1954" s="66"/>
      <c r="AD1954" s="66"/>
      <c r="AE1954" s="66"/>
      <c r="AF1954" s="66"/>
      <c r="AG1954" s="66"/>
      <c r="AH1954" s="66"/>
      <c r="AI1954" s="66"/>
      <c r="AJ1954" s="66"/>
      <c r="AK1954" s="66"/>
      <c r="AL1954" s="66"/>
      <c r="AM1954" s="66"/>
      <c r="AN1954" s="66"/>
      <c r="AO1954" s="66"/>
      <c r="AP1954" s="66"/>
      <c r="AQ1954" s="66"/>
      <c r="AR1954" s="66"/>
      <c r="AS1954" s="66"/>
      <c r="AT1954" s="66"/>
      <c r="AU1954" s="66"/>
      <c r="AV1954" s="66"/>
      <c r="AW1954" s="66"/>
      <c r="AX1954" s="66"/>
      <c r="AY1954" s="66"/>
      <c r="AZ1954" s="66"/>
      <c r="BA1954" s="66"/>
      <c r="BB1954" s="66"/>
      <c r="BC1954" s="66"/>
      <c r="BD1954" s="66"/>
      <c r="BE1954" s="67"/>
      <c r="BF1954" s="67"/>
      <c r="BG1954" s="68"/>
      <c r="BI1954" s="69">
        <v>0</v>
      </c>
      <c r="BJ1954" s="70">
        <v>0</v>
      </c>
      <c r="BK1954" s="71">
        <v>0</v>
      </c>
      <c r="BL1954" s="71">
        <v>0</v>
      </c>
      <c r="BM1954" s="71">
        <v>0</v>
      </c>
      <c r="BN1954" s="72">
        <v>0</v>
      </c>
      <c r="BO1954" s="151" t="e">
        <f t="shared" si="128"/>
        <v>#DIV/0!</v>
      </c>
      <c r="BP1954" s="151" t="e">
        <f t="shared" si="129"/>
        <v>#DIV/0!</v>
      </c>
      <c r="BQ1954" s="71">
        <v>0</v>
      </c>
      <c r="BR1954" s="71">
        <v>0</v>
      </c>
      <c r="BS1954" s="71">
        <v>0</v>
      </c>
      <c r="BT1954" s="72">
        <v>0</v>
      </c>
      <c r="BU1954" s="151" t="e">
        <f t="shared" si="126"/>
        <v>#DIV/0!</v>
      </c>
      <c r="BV1954" s="151" t="e">
        <f t="shared" si="127"/>
        <v>#DIV/0!</v>
      </c>
    </row>
    <row r="1955" ht="30" customHeight="1" spans="1:74">
      <c r="A1955" s="55" t="s">
        <v>211</v>
      </c>
      <c r="B1955" s="56" t="s">
        <v>2247</v>
      </c>
      <c r="C1955" s="57" t="s">
        <v>2261</v>
      </c>
      <c r="D1955" s="52" t="s">
        <v>3095</v>
      </c>
      <c r="E1955" s="52" t="s">
        <v>3108</v>
      </c>
      <c r="F1955" s="59" t="e">
        <f>VLOOKUP(E1955,[1]库存!$B$1:$C$65536,2,FALSE)</f>
        <v>#N/A</v>
      </c>
      <c r="G1955" s="59" t="e">
        <v>#N/A</v>
      </c>
      <c r="H1955" s="59" t="s">
        <v>3109</v>
      </c>
      <c r="I1955" s="52" t="s">
        <v>729</v>
      </c>
      <c r="J1955" s="63"/>
      <c r="K1955" s="61"/>
      <c r="L1955" s="62">
        <v>2</v>
      </c>
      <c r="M1955" s="63">
        <v>1450</v>
      </c>
      <c r="N1955" s="64">
        <v>11</v>
      </c>
      <c r="O1955" s="62">
        <v>2</v>
      </c>
      <c r="P1955" s="65">
        <f t="shared" si="130"/>
        <v>0</v>
      </c>
      <c r="Q1955" s="103"/>
      <c r="R1955" s="66"/>
      <c r="S1955" s="103"/>
      <c r="T1955" s="66"/>
      <c r="U1955" s="103"/>
      <c r="V1955" s="66"/>
      <c r="W1955" s="103"/>
      <c r="X1955" s="66"/>
      <c r="Y1955" s="103"/>
      <c r="Z1955" s="66"/>
      <c r="AA1955" s="103"/>
      <c r="AB1955" s="66"/>
      <c r="AC1955" s="103"/>
      <c r="AD1955" s="66"/>
      <c r="AE1955" s="103"/>
      <c r="AF1955" s="66"/>
      <c r="AG1955" s="103"/>
      <c r="AH1955" s="66"/>
      <c r="AI1955" s="103"/>
      <c r="AJ1955" s="66"/>
      <c r="AK1955" s="103"/>
      <c r="AL1955" s="66"/>
      <c r="AM1955" s="103"/>
      <c r="AN1955" s="66"/>
      <c r="AO1955" s="103"/>
      <c r="AP1955" s="66"/>
      <c r="AQ1955" s="103"/>
      <c r="AR1955" s="66"/>
      <c r="AS1955" s="103"/>
      <c r="AT1955" s="66"/>
      <c r="AU1955" s="103"/>
      <c r="AV1955" s="66"/>
      <c r="AW1955" s="103"/>
      <c r="AX1955" s="66"/>
      <c r="AY1955" s="103"/>
      <c r="AZ1955" s="66"/>
      <c r="BA1955" s="103"/>
      <c r="BB1955" s="66"/>
      <c r="BC1955" s="103"/>
      <c r="BD1955" s="66"/>
      <c r="BE1955" s="67"/>
      <c r="BF1955" s="67"/>
      <c r="BG1955" s="68"/>
      <c r="BI1955" s="69">
        <v>0</v>
      </c>
      <c r="BJ1955" s="70">
        <v>0</v>
      </c>
      <c r="BK1955" s="71">
        <v>0</v>
      </c>
      <c r="BL1955" s="71">
        <v>0</v>
      </c>
      <c r="BM1955" s="71">
        <v>0</v>
      </c>
      <c r="BN1955" s="72">
        <v>0</v>
      </c>
      <c r="BO1955" s="151" t="e">
        <f t="shared" si="128"/>
        <v>#DIV/0!</v>
      </c>
      <c r="BP1955" s="151" t="e">
        <f t="shared" si="129"/>
        <v>#DIV/0!</v>
      </c>
      <c r="BQ1955" s="71">
        <v>0</v>
      </c>
      <c r="BR1955" s="71">
        <v>0</v>
      </c>
      <c r="BS1955" s="71">
        <v>0</v>
      </c>
      <c r="BT1955" s="72">
        <v>0</v>
      </c>
      <c r="BU1955" s="151" t="e">
        <f t="shared" si="126"/>
        <v>#DIV/0!</v>
      </c>
      <c r="BV1955" s="151" t="e">
        <f t="shared" si="127"/>
        <v>#DIV/0!</v>
      </c>
    </row>
    <row r="1956" ht="30" customHeight="1" spans="1:74">
      <c r="A1956" s="55">
        <v>0</v>
      </c>
      <c r="B1956" s="56">
        <v>0</v>
      </c>
      <c r="C1956" s="57">
        <v>0</v>
      </c>
      <c r="D1956" s="52"/>
      <c r="E1956" s="52"/>
      <c r="F1956" s="59" t="e">
        <f>VLOOKUP(E1956,[1]库存!$B$1:$C$65536,2,FALSE)</f>
        <v>#N/A</v>
      </c>
      <c r="G1956" s="59" t="e">
        <v>#N/A</v>
      </c>
      <c r="H1956" s="152"/>
      <c r="I1956" s="52"/>
      <c r="J1956" s="87"/>
      <c r="K1956" s="61"/>
      <c r="L1956" s="62">
        <v>0</v>
      </c>
      <c r="M1956" s="63">
        <v>0</v>
      </c>
      <c r="N1956" s="64">
        <v>0</v>
      </c>
      <c r="O1956" s="62">
        <v>0</v>
      </c>
      <c r="P1956" s="65">
        <f t="shared" si="130"/>
        <v>0</v>
      </c>
      <c r="Q1956" s="66"/>
      <c r="R1956" s="66"/>
      <c r="S1956" s="66"/>
      <c r="T1956" s="66"/>
      <c r="U1956" s="66"/>
      <c r="V1956" s="66"/>
      <c r="W1956" s="66"/>
      <c r="X1956" s="66"/>
      <c r="Y1956" s="66"/>
      <c r="Z1956" s="66"/>
      <c r="AA1956" s="66"/>
      <c r="AB1956" s="66"/>
      <c r="AC1956" s="66"/>
      <c r="AD1956" s="66"/>
      <c r="AE1956" s="66"/>
      <c r="AF1956" s="66"/>
      <c r="AG1956" s="66"/>
      <c r="AH1956" s="66"/>
      <c r="AI1956" s="66"/>
      <c r="AJ1956" s="66"/>
      <c r="AK1956" s="66"/>
      <c r="AL1956" s="66"/>
      <c r="AM1956" s="66"/>
      <c r="AN1956" s="66"/>
      <c r="AO1956" s="66"/>
      <c r="AP1956" s="66"/>
      <c r="AQ1956" s="66"/>
      <c r="AR1956" s="66"/>
      <c r="AS1956" s="66"/>
      <c r="AT1956" s="66"/>
      <c r="AU1956" s="66"/>
      <c r="AV1956" s="66"/>
      <c r="AW1956" s="66"/>
      <c r="AX1956" s="66"/>
      <c r="AY1956" s="66"/>
      <c r="AZ1956" s="66"/>
      <c r="BA1956" s="66"/>
      <c r="BB1956" s="66"/>
      <c r="BC1956" s="66"/>
      <c r="BD1956" s="66"/>
      <c r="BE1956" s="67"/>
      <c r="BF1956" s="67"/>
      <c r="BG1956" s="68"/>
      <c r="BI1956" s="69">
        <v>0</v>
      </c>
      <c r="BJ1956" s="70">
        <v>0</v>
      </c>
      <c r="BK1956" s="71">
        <v>0</v>
      </c>
      <c r="BL1956" s="71">
        <v>0</v>
      </c>
      <c r="BM1956" s="71">
        <v>0</v>
      </c>
      <c r="BN1956" s="72">
        <v>0</v>
      </c>
      <c r="BO1956" s="151" t="e">
        <f t="shared" si="128"/>
        <v>#DIV/0!</v>
      </c>
      <c r="BP1956" s="151" t="e">
        <f t="shared" si="129"/>
        <v>#DIV/0!</v>
      </c>
      <c r="BQ1956" s="71">
        <v>0</v>
      </c>
      <c r="BR1956" s="71">
        <v>0</v>
      </c>
      <c r="BS1956" s="71">
        <v>0</v>
      </c>
      <c r="BT1956" s="72">
        <v>0</v>
      </c>
      <c r="BU1956" s="151" t="e">
        <f t="shared" si="126"/>
        <v>#DIV/0!</v>
      </c>
      <c r="BV1956" s="151" t="e">
        <f t="shared" si="127"/>
        <v>#DIV/0!</v>
      </c>
    </row>
    <row r="1957" ht="30" customHeight="1" spans="1:74">
      <c r="A1957" s="55">
        <v>0</v>
      </c>
      <c r="B1957" s="56" t="s">
        <v>2247</v>
      </c>
      <c r="C1957" s="57" t="s">
        <v>2261</v>
      </c>
      <c r="D1957" s="52" t="s">
        <v>3095</v>
      </c>
      <c r="E1957" s="52"/>
      <c r="F1957" s="59" t="e">
        <f>VLOOKUP(E1957,[1]库存!$B$1:$C$65536,2,FALSE)</f>
        <v>#N/A</v>
      </c>
      <c r="G1957" s="59" t="e">
        <v>#N/A</v>
      </c>
      <c r="H1957" s="59" t="s">
        <v>3110</v>
      </c>
      <c r="I1957" s="52" t="s">
        <v>3111</v>
      </c>
      <c r="J1957" s="63"/>
      <c r="K1957" s="61"/>
      <c r="L1957" s="62">
        <v>2</v>
      </c>
      <c r="M1957" s="63">
        <v>1450</v>
      </c>
      <c r="N1957" s="64">
        <v>11</v>
      </c>
      <c r="O1957" s="62">
        <v>2</v>
      </c>
      <c r="P1957" s="65">
        <f t="shared" si="130"/>
        <v>0</v>
      </c>
      <c r="Q1957" s="103"/>
      <c r="R1957" s="66"/>
      <c r="S1957" s="103"/>
      <c r="T1957" s="66"/>
      <c r="U1957" s="103"/>
      <c r="V1957" s="66"/>
      <c r="W1957" s="103"/>
      <c r="X1957" s="66"/>
      <c r="Y1957" s="103"/>
      <c r="Z1957" s="66"/>
      <c r="AA1957" s="103"/>
      <c r="AB1957" s="66"/>
      <c r="AC1957" s="103"/>
      <c r="AD1957" s="66"/>
      <c r="AE1957" s="103"/>
      <c r="AF1957" s="66"/>
      <c r="AG1957" s="103"/>
      <c r="AH1957" s="66"/>
      <c r="AI1957" s="103"/>
      <c r="AJ1957" s="66"/>
      <c r="AK1957" s="103"/>
      <c r="AL1957" s="66"/>
      <c r="AM1957" s="103"/>
      <c r="AN1957" s="66"/>
      <c r="AO1957" s="103"/>
      <c r="AP1957" s="66"/>
      <c r="AQ1957" s="103"/>
      <c r="AR1957" s="66"/>
      <c r="AS1957" s="103"/>
      <c r="AT1957" s="66"/>
      <c r="AU1957" s="103"/>
      <c r="AV1957" s="66"/>
      <c r="AW1957" s="103"/>
      <c r="AX1957" s="66"/>
      <c r="AY1957" s="103"/>
      <c r="AZ1957" s="66"/>
      <c r="BA1957" s="103"/>
      <c r="BB1957" s="66"/>
      <c r="BC1957" s="103"/>
      <c r="BD1957" s="66"/>
      <c r="BE1957" s="67"/>
      <c r="BF1957" s="67"/>
      <c r="BG1957" s="68"/>
      <c r="BI1957" s="69">
        <v>0</v>
      </c>
      <c r="BJ1957" s="70">
        <v>0</v>
      </c>
      <c r="BK1957" s="71">
        <v>0</v>
      </c>
      <c r="BL1957" s="71">
        <v>0</v>
      </c>
      <c r="BM1957" s="71">
        <v>0</v>
      </c>
      <c r="BN1957" s="72">
        <v>0</v>
      </c>
      <c r="BO1957" s="151" t="e">
        <f t="shared" si="128"/>
        <v>#DIV/0!</v>
      </c>
      <c r="BP1957" s="151" t="e">
        <f t="shared" si="129"/>
        <v>#DIV/0!</v>
      </c>
      <c r="BQ1957" s="71">
        <v>0</v>
      </c>
      <c r="BR1957" s="71">
        <v>0</v>
      </c>
      <c r="BS1957" s="71">
        <v>0</v>
      </c>
      <c r="BT1957" s="72">
        <v>0</v>
      </c>
      <c r="BU1957" s="151" t="e">
        <f t="shared" si="126"/>
        <v>#DIV/0!</v>
      </c>
      <c r="BV1957" s="151" t="e">
        <f t="shared" si="127"/>
        <v>#DIV/0!</v>
      </c>
    </row>
    <row r="1958" ht="30" customHeight="1" spans="1:74">
      <c r="A1958" s="55">
        <v>0</v>
      </c>
      <c r="B1958" s="56">
        <v>0</v>
      </c>
      <c r="C1958" s="57">
        <v>0</v>
      </c>
      <c r="D1958" s="52"/>
      <c r="E1958" s="52"/>
      <c r="F1958" s="59" t="e">
        <f>VLOOKUP(E1958,[1]库存!$B$1:$C$65536,2,FALSE)</f>
        <v>#N/A</v>
      </c>
      <c r="G1958" s="59" t="e">
        <v>#N/A</v>
      </c>
      <c r="H1958" s="152"/>
      <c r="I1958" s="52"/>
      <c r="J1958" s="87"/>
      <c r="K1958" s="61"/>
      <c r="L1958" s="62">
        <v>0</v>
      </c>
      <c r="M1958" s="63">
        <v>0</v>
      </c>
      <c r="N1958" s="64">
        <v>0</v>
      </c>
      <c r="O1958" s="62">
        <v>0</v>
      </c>
      <c r="P1958" s="65">
        <f t="shared" si="130"/>
        <v>0</v>
      </c>
      <c r="Q1958" s="66"/>
      <c r="R1958" s="66"/>
      <c r="S1958" s="66"/>
      <c r="T1958" s="66"/>
      <c r="U1958" s="66"/>
      <c r="V1958" s="66"/>
      <c r="W1958" s="66"/>
      <c r="X1958" s="66"/>
      <c r="Y1958" s="66"/>
      <c r="Z1958" s="66"/>
      <c r="AA1958" s="66"/>
      <c r="AB1958" s="66"/>
      <c r="AC1958" s="66"/>
      <c r="AD1958" s="66"/>
      <c r="AE1958" s="66"/>
      <c r="AF1958" s="66"/>
      <c r="AG1958" s="66"/>
      <c r="AH1958" s="66"/>
      <c r="AI1958" s="66"/>
      <c r="AJ1958" s="66"/>
      <c r="AK1958" s="66"/>
      <c r="AL1958" s="66"/>
      <c r="AM1958" s="66"/>
      <c r="AN1958" s="66"/>
      <c r="AO1958" s="66"/>
      <c r="AP1958" s="66"/>
      <c r="AQ1958" s="66"/>
      <c r="AR1958" s="66"/>
      <c r="AS1958" s="66"/>
      <c r="AT1958" s="66"/>
      <c r="AU1958" s="66"/>
      <c r="AV1958" s="66"/>
      <c r="AW1958" s="66"/>
      <c r="AX1958" s="66"/>
      <c r="AY1958" s="66"/>
      <c r="AZ1958" s="66"/>
      <c r="BA1958" s="66"/>
      <c r="BB1958" s="66"/>
      <c r="BC1958" s="66"/>
      <c r="BD1958" s="66"/>
      <c r="BE1958" s="67"/>
      <c r="BF1958" s="67"/>
      <c r="BG1958" s="68"/>
      <c r="BI1958" s="69">
        <v>0</v>
      </c>
      <c r="BJ1958" s="70">
        <v>0</v>
      </c>
      <c r="BK1958" s="71">
        <v>0</v>
      </c>
      <c r="BL1958" s="71">
        <v>0</v>
      </c>
      <c r="BM1958" s="71">
        <v>0</v>
      </c>
      <c r="BN1958" s="72">
        <v>0</v>
      </c>
      <c r="BO1958" s="151" t="e">
        <f t="shared" si="128"/>
        <v>#DIV/0!</v>
      </c>
      <c r="BP1958" s="151" t="e">
        <f t="shared" si="129"/>
        <v>#DIV/0!</v>
      </c>
      <c r="BQ1958" s="71">
        <v>0</v>
      </c>
      <c r="BR1958" s="71">
        <v>0</v>
      </c>
      <c r="BS1958" s="71">
        <v>0</v>
      </c>
      <c r="BT1958" s="72">
        <v>0</v>
      </c>
      <c r="BU1958" s="151" t="e">
        <f t="shared" si="126"/>
        <v>#DIV/0!</v>
      </c>
      <c r="BV1958" s="151" t="e">
        <f t="shared" si="127"/>
        <v>#DIV/0!</v>
      </c>
    </row>
    <row r="1959" ht="30" customHeight="1" spans="1:74">
      <c r="A1959" s="55">
        <v>0</v>
      </c>
      <c r="B1959" s="56" t="s">
        <v>2247</v>
      </c>
      <c r="C1959" s="57" t="s">
        <v>2261</v>
      </c>
      <c r="D1959" s="52" t="s">
        <v>3095</v>
      </c>
      <c r="E1959" s="52"/>
      <c r="F1959" s="59" t="e">
        <f>VLOOKUP(E1959,[1]库存!$B$1:$C$65536,2,FALSE)</f>
        <v>#N/A</v>
      </c>
      <c r="G1959" s="59" t="e">
        <v>#N/A</v>
      </c>
      <c r="H1959" s="59" t="s">
        <v>3112</v>
      </c>
      <c r="I1959" s="52" t="s">
        <v>3113</v>
      </c>
      <c r="J1959" s="63"/>
      <c r="K1959" s="61"/>
      <c r="L1959" s="62">
        <v>2</v>
      </c>
      <c r="M1959" s="63">
        <v>1450</v>
      </c>
      <c r="N1959" s="64">
        <v>11</v>
      </c>
      <c r="O1959" s="62">
        <v>2</v>
      </c>
      <c r="P1959" s="65">
        <f t="shared" si="130"/>
        <v>0</v>
      </c>
      <c r="Q1959" s="103"/>
      <c r="R1959" s="66"/>
      <c r="S1959" s="103"/>
      <c r="T1959" s="66"/>
      <c r="U1959" s="103"/>
      <c r="V1959" s="66"/>
      <c r="W1959" s="103"/>
      <c r="X1959" s="66"/>
      <c r="Y1959" s="103"/>
      <c r="Z1959" s="66"/>
      <c r="AA1959" s="103"/>
      <c r="AB1959" s="66"/>
      <c r="AC1959" s="103"/>
      <c r="AD1959" s="66"/>
      <c r="AE1959" s="103"/>
      <c r="AF1959" s="66"/>
      <c r="AG1959" s="103"/>
      <c r="AH1959" s="66"/>
      <c r="AI1959" s="103"/>
      <c r="AJ1959" s="66"/>
      <c r="AK1959" s="103"/>
      <c r="AL1959" s="66"/>
      <c r="AM1959" s="103"/>
      <c r="AN1959" s="66"/>
      <c r="AO1959" s="103"/>
      <c r="AP1959" s="66"/>
      <c r="AQ1959" s="103"/>
      <c r="AR1959" s="66"/>
      <c r="AS1959" s="103"/>
      <c r="AT1959" s="66"/>
      <c r="AU1959" s="103"/>
      <c r="AV1959" s="66"/>
      <c r="AW1959" s="103"/>
      <c r="AX1959" s="66"/>
      <c r="AY1959" s="103"/>
      <c r="AZ1959" s="66"/>
      <c r="BA1959" s="103"/>
      <c r="BB1959" s="66"/>
      <c r="BC1959" s="103"/>
      <c r="BD1959" s="66"/>
      <c r="BE1959" s="67"/>
      <c r="BF1959" s="67"/>
      <c r="BG1959" s="68"/>
      <c r="BI1959" s="69">
        <v>0</v>
      </c>
      <c r="BJ1959" s="70">
        <v>0</v>
      </c>
      <c r="BK1959" s="71">
        <v>0</v>
      </c>
      <c r="BL1959" s="71">
        <v>0</v>
      </c>
      <c r="BM1959" s="71">
        <v>0</v>
      </c>
      <c r="BN1959" s="72">
        <v>0</v>
      </c>
      <c r="BO1959" s="151" t="e">
        <f t="shared" si="128"/>
        <v>#DIV/0!</v>
      </c>
      <c r="BP1959" s="151" t="e">
        <f t="shared" si="129"/>
        <v>#DIV/0!</v>
      </c>
      <c r="BQ1959" s="71">
        <v>0</v>
      </c>
      <c r="BR1959" s="71">
        <v>0</v>
      </c>
      <c r="BS1959" s="71">
        <v>0</v>
      </c>
      <c r="BT1959" s="72">
        <v>0</v>
      </c>
      <c r="BU1959" s="151" t="e">
        <f t="shared" si="126"/>
        <v>#DIV/0!</v>
      </c>
      <c r="BV1959" s="151" t="e">
        <f t="shared" si="127"/>
        <v>#DIV/0!</v>
      </c>
    </row>
    <row r="1960" ht="30" customHeight="1" spans="1:74">
      <c r="A1960" s="55">
        <v>0</v>
      </c>
      <c r="B1960" s="56">
        <v>0</v>
      </c>
      <c r="C1960" s="57">
        <v>0</v>
      </c>
      <c r="D1960" s="52"/>
      <c r="E1960" s="52"/>
      <c r="F1960" s="59" t="e">
        <f>VLOOKUP(E1960,[1]库存!$B$1:$C$65536,2,FALSE)</f>
        <v>#N/A</v>
      </c>
      <c r="G1960" s="59" t="e">
        <v>#N/A</v>
      </c>
      <c r="H1960" s="152"/>
      <c r="I1960" s="52"/>
      <c r="J1960" s="87"/>
      <c r="K1960" s="61"/>
      <c r="L1960" s="62">
        <v>0</v>
      </c>
      <c r="M1960" s="63">
        <v>0</v>
      </c>
      <c r="N1960" s="64">
        <v>0</v>
      </c>
      <c r="O1960" s="62">
        <v>0</v>
      </c>
      <c r="P1960" s="65">
        <f t="shared" si="130"/>
        <v>0</v>
      </c>
      <c r="Q1960" s="66"/>
      <c r="R1960" s="66"/>
      <c r="S1960" s="66"/>
      <c r="T1960" s="66"/>
      <c r="U1960" s="66"/>
      <c r="V1960" s="66"/>
      <c r="W1960" s="66"/>
      <c r="X1960" s="66"/>
      <c r="Y1960" s="66"/>
      <c r="Z1960" s="66"/>
      <c r="AA1960" s="66"/>
      <c r="AB1960" s="66"/>
      <c r="AC1960" s="66"/>
      <c r="AD1960" s="66"/>
      <c r="AE1960" s="66"/>
      <c r="AF1960" s="66"/>
      <c r="AG1960" s="66"/>
      <c r="AH1960" s="66"/>
      <c r="AI1960" s="66"/>
      <c r="AJ1960" s="66"/>
      <c r="AK1960" s="66"/>
      <c r="AL1960" s="66"/>
      <c r="AM1960" s="66"/>
      <c r="AN1960" s="66"/>
      <c r="AO1960" s="66"/>
      <c r="AP1960" s="66"/>
      <c r="AQ1960" s="66"/>
      <c r="AR1960" s="66"/>
      <c r="AS1960" s="66"/>
      <c r="AT1960" s="66"/>
      <c r="AU1960" s="66"/>
      <c r="AV1960" s="66"/>
      <c r="AW1960" s="66"/>
      <c r="AX1960" s="66"/>
      <c r="AY1960" s="66"/>
      <c r="AZ1960" s="66"/>
      <c r="BA1960" s="66"/>
      <c r="BB1960" s="66"/>
      <c r="BC1960" s="66"/>
      <c r="BD1960" s="66"/>
      <c r="BE1960" s="67"/>
      <c r="BF1960" s="67"/>
      <c r="BG1960" s="68"/>
      <c r="BI1960" s="69">
        <v>0</v>
      </c>
      <c r="BJ1960" s="70">
        <v>0</v>
      </c>
      <c r="BK1960" s="71">
        <v>0</v>
      </c>
      <c r="BL1960" s="71">
        <v>0</v>
      </c>
      <c r="BM1960" s="71">
        <v>0</v>
      </c>
      <c r="BN1960" s="72">
        <v>0</v>
      </c>
      <c r="BO1960" s="151" t="e">
        <f t="shared" si="128"/>
        <v>#DIV/0!</v>
      </c>
      <c r="BP1960" s="151" t="e">
        <f t="shared" si="129"/>
        <v>#DIV/0!</v>
      </c>
      <c r="BQ1960" s="71">
        <v>0</v>
      </c>
      <c r="BR1960" s="71">
        <v>0</v>
      </c>
      <c r="BS1960" s="71">
        <v>0</v>
      </c>
      <c r="BT1960" s="72">
        <v>0</v>
      </c>
      <c r="BU1960" s="151" t="e">
        <f t="shared" si="126"/>
        <v>#DIV/0!</v>
      </c>
      <c r="BV1960" s="151" t="e">
        <f t="shared" si="127"/>
        <v>#DIV/0!</v>
      </c>
    </row>
    <row r="1961" ht="30" customHeight="1" spans="1:74">
      <c r="A1961" s="55" t="s">
        <v>211</v>
      </c>
      <c r="B1961" s="56" t="s">
        <v>2247</v>
      </c>
      <c r="C1961" s="57" t="s">
        <v>2261</v>
      </c>
      <c r="D1961" s="52" t="s">
        <v>3095</v>
      </c>
      <c r="E1961" s="52" t="s">
        <v>3114</v>
      </c>
      <c r="F1961" s="59" t="e">
        <f>VLOOKUP(E1961,[1]库存!$B$1:$C$65536,2,FALSE)</f>
        <v>#N/A</v>
      </c>
      <c r="G1961" s="59" t="e">
        <v>#N/A</v>
      </c>
      <c r="H1961" s="59" t="s">
        <v>3115</v>
      </c>
      <c r="I1961" s="52" t="s">
        <v>729</v>
      </c>
      <c r="J1961" s="63"/>
      <c r="K1961" s="61"/>
      <c r="L1961" s="62">
        <v>2</v>
      </c>
      <c r="M1961" s="63">
        <v>1600</v>
      </c>
      <c r="N1961" s="64">
        <v>11</v>
      </c>
      <c r="O1961" s="62">
        <v>2</v>
      </c>
      <c r="P1961" s="65">
        <f t="shared" si="130"/>
        <v>0</v>
      </c>
      <c r="Q1961" s="103"/>
      <c r="R1961" s="66"/>
      <c r="S1961" s="103"/>
      <c r="T1961" s="66"/>
      <c r="U1961" s="103"/>
      <c r="V1961" s="66"/>
      <c r="W1961" s="103"/>
      <c r="X1961" s="66"/>
      <c r="Y1961" s="103"/>
      <c r="Z1961" s="66"/>
      <c r="AA1961" s="103"/>
      <c r="AB1961" s="66"/>
      <c r="AC1961" s="103"/>
      <c r="AD1961" s="66"/>
      <c r="AE1961" s="103"/>
      <c r="AF1961" s="66"/>
      <c r="AG1961" s="103"/>
      <c r="AH1961" s="66"/>
      <c r="AI1961" s="103"/>
      <c r="AJ1961" s="66"/>
      <c r="AK1961" s="103"/>
      <c r="AL1961" s="66"/>
      <c r="AM1961" s="103"/>
      <c r="AN1961" s="66"/>
      <c r="AO1961" s="103"/>
      <c r="AP1961" s="66"/>
      <c r="AQ1961" s="103"/>
      <c r="AR1961" s="66"/>
      <c r="AS1961" s="103"/>
      <c r="AT1961" s="66"/>
      <c r="AU1961" s="103"/>
      <c r="AV1961" s="66"/>
      <c r="AW1961" s="103"/>
      <c r="AX1961" s="66"/>
      <c r="AY1961" s="103"/>
      <c r="AZ1961" s="66"/>
      <c r="BA1961" s="103"/>
      <c r="BB1961" s="66"/>
      <c r="BC1961" s="103"/>
      <c r="BD1961" s="66"/>
      <c r="BE1961" s="67"/>
      <c r="BF1961" s="67"/>
      <c r="BG1961" s="68"/>
      <c r="BI1961" s="69">
        <v>0</v>
      </c>
      <c r="BJ1961" s="70">
        <v>0</v>
      </c>
      <c r="BK1961" s="71">
        <v>0</v>
      </c>
      <c r="BL1961" s="71">
        <v>0</v>
      </c>
      <c r="BM1961" s="71">
        <v>0</v>
      </c>
      <c r="BN1961" s="72">
        <v>0</v>
      </c>
      <c r="BO1961" s="151" t="e">
        <f t="shared" si="128"/>
        <v>#DIV/0!</v>
      </c>
      <c r="BP1961" s="151" t="e">
        <f t="shared" si="129"/>
        <v>#DIV/0!</v>
      </c>
      <c r="BQ1961" s="71">
        <v>0</v>
      </c>
      <c r="BR1961" s="71">
        <v>0</v>
      </c>
      <c r="BS1961" s="71">
        <v>0</v>
      </c>
      <c r="BT1961" s="72">
        <v>0</v>
      </c>
      <c r="BU1961" s="151" t="e">
        <f t="shared" si="126"/>
        <v>#DIV/0!</v>
      </c>
      <c r="BV1961" s="151" t="e">
        <f t="shared" si="127"/>
        <v>#DIV/0!</v>
      </c>
    </row>
    <row r="1962" ht="30" customHeight="1" spans="1:74">
      <c r="A1962" s="55">
        <v>0</v>
      </c>
      <c r="B1962" s="56">
        <v>0</v>
      </c>
      <c r="C1962" s="57">
        <v>0</v>
      </c>
      <c r="D1962" s="52"/>
      <c r="E1962" s="52"/>
      <c r="F1962" s="59" t="e">
        <f>VLOOKUP(E1962,[1]库存!$B$1:$C$65536,2,FALSE)</f>
        <v>#N/A</v>
      </c>
      <c r="G1962" s="59" t="e">
        <v>#N/A</v>
      </c>
      <c r="H1962" s="152"/>
      <c r="I1962" s="52"/>
      <c r="J1962" s="87"/>
      <c r="K1962" s="61"/>
      <c r="L1962" s="62">
        <v>0</v>
      </c>
      <c r="M1962" s="63">
        <v>0</v>
      </c>
      <c r="N1962" s="64">
        <v>0</v>
      </c>
      <c r="O1962" s="62">
        <v>0</v>
      </c>
      <c r="P1962" s="65">
        <f t="shared" si="130"/>
        <v>0</v>
      </c>
      <c r="Q1962" s="66"/>
      <c r="R1962" s="66"/>
      <c r="S1962" s="66"/>
      <c r="T1962" s="66"/>
      <c r="U1962" s="66"/>
      <c r="V1962" s="66"/>
      <c r="W1962" s="66"/>
      <c r="X1962" s="66"/>
      <c r="Y1962" s="66"/>
      <c r="Z1962" s="66"/>
      <c r="AA1962" s="66"/>
      <c r="AB1962" s="66"/>
      <c r="AC1962" s="66"/>
      <c r="AD1962" s="66"/>
      <c r="AE1962" s="66"/>
      <c r="AF1962" s="66"/>
      <c r="AG1962" s="66"/>
      <c r="AH1962" s="66"/>
      <c r="AI1962" s="66"/>
      <c r="AJ1962" s="66"/>
      <c r="AK1962" s="66"/>
      <c r="AL1962" s="66"/>
      <c r="AM1962" s="66"/>
      <c r="AN1962" s="66"/>
      <c r="AO1962" s="66"/>
      <c r="AP1962" s="66"/>
      <c r="AQ1962" s="66"/>
      <c r="AR1962" s="66"/>
      <c r="AS1962" s="66"/>
      <c r="AT1962" s="66"/>
      <c r="AU1962" s="66"/>
      <c r="AV1962" s="66"/>
      <c r="AW1962" s="66"/>
      <c r="AX1962" s="66"/>
      <c r="AY1962" s="66"/>
      <c r="AZ1962" s="66"/>
      <c r="BA1962" s="66"/>
      <c r="BB1962" s="66"/>
      <c r="BC1962" s="66"/>
      <c r="BD1962" s="66"/>
      <c r="BE1962" s="67"/>
      <c r="BF1962" s="67"/>
      <c r="BG1962" s="68"/>
      <c r="BI1962" s="69">
        <v>0</v>
      </c>
      <c r="BJ1962" s="70">
        <v>0</v>
      </c>
      <c r="BK1962" s="71">
        <v>0</v>
      </c>
      <c r="BL1962" s="71">
        <v>0</v>
      </c>
      <c r="BM1962" s="71">
        <v>0</v>
      </c>
      <c r="BN1962" s="72">
        <v>0</v>
      </c>
      <c r="BO1962" s="151" t="e">
        <f t="shared" si="128"/>
        <v>#DIV/0!</v>
      </c>
      <c r="BP1962" s="151" t="e">
        <f t="shared" si="129"/>
        <v>#DIV/0!</v>
      </c>
      <c r="BQ1962" s="71">
        <v>0</v>
      </c>
      <c r="BR1962" s="71">
        <v>0</v>
      </c>
      <c r="BS1962" s="71">
        <v>0</v>
      </c>
      <c r="BT1962" s="72">
        <v>0</v>
      </c>
      <c r="BU1962" s="151" t="e">
        <f t="shared" si="126"/>
        <v>#DIV/0!</v>
      </c>
      <c r="BV1962" s="151" t="e">
        <f t="shared" si="127"/>
        <v>#DIV/0!</v>
      </c>
    </row>
    <row r="1963" ht="30" customHeight="1" spans="1:74">
      <c r="A1963" s="55" t="s">
        <v>211</v>
      </c>
      <c r="B1963" s="56" t="s">
        <v>2247</v>
      </c>
      <c r="C1963" s="57" t="s">
        <v>2261</v>
      </c>
      <c r="D1963" s="52" t="s">
        <v>3095</v>
      </c>
      <c r="E1963" s="52" t="s">
        <v>3116</v>
      </c>
      <c r="F1963" s="59" t="e">
        <f>VLOOKUP(E1963,[1]库存!$B$1:$C$65536,2,FALSE)</f>
        <v>#N/A</v>
      </c>
      <c r="G1963" s="59" t="e">
        <v>#N/A</v>
      </c>
      <c r="H1963" s="59" t="s">
        <v>3117</v>
      </c>
      <c r="I1963" s="52" t="s">
        <v>729</v>
      </c>
      <c r="J1963" s="63"/>
      <c r="K1963" s="61"/>
      <c r="L1963" s="62">
        <v>2</v>
      </c>
      <c r="M1963" s="63">
        <v>1600</v>
      </c>
      <c r="N1963" s="64">
        <v>11</v>
      </c>
      <c r="O1963" s="62">
        <v>2</v>
      </c>
      <c r="P1963" s="65">
        <f t="shared" si="130"/>
        <v>0</v>
      </c>
      <c r="Q1963" s="66"/>
      <c r="R1963" s="66"/>
      <c r="S1963" s="66"/>
      <c r="T1963" s="66"/>
      <c r="U1963" s="66"/>
      <c r="V1963" s="66"/>
      <c r="W1963" s="103"/>
      <c r="X1963" s="66"/>
      <c r="Y1963" s="103"/>
      <c r="Z1963" s="66"/>
      <c r="AA1963" s="66"/>
      <c r="AB1963" s="66"/>
      <c r="AC1963" s="66"/>
      <c r="AD1963" s="66"/>
      <c r="AE1963" s="66"/>
      <c r="AF1963" s="66"/>
      <c r="AG1963" s="66"/>
      <c r="AH1963" s="66"/>
      <c r="AI1963" s="66"/>
      <c r="AJ1963" s="66"/>
      <c r="AK1963" s="103"/>
      <c r="AL1963" s="66"/>
      <c r="AM1963" s="103"/>
      <c r="AN1963" s="66"/>
      <c r="AO1963" s="66"/>
      <c r="AP1963" s="66"/>
      <c r="AQ1963" s="66"/>
      <c r="AR1963" s="66"/>
      <c r="AS1963" s="66"/>
      <c r="AT1963" s="66"/>
      <c r="AU1963" s="66"/>
      <c r="AV1963" s="66"/>
      <c r="AW1963" s="66"/>
      <c r="AX1963" s="66"/>
      <c r="AY1963" s="103"/>
      <c r="AZ1963" s="66"/>
      <c r="BA1963" s="103"/>
      <c r="BB1963" s="66"/>
      <c r="BC1963" s="66"/>
      <c r="BD1963" s="66"/>
      <c r="BE1963" s="67"/>
      <c r="BF1963" s="67"/>
      <c r="BG1963" s="68"/>
      <c r="BI1963" s="69">
        <v>0</v>
      </c>
      <c r="BJ1963" s="70">
        <v>0</v>
      </c>
      <c r="BK1963" s="71">
        <v>0</v>
      </c>
      <c r="BL1963" s="71">
        <v>0</v>
      </c>
      <c r="BM1963" s="71">
        <v>0</v>
      </c>
      <c r="BN1963" s="72">
        <v>0</v>
      </c>
      <c r="BO1963" s="151" t="e">
        <f t="shared" si="128"/>
        <v>#DIV/0!</v>
      </c>
      <c r="BP1963" s="151" t="e">
        <f t="shared" si="129"/>
        <v>#DIV/0!</v>
      </c>
      <c r="BQ1963" s="71">
        <v>0</v>
      </c>
      <c r="BR1963" s="71">
        <v>0</v>
      </c>
      <c r="BS1963" s="71">
        <v>0</v>
      </c>
      <c r="BT1963" s="72">
        <v>0</v>
      </c>
      <c r="BU1963" s="151" t="e">
        <f t="shared" ref="BU1963:BU2023" si="131">(BQ1963+BR1963)/BJ1963</f>
        <v>#DIV/0!</v>
      </c>
      <c r="BV1963" s="151" t="e">
        <f t="shared" ref="BV1963:BV2023" si="132">BS1963/BJ1963</f>
        <v>#DIV/0!</v>
      </c>
    </row>
    <row r="1964" ht="30" customHeight="1" spans="1:74">
      <c r="A1964" s="55">
        <v>0</v>
      </c>
      <c r="B1964" s="56">
        <v>0</v>
      </c>
      <c r="C1964" s="57">
        <v>0</v>
      </c>
      <c r="D1964" s="52"/>
      <c r="E1964" s="52"/>
      <c r="F1964" s="59" t="e">
        <f>VLOOKUP(E1964,[1]库存!$B$1:$C$65536,2,FALSE)</f>
        <v>#N/A</v>
      </c>
      <c r="G1964" s="59" t="e">
        <v>#N/A</v>
      </c>
      <c r="H1964" s="152"/>
      <c r="I1964" s="52"/>
      <c r="J1964" s="87"/>
      <c r="K1964" s="61"/>
      <c r="L1964" s="62">
        <v>0</v>
      </c>
      <c r="M1964" s="63">
        <v>0</v>
      </c>
      <c r="N1964" s="64">
        <v>0</v>
      </c>
      <c r="O1964" s="62">
        <v>0</v>
      </c>
      <c r="P1964" s="65">
        <f t="shared" si="130"/>
        <v>0</v>
      </c>
      <c r="Q1964" s="66"/>
      <c r="R1964" s="66"/>
      <c r="S1964" s="66"/>
      <c r="T1964" s="66"/>
      <c r="U1964" s="66"/>
      <c r="V1964" s="66"/>
      <c r="W1964" s="66"/>
      <c r="X1964" s="66"/>
      <c r="Y1964" s="66"/>
      <c r="Z1964" s="66"/>
      <c r="AA1964" s="66"/>
      <c r="AB1964" s="66"/>
      <c r="AC1964" s="66"/>
      <c r="AD1964" s="66"/>
      <c r="AE1964" s="66"/>
      <c r="AF1964" s="66"/>
      <c r="AG1964" s="66"/>
      <c r="AH1964" s="66"/>
      <c r="AI1964" s="66"/>
      <c r="AJ1964" s="66"/>
      <c r="AK1964" s="66"/>
      <c r="AL1964" s="66"/>
      <c r="AM1964" s="66"/>
      <c r="AN1964" s="66"/>
      <c r="AO1964" s="66"/>
      <c r="AP1964" s="66"/>
      <c r="AQ1964" s="66"/>
      <c r="AR1964" s="66"/>
      <c r="AS1964" s="66"/>
      <c r="AT1964" s="66"/>
      <c r="AU1964" s="66"/>
      <c r="AV1964" s="66"/>
      <c r="AW1964" s="66"/>
      <c r="AX1964" s="66"/>
      <c r="AY1964" s="66"/>
      <c r="AZ1964" s="66"/>
      <c r="BA1964" s="66"/>
      <c r="BB1964" s="66"/>
      <c r="BC1964" s="66"/>
      <c r="BD1964" s="66"/>
      <c r="BE1964" s="67"/>
      <c r="BF1964" s="67"/>
      <c r="BG1964" s="68"/>
      <c r="BI1964" s="69">
        <v>0</v>
      </c>
      <c r="BJ1964" s="70">
        <v>0</v>
      </c>
      <c r="BK1964" s="71">
        <v>0</v>
      </c>
      <c r="BL1964" s="71">
        <v>0</v>
      </c>
      <c r="BM1964" s="71">
        <v>0</v>
      </c>
      <c r="BN1964" s="72">
        <v>0</v>
      </c>
      <c r="BO1964" s="151" t="e">
        <f t="shared" si="128"/>
        <v>#DIV/0!</v>
      </c>
      <c r="BP1964" s="151" t="e">
        <f t="shared" si="129"/>
        <v>#DIV/0!</v>
      </c>
      <c r="BQ1964" s="71">
        <v>0</v>
      </c>
      <c r="BR1964" s="71">
        <v>0</v>
      </c>
      <c r="BS1964" s="71">
        <v>0</v>
      </c>
      <c r="BT1964" s="72">
        <v>0</v>
      </c>
      <c r="BU1964" s="151" t="e">
        <f t="shared" si="131"/>
        <v>#DIV/0!</v>
      </c>
      <c r="BV1964" s="151" t="e">
        <f t="shared" si="132"/>
        <v>#DIV/0!</v>
      </c>
    </row>
    <row r="1965" ht="30" customHeight="1" spans="1:74">
      <c r="A1965" s="55" t="s">
        <v>211</v>
      </c>
      <c r="B1965" s="56" t="s">
        <v>2247</v>
      </c>
      <c r="C1965" s="57" t="s">
        <v>2261</v>
      </c>
      <c r="D1965" s="52" t="s">
        <v>3095</v>
      </c>
      <c r="E1965" s="52"/>
      <c r="F1965" s="59" t="e">
        <f>VLOOKUP(E1965,[1]库存!$B$1:$C$65536,2,FALSE)</f>
        <v>#N/A</v>
      </c>
      <c r="G1965" s="59" t="e">
        <v>#N/A</v>
      </c>
      <c r="H1965" s="59" t="s">
        <v>1208</v>
      </c>
      <c r="I1965" s="52" t="s">
        <v>3118</v>
      </c>
      <c r="J1965" s="63"/>
      <c r="K1965" s="61"/>
      <c r="L1965" s="62">
        <v>2</v>
      </c>
      <c r="M1965" s="63">
        <v>1600</v>
      </c>
      <c r="N1965" s="64">
        <v>11</v>
      </c>
      <c r="O1965" s="62">
        <v>2</v>
      </c>
      <c r="P1965" s="65">
        <f t="shared" si="130"/>
        <v>0</v>
      </c>
      <c r="Q1965" s="103"/>
      <c r="R1965" s="66"/>
      <c r="S1965" s="103"/>
      <c r="T1965" s="66"/>
      <c r="U1965" s="103" t="s">
        <v>3119</v>
      </c>
      <c r="V1965" s="66"/>
      <c r="W1965" s="103"/>
      <c r="X1965" s="66"/>
      <c r="Y1965" s="103"/>
      <c r="Z1965" s="66"/>
      <c r="AA1965" s="103"/>
      <c r="AB1965" s="66"/>
      <c r="AC1965" s="103"/>
      <c r="AD1965" s="66"/>
      <c r="AE1965" s="103"/>
      <c r="AF1965" s="66"/>
      <c r="AG1965" s="103"/>
      <c r="AH1965" s="66"/>
      <c r="AI1965" s="103"/>
      <c r="AJ1965" s="66"/>
      <c r="AK1965" s="103"/>
      <c r="AL1965" s="66"/>
      <c r="AM1965" s="103"/>
      <c r="AN1965" s="66"/>
      <c r="AO1965" s="103"/>
      <c r="AP1965" s="66"/>
      <c r="AQ1965" s="103"/>
      <c r="AR1965" s="66"/>
      <c r="AS1965" s="103"/>
      <c r="AT1965" s="66"/>
      <c r="AU1965" s="103"/>
      <c r="AV1965" s="66"/>
      <c r="AW1965" s="103"/>
      <c r="AX1965" s="66"/>
      <c r="AY1965" s="103"/>
      <c r="AZ1965" s="66"/>
      <c r="BA1965" s="103"/>
      <c r="BB1965" s="66"/>
      <c r="BC1965" s="103"/>
      <c r="BD1965" s="66"/>
      <c r="BE1965" s="67"/>
      <c r="BF1965" s="67"/>
      <c r="BG1965" s="68"/>
      <c r="BI1965" s="69">
        <v>0</v>
      </c>
      <c r="BJ1965" s="70">
        <v>0</v>
      </c>
      <c r="BK1965" s="71">
        <v>0</v>
      </c>
      <c r="BL1965" s="71">
        <v>0</v>
      </c>
      <c r="BM1965" s="71">
        <v>0</v>
      </c>
      <c r="BN1965" s="72">
        <v>0</v>
      </c>
      <c r="BO1965" s="151" t="e">
        <f t="shared" si="128"/>
        <v>#DIV/0!</v>
      </c>
      <c r="BP1965" s="151" t="e">
        <f t="shared" si="129"/>
        <v>#DIV/0!</v>
      </c>
      <c r="BQ1965" s="71">
        <v>0</v>
      </c>
      <c r="BR1965" s="71">
        <v>0</v>
      </c>
      <c r="BS1965" s="71">
        <v>0</v>
      </c>
      <c r="BT1965" s="72">
        <v>0</v>
      </c>
      <c r="BU1965" s="151" t="e">
        <f t="shared" si="131"/>
        <v>#DIV/0!</v>
      </c>
      <c r="BV1965" s="151" t="e">
        <f t="shared" si="132"/>
        <v>#DIV/0!</v>
      </c>
    </row>
    <row r="1966" ht="30" customHeight="1" spans="1:74">
      <c r="A1966" s="55">
        <v>0</v>
      </c>
      <c r="B1966" s="56">
        <v>0</v>
      </c>
      <c r="C1966" s="57">
        <v>0</v>
      </c>
      <c r="D1966" s="52"/>
      <c r="E1966" s="52"/>
      <c r="F1966" s="59" t="e">
        <f>VLOOKUP(E1966,[1]库存!$B$1:$C$65536,2,FALSE)</f>
        <v>#N/A</v>
      </c>
      <c r="G1966" s="59" t="e">
        <v>#N/A</v>
      </c>
      <c r="H1966" s="152"/>
      <c r="I1966" s="52"/>
      <c r="J1966" s="87"/>
      <c r="K1966" s="61"/>
      <c r="L1966" s="62">
        <v>0</v>
      </c>
      <c r="M1966" s="63">
        <v>0</v>
      </c>
      <c r="N1966" s="64">
        <v>0</v>
      </c>
      <c r="O1966" s="62">
        <v>0</v>
      </c>
      <c r="P1966" s="65">
        <f t="shared" si="130"/>
        <v>0</v>
      </c>
      <c r="Q1966" s="66"/>
      <c r="R1966" s="66"/>
      <c r="S1966" s="66"/>
      <c r="T1966" s="66"/>
      <c r="U1966" s="66"/>
      <c r="V1966" s="66"/>
      <c r="W1966" s="66"/>
      <c r="X1966" s="66"/>
      <c r="Y1966" s="66"/>
      <c r="Z1966" s="66"/>
      <c r="AA1966" s="66"/>
      <c r="AB1966" s="66"/>
      <c r="AC1966" s="66"/>
      <c r="AD1966" s="66"/>
      <c r="AE1966" s="66"/>
      <c r="AF1966" s="66"/>
      <c r="AG1966" s="66"/>
      <c r="AH1966" s="66"/>
      <c r="AI1966" s="66"/>
      <c r="AJ1966" s="66"/>
      <c r="AK1966" s="66"/>
      <c r="AL1966" s="66"/>
      <c r="AM1966" s="66"/>
      <c r="AN1966" s="66"/>
      <c r="AO1966" s="66"/>
      <c r="AP1966" s="66"/>
      <c r="AQ1966" s="66"/>
      <c r="AR1966" s="66"/>
      <c r="AS1966" s="66"/>
      <c r="AT1966" s="66"/>
      <c r="AU1966" s="66"/>
      <c r="AV1966" s="66"/>
      <c r="AW1966" s="66"/>
      <c r="AX1966" s="66"/>
      <c r="AY1966" s="66"/>
      <c r="AZ1966" s="66"/>
      <c r="BA1966" s="66"/>
      <c r="BB1966" s="66"/>
      <c r="BC1966" s="66"/>
      <c r="BD1966" s="66"/>
      <c r="BE1966" s="67"/>
      <c r="BF1966" s="67"/>
      <c r="BG1966" s="68"/>
      <c r="BI1966" s="69">
        <v>0</v>
      </c>
      <c r="BJ1966" s="70">
        <v>0</v>
      </c>
      <c r="BK1966" s="71">
        <v>0</v>
      </c>
      <c r="BL1966" s="71">
        <v>0</v>
      </c>
      <c r="BM1966" s="71">
        <v>0</v>
      </c>
      <c r="BN1966" s="72">
        <v>0</v>
      </c>
      <c r="BO1966" s="151" t="e">
        <f t="shared" si="128"/>
        <v>#DIV/0!</v>
      </c>
      <c r="BP1966" s="151" t="e">
        <f t="shared" si="129"/>
        <v>#DIV/0!</v>
      </c>
      <c r="BQ1966" s="71">
        <v>0</v>
      </c>
      <c r="BR1966" s="71">
        <v>0</v>
      </c>
      <c r="BS1966" s="71">
        <v>0</v>
      </c>
      <c r="BT1966" s="72">
        <v>0</v>
      </c>
      <c r="BU1966" s="151" t="e">
        <f t="shared" si="131"/>
        <v>#DIV/0!</v>
      </c>
      <c r="BV1966" s="151" t="e">
        <f t="shared" si="132"/>
        <v>#DIV/0!</v>
      </c>
    </row>
    <row r="1967" ht="30" customHeight="1" spans="1:74">
      <c r="A1967" s="55" t="s">
        <v>211</v>
      </c>
      <c r="B1967" s="56" t="s">
        <v>2247</v>
      </c>
      <c r="C1967" s="57" t="s">
        <v>2261</v>
      </c>
      <c r="D1967" s="52" t="s">
        <v>3095</v>
      </c>
      <c r="E1967" s="52"/>
      <c r="F1967" s="59" t="e">
        <f>VLOOKUP(E1967,[1]库存!$B$1:$C$65536,2,FALSE)</f>
        <v>#N/A</v>
      </c>
      <c r="G1967" s="59" t="e">
        <v>#N/A</v>
      </c>
      <c r="H1967" s="59" t="s">
        <v>3120</v>
      </c>
      <c r="I1967" s="52" t="s">
        <v>3121</v>
      </c>
      <c r="J1967" s="63"/>
      <c r="K1967" s="61"/>
      <c r="L1967" s="62">
        <v>2</v>
      </c>
      <c r="M1967" s="63">
        <v>1600</v>
      </c>
      <c r="N1967" s="64">
        <v>11</v>
      </c>
      <c r="O1967" s="62">
        <v>2</v>
      </c>
      <c r="P1967" s="65">
        <f t="shared" si="130"/>
        <v>0</v>
      </c>
      <c r="Q1967" s="66"/>
      <c r="R1967" s="66"/>
      <c r="S1967" s="66"/>
      <c r="T1967" s="66"/>
      <c r="U1967" s="103" t="s">
        <v>3119</v>
      </c>
      <c r="V1967" s="66"/>
      <c r="W1967" s="103"/>
      <c r="X1967" s="66"/>
      <c r="Y1967" s="103"/>
      <c r="Z1967" s="66"/>
      <c r="AA1967" s="66"/>
      <c r="AB1967" s="66"/>
      <c r="AC1967" s="66"/>
      <c r="AD1967" s="66"/>
      <c r="AE1967" s="66"/>
      <c r="AF1967" s="66"/>
      <c r="AG1967" s="66"/>
      <c r="AH1967" s="66"/>
      <c r="AI1967" s="66"/>
      <c r="AJ1967" s="66"/>
      <c r="AK1967" s="103"/>
      <c r="AL1967" s="66"/>
      <c r="AM1967" s="103"/>
      <c r="AN1967" s="66"/>
      <c r="AO1967" s="66"/>
      <c r="AP1967" s="66"/>
      <c r="AQ1967" s="66"/>
      <c r="AR1967" s="66"/>
      <c r="AS1967" s="66"/>
      <c r="AT1967" s="66"/>
      <c r="AU1967" s="66"/>
      <c r="AV1967" s="66"/>
      <c r="AW1967" s="66"/>
      <c r="AX1967" s="66"/>
      <c r="AY1967" s="103"/>
      <c r="AZ1967" s="66"/>
      <c r="BA1967" s="103"/>
      <c r="BB1967" s="66"/>
      <c r="BC1967" s="66"/>
      <c r="BD1967" s="66"/>
      <c r="BE1967" s="67"/>
      <c r="BF1967" s="67"/>
      <c r="BG1967" s="68"/>
      <c r="BI1967" s="69">
        <v>0</v>
      </c>
      <c r="BJ1967" s="70">
        <v>0</v>
      </c>
      <c r="BK1967" s="71">
        <v>0</v>
      </c>
      <c r="BL1967" s="71">
        <v>0</v>
      </c>
      <c r="BM1967" s="71">
        <v>0</v>
      </c>
      <c r="BN1967" s="72">
        <v>0</v>
      </c>
      <c r="BO1967" s="151" t="e">
        <f t="shared" si="128"/>
        <v>#DIV/0!</v>
      </c>
      <c r="BP1967" s="151" t="e">
        <f t="shared" si="129"/>
        <v>#DIV/0!</v>
      </c>
      <c r="BQ1967" s="71">
        <v>0</v>
      </c>
      <c r="BR1967" s="71">
        <v>0</v>
      </c>
      <c r="BS1967" s="71">
        <v>0</v>
      </c>
      <c r="BT1967" s="72">
        <v>0</v>
      </c>
      <c r="BU1967" s="151" t="e">
        <f t="shared" si="131"/>
        <v>#DIV/0!</v>
      </c>
      <c r="BV1967" s="151" t="e">
        <f t="shared" si="132"/>
        <v>#DIV/0!</v>
      </c>
    </row>
    <row r="1968" ht="30" customHeight="1" spans="1:74">
      <c r="A1968" s="55">
        <v>0</v>
      </c>
      <c r="B1968" s="56">
        <v>0</v>
      </c>
      <c r="C1968" s="57">
        <v>0</v>
      </c>
      <c r="D1968" s="52"/>
      <c r="E1968" s="52"/>
      <c r="F1968" s="59" t="e">
        <f>VLOOKUP(E1968,[1]库存!$B$1:$C$65536,2,FALSE)</f>
        <v>#N/A</v>
      </c>
      <c r="G1968" s="59" t="e">
        <v>#N/A</v>
      </c>
      <c r="H1968" s="152"/>
      <c r="I1968" s="52"/>
      <c r="J1968" s="87"/>
      <c r="K1968" s="61"/>
      <c r="L1968" s="62">
        <v>0</v>
      </c>
      <c r="M1968" s="63">
        <v>0</v>
      </c>
      <c r="N1968" s="64">
        <v>0</v>
      </c>
      <c r="O1968" s="62">
        <v>0</v>
      </c>
      <c r="P1968" s="65">
        <f t="shared" si="130"/>
        <v>0</v>
      </c>
      <c r="Q1968" s="66"/>
      <c r="R1968" s="66"/>
      <c r="S1968" s="66"/>
      <c r="T1968" s="66"/>
      <c r="U1968" s="66"/>
      <c r="V1968" s="66"/>
      <c r="W1968" s="66"/>
      <c r="X1968" s="66"/>
      <c r="Y1968" s="66"/>
      <c r="Z1968" s="66"/>
      <c r="AA1968" s="66"/>
      <c r="AB1968" s="66"/>
      <c r="AC1968" s="66"/>
      <c r="AD1968" s="66"/>
      <c r="AE1968" s="66"/>
      <c r="AF1968" s="66"/>
      <c r="AG1968" s="66"/>
      <c r="AH1968" s="66"/>
      <c r="AI1968" s="66"/>
      <c r="AJ1968" s="66"/>
      <c r="AK1968" s="66"/>
      <c r="AL1968" s="66"/>
      <c r="AM1968" s="66"/>
      <c r="AN1968" s="66"/>
      <c r="AO1968" s="66"/>
      <c r="AP1968" s="66"/>
      <c r="AQ1968" s="66"/>
      <c r="AR1968" s="66"/>
      <c r="AS1968" s="66"/>
      <c r="AT1968" s="66"/>
      <c r="AU1968" s="66"/>
      <c r="AV1968" s="66"/>
      <c r="AW1968" s="66"/>
      <c r="AX1968" s="66"/>
      <c r="AY1968" s="66"/>
      <c r="AZ1968" s="66"/>
      <c r="BA1968" s="66"/>
      <c r="BB1968" s="66"/>
      <c r="BC1968" s="66"/>
      <c r="BD1968" s="66"/>
      <c r="BE1968" s="67"/>
      <c r="BF1968" s="67"/>
      <c r="BG1968" s="68"/>
      <c r="BI1968" s="69">
        <v>0</v>
      </c>
      <c r="BJ1968" s="70">
        <v>0</v>
      </c>
      <c r="BK1968" s="71">
        <v>0</v>
      </c>
      <c r="BL1968" s="71">
        <v>0</v>
      </c>
      <c r="BM1968" s="71">
        <v>0</v>
      </c>
      <c r="BN1968" s="72">
        <v>0</v>
      </c>
      <c r="BO1968" s="151" t="e">
        <f t="shared" si="128"/>
        <v>#DIV/0!</v>
      </c>
      <c r="BP1968" s="151" t="e">
        <f t="shared" si="129"/>
        <v>#DIV/0!</v>
      </c>
      <c r="BQ1968" s="71">
        <v>0</v>
      </c>
      <c r="BR1968" s="71">
        <v>0</v>
      </c>
      <c r="BS1968" s="71">
        <v>0</v>
      </c>
      <c r="BT1968" s="72">
        <v>0</v>
      </c>
      <c r="BU1968" s="151" t="e">
        <f t="shared" si="131"/>
        <v>#DIV/0!</v>
      </c>
      <c r="BV1968" s="151" t="e">
        <f t="shared" si="132"/>
        <v>#DIV/0!</v>
      </c>
    </row>
    <row r="1969" ht="30" customHeight="1" spans="1:74">
      <c r="A1969" s="55" t="s">
        <v>211</v>
      </c>
      <c r="B1969" s="56" t="s">
        <v>2247</v>
      </c>
      <c r="C1969" s="57" t="s">
        <v>2261</v>
      </c>
      <c r="D1969" s="52" t="s">
        <v>3095</v>
      </c>
      <c r="E1969" s="52" t="s">
        <v>3122</v>
      </c>
      <c r="F1969" s="59" t="str">
        <f>VLOOKUP(E1969,[1]库存!$B$1:$C$65536,2,FALSE)</f>
        <v>HKHA-A SAB LH</v>
      </c>
      <c r="G1969" s="59" t="s">
        <v>3123</v>
      </c>
      <c r="H1969" s="59" t="s">
        <v>3124</v>
      </c>
      <c r="I1969" s="52" t="s">
        <v>729</v>
      </c>
      <c r="J1969" s="63"/>
      <c r="K1969" s="61"/>
      <c r="L1969" s="62">
        <v>2</v>
      </c>
      <c r="M1969" s="63">
        <v>1400</v>
      </c>
      <c r="N1969" s="64">
        <v>11</v>
      </c>
      <c r="O1969" s="62">
        <v>2</v>
      </c>
      <c r="P1969" s="65">
        <f t="shared" si="130"/>
        <v>0</v>
      </c>
      <c r="Q1969" s="103"/>
      <c r="R1969" s="103"/>
      <c r="S1969" s="103"/>
      <c r="T1969" s="103"/>
      <c r="U1969" s="103"/>
      <c r="V1969" s="103"/>
      <c r="W1969" s="103"/>
      <c r="X1969" s="103"/>
      <c r="Y1969" s="103"/>
      <c r="Z1969" s="103"/>
      <c r="AA1969" s="103"/>
      <c r="AB1969" s="103"/>
      <c r="AC1969" s="103"/>
      <c r="AD1969" s="103"/>
      <c r="AE1969" s="103"/>
      <c r="AF1969" s="103"/>
      <c r="AG1969" s="103"/>
      <c r="AH1969" s="103"/>
      <c r="AI1969" s="103"/>
      <c r="AJ1969" s="103"/>
      <c r="AK1969" s="103"/>
      <c r="AL1969" s="103"/>
      <c r="AM1969" s="103"/>
      <c r="AN1969" s="103"/>
      <c r="AO1969" s="103"/>
      <c r="AP1969" s="103"/>
      <c r="AQ1969" s="103"/>
      <c r="AR1969" s="103"/>
      <c r="AS1969" s="103"/>
      <c r="AT1969" s="103"/>
      <c r="AU1969" s="103"/>
      <c r="AV1969" s="103"/>
      <c r="AW1969" s="103"/>
      <c r="AX1969" s="103"/>
      <c r="AY1969" s="103"/>
      <c r="AZ1969" s="103"/>
      <c r="BA1969" s="103"/>
      <c r="BB1969" s="103"/>
      <c r="BC1969" s="103"/>
      <c r="BD1969" s="103"/>
      <c r="BE1969" s="67"/>
      <c r="BF1969" s="67"/>
      <c r="BG1969" s="68"/>
      <c r="BI1969" s="69">
        <v>0</v>
      </c>
      <c r="BJ1969" s="70">
        <v>0</v>
      </c>
      <c r="BK1969" s="71">
        <v>0</v>
      </c>
      <c r="BL1969" s="71">
        <v>0</v>
      </c>
      <c r="BM1969" s="71">
        <v>0</v>
      </c>
      <c r="BN1969" s="72">
        <v>0</v>
      </c>
      <c r="BO1969" s="151" t="e">
        <f t="shared" si="128"/>
        <v>#DIV/0!</v>
      </c>
      <c r="BP1969" s="151" t="e">
        <f t="shared" si="129"/>
        <v>#DIV/0!</v>
      </c>
      <c r="BQ1969" s="71">
        <v>0</v>
      </c>
      <c r="BR1969" s="71">
        <v>0</v>
      </c>
      <c r="BS1969" s="71">
        <v>0</v>
      </c>
      <c r="BT1969" s="72">
        <v>0</v>
      </c>
      <c r="BU1969" s="151" t="e">
        <f t="shared" si="131"/>
        <v>#DIV/0!</v>
      </c>
      <c r="BV1969" s="151" t="e">
        <f t="shared" si="132"/>
        <v>#DIV/0!</v>
      </c>
    </row>
    <row r="1970" ht="30" customHeight="1" spans="1:74">
      <c r="A1970" s="55">
        <v>0</v>
      </c>
      <c r="B1970" s="56">
        <v>0</v>
      </c>
      <c r="C1970" s="57">
        <v>0</v>
      </c>
      <c r="D1970" s="52"/>
      <c r="E1970" s="52"/>
      <c r="F1970" s="59" t="e">
        <f>VLOOKUP(E1970,[1]库存!$B$1:$C$65536,2,FALSE)</f>
        <v>#N/A</v>
      </c>
      <c r="G1970" s="59" t="e">
        <v>#N/A</v>
      </c>
      <c r="H1970" s="152"/>
      <c r="I1970" s="52"/>
      <c r="J1970" s="87"/>
      <c r="K1970" s="61"/>
      <c r="L1970" s="62">
        <v>0</v>
      </c>
      <c r="M1970" s="63">
        <v>0</v>
      </c>
      <c r="N1970" s="64">
        <v>0</v>
      </c>
      <c r="O1970" s="62">
        <v>0</v>
      </c>
      <c r="P1970" s="65">
        <f t="shared" si="130"/>
        <v>0</v>
      </c>
      <c r="Q1970" s="66"/>
      <c r="R1970" s="66"/>
      <c r="S1970" s="66"/>
      <c r="T1970" s="66"/>
      <c r="U1970" s="66"/>
      <c r="V1970" s="66"/>
      <c r="W1970" s="66"/>
      <c r="X1970" s="66"/>
      <c r="Y1970" s="66"/>
      <c r="Z1970" s="66"/>
      <c r="AA1970" s="66"/>
      <c r="AB1970" s="66"/>
      <c r="AC1970" s="66"/>
      <c r="AD1970" s="66"/>
      <c r="AE1970" s="66"/>
      <c r="AF1970" s="66"/>
      <c r="AG1970" s="66"/>
      <c r="AH1970" s="66"/>
      <c r="AI1970" s="66"/>
      <c r="AJ1970" s="66"/>
      <c r="AK1970" s="66"/>
      <c r="AL1970" s="66"/>
      <c r="AM1970" s="66"/>
      <c r="AN1970" s="66"/>
      <c r="AO1970" s="66"/>
      <c r="AP1970" s="66"/>
      <c r="AQ1970" s="66"/>
      <c r="AR1970" s="66"/>
      <c r="AS1970" s="66"/>
      <c r="AT1970" s="66"/>
      <c r="AU1970" s="66"/>
      <c r="AV1970" s="66"/>
      <c r="AW1970" s="66"/>
      <c r="AX1970" s="66"/>
      <c r="AY1970" s="66"/>
      <c r="AZ1970" s="66"/>
      <c r="BA1970" s="66"/>
      <c r="BB1970" s="66"/>
      <c r="BC1970" s="66"/>
      <c r="BD1970" s="66"/>
      <c r="BE1970" s="67"/>
      <c r="BF1970" s="67"/>
      <c r="BG1970" s="68"/>
      <c r="BI1970" s="69">
        <v>0</v>
      </c>
      <c r="BJ1970" s="70">
        <v>0</v>
      </c>
      <c r="BK1970" s="71">
        <v>0</v>
      </c>
      <c r="BL1970" s="71">
        <v>0</v>
      </c>
      <c r="BM1970" s="71">
        <v>0</v>
      </c>
      <c r="BN1970" s="72">
        <v>0</v>
      </c>
      <c r="BO1970" s="151" t="e">
        <f t="shared" si="128"/>
        <v>#DIV/0!</v>
      </c>
      <c r="BP1970" s="151" t="e">
        <f t="shared" si="129"/>
        <v>#DIV/0!</v>
      </c>
      <c r="BQ1970" s="71">
        <v>0</v>
      </c>
      <c r="BR1970" s="71">
        <v>0</v>
      </c>
      <c r="BS1970" s="71">
        <v>0</v>
      </c>
      <c r="BT1970" s="72">
        <v>0</v>
      </c>
      <c r="BU1970" s="151" t="e">
        <f t="shared" si="131"/>
        <v>#DIV/0!</v>
      </c>
      <c r="BV1970" s="151" t="e">
        <f t="shared" si="132"/>
        <v>#DIV/0!</v>
      </c>
    </row>
    <row r="1971" ht="30" customHeight="1" spans="1:74">
      <c r="A1971" s="55" t="s">
        <v>211</v>
      </c>
      <c r="B1971" s="56" t="s">
        <v>2247</v>
      </c>
      <c r="C1971" s="57" t="s">
        <v>2261</v>
      </c>
      <c r="D1971" s="52" t="s">
        <v>3095</v>
      </c>
      <c r="E1971" s="52" t="s">
        <v>3125</v>
      </c>
      <c r="F1971" s="59" t="str">
        <f>VLOOKUP(E1971,[1]库存!$B$1:$C$65536,2,FALSE)</f>
        <v>HKHA-A SAB RH</v>
      </c>
      <c r="G1971" s="59" t="s">
        <v>3126</v>
      </c>
      <c r="H1971" s="59" t="s">
        <v>3127</v>
      </c>
      <c r="I1971" s="52" t="s">
        <v>729</v>
      </c>
      <c r="J1971" s="63"/>
      <c r="K1971" s="61"/>
      <c r="L1971" s="62">
        <v>2</v>
      </c>
      <c r="M1971" s="63">
        <v>1400</v>
      </c>
      <c r="N1971" s="64">
        <v>11</v>
      </c>
      <c r="O1971" s="62">
        <v>2</v>
      </c>
      <c r="P1971" s="65">
        <f t="shared" si="130"/>
        <v>0</v>
      </c>
      <c r="Q1971" s="103"/>
      <c r="R1971" s="103"/>
      <c r="S1971" s="103"/>
      <c r="T1971" s="103"/>
      <c r="U1971" s="103"/>
      <c r="V1971" s="103"/>
      <c r="W1971" s="103"/>
      <c r="X1971" s="103"/>
      <c r="Y1971" s="103"/>
      <c r="Z1971" s="103"/>
      <c r="AA1971" s="103"/>
      <c r="AB1971" s="103"/>
      <c r="AC1971" s="103"/>
      <c r="AD1971" s="103"/>
      <c r="AE1971" s="103"/>
      <c r="AF1971" s="103"/>
      <c r="AG1971" s="103"/>
      <c r="AH1971" s="103"/>
      <c r="AI1971" s="103"/>
      <c r="AJ1971" s="103"/>
      <c r="AK1971" s="103"/>
      <c r="AL1971" s="103"/>
      <c r="AM1971" s="103"/>
      <c r="AN1971" s="103"/>
      <c r="AO1971" s="103"/>
      <c r="AP1971" s="103"/>
      <c r="AQ1971" s="103"/>
      <c r="AR1971" s="103"/>
      <c r="AS1971" s="103"/>
      <c r="AT1971" s="103"/>
      <c r="AU1971" s="103"/>
      <c r="AV1971" s="103"/>
      <c r="AW1971" s="103"/>
      <c r="AX1971" s="103"/>
      <c r="AY1971" s="103"/>
      <c r="AZ1971" s="103"/>
      <c r="BA1971" s="103"/>
      <c r="BB1971" s="103"/>
      <c r="BC1971" s="103"/>
      <c r="BD1971" s="103"/>
      <c r="BE1971" s="67"/>
      <c r="BF1971" s="67"/>
      <c r="BG1971" s="68"/>
      <c r="BI1971" s="69">
        <v>0</v>
      </c>
      <c r="BJ1971" s="70">
        <v>0</v>
      </c>
      <c r="BK1971" s="71">
        <v>0</v>
      </c>
      <c r="BL1971" s="71">
        <v>0</v>
      </c>
      <c r="BM1971" s="71">
        <v>0</v>
      </c>
      <c r="BN1971" s="72">
        <v>0</v>
      </c>
      <c r="BO1971" s="151" t="e">
        <f t="shared" si="128"/>
        <v>#DIV/0!</v>
      </c>
      <c r="BP1971" s="151" t="e">
        <f t="shared" si="129"/>
        <v>#DIV/0!</v>
      </c>
      <c r="BQ1971" s="71">
        <v>0</v>
      </c>
      <c r="BR1971" s="71">
        <v>0</v>
      </c>
      <c r="BS1971" s="71">
        <v>0</v>
      </c>
      <c r="BT1971" s="72">
        <v>0</v>
      </c>
      <c r="BU1971" s="151" t="e">
        <f t="shared" si="131"/>
        <v>#DIV/0!</v>
      </c>
      <c r="BV1971" s="151" t="e">
        <f t="shared" si="132"/>
        <v>#DIV/0!</v>
      </c>
    </row>
    <row r="1972" ht="30" customHeight="1" spans="1:74">
      <c r="A1972" s="55">
        <v>0</v>
      </c>
      <c r="B1972" s="56">
        <v>0</v>
      </c>
      <c r="C1972" s="57">
        <v>0</v>
      </c>
      <c r="D1972" s="52"/>
      <c r="E1972" s="52"/>
      <c r="F1972" s="59" t="e">
        <f>VLOOKUP(E1972,[1]库存!$B$1:$C$65536,2,FALSE)</f>
        <v>#N/A</v>
      </c>
      <c r="G1972" s="59" t="e">
        <v>#N/A</v>
      </c>
      <c r="H1972" s="152"/>
      <c r="I1972" s="52"/>
      <c r="J1972" s="87"/>
      <c r="K1972" s="61"/>
      <c r="L1972" s="62">
        <v>0</v>
      </c>
      <c r="M1972" s="63">
        <v>0</v>
      </c>
      <c r="N1972" s="64">
        <v>0</v>
      </c>
      <c r="O1972" s="62">
        <v>0</v>
      </c>
      <c r="P1972" s="65">
        <f t="shared" si="130"/>
        <v>0</v>
      </c>
      <c r="Q1972" s="66"/>
      <c r="R1972" s="66"/>
      <c r="S1972" s="66"/>
      <c r="T1972" s="66"/>
      <c r="U1972" s="66"/>
      <c r="V1972" s="66"/>
      <c r="W1972" s="66"/>
      <c r="X1972" s="66"/>
      <c r="Y1972" s="66"/>
      <c r="Z1972" s="66"/>
      <c r="AA1972" s="66"/>
      <c r="AB1972" s="66"/>
      <c r="AC1972" s="66"/>
      <c r="AD1972" s="66"/>
      <c r="AE1972" s="66"/>
      <c r="AF1972" s="66"/>
      <c r="AG1972" s="66"/>
      <c r="AH1972" s="66"/>
      <c r="AI1972" s="66"/>
      <c r="AJ1972" s="66"/>
      <c r="AK1972" s="66"/>
      <c r="AL1972" s="66"/>
      <c r="AM1972" s="66"/>
      <c r="AN1972" s="66"/>
      <c r="AO1972" s="66"/>
      <c r="AP1972" s="66"/>
      <c r="AQ1972" s="66"/>
      <c r="AR1972" s="66"/>
      <c r="AS1972" s="66"/>
      <c r="AT1972" s="66"/>
      <c r="AU1972" s="66"/>
      <c r="AV1972" s="66"/>
      <c r="AW1972" s="66"/>
      <c r="AX1972" s="66"/>
      <c r="AY1972" s="66"/>
      <c r="AZ1972" s="66"/>
      <c r="BA1972" s="66"/>
      <c r="BB1972" s="66"/>
      <c r="BC1972" s="66"/>
      <c r="BD1972" s="66"/>
      <c r="BE1972" s="67"/>
      <c r="BF1972" s="67"/>
      <c r="BG1972" s="68"/>
      <c r="BI1972" s="69">
        <v>0</v>
      </c>
      <c r="BJ1972" s="70">
        <v>0</v>
      </c>
      <c r="BK1972" s="71">
        <v>0</v>
      </c>
      <c r="BL1972" s="71">
        <v>0</v>
      </c>
      <c r="BM1972" s="71">
        <v>0</v>
      </c>
      <c r="BN1972" s="72">
        <v>0</v>
      </c>
      <c r="BO1972" s="151" t="e">
        <f t="shared" si="128"/>
        <v>#DIV/0!</v>
      </c>
      <c r="BP1972" s="151" t="e">
        <f t="shared" si="129"/>
        <v>#DIV/0!</v>
      </c>
      <c r="BQ1972" s="71">
        <v>0</v>
      </c>
      <c r="BR1972" s="71">
        <v>0</v>
      </c>
      <c r="BS1972" s="71">
        <v>0</v>
      </c>
      <c r="BT1972" s="72">
        <v>0</v>
      </c>
      <c r="BU1972" s="151" t="e">
        <f t="shared" si="131"/>
        <v>#DIV/0!</v>
      </c>
      <c r="BV1972" s="151" t="e">
        <f t="shared" si="132"/>
        <v>#DIV/0!</v>
      </c>
    </row>
    <row r="1973" ht="30" customHeight="1" spans="1:74">
      <c r="A1973" s="55" t="s">
        <v>211</v>
      </c>
      <c r="B1973" s="56" t="s">
        <v>2247</v>
      </c>
      <c r="C1973" s="57" t="s">
        <v>2261</v>
      </c>
      <c r="D1973" s="52" t="s">
        <v>3095</v>
      </c>
      <c r="E1973" s="52"/>
      <c r="F1973" s="59" t="e">
        <f>VLOOKUP(E1973,[1]库存!$B$1:$C$65536,2,FALSE)</f>
        <v>#N/A</v>
      </c>
      <c r="G1973" s="59" t="e">
        <v>#N/A</v>
      </c>
      <c r="H1973" s="59" t="s">
        <v>3128</v>
      </c>
      <c r="I1973" s="52" t="s">
        <v>3129</v>
      </c>
      <c r="J1973" s="63"/>
      <c r="K1973" s="61"/>
      <c r="L1973" s="62">
        <v>2</v>
      </c>
      <c r="M1973" s="63">
        <v>1400</v>
      </c>
      <c r="N1973" s="64">
        <v>11</v>
      </c>
      <c r="O1973" s="62">
        <v>2</v>
      </c>
      <c r="P1973" s="65">
        <f t="shared" si="130"/>
        <v>0</v>
      </c>
      <c r="Q1973" s="103"/>
      <c r="R1973" s="103"/>
      <c r="S1973" s="103"/>
      <c r="T1973" s="103"/>
      <c r="U1973" s="103"/>
      <c r="V1973" s="103"/>
      <c r="W1973" s="103"/>
      <c r="X1973" s="103"/>
      <c r="Y1973" s="103"/>
      <c r="Z1973" s="103"/>
      <c r="AA1973" s="103"/>
      <c r="AB1973" s="103"/>
      <c r="AC1973" s="103"/>
      <c r="AD1973" s="103"/>
      <c r="AE1973" s="103"/>
      <c r="AF1973" s="103"/>
      <c r="AG1973" s="103"/>
      <c r="AH1973" s="103"/>
      <c r="AI1973" s="103"/>
      <c r="AJ1973" s="103"/>
      <c r="AK1973" s="103"/>
      <c r="AL1973" s="103"/>
      <c r="AM1973" s="103"/>
      <c r="AN1973" s="103"/>
      <c r="AO1973" s="103"/>
      <c r="AP1973" s="103"/>
      <c r="AQ1973" s="103"/>
      <c r="AR1973" s="103"/>
      <c r="AS1973" s="103"/>
      <c r="AT1973" s="103"/>
      <c r="AU1973" s="103"/>
      <c r="AV1973" s="103"/>
      <c r="AW1973" s="103"/>
      <c r="AX1973" s="103"/>
      <c r="AY1973" s="103"/>
      <c r="AZ1973" s="103"/>
      <c r="BA1973" s="103"/>
      <c r="BB1973" s="103"/>
      <c r="BC1973" s="103"/>
      <c r="BD1973" s="103"/>
      <c r="BE1973" s="67"/>
      <c r="BF1973" s="67"/>
      <c r="BG1973" s="68"/>
      <c r="BI1973" s="69">
        <v>0</v>
      </c>
      <c r="BJ1973" s="70">
        <v>0</v>
      </c>
      <c r="BK1973" s="71">
        <v>0</v>
      </c>
      <c r="BL1973" s="71">
        <v>0</v>
      </c>
      <c r="BM1973" s="71">
        <v>0</v>
      </c>
      <c r="BN1973" s="72">
        <v>0</v>
      </c>
      <c r="BO1973" s="151" t="e">
        <f t="shared" si="128"/>
        <v>#DIV/0!</v>
      </c>
      <c r="BP1973" s="151" t="e">
        <f t="shared" si="129"/>
        <v>#DIV/0!</v>
      </c>
      <c r="BQ1973" s="71">
        <v>0</v>
      </c>
      <c r="BR1973" s="71">
        <v>0</v>
      </c>
      <c r="BS1973" s="71">
        <v>0</v>
      </c>
      <c r="BT1973" s="72">
        <v>0</v>
      </c>
      <c r="BU1973" s="151" t="e">
        <f t="shared" si="131"/>
        <v>#DIV/0!</v>
      </c>
      <c r="BV1973" s="151" t="e">
        <f t="shared" si="132"/>
        <v>#DIV/0!</v>
      </c>
    </row>
    <row r="1974" ht="30" customHeight="1" spans="1:74">
      <c r="A1974" s="55">
        <v>0</v>
      </c>
      <c r="B1974" s="56">
        <v>0</v>
      </c>
      <c r="C1974" s="57">
        <v>0</v>
      </c>
      <c r="D1974" s="52"/>
      <c r="E1974" s="52"/>
      <c r="F1974" s="59" t="e">
        <f>VLOOKUP(E1974,[1]库存!$B$1:$C$65536,2,FALSE)</f>
        <v>#N/A</v>
      </c>
      <c r="G1974" s="59" t="e">
        <v>#N/A</v>
      </c>
      <c r="H1974" s="152"/>
      <c r="I1974" s="52"/>
      <c r="J1974" s="87"/>
      <c r="K1974" s="61"/>
      <c r="L1974" s="62">
        <v>0</v>
      </c>
      <c r="M1974" s="63">
        <v>0</v>
      </c>
      <c r="N1974" s="64">
        <v>0</v>
      </c>
      <c r="O1974" s="62">
        <v>0</v>
      </c>
      <c r="P1974" s="65">
        <f t="shared" si="130"/>
        <v>0</v>
      </c>
      <c r="Q1974" s="66"/>
      <c r="R1974" s="66"/>
      <c r="S1974" s="66"/>
      <c r="T1974" s="66"/>
      <c r="U1974" s="66"/>
      <c r="V1974" s="66"/>
      <c r="W1974" s="66"/>
      <c r="X1974" s="66"/>
      <c r="Y1974" s="66"/>
      <c r="Z1974" s="66"/>
      <c r="AA1974" s="66"/>
      <c r="AB1974" s="66"/>
      <c r="AC1974" s="66"/>
      <c r="AD1974" s="66"/>
      <c r="AE1974" s="66"/>
      <c r="AF1974" s="66"/>
      <c r="AG1974" s="66"/>
      <c r="AH1974" s="66"/>
      <c r="AI1974" s="66"/>
      <c r="AJ1974" s="66"/>
      <c r="AK1974" s="66"/>
      <c r="AL1974" s="66"/>
      <c r="AM1974" s="66"/>
      <c r="AN1974" s="66"/>
      <c r="AO1974" s="66"/>
      <c r="AP1974" s="66"/>
      <c r="AQ1974" s="66"/>
      <c r="AR1974" s="66"/>
      <c r="AS1974" s="66"/>
      <c r="AT1974" s="66"/>
      <c r="AU1974" s="66"/>
      <c r="AV1974" s="66"/>
      <c r="AW1974" s="66"/>
      <c r="AX1974" s="66"/>
      <c r="AY1974" s="66"/>
      <c r="AZ1974" s="66"/>
      <c r="BA1974" s="66"/>
      <c r="BB1974" s="66"/>
      <c r="BC1974" s="66"/>
      <c r="BD1974" s="66"/>
      <c r="BE1974" s="67"/>
      <c r="BF1974" s="67"/>
      <c r="BG1974" s="68"/>
      <c r="BI1974" s="69">
        <v>0</v>
      </c>
      <c r="BJ1974" s="70">
        <v>0</v>
      </c>
      <c r="BK1974" s="71">
        <v>0</v>
      </c>
      <c r="BL1974" s="71">
        <v>0</v>
      </c>
      <c r="BM1974" s="71">
        <v>0</v>
      </c>
      <c r="BN1974" s="72">
        <v>0</v>
      </c>
      <c r="BO1974" s="151" t="e">
        <f t="shared" si="128"/>
        <v>#DIV/0!</v>
      </c>
      <c r="BP1974" s="151" t="e">
        <f t="shared" si="129"/>
        <v>#DIV/0!</v>
      </c>
      <c r="BQ1974" s="71">
        <v>0</v>
      </c>
      <c r="BR1974" s="71">
        <v>0</v>
      </c>
      <c r="BS1974" s="71">
        <v>0</v>
      </c>
      <c r="BT1974" s="72">
        <v>0</v>
      </c>
      <c r="BU1974" s="151" t="e">
        <f t="shared" si="131"/>
        <v>#DIV/0!</v>
      </c>
      <c r="BV1974" s="151" t="e">
        <f t="shared" si="132"/>
        <v>#DIV/0!</v>
      </c>
    </row>
    <row r="1975" ht="30" customHeight="1" spans="1:74">
      <c r="A1975" s="55" t="s">
        <v>211</v>
      </c>
      <c r="B1975" s="56" t="s">
        <v>2247</v>
      </c>
      <c r="C1975" s="57" t="s">
        <v>2261</v>
      </c>
      <c r="D1975" s="52" t="s">
        <v>3095</v>
      </c>
      <c r="E1975" s="52"/>
      <c r="F1975" s="59" t="e">
        <f>VLOOKUP(E1975,[1]库存!$B$1:$C$65536,2,FALSE)</f>
        <v>#N/A</v>
      </c>
      <c r="G1975" s="59" t="e">
        <v>#N/A</v>
      </c>
      <c r="H1975" s="59" t="s">
        <v>3130</v>
      </c>
      <c r="I1975" s="52" t="s">
        <v>3131</v>
      </c>
      <c r="J1975" s="63"/>
      <c r="K1975" s="61"/>
      <c r="L1975" s="62">
        <v>2</v>
      </c>
      <c r="M1975" s="63">
        <v>1400</v>
      </c>
      <c r="N1975" s="64">
        <v>11</v>
      </c>
      <c r="O1975" s="62">
        <v>2</v>
      </c>
      <c r="P1975" s="65">
        <f t="shared" si="130"/>
        <v>0</v>
      </c>
      <c r="Q1975" s="103"/>
      <c r="R1975" s="103"/>
      <c r="S1975" s="103"/>
      <c r="T1975" s="103"/>
      <c r="U1975" s="103"/>
      <c r="V1975" s="103"/>
      <c r="W1975" s="103"/>
      <c r="X1975" s="103"/>
      <c r="Y1975" s="103"/>
      <c r="Z1975" s="103"/>
      <c r="AA1975" s="103"/>
      <c r="AB1975" s="103"/>
      <c r="AC1975" s="103"/>
      <c r="AD1975" s="103"/>
      <c r="AE1975" s="103"/>
      <c r="AF1975" s="103"/>
      <c r="AG1975" s="103"/>
      <c r="AH1975" s="103"/>
      <c r="AI1975" s="103"/>
      <c r="AJ1975" s="103"/>
      <c r="AK1975" s="103"/>
      <c r="AL1975" s="103"/>
      <c r="AM1975" s="103"/>
      <c r="AN1975" s="103"/>
      <c r="AO1975" s="103"/>
      <c r="AP1975" s="103"/>
      <c r="AQ1975" s="103"/>
      <c r="AR1975" s="103"/>
      <c r="AS1975" s="103"/>
      <c r="AT1975" s="103"/>
      <c r="AU1975" s="103"/>
      <c r="AV1975" s="103"/>
      <c r="AW1975" s="103"/>
      <c r="AX1975" s="103"/>
      <c r="AY1975" s="103"/>
      <c r="AZ1975" s="103"/>
      <c r="BA1975" s="103"/>
      <c r="BB1975" s="103"/>
      <c r="BC1975" s="103"/>
      <c r="BD1975" s="103"/>
      <c r="BE1975" s="67"/>
      <c r="BF1975" s="67"/>
      <c r="BG1975" s="68"/>
      <c r="BI1975" s="69">
        <v>0</v>
      </c>
      <c r="BJ1975" s="70">
        <v>0</v>
      </c>
      <c r="BK1975" s="71">
        <v>0</v>
      </c>
      <c r="BL1975" s="71">
        <v>0</v>
      </c>
      <c r="BM1975" s="71">
        <v>0</v>
      </c>
      <c r="BN1975" s="72">
        <v>0</v>
      </c>
      <c r="BO1975" s="151" t="e">
        <f t="shared" si="128"/>
        <v>#DIV/0!</v>
      </c>
      <c r="BP1975" s="151" t="e">
        <f t="shared" si="129"/>
        <v>#DIV/0!</v>
      </c>
      <c r="BQ1975" s="71">
        <v>0</v>
      </c>
      <c r="BR1975" s="71">
        <v>0</v>
      </c>
      <c r="BS1975" s="71">
        <v>0</v>
      </c>
      <c r="BT1975" s="72">
        <v>0</v>
      </c>
      <c r="BU1975" s="151" t="e">
        <f t="shared" si="131"/>
        <v>#DIV/0!</v>
      </c>
      <c r="BV1975" s="151" t="e">
        <f t="shared" si="132"/>
        <v>#DIV/0!</v>
      </c>
    </row>
    <row r="1976" ht="30" customHeight="1" spans="1:74">
      <c r="A1976" s="55">
        <v>0</v>
      </c>
      <c r="B1976" s="56">
        <v>0</v>
      </c>
      <c r="C1976" s="57">
        <v>0</v>
      </c>
      <c r="D1976" s="52"/>
      <c r="E1976" s="52"/>
      <c r="F1976" s="59" t="e">
        <f>VLOOKUP(E1976,[1]库存!$B$1:$C$65536,2,FALSE)</f>
        <v>#N/A</v>
      </c>
      <c r="G1976" s="59" t="e">
        <v>#N/A</v>
      </c>
      <c r="H1976" s="152"/>
      <c r="I1976" s="52"/>
      <c r="J1976" s="87"/>
      <c r="K1976" s="61"/>
      <c r="L1976" s="62">
        <v>0</v>
      </c>
      <c r="M1976" s="63">
        <v>0</v>
      </c>
      <c r="N1976" s="64">
        <v>0</v>
      </c>
      <c r="O1976" s="62">
        <v>0</v>
      </c>
      <c r="P1976" s="65">
        <f t="shared" si="130"/>
        <v>0</v>
      </c>
      <c r="Q1976" s="66"/>
      <c r="R1976" s="66"/>
      <c r="S1976" s="66"/>
      <c r="T1976" s="66"/>
      <c r="U1976" s="66"/>
      <c r="V1976" s="66"/>
      <c r="W1976" s="66"/>
      <c r="X1976" s="66"/>
      <c r="Y1976" s="66"/>
      <c r="Z1976" s="66"/>
      <c r="AA1976" s="66"/>
      <c r="AB1976" s="66"/>
      <c r="AC1976" s="66"/>
      <c r="AD1976" s="66"/>
      <c r="AE1976" s="66"/>
      <c r="AF1976" s="66"/>
      <c r="AG1976" s="66"/>
      <c r="AH1976" s="66"/>
      <c r="AI1976" s="66"/>
      <c r="AJ1976" s="66"/>
      <c r="AK1976" s="66"/>
      <c r="AL1976" s="66"/>
      <c r="AM1976" s="66"/>
      <c r="AN1976" s="66"/>
      <c r="AO1976" s="66"/>
      <c r="AP1976" s="66"/>
      <c r="AQ1976" s="66"/>
      <c r="AR1976" s="66"/>
      <c r="AS1976" s="66"/>
      <c r="AT1976" s="66"/>
      <c r="AU1976" s="66"/>
      <c r="AV1976" s="66"/>
      <c r="AW1976" s="66"/>
      <c r="AX1976" s="66"/>
      <c r="AY1976" s="66"/>
      <c r="AZ1976" s="66"/>
      <c r="BA1976" s="66"/>
      <c r="BB1976" s="66"/>
      <c r="BC1976" s="66"/>
      <c r="BD1976" s="66"/>
      <c r="BE1976" s="67"/>
      <c r="BF1976" s="67"/>
      <c r="BG1976" s="68"/>
      <c r="BI1976" s="69">
        <v>0</v>
      </c>
      <c r="BJ1976" s="70">
        <v>0</v>
      </c>
      <c r="BK1976" s="71">
        <v>0</v>
      </c>
      <c r="BL1976" s="71">
        <v>0</v>
      </c>
      <c r="BM1976" s="71">
        <v>0</v>
      </c>
      <c r="BN1976" s="72">
        <v>0</v>
      </c>
      <c r="BO1976" s="151" t="e">
        <f t="shared" si="128"/>
        <v>#DIV/0!</v>
      </c>
      <c r="BP1976" s="151" t="e">
        <f t="shared" si="129"/>
        <v>#DIV/0!</v>
      </c>
      <c r="BQ1976" s="71">
        <v>0</v>
      </c>
      <c r="BR1976" s="71">
        <v>0</v>
      </c>
      <c r="BS1976" s="71">
        <v>0</v>
      </c>
      <c r="BT1976" s="72">
        <v>0</v>
      </c>
      <c r="BU1976" s="151" t="e">
        <f t="shared" si="131"/>
        <v>#DIV/0!</v>
      </c>
      <c r="BV1976" s="151" t="e">
        <f t="shared" si="132"/>
        <v>#DIV/0!</v>
      </c>
    </row>
    <row r="1977" ht="30" customHeight="1" spans="1:74">
      <c r="A1977" s="55">
        <v>0</v>
      </c>
      <c r="B1977" s="56">
        <v>0</v>
      </c>
      <c r="C1977" s="57">
        <v>0</v>
      </c>
      <c r="D1977" s="106"/>
      <c r="E1977" s="107"/>
      <c r="F1977" s="59" t="e">
        <f>VLOOKUP(E1977,[1]库存!$B$1:$C$65536,2,FALSE)</f>
        <v>#N/A</v>
      </c>
      <c r="G1977" s="59" t="e">
        <v>#N/A</v>
      </c>
      <c r="H1977" s="89"/>
      <c r="I1977" s="88"/>
      <c r="J1977" s="90"/>
      <c r="K1977" s="61"/>
      <c r="L1977" s="62">
        <v>0</v>
      </c>
      <c r="M1977" s="63">
        <v>0</v>
      </c>
      <c r="N1977" s="64">
        <v>0</v>
      </c>
      <c r="O1977" s="62">
        <v>0</v>
      </c>
      <c r="P1977" s="65">
        <f t="shared" si="130"/>
        <v>0</v>
      </c>
      <c r="Q1977" s="66"/>
      <c r="R1977" s="66"/>
      <c r="S1977" s="66"/>
      <c r="T1977" s="66"/>
      <c r="U1977" s="66"/>
      <c r="V1977" s="66"/>
      <c r="W1977" s="66"/>
      <c r="X1977" s="66"/>
      <c r="Y1977" s="66"/>
      <c r="Z1977" s="66"/>
      <c r="AA1977" s="66"/>
      <c r="AB1977" s="66"/>
      <c r="AC1977" s="66"/>
      <c r="AD1977" s="66"/>
      <c r="AE1977" s="66"/>
      <c r="AF1977" s="66"/>
      <c r="AG1977" s="66"/>
      <c r="AH1977" s="66"/>
      <c r="AI1977" s="66"/>
      <c r="AJ1977" s="66"/>
      <c r="AK1977" s="66"/>
      <c r="AL1977" s="66"/>
      <c r="AM1977" s="66"/>
      <c r="AN1977" s="66"/>
      <c r="AO1977" s="66"/>
      <c r="AP1977" s="66"/>
      <c r="AQ1977" s="66"/>
      <c r="AR1977" s="66"/>
      <c r="AS1977" s="66"/>
      <c r="AT1977" s="66"/>
      <c r="AU1977" s="66"/>
      <c r="AV1977" s="66"/>
      <c r="AW1977" s="66"/>
      <c r="AX1977" s="66"/>
      <c r="AY1977" s="66"/>
      <c r="AZ1977" s="66"/>
      <c r="BA1977" s="66"/>
      <c r="BB1977" s="66"/>
      <c r="BC1977" s="66"/>
      <c r="BD1977" s="66"/>
      <c r="BE1977" s="67"/>
      <c r="BF1977" s="67"/>
      <c r="BG1977" s="68"/>
      <c r="BI1977" s="69">
        <v>0</v>
      </c>
      <c r="BJ1977" s="70">
        <v>0</v>
      </c>
      <c r="BK1977" s="71">
        <v>0</v>
      </c>
      <c r="BL1977" s="71">
        <v>0</v>
      </c>
      <c r="BM1977" s="71">
        <v>0</v>
      </c>
      <c r="BN1977" s="72">
        <v>0</v>
      </c>
      <c r="BO1977" s="151" t="e">
        <f t="shared" si="128"/>
        <v>#DIV/0!</v>
      </c>
      <c r="BP1977" s="151" t="e">
        <f t="shared" si="129"/>
        <v>#DIV/0!</v>
      </c>
      <c r="BQ1977" s="71">
        <v>0</v>
      </c>
      <c r="BR1977" s="71">
        <v>0</v>
      </c>
      <c r="BS1977" s="71">
        <v>0</v>
      </c>
      <c r="BT1977" s="72">
        <v>0</v>
      </c>
      <c r="BU1977" s="151" t="e">
        <f t="shared" si="131"/>
        <v>#DIV/0!</v>
      </c>
      <c r="BV1977" s="151" t="e">
        <f t="shared" si="132"/>
        <v>#DIV/0!</v>
      </c>
    </row>
    <row r="1978" ht="30" customHeight="1" spans="1:74">
      <c r="A1978" s="55">
        <v>0</v>
      </c>
      <c r="B1978" s="56" t="s">
        <v>2247</v>
      </c>
      <c r="C1978" s="57" t="s">
        <v>2261</v>
      </c>
      <c r="D1978" s="56" t="s">
        <v>3132</v>
      </c>
      <c r="E1978" s="56" t="s">
        <v>3133</v>
      </c>
      <c r="F1978" s="91" t="str">
        <f>VLOOKUP(E1978,[1]库存!$B$1:$C$65536,2,FALSE)</f>
        <v>SA5HA-1 SAB LH A状态</v>
      </c>
      <c r="G1978" s="91" t="s">
        <v>3134</v>
      </c>
      <c r="H1978" s="91" t="s">
        <v>3135</v>
      </c>
      <c r="I1978" s="56" t="s">
        <v>836</v>
      </c>
      <c r="J1978" s="63"/>
      <c r="K1978" s="61"/>
      <c r="L1978" s="62">
        <v>2</v>
      </c>
      <c r="M1978" s="63">
        <v>1600</v>
      </c>
      <c r="N1978" s="64">
        <v>11</v>
      </c>
      <c r="O1978" s="62">
        <v>2</v>
      </c>
      <c r="P1978" s="65">
        <f t="shared" si="130"/>
        <v>0</v>
      </c>
      <c r="Q1978" s="103"/>
      <c r="R1978" s="67"/>
      <c r="S1978" s="103"/>
      <c r="T1978" s="67"/>
      <c r="U1978" s="103"/>
      <c r="V1978" s="67"/>
      <c r="W1978" s="103"/>
      <c r="X1978" s="67"/>
      <c r="Y1978" s="103"/>
      <c r="Z1978" s="67"/>
      <c r="AA1978" s="103"/>
      <c r="AB1978" s="67"/>
      <c r="AC1978" s="103"/>
      <c r="AD1978" s="67"/>
      <c r="AE1978" s="103"/>
      <c r="AF1978" s="67"/>
      <c r="AG1978" s="103"/>
      <c r="AH1978" s="67"/>
      <c r="AI1978" s="103"/>
      <c r="AJ1978" s="67"/>
      <c r="AK1978" s="103"/>
      <c r="AL1978" s="67"/>
      <c r="AM1978" s="103"/>
      <c r="AN1978" s="67"/>
      <c r="AO1978" s="103"/>
      <c r="AP1978" s="67"/>
      <c r="AQ1978" s="103"/>
      <c r="AR1978" s="67"/>
      <c r="AS1978" s="103"/>
      <c r="AT1978" s="67"/>
      <c r="AU1978" s="103"/>
      <c r="AV1978" s="67"/>
      <c r="AW1978" s="103"/>
      <c r="AX1978" s="67"/>
      <c r="AY1978" s="103"/>
      <c r="AZ1978" s="67"/>
      <c r="BA1978" s="103"/>
      <c r="BB1978" s="67"/>
      <c r="BC1978" s="103"/>
      <c r="BD1978" s="67"/>
      <c r="BE1978" s="67"/>
      <c r="BF1978" s="67"/>
      <c r="BG1978" s="68"/>
      <c r="BI1978" s="69">
        <v>0</v>
      </c>
      <c r="BJ1978" s="70">
        <v>0</v>
      </c>
      <c r="BK1978" s="71">
        <v>0</v>
      </c>
      <c r="BL1978" s="71">
        <v>0</v>
      </c>
      <c r="BM1978" s="71">
        <v>0</v>
      </c>
      <c r="BN1978" s="72">
        <v>0</v>
      </c>
      <c r="BO1978" s="151" t="e">
        <f t="shared" si="128"/>
        <v>#DIV/0!</v>
      </c>
      <c r="BP1978" s="151" t="e">
        <f t="shared" si="129"/>
        <v>#DIV/0!</v>
      </c>
      <c r="BQ1978" s="71">
        <v>0</v>
      </c>
      <c r="BR1978" s="71">
        <v>0</v>
      </c>
      <c r="BS1978" s="71">
        <v>0</v>
      </c>
      <c r="BT1978" s="72">
        <v>0</v>
      </c>
      <c r="BU1978" s="151" t="e">
        <f t="shared" si="131"/>
        <v>#DIV/0!</v>
      </c>
      <c r="BV1978" s="151" t="e">
        <f t="shared" si="132"/>
        <v>#DIV/0!</v>
      </c>
    </row>
    <row r="1979" ht="30" customHeight="1" spans="1:74">
      <c r="A1979" s="55">
        <v>0</v>
      </c>
      <c r="B1979" s="56">
        <v>0</v>
      </c>
      <c r="C1979" s="57">
        <v>0</v>
      </c>
      <c r="D1979" s="56"/>
      <c r="E1979" s="56"/>
      <c r="F1979" s="91" t="e">
        <f>VLOOKUP(E1979,[1]库存!$B$1:$C$65536,2,FALSE)</f>
        <v>#N/A</v>
      </c>
      <c r="G1979" s="91" t="e">
        <v>#N/A</v>
      </c>
      <c r="H1979" s="154"/>
      <c r="I1979" s="56"/>
      <c r="J1979" s="87"/>
      <c r="K1979" s="61"/>
      <c r="L1979" s="62">
        <v>0</v>
      </c>
      <c r="M1979" s="63">
        <v>0</v>
      </c>
      <c r="N1979" s="64">
        <v>0</v>
      </c>
      <c r="O1979" s="62">
        <v>0</v>
      </c>
      <c r="P1979" s="65">
        <f t="shared" si="130"/>
        <v>0</v>
      </c>
      <c r="Q1979" s="66"/>
      <c r="R1979" s="67"/>
      <c r="S1979" s="66"/>
      <c r="T1979" s="67"/>
      <c r="U1979" s="66"/>
      <c r="V1979" s="67"/>
      <c r="W1979" s="66"/>
      <c r="X1979" s="67"/>
      <c r="Y1979" s="66"/>
      <c r="Z1979" s="67"/>
      <c r="AA1979" s="66"/>
      <c r="AB1979" s="67"/>
      <c r="AC1979" s="66"/>
      <c r="AD1979" s="67"/>
      <c r="AE1979" s="66"/>
      <c r="AF1979" s="67"/>
      <c r="AG1979" s="66"/>
      <c r="AH1979" s="67"/>
      <c r="AI1979" s="66"/>
      <c r="AJ1979" s="67"/>
      <c r="AK1979" s="66"/>
      <c r="AL1979" s="67"/>
      <c r="AM1979" s="66"/>
      <c r="AN1979" s="67"/>
      <c r="AO1979" s="66"/>
      <c r="AP1979" s="67"/>
      <c r="AQ1979" s="66"/>
      <c r="AR1979" s="67"/>
      <c r="AS1979" s="66"/>
      <c r="AT1979" s="67"/>
      <c r="AU1979" s="66"/>
      <c r="AV1979" s="67"/>
      <c r="AW1979" s="66"/>
      <c r="AX1979" s="67"/>
      <c r="AY1979" s="66"/>
      <c r="AZ1979" s="67"/>
      <c r="BA1979" s="66"/>
      <c r="BB1979" s="67"/>
      <c r="BC1979" s="66"/>
      <c r="BD1979" s="67"/>
      <c r="BE1979" s="67"/>
      <c r="BF1979" s="67"/>
      <c r="BG1979" s="68"/>
      <c r="BI1979" s="69">
        <v>0</v>
      </c>
      <c r="BJ1979" s="70">
        <v>0</v>
      </c>
      <c r="BK1979" s="71">
        <v>0</v>
      </c>
      <c r="BL1979" s="71">
        <v>0</v>
      </c>
      <c r="BM1979" s="71">
        <v>0</v>
      </c>
      <c r="BN1979" s="72">
        <v>0</v>
      </c>
      <c r="BO1979" s="151" t="e">
        <f t="shared" si="128"/>
        <v>#DIV/0!</v>
      </c>
      <c r="BP1979" s="151" t="e">
        <f t="shared" si="129"/>
        <v>#DIV/0!</v>
      </c>
      <c r="BQ1979" s="71">
        <v>0</v>
      </c>
      <c r="BR1979" s="71">
        <v>0</v>
      </c>
      <c r="BS1979" s="71">
        <v>0</v>
      </c>
      <c r="BT1979" s="72">
        <v>0</v>
      </c>
      <c r="BU1979" s="151" t="e">
        <f t="shared" si="131"/>
        <v>#DIV/0!</v>
      </c>
      <c r="BV1979" s="151" t="e">
        <f t="shared" si="132"/>
        <v>#DIV/0!</v>
      </c>
    </row>
    <row r="1980" ht="30" customHeight="1" spans="1:74">
      <c r="A1980" s="55">
        <v>0</v>
      </c>
      <c r="B1980" s="56" t="s">
        <v>2247</v>
      </c>
      <c r="C1980" s="57" t="s">
        <v>2261</v>
      </c>
      <c r="D1980" s="56" t="s">
        <v>3132</v>
      </c>
      <c r="E1980" s="56" t="s">
        <v>3136</v>
      </c>
      <c r="F1980" s="91" t="str">
        <f>VLOOKUP(E1980,[1]库存!$B$1:$C$65536,2,FALSE)</f>
        <v>SA5HA-1 SAB RH A状态</v>
      </c>
      <c r="G1980" s="91" t="s">
        <v>3137</v>
      </c>
      <c r="H1980" s="91" t="s">
        <v>3138</v>
      </c>
      <c r="I1980" s="56" t="s">
        <v>836</v>
      </c>
      <c r="J1980" s="63"/>
      <c r="K1980" s="61"/>
      <c r="L1980" s="62">
        <v>2</v>
      </c>
      <c r="M1980" s="63">
        <v>1600</v>
      </c>
      <c r="N1980" s="64">
        <v>11</v>
      </c>
      <c r="O1980" s="62">
        <v>2</v>
      </c>
      <c r="P1980" s="65">
        <f t="shared" si="130"/>
        <v>0</v>
      </c>
      <c r="Q1980" s="103"/>
      <c r="R1980" s="67"/>
      <c r="S1980" s="103"/>
      <c r="T1980" s="67"/>
      <c r="U1980" s="103"/>
      <c r="V1980" s="67"/>
      <c r="W1980" s="103"/>
      <c r="X1980" s="67"/>
      <c r="Y1980" s="103"/>
      <c r="Z1980" s="67"/>
      <c r="AA1980" s="103"/>
      <c r="AB1980" s="67"/>
      <c r="AC1980" s="103"/>
      <c r="AD1980" s="67"/>
      <c r="AE1980" s="103"/>
      <c r="AF1980" s="67"/>
      <c r="AG1980" s="103"/>
      <c r="AH1980" s="67"/>
      <c r="AI1980" s="103"/>
      <c r="AJ1980" s="67"/>
      <c r="AK1980" s="103"/>
      <c r="AL1980" s="67"/>
      <c r="AM1980" s="103"/>
      <c r="AN1980" s="67"/>
      <c r="AO1980" s="103"/>
      <c r="AP1980" s="67"/>
      <c r="AQ1980" s="103"/>
      <c r="AR1980" s="67"/>
      <c r="AS1980" s="103"/>
      <c r="AT1980" s="67"/>
      <c r="AU1980" s="103"/>
      <c r="AV1980" s="67"/>
      <c r="AW1980" s="103"/>
      <c r="AX1980" s="67"/>
      <c r="AY1980" s="103"/>
      <c r="AZ1980" s="67"/>
      <c r="BA1980" s="103"/>
      <c r="BB1980" s="67"/>
      <c r="BC1980" s="103"/>
      <c r="BD1980" s="67"/>
      <c r="BE1980" s="67"/>
      <c r="BF1980" s="67"/>
      <c r="BG1980" s="68"/>
      <c r="BI1980" s="69">
        <v>0</v>
      </c>
      <c r="BJ1980" s="70">
        <v>0</v>
      </c>
      <c r="BK1980" s="71">
        <v>0</v>
      </c>
      <c r="BL1980" s="71">
        <v>0</v>
      </c>
      <c r="BM1980" s="71">
        <v>0</v>
      </c>
      <c r="BN1980" s="72">
        <v>0</v>
      </c>
      <c r="BO1980" s="151" t="e">
        <f t="shared" si="128"/>
        <v>#DIV/0!</v>
      </c>
      <c r="BP1980" s="151" t="e">
        <f t="shared" si="129"/>
        <v>#DIV/0!</v>
      </c>
      <c r="BQ1980" s="71">
        <v>0</v>
      </c>
      <c r="BR1980" s="71">
        <v>0</v>
      </c>
      <c r="BS1980" s="71">
        <v>0</v>
      </c>
      <c r="BT1980" s="72">
        <v>0</v>
      </c>
      <c r="BU1980" s="151" t="e">
        <f t="shared" si="131"/>
        <v>#DIV/0!</v>
      </c>
      <c r="BV1980" s="151" t="e">
        <f t="shared" si="132"/>
        <v>#DIV/0!</v>
      </c>
    </row>
    <row r="1981" ht="30" customHeight="1" spans="1:74">
      <c r="A1981" s="55">
        <v>0</v>
      </c>
      <c r="B1981" s="56">
        <v>0</v>
      </c>
      <c r="C1981" s="57">
        <v>0</v>
      </c>
      <c r="D1981" s="56"/>
      <c r="E1981" s="56"/>
      <c r="F1981" s="91" t="e">
        <f>VLOOKUP(E1981,[1]库存!$B$1:$C$65536,2,FALSE)</f>
        <v>#N/A</v>
      </c>
      <c r="G1981" s="91" t="e">
        <v>#N/A</v>
      </c>
      <c r="H1981" s="154"/>
      <c r="I1981" s="56"/>
      <c r="J1981" s="87"/>
      <c r="K1981" s="61"/>
      <c r="L1981" s="62">
        <v>0</v>
      </c>
      <c r="M1981" s="63">
        <v>0</v>
      </c>
      <c r="N1981" s="64">
        <v>0</v>
      </c>
      <c r="O1981" s="62">
        <v>0</v>
      </c>
      <c r="P1981" s="65">
        <f t="shared" si="130"/>
        <v>0</v>
      </c>
      <c r="Q1981" s="66"/>
      <c r="R1981" s="66"/>
      <c r="S1981" s="66"/>
      <c r="T1981" s="66"/>
      <c r="U1981" s="66"/>
      <c r="V1981" s="66"/>
      <c r="W1981" s="66"/>
      <c r="X1981" s="66"/>
      <c r="Y1981" s="66"/>
      <c r="Z1981" s="66"/>
      <c r="AA1981" s="66"/>
      <c r="AB1981" s="66"/>
      <c r="AC1981" s="66"/>
      <c r="AD1981" s="66"/>
      <c r="AE1981" s="66"/>
      <c r="AF1981" s="66"/>
      <c r="AG1981" s="66"/>
      <c r="AH1981" s="66"/>
      <c r="AI1981" s="66"/>
      <c r="AJ1981" s="66"/>
      <c r="AK1981" s="66"/>
      <c r="AL1981" s="66"/>
      <c r="AM1981" s="66"/>
      <c r="AN1981" s="66"/>
      <c r="AO1981" s="66"/>
      <c r="AP1981" s="66"/>
      <c r="AQ1981" s="66"/>
      <c r="AR1981" s="66"/>
      <c r="AS1981" s="66"/>
      <c r="AT1981" s="66"/>
      <c r="AU1981" s="66"/>
      <c r="AV1981" s="66"/>
      <c r="AW1981" s="66"/>
      <c r="AX1981" s="66"/>
      <c r="AY1981" s="66"/>
      <c r="AZ1981" s="66"/>
      <c r="BA1981" s="66"/>
      <c r="BB1981" s="66"/>
      <c r="BC1981" s="66"/>
      <c r="BD1981" s="66"/>
      <c r="BE1981" s="67"/>
      <c r="BF1981" s="67"/>
      <c r="BG1981" s="68"/>
      <c r="BI1981" s="69">
        <v>0</v>
      </c>
      <c r="BJ1981" s="70">
        <v>0</v>
      </c>
      <c r="BK1981" s="71">
        <v>0</v>
      </c>
      <c r="BL1981" s="71">
        <v>0</v>
      </c>
      <c r="BM1981" s="71">
        <v>0</v>
      </c>
      <c r="BN1981" s="72">
        <v>0</v>
      </c>
      <c r="BO1981" s="151" t="e">
        <f t="shared" si="128"/>
        <v>#DIV/0!</v>
      </c>
      <c r="BP1981" s="151" t="e">
        <f t="shared" si="129"/>
        <v>#DIV/0!</v>
      </c>
      <c r="BQ1981" s="71">
        <v>0</v>
      </c>
      <c r="BR1981" s="71">
        <v>0</v>
      </c>
      <c r="BS1981" s="71">
        <v>0</v>
      </c>
      <c r="BT1981" s="72">
        <v>0</v>
      </c>
      <c r="BU1981" s="151" t="e">
        <f t="shared" si="131"/>
        <v>#DIV/0!</v>
      </c>
      <c r="BV1981" s="151" t="e">
        <f t="shared" si="132"/>
        <v>#DIV/0!</v>
      </c>
    </row>
    <row r="1982" ht="30" customHeight="1" spans="1:74">
      <c r="A1982" s="55">
        <v>0</v>
      </c>
      <c r="B1982" s="56" t="s">
        <v>2247</v>
      </c>
      <c r="C1982" s="57" t="s">
        <v>2261</v>
      </c>
      <c r="D1982" s="56" t="s">
        <v>3132</v>
      </c>
      <c r="E1982" s="56" t="s">
        <v>3139</v>
      </c>
      <c r="F1982" s="91" t="str">
        <f>VLOOKUP(E1982,[1]库存!$B$1:$C$65536,2,FALSE)</f>
        <v>SC2EGE SAB LH A状态</v>
      </c>
      <c r="G1982" s="91" t="s">
        <v>3140</v>
      </c>
      <c r="H1982" s="91" t="s">
        <v>3141</v>
      </c>
      <c r="I1982" s="56" t="s">
        <v>836</v>
      </c>
      <c r="J1982" s="63"/>
      <c r="K1982" s="61"/>
      <c r="L1982" s="62">
        <v>2</v>
      </c>
      <c r="M1982" s="63">
        <v>1400</v>
      </c>
      <c r="N1982" s="64">
        <v>11</v>
      </c>
      <c r="O1982" s="62">
        <v>2</v>
      </c>
      <c r="P1982" s="65">
        <f t="shared" si="130"/>
        <v>0</v>
      </c>
      <c r="Q1982" s="103"/>
      <c r="R1982" s="66"/>
      <c r="S1982" s="103"/>
      <c r="T1982" s="66"/>
      <c r="U1982" s="103"/>
      <c r="V1982" s="66"/>
      <c r="W1982" s="103"/>
      <c r="X1982" s="66"/>
      <c r="Y1982" s="103"/>
      <c r="Z1982" s="66"/>
      <c r="AA1982" s="103"/>
      <c r="AB1982" s="66"/>
      <c r="AC1982" s="103"/>
      <c r="AD1982" s="66"/>
      <c r="AE1982" s="103"/>
      <c r="AF1982" s="66"/>
      <c r="AG1982" s="103"/>
      <c r="AH1982" s="66"/>
      <c r="AI1982" s="103"/>
      <c r="AJ1982" s="66"/>
      <c r="AK1982" s="103"/>
      <c r="AL1982" s="66"/>
      <c r="AM1982" s="103"/>
      <c r="AN1982" s="66"/>
      <c r="AO1982" s="103"/>
      <c r="AP1982" s="66"/>
      <c r="AQ1982" s="103"/>
      <c r="AR1982" s="66"/>
      <c r="AS1982" s="103"/>
      <c r="AT1982" s="66"/>
      <c r="AU1982" s="103"/>
      <c r="AV1982" s="66"/>
      <c r="AW1982" s="103"/>
      <c r="AX1982" s="66"/>
      <c r="AY1982" s="103"/>
      <c r="AZ1982" s="66"/>
      <c r="BA1982" s="103"/>
      <c r="BB1982" s="66"/>
      <c r="BC1982" s="103"/>
      <c r="BD1982" s="66"/>
      <c r="BE1982" s="67"/>
      <c r="BF1982" s="67"/>
      <c r="BG1982" s="68"/>
      <c r="BI1982" s="69">
        <v>0</v>
      </c>
      <c r="BJ1982" s="70">
        <v>0</v>
      </c>
      <c r="BK1982" s="71">
        <v>0</v>
      </c>
      <c r="BL1982" s="71">
        <v>0</v>
      </c>
      <c r="BM1982" s="71">
        <v>0</v>
      </c>
      <c r="BN1982" s="72">
        <v>0</v>
      </c>
      <c r="BO1982" s="151" t="e">
        <f t="shared" si="128"/>
        <v>#DIV/0!</v>
      </c>
      <c r="BP1982" s="151" t="e">
        <f t="shared" si="129"/>
        <v>#DIV/0!</v>
      </c>
      <c r="BQ1982" s="71">
        <v>0</v>
      </c>
      <c r="BR1982" s="71">
        <v>0</v>
      </c>
      <c r="BS1982" s="71">
        <v>0</v>
      </c>
      <c r="BT1982" s="72">
        <v>0</v>
      </c>
      <c r="BU1982" s="151" t="e">
        <f t="shared" si="131"/>
        <v>#DIV/0!</v>
      </c>
      <c r="BV1982" s="151" t="e">
        <f t="shared" si="132"/>
        <v>#DIV/0!</v>
      </c>
    </row>
    <row r="1983" ht="30" customHeight="1" spans="1:74">
      <c r="A1983" s="55">
        <v>0</v>
      </c>
      <c r="B1983" s="56">
        <v>0</v>
      </c>
      <c r="C1983" s="57">
        <v>0</v>
      </c>
      <c r="D1983" s="56"/>
      <c r="E1983" s="56"/>
      <c r="F1983" s="91" t="e">
        <f>VLOOKUP(E1983,[1]库存!$B$1:$C$65536,2,FALSE)</f>
        <v>#N/A</v>
      </c>
      <c r="G1983" s="91" t="e">
        <v>#N/A</v>
      </c>
      <c r="H1983" s="154"/>
      <c r="I1983" s="56"/>
      <c r="J1983" s="87"/>
      <c r="K1983" s="61"/>
      <c r="L1983" s="62">
        <v>0</v>
      </c>
      <c r="M1983" s="63">
        <v>0</v>
      </c>
      <c r="N1983" s="64">
        <v>0</v>
      </c>
      <c r="O1983" s="62">
        <v>0</v>
      </c>
      <c r="P1983" s="65">
        <f t="shared" si="130"/>
        <v>0</v>
      </c>
      <c r="Q1983" s="66"/>
      <c r="R1983" s="66"/>
      <c r="S1983" s="66"/>
      <c r="T1983" s="66"/>
      <c r="U1983" s="66"/>
      <c r="V1983" s="66"/>
      <c r="W1983" s="66"/>
      <c r="X1983" s="66"/>
      <c r="Y1983" s="66"/>
      <c r="Z1983" s="66"/>
      <c r="AA1983" s="66"/>
      <c r="AB1983" s="66"/>
      <c r="AC1983" s="66"/>
      <c r="AD1983" s="66"/>
      <c r="AE1983" s="66"/>
      <c r="AF1983" s="66"/>
      <c r="AG1983" s="66"/>
      <c r="AH1983" s="66"/>
      <c r="AI1983" s="66"/>
      <c r="AJ1983" s="66"/>
      <c r="AK1983" s="66"/>
      <c r="AL1983" s="66"/>
      <c r="AM1983" s="66"/>
      <c r="AN1983" s="66"/>
      <c r="AO1983" s="66"/>
      <c r="AP1983" s="66"/>
      <c r="AQ1983" s="66"/>
      <c r="AR1983" s="66"/>
      <c r="AS1983" s="66"/>
      <c r="AT1983" s="66"/>
      <c r="AU1983" s="66"/>
      <c r="AV1983" s="66"/>
      <c r="AW1983" s="66"/>
      <c r="AX1983" s="66"/>
      <c r="AY1983" s="66"/>
      <c r="AZ1983" s="66"/>
      <c r="BA1983" s="66"/>
      <c r="BB1983" s="66"/>
      <c r="BC1983" s="66"/>
      <c r="BD1983" s="66"/>
      <c r="BE1983" s="67"/>
      <c r="BF1983" s="67"/>
      <c r="BG1983" s="68"/>
      <c r="BI1983" s="69">
        <v>0</v>
      </c>
      <c r="BJ1983" s="70">
        <v>0</v>
      </c>
      <c r="BK1983" s="71">
        <v>0</v>
      </c>
      <c r="BL1983" s="71">
        <v>0</v>
      </c>
      <c r="BM1983" s="71">
        <v>0</v>
      </c>
      <c r="BN1983" s="72">
        <v>0</v>
      </c>
      <c r="BO1983" s="151" t="e">
        <f t="shared" si="128"/>
        <v>#DIV/0!</v>
      </c>
      <c r="BP1983" s="151" t="e">
        <f t="shared" si="129"/>
        <v>#DIV/0!</v>
      </c>
      <c r="BQ1983" s="71">
        <v>0</v>
      </c>
      <c r="BR1983" s="71">
        <v>0</v>
      </c>
      <c r="BS1983" s="71">
        <v>0</v>
      </c>
      <c r="BT1983" s="72">
        <v>0</v>
      </c>
      <c r="BU1983" s="151" t="e">
        <f t="shared" si="131"/>
        <v>#DIV/0!</v>
      </c>
      <c r="BV1983" s="151" t="e">
        <f t="shared" si="132"/>
        <v>#DIV/0!</v>
      </c>
    </row>
    <row r="1984" ht="30" customHeight="1" spans="1:74">
      <c r="A1984" s="55">
        <v>0</v>
      </c>
      <c r="B1984" s="56" t="s">
        <v>2247</v>
      </c>
      <c r="C1984" s="57" t="s">
        <v>2261</v>
      </c>
      <c r="D1984" s="56" t="s">
        <v>3132</v>
      </c>
      <c r="E1984" s="56" t="s">
        <v>3142</v>
      </c>
      <c r="F1984" s="91" t="str">
        <f>VLOOKUP(E1984,[1]库存!$B$1:$C$65536,2,FALSE)</f>
        <v>SC2EGE SAB RH A状态</v>
      </c>
      <c r="G1984" s="91" t="s">
        <v>3143</v>
      </c>
      <c r="H1984" s="91" t="s">
        <v>3144</v>
      </c>
      <c r="I1984" s="56" t="s">
        <v>836</v>
      </c>
      <c r="J1984" s="63"/>
      <c r="K1984" s="61"/>
      <c r="L1984" s="62">
        <v>2</v>
      </c>
      <c r="M1984" s="63">
        <v>1400</v>
      </c>
      <c r="N1984" s="64">
        <v>11</v>
      </c>
      <c r="O1984" s="62">
        <v>2</v>
      </c>
      <c r="P1984" s="65">
        <f t="shared" si="130"/>
        <v>0</v>
      </c>
      <c r="Q1984" s="66"/>
      <c r="R1984" s="66"/>
      <c r="S1984" s="66"/>
      <c r="T1984" s="66"/>
      <c r="U1984" s="66"/>
      <c r="V1984" s="66"/>
      <c r="W1984" s="66"/>
      <c r="X1984" s="66"/>
      <c r="Y1984" s="66"/>
      <c r="Z1984" s="66"/>
      <c r="AA1984" s="66"/>
      <c r="AB1984" s="66"/>
      <c r="AC1984" s="66"/>
      <c r="AD1984" s="66"/>
      <c r="AE1984" s="66"/>
      <c r="AF1984" s="66"/>
      <c r="AG1984" s="66"/>
      <c r="AH1984" s="66"/>
      <c r="AI1984" s="66"/>
      <c r="AJ1984" s="66"/>
      <c r="AK1984" s="66"/>
      <c r="AL1984" s="66"/>
      <c r="AM1984" s="66"/>
      <c r="AN1984" s="66"/>
      <c r="AO1984" s="66"/>
      <c r="AP1984" s="66"/>
      <c r="AQ1984" s="66"/>
      <c r="AR1984" s="66"/>
      <c r="AS1984" s="66"/>
      <c r="AT1984" s="66"/>
      <c r="AU1984" s="66"/>
      <c r="AV1984" s="66"/>
      <c r="AW1984" s="66"/>
      <c r="AX1984" s="66"/>
      <c r="AY1984" s="66"/>
      <c r="AZ1984" s="66"/>
      <c r="BA1984" s="66"/>
      <c r="BB1984" s="66"/>
      <c r="BC1984" s="66"/>
      <c r="BD1984" s="66"/>
      <c r="BE1984" s="67"/>
      <c r="BF1984" s="67"/>
      <c r="BG1984" s="68"/>
      <c r="BI1984" s="69">
        <v>0</v>
      </c>
      <c r="BJ1984" s="70">
        <v>0</v>
      </c>
      <c r="BK1984" s="71">
        <v>0</v>
      </c>
      <c r="BL1984" s="71">
        <v>0</v>
      </c>
      <c r="BM1984" s="71">
        <v>0</v>
      </c>
      <c r="BN1984" s="72">
        <v>0</v>
      </c>
      <c r="BO1984" s="151" t="e">
        <f t="shared" si="128"/>
        <v>#DIV/0!</v>
      </c>
      <c r="BP1984" s="151" t="e">
        <f t="shared" si="129"/>
        <v>#DIV/0!</v>
      </c>
      <c r="BQ1984" s="71">
        <v>0</v>
      </c>
      <c r="BR1984" s="71">
        <v>0</v>
      </c>
      <c r="BS1984" s="71">
        <v>0</v>
      </c>
      <c r="BT1984" s="72">
        <v>0</v>
      </c>
      <c r="BU1984" s="151" t="e">
        <f t="shared" si="131"/>
        <v>#DIV/0!</v>
      </c>
      <c r="BV1984" s="151" t="e">
        <f t="shared" si="132"/>
        <v>#DIV/0!</v>
      </c>
    </row>
    <row r="1985" ht="30" customHeight="1" spans="1:74">
      <c r="A1985" s="55">
        <v>0</v>
      </c>
      <c r="B1985" s="56">
        <v>0</v>
      </c>
      <c r="C1985" s="57">
        <v>0</v>
      </c>
      <c r="D1985" s="56"/>
      <c r="E1985" s="56"/>
      <c r="F1985" s="91" t="e">
        <f>VLOOKUP(E1985,[1]库存!$B$1:$C$65536,2,FALSE)</f>
        <v>#N/A</v>
      </c>
      <c r="G1985" s="91" t="e">
        <v>#N/A</v>
      </c>
      <c r="H1985" s="154"/>
      <c r="I1985" s="56"/>
      <c r="J1985" s="87"/>
      <c r="K1985" s="61"/>
      <c r="L1985" s="62">
        <v>0</v>
      </c>
      <c r="M1985" s="63">
        <v>0</v>
      </c>
      <c r="N1985" s="64">
        <v>0</v>
      </c>
      <c r="O1985" s="62">
        <v>0</v>
      </c>
      <c r="P1985" s="65">
        <f t="shared" si="130"/>
        <v>0</v>
      </c>
      <c r="Q1985" s="66"/>
      <c r="R1985" s="66"/>
      <c r="S1985" s="66"/>
      <c r="T1985" s="66"/>
      <c r="U1985" s="66"/>
      <c r="V1985" s="66"/>
      <c r="W1985" s="66"/>
      <c r="X1985" s="66"/>
      <c r="Y1985" s="66"/>
      <c r="Z1985" s="66"/>
      <c r="AA1985" s="66"/>
      <c r="AB1985" s="66"/>
      <c r="AC1985" s="66"/>
      <c r="AD1985" s="66"/>
      <c r="AE1985" s="66"/>
      <c r="AF1985" s="66"/>
      <c r="AG1985" s="66"/>
      <c r="AH1985" s="66"/>
      <c r="AI1985" s="66"/>
      <c r="AJ1985" s="66"/>
      <c r="AK1985" s="66"/>
      <c r="AL1985" s="66"/>
      <c r="AM1985" s="66"/>
      <c r="AN1985" s="66"/>
      <c r="AO1985" s="66"/>
      <c r="AP1985" s="66"/>
      <c r="AQ1985" s="66"/>
      <c r="AR1985" s="66"/>
      <c r="AS1985" s="66"/>
      <c r="AT1985" s="66"/>
      <c r="AU1985" s="66"/>
      <c r="AV1985" s="66"/>
      <c r="AW1985" s="66"/>
      <c r="AX1985" s="66"/>
      <c r="AY1985" s="66"/>
      <c r="AZ1985" s="66"/>
      <c r="BA1985" s="66"/>
      <c r="BB1985" s="66"/>
      <c r="BC1985" s="66"/>
      <c r="BD1985" s="66"/>
      <c r="BE1985" s="67"/>
      <c r="BF1985" s="67"/>
      <c r="BG1985" s="68"/>
      <c r="BI1985" s="69">
        <v>0</v>
      </c>
      <c r="BJ1985" s="70">
        <v>0</v>
      </c>
      <c r="BK1985" s="71">
        <v>0</v>
      </c>
      <c r="BL1985" s="71">
        <v>0</v>
      </c>
      <c r="BM1985" s="71">
        <v>0</v>
      </c>
      <c r="BN1985" s="72">
        <v>0</v>
      </c>
      <c r="BO1985" s="151" t="e">
        <f t="shared" si="128"/>
        <v>#DIV/0!</v>
      </c>
      <c r="BP1985" s="151" t="e">
        <f t="shared" si="129"/>
        <v>#DIV/0!</v>
      </c>
      <c r="BQ1985" s="71">
        <v>0</v>
      </c>
      <c r="BR1985" s="71">
        <v>0</v>
      </c>
      <c r="BS1985" s="71">
        <v>0</v>
      </c>
      <c r="BT1985" s="72">
        <v>0</v>
      </c>
      <c r="BU1985" s="151" t="e">
        <f t="shared" si="131"/>
        <v>#DIV/0!</v>
      </c>
      <c r="BV1985" s="151" t="e">
        <f t="shared" si="132"/>
        <v>#DIV/0!</v>
      </c>
    </row>
    <row r="1986" ht="30" customHeight="1" spans="1:74">
      <c r="A1986" s="55">
        <v>0</v>
      </c>
      <c r="B1986" s="56" t="s">
        <v>2247</v>
      </c>
      <c r="C1986" s="57" t="s">
        <v>2261</v>
      </c>
      <c r="D1986" s="52" t="s">
        <v>3132</v>
      </c>
      <c r="E1986" s="52"/>
      <c r="F1986" s="59" t="e">
        <f>VLOOKUP(E1986,[1]库存!$B$1:$C$65536,2,FALSE)</f>
        <v>#N/A</v>
      </c>
      <c r="G1986" s="59" t="e">
        <v>#N/A</v>
      </c>
      <c r="H1986" s="59" t="s">
        <v>3145</v>
      </c>
      <c r="I1986" s="52" t="s">
        <v>3146</v>
      </c>
      <c r="J1986" s="63"/>
      <c r="K1986" s="61"/>
      <c r="L1986" s="62">
        <v>2</v>
      </c>
      <c r="M1986" s="63">
        <v>1400</v>
      </c>
      <c r="N1986" s="64">
        <v>12</v>
      </c>
      <c r="O1986" s="62">
        <v>2</v>
      </c>
      <c r="P1986" s="65">
        <f t="shared" si="130"/>
        <v>0</v>
      </c>
      <c r="Q1986" s="103"/>
      <c r="R1986" s="66"/>
      <c r="S1986" s="103"/>
      <c r="T1986" s="66"/>
      <c r="U1986" s="103"/>
      <c r="V1986" s="66"/>
      <c r="W1986" s="103"/>
      <c r="X1986" s="66"/>
      <c r="Y1986" s="103"/>
      <c r="Z1986" s="66"/>
      <c r="AA1986" s="103"/>
      <c r="AB1986" s="66"/>
      <c r="AC1986" s="103"/>
      <c r="AD1986" s="66"/>
      <c r="AE1986" s="103"/>
      <c r="AF1986" s="66"/>
      <c r="AG1986" s="103"/>
      <c r="AH1986" s="66"/>
      <c r="AI1986" s="103"/>
      <c r="AJ1986" s="66"/>
      <c r="AK1986" s="103"/>
      <c r="AL1986" s="66"/>
      <c r="AM1986" s="103"/>
      <c r="AN1986" s="66"/>
      <c r="AO1986" s="103"/>
      <c r="AP1986" s="66"/>
      <c r="AQ1986" s="103"/>
      <c r="AR1986" s="66"/>
      <c r="AS1986" s="103"/>
      <c r="AT1986" s="66"/>
      <c r="AU1986" s="103"/>
      <c r="AV1986" s="66"/>
      <c r="AW1986" s="103"/>
      <c r="AX1986" s="66"/>
      <c r="AY1986" s="103"/>
      <c r="AZ1986" s="66"/>
      <c r="BA1986" s="103"/>
      <c r="BB1986" s="66"/>
      <c r="BC1986" s="103"/>
      <c r="BD1986" s="66"/>
      <c r="BE1986" s="67"/>
      <c r="BF1986" s="67"/>
      <c r="BG1986" s="68"/>
      <c r="BI1986" s="69">
        <v>0</v>
      </c>
      <c r="BJ1986" s="70">
        <v>0</v>
      </c>
      <c r="BK1986" s="71">
        <v>0</v>
      </c>
      <c r="BL1986" s="71">
        <v>0</v>
      </c>
      <c r="BM1986" s="71">
        <v>0</v>
      </c>
      <c r="BN1986" s="72">
        <v>0</v>
      </c>
      <c r="BO1986" s="151" t="e">
        <f t="shared" ref="BO1986:BO2023" si="133">(BK1986+BL1986)/BJ1986</f>
        <v>#DIV/0!</v>
      </c>
      <c r="BP1986" s="151" t="e">
        <f t="shared" ref="BP1986:BP2023" si="134">BM1986/BJ1986</f>
        <v>#DIV/0!</v>
      </c>
      <c r="BQ1986" s="71">
        <v>0</v>
      </c>
      <c r="BR1986" s="71">
        <v>0</v>
      </c>
      <c r="BS1986" s="71">
        <v>0</v>
      </c>
      <c r="BT1986" s="72">
        <v>0</v>
      </c>
      <c r="BU1986" s="151" t="e">
        <f t="shared" si="131"/>
        <v>#DIV/0!</v>
      </c>
      <c r="BV1986" s="151" t="e">
        <f t="shared" si="132"/>
        <v>#DIV/0!</v>
      </c>
    </row>
    <row r="1987" ht="30" customHeight="1" spans="1:74">
      <c r="A1987" s="55">
        <v>0</v>
      </c>
      <c r="B1987" s="56">
        <v>0</v>
      </c>
      <c r="C1987" s="57">
        <v>0</v>
      </c>
      <c r="D1987" s="52"/>
      <c r="E1987" s="52"/>
      <c r="F1987" s="59" t="e">
        <f>VLOOKUP(E1987,[1]库存!$B$1:$C$65536,2,FALSE)</f>
        <v>#N/A</v>
      </c>
      <c r="G1987" s="59" t="e">
        <v>#N/A</v>
      </c>
      <c r="H1987" s="152"/>
      <c r="I1987" s="52"/>
      <c r="J1987" s="87"/>
      <c r="K1987" s="61"/>
      <c r="L1987" s="62">
        <v>0</v>
      </c>
      <c r="M1987" s="63">
        <v>0</v>
      </c>
      <c r="N1987" s="64">
        <v>0</v>
      </c>
      <c r="O1987" s="62">
        <v>0</v>
      </c>
      <c r="P1987" s="65">
        <f t="shared" si="130"/>
        <v>0</v>
      </c>
      <c r="Q1987" s="66"/>
      <c r="R1987" s="66"/>
      <c r="S1987" s="66"/>
      <c r="T1987" s="66"/>
      <c r="U1987" s="66"/>
      <c r="V1987" s="66"/>
      <c r="W1987" s="66"/>
      <c r="X1987" s="66"/>
      <c r="Y1987" s="66"/>
      <c r="Z1987" s="66"/>
      <c r="AA1987" s="66"/>
      <c r="AB1987" s="66"/>
      <c r="AC1987" s="66"/>
      <c r="AD1987" s="66"/>
      <c r="AE1987" s="66"/>
      <c r="AF1987" s="66"/>
      <c r="AG1987" s="66"/>
      <c r="AH1987" s="66"/>
      <c r="AI1987" s="66"/>
      <c r="AJ1987" s="66"/>
      <c r="AK1987" s="66"/>
      <c r="AL1987" s="66"/>
      <c r="AM1987" s="66"/>
      <c r="AN1987" s="66"/>
      <c r="AO1987" s="66"/>
      <c r="AP1987" s="66"/>
      <c r="AQ1987" s="66"/>
      <c r="AR1987" s="66"/>
      <c r="AS1987" s="66"/>
      <c r="AT1987" s="66"/>
      <c r="AU1987" s="66"/>
      <c r="AV1987" s="66"/>
      <c r="AW1987" s="66"/>
      <c r="AX1987" s="66"/>
      <c r="AY1987" s="66"/>
      <c r="AZ1987" s="66"/>
      <c r="BA1987" s="66"/>
      <c r="BB1987" s="66"/>
      <c r="BC1987" s="66"/>
      <c r="BD1987" s="66"/>
      <c r="BE1987" s="67"/>
      <c r="BF1987" s="67"/>
      <c r="BG1987" s="68"/>
      <c r="BI1987" s="69">
        <v>0</v>
      </c>
      <c r="BJ1987" s="70">
        <v>0</v>
      </c>
      <c r="BK1987" s="71">
        <v>0</v>
      </c>
      <c r="BL1987" s="71">
        <v>0</v>
      </c>
      <c r="BM1987" s="71">
        <v>0</v>
      </c>
      <c r="BN1987" s="72">
        <v>0</v>
      </c>
      <c r="BO1987" s="151" t="e">
        <f t="shared" si="133"/>
        <v>#DIV/0!</v>
      </c>
      <c r="BP1987" s="151" t="e">
        <f t="shared" si="134"/>
        <v>#DIV/0!</v>
      </c>
      <c r="BQ1987" s="71">
        <v>0</v>
      </c>
      <c r="BR1987" s="71">
        <v>0</v>
      </c>
      <c r="BS1987" s="71">
        <v>0</v>
      </c>
      <c r="BT1987" s="72">
        <v>0</v>
      </c>
      <c r="BU1987" s="151" t="e">
        <f t="shared" si="131"/>
        <v>#DIV/0!</v>
      </c>
      <c r="BV1987" s="151" t="e">
        <f t="shared" si="132"/>
        <v>#DIV/0!</v>
      </c>
    </row>
    <row r="1988" ht="30" customHeight="1" spans="1:74">
      <c r="A1988" s="55">
        <v>0</v>
      </c>
      <c r="B1988" s="56" t="s">
        <v>2247</v>
      </c>
      <c r="C1988" s="57" t="s">
        <v>2261</v>
      </c>
      <c r="D1988" s="52" t="s">
        <v>3132</v>
      </c>
      <c r="E1988" s="52"/>
      <c r="F1988" s="59" t="e">
        <f>VLOOKUP(E1988,[1]库存!$B$1:$C$65536,2,FALSE)</f>
        <v>#N/A</v>
      </c>
      <c r="G1988" s="59" t="e">
        <v>#N/A</v>
      </c>
      <c r="H1988" s="59" t="s">
        <v>3147</v>
      </c>
      <c r="I1988" s="52" t="s">
        <v>3148</v>
      </c>
      <c r="J1988" s="63"/>
      <c r="K1988" s="61"/>
      <c r="L1988" s="62">
        <v>2</v>
      </c>
      <c r="M1988" s="63">
        <v>1400</v>
      </c>
      <c r="N1988" s="64">
        <v>12</v>
      </c>
      <c r="O1988" s="62">
        <v>2</v>
      </c>
      <c r="P1988" s="65">
        <f t="shared" si="130"/>
        <v>0</v>
      </c>
      <c r="Q1988" s="66"/>
      <c r="R1988" s="66"/>
      <c r="S1988" s="66"/>
      <c r="T1988" s="66"/>
      <c r="U1988" s="66"/>
      <c r="V1988" s="66"/>
      <c r="W1988" s="66"/>
      <c r="X1988" s="66"/>
      <c r="Y1988" s="66"/>
      <c r="Z1988" s="66"/>
      <c r="AA1988" s="66"/>
      <c r="AB1988" s="66"/>
      <c r="AC1988" s="66"/>
      <c r="AD1988" s="66"/>
      <c r="AE1988" s="66"/>
      <c r="AF1988" s="66"/>
      <c r="AG1988" s="66"/>
      <c r="AH1988" s="66"/>
      <c r="AI1988" s="66"/>
      <c r="AJ1988" s="66"/>
      <c r="AK1988" s="66"/>
      <c r="AL1988" s="66"/>
      <c r="AM1988" s="66"/>
      <c r="AN1988" s="66"/>
      <c r="AO1988" s="66"/>
      <c r="AP1988" s="66"/>
      <c r="AQ1988" s="66"/>
      <c r="AR1988" s="66"/>
      <c r="AS1988" s="66"/>
      <c r="AT1988" s="66"/>
      <c r="AU1988" s="66"/>
      <c r="AV1988" s="66"/>
      <c r="AW1988" s="66"/>
      <c r="AX1988" s="66"/>
      <c r="AY1988" s="66"/>
      <c r="AZ1988" s="66"/>
      <c r="BA1988" s="66"/>
      <c r="BB1988" s="66"/>
      <c r="BC1988" s="66"/>
      <c r="BD1988" s="66"/>
      <c r="BE1988" s="67"/>
      <c r="BF1988" s="67"/>
      <c r="BG1988" s="68"/>
      <c r="BI1988" s="69">
        <v>0</v>
      </c>
      <c r="BJ1988" s="70">
        <v>0</v>
      </c>
      <c r="BK1988" s="71">
        <v>0</v>
      </c>
      <c r="BL1988" s="71">
        <v>0</v>
      </c>
      <c r="BM1988" s="71">
        <v>0</v>
      </c>
      <c r="BN1988" s="72">
        <v>0</v>
      </c>
      <c r="BO1988" s="151" t="e">
        <f t="shared" si="133"/>
        <v>#DIV/0!</v>
      </c>
      <c r="BP1988" s="151" t="e">
        <f t="shared" si="134"/>
        <v>#DIV/0!</v>
      </c>
      <c r="BQ1988" s="71">
        <v>0</v>
      </c>
      <c r="BR1988" s="71">
        <v>0</v>
      </c>
      <c r="BS1988" s="71">
        <v>0</v>
      </c>
      <c r="BT1988" s="72">
        <v>0</v>
      </c>
      <c r="BU1988" s="151" t="e">
        <f t="shared" si="131"/>
        <v>#DIV/0!</v>
      </c>
      <c r="BV1988" s="151" t="e">
        <f t="shared" si="132"/>
        <v>#DIV/0!</v>
      </c>
    </row>
    <row r="1989" ht="30" customHeight="1" spans="1:74">
      <c r="A1989" s="55">
        <v>0</v>
      </c>
      <c r="B1989" s="56">
        <v>0</v>
      </c>
      <c r="C1989" s="57">
        <v>0</v>
      </c>
      <c r="D1989" s="52"/>
      <c r="E1989" s="52"/>
      <c r="F1989" s="59" t="e">
        <f>VLOOKUP(E1989,[1]库存!$B$1:$C$65536,2,FALSE)</f>
        <v>#N/A</v>
      </c>
      <c r="G1989" s="59" t="e">
        <v>#N/A</v>
      </c>
      <c r="H1989" s="152"/>
      <c r="I1989" s="52"/>
      <c r="J1989" s="87"/>
      <c r="K1989" s="61"/>
      <c r="L1989" s="62">
        <v>0</v>
      </c>
      <c r="M1989" s="63">
        <v>0</v>
      </c>
      <c r="N1989" s="64">
        <v>0</v>
      </c>
      <c r="O1989" s="62">
        <v>0</v>
      </c>
      <c r="P1989" s="65">
        <f t="shared" si="130"/>
        <v>0</v>
      </c>
      <c r="Q1989" s="66"/>
      <c r="R1989" s="66"/>
      <c r="S1989" s="66"/>
      <c r="T1989" s="66"/>
      <c r="U1989" s="66"/>
      <c r="V1989" s="66"/>
      <c r="W1989" s="66"/>
      <c r="X1989" s="66"/>
      <c r="Y1989" s="66"/>
      <c r="Z1989" s="66"/>
      <c r="AA1989" s="66"/>
      <c r="AB1989" s="66"/>
      <c r="AC1989" s="66"/>
      <c r="AD1989" s="66"/>
      <c r="AE1989" s="66"/>
      <c r="AF1989" s="66"/>
      <c r="AG1989" s="66"/>
      <c r="AH1989" s="66"/>
      <c r="AI1989" s="66"/>
      <c r="AJ1989" s="66"/>
      <c r="AK1989" s="66"/>
      <c r="AL1989" s="66"/>
      <c r="AM1989" s="66"/>
      <c r="AN1989" s="66"/>
      <c r="AO1989" s="66"/>
      <c r="AP1989" s="66"/>
      <c r="AQ1989" s="66"/>
      <c r="AR1989" s="66"/>
      <c r="AS1989" s="66"/>
      <c r="AT1989" s="66"/>
      <c r="AU1989" s="66"/>
      <c r="AV1989" s="66"/>
      <c r="AW1989" s="66"/>
      <c r="AX1989" s="66"/>
      <c r="AY1989" s="66"/>
      <c r="AZ1989" s="66"/>
      <c r="BA1989" s="66"/>
      <c r="BB1989" s="66"/>
      <c r="BC1989" s="66"/>
      <c r="BD1989" s="66"/>
      <c r="BE1989" s="67"/>
      <c r="BF1989" s="67"/>
      <c r="BG1989" s="68"/>
      <c r="BI1989" s="69">
        <v>0</v>
      </c>
      <c r="BJ1989" s="70">
        <v>0</v>
      </c>
      <c r="BK1989" s="71">
        <v>0</v>
      </c>
      <c r="BL1989" s="71">
        <v>0</v>
      </c>
      <c r="BM1989" s="71">
        <v>0</v>
      </c>
      <c r="BN1989" s="72">
        <v>0</v>
      </c>
      <c r="BO1989" s="151" t="e">
        <f t="shared" si="133"/>
        <v>#DIV/0!</v>
      </c>
      <c r="BP1989" s="151" t="e">
        <f t="shared" si="134"/>
        <v>#DIV/0!</v>
      </c>
      <c r="BQ1989" s="71">
        <v>0</v>
      </c>
      <c r="BR1989" s="71">
        <v>0</v>
      </c>
      <c r="BS1989" s="71">
        <v>0</v>
      </c>
      <c r="BT1989" s="72">
        <v>0</v>
      </c>
      <c r="BU1989" s="151" t="e">
        <f t="shared" si="131"/>
        <v>#DIV/0!</v>
      </c>
      <c r="BV1989" s="151" t="e">
        <f t="shared" si="132"/>
        <v>#DIV/0!</v>
      </c>
    </row>
    <row r="1990" ht="30" customHeight="1" spans="1:74">
      <c r="A1990" s="55">
        <v>0</v>
      </c>
      <c r="B1990" s="56" t="s">
        <v>2247</v>
      </c>
      <c r="C1990" s="57" t="s">
        <v>2261</v>
      </c>
      <c r="D1990" s="52" t="s">
        <v>3132</v>
      </c>
      <c r="E1990" s="52"/>
      <c r="F1990" s="59" t="e">
        <f>VLOOKUP(E1990,[1]库存!$B$1:$C$65536,2,FALSE)</f>
        <v>#N/A</v>
      </c>
      <c r="G1990" s="59" t="e">
        <v>#N/A</v>
      </c>
      <c r="H1990" s="59" t="s">
        <v>3149</v>
      </c>
      <c r="I1990" s="52" t="s">
        <v>3150</v>
      </c>
      <c r="J1990" s="63"/>
      <c r="K1990" s="61"/>
      <c r="L1990" s="62">
        <v>2</v>
      </c>
      <c r="M1990" s="63">
        <v>1400</v>
      </c>
      <c r="N1990" s="64">
        <v>12</v>
      </c>
      <c r="O1990" s="62">
        <v>2</v>
      </c>
      <c r="P1990" s="65">
        <f t="shared" ref="P1990:P2053" si="135">SUM(AG1990:AJ1990)</f>
        <v>0</v>
      </c>
      <c r="Q1990" s="103"/>
      <c r="R1990" s="66"/>
      <c r="S1990" s="103"/>
      <c r="T1990" s="66"/>
      <c r="U1990" s="103"/>
      <c r="V1990" s="66"/>
      <c r="W1990" s="103"/>
      <c r="X1990" s="66"/>
      <c r="Y1990" s="103"/>
      <c r="Z1990" s="66"/>
      <c r="AA1990" s="103"/>
      <c r="AB1990" s="66"/>
      <c r="AC1990" s="103"/>
      <c r="AD1990" s="66"/>
      <c r="AE1990" s="103"/>
      <c r="AF1990" s="66"/>
      <c r="AG1990" s="103"/>
      <c r="AH1990" s="66"/>
      <c r="AI1990" s="103"/>
      <c r="AJ1990" s="66"/>
      <c r="AK1990" s="103"/>
      <c r="AL1990" s="66"/>
      <c r="AM1990" s="103"/>
      <c r="AN1990" s="66"/>
      <c r="AO1990" s="103"/>
      <c r="AP1990" s="66"/>
      <c r="AQ1990" s="103"/>
      <c r="AR1990" s="66"/>
      <c r="AS1990" s="103"/>
      <c r="AT1990" s="66"/>
      <c r="AU1990" s="103"/>
      <c r="AV1990" s="66"/>
      <c r="AW1990" s="103"/>
      <c r="AX1990" s="66"/>
      <c r="AY1990" s="103"/>
      <c r="AZ1990" s="66"/>
      <c r="BA1990" s="103"/>
      <c r="BB1990" s="66"/>
      <c r="BC1990" s="103"/>
      <c r="BD1990" s="66"/>
      <c r="BE1990" s="67"/>
      <c r="BF1990" s="67"/>
      <c r="BG1990" s="68"/>
      <c r="BI1990" s="69">
        <v>0</v>
      </c>
      <c r="BJ1990" s="70">
        <v>0</v>
      </c>
      <c r="BK1990" s="71">
        <v>0</v>
      </c>
      <c r="BL1990" s="71">
        <v>0</v>
      </c>
      <c r="BM1990" s="71">
        <v>0</v>
      </c>
      <c r="BN1990" s="72">
        <v>0</v>
      </c>
      <c r="BO1990" s="151" t="e">
        <f t="shared" si="133"/>
        <v>#DIV/0!</v>
      </c>
      <c r="BP1990" s="151" t="e">
        <f t="shared" si="134"/>
        <v>#DIV/0!</v>
      </c>
      <c r="BQ1990" s="71">
        <v>0</v>
      </c>
      <c r="BR1990" s="71">
        <v>0</v>
      </c>
      <c r="BS1990" s="71">
        <v>0</v>
      </c>
      <c r="BT1990" s="72">
        <v>0</v>
      </c>
      <c r="BU1990" s="151" t="e">
        <f t="shared" si="131"/>
        <v>#DIV/0!</v>
      </c>
      <c r="BV1990" s="151" t="e">
        <f t="shared" si="132"/>
        <v>#DIV/0!</v>
      </c>
    </row>
    <row r="1991" ht="30" customHeight="1" spans="1:74">
      <c r="A1991" s="55">
        <v>0</v>
      </c>
      <c r="B1991" s="56">
        <v>0</v>
      </c>
      <c r="C1991" s="57">
        <v>0</v>
      </c>
      <c r="D1991" s="52"/>
      <c r="E1991" s="52"/>
      <c r="F1991" s="59" t="e">
        <f>VLOOKUP(E1991,[1]库存!$B$1:$C$65536,2,FALSE)</f>
        <v>#N/A</v>
      </c>
      <c r="G1991" s="59" t="e">
        <v>#N/A</v>
      </c>
      <c r="H1991" s="152"/>
      <c r="I1991" s="52"/>
      <c r="J1991" s="87"/>
      <c r="K1991" s="61"/>
      <c r="L1991" s="62">
        <v>0</v>
      </c>
      <c r="M1991" s="63">
        <v>0</v>
      </c>
      <c r="N1991" s="64">
        <v>0</v>
      </c>
      <c r="O1991" s="62">
        <v>0</v>
      </c>
      <c r="P1991" s="65">
        <f t="shared" si="135"/>
        <v>0</v>
      </c>
      <c r="Q1991" s="66"/>
      <c r="R1991" s="66"/>
      <c r="S1991" s="66"/>
      <c r="T1991" s="66"/>
      <c r="U1991" s="66"/>
      <c r="V1991" s="66"/>
      <c r="W1991" s="66"/>
      <c r="X1991" s="66"/>
      <c r="Y1991" s="66"/>
      <c r="Z1991" s="66"/>
      <c r="AA1991" s="66"/>
      <c r="AB1991" s="66"/>
      <c r="AC1991" s="66"/>
      <c r="AD1991" s="66"/>
      <c r="AE1991" s="66"/>
      <c r="AF1991" s="66"/>
      <c r="AG1991" s="66"/>
      <c r="AH1991" s="66"/>
      <c r="AI1991" s="66"/>
      <c r="AJ1991" s="66"/>
      <c r="AK1991" s="66"/>
      <c r="AL1991" s="66"/>
      <c r="AM1991" s="66"/>
      <c r="AN1991" s="66"/>
      <c r="AO1991" s="66"/>
      <c r="AP1991" s="66"/>
      <c r="AQ1991" s="66"/>
      <c r="AR1991" s="66"/>
      <c r="AS1991" s="66"/>
      <c r="AT1991" s="66"/>
      <c r="AU1991" s="66"/>
      <c r="AV1991" s="66"/>
      <c r="AW1991" s="66"/>
      <c r="AX1991" s="66"/>
      <c r="AY1991" s="66"/>
      <c r="AZ1991" s="66"/>
      <c r="BA1991" s="66"/>
      <c r="BB1991" s="66"/>
      <c r="BC1991" s="66"/>
      <c r="BD1991" s="66"/>
      <c r="BE1991" s="67"/>
      <c r="BF1991" s="67"/>
      <c r="BG1991" s="68"/>
      <c r="BI1991" s="69">
        <v>0</v>
      </c>
      <c r="BJ1991" s="70">
        <v>0</v>
      </c>
      <c r="BK1991" s="71">
        <v>0</v>
      </c>
      <c r="BL1991" s="71">
        <v>0</v>
      </c>
      <c r="BM1991" s="71">
        <v>0</v>
      </c>
      <c r="BN1991" s="72">
        <v>0</v>
      </c>
      <c r="BO1991" s="151" t="e">
        <f t="shared" si="133"/>
        <v>#DIV/0!</v>
      </c>
      <c r="BP1991" s="151" t="e">
        <f t="shared" si="134"/>
        <v>#DIV/0!</v>
      </c>
      <c r="BQ1991" s="71">
        <v>0</v>
      </c>
      <c r="BR1991" s="71">
        <v>0</v>
      </c>
      <c r="BS1991" s="71">
        <v>0</v>
      </c>
      <c r="BT1991" s="72">
        <v>0</v>
      </c>
      <c r="BU1991" s="151" t="e">
        <f t="shared" si="131"/>
        <v>#DIV/0!</v>
      </c>
      <c r="BV1991" s="151" t="e">
        <f t="shared" si="132"/>
        <v>#DIV/0!</v>
      </c>
    </row>
    <row r="1992" ht="30" customHeight="1" spans="1:74">
      <c r="A1992" s="55">
        <v>0</v>
      </c>
      <c r="B1992" s="56" t="s">
        <v>2247</v>
      </c>
      <c r="C1992" s="57" t="s">
        <v>2261</v>
      </c>
      <c r="D1992" s="52" t="s">
        <v>3132</v>
      </c>
      <c r="E1992" s="52"/>
      <c r="F1992" s="59" t="e">
        <f>VLOOKUP(E1992,[1]库存!$B$1:$C$65536,2,FALSE)</f>
        <v>#N/A</v>
      </c>
      <c r="G1992" s="59" t="e">
        <v>#N/A</v>
      </c>
      <c r="H1992" s="59" t="s">
        <v>3151</v>
      </c>
      <c r="I1992" s="52" t="s">
        <v>3152</v>
      </c>
      <c r="J1992" s="63"/>
      <c r="K1992" s="61"/>
      <c r="L1992" s="62">
        <v>2</v>
      </c>
      <c r="M1992" s="63">
        <v>1400</v>
      </c>
      <c r="N1992" s="64">
        <v>12</v>
      </c>
      <c r="O1992" s="62">
        <v>2</v>
      </c>
      <c r="P1992" s="65">
        <f t="shared" si="135"/>
        <v>0</v>
      </c>
      <c r="Q1992" s="66"/>
      <c r="R1992" s="66"/>
      <c r="S1992" s="66"/>
      <c r="T1992" s="66"/>
      <c r="U1992" s="66"/>
      <c r="V1992" s="66"/>
      <c r="W1992" s="66"/>
      <c r="X1992" s="66"/>
      <c r="Y1992" s="66"/>
      <c r="Z1992" s="66"/>
      <c r="AA1992" s="66"/>
      <c r="AB1992" s="66"/>
      <c r="AC1992" s="66"/>
      <c r="AD1992" s="66"/>
      <c r="AE1992" s="66"/>
      <c r="AF1992" s="66"/>
      <c r="AG1992" s="66"/>
      <c r="AH1992" s="66"/>
      <c r="AI1992" s="66"/>
      <c r="AJ1992" s="66"/>
      <c r="AK1992" s="66"/>
      <c r="AL1992" s="66"/>
      <c r="AM1992" s="66"/>
      <c r="AN1992" s="66"/>
      <c r="AO1992" s="66"/>
      <c r="AP1992" s="66"/>
      <c r="AQ1992" s="66"/>
      <c r="AR1992" s="66"/>
      <c r="AS1992" s="66"/>
      <c r="AT1992" s="66"/>
      <c r="AU1992" s="66"/>
      <c r="AV1992" s="66"/>
      <c r="AW1992" s="66"/>
      <c r="AX1992" s="66"/>
      <c r="AY1992" s="66"/>
      <c r="AZ1992" s="66"/>
      <c r="BA1992" s="66"/>
      <c r="BB1992" s="66"/>
      <c r="BC1992" s="66"/>
      <c r="BD1992" s="66"/>
      <c r="BE1992" s="67"/>
      <c r="BF1992" s="67"/>
      <c r="BG1992" s="68"/>
      <c r="BI1992" s="69">
        <v>0</v>
      </c>
      <c r="BJ1992" s="70">
        <v>0</v>
      </c>
      <c r="BK1992" s="71">
        <v>0</v>
      </c>
      <c r="BL1992" s="71">
        <v>0</v>
      </c>
      <c r="BM1992" s="71">
        <v>0</v>
      </c>
      <c r="BN1992" s="72">
        <v>0</v>
      </c>
      <c r="BO1992" s="151" t="e">
        <f t="shared" si="133"/>
        <v>#DIV/0!</v>
      </c>
      <c r="BP1992" s="151" t="e">
        <f t="shared" si="134"/>
        <v>#DIV/0!</v>
      </c>
      <c r="BQ1992" s="71">
        <v>0</v>
      </c>
      <c r="BR1992" s="71">
        <v>0</v>
      </c>
      <c r="BS1992" s="71">
        <v>0</v>
      </c>
      <c r="BT1992" s="72">
        <v>0</v>
      </c>
      <c r="BU1992" s="151" t="e">
        <f t="shared" si="131"/>
        <v>#DIV/0!</v>
      </c>
      <c r="BV1992" s="151" t="e">
        <f t="shared" si="132"/>
        <v>#DIV/0!</v>
      </c>
    </row>
    <row r="1993" ht="30" customHeight="1" spans="1:74">
      <c r="A1993" s="55">
        <v>0</v>
      </c>
      <c r="B1993" s="56">
        <v>0</v>
      </c>
      <c r="C1993" s="57">
        <v>0</v>
      </c>
      <c r="D1993" s="52"/>
      <c r="E1993" s="52"/>
      <c r="F1993" s="59" t="e">
        <f>VLOOKUP(E1993,[1]库存!$B$1:$C$65536,2,FALSE)</f>
        <v>#N/A</v>
      </c>
      <c r="G1993" s="59" t="e">
        <v>#N/A</v>
      </c>
      <c r="H1993" s="152"/>
      <c r="I1993" s="52"/>
      <c r="J1993" s="87"/>
      <c r="K1993" s="61"/>
      <c r="L1993" s="62">
        <v>0</v>
      </c>
      <c r="M1993" s="63">
        <v>0</v>
      </c>
      <c r="N1993" s="64">
        <v>0</v>
      </c>
      <c r="O1993" s="62">
        <v>0</v>
      </c>
      <c r="P1993" s="65">
        <f t="shared" si="135"/>
        <v>0</v>
      </c>
      <c r="Q1993" s="66"/>
      <c r="R1993" s="66"/>
      <c r="S1993" s="66"/>
      <c r="T1993" s="66"/>
      <c r="U1993" s="66"/>
      <c r="V1993" s="66"/>
      <c r="W1993" s="66"/>
      <c r="X1993" s="66"/>
      <c r="Y1993" s="66"/>
      <c r="Z1993" s="66"/>
      <c r="AA1993" s="66"/>
      <c r="AB1993" s="66"/>
      <c r="AC1993" s="66"/>
      <c r="AD1993" s="66"/>
      <c r="AE1993" s="66"/>
      <c r="AF1993" s="66"/>
      <c r="AG1993" s="66"/>
      <c r="AH1993" s="66"/>
      <c r="AI1993" s="66"/>
      <c r="AJ1993" s="66"/>
      <c r="AK1993" s="66"/>
      <c r="AL1993" s="66"/>
      <c r="AM1993" s="66"/>
      <c r="AN1993" s="66"/>
      <c r="AO1993" s="66"/>
      <c r="AP1993" s="66"/>
      <c r="AQ1993" s="66"/>
      <c r="AR1993" s="66"/>
      <c r="AS1993" s="66"/>
      <c r="AT1993" s="66"/>
      <c r="AU1993" s="66"/>
      <c r="AV1993" s="66"/>
      <c r="AW1993" s="66"/>
      <c r="AX1993" s="66"/>
      <c r="AY1993" s="66"/>
      <c r="AZ1993" s="66"/>
      <c r="BA1993" s="66"/>
      <c r="BB1993" s="66"/>
      <c r="BC1993" s="66"/>
      <c r="BD1993" s="66"/>
      <c r="BE1993" s="67"/>
      <c r="BF1993" s="67"/>
      <c r="BG1993" s="68"/>
      <c r="BI1993" s="69">
        <v>0</v>
      </c>
      <c r="BJ1993" s="70">
        <v>0</v>
      </c>
      <c r="BK1993" s="71">
        <v>0</v>
      </c>
      <c r="BL1993" s="71">
        <v>0</v>
      </c>
      <c r="BM1993" s="71">
        <v>0</v>
      </c>
      <c r="BN1993" s="72">
        <v>0</v>
      </c>
      <c r="BO1993" s="151" t="e">
        <f t="shared" si="133"/>
        <v>#DIV/0!</v>
      </c>
      <c r="BP1993" s="151" t="e">
        <f t="shared" si="134"/>
        <v>#DIV/0!</v>
      </c>
      <c r="BQ1993" s="71">
        <v>0</v>
      </c>
      <c r="BR1993" s="71">
        <v>0</v>
      </c>
      <c r="BS1993" s="71">
        <v>0</v>
      </c>
      <c r="BT1993" s="72">
        <v>0</v>
      </c>
      <c r="BU1993" s="151" t="e">
        <f t="shared" si="131"/>
        <v>#DIV/0!</v>
      </c>
      <c r="BV1993" s="151" t="e">
        <f t="shared" si="132"/>
        <v>#DIV/0!</v>
      </c>
    </row>
    <row r="1994" ht="30" customHeight="1" spans="1:74">
      <c r="A1994" s="55">
        <v>0</v>
      </c>
      <c r="B1994" s="56">
        <v>0</v>
      </c>
      <c r="C1994" s="57">
        <v>0</v>
      </c>
      <c r="D1994" s="106"/>
      <c r="E1994" s="107"/>
      <c r="F1994" s="59" t="e">
        <f>VLOOKUP(E1994,[1]库存!$B$1:$C$65536,2,FALSE)</f>
        <v>#N/A</v>
      </c>
      <c r="G1994" s="59" t="e">
        <v>#N/A</v>
      </c>
      <c r="H1994" s="89"/>
      <c r="I1994" s="88"/>
      <c r="J1994" s="90"/>
      <c r="K1994" s="61"/>
      <c r="L1994" s="62">
        <v>0</v>
      </c>
      <c r="M1994" s="63">
        <v>0</v>
      </c>
      <c r="N1994" s="64">
        <v>0</v>
      </c>
      <c r="O1994" s="62">
        <v>0</v>
      </c>
      <c r="P1994" s="65">
        <f t="shared" si="135"/>
        <v>0</v>
      </c>
      <c r="Q1994" s="66"/>
      <c r="R1994" s="66"/>
      <c r="S1994" s="66"/>
      <c r="T1994" s="66"/>
      <c r="U1994" s="66"/>
      <c r="V1994" s="66"/>
      <c r="W1994" s="66"/>
      <c r="X1994" s="66"/>
      <c r="Y1994" s="66"/>
      <c r="Z1994" s="66"/>
      <c r="AA1994" s="66"/>
      <c r="AB1994" s="66"/>
      <c r="AC1994" s="66"/>
      <c r="AD1994" s="66"/>
      <c r="AE1994" s="66"/>
      <c r="AF1994" s="66"/>
      <c r="AG1994" s="66"/>
      <c r="AH1994" s="66"/>
      <c r="AI1994" s="66"/>
      <c r="AJ1994" s="66"/>
      <c r="AK1994" s="66"/>
      <c r="AL1994" s="66"/>
      <c r="AM1994" s="66"/>
      <c r="AN1994" s="66"/>
      <c r="AO1994" s="66"/>
      <c r="AP1994" s="66"/>
      <c r="AQ1994" s="66"/>
      <c r="AR1994" s="66"/>
      <c r="AS1994" s="66"/>
      <c r="AT1994" s="66"/>
      <c r="AU1994" s="66"/>
      <c r="AV1994" s="66"/>
      <c r="AW1994" s="66"/>
      <c r="AX1994" s="66"/>
      <c r="AY1994" s="66"/>
      <c r="AZ1994" s="66"/>
      <c r="BA1994" s="66"/>
      <c r="BB1994" s="66"/>
      <c r="BC1994" s="66"/>
      <c r="BD1994" s="66"/>
      <c r="BE1994" s="67"/>
      <c r="BF1994" s="67"/>
      <c r="BG1994" s="68"/>
      <c r="BI1994" s="69">
        <v>0</v>
      </c>
      <c r="BJ1994" s="70">
        <v>0</v>
      </c>
      <c r="BK1994" s="71">
        <v>0</v>
      </c>
      <c r="BL1994" s="71">
        <v>0</v>
      </c>
      <c r="BM1994" s="71">
        <v>0</v>
      </c>
      <c r="BN1994" s="72">
        <v>0</v>
      </c>
      <c r="BO1994" s="151" t="e">
        <f t="shared" si="133"/>
        <v>#DIV/0!</v>
      </c>
      <c r="BP1994" s="151" t="e">
        <f t="shared" si="134"/>
        <v>#DIV/0!</v>
      </c>
      <c r="BQ1994" s="71">
        <v>0</v>
      </c>
      <c r="BR1994" s="71">
        <v>0</v>
      </c>
      <c r="BS1994" s="71">
        <v>0</v>
      </c>
      <c r="BT1994" s="72">
        <v>0</v>
      </c>
      <c r="BU1994" s="151" t="e">
        <f t="shared" si="131"/>
        <v>#DIV/0!</v>
      </c>
      <c r="BV1994" s="151" t="e">
        <f t="shared" si="132"/>
        <v>#DIV/0!</v>
      </c>
    </row>
    <row r="1995" ht="30" customHeight="1" spans="1:74">
      <c r="A1995" s="55" t="s">
        <v>211</v>
      </c>
      <c r="B1995" s="56" t="s">
        <v>2247</v>
      </c>
      <c r="C1995" s="57" t="s">
        <v>2261</v>
      </c>
      <c r="D1995" s="52" t="s">
        <v>3153</v>
      </c>
      <c r="E1995" s="52" t="s">
        <v>3154</v>
      </c>
      <c r="F1995" s="59" t="str">
        <f>VLOOKUP(E1995,[1]库存!$B$1:$C$65536,2,FALSE)</f>
        <v>EHEA-D1 SAB LH A状态</v>
      </c>
      <c r="G1995" s="59" t="s">
        <v>3155</v>
      </c>
      <c r="H1995" s="59" t="s">
        <v>3156</v>
      </c>
      <c r="I1995" s="52" t="s">
        <v>3157</v>
      </c>
      <c r="J1995" s="63"/>
      <c r="K1995" s="61"/>
      <c r="L1995" s="62">
        <v>2</v>
      </c>
      <c r="M1995" s="63">
        <v>1500</v>
      </c>
      <c r="N1995" s="64">
        <v>8</v>
      </c>
      <c r="O1995" s="62">
        <v>2</v>
      </c>
      <c r="P1995" s="65">
        <f t="shared" si="135"/>
        <v>0</v>
      </c>
      <c r="Q1995" s="103">
        <v>1750</v>
      </c>
      <c r="R1995" s="66"/>
      <c r="S1995" s="103">
        <v>1800</v>
      </c>
      <c r="T1995" s="66"/>
      <c r="U1995" s="103">
        <v>1800</v>
      </c>
      <c r="V1995" s="66"/>
      <c r="W1995" s="103">
        <v>1800</v>
      </c>
      <c r="X1995" s="66"/>
      <c r="Y1995" s="103">
        <v>0</v>
      </c>
      <c r="Z1995" s="66"/>
      <c r="AA1995" s="103">
        <v>1800</v>
      </c>
      <c r="AB1995" s="103">
        <v>1800</v>
      </c>
      <c r="AC1995" s="103">
        <v>1800</v>
      </c>
      <c r="AD1995" s="103">
        <v>1800</v>
      </c>
      <c r="AE1995" s="103"/>
      <c r="AF1995" s="103"/>
      <c r="AG1995" s="103"/>
      <c r="AH1995" s="66"/>
      <c r="AI1995" s="103"/>
      <c r="AJ1995" s="66"/>
      <c r="AK1995" s="103"/>
      <c r="AL1995" s="66"/>
      <c r="AM1995" s="103"/>
      <c r="AN1995" s="66"/>
      <c r="AO1995" s="103"/>
      <c r="AP1995" s="66"/>
      <c r="AQ1995" s="103"/>
      <c r="AR1995" s="66"/>
      <c r="AS1995" s="103"/>
      <c r="AT1995" s="103"/>
      <c r="AU1995" s="103"/>
      <c r="AV1995" s="103"/>
      <c r="AW1995" s="103"/>
      <c r="AX1995" s="103"/>
      <c r="AY1995" s="103"/>
      <c r="AZ1995" s="103"/>
      <c r="BA1995" s="103"/>
      <c r="BB1995" s="103"/>
      <c r="BC1995" s="103"/>
      <c r="BD1995" s="66"/>
      <c r="BE1995" s="67"/>
      <c r="BF1995" s="67"/>
      <c r="BG1995" s="68"/>
      <c r="BI1995" s="69">
        <v>0</v>
      </c>
      <c r="BJ1995" s="70">
        <v>0</v>
      </c>
      <c r="BK1995" s="71">
        <v>0</v>
      </c>
      <c r="BL1995" s="71">
        <v>0</v>
      </c>
      <c r="BM1995" s="71">
        <v>0</v>
      </c>
      <c r="BN1995" s="72">
        <v>0</v>
      </c>
      <c r="BO1995" s="151" t="e">
        <f t="shared" si="133"/>
        <v>#DIV/0!</v>
      </c>
      <c r="BP1995" s="151" t="e">
        <f t="shared" si="134"/>
        <v>#DIV/0!</v>
      </c>
      <c r="BQ1995" s="71">
        <v>0</v>
      </c>
      <c r="BR1995" s="71">
        <v>0</v>
      </c>
      <c r="BS1995" s="71">
        <v>0</v>
      </c>
      <c r="BT1995" s="72">
        <v>0</v>
      </c>
      <c r="BU1995" s="151" t="e">
        <f t="shared" si="131"/>
        <v>#DIV/0!</v>
      </c>
      <c r="BV1995" s="151" t="e">
        <f t="shared" si="132"/>
        <v>#DIV/0!</v>
      </c>
    </row>
    <row r="1996" ht="30" customHeight="1" spans="1:74">
      <c r="A1996" s="55">
        <v>0</v>
      </c>
      <c r="B1996" s="56">
        <v>0</v>
      </c>
      <c r="C1996" s="57">
        <v>0</v>
      </c>
      <c r="D1996" s="52"/>
      <c r="E1996" s="52"/>
      <c r="F1996" s="59" t="e">
        <f>VLOOKUP(E1996,[1]库存!$B$1:$C$65536,2,FALSE)</f>
        <v>#N/A</v>
      </c>
      <c r="G1996" s="59" t="e">
        <v>#N/A</v>
      </c>
      <c r="H1996" s="152"/>
      <c r="I1996" s="52"/>
      <c r="J1996" s="87"/>
      <c r="K1996" s="61"/>
      <c r="L1996" s="62">
        <v>0</v>
      </c>
      <c r="M1996" s="63">
        <v>0</v>
      </c>
      <c r="N1996" s="64">
        <v>0</v>
      </c>
      <c r="O1996" s="62">
        <v>0</v>
      </c>
      <c r="P1996" s="65">
        <f t="shared" si="135"/>
        <v>0</v>
      </c>
      <c r="Q1996" s="66">
        <v>1704</v>
      </c>
      <c r="R1996" s="66"/>
      <c r="S1996" s="66">
        <v>1802</v>
      </c>
      <c r="T1996" s="66"/>
      <c r="U1996" s="66">
        <v>1815</v>
      </c>
      <c r="V1996" s="66"/>
      <c r="W1996" s="66">
        <v>1872</v>
      </c>
      <c r="X1996" s="66"/>
      <c r="Y1996" s="66"/>
      <c r="Z1996" s="66"/>
      <c r="AA1996" s="66" t="s">
        <v>3158</v>
      </c>
      <c r="AB1996" s="66">
        <v>1853</v>
      </c>
      <c r="AC1996" s="66" t="s">
        <v>3159</v>
      </c>
      <c r="AD1996" s="66">
        <v>1899</v>
      </c>
      <c r="AE1996" s="66"/>
      <c r="AF1996" s="66"/>
      <c r="AG1996" s="66"/>
      <c r="AH1996" s="66"/>
      <c r="AI1996" s="66"/>
      <c r="AJ1996" s="66"/>
      <c r="AK1996" s="66"/>
      <c r="AL1996" s="66"/>
      <c r="AM1996" s="66"/>
      <c r="AN1996" s="66"/>
      <c r="AO1996" s="66"/>
      <c r="AP1996" s="66"/>
      <c r="AQ1996" s="66"/>
      <c r="AR1996" s="66"/>
      <c r="AS1996" s="66"/>
      <c r="AT1996" s="66"/>
      <c r="AU1996" s="66"/>
      <c r="AV1996" s="66"/>
      <c r="AW1996" s="66"/>
      <c r="AX1996" s="66"/>
      <c r="AY1996" s="66"/>
      <c r="AZ1996" s="66"/>
      <c r="BA1996" s="66"/>
      <c r="BB1996" s="66"/>
      <c r="BC1996" s="66"/>
      <c r="BD1996" s="66"/>
      <c r="BE1996" s="67"/>
      <c r="BF1996" s="67"/>
      <c r="BG1996" s="68"/>
      <c r="BI1996" s="69">
        <v>0</v>
      </c>
      <c r="BJ1996" s="70">
        <v>0</v>
      </c>
      <c r="BK1996" s="71">
        <v>0</v>
      </c>
      <c r="BL1996" s="71">
        <v>0</v>
      </c>
      <c r="BM1996" s="71">
        <v>0</v>
      </c>
      <c r="BN1996" s="72">
        <v>0</v>
      </c>
      <c r="BO1996" s="151" t="e">
        <f t="shared" si="133"/>
        <v>#DIV/0!</v>
      </c>
      <c r="BP1996" s="151" t="e">
        <f t="shared" si="134"/>
        <v>#DIV/0!</v>
      </c>
      <c r="BQ1996" s="71">
        <v>0</v>
      </c>
      <c r="BR1996" s="71">
        <v>0</v>
      </c>
      <c r="BS1996" s="71">
        <v>0</v>
      </c>
      <c r="BT1996" s="72">
        <v>0</v>
      </c>
      <c r="BU1996" s="151" t="e">
        <f t="shared" si="131"/>
        <v>#DIV/0!</v>
      </c>
      <c r="BV1996" s="151" t="e">
        <f t="shared" si="132"/>
        <v>#DIV/0!</v>
      </c>
    </row>
    <row r="1997" ht="30" customHeight="1" spans="1:74">
      <c r="A1997" s="55" t="s">
        <v>211</v>
      </c>
      <c r="B1997" s="56" t="s">
        <v>2247</v>
      </c>
      <c r="C1997" s="57" t="s">
        <v>2261</v>
      </c>
      <c r="D1997" s="52" t="s">
        <v>3153</v>
      </c>
      <c r="E1997" s="52" t="s">
        <v>3160</v>
      </c>
      <c r="F1997" s="59" t="str">
        <f>VLOOKUP(E1997,[1]库存!$B$1:$C$65536,2,FALSE)</f>
        <v>EHEA-D1 SAB RH A状态</v>
      </c>
      <c r="G1997" s="59" t="s">
        <v>3161</v>
      </c>
      <c r="H1997" s="59" t="s">
        <v>3162</v>
      </c>
      <c r="I1997" s="52" t="s">
        <v>3157</v>
      </c>
      <c r="J1997" s="63"/>
      <c r="K1997" s="61"/>
      <c r="L1997" s="62">
        <v>2</v>
      </c>
      <c r="M1997" s="63">
        <v>1500</v>
      </c>
      <c r="N1997" s="64">
        <v>8</v>
      </c>
      <c r="O1997" s="62">
        <v>2</v>
      </c>
      <c r="P1997" s="65">
        <f t="shared" si="135"/>
        <v>0</v>
      </c>
      <c r="Q1997" s="103"/>
      <c r="R1997" s="66"/>
      <c r="S1997" s="103"/>
      <c r="T1997" s="66"/>
      <c r="U1997" s="103"/>
      <c r="V1997" s="66"/>
      <c r="W1997" s="103"/>
      <c r="X1997" s="66"/>
      <c r="Y1997" s="103"/>
      <c r="Z1997" s="66"/>
      <c r="AA1997" s="103"/>
      <c r="AB1997" s="66"/>
      <c r="AC1997" s="103"/>
      <c r="AD1997" s="66"/>
      <c r="AE1997" s="103"/>
      <c r="AF1997" s="103"/>
      <c r="AG1997" s="103"/>
      <c r="AH1997" s="103"/>
      <c r="AI1997" s="103"/>
      <c r="AJ1997" s="103"/>
      <c r="AK1997" s="103"/>
      <c r="AL1997" s="103"/>
      <c r="AM1997" s="103"/>
      <c r="AN1997" s="103"/>
      <c r="AO1997" s="103"/>
      <c r="AP1997" s="103"/>
      <c r="AQ1997" s="103"/>
      <c r="AR1997" s="103"/>
      <c r="AS1997" s="103"/>
      <c r="AT1997" s="66"/>
      <c r="AU1997" s="103"/>
      <c r="AV1997" s="66"/>
      <c r="AW1997" s="103"/>
      <c r="AX1997" s="66"/>
      <c r="AY1997" s="103"/>
      <c r="AZ1997" s="103"/>
      <c r="BA1997" s="103"/>
      <c r="BB1997" s="66"/>
      <c r="BC1997" s="103"/>
      <c r="BD1997" s="66"/>
      <c r="BE1997" s="67"/>
      <c r="BF1997" s="67"/>
      <c r="BG1997" s="68"/>
      <c r="BI1997" s="69">
        <v>0</v>
      </c>
      <c r="BJ1997" s="70">
        <v>0</v>
      </c>
      <c r="BK1997" s="71">
        <v>0</v>
      </c>
      <c r="BL1997" s="71">
        <v>0</v>
      </c>
      <c r="BM1997" s="71">
        <v>0</v>
      </c>
      <c r="BN1997" s="72">
        <v>0</v>
      </c>
      <c r="BO1997" s="151" t="e">
        <f t="shared" si="133"/>
        <v>#DIV/0!</v>
      </c>
      <c r="BP1997" s="151" t="e">
        <f t="shared" si="134"/>
        <v>#DIV/0!</v>
      </c>
      <c r="BQ1997" s="71">
        <v>0</v>
      </c>
      <c r="BR1997" s="71">
        <v>0</v>
      </c>
      <c r="BS1997" s="71">
        <v>0</v>
      </c>
      <c r="BT1997" s="72">
        <v>0</v>
      </c>
      <c r="BU1997" s="151" t="e">
        <f t="shared" si="131"/>
        <v>#DIV/0!</v>
      </c>
      <c r="BV1997" s="151" t="e">
        <f t="shared" si="132"/>
        <v>#DIV/0!</v>
      </c>
    </row>
    <row r="1998" ht="30" customHeight="1" spans="1:74">
      <c r="A1998" s="55">
        <v>0</v>
      </c>
      <c r="B1998" s="56">
        <v>0</v>
      </c>
      <c r="C1998" s="57">
        <v>0</v>
      </c>
      <c r="D1998" s="52"/>
      <c r="E1998" s="52"/>
      <c r="F1998" s="59" t="e">
        <f>VLOOKUP(E1998,[1]库存!$B$1:$C$65536,2,FALSE)</f>
        <v>#N/A</v>
      </c>
      <c r="G1998" s="59" t="e">
        <v>#N/A</v>
      </c>
      <c r="H1998" s="152"/>
      <c r="I1998" s="52"/>
      <c r="J1998" s="87"/>
      <c r="K1998" s="61"/>
      <c r="L1998" s="62">
        <v>0</v>
      </c>
      <c r="M1998" s="63">
        <v>0</v>
      </c>
      <c r="N1998" s="64">
        <v>0</v>
      </c>
      <c r="O1998" s="62">
        <v>0</v>
      </c>
      <c r="P1998" s="65">
        <f t="shared" si="135"/>
        <v>0</v>
      </c>
      <c r="Q1998" s="66"/>
      <c r="R1998" s="66"/>
      <c r="S1998" s="66"/>
      <c r="T1998" s="66"/>
      <c r="U1998" s="66"/>
      <c r="V1998" s="66"/>
      <c r="W1998" s="66"/>
      <c r="X1998" s="66"/>
      <c r="Y1998" s="66"/>
      <c r="Z1998" s="66"/>
      <c r="AA1998" s="66"/>
      <c r="AB1998" s="66"/>
      <c r="AC1998" s="66"/>
      <c r="AD1998" s="66"/>
      <c r="AE1998" s="66"/>
      <c r="AF1998" s="66"/>
      <c r="AG1998" s="66"/>
      <c r="AH1998" s="66"/>
      <c r="AI1998" s="66"/>
      <c r="AJ1998" s="66"/>
      <c r="AK1998" s="66"/>
      <c r="AL1998" s="66"/>
      <c r="AM1998" s="66"/>
      <c r="AN1998" s="66"/>
      <c r="AO1998" s="66"/>
      <c r="AP1998" s="66"/>
      <c r="AQ1998" s="66"/>
      <c r="AR1998" s="66"/>
      <c r="AS1998" s="66"/>
      <c r="AT1998" s="66"/>
      <c r="AU1998" s="66"/>
      <c r="AV1998" s="66"/>
      <c r="AW1998" s="66"/>
      <c r="AX1998" s="66"/>
      <c r="AY1998" s="66"/>
      <c r="AZ1998" s="66"/>
      <c r="BA1998" s="66"/>
      <c r="BB1998" s="66"/>
      <c r="BC1998" s="66"/>
      <c r="BD1998" s="66"/>
      <c r="BE1998" s="67"/>
      <c r="BF1998" s="67"/>
      <c r="BG1998" s="68"/>
      <c r="BI1998" s="69">
        <v>0</v>
      </c>
      <c r="BJ1998" s="70">
        <v>0</v>
      </c>
      <c r="BK1998" s="71">
        <v>0</v>
      </c>
      <c r="BL1998" s="71">
        <v>0</v>
      </c>
      <c r="BM1998" s="71">
        <v>0</v>
      </c>
      <c r="BN1998" s="72">
        <v>0</v>
      </c>
      <c r="BO1998" s="151" t="e">
        <f t="shared" si="133"/>
        <v>#DIV/0!</v>
      </c>
      <c r="BP1998" s="151" t="e">
        <f t="shared" si="134"/>
        <v>#DIV/0!</v>
      </c>
      <c r="BQ1998" s="71">
        <v>0</v>
      </c>
      <c r="BR1998" s="71">
        <v>0</v>
      </c>
      <c r="BS1998" s="71">
        <v>0</v>
      </c>
      <c r="BT1998" s="72">
        <v>0</v>
      </c>
      <c r="BU1998" s="151" t="e">
        <f t="shared" si="131"/>
        <v>#DIV/0!</v>
      </c>
      <c r="BV1998" s="151" t="e">
        <f t="shared" si="132"/>
        <v>#DIV/0!</v>
      </c>
    </row>
    <row r="1999" ht="30" customHeight="1" spans="1:74">
      <c r="A1999" s="55" t="s">
        <v>211</v>
      </c>
      <c r="B1999" s="56" t="s">
        <v>2247</v>
      </c>
      <c r="C1999" s="57" t="s">
        <v>2261</v>
      </c>
      <c r="D1999" s="52" t="s">
        <v>3153</v>
      </c>
      <c r="E1999" s="52" t="s">
        <v>3163</v>
      </c>
      <c r="F1999" s="59" t="str">
        <f>VLOOKUP(E1999,[1]库存!$B$1:$C$65536,2,FALSE)</f>
        <v>SGHL-D1 SAB LH A状态</v>
      </c>
      <c r="G1999" s="59" t="s">
        <v>3164</v>
      </c>
      <c r="H1999" s="59" t="s">
        <v>3165</v>
      </c>
      <c r="I1999" s="52" t="s">
        <v>1012</v>
      </c>
      <c r="J1999" s="63"/>
      <c r="K1999" s="61"/>
      <c r="L1999" s="62">
        <v>2</v>
      </c>
      <c r="M1999" s="63">
        <v>1500</v>
      </c>
      <c r="N1999" s="64">
        <v>8</v>
      </c>
      <c r="O1999" s="62">
        <v>2</v>
      </c>
      <c r="P1999" s="65">
        <f t="shared" si="135"/>
        <v>0</v>
      </c>
      <c r="Q1999" s="103"/>
      <c r="R1999" s="66"/>
      <c r="S1999" s="103"/>
      <c r="T1999" s="66"/>
      <c r="U1999" s="103"/>
      <c r="V1999" s="66"/>
      <c r="W1999" s="103"/>
      <c r="X1999" s="66"/>
      <c r="Y1999" s="103"/>
      <c r="Z1999" s="66"/>
      <c r="AA1999" s="103"/>
      <c r="AB1999" s="66"/>
      <c r="AC1999" s="103"/>
      <c r="AD1999" s="66"/>
      <c r="AE1999" s="103"/>
      <c r="AF1999" s="66"/>
      <c r="AG1999" s="103"/>
      <c r="AH1999" s="66"/>
      <c r="AI1999" s="103"/>
      <c r="AJ1999" s="66"/>
      <c r="AK1999" s="103"/>
      <c r="AL1999" s="66"/>
      <c r="AM1999" s="103"/>
      <c r="AN1999" s="66"/>
      <c r="AO1999" s="103"/>
      <c r="AP1999" s="66"/>
      <c r="AQ1999" s="103"/>
      <c r="AR1999" s="66"/>
      <c r="AS1999" s="103"/>
      <c r="AT1999" s="66"/>
      <c r="AU1999" s="103"/>
      <c r="AV1999" s="66"/>
      <c r="AW1999" s="103"/>
      <c r="AX1999" s="66"/>
      <c r="AY1999" s="103"/>
      <c r="AZ1999" s="66"/>
      <c r="BA1999" s="103"/>
      <c r="BB1999" s="66"/>
      <c r="BC1999" s="103"/>
      <c r="BD1999" s="66"/>
      <c r="BE1999" s="67"/>
      <c r="BF1999" s="67"/>
      <c r="BG1999" s="68"/>
      <c r="BI1999" s="69">
        <v>0</v>
      </c>
      <c r="BJ1999" s="70">
        <v>0</v>
      </c>
      <c r="BK1999" s="71">
        <v>0</v>
      </c>
      <c r="BL1999" s="71">
        <v>0</v>
      </c>
      <c r="BM1999" s="71">
        <v>0</v>
      </c>
      <c r="BN1999" s="72">
        <v>0</v>
      </c>
      <c r="BO1999" s="151" t="e">
        <f t="shared" si="133"/>
        <v>#DIV/0!</v>
      </c>
      <c r="BP1999" s="151" t="e">
        <f t="shared" si="134"/>
        <v>#DIV/0!</v>
      </c>
      <c r="BQ1999" s="71">
        <v>0</v>
      </c>
      <c r="BR1999" s="71">
        <v>0</v>
      </c>
      <c r="BS1999" s="71">
        <v>0</v>
      </c>
      <c r="BT1999" s="72">
        <v>0</v>
      </c>
      <c r="BU1999" s="151" t="e">
        <f t="shared" si="131"/>
        <v>#DIV/0!</v>
      </c>
      <c r="BV1999" s="151" t="e">
        <f t="shared" si="132"/>
        <v>#DIV/0!</v>
      </c>
    </row>
    <row r="2000" ht="30" customHeight="1" spans="1:74">
      <c r="A2000" s="55">
        <v>0</v>
      </c>
      <c r="B2000" s="56">
        <v>0</v>
      </c>
      <c r="C2000" s="57">
        <v>0</v>
      </c>
      <c r="D2000" s="52"/>
      <c r="E2000" s="52"/>
      <c r="F2000" s="59" t="e">
        <f>VLOOKUP(E2000,[1]库存!$B$1:$C$65536,2,FALSE)</f>
        <v>#N/A</v>
      </c>
      <c r="G2000" s="59" t="e">
        <v>#N/A</v>
      </c>
      <c r="H2000" s="152"/>
      <c r="I2000" s="52"/>
      <c r="J2000" s="87"/>
      <c r="K2000" s="61"/>
      <c r="L2000" s="62">
        <v>0</v>
      </c>
      <c r="M2000" s="63">
        <v>0</v>
      </c>
      <c r="N2000" s="64">
        <v>0</v>
      </c>
      <c r="O2000" s="62">
        <v>0</v>
      </c>
      <c r="P2000" s="65">
        <f t="shared" si="135"/>
        <v>0</v>
      </c>
      <c r="Q2000" s="66"/>
      <c r="R2000" s="66"/>
      <c r="S2000" s="66"/>
      <c r="T2000" s="66"/>
      <c r="U2000" s="66"/>
      <c r="V2000" s="66"/>
      <c r="W2000" s="66"/>
      <c r="X2000" s="66"/>
      <c r="Y2000" s="66"/>
      <c r="Z2000" s="66"/>
      <c r="AA2000" s="66"/>
      <c r="AB2000" s="66"/>
      <c r="AC2000" s="66"/>
      <c r="AD2000" s="66"/>
      <c r="AE2000" s="66"/>
      <c r="AF2000" s="66"/>
      <c r="AG2000" s="66"/>
      <c r="AH2000" s="66"/>
      <c r="AI2000" s="66"/>
      <c r="AJ2000" s="66"/>
      <c r="AK2000" s="66"/>
      <c r="AL2000" s="66"/>
      <c r="AM2000" s="66"/>
      <c r="AN2000" s="66"/>
      <c r="AO2000" s="66"/>
      <c r="AP2000" s="66"/>
      <c r="AQ2000" s="66"/>
      <c r="AR2000" s="66"/>
      <c r="AS2000" s="66"/>
      <c r="AT2000" s="66"/>
      <c r="AU2000" s="66"/>
      <c r="AV2000" s="66"/>
      <c r="AW2000" s="66"/>
      <c r="AX2000" s="66"/>
      <c r="AY2000" s="66"/>
      <c r="AZ2000" s="66"/>
      <c r="BA2000" s="66"/>
      <c r="BB2000" s="66"/>
      <c r="BC2000" s="66"/>
      <c r="BD2000" s="66"/>
      <c r="BE2000" s="67"/>
      <c r="BF2000" s="67"/>
      <c r="BG2000" s="68"/>
      <c r="BI2000" s="69">
        <v>0</v>
      </c>
      <c r="BJ2000" s="70">
        <v>0</v>
      </c>
      <c r="BK2000" s="71">
        <v>0</v>
      </c>
      <c r="BL2000" s="71">
        <v>0</v>
      </c>
      <c r="BM2000" s="71">
        <v>0</v>
      </c>
      <c r="BN2000" s="72">
        <v>0</v>
      </c>
      <c r="BO2000" s="151" t="e">
        <f t="shared" si="133"/>
        <v>#DIV/0!</v>
      </c>
      <c r="BP2000" s="151" t="e">
        <f t="shared" si="134"/>
        <v>#DIV/0!</v>
      </c>
      <c r="BQ2000" s="71">
        <v>0</v>
      </c>
      <c r="BR2000" s="71">
        <v>0</v>
      </c>
      <c r="BS2000" s="71">
        <v>0</v>
      </c>
      <c r="BT2000" s="72">
        <v>0</v>
      </c>
      <c r="BU2000" s="151" t="e">
        <f t="shared" si="131"/>
        <v>#DIV/0!</v>
      </c>
      <c r="BV2000" s="151" t="e">
        <f t="shared" si="132"/>
        <v>#DIV/0!</v>
      </c>
    </row>
    <row r="2001" ht="30" customHeight="1" spans="1:74">
      <c r="A2001" s="55" t="s">
        <v>211</v>
      </c>
      <c r="B2001" s="56" t="s">
        <v>2247</v>
      </c>
      <c r="C2001" s="57" t="s">
        <v>2261</v>
      </c>
      <c r="D2001" s="52" t="s">
        <v>3153</v>
      </c>
      <c r="E2001" s="52" t="s">
        <v>3166</v>
      </c>
      <c r="F2001" s="59" t="str">
        <f>VLOOKUP(E2001,[1]库存!$B$1:$C$65536,2,FALSE)</f>
        <v>SGHL-D1 SAB RH A状态</v>
      </c>
      <c r="G2001" s="59" t="s">
        <v>3167</v>
      </c>
      <c r="H2001" s="59" t="s">
        <v>3168</v>
      </c>
      <c r="I2001" s="52" t="s">
        <v>1012</v>
      </c>
      <c r="J2001" s="63"/>
      <c r="K2001" s="61"/>
      <c r="L2001" s="62">
        <v>2</v>
      </c>
      <c r="M2001" s="63">
        <v>1500</v>
      </c>
      <c r="N2001" s="64">
        <v>8</v>
      </c>
      <c r="O2001" s="62">
        <v>2</v>
      </c>
      <c r="P2001" s="65">
        <f t="shared" si="135"/>
        <v>0</v>
      </c>
      <c r="Q2001" s="103"/>
      <c r="R2001" s="66"/>
      <c r="S2001" s="103"/>
      <c r="T2001" s="66"/>
      <c r="U2001" s="103"/>
      <c r="V2001" s="66"/>
      <c r="W2001" s="103"/>
      <c r="X2001" s="66"/>
      <c r="Y2001" s="103"/>
      <c r="Z2001" s="66"/>
      <c r="AA2001" s="103"/>
      <c r="AB2001" s="66"/>
      <c r="AC2001" s="103"/>
      <c r="AD2001" s="66"/>
      <c r="AE2001" s="103"/>
      <c r="AF2001" s="66"/>
      <c r="AG2001" s="103"/>
      <c r="AH2001" s="66"/>
      <c r="AI2001" s="103"/>
      <c r="AJ2001" s="66"/>
      <c r="AK2001" s="103"/>
      <c r="AL2001" s="66"/>
      <c r="AM2001" s="103"/>
      <c r="AN2001" s="66"/>
      <c r="AO2001" s="103"/>
      <c r="AP2001" s="66"/>
      <c r="AQ2001" s="103"/>
      <c r="AR2001" s="66"/>
      <c r="AS2001" s="103"/>
      <c r="AT2001" s="66"/>
      <c r="AU2001" s="103"/>
      <c r="AV2001" s="66"/>
      <c r="AW2001" s="103"/>
      <c r="AX2001" s="66"/>
      <c r="AY2001" s="103"/>
      <c r="AZ2001" s="66"/>
      <c r="BA2001" s="103"/>
      <c r="BB2001" s="66"/>
      <c r="BC2001" s="103"/>
      <c r="BD2001" s="66"/>
      <c r="BE2001" s="67"/>
      <c r="BF2001" s="67"/>
      <c r="BG2001" s="68"/>
      <c r="BI2001" s="69">
        <v>0</v>
      </c>
      <c r="BJ2001" s="70">
        <v>0</v>
      </c>
      <c r="BK2001" s="71">
        <v>0</v>
      </c>
      <c r="BL2001" s="71">
        <v>0</v>
      </c>
      <c r="BM2001" s="71">
        <v>0</v>
      </c>
      <c r="BN2001" s="72">
        <v>0</v>
      </c>
      <c r="BO2001" s="151" t="e">
        <f t="shared" si="133"/>
        <v>#DIV/0!</v>
      </c>
      <c r="BP2001" s="151" t="e">
        <f t="shared" si="134"/>
        <v>#DIV/0!</v>
      </c>
      <c r="BQ2001" s="71">
        <v>0</v>
      </c>
      <c r="BR2001" s="71">
        <v>0</v>
      </c>
      <c r="BS2001" s="71">
        <v>0</v>
      </c>
      <c r="BT2001" s="72">
        <v>0</v>
      </c>
      <c r="BU2001" s="151" t="e">
        <f t="shared" si="131"/>
        <v>#DIV/0!</v>
      </c>
      <c r="BV2001" s="151" t="e">
        <f t="shared" si="132"/>
        <v>#DIV/0!</v>
      </c>
    </row>
    <row r="2002" ht="30" customHeight="1" spans="1:74">
      <c r="A2002" s="55">
        <v>0</v>
      </c>
      <c r="B2002" s="56">
        <v>0</v>
      </c>
      <c r="C2002" s="57">
        <v>0</v>
      </c>
      <c r="D2002" s="52"/>
      <c r="E2002" s="52"/>
      <c r="F2002" s="59" t="e">
        <f>VLOOKUP(E2002,[1]库存!$B$1:$C$65536,2,FALSE)</f>
        <v>#N/A</v>
      </c>
      <c r="G2002" s="59" t="e">
        <v>#N/A</v>
      </c>
      <c r="H2002" s="152"/>
      <c r="I2002" s="52"/>
      <c r="J2002" s="87"/>
      <c r="K2002" s="61"/>
      <c r="L2002" s="62">
        <v>0</v>
      </c>
      <c r="M2002" s="63">
        <v>0</v>
      </c>
      <c r="N2002" s="64">
        <v>0</v>
      </c>
      <c r="O2002" s="62">
        <v>0</v>
      </c>
      <c r="P2002" s="65">
        <f t="shared" si="135"/>
        <v>0</v>
      </c>
      <c r="Q2002" s="66"/>
      <c r="R2002" s="66"/>
      <c r="S2002" s="66"/>
      <c r="T2002" s="66"/>
      <c r="U2002" s="66"/>
      <c r="V2002" s="66"/>
      <c r="W2002" s="66"/>
      <c r="X2002" s="66"/>
      <c r="Y2002" s="66"/>
      <c r="Z2002" s="66"/>
      <c r="AA2002" s="66"/>
      <c r="AB2002" s="66"/>
      <c r="AC2002" s="66"/>
      <c r="AD2002" s="66"/>
      <c r="AE2002" s="66"/>
      <c r="AF2002" s="66"/>
      <c r="AG2002" s="66"/>
      <c r="AH2002" s="66"/>
      <c r="AI2002" s="66"/>
      <c r="AJ2002" s="66"/>
      <c r="AK2002" s="66"/>
      <c r="AL2002" s="66"/>
      <c r="AM2002" s="66"/>
      <c r="AN2002" s="66"/>
      <c r="AO2002" s="66"/>
      <c r="AP2002" s="66"/>
      <c r="AQ2002" s="66"/>
      <c r="AR2002" s="66"/>
      <c r="AS2002" s="66"/>
      <c r="AT2002" s="66"/>
      <c r="AU2002" s="66"/>
      <c r="AV2002" s="66"/>
      <c r="AW2002" s="66"/>
      <c r="AX2002" s="66"/>
      <c r="AY2002" s="66"/>
      <c r="AZ2002" s="66"/>
      <c r="BA2002" s="66"/>
      <c r="BB2002" s="66"/>
      <c r="BC2002" s="66"/>
      <c r="BD2002" s="66"/>
      <c r="BE2002" s="67"/>
      <c r="BF2002" s="67"/>
      <c r="BG2002" s="68"/>
      <c r="BI2002" s="69">
        <v>0</v>
      </c>
      <c r="BJ2002" s="70">
        <v>0</v>
      </c>
      <c r="BK2002" s="71">
        <v>0</v>
      </c>
      <c r="BL2002" s="71">
        <v>0</v>
      </c>
      <c r="BM2002" s="71">
        <v>0</v>
      </c>
      <c r="BN2002" s="72">
        <v>0</v>
      </c>
      <c r="BO2002" s="151" t="e">
        <f t="shared" si="133"/>
        <v>#DIV/0!</v>
      </c>
      <c r="BP2002" s="151" t="e">
        <f t="shared" si="134"/>
        <v>#DIV/0!</v>
      </c>
      <c r="BQ2002" s="71">
        <v>0</v>
      </c>
      <c r="BR2002" s="71">
        <v>0</v>
      </c>
      <c r="BS2002" s="71">
        <v>0</v>
      </c>
      <c r="BT2002" s="72">
        <v>0</v>
      </c>
      <c r="BU2002" s="151" t="e">
        <f t="shared" si="131"/>
        <v>#DIV/0!</v>
      </c>
      <c r="BV2002" s="151" t="e">
        <f t="shared" si="132"/>
        <v>#DIV/0!</v>
      </c>
    </row>
    <row r="2003" ht="30" customHeight="1" spans="1:74">
      <c r="A2003" s="55">
        <v>0</v>
      </c>
      <c r="B2003" s="56">
        <v>0</v>
      </c>
      <c r="C2003" s="57">
        <v>0</v>
      </c>
      <c r="D2003" s="106"/>
      <c r="E2003" s="107"/>
      <c r="F2003" s="59" t="e">
        <f>VLOOKUP(E2003,[1]库存!$B$1:$C$65536,2,FALSE)</f>
        <v>#N/A</v>
      </c>
      <c r="G2003" s="59" t="e">
        <v>#N/A</v>
      </c>
      <c r="H2003" s="89"/>
      <c r="I2003" s="88"/>
      <c r="J2003" s="90"/>
      <c r="K2003" s="61"/>
      <c r="L2003" s="62">
        <v>0</v>
      </c>
      <c r="M2003" s="63">
        <v>0</v>
      </c>
      <c r="N2003" s="64">
        <v>0</v>
      </c>
      <c r="O2003" s="62">
        <v>0</v>
      </c>
      <c r="P2003" s="65">
        <f t="shared" si="135"/>
        <v>0</v>
      </c>
      <c r="Q2003" s="66"/>
      <c r="R2003" s="66"/>
      <c r="S2003" s="66"/>
      <c r="T2003" s="66"/>
      <c r="U2003" s="66"/>
      <c r="V2003" s="66"/>
      <c r="W2003" s="66"/>
      <c r="X2003" s="66"/>
      <c r="Y2003" s="66"/>
      <c r="Z2003" s="66"/>
      <c r="AA2003" s="66"/>
      <c r="AB2003" s="66"/>
      <c r="AC2003" s="66"/>
      <c r="AD2003" s="66"/>
      <c r="AE2003" s="66"/>
      <c r="AF2003" s="66"/>
      <c r="AG2003" s="66"/>
      <c r="AH2003" s="66"/>
      <c r="AI2003" s="66"/>
      <c r="AJ2003" s="66"/>
      <c r="AK2003" s="66"/>
      <c r="AL2003" s="66"/>
      <c r="AM2003" s="66"/>
      <c r="AN2003" s="66"/>
      <c r="AO2003" s="66"/>
      <c r="AP2003" s="66"/>
      <c r="AQ2003" s="66"/>
      <c r="AR2003" s="66"/>
      <c r="AS2003" s="66"/>
      <c r="AT2003" s="66"/>
      <c r="AU2003" s="66"/>
      <c r="AV2003" s="66"/>
      <c r="AW2003" s="66"/>
      <c r="AX2003" s="66"/>
      <c r="AY2003" s="66"/>
      <c r="AZ2003" s="66"/>
      <c r="BA2003" s="66"/>
      <c r="BB2003" s="66"/>
      <c r="BC2003" s="66"/>
      <c r="BD2003" s="66"/>
      <c r="BE2003" s="67"/>
      <c r="BF2003" s="67"/>
      <c r="BG2003" s="68"/>
      <c r="BI2003" s="69">
        <v>0</v>
      </c>
      <c r="BJ2003" s="70">
        <v>0</v>
      </c>
      <c r="BK2003" s="71">
        <v>0</v>
      </c>
      <c r="BL2003" s="71">
        <v>0</v>
      </c>
      <c r="BM2003" s="71">
        <v>0</v>
      </c>
      <c r="BN2003" s="72">
        <v>0</v>
      </c>
      <c r="BO2003" s="151" t="e">
        <f t="shared" si="133"/>
        <v>#DIV/0!</v>
      </c>
      <c r="BP2003" s="151" t="e">
        <f t="shared" si="134"/>
        <v>#DIV/0!</v>
      </c>
      <c r="BQ2003" s="71">
        <v>0</v>
      </c>
      <c r="BR2003" s="71">
        <v>0</v>
      </c>
      <c r="BS2003" s="71">
        <v>0</v>
      </c>
      <c r="BT2003" s="72">
        <v>0</v>
      </c>
      <c r="BU2003" s="151" t="e">
        <f t="shared" si="131"/>
        <v>#DIV/0!</v>
      </c>
      <c r="BV2003" s="151" t="e">
        <f t="shared" si="132"/>
        <v>#DIV/0!</v>
      </c>
    </row>
    <row r="2004" ht="30" customHeight="1" spans="1:74">
      <c r="A2004" s="55" t="s">
        <v>211</v>
      </c>
      <c r="B2004" s="56" t="s">
        <v>2247</v>
      </c>
      <c r="C2004" s="57" t="s">
        <v>2343</v>
      </c>
      <c r="D2004" s="52" t="s">
        <v>3169</v>
      </c>
      <c r="E2004" s="52" t="s">
        <v>3170</v>
      </c>
      <c r="F2004" s="59" t="str">
        <f>VLOOKUP(E2004,[1]库存!$B$1:$C$65536,2,FALSE)</f>
        <v>EHEA DAB A状态</v>
      </c>
      <c r="G2004" s="59" t="s">
        <v>3171</v>
      </c>
      <c r="H2004" s="59" t="s">
        <v>3172</v>
      </c>
      <c r="I2004" s="52" t="s">
        <v>3173</v>
      </c>
      <c r="J2004" s="63"/>
      <c r="K2004" s="61"/>
      <c r="L2004" s="62">
        <v>2</v>
      </c>
      <c r="M2004" s="63">
        <v>1100</v>
      </c>
      <c r="N2004" s="64">
        <v>11</v>
      </c>
      <c r="O2004" s="62">
        <v>2</v>
      </c>
      <c r="P2004" s="65">
        <f t="shared" si="135"/>
        <v>0</v>
      </c>
      <c r="Q2004" s="66"/>
      <c r="R2004" s="66"/>
      <c r="S2004" s="66"/>
      <c r="T2004" s="66"/>
      <c r="U2004" s="66"/>
      <c r="V2004" s="66">
        <v>1400</v>
      </c>
      <c r="W2004" s="66">
        <v>0</v>
      </c>
      <c r="X2004" s="66">
        <v>1400</v>
      </c>
      <c r="Y2004" s="66">
        <v>0</v>
      </c>
      <c r="Z2004" s="66">
        <v>1400</v>
      </c>
      <c r="AA2004" s="66">
        <v>1400</v>
      </c>
      <c r="AB2004" s="66">
        <v>1400</v>
      </c>
      <c r="AC2004" s="66"/>
      <c r="AD2004" s="66"/>
      <c r="AE2004" s="66"/>
      <c r="AF2004" s="66"/>
      <c r="AG2004" s="66"/>
      <c r="AH2004" s="66"/>
      <c r="AI2004" s="66"/>
      <c r="AJ2004" s="66"/>
      <c r="AK2004" s="66"/>
      <c r="AL2004" s="66"/>
      <c r="AM2004" s="66"/>
      <c r="AN2004" s="66"/>
      <c r="AO2004" s="66"/>
      <c r="AP2004" s="66"/>
      <c r="AQ2004" s="66"/>
      <c r="AR2004" s="66"/>
      <c r="AS2004" s="66"/>
      <c r="AT2004" s="66"/>
      <c r="AU2004" s="66"/>
      <c r="AV2004" s="66"/>
      <c r="AW2004" s="66"/>
      <c r="AX2004" s="66"/>
      <c r="AY2004" s="66"/>
      <c r="AZ2004" s="66"/>
      <c r="BA2004" s="66"/>
      <c r="BB2004" s="66"/>
      <c r="BC2004" s="66"/>
      <c r="BD2004" s="66"/>
      <c r="BE2004" s="67"/>
      <c r="BF2004" s="67"/>
      <c r="BG2004" s="68"/>
      <c r="BI2004" s="69">
        <v>0</v>
      </c>
      <c r="BJ2004" s="70">
        <v>0</v>
      </c>
      <c r="BK2004" s="71">
        <v>0</v>
      </c>
      <c r="BL2004" s="71">
        <v>0</v>
      </c>
      <c r="BM2004" s="71">
        <v>0</v>
      </c>
      <c r="BN2004" s="72">
        <v>0</v>
      </c>
      <c r="BO2004" s="151" t="e">
        <f t="shared" si="133"/>
        <v>#DIV/0!</v>
      </c>
      <c r="BP2004" s="151" t="e">
        <f t="shared" si="134"/>
        <v>#DIV/0!</v>
      </c>
      <c r="BQ2004" s="71">
        <v>0</v>
      </c>
      <c r="BR2004" s="71">
        <v>0</v>
      </c>
      <c r="BS2004" s="71">
        <v>0</v>
      </c>
      <c r="BT2004" s="72">
        <v>0</v>
      </c>
      <c r="BU2004" s="151" t="e">
        <f t="shared" si="131"/>
        <v>#DIV/0!</v>
      </c>
      <c r="BV2004" s="151" t="e">
        <f t="shared" si="132"/>
        <v>#DIV/0!</v>
      </c>
    </row>
    <row r="2005" ht="30" customHeight="1" spans="1:74">
      <c r="A2005" s="55">
        <v>0</v>
      </c>
      <c r="B2005" s="56">
        <v>0</v>
      </c>
      <c r="C2005" s="57">
        <v>0</v>
      </c>
      <c r="D2005" s="52"/>
      <c r="E2005" s="52"/>
      <c r="F2005" s="59" t="e">
        <f>VLOOKUP(E2005,[1]库存!$B$1:$C$65536,2,FALSE)</f>
        <v>#N/A</v>
      </c>
      <c r="G2005" s="59" t="e">
        <v>#N/A</v>
      </c>
      <c r="H2005" s="152"/>
      <c r="I2005" s="52"/>
      <c r="J2005" s="87"/>
      <c r="K2005" s="61"/>
      <c r="L2005" s="62">
        <v>0</v>
      </c>
      <c r="M2005" s="63">
        <v>0</v>
      </c>
      <c r="N2005" s="64">
        <v>0</v>
      </c>
      <c r="O2005" s="62">
        <v>0</v>
      </c>
      <c r="P2005" s="65">
        <f t="shared" si="135"/>
        <v>0</v>
      </c>
      <c r="Q2005" s="66"/>
      <c r="R2005" s="66"/>
      <c r="S2005" s="66"/>
      <c r="T2005" s="66"/>
      <c r="U2005" s="66"/>
      <c r="V2005" s="66">
        <v>1515</v>
      </c>
      <c r="W2005" s="66"/>
      <c r="X2005" s="66">
        <v>1540</v>
      </c>
      <c r="Y2005" s="66"/>
      <c r="Z2005" s="66">
        <v>1632</v>
      </c>
      <c r="AA2005" s="66">
        <v>1526</v>
      </c>
      <c r="AB2005" s="66">
        <v>1057</v>
      </c>
      <c r="AC2005" s="66"/>
      <c r="AD2005" s="66"/>
      <c r="AE2005" s="66"/>
      <c r="AF2005" s="66"/>
      <c r="AG2005" s="66"/>
      <c r="AH2005" s="66"/>
      <c r="AI2005" s="66"/>
      <c r="AJ2005" s="66"/>
      <c r="AK2005" s="66"/>
      <c r="AL2005" s="66"/>
      <c r="AM2005" s="66"/>
      <c r="AN2005" s="66"/>
      <c r="AO2005" s="66"/>
      <c r="AP2005" s="66"/>
      <c r="AQ2005" s="66"/>
      <c r="AR2005" s="66"/>
      <c r="AS2005" s="66"/>
      <c r="AT2005" s="66"/>
      <c r="AU2005" s="66"/>
      <c r="AV2005" s="66"/>
      <c r="AW2005" s="66"/>
      <c r="AX2005" s="66"/>
      <c r="AY2005" s="66"/>
      <c r="AZ2005" s="66"/>
      <c r="BA2005" s="66"/>
      <c r="BB2005" s="66"/>
      <c r="BC2005" s="66"/>
      <c r="BD2005" s="66"/>
      <c r="BE2005" s="67"/>
      <c r="BF2005" s="67"/>
      <c r="BG2005" s="68"/>
      <c r="BI2005" s="69">
        <v>0</v>
      </c>
      <c r="BJ2005" s="70">
        <v>0</v>
      </c>
      <c r="BK2005" s="71">
        <v>0</v>
      </c>
      <c r="BL2005" s="71">
        <v>0</v>
      </c>
      <c r="BM2005" s="71">
        <v>0</v>
      </c>
      <c r="BN2005" s="72">
        <v>0</v>
      </c>
      <c r="BO2005" s="151" t="e">
        <f t="shared" si="133"/>
        <v>#DIV/0!</v>
      </c>
      <c r="BP2005" s="151" t="e">
        <f t="shared" si="134"/>
        <v>#DIV/0!</v>
      </c>
      <c r="BQ2005" s="71">
        <v>0</v>
      </c>
      <c r="BR2005" s="71">
        <v>0</v>
      </c>
      <c r="BS2005" s="71">
        <v>0</v>
      </c>
      <c r="BT2005" s="72">
        <v>0</v>
      </c>
      <c r="BU2005" s="151" t="e">
        <f t="shared" si="131"/>
        <v>#DIV/0!</v>
      </c>
      <c r="BV2005" s="151" t="e">
        <f t="shared" si="132"/>
        <v>#DIV/0!</v>
      </c>
    </row>
    <row r="2006" ht="30" customHeight="1" spans="1:74">
      <c r="A2006" s="55" t="s">
        <v>211</v>
      </c>
      <c r="B2006" s="56" t="s">
        <v>2247</v>
      </c>
      <c r="C2006" s="57" t="s">
        <v>2343</v>
      </c>
      <c r="D2006" s="52" t="s">
        <v>3169</v>
      </c>
      <c r="E2006" s="52" t="s">
        <v>3174</v>
      </c>
      <c r="F2006" s="59" t="str">
        <f>VLOOKUP(E2006,[1]库存!$B$1:$C$65536,2,FALSE)</f>
        <v>HA3H DAB A状态</v>
      </c>
      <c r="G2006" s="59" t="s">
        <v>3175</v>
      </c>
      <c r="H2006" s="59" t="s">
        <v>3176</v>
      </c>
      <c r="I2006" s="52" t="s">
        <v>3173</v>
      </c>
      <c r="J2006" s="63"/>
      <c r="K2006" s="61"/>
      <c r="L2006" s="62">
        <v>2</v>
      </c>
      <c r="M2006" s="63">
        <v>1000</v>
      </c>
      <c r="N2006" s="64">
        <v>11</v>
      </c>
      <c r="O2006" s="62">
        <v>2</v>
      </c>
      <c r="P2006" s="65">
        <f t="shared" si="135"/>
        <v>0</v>
      </c>
      <c r="Q2006" s="66">
        <v>1400</v>
      </c>
      <c r="R2006" s="66">
        <v>1400</v>
      </c>
      <c r="S2006" s="66">
        <v>1400</v>
      </c>
      <c r="T2006" s="66">
        <v>1400</v>
      </c>
      <c r="U2006" s="66">
        <v>1400</v>
      </c>
      <c r="V2006" s="66"/>
      <c r="W2006" s="66"/>
      <c r="X2006" s="67"/>
      <c r="Y2006" s="66"/>
      <c r="Z2006" s="67"/>
      <c r="AA2006" s="67"/>
      <c r="AB2006" s="66"/>
      <c r="AC2006" s="67"/>
      <c r="AD2006" s="66"/>
      <c r="AE2006" s="67"/>
      <c r="AF2006" s="66"/>
      <c r="AG2006" s="67"/>
      <c r="AH2006" s="66"/>
      <c r="AI2006" s="67"/>
      <c r="AJ2006" s="66"/>
      <c r="AK2006" s="66"/>
      <c r="AL2006" s="67"/>
      <c r="AM2006" s="66"/>
      <c r="AN2006" s="67"/>
      <c r="AO2006" s="67"/>
      <c r="AP2006" s="66"/>
      <c r="AQ2006" s="67"/>
      <c r="AR2006" s="66"/>
      <c r="AS2006" s="67"/>
      <c r="AT2006" s="66"/>
      <c r="AU2006" s="67"/>
      <c r="AV2006" s="66"/>
      <c r="AW2006" s="67"/>
      <c r="AX2006" s="66"/>
      <c r="AY2006" s="66"/>
      <c r="AZ2006" s="67"/>
      <c r="BA2006" s="66"/>
      <c r="BB2006" s="67"/>
      <c r="BC2006" s="67"/>
      <c r="BD2006" s="66"/>
      <c r="BE2006" s="67"/>
      <c r="BF2006" s="67"/>
      <c r="BG2006" s="68"/>
      <c r="BI2006" s="69">
        <v>0</v>
      </c>
      <c r="BJ2006" s="70">
        <v>0</v>
      </c>
      <c r="BK2006" s="71">
        <v>0</v>
      </c>
      <c r="BL2006" s="71">
        <v>0</v>
      </c>
      <c r="BM2006" s="71">
        <v>0</v>
      </c>
      <c r="BN2006" s="72">
        <v>0</v>
      </c>
      <c r="BO2006" s="151" t="e">
        <f t="shared" si="133"/>
        <v>#DIV/0!</v>
      </c>
      <c r="BP2006" s="151" t="e">
        <f t="shared" si="134"/>
        <v>#DIV/0!</v>
      </c>
      <c r="BQ2006" s="71">
        <v>0</v>
      </c>
      <c r="BR2006" s="71">
        <v>0</v>
      </c>
      <c r="BS2006" s="71">
        <v>0</v>
      </c>
      <c r="BT2006" s="72">
        <v>0</v>
      </c>
      <c r="BU2006" s="151" t="e">
        <f t="shared" si="131"/>
        <v>#DIV/0!</v>
      </c>
      <c r="BV2006" s="151" t="e">
        <f t="shared" si="132"/>
        <v>#DIV/0!</v>
      </c>
    </row>
    <row r="2007" ht="30" customHeight="1" spans="1:74">
      <c r="A2007" s="55">
        <v>0</v>
      </c>
      <c r="B2007" s="56">
        <v>0</v>
      </c>
      <c r="C2007" s="57">
        <v>0</v>
      </c>
      <c r="D2007" s="52"/>
      <c r="E2007" s="52"/>
      <c r="F2007" s="59" t="e">
        <f>VLOOKUP(E2007,[1]库存!$B$1:$C$65536,2,FALSE)</f>
        <v>#N/A</v>
      </c>
      <c r="G2007" s="59" t="e">
        <v>#N/A</v>
      </c>
      <c r="H2007" s="152"/>
      <c r="I2007" s="52"/>
      <c r="J2007" s="87"/>
      <c r="K2007" s="61"/>
      <c r="L2007" s="62">
        <v>0</v>
      </c>
      <c r="M2007" s="63">
        <v>0</v>
      </c>
      <c r="N2007" s="64">
        <v>0</v>
      </c>
      <c r="O2007" s="62">
        <v>0</v>
      </c>
      <c r="P2007" s="65">
        <f t="shared" si="135"/>
        <v>0</v>
      </c>
      <c r="Q2007" s="66">
        <v>1416</v>
      </c>
      <c r="R2007" s="66">
        <v>1504</v>
      </c>
      <c r="S2007" s="66">
        <v>1520</v>
      </c>
      <c r="T2007" s="66">
        <v>1552</v>
      </c>
      <c r="U2007" s="66">
        <v>1259</v>
      </c>
      <c r="V2007" s="66"/>
      <c r="W2007" s="66"/>
      <c r="X2007" s="66"/>
      <c r="Y2007" s="66"/>
      <c r="Z2007" s="66"/>
      <c r="AA2007" s="66"/>
      <c r="AB2007" s="66"/>
      <c r="AC2007" s="66"/>
      <c r="AD2007" s="66"/>
      <c r="AE2007" s="66"/>
      <c r="AF2007" s="66"/>
      <c r="AG2007" s="66"/>
      <c r="AH2007" s="66"/>
      <c r="AI2007" s="66"/>
      <c r="AJ2007" s="66"/>
      <c r="AK2007" s="66"/>
      <c r="AL2007" s="66"/>
      <c r="AM2007" s="66"/>
      <c r="AN2007" s="66"/>
      <c r="AO2007" s="66"/>
      <c r="AP2007" s="66"/>
      <c r="AQ2007" s="66"/>
      <c r="AR2007" s="66"/>
      <c r="AS2007" s="66"/>
      <c r="AT2007" s="66"/>
      <c r="AU2007" s="66"/>
      <c r="AV2007" s="66"/>
      <c r="AW2007" s="66"/>
      <c r="AX2007" s="66"/>
      <c r="AY2007" s="66"/>
      <c r="AZ2007" s="66"/>
      <c r="BA2007" s="66"/>
      <c r="BB2007" s="66"/>
      <c r="BC2007" s="66"/>
      <c r="BD2007" s="66"/>
      <c r="BE2007" s="67"/>
      <c r="BF2007" s="67"/>
      <c r="BG2007" s="68"/>
      <c r="BI2007" s="69">
        <v>0</v>
      </c>
      <c r="BJ2007" s="70">
        <v>0</v>
      </c>
      <c r="BK2007" s="71">
        <v>0</v>
      </c>
      <c r="BL2007" s="71">
        <v>0</v>
      </c>
      <c r="BM2007" s="71">
        <v>0</v>
      </c>
      <c r="BN2007" s="72">
        <v>0</v>
      </c>
      <c r="BO2007" s="151" t="e">
        <f t="shared" si="133"/>
        <v>#DIV/0!</v>
      </c>
      <c r="BP2007" s="151" t="e">
        <f t="shared" si="134"/>
        <v>#DIV/0!</v>
      </c>
      <c r="BQ2007" s="71">
        <v>0</v>
      </c>
      <c r="BR2007" s="71">
        <v>0</v>
      </c>
      <c r="BS2007" s="71">
        <v>0</v>
      </c>
      <c r="BT2007" s="72">
        <v>0</v>
      </c>
      <c r="BU2007" s="151" t="e">
        <f t="shared" si="131"/>
        <v>#DIV/0!</v>
      </c>
      <c r="BV2007" s="151" t="e">
        <f t="shared" si="132"/>
        <v>#DIV/0!</v>
      </c>
    </row>
    <row r="2008" ht="30" customHeight="1" spans="1:74">
      <c r="A2008" s="55" t="s">
        <v>211</v>
      </c>
      <c r="B2008" s="56" t="s">
        <v>2247</v>
      </c>
      <c r="C2008" s="57" t="s">
        <v>2343</v>
      </c>
      <c r="D2008" s="52" t="s">
        <v>3169</v>
      </c>
      <c r="E2008" s="52" t="s">
        <v>3177</v>
      </c>
      <c r="F2008" s="59" t="str">
        <f>VLOOKUP(E2008,[1]库存!$B$1:$C$65536,2,FALSE)</f>
        <v>EKEB DAB A状态</v>
      </c>
      <c r="G2008" s="59" t="s">
        <v>3178</v>
      </c>
      <c r="H2008" s="59" t="s">
        <v>3179</v>
      </c>
      <c r="I2008" s="52" t="s">
        <v>3173</v>
      </c>
      <c r="J2008" s="63"/>
      <c r="K2008" s="61"/>
      <c r="L2008" s="62">
        <v>2</v>
      </c>
      <c r="M2008" s="63">
        <v>1100</v>
      </c>
      <c r="N2008" s="64">
        <v>10</v>
      </c>
      <c r="O2008" s="62">
        <v>2</v>
      </c>
      <c r="P2008" s="65">
        <f t="shared" si="135"/>
        <v>0</v>
      </c>
      <c r="Q2008" s="66"/>
      <c r="R2008" s="66"/>
      <c r="S2008" s="66"/>
      <c r="T2008" s="66"/>
      <c r="U2008" s="66"/>
      <c r="V2008" s="66"/>
      <c r="W2008" s="66"/>
      <c r="X2008" s="66"/>
      <c r="Y2008" s="66"/>
      <c r="Z2008" s="66"/>
      <c r="AA2008" s="66"/>
      <c r="AB2008" s="66">
        <v>10</v>
      </c>
      <c r="AC2008" s="66">
        <v>1450</v>
      </c>
      <c r="AD2008" s="66">
        <v>1450</v>
      </c>
      <c r="AE2008" s="66"/>
      <c r="AF2008" s="66"/>
      <c r="AG2008" s="66"/>
      <c r="AH2008" s="66"/>
      <c r="AI2008" s="66"/>
      <c r="AJ2008" s="66"/>
      <c r="AK2008" s="66"/>
      <c r="AL2008" s="66"/>
      <c r="AM2008" s="66"/>
      <c r="AN2008" s="66"/>
      <c r="AO2008" s="66"/>
      <c r="AP2008" s="66"/>
      <c r="AQ2008" s="66"/>
      <c r="AR2008" s="66"/>
      <c r="AS2008" s="66"/>
      <c r="AT2008" s="66"/>
      <c r="AU2008" s="66"/>
      <c r="AV2008" s="66"/>
      <c r="AW2008" s="66"/>
      <c r="AX2008" s="66"/>
      <c r="AY2008" s="66"/>
      <c r="AZ2008" s="66"/>
      <c r="BA2008" s="66"/>
      <c r="BB2008" s="66"/>
      <c r="BC2008" s="66"/>
      <c r="BD2008" s="66"/>
      <c r="BE2008" s="67"/>
      <c r="BF2008" s="67"/>
      <c r="BG2008" s="68"/>
      <c r="BI2008" s="69">
        <v>0</v>
      </c>
      <c r="BJ2008" s="70">
        <v>0</v>
      </c>
      <c r="BK2008" s="71">
        <v>0</v>
      </c>
      <c r="BL2008" s="71">
        <v>0</v>
      </c>
      <c r="BM2008" s="71">
        <v>0</v>
      </c>
      <c r="BN2008" s="72">
        <v>0</v>
      </c>
      <c r="BO2008" s="151" t="e">
        <f t="shared" si="133"/>
        <v>#DIV/0!</v>
      </c>
      <c r="BP2008" s="151" t="e">
        <f t="shared" si="134"/>
        <v>#DIV/0!</v>
      </c>
      <c r="BQ2008" s="71">
        <v>0</v>
      </c>
      <c r="BR2008" s="71">
        <v>0</v>
      </c>
      <c r="BS2008" s="71">
        <v>0</v>
      </c>
      <c r="BT2008" s="72">
        <v>0</v>
      </c>
      <c r="BU2008" s="151" t="e">
        <f t="shared" si="131"/>
        <v>#DIV/0!</v>
      </c>
      <c r="BV2008" s="151" t="e">
        <f t="shared" si="132"/>
        <v>#DIV/0!</v>
      </c>
    </row>
    <row r="2009" ht="30" customHeight="1" spans="1:74">
      <c r="A2009" s="55">
        <v>0</v>
      </c>
      <c r="B2009" s="56">
        <v>0</v>
      </c>
      <c r="C2009" s="57">
        <v>0</v>
      </c>
      <c r="D2009" s="52"/>
      <c r="E2009" s="52"/>
      <c r="F2009" s="59" t="e">
        <f>VLOOKUP(E2009,[1]库存!$B$1:$C$65536,2,FALSE)</f>
        <v>#N/A</v>
      </c>
      <c r="G2009" s="59" t="e">
        <v>#N/A</v>
      </c>
      <c r="H2009" s="152"/>
      <c r="I2009" s="52"/>
      <c r="J2009" s="87"/>
      <c r="K2009" s="61"/>
      <c r="L2009" s="62">
        <v>0</v>
      </c>
      <c r="M2009" s="63">
        <v>0</v>
      </c>
      <c r="N2009" s="64">
        <v>0</v>
      </c>
      <c r="O2009" s="62">
        <v>0</v>
      </c>
      <c r="P2009" s="65">
        <f t="shared" si="135"/>
        <v>0</v>
      </c>
      <c r="Q2009" s="66"/>
      <c r="R2009" s="66"/>
      <c r="S2009" s="66"/>
      <c r="T2009" s="66"/>
      <c r="U2009" s="66"/>
      <c r="V2009" s="66"/>
      <c r="W2009" s="66"/>
      <c r="X2009" s="66"/>
      <c r="Y2009" s="66"/>
      <c r="Z2009" s="66"/>
      <c r="AA2009" s="66"/>
      <c r="AB2009" s="66">
        <v>390</v>
      </c>
      <c r="AC2009" s="66">
        <v>1547</v>
      </c>
      <c r="AD2009" s="66">
        <v>1560</v>
      </c>
      <c r="AE2009" s="66"/>
      <c r="AF2009" s="66"/>
      <c r="AG2009" s="66"/>
      <c r="AH2009" s="66"/>
      <c r="AI2009" s="66"/>
      <c r="AJ2009" s="66"/>
      <c r="AK2009" s="66"/>
      <c r="AL2009" s="66"/>
      <c r="AM2009" s="66"/>
      <c r="AN2009" s="66"/>
      <c r="AO2009" s="66"/>
      <c r="AP2009" s="66"/>
      <c r="AQ2009" s="66"/>
      <c r="AR2009" s="66"/>
      <c r="AS2009" s="66"/>
      <c r="AT2009" s="66"/>
      <c r="AU2009" s="66"/>
      <c r="AV2009" s="66"/>
      <c r="AW2009" s="66"/>
      <c r="AX2009" s="66"/>
      <c r="AY2009" s="66"/>
      <c r="AZ2009" s="66"/>
      <c r="BA2009" s="66"/>
      <c r="BB2009" s="66"/>
      <c r="BC2009" s="66"/>
      <c r="BD2009" s="66"/>
      <c r="BE2009" s="67"/>
      <c r="BF2009" s="67"/>
      <c r="BG2009" s="68"/>
      <c r="BI2009" s="69">
        <v>0</v>
      </c>
      <c r="BJ2009" s="70">
        <v>0</v>
      </c>
      <c r="BK2009" s="71">
        <v>0</v>
      </c>
      <c r="BL2009" s="71">
        <v>0</v>
      </c>
      <c r="BM2009" s="71">
        <v>0</v>
      </c>
      <c r="BN2009" s="72">
        <v>0</v>
      </c>
      <c r="BO2009" s="151" t="e">
        <f t="shared" si="133"/>
        <v>#DIV/0!</v>
      </c>
      <c r="BP2009" s="151" t="e">
        <f t="shared" si="134"/>
        <v>#DIV/0!</v>
      </c>
      <c r="BQ2009" s="71">
        <v>0</v>
      </c>
      <c r="BR2009" s="71">
        <v>0</v>
      </c>
      <c r="BS2009" s="71">
        <v>0</v>
      </c>
      <c r="BT2009" s="72">
        <v>0</v>
      </c>
      <c r="BU2009" s="151" t="e">
        <f t="shared" si="131"/>
        <v>#DIV/0!</v>
      </c>
      <c r="BV2009" s="151" t="e">
        <f t="shared" si="132"/>
        <v>#DIV/0!</v>
      </c>
    </row>
    <row r="2010" ht="30" customHeight="1" spans="1:74">
      <c r="A2010" s="55">
        <v>0</v>
      </c>
      <c r="B2010" s="56">
        <v>0</v>
      </c>
      <c r="C2010" s="57">
        <v>0</v>
      </c>
      <c r="D2010" s="106"/>
      <c r="E2010" s="107"/>
      <c r="F2010" s="59" t="e">
        <f>VLOOKUP(E2010,[1]库存!$B$1:$C$65536,2,FALSE)</f>
        <v>#N/A</v>
      </c>
      <c r="G2010" s="59" t="e">
        <v>#N/A</v>
      </c>
      <c r="H2010" s="89"/>
      <c r="I2010" s="88"/>
      <c r="J2010" s="90"/>
      <c r="K2010" s="61"/>
      <c r="L2010" s="62">
        <v>0</v>
      </c>
      <c r="M2010" s="63">
        <v>0</v>
      </c>
      <c r="N2010" s="64">
        <v>0</v>
      </c>
      <c r="O2010" s="62">
        <v>0</v>
      </c>
      <c r="P2010" s="65">
        <f t="shared" si="135"/>
        <v>0</v>
      </c>
      <c r="Q2010" s="66"/>
      <c r="R2010" s="66"/>
      <c r="S2010" s="66"/>
      <c r="T2010" s="66"/>
      <c r="U2010" s="66"/>
      <c r="V2010" s="66"/>
      <c r="W2010" s="66"/>
      <c r="X2010" s="66"/>
      <c r="Y2010" s="66"/>
      <c r="Z2010" s="66"/>
      <c r="AA2010" s="66"/>
      <c r="AB2010" s="66"/>
      <c r="AC2010" s="66"/>
      <c r="AD2010" s="66"/>
      <c r="AE2010" s="66"/>
      <c r="AF2010" s="66"/>
      <c r="AG2010" s="66"/>
      <c r="AH2010" s="66"/>
      <c r="AI2010" s="66"/>
      <c r="AJ2010" s="66"/>
      <c r="AK2010" s="66"/>
      <c r="AL2010" s="66"/>
      <c r="AM2010" s="66"/>
      <c r="AN2010" s="66"/>
      <c r="AO2010" s="66"/>
      <c r="AP2010" s="66"/>
      <c r="AQ2010" s="66"/>
      <c r="AR2010" s="66"/>
      <c r="AS2010" s="66"/>
      <c r="AT2010" s="66"/>
      <c r="AU2010" s="66"/>
      <c r="AV2010" s="66"/>
      <c r="AW2010" s="66"/>
      <c r="AX2010" s="66"/>
      <c r="AY2010" s="66"/>
      <c r="AZ2010" s="66"/>
      <c r="BA2010" s="66"/>
      <c r="BB2010" s="66"/>
      <c r="BC2010" s="66"/>
      <c r="BD2010" s="66"/>
      <c r="BE2010" s="67"/>
      <c r="BF2010" s="67"/>
      <c r="BG2010" s="68"/>
      <c r="BI2010" s="69">
        <v>0</v>
      </c>
      <c r="BJ2010" s="70">
        <v>0</v>
      </c>
      <c r="BK2010" s="71">
        <v>0</v>
      </c>
      <c r="BL2010" s="71">
        <v>0</v>
      </c>
      <c r="BM2010" s="71">
        <v>0</v>
      </c>
      <c r="BN2010" s="72">
        <v>0</v>
      </c>
      <c r="BO2010" s="151" t="e">
        <f t="shared" si="133"/>
        <v>#DIV/0!</v>
      </c>
      <c r="BP2010" s="151" t="e">
        <f t="shared" si="134"/>
        <v>#DIV/0!</v>
      </c>
      <c r="BQ2010" s="71">
        <v>0</v>
      </c>
      <c r="BR2010" s="71">
        <v>0</v>
      </c>
      <c r="BS2010" s="71">
        <v>0</v>
      </c>
      <c r="BT2010" s="72">
        <v>0</v>
      </c>
      <c r="BU2010" s="151" t="e">
        <f t="shared" si="131"/>
        <v>#DIV/0!</v>
      </c>
      <c r="BV2010" s="151" t="e">
        <f t="shared" si="132"/>
        <v>#DIV/0!</v>
      </c>
    </row>
    <row r="2011" ht="30" customHeight="1" spans="1:74">
      <c r="A2011" s="55" t="s">
        <v>165</v>
      </c>
      <c r="B2011" s="56" t="s">
        <v>2247</v>
      </c>
      <c r="C2011" s="57" t="s">
        <v>2261</v>
      </c>
      <c r="D2011" s="52" t="s">
        <v>3180</v>
      </c>
      <c r="E2011" s="52" t="s">
        <v>3181</v>
      </c>
      <c r="F2011" s="59" t="str">
        <f>VLOOKUP(E2011,[1]库存!$B$1:$C$65536,2,FALSE)</f>
        <v>E0S(D01) DAB B状态</v>
      </c>
      <c r="G2011" s="59" t="s">
        <v>3182</v>
      </c>
      <c r="H2011" s="59" t="s">
        <v>3183</v>
      </c>
      <c r="I2011" s="52" t="s">
        <v>429</v>
      </c>
      <c r="J2011" s="80" t="s">
        <v>65</v>
      </c>
      <c r="K2011" s="61"/>
      <c r="L2011" s="62">
        <v>2</v>
      </c>
      <c r="M2011" s="63">
        <v>1000</v>
      </c>
      <c r="N2011" s="64">
        <v>12</v>
      </c>
      <c r="O2011" s="62">
        <v>2</v>
      </c>
      <c r="P2011" s="65">
        <f t="shared" si="135"/>
        <v>0</v>
      </c>
      <c r="Q2011" s="66"/>
      <c r="R2011" s="66"/>
      <c r="S2011" s="66"/>
      <c r="T2011" s="66"/>
      <c r="U2011" s="66"/>
      <c r="V2011" s="66"/>
      <c r="W2011" s="66"/>
      <c r="X2011" s="66"/>
      <c r="Y2011" s="66"/>
      <c r="Z2011" s="66"/>
      <c r="AA2011" s="66"/>
      <c r="AB2011" s="66"/>
      <c r="AC2011" s="66"/>
      <c r="AD2011" s="66"/>
      <c r="AE2011" s="66"/>
      <c r="AF2011" s="66"/>
      <c r="AG2011" s="66"/>
      <c r="AH2011" s="66"/>
      <c r="AI2011" s="66"/>
      <c r="AJ2011" s="66"/>
      <c r="AK2011" s="66"/>
      <c r="AL2011" s="66"/>
      <c r="AM2011" s="66"/>
      <c r="AN2011" s="66"/>
      <c r="AO2011" s="66"/>
      <c r="AP2011" s="66"/>
      <c r="AQ2011" s="66"/>
      <c r="AR2011" s="66"/>
      <c r="AS2011" s="66"/>
      <c r="AT2011" s="66"/>
      <c r="AU2011" s="66"/>
      <c r="AV2011" s="66"/>
      <c r="AW2011" s="66"/>
      <c r="AX2011" s="66"/>
      <c r="AY2011" s="66"/>
      <c r="AZ2011" s="66"/>
      <c r="BA2011" s="66"/>
      <c r="BB2011" s="66"/>
      <c r="BC2011" s="66"/>
      <c r="BD2011" s="66"/>
      <c r="BE2011" s="67"/>
      <c r="BF2011" s="67"/>
      <c r="BG2011" s="68"/>
      <c r="BI2011" s="69">
        <v>0</v>
      </c>
      <c r="BJ2011" s="70">
        <v>0</v>
      </c>
      <c r="BK2011" s="71">
        <v>0</v>
      </c>
      <c r="BL2011" s="71">
        <v>0</v>
      </c>
      <c r="BM2011" s="71">
        <v>0</v>
      </c>
      <c r="BN2011" s="72">
        <v>0</v>
      </c>
      <c r="BO2011" s="151" t="e">
        <f t="shared" si="133"/>
        <v>#DIV/0!</v>
      </c>
      <c r="BP2011" s="151" t="e">
        <f t="shared" si="134"/>
        <v>#DIV/0!</v>
      </c>
      <c r="BQ2011" s="71">
        <v>0</v>
      </c>
      <c r="BR2011" s="71">
        <v>0</v>
      </c>
      <c r="BS2011" s="71">
        <v>0</v>
      </c>
      <c r="BT2011" s="72">
        <v>0</v>
      </c>
      <c r="BU2011" s="151" t="e">
        <f t="shared" si="131"/>
        <v>#DIV/0!</v>
      </c>
      <c r="BV2011" s="151" t="e">
        <f t="shared" si="132"/>
        <v>#DIV/0!</v>
      </c>
    </row>
    <row r="2012" ht="30" customHeight="1" spans="1:74">
      <c r="A2012" s="55">
        <v>0</v>
      </c>
      <c r="B2012" s="56">
        <v>0</v>
      </c>
      <c r="C2012" s="57">
        <v>0</v>
      </c>
      <c r="D2012" s="52"/>
      <c r="E2012" s="52"/>
      <c r="F2012" s="59" t="e">
        <f>VLOOKUP(E2012,[1]库存!$B$1:$C$65536,2,FALSE)</f>
        <v>#N/A</v>
      </c>
      <c r="G2012" s="59" t="e">
        <v>#N/A</v>
      </c>
      <c r="H2012" s="152"/>
      <c r="I2012" s="52"/>
      <c r="J2012" s="81"/>
      <c r="K2012" s="61"/>
      <c r="L2012" s="62">
        <v>0</v>
      </c>
      <c r="M2012" s="63">
        <v>0</v>
      </c>
      <c r="N2012" s="64">
        <v>0</v>
      </c>
      <c r="O2012" s="62">
        <v>0</v>
      </c>
      <c r="P2012" s="65">
        <f t="shared" si="135"/>
        <v>0</v>
      </c>
      <c r="Q2012" s="66"/>
      <c r="R2012" s="66"/>
      <c r="S2012" s="66"/>
      <c r="T2012" s="66"/>
      <c r="U2012" s="66"/>
      <c r="V2012" s="66"/>
      <c r="W2012" s="66"/>
      <c r="X2012" s="66"/>
      <c r="Y2012" s="66"/>
      <c r="Z2012" s="66"/>
      <c r="AA2012" s="66"/>
      <c r="AB2012" s="66"/>
      <c r="AC2012" s="66"/>
      <c r="AD2012" s="66"/>
      <c r="AE2012" s="66"/>
      <c r="AF2012" s="66"/>
      <c r="AG2012" s="66"/>
      <c r="AH2012" s="66"/>
      <c r="AI2012" s="66"/>
      <c r="AJ2012" s="66"/>
      <c r="AK2012" s="66"/>
      <c r="AL2012" s="66"/>
      <c r="AM2012" s="66"/>
      <c r="AN2012" s="66"/>
      <c r="AO2012" s="66"/>
      <c r="AP2012" s="66"/>
      <c r="AQ2012" s="66"/>
      <c r="AR2012" s="66"/>
      <c r="AS2012" s="66"/>
      <c r="AT2012" s="66"/>
      <c r="AU2012" s="66"/>
      <c r="AV2012" s="66"/>
      <c r="AW2012" s="66"/>
      <c r="AX2012" s="66"/>
      <c r="AY2012" s="66"/>
      <c r="AZ2012" s="66"/>
      <c r="BA2012" s="66"/>
      <c r="BB2012" s="66"/>
      <c r="BC2012" s="66"/>
      <c r="BD2012" s="66"/>
      <c r="BE2012" s="67"/>
      <c r="BF2012" s="67"/>
      <c r="BG2012" s="68"/>
      <c r="BI2012" s="69">
        <v>0</v>
      </c>
      <c r="BJ2012" s="70">
        <v>0</v>
      </c>
      <c r="BK2012" s="71">
        <v>0</v>
      </c>
      <c r="BL2012" s="71">
        <v>0</v>
      </c>
      <c r="BM2012" s="71">
        <v>0</v>
      </c>
      <c r="BN2012" s="72">
        <v>0</v>
      </c>
      <c r="BO2012" s="151" t="e">
        <f t="shared" si="133"/>
        <v>#DIV/0!</v>
      </c>
      <c r="BP2012" s="151" t="e">
        <f t="shared" si="134"/>
        <v>#DIV/0!</v>
      </c>
      <c r="BQ2012" s="71">
        <v>0</v>
      </c>
      <c r="BR2012" s="71">
        <v>0</v>
      </c>
      <c r="BS2012" s="71">
        <v>0</v>
      </c>
      <c r="BT2012" s="72">
        <v>0</v>
      </c>
      <c r="BU2012" s="151" t="e">
        <f t="shared" si="131"/>
        <v>#DIV/0!</v>
      </c>
      <c r="BV2012" s="151" t="e">
        <f t="shared" si="132"/>
        <v>#DIV/0!</v>
      </c>
    </row>
    <row r="2013" ht="30" customHeight="1" spans="1:74">
      <c r="A2013" s="55">
        <v>0</v>
      </c>
      <c r="B2013" s="56">
        <v>0</v>
      </c>
      <c r="C2013" s="57">
        <v>0</v>
      </c>
      <c r="D2013" s="106"/>
      <c r="E2013" s="107"/>
      <c r="F2013" s="59" t="e">
        <f>VLOOKUP(E2013,[1]库存!$B$1:$C$65536,2,FALSE)</f>
        <v>#N/A</v>
      </c>
      <c r="G2013" s="59" t="e">
        <v>#N/A</v>
      </c>
      <c r="H2013" s="89"/>
      <c r="I2013" s="88"/>
      <c r="J2013" s="90"/>
      <c r="K2013" s="61"/>
      <c r="L2013" s="62">
        <v>0</v>
      </c>
      <c r="M2013" s="63">
        <v>0</v>
      </c>
      <c r="N2013" s="64">
        <v>0</v>
      </c>
      <c r="O2013" s="62">
        <v>0</v>
      </c>
      <c r="P2013" s="65">
        <f t="shared" si="135"/>
        <v>0</v>
      </c>
      <c r="Q2013" s="66"/>
      <c r="R2013" s="66"/>
      <c r="S2013" s="66"/>
      <c r="T2013" s="66"/>
      <c r="U2013" s="66"/>
      <c r="V2013" s="66"/>
      <c r="W2013" s="66"/>
      <c r="X2013" s="66"/>
      <c r="Y2013" s="66"/>
      <c r="Z2013" s="66"/>
      <c r="AA2013" s="66"/>
      <c r="AB2013" s="66"/>
      <c r="AC2013" s="66"/>
      <c r="AD2013" s="66"/>
      <c r="AE2013" s="66"/>
      <c r="AF2013" s="66"/>
      <c r="AG2013" s="66"/>
      <c r="AH2013" s="66"/>
      <c r="AI2013" s="66"/>
      <c r="AJ2013" s="66"/>
      <c r="AK2013" s="66"/>
      <c r="AL2013" s="66"/>
      <c r="AM2013" s="66"/>
      <c r="AN2013" s="66"/>
      <c r="AO2013" s="66"/>
      <c r="AP2013" s="66"/>
      <c r="AQ2013" s="66"/>
      <c r="AR2013" s="66"/>
      <c r="AS2013" s="66"/>
      <c r="AT2013" s="66"/>
      <c r="AU2013" s="66"/>
      <c r="AV2013" s="66"/>
      <c r="AW2013" s="66"/>
      <c r="AX2013" s="66"/>
      <c r="AY2013" s="66"/>
      <c r="AZ2013" s="66"/>
      <c r="BA2013" s="66"/>
      <c r="BB2013" s="66"/>
      <c r="BC2013" s="66"/>
      <c r="BD2013" s="66"/>
      <c r="BE2013" s="67"/>
      <c r="BF2013" s="67"/>
      <c r="BG2013" s="68"/>
      <c r="BI2013" s="69">
        <v>0</v>
      </c>
      <c r="BJ2013" s="70">
        <v>0</v>
      </c>
      <c r="BK2013" s="71">
        <v>0</v>
      </c>
      <c r="BL2013" s="71">
        <v>0</v>
      </c>
      <c r="BM2013" s="71">
        <v>0</v>
      </c>
      <c r="BN2013" s="72">
        <v>0</v>
      </c>
      <c r="BO2013" s="151" t="e">
        <f t="shared" si="133"/>
        <v>#DIV/0!</v>
      </c>
      <c r="BP2013" s="151" t="e">
        <f t="shared" si="134"/>
        <v>#DIV/0!</v>
      </c>
      <c r="BQ2013" s="71">
        <v>0</v>
      </c>
      <c r="BR2013" s="71">
        <v>0</v>
      </c>
      <c r="BS2013" s="71">
        <v>0</v>
      </c>
      <c r="BT2013" s="72">
        <v>0</v>
      </c>
      <c r="BU2013" s="151" t="e">
        <f t="shared" si="131"/>
        <v>#DIV/0!</v>
      </c>
      <c r="BV2013" s="151" t="e">
        <f t="shared" si="132"/>
        <v>#DIV/0!</v>
      </c>
    </row>
    <row r="2014" ht="30" customHeight="1" spans="1:74">
      <c r="A2014" s="55">
        <v>0</v>
      </c>
      <c r="B2014" s="56" t="s">
        <v>2247</v>
      </c>
      <c r="C2014" s="57" t="s">
        <v>2248</v>
      </c>
      <c r="D2014" s="52" t="s">
        <v>3184</v>
      </c>
      <c r="E2014" s="91" t="s">
        <v>567</v>
      </c>
      <c r="F2014" s="59" t="str">
        <f>VLOOKUP(E2014,[1]库存!$B$1:$C$65536,2,FALSE)</f>
        <v>CAT PAB B状态导流袋半成品</v>
      </c>
      <c r="G2014" s="59" t="s">
        <v>568</v>
      </c>
      <c r="H2014" s="59" t="s">
        <v>569</v>
      </c>
      <c r="I2014" s="52"/>
      <c r="J2014" s="63"/>
      <c r="K2014" s="61"/>
      <c r="L2014" s="62">
        <v>2</v>
      </c>
      <c r="M2014" s="63">
        <v>1100</v>
      </c>
      <c r="N2014" s="64">
        <v>1</v>
      </c>
      <c r="O2014" s="62">
        <v>2</v>
      </c>
      <c r="P2014" s="65">
        <f t="shared" si="135"/>
        <v>0</v>
      </c>
      <c r="Q2014" s="66">
        <v>1100</v>
      </c>
      <c r="R2014" s="66"/>
      <c r="S2014" s="66">
        <v>1200</v>
      </c>
      <c r="T2014" s="66"/>
      <c r="U2014" s="66">
        <v>1200</v>
      </c>
      <c r="V2014" s="66"/>
      <c r="W2014" s="66"/>
      <c r="X2014" s="66"/>
      <c r="Y2014" s="66"/>
      <c r="Z2014" s="66"/>
      <c r="AA2014" s="66">
        <v>1200</v>
      </c>
      <c r="AB2014" s="66"/>
      <c r="AC2014" s="66">
        <v>1300</v>
      </c>
      <c r="AD2014" s="66"/>
      <c r="AE2014" s="66"/>
      <c r="AF2014" s="66"/>
      <c r="AG2014" s="66"/>
      <c r="AH2014" s="66"/>
      <c r="AI2014" s="66"/>
      <c r="AJ2014" s="66"/>
      <c r="AK2014" s="66"/>
      <c r="AL2014" s="66"/>
      <c r="AM2014" s="66"/>
      <c r="AN2014" s="66"/>
      <c r="AO2014" s="66"/>
      <c r="AP2014" s="66"/>
      <c r="AQ2014" s="66"/>
      <c r="AR2014" s="66"/>
      <c r="AS2014" s="66"/>
      <c r="AT2014" s="66"/>
      <c r="AU2014" s="66"/>
      <c r="AV2014" s="66"/>
      <c r="AW2014" s="66"/>
      <c r="AX2014" s="66"/>
      <c r="AY2014" s="66"/>
      <c r="AZ2014" s="66"/>
      <c r="BA2014" s="66"/>
      <c r="BB2014" s="66"/>
      <c r="BC2014" s="66"/>
      <c r="BD2014" s="66"/>
      <c r="BE2014" s="67"/>
      <c r="BF2014" s="67"/>
      <c r="BG2014" s="68"/>
      <c r="BI2014" s="69">
        <v>0</v>
      </c>
      <c r="BJ2014" s="70">
        <v>0</v>
      </c>
      <c r="BK2014" s="71">
        <v>0</v>
      </c>
      <c r="BL2014" s="71">
        <v>0</v>
      </c>
      <c r="BM2014" s="71">
        <v>0</v>
      </c>
      <c r="BN2014" s="72">
        <v>0</v>
      </c>
      <c r="BO2014" s="151" t="e">
        <f t="shared" si="133"/>
        <v>#DIV/0!</v>
      </c>
      <c r="BP2014" s="151" t="e">
        <f t="shared" si="134"/>
        <v>#DIV/0!</v>
      </c>
      <c r="BQ2014" s="71">
        <v>0</v>
      </c>
      <c r="BR2014" s="71">
        <v>0</v>
      </c>
      <c r="BS2014" s="71">
        <v>0</v>
      </c>
      <c r="BT2014" s="72">
        <v>0</v>
      </c>
      <c r="BU2014" s="151" t="e">
        <f t="shared" si="131"/>
        <v>#DIV/0!</v>
      </c>
      <c r="BV2014" s="151" t="e">
        <f t="shared" si="132"/>
        <v>#DIV/0!</v>
      </c>
    </row>
    <row r="2015" ht="30" customHeight="1" spans="1:74">
      <c r="A2015" s="55">
        <v>0</v>
      </c>
      <c r="B2015" s="56">
        <v>0</v>
      </c>
      <c r="C2015" s="57">
        <v>0</v>
      </c>
      <c r="D2015" s="52"/>
      <c r="E2015" s="92"/>
      <c r="F2015" s="59" t="e">
        <f>VLOOKUP(E2015,[1]库存!$B$1:$C$65536,2,FALSE)</f>
        <v>#N/A</v>
      </c>
      <c r="G2015" s="59" t="e">
        <v>#N/A</v>
      </c>
      <c r="H2015" s="152"/>
      <c r="I2015" s="52"/>
      <c r="J2015" s="87"/>
      <c r="K2015" s="61"/>
      <c r="L2015" s="62">
        <v>0</v>
      </c>
      <c r="M2015" s="63">
        <v>0</v>
      </c>
      <c r="N2015" s="64">
        <v>0</v>
      </c>
      <c r="O2015" s="62">
        <v>0</v>
      </c>
      <c r="P2015" s="65">
        <f t="shared" si="135"/>
        <v>0</v>
      </c>
      <c r="Q2015" s="66">
        <v>1350</v>
      </c>
      <c r="R2015" s="66"/>
      <c r="S2015" s="66">
        <v>1670</v>
      </c>
      <c r="T2015" s="66"/>
      <c r="U2015" s="66">
        <v>1800</v>
      </c>
      <c r="V2015" s="66"/>
      <c r="W2015" s="66"/>
      <c r="X2015" s="66"/>
      <c r="Y2015" s="66"/>
      <c r="Z2015" s="66"/>
      <c r="AA2015" s="66">
        <v>1155</v>
      </c>
      <c r="AB2015" s="66"/>
      <c r="AC2015" s="66">
        <v>1500</v>
      </c>
      <c r="AD2015" s="66"/>
      <c r="AE2015" s="66"/>
      <c r="AF2015" s="66"/>
      <c r="AG2015" s="66"/>
      <c r="AH2015" s="66"/>
      <c r="AI2015" s="66"/>
      <c r="AJ2015" s="66"/>
      <c r="AK2015" s="66"/>
      <c r="AL2015" s="66"/>
      <c r="AM2015" s="66"/>
      <c r="AN2015" s="66"/>
      <c r="AO2015" s="66"/>
      <c r="AP2015" s="66"/>
      <c r="AQ2015" s="66"/>
      <c r="AR2015" s="66"/>
      <c r="AS2015" s="66"/>
      <c r="AT2015" s="66"/>
      <c r="AU2015" s="66"/>
      <c r="AV2015" s="66"/>
      <c r="AW2015" s="66"/>
      <c r="AX2015" s="66"/>
      <c r="AY2015" s="66"/>
      <c r="AZ2015" s="66"/>
      <c r="BA2015" s="66"/>
      <c r="BB2015" s="66"/>
      <c r="BC2015" s="66"/>
      <c r="BD2015" s="66"/>
      <c r="BE2015" s="67"/>
      <c r="BF2015" s="67"/>
      <c r="BG2015" s="68"/>
      <c r="BI2015" s="69">
        <v>0</v>
      </c>
      <c r="BJ2015" s="70">
        <v>0</v>
      </c>
      <c r="BK2015" s="71">
        <v>0</v>
      </c>
      <c r="BL2015" s="71">
        <v>0</v>
      </c>
      <c r="BM2015" s="71">
        <v>0</v>
      </c>
      <c r="BN2015" s="72">
        <v>0</v>
      </c>
      <c r="BO2015" s="151" t="e">
        <f t="shared" si="133"/>
        <v>#DIV/0!</v>
      </c>
      <c r="BP2015" s="151" t="e">
        <f t="shared" si="134"/>
        <v>#DIV/0!</v>
      </c>
      <c r="BQ2015" s="71">
        <v>0</v>
      </c>
      <c r="BR2015" s="71">
        <v>0</v>
      </c>
      <c r="BS2015" s="71">
        <v>0</v>
      </c>
      <c r="BT2015" s="72">
        <v>0</v>
      </c>
      <c r="BU2015" s="151" t="e">
        <f t="shared" si="131"/>
        <v>#DIV/0!</v>
      </c>
      <c r="BV2015" s="151" t="e">
        <f t="shared" si="132"/>
        <v>#DIV/0!</v>
      </c>
    </row>
    <row r="2016" ht="30" customHeight="1" spans="1:74">
      <c r="A2016" s="55">
        <v>0</v>
      </c>
      <c r="B2016" s="56" t="s">
        <v>2247</v>
      </c>
      <c r="C2016" s="57" t="s">
        <v>2248</v>
      </c>
      <c r="D2016" s="52" t="s">
        <v>3185</v>
      </c>
      <c r="E2016" s="91" t="s">
        <v>572</v>
      </c>
      <c r="F2016" s="59" t="str">
        <f>VLOOKUP(E2016,[1]库存!$B$1:$C$65536,2,FALSE)</f>
        <v>CAT PAB B状态</v>
      </c>
      <c r="G2016" s="59" t="s">
        <v>573</v>
      </c>
      <c r="H2016" s="59" t="s">
        <v>574</v>
      </c>
      <c r="I2016" s="52"/>
      <c r="J2016" s="63"/>
      <c r="K2016" s="61"/>
      <c r="L2016" s="62">
        <v>2</v>
      </c>
      <c r="M2016" s="63">
        <v>1100</v>
      </c>
      <c r="N2016" s="64">
        <v>34</v>
      </c>
      <c r="O2016" s="62">
        <v>2</v>
      </c>
      <c r="P2016" s="65">
        <f t="shared" si="135"/>
        <v>0</v>
      </c>
      <c r="Q2016" s="66">
        <v>1100</v>
      </c>
      <c r="R2016" s="66"/>
      <c r="S2016" s="66">
        <v>1200</v>
      </c>
      <c r="T2016" s="66"/>
      <c r="U2016" s="66">
        <v>1200</v>
      </c>
      <c r="V2016" s="66"/>
      <c r="W2016" s="66"/>
      <c r="X2016" s="66"/>
      <c r="Y2016" s="66"/>
      <c r="Z2016" s="66"/>
      <c r="AA2016" s="66">
        <v>1200</v>
      </c>
      <c r="AB2016" s="66"/>
      <c r="AC2016" s="66">
        <v>1300</v>
      </c>
      <c r="AD2016" s="66"/>
      <c r="AE2016" s="66"/>
      <c r="AF2016" s="66"/>
      <c r="AG2016" s="66"/>
      <c r="AH2016" s="66"/>
      <c r="AI2016" s="66"/>
      <c r="AJ2016" s="66"/>
      <c r="AK2016" s="66"/>
      <c r="AL2016" s="66"/>
      <c r="AM2016" s="66"/>
      <c r="AN2016" s="66"/>
      <c r="AO2016" s="66"/>
      <c r="AP2016" s="66"/>
      <c r="AQ2016" s="66"/>
      <c r="AR2016" s="66"/>
      <c r="AS2016" s="66"/>
      <c r="AT2016" s="66"/>
      <c r="AU2016" s="66"/>
      <c r="AV2016" s="66"/>
      <c r="AW2016" s="66"/>
      <c r="AX2016" s="66"/>
      <c r="AY2016" s="66"/>
      <c r="AZ2016" s="66"/>
      <c r="BA2016" s="66"/>
      <c r="BB2016" s="66"/>
      <c r="BC2016" s="66"/>
      <c r="BD2016" s="66"/>
      <c r="BE2016" s="67"/>
      <c r="BF2016" s="67"/>
      <c r="BG2016" s="68"/>
      <c r="BI2016" s="69">
        <v>0</v>
      </c>
      <c r="BJ2016" s="70">
        <v>0</v>
      </c>
      <c r="BK2016" s="71">
        <v>0</v>
      </c>
      <c r="BL2016" s="71">
        <v>0</v>
      </c>
      <c r="BM2016" s="71">
        <v>0</v>
      </c>
      <c r="BN2016" s="72">
        <v>0</v>
      </c>
      <c r="BO2016" s="151" t="e">
        <f t="shared" si="133"/>
        <v>#DIV/0!</v>
      </c>
      <c r="BP2016" s="151" t="e">
        <f t="shared" si="134"/>
        <v>#DIV/0!</v>
      </c>
      <c r="BQ2016" s="71">
        <v>0</v>
      </c>
      <c r="BR2016" s="71">
        <v>0</v>
      </c>
      <c r="BS2016" s="71">
        <v>0</v>
      </c>
      <c r="BT2016" s="72">
        <v>0</v>
      </c>
      <c r="BU2016" s="151" t="e">
        <f t="shared" si="131"/>
        <v>#DIV/0!</v>
      </c>
      <c r="BV2016" s="151" t="e">
        <f t="shared" si="132"/>
        <v>#DIV/0!</v>
      </c>
    </row>
    <row r="2017" ht="30" customHeight="1" spans="1:74">
      <c r="A2017" s="55">
        <v>0</v>
      </c>
      <c r="B2017" s="56">
        <v>0</v>
      </c>
      <c r="C2017" s="57">
        <v>0</v>
      </c>
      <c r="D2017" s="52"/>
      <c r="E2017" s="92"/>
      <c r="F2017" s="59" t="e">
        <f>VLOOKUP(E2017,[1]库存!$B$1:$C$65536,2,FALSE)</f>
        <v>#N/A</v>
      </c>
      <c r="G2017" s="59" t="e">
        <v>#N/A</v>
      </c>
      <c r="H2017" s="152"/>
      <c r="I2017" s="52"/>
      <c r="J2017" s="87"/>
      <c r="K2017" s="61"/>
      <c r="L2017" s="62">
        <v>0</v>
      </c>
      <c r="M2017" s="63">
        <v>0</v>
      </c>
      <c r="N2017" s="64">
        <v>0</v>
      </c>
      <c r="O2017" s="62">
        <v>0</v>
      </c>
      <c r="P2017" s="65">
        <f t="shared" si="135"/>
        <v>0</v>
      </c>
      <c r="Q2017" s="66">
        <v>1173</v>
      </c>
      <c r="R2017" s="66"/>
      <c r="S2017" s="66">
        <v>1307</v>
      </c>
      <c r="T2017" s="66"/>
      <c r="U2017" s="66">
        <v>1324</v>
      </c>
      <c r="V2017" s="66"/>
      <c r="W2017" s="66"/>
      <c r="X2017" s="66"/>
      <c r="Y2017" s="66"/>
      <c r="Z2017" s="66"/>
      <c r="AA2017" s="66">
        <v>1301</v>
      </c>
      <c r="AB2017" s="66"/>
      <c r="AC2017" s="66">
        <v>1305</v>
      </c>
      <c r="AD2017" s="66"/>
      <c r="AE2017" s="66"/>
      <c r="AF2017" s="66"/>
      <c r="AG2017" s="66"/>
      <c r="AH2017" s="66"/>
      <c r="AI2017" s="66"/>
      <c r="AJ2017" s="66"/>
      <c r="AK2017" s="66"/>
      <c r="AL2017" s="66"/>
      <c r="AM2017" s="66"/>
      <c r="AN2017" s="66"/>
      <c r="AO2017" s="66"/>
      <c r="AP2017" s="66"/>
      <c r="AQ2017" s="66"/>
      <c r="AR2017" s="66"/>
      <c r="AS2017" s="66"/>
      <c r="AT2017" s="66"/>
      <c r="AU2017" s="66"/>
      <c r="AV2017" s="66"/>
      <c r="AW2017" s="66"/>
      <c r="AX2017" s="66"/>
      <c r="AY2017" s="66"/>
      <c r="AZ2017" s="66"/>
      <c r="BA2017" s="66"/>
      <c r="BB2017" s="66"/>
      <c r="BC2017" s="66"/>
      <c r="BD2017" s="66"/>
      <c r="BE2017" s="67"/>
      <c r="BF2017" s="67"/>
      <c r="BG2017" s="68"/>
      <c r="BI2017" s="69">
        <v>0</v>
      </c>
      <c r="BJ2017" s="70">
        <v>0</v>
      </c>
      <c r="BK2017" s="71">
        <v>0</v>
      </c>
      <c r="BL2017" s="71">
        <v>0</v>
      </c>
      <c r="BM2017" s="71">
        <v>0</v>
      </c>
      <c r="BN2017" s="72">
        <v>0</v>
      </c>
      <c r="BO2017" s="151" t="e">
        <f t="shared" si="133"/>
        <v>#DIV/0!</v>
      </c>
      <c r="BP2017" s="151" t="e">
        <f t="shared" si="134"/>
        <v>#DIV/0!</v>
      </c>
      <c r="BQ2017" s="71">
        <v>0</v>
      </c>
      <c r="BR2017" s="71">
        <v>0</v>
      </c>
      <c r="BS2017" s="71">
        <v>0</v>
      </c>
      <c r="BT2017" s="72">
        <v>0</v>
      </c>
      <c r="BU2017" s="151" t="e">
        <f t="shared" si="131"/>
        <v>#DIV/0!</v>
      </c>
      <c r="BV2017" s="151" t="e">
        <f t="shared" si="132"/>
        <v>#DIV/0!</v>
      </c>
    </row>
    <row r="2018" ht="30" customHeight="1" spans="1:74">
      <c r="A2018" s="55">
        <v>0</v>
      </c>
      <c r="B2018" s="56" t="s">
        <v>2247</v>
      </c>
      <c r="C2018" s="57" t="s">
        <v>2248</v>
      </c>
      <c r="D2018" s="52" t="s">
        <v>3184</v>
      </c>
      <c r="E2018" s="91"/>
      <c r="F2018" s="59" t="e">
        <f>VLOOKUP(E2018,[1]库存!$B$1:$C$65536,2,FALSE)</f>
        <v>#N/A</v>
      </c>
      <c r="G2018" s="59" t="e">
        <v>#N/A</v>
      </c>
      <c r="H2018" s="59" t="s">
        <v>575</v>
      </c>
      <c r="I2018" s="91" t="s">
        <v>576</v>
      </c>
      <c r="J2018" s="63"/>
      <c r="K2018" s="61"/>
      <c r="L2018" s="62">
        <v>2</v>
      </c>
      <c r="M2018" s="63">
        <v>1100</v>
      </c>
      <c r="N2018" s="64">
        <v>10</v>
      </c>
      <c r="O2018" s="62">
        <v>2</v>
      </c>
      <c r="P2018" s="65">
        <f t="shared" si="135"/>
        <v>0</v>
      </c>
      <c r="Q2018" s="66"/>
      <c r="R2018" s="66"/>
      <c r="S2018" s="66"/>
      <c r="T2018" s="66"/>
      <c r="U2018" s="66"/>
      <c r="V2018" s="66"/>
      <c r="W2018" s="66"/>
      <c r="X2018" s="66"/>
      <c r="Y2018" s="66"/>
      <c r="Z2018" s="66"/>
      <c r="AA2018" s="66"/>
      <c r="AB2018" s="66"/>
      <c r="AC2018" s="66"/>
      <c r="AD2018" s="66"/>
      <c r="AE2018" s="66"/>
      <c r="AF2018" s="66"/>
      <c r="AG2018" s="66"/>
      <c r="AH2018" s="66"/>
      <c r="AI2018" s="66"/>
      <c r="AJ2018" s="66"/>
      <c r="AK2018" s="66"/>
      <c r="AL2018" s="66"/>
      <c r="AM2018" s="66"/>
      <c r="AN2018" s="66"/>
      <c r="AO2018" s="66"/>
      <c r="AP2018" s="66"/>
      <c r="AQ2018" s="66"/>
      <c r="AR2018" s="66"/>
      <c r="AS2018" s="66"/>
      <c r="AT2018" s="66"/>
      <c r="AU2018" s="66"/>
      <c r="AV2018" s="66"/>
      <c r="AW2018" s="66"/>
      <c r="AX2018" s="66"/>
      <c r="AY2018" s="66"/>
      <c r="AZ2018" s="66"/>
      <c r="BA2018" s="66"/>
      <c r="BB2018" s="66"/>
      <c r="BC2018" s="66"/>
      <c r="BD2018" s="66"/>
      <c r="BE2018" s="67"/>
      <c r="BF2018" s="67"/>
      <c r="BG2018" s="68"/>
      <c r="BI2018" s="69">
        <v>0</v>
      </c>
      <c r="BJ2018" s="70">
        <v>0</v>
      </c>
      <c r="BK2018" s="71">
        <v>0</v>
      </c>
      <c r="BL2018" s="71">
        <v>0</v>
      </c>
      <c r="BM2018" s="71">
        <v>0</v>
      </c>
      <c r="BN2018" s="72">
        <v>0</v>
      </c>
      <c r="BO2018" s="151" t="e">
        <f t="shared" si="133"/>
        <v>#DIV/0!</v>
      </c>
      <c r="BP2018" s="151" t="e">
        <f t="shared" si="134"/>
        <v>#DIV/0!</v>
      </c>
      <c r="BQ2018" s="71">
        <v>0</v>
      </c>
      <c r="BR2018" s="71">
        <v>0</v>
      </c>
      <c r="BS2018" s="71">
        <v>0</v>
      </c>
      <c r="BT2018" s="72">
        <v>0</v>
      </c>
      <c r="BU2018" s="151" t="e">
        <f t="shared" si="131"/>
        <v>#DIV/0!</v>
      </c>
      <c r="BV2018" s="151" t="e">
        <f t="shared" si="132"/>
        <v>#DIV/0!</v>
      </c>
    </row>
    <row r="2019" ht="30" customHeight="1" spans="1:74">
      <c r="A2019" s="55">
        <v>0</v>
      </c>
      <c r="B2019" s="56">
        <v>0</v>
      </c>
      <c r="C2019" s="57">
        <v>0</v>
      </c>
      <c r="D2019" s="52"/>
      <c r="E2019" s="92"/>
      <c r="F2019" s="59" t="e">
        <f>VLOOKUP(E2019,[1]库存!$B$1:$C$65536,2,FALSE)</f>
        <v>#N/A</v>
      </c>
      <c r="G2019" s="59" t="e">
        <v>#N/A</v>
      </c>
      <c r="H2019" s="152"/>
      <c r="I2019" s="92"/>
      <c r="J2019" s="87"/>
      <c r="K2019" s="61"/>
      <c r="L2019" s="62">
        <v>0</v>
      </c>
      <c r="M2019" s="63">
        <v>0</v>
      </c>
      <c r="N2019" s="64">
        <v>0</v>
      </c>
      <c r="O2019" s="62">
        <v>0</v>
      </c>
      <c r="P2019" s="65">
        <f t="shared" si="135"/>
        <v>0</v>
      </c>
      <c r="Q2019" s="66"/>
      <c r="R2019" s="66"/>
      <c r="S2019" s="66"/>
      <c r="T2019" s="66"/>
      <c r="U2019" s="66"/>
      <c r="V2019" s="66"/>
      <c r="W2019" s="66"/>
      <c r="X2019" s="66"/>
      <c r="Y2019" s="66"/>
      <c r="Z2019" s="66"/>
      <c r="AA2019" s="66"/>
      <c r="AB2019" s="66"/>
      <c r="AC2019" s="66"/>
      <c r="AD2019" s="66"/>
      <c r="AE2019" s="66"/>
      <c r="AF2019" s="66"/>
      <c r="AG2019" s="66"/>
      <c r="AH2019" s="66"/>
      <c r="AI2019" s="66"/>
      <c r="AJ2019" s="66"/>
      <c r="AK2019" s="66"/>
      <c r="AL2019" s="66"/>
      <c r="AM2019" s="66"/>
      <c r="AN2019" s="66"/>
      <c r="AO2019" s="66"/>
      <c r="AP2019" s="66"/>
      <c r="AQ2019" s="66"/>
      <c r="AR2019" s="66"/>
      <c r="AS2019" s="66"/>
      <c r="AT2019" s="66"/>
      <c r="AU2019" s="66"/>
      <c r="AV2019" s="66"/>
      <c r="AW2019" s="66"/>
      <c r="AX2019" s="66"/>
      <c r="AY2019" s="66"/>
      <c r="AZ2019" s="66"/>
      <c r="BA2019" s="66"/>
      <c r="BB2019" s="66"/>
      <c r="BC2019" s="66"/>
      <c r="BD2019" s="66"/>
      <c r="BE2019" s="67"/>
      <c r="BF2019" s="67"/>
      <c r="BG2019" s="68"/>
      <c r="BI2019" s="69">
        <v>0</v>
      </c>
      <c r="BJ2019" s="70">
        <v>0</v>
      </c>
      <c r="BK2019" s="71">
        <v>0</v>
      </c>
      <c r="BL2019" s="71">
        <v>0</v>
      </c>
      <c r="BM2019" s="71">
        <v>0</v>
      </c>
      <c r="BN2019" s="72">
        <v>0</v>
      </c>
      <c r="BO2019" s="151" t="e">
        <f t="shared" si="133"/>
        <v>#DIV/0!</v>
      </c>
      <c r="BP2019" s="151" t="e">
        <f t="shared" si="134"/>
        <v>#DIV/0!</v>
      </c>
      <c r="BQ2019" s="71">
        <v>0</v>
      </c>
      <c r="BR2019" s="71">
        <v>0</v>
      </c>
      <c r="BS2019" s="71">
        <v>0</v>
      </c>
      <c r="BT2019" s="72">
        <v>0</v>
      </c>
      <c r="BU2019" s="151" t="e">
        <f t="shared" si="131"/>
        <v>#DIV/0!</v>
      </c>
      <c r="BV2019" s="151" t="e">
        <f t="shared" si="132"/>
        <v>#DIV/0!</v>
      </c>
    </row>
    <row r="2020" ht="30" customHeight="1" spans="1:74">
      <c r="A2020" s="55">
        <v>0</v>
      </c>
      <c r="B2020" s="56" t="s">
        <v>2247</v>
      </c>
      <c r="C2020" s="57" t="s">
        <v>2248</v>
      </c>
      <c r="D2020" s="52" t="s">
        <v>3185</v>
      </c>
      <c r="E2020" s="91"/>
      <c r="F2020" s="59" t="e">
        <f>VLOOKUP(E2020,[1]库存!$B$1:$C$65536,2,FALSE)</f>
        <v>#N/A</v>
      </c>
      <c r="G2020" s="59" t="e">
        <v>#N/A</v>
      </c>
      <c r="H2020" s="59" t="s">
        <v>579</v>
      </c>
      <c r="I2020" s="91" t="s">
        <v>3186</v>
      </c>
      <c r="J2020" s="63"/>
      <c r="K2020" s="61"/>
      <c r="L2020" s="62">
        <v>2</v>
      </c>
      <c r="M2020" s="63">
        <v>1100</v>
      </c>
      <c r="N2020" s="64">
        <v>10</v>
      </c>
      <c r="O2020" s="62">
        <v>2</v>
      </c>
      <c r="P2020" s="65">
        <f t="shared" si="135"/>
        <v>0</v>
      </c>
      <c r="Q2020" s="66"/>
      <c r="R2020" s="66"/>
      <c r="S2020" s="66"/>
      <c r="T2020" s="66"/>
      <c r="U2020" s="66"/>
      <c r="V2020" s="66"/>
      <c r="W2020" s="66"/>
      <c r="X2020" s="66"/>
      <c r="Y2020" s="66"/>
      <c r="Z2020" s="66"/>
      <c r="AA2020" s="66"/>
      <c r="AB2020" s="66"/>
      <c r="AC2020" s="66"/>
      <c r="AD2020" s="66"/>
      <c r="AE2020" s="66"/>
      <c r="AF2020" s="66"/>
      <c r="AG2020" s="66"/>
      <c r="AH2020" s="66"/>
      <c r="AI2020" s="66"/>
      <c r="AJ2020" s="66"/>
      <c r="AK2020" s="66"/>
      <c r="AL2020" s="66"/>
      <c r="AM2020" s="66"/>
      <c r="AN2020" s="66"/>
      <c r="AO2020" s="66"/>
      <c r="AP2020" s="66"/>
      <c r="AQ2020" s="66"/>
      <c r="AR2020" s="66"/>
      <c r="AS2020" s="66"/>
      <c r="AT2020" s="66"/>
      <c r="AU2020" s="66"/>
      <c r="AV2020" s="66"/>
      <c r="AW2020" s="66"/>
      <c r="AX2020" s="66"/>
      <c r="AY2020" s="66"/>
      <c r="AZ2020" s="66"/>
      <c r="BA2020" s="66"/>
      <c r="BB2020" s="66"/>
      <c r="BC2020" s="66"/>
      <c r="BD2020" s="66"/>
      <c r="BE2020" s="67"/>
      <c r="BF2020" s="67"/>
      <c r="BG2020" s="68"/>
      <c r="BI2020" s="69">
        <v>0</v>
      </c>
      <c r="BJ2020" s="70">
        <v>0</v>
      </c>
      <c r="BK2020" s="71">
        <v>0</v>
      </c>
      <c r="BL2020" s="71">
        <v>0</v>
      </c>
      <c r="BM2020" s="71">
        <v>0</v>
      </c>
      <c r="BN2020" s="72">
        <v>0</v>
      </c>
      <c r="BO2020" s="151" t="e">
        <f t="shared" si="133"/>
        <v>#DIV/0!</v>
      </c>
      <c r="BP2020" s="151" t="e">
        <f t="shared" si="134"/>
        <v>#DIV/0!</v>
      </c>
      <c r="BQ2020" s="71">
        <v>0</v>
      </c>
      <c r="BR2020" s="71">
        <v>0</v>
      </c>
      <c r="BS2020" s="71">
        <v>0</v>
      </c>
      <c r="BT2020" s="72">
        <v>0</v>
      </c>
      <c r="BU2020" s="151" t="e">
        <f t="shared" si="131"/>
        <v>#DIV/0!</v>
      </c>
      <c r="BV2020" s="151" t="e">
        <f t="shared" si="132"/>
        <v>#DIV/0!</v>
      </c>
    </row>
    <row r="2021" ht="30" customHeight="1" spans="1:74">
      <c r="A2021" s="55">
        <v>0</v>
      </c>
      <c r="B2021" s="56">
        <v>0</v>
      </c>
      <c r="C2021" s="57">
        <v>0</v>
      </c>
      <c r="D2021" s="52"/>
      <c r="E2021" s="92"/>
      <c r="F2021" s="59" t="e">
        <f>VLOOKUP(E2021,[1]库存!$B$1:$C$65536,2,FALSE)</f>
        <v>#N/A</v>
      </c>
      <c r="G2021" s="59" t="e">
        <v>#N/A</v>
      </c>
      <c r="H2021" s="152"/>
      <c r="I2021" s="92"/>
      <c r="J2021" s="87"/>
      <c r="K2021" s="61"/>
      <c r="L2021" s="62">
        <v>0</v>
      </c>
      <c r="M2021" s="63">
        <v>0</v>
      </c>
      <c r="N2021" s="64">
        <v>0</v>
      </c>
      <c r="O2021" s="62">
        <v>0</v>
      </c>
      <c r="P2021" s="65">
        <f t="shared" si="135"/>
        <v>0</v>
      </c>
      <c r="Q2021" s="66"/>
      <c r="R2021" s="66"/>
      <c r="S2021" s="66"/>
      <c r="T2021" s="66"/>
      <c r="U2021" s="66"/>
      <c r="V2021" s="66"/>
      <c r="W2021" s="66"/>
      <c r="X2021" s="66"/>
      <c r="Y2021" s="66"/>
      <c r="Z2021" s="66"/>
      <c r="AA2021" s="66"/>
      <c r="AB2021" s="66"/>
      <c r="AC2021" s="66"/>
      <c r="AD2021" s="66"/>
      <c r="AE2021" s="66"/>
      <c r="AF2021" s="66"/>
      <c r="AG2021" s="66"/>
      <c r="AH2021" s="66"/>
      <c r="AI2021" s="66"/>
      <c r="AJ2021" s="66"/>
      <c r="AK2021" s="66"/>
      <c r="AL2021" s="66"/>
      <c r="AM2021" s="66"/>
      <c r="AN2021" s="66"/>
      <c r="AO2021" s="66"/>
      <c r="AP2021" s="66"/>
      <c r="AQ2021" s="66"/>
      <c r="AR2021" s="66"/>
      <c r="AS2021" s="66"/>
      <c r="AT2021" s="66"/>
      <c r="AU2021" s="66"/>
      <c r="AV2021" s="66"/>
      <c r="AW2021" s="66"/>
      <c r="AX2021" s="66"/>
      <c r="AY2021" s="66"/>
      <c r="AZ2021" s="66"/>
      <c r="BA2021" s="66"/>
      <c r="BB2021" s="66"/>
      <c r="BC2021" s="66"/>
      <c r="BD2021" s="66"/>
      <c r="BE2021" s="67"/>
      <c r="BF2021" s="67"/>
      <c r="BG2021" s="68"/>
      <c r="BI2021" s="69">
        <v>0</v>
      </c>
      <c r="BJ2021" s="70">
        <v>0</v>
      </c>
      <c r="BK2021" s="71">
        <v>0</v>
      </c>
      <c r="BL2021" s="71">
        <v>0</v>
      </c>
      <c r="BM2021" s="71">
        <v>0</v>
      </c>
      <c r="BN2021" s="72">
        <v>0</v>
      </c>
      <c r="BO2021" s="151" t="e">
        <f t="shared" si="133"/>
        <v>#DIV/0!</v>
      </c>
      <c r="BP2021" s="151" t="e">
        <f t="shared" si="134"/>
        <v>#DIV/0!</v>
      </c>
      <c r="BQ2021" s="71">
        <v>0</v>
      </c>
      <c r="BR2021" s="71">
        <v>0</v>
      </c>
      <c r="BS2021" s="71">
        <v>0</v>
      </c>
      <c r="BT2021" s="72">
        <v>0</v>
      </c>
      <c r="BU2021" s="151" t="e">
        <f t="shared" si="131"/>
        <v>#DIV/0!</v>
      </c>
      <c r="BV2021" s="151" t="e">
        <f t="shared" si="132"/>
        <v>#DIV/0!</v>
      </c>
    </row>
    <row r="2022" ht="30" customHeight="1" spans="1:74">
      <c r="A2022" s="55">
        <v>0</v>
      </c>
      <c r="B2022" s="56">
        <v>0</v>
      </c>
      <c r="C2022" s="57">
        <v>0</v>
      </c>
      <c r="D2022" s="106"/>
      <c r="E2022" s="107"/>
      <c r="F2022" s="59" t="e">
        <f>VLOOKUP(E2022,[1]库存!$B$1:$C$65536,2,FALSE)</f>
        <v>#N/A</v>
      </c>
      <c r="G2022" s="59" t="e">
        <v>#N/A</v>
      </c>
      <c r="H2022" s="89"/>
      <c r="I2022" s="88"/>
      <c r="J2022" s="90"/>
      <c r="K2022" s="61"/>
      <c r="L2022" s="62">
        <v>0</v>
      </c>
      <c r="M2022" s="63">
        <v>0</v>
      </c>
      <c r="N2022" s="64">
        <v>0</v>
      </c>
      <c r="O2022" s="62">
        <v>0</v>
      </c>
      <c r="P2022" s="65">
        <f t="shared" si="135"/>
        <v>0</v>
      </c>
      <c r="Q2022" s="66"/>
      <c r="R2022" s="66"/>
      <c r="S2022" s="66"/>
      <c r="T2022" s="66"/>
      <c r="U2022" s="66"/>
      <c r="V2022" s="66"/>
      <c r="W2022" s="66"/>
      <c r="X2022" s="66"/>
      <c r="Y2022" s="66"/>
      <c r="Z2022" s="66"/>
      <c r="AA2022" s="66"/>
      <c r="AB2022" s="66"/>
      <c r="AC2022" s="66"/>
      <c r="AD2022" s="66"/>
      <c r="AE2022" s="66"/>
      <c r="AF2022" s="66"/>
      <c r="AG2022" s="66"/>
      <c r="AH2022" s="66"/>
      <c r="AI2022" s="66"/>
      <c r="AJ2022" s="66"/>
      <c r="AK2022" s="66"/>
      <c r="AL2022" s="66"/>
      <c r="AM2022" s="66"/>
      <c r="AN2022" s="66"/>
      <c r="AO2022" s="66"/>
      <c r="AP2022" s="66"/>
      <c r="AQ2022" s="66"/>
      <c r="AR2022" s="66"/>
      <c r="AS2022" s="66"/>
      <c r="AT2022" s="66"/>
      <c r="AU2022" s="66"/>
      <c r="AV2022" s="66"/>
      <c r="AW2022" s="66"/>
      <c r="AX2022" s="66"/>
      <c r="AY2022" s="66"/>
      <c r="AZ2022" s="66"/>
      <c r="BA2022" s="66"/>
      <c r="BB2022" s="66"/>
      <c r="BC2022" s="66"/>
      <c r="BD2022" s="66"/>
      <c r="BE2022" s="67"/>
      <c r="BF2022" s="67"/>
      <c r="BG2022" s="68"/>
      <c r="BI2022" s="69">
        <v>0</v>
      </c>
      <c r="BJ2022" s="70">
        <v>0</v>
      </c>
      <c r="BK2022" s="71">
        <v>0</v>
      </c>
      <c r="BL2022" s="71">
        <v>0</v>
      </c>
      <c r="BM2022" s="71">
        <v>0</v>
      </c>
      <c r="BN2022" s="72">
        <v>0</v>
      </c>
      <c r="BO2022" s="151" t="e">
        <f t="shared" si="133"/>
        <v>#DIV/0!</v>
      </c>
      <c r="BP2022" s="151" t="e">
        <f t="shared" si="134"/>
        <v>#DIV/0!</v>
      </c>
      <c r="BQ2022" s="71">
        <v>0</v>
      </c>
      <c r="BR2022" s="71">
        <v>0</v>
      </c>
      <c r="BS2022" s="71">
        <v>0</v>
      </c>
      <c r="BT2022" s="72">
        <v>0</v>
      </c>
      <c r="BU2022" s="151" t="e">
        <f t="shared" si="131"/>
        <v>#DIV/0!</v>
      </c>
      <c r="BV2022" s="151" t="e">
        <f t="shared" si="132"/>
        <v>#DIV/0!</v>
      </c>
    </row>
    <row r="2023" ht="30" customHeight="1" spans="1:74">
      <c r="A2023" s="55">
        <v>0</v>
      </c>
      <c r="B2023" s="56">
        <v>0</v>
      </c>
      <c r="C2023" s="57">
        <v>0</v>
      </c>
      <c r="D2023" s="106"/>
      <c r="E2023" s="107"/>
      <c r="F2023" s="59" t="e">
        <f>VLOOKUP(E2023,[1]库存!$B$1:$C$65536,2,FALSE)</f>
        <v>#N/A</v>
      </c>
      <c r="G2023" s="59" t="e">
        <v>#N/A</v>
      </c>
      <c r="H2023" s="89"/>
      <c r="I2023" s="88"/>
      <c r="J2023" s="90"/>
      <c r="K2023" s="61"/>
      <c r="L2023" s="62">
        <v>0</v>
      </c>
      <c r="M2023" s="63">
        <v>0</v>
      </c>
      <c r="N2023" s="64">
        <v>0</v>
      </c>
      <c r="O2023" s="62">
        <v>0</v>
      </c>
      <c r="P2023" s="65">
        <f t="shared" si="135"/>
        <v>0</v>
      </c>
      <c r="Q2023" s="66"/>
      <c r="R2023" s="66"/>
      <c r="S2023" s="66"/>
      <c r="T2023" s="66"/>
      <c r="U2023" s="66"/>
      <c r="V2023" s="66"/>
      <c r="W2023" s="66"/>
      <c r="X2023" s="66"/>
      <c r="Y2023" s="66"/>
      <c r="Z2023" s="66"/>
      <c r="AA2023" s="66"/>
      <c r="AB2023" s="66"/>
      <c r="AC2023" s="66"/>
      <c r="AD2023" s="66"/>
      <c r="AE2023" s="66"/>
      <c r="AF2023" s="66"/>
      <c r="AG2023" s="66"/>
      <c r="AH2023" s="66"/>
      <c r="AI2023" s="66"/>
      <c r="AJ2023" s="66"/>
      <c r="AK2023" s="66"/>
      <c r="AL2023" s="66"/>
      <c r="AM2023" s="66"/>
      <c r="AN2023" s="66"/>
      <c r="AO2023" s="66"/>
      <c r="AP2023" s="66"/>
      <c r="AQ2023" s="66"/>
      <c r="AR2023" s="66"/>
      <c r="AS2023" s="66"/>
      <c r="AT2023" s="66"/>
      <c r="AU2023" s="66"/>
      <c r="AV2023" s="66"/>
      <c r="AW2023" s="66"/>
      <c r="AX2023" s="66"/>
      <c r="AY2023" s="66"/>
      <c r="AZ2023" s="66"/>
      <c r="BA2023" s="66"/>
      <c r="BB2023" s="66"/>
      <c r="BC2023" s="66"/>
      <c r="BD2023" s="66"/>
      <c r="BE2023" s="67"/>
      <c r="BF2023" s="67"/>
      <c r="BG2023" s="68"/>
      <c r="BI2023" s="69">
        <v>0</v>
      </c>
      <c r="BJ2023" s="70">
        <v>0</v>
      </c>
      <c r="BK2023" s="71">
        <v>0</v>
      </c>
      <c r="BL2023" s="71">
        <v>0</v>
      </c>
      <c r="BM2023" s="71">
        <v>0</v>
      </c>
      <c r="BN2023" s="72">
        <v>0</v>
      </c>
      <c r="BO2023" s="151" t="e">
        <f t="shared" si="133"/>
        <v>#DIV/0!</v>
      </c>
      <c r="BP2023" s="151" t="e">
        <f t="shared" si="134"/>
        <v>#DIV/0!</v>
      </c>
      <c r="BQ2023" s="71">
        <v>0</v>
      </c>
      <c r="BR2023" s="71">
        <v>0</v>
      </c>
      <c r="BS2023" s="71">
        <v>0</v>
      </c>
      <c r="BT2023" s="72">
        <v>0</v>
      </c>
      <c r="BU2023" s="151" t="e">
        <f t="shared" si="131"/>
        <v>#DIV/0!</v>
      </c>
      <c r="BV2023" s="151" t="e">
        <f t="shared" si="132"/>
        <v>#DIV/0!</v>
      </c>
    </row>
    <row r="2024" ht="30" customHeight="1" spans="1:74">
      <c r="A2024" s="55" t="s">
        <v>41</v>
      </c>
      <c r="B2024" s="56" t="s">
        <v>42</v>
      </c>
      <c r="C2024" s="57" t="s">
        <v>43</v>
      </c>
      <c r="D2024" s="58" t="s">
        <v>3187</v>
      </c>
      <c r="E2024" s="59" t="s">
        <v>3188</v>
      </c>
      <c r="F2024" s="59" t="str">
        <f>VLOOKUP(E2024,[1]库存!$B$1:$C$65536,2,FALSE)</f>
        <v>JAC BII SAB LH（埃）</v>
      </c>
      <c r="G2024" s="59" t="s">
        <v>3189</v>
      </c>
      <c r="H2024" s="52" t="s">
        <v>3190</v>
      </c>
      <c r="I2024" s="52" t="s">
        <v>3191</v>
      </c>
      <c r="J2024" s="80" t="s">
        <v>65</v>
      </c>
      <c r="K2024" s="61" t="s">
        <v>3192</v>
      </c>
      <c r="L2024" s="62">
        <v>2</v>
      </c>
      <c r="M2024" s="63">
        <v>1370</v>
      </c>
      <c r="N2024" s="64">
        <v>7</v>
      </c>
      <c r="O2024" s="62">
        <v>2</v>
      </c>
      <c r="P2024" s="65">
        <f t="shared" si="135"/>
        <v>0</v>
      </c>
      <c r="Q2024" s="66"/>
      <c r="R2024" s="66"/>
      <c r="S2024" s="66"/>
      <c r="T2024" s="66"/>
      <c r="U2024" s="66"/>
      <c r="V2024" s="66"/>
      <c r="W2024" s="66"/>
      <c r="X2024" s="66"/>
      <c r="Y2024" s="66"/>
      <c r="Z2024" s="66"/>
      <c r="AA2024" s="66"/>
      <c r="AB2024" s="66"/>
      <c r="AC2024" s="66"/>
      <c r="AD2024" s="66"/>
      <c r="AE2024" s="66"/>
      <c r="AF2024" s="66"/>
      <c r="AG2024" s="66"/>
      <c r="AH2024" s="66"/>
      <c r="AI2024" s="66"/>
      <c r="AJ2024" s="66"/>
      <c r="AK2024" s="66"/>
      <c r="AL2024" s="66"/>
      <c r="AM2024" s="66"/>
      <c r="AN2024" s="66"/>
      <c r="AO2024" s="66"/>
      <c r="AP2024" s="66"/>
      <c r="AQ2024" s="66"/>
      <c r="AR2024" s="66"/>
      <c r="AS2024" s="66"/>
      <c r="AT2024" s="66"/>
      <c r="AU2024" s="66"/>
      <c r="AV2024" s="66"/>
      <c r="AW2024" s="66"/>
      <c r="AX2024" s="66"/>
      <c r="AY2024" s="66"/>
      <c r="AZ2024" s="66"/>
      <c r="BA2024" s="66"/>
      <c r="BB2024" s="66"/>
      <c r="BC2024" s="66"/>
      <c r="BD2024" s="66"/>
      <c r="BE2024" s="67"/>
      <c r="BF2024" s="67"/>
      <c r="BG2024" s="68"/>
      <c r="BI2024" s="69">
        <v>0</v>
      </c>
      <c r="BJ2024" s="70">
        <v>0</v>
      </c>
      <c r="BK2024" s="71">
        <v>0</v>
      </c>
      <c r="BL2024" s="71">
        <v>0</v>
      </c>
      <c r="BM2024" s="71">
        <v>0</v>
      </c>
      <c r="BN2024" s="72">
        <v>0</v>
      </c>
      <c r="BO2024" s="73"/>
      <c r="BP2024" s="73"/>
      <c r="BQ2024" s="71">
        <v>0</v>
      </c>
      <c r="BR2024" s="71">
        <v>0</v>
      </c>
      <c r="BS2024" s="71">
        <v>0</v>
      </c>
      <c r="BT2024" s="72">
        <v>0</v>
      </c>
      <c r="BU2024" s="73"/>
      <c r="BV2024" s="73"/>
    </row>
    <row r="2025" ht="30" customHeight="1" spans="1:74">
      <c r="A2025" s="55">
        <v>0</v>
      </c>
      <c r="B2025" s="56">
        <v>0</v>
      </c>
      <c r="C2025" s="57">
        <v>0</v>
      </c>
      <c r="D2025" s="58"/>
      <c r="E2025" s="74"/>
      <c r="F2025" s="59" t="e">
        <f>VLOOKUP(E2025,[1]库存!$B$1:$C$65536,2,FALSE)</f>
        <v>#N/A</v>
      </c>
      <c r="G2025" s="59" t="e">
        <v>#N/A</v>
      </c>
      <c r="H2025" s="52"/>
      <c r="I2025" s="52"/>
      <c r="J2025" s="81"/>
      <c r="K2025" s="61" t="s">
        <v>3193</v>
      </c>
      <c r="L2025" s="62">
        <v>0</v>
      </c>
      <c r="M2025" s="63">
        <v>0</v>
      </c>
      <c r="N2025" s="64">
        <v>0</v>
      </c>
      <c r="O2025" s="62">
        <v>0</v>
      </c>
      <c r="P2025" s="65">
        <f t="shared" si="135"/>
        <v>0</v>
      </c>
      <c r="Q2025" s="66"/>
      <c r="R2025" s="66"/>
      <c r="S2025" s="66"/>
      <c r="T2025" s="66"/>
      <c r="U2025" s="66"/>
      <c r="V2025" s="66"/>
      <c r="W2025" s="66"/>
      <c r="X2025" s="66"/>
      <c r="Y2025" s="66"/>
      <c r="Z2025" s="66"/>
      <c r="AA2025" s="66"/>
      <c r="AB2025" s="66"/>
      <c r="AC2025" s="66"/>
      <c r="AD2025" s="66"/>
      <c r="AE2025" s="66"/>
      <c r="AF2025" s="66"/>
      <c r="AG2025" s="66"/>
      <c r="AH2025" s="66"/>
      <c r="AI2025" s="66"/>
      <c r="AJ2025" s="66"/>
      <c r="AK2025" s="66"/>
      <c r="AL2025" s="66"/>
      <c r="AM2025" s="66"/>
      <c r="AN2025" s="66"/>
      <c r="AO2025" s="66"/>
      <c r="AP2025" s="66"/>
      <c r="AQ2025" s="66"/>
      <c r="AR2025" s="66"/>
      <c r="AS2025" s="66"/>
      <c r="AT2025" s="66"/>
      <c r="AU2025" s="66"/>
      <c r="AV2025" s="66"/>
      <c r="AW2025" s="66"/>
      <c r="AX2025" s="66"/>
      <c r="AY2025" s="66"/>
      <c r="AZ2025" s="66"/>
      <c r="BA2025" s="66"/>
      <c r="BB2025" s="66"/>
      <c r="BC2025" s="66"/>
      <c r="BD2025" s="66"/>
      <c r="BE2025" s="67"/>
      <c r="BF2025" s="67"/>
      <c r="BG2025" s="68"/>
      <c r="BI2025" s="69">
        <v>0</v>
      </c>
      <c r="BJ2025" s="70">
        <v>0</v>
      </c>
      <c r="BK2025" s="71">
        <v>0</v>
      </c>
      <c r="BL2025" s="71">
        <v>0</v>
      </c>
      <c r="BM2025" s="71">
        <v>0</v>
      </c>
      <c r="BN2025" s="72">
        <v>0</v>
      </c>
      <c r="BO2025" s="73"/>
      <c r="BP2025" s="73"/>
      <c r="BQ2025" s="71">
        <v>0</v>
      </c>
      <c r="BR2025" s="71">
        <v>0</v>
      </c>
      <c r="BS2025" s="71">
        <v>0</v>
      </c>
      <c r="BT2025" s="72">
        <v>0</v>
      </c>
      <c r="BU2025" s="73"/>
      <c r="BV2025" s="73"/>
    </row>
    <row r="2026" ht="30" customHeight="1" spans="1:74">
      <c r="A2026" s="55" t="s">
        <v>41</v>
      </c>
      <c r="B2026" s="56" t="s">
        <v>42</v>
      </c>
      <c r="C2026" s="57" t="s">
        <v>43</v>
      </c>
      <c r="D2026" s="58" t="s">
        <v>3187</v>
      </c>
      <c r="E2026" s="59" t="s">
        <v>3194</v>
      </c>
      <c r="F2026" s="59" t="str">
        <f>VLOOKUP(E2026,[1]库存!$B$1:$C$65536,2,FALSE)</f>
        <v>JAC BII SAB RH（埃）</v>
      </c>
      <c r="G2026" s="59" t="s">
        <v>3195</v>
      </c>
      <c r="H2026" s="52" t="s">
        <v>3196</v>
      </c>
      <c r="I2026" s="52" t="s">
        <v>3191</v>
      </c>
      <c r="J2026" s="80" t="s">
        <v>65</v>
      </c>
      <c r="K2026" s="61" t="s">
        <v>3192</v>
      </c>
      <c r="L2026" s="62">
        <v>2</v>
      </c>
      <c r="M2026" s="63">
        <v>1370</v>
      </c>
      <c r="N2026" s="64">
        <v>7</v>
      </c>
      <c r="O2026" s="62">
        <v>2</v>
      </c>
      <c r="P2026" s="65">
        <f t="shared" si="135"/>
        <v>0</v>
      </c>
      <c r="Q2026" s="66"/>
      <c r="R2026" s="66"/>
      <c r="S2026" s="66"/>
      <c r="T2026" s="66"/>
      <c r="U2026" s="66"/>
      <c r="V2026" s="66"/>
      <c r="W2026" s="66"/>
      <c r="X2026" s="66"/>
      <c r="Y2026" s="66"/>
      <c r="Z2026" s="66"/>
      <c r="AA2026" s="66"/>
      <c r="AB2026" s="66"/>
      <c r="AC2026" s="66"/>
      <c r="AD2026" s="66"/>
      <c r="AE2026" s="66"/>
      <c r="AF2026" s="66"/>
      <c r="AG2026" s="66"/>
      <c r="AH2026" s="66"/>
      <c r="AI2026" s="66"/>
      <c r="AJ2026" s="66"/>
      <c r="AK2026" s="66"/>
      <c r="AL2026" s="66"/>
      <c r="AM2026" s="66"/>
      <c r="AN2026" s="66"/>
      <c r="AO2026" s="66"/>
      <c r="AP2026" s="66"/>
      <c r="AQ2026" s="66"/>
      <c r="AR2026" s="66"/>
      <c r="AS2026" s="66"/>
      <c r="AT2026" s="66"/>
      <c r="AU2026" s="66"/>
      <c r="AV2026" s="66"/>
      <c r="AW2026" s="66"/>
      <c r="AX2026" s="66"/>
      <c r="AY2026" s="66"/>
      <c r="AZ2026" s="66"/>
      <c r="BA2026" s="66"/>
      <c r="BB2026" s="66"/>
      <c r="BC2026" s="66"/>
      <c r="BD2026" s="66"/>
      <c r="BE2026" s="67"/>
      <c r="BF2026" s="67"/>
      <c r="BG2026" s="68"/>
      <c r="BI2026" s="69">
        <v>0</v>
      </c>
      <c r="BJ2026" s="70">
        <v>0</v>
      </c>
      <c r="BK2026" s="71">
        <v>0</v>
      </c>
      <c r="BL2026" s="71">
        <v>0</v>
      </c>
      <c r="BM2026" s="71">
        <v>0</v>
      </c>
      <c r="BN2026" s="72">
        <v>0</v>
      </c>
      <c r="BO2026" s="73"/>
      <c r="BP2026" s="73"/>
      <c r="BQ2026" s="71">
        <v>0</v>
      </c>
      <c r="BR2026" s="71">
        <v>0</v>
      </c>
      <c r="BS2026" s="71">
        <v>0</v>
      </c>
      <c r="BT2026" s="72">
        <v>0</v>
      </c>
      <c r="BU2026" s="73"/>
      <c r="BV2026" s="73"/>
    </row>
    <row r="2027" ht="30" customHeight="1" spans="1:74">
      <c r="A2027" s="55">
        <v>0</v>
      </c>
      <c r="B2027" s="56">
        <v>0</v>
      </c>
      <c r="C2027" s="57">
        <v>0</v>
      </c>
      <c r="D2027" s="58"/>
      <c r="E2027" s="74"/>
      <c r="F2027" s="59" t="e">
        <f>VLOOKUP(E2027,[1]库存!$B$1:$C$65536,2,FALSE)</f>
        <v>#N/A</v>
      </c>
      <c r="G2027" s="59" t="e">
        <v>#N/A</v>
      </c>
      <c r="H2027" s="52"/>
      <c r="I2027" s="52"/>
      <c r="J2027" s="81"/>
      <c r="K2027" s="61" t="s">
        <v>3193</v>
      </c>
      <c r="L2027" s="62">
        <v>0</v>
      </c>
      <c r="M2027" s="63">
        <v>0</v>
      </c>
      <c r="N2027" s="64">
        <v>0</v>
      </c>
      <c r="O2027" s="62">
        <v>0</v>
      </c>
      <c r="P2027" s="65">
        <f t="shared" si="135"/>
        <v>0</v>
      </c>
      <c r="Q2027" s="66"/>
      <c r="R2027" s="66"/>
      <c r="S2027" s="66"/>
      <c r="T2027" s="66"/>
      <c r="U2027" s="66"/>
      <c r="V2027" s="66"/>
      <c r="W2027" s="66"/>
      <c r="X2027" s="66"/>
      <c r="Y2027" s="66"/>
      <c r="Z2027" s="66"/>
      <c r="AA2027" s="66"/>
      <c r="AB2027" s="66"/>
      <c r="AC2027" s="66"/>
      <c r="AD2027" s="66"/>
      <c r="AE2027" s="66"/>
      <c r="AF2027" s="66"/>
      <c r="AG2027" s="66"/>
      <c r="AH2027" s="66"/>
      <c r="AI2027" s="66"/>
      <c r="AJ2027" s="66"/>
      <c r="AK2027" s="66"/>
      <c r="AL2027" s="66"/>
      <c r="AM2027" s="66"/>
      <c r="AN2027" s="66"/>
      <c r="AO2027" s="66"/>
      <c r="AP2027" s="66"/>
      <c r="AQ2027" s="66"/>
      <c r="AR2027" s="66"/>
      <c r="AS2027" s="66"/>
      <c r="AT2027" s="66"/>
      <c r="AU2027" s="66"/>
      <c r="AV2027" s="66"/>
      <c r="AW2027" s="66"/>
      <c r="AX2027" s="66"/>
      <c r="AY2027" s="66"/>
      <c r="AZ2027" s="66"/>
      <c r="BA2027" s="66"/>
      <c r="BB2027" s="66"/>
      <c r="BC2027" s="66"/>
      <c r="BD2027" s="66"/>
      <c r="BE2027" s="67"/>
      <c r="BF2027" s="67"/>
      <c r="BG2027" s="68"/>
      <c r="BI2027" s="69">
        <v>0</v>
      </c>
      <c r="BJ2027" s="70">
        <v>0</v>
      </c>
      <c r="BK2027" s="71">
        <v>0</v>
      </c>
      <c r="BL2027" s="71">
        <v>0</v>
      </c>
      <c r="BM2027" s="71">
        <v>0</v>
      </c>
      <c r="BN2027" s="72">
        <v>0</v>
      </c>
      <c r="BO2027" s="73"/>
      <c r="BP2027" s="73"/>
      <c r="BQ2027" s="71">
        <v>0</v>
      </c>
      <c r="BR2027" s="71">
        <v>0</v>
      </c>
      <c r="BS2027" s="71">
        <v>0</v>
      </c>
      <c r="BT2027" s="72">
        <v>0</v>
      </c>
      <c r="BU2027" s="73"/>
      <c r="BV2027" s="73"/>
    </row>
    <row r="2028" ht="30" customHeight="1" spans="1:74">
      <c r="A2028" s="55">
        <v>0</v>
      </c>
      <c r="B2028" s="56" t="s">
        <v>42</v>
      </c>
      <c r="C2028" s="57" t="s">
        <v>43</v>
      </c>
      <c r="D2028" s="58" t="s">
        <v>3187</v>
      </c>
      <c r="E2028" s="59" t="s">
        <v>3197</v>
      </c>
      <c r="F2028" s="59" t="e">
        <f>VLOOKUP(E2028,[1]库存!$B$1:$C$65536,2,FALSE)</f>
        <v>#N/A</v>
      </c>
      <c r="G2028" s="59" t="e">
        <v>#N/A</v>
      </c>
      <c r="H2028" s="52" t="s">
        <v>3198</v>
      </c>
      <c r="I2028" s="52" t="s">
        <v>3199</v>
      </c>
      <c r="J2028" s="63"/>
      <c r="K2028" s="61" t="s">
        <v>3192</v>
      </c>
      <c r="L2028" s="62">
        <v>2</v>
      </c>
      <c r="M2028" s="63">
        <v>0</v>
      </c>
      <c r="N2028" s="64">
        <v>0</v>
      </c>
      <c r="O2028" s="62">
        <v>2</v>
      </c>
      <c r="P2028" s="65">
        <f t="shared" si="135"/>
        <v>0</v>
      </c>
      <c r="Q2028" s="66"/>
      <c r="R2028" s="66"/>
      <c r="S2028" s="66"/>
      <c r="T2028" s="66"/>
      <c r="U2028" s="66"/>
      <c r="V2028" s="66"/>
      <c r="W2028" s="66"/>
      <c r="X2028" s="66"/>
      <c r="Y2028" s="66"/>
      <c r="Z2028" s="66"/>
      <c r="AA2028" s="66"/>
      <c r="AB2028" s="66"/>
      <c r="AC2028" s="66"/>
      <c r="AD2028" s="66"/>
      <c r="AE2028" s="66"/>
      <c r="AF2028" s="66"/>
      <c r="AG2028" s="66"/>
      <c r="AH2028" s="66"/>
      <c r="AI2028" s="66"/>
      <c r="AJ2028" s="66"/>
      <c r="AK2028" s="66"/>
      <c r="AL2028" s="66"/>
      <c r="AM2028" s="66"/>
      <c r="AN2028" s="66"/>
      <c r="AO2028" s="66"/>
      <c r="AP2028" s="66"/>
      <c r="AQ2028" s="66"/>
      <c r="AR2028" s="66"/>
      <c r="AS2028" s="66"/>
      <c r="AT2028" s="66"/>
      <c r="AU2028" s="66"/>
      <c r="AV2028" s="66"/>
      <c r="AW2028" s="66"/>
      <c r="AX2028" s="66"/>
      <c r="AY2028" s="66"/>
      <c r="AZ2028" s="66"/>
      <c r="BA2028" s="66"/>
      <c r="BB2028" s="66"/>
      <c r="BC2028" s="66"/>
      <c r="BD2028" s="66"/>
      <c r="BE2028" s="67"/>
      <c r="BF2028" s="67"/>
      <c r="BG2028" s="68"/>
      <c r="BI2028" s="69">
        <v>0</v>
      </c>
      <c r="BJ2028" s="70">
        <v>0</v>
      </c>
      <c r="BK2028" s="71">
        <v>0</v>
      </c>
      <c r="BL2028" s="71">
        <v>0</v>
      </c>
      <c r="BM2028" s="71">
        <v>0</v>
      </c>
      <c r="BN2028" s="72">
        <v>0</v>
      </c>
      <c r="BO2028" s="73"/>
      <c r="BP2028" s="73"/>
      <c r="BQ2028" s="71">
        <v>0</v>
      </c>
      <c r="BR2028" s="71">
        <v>0</v>
      </c>
      <c r="BS2028" s="71">
        <v>0</v>
      </c>
      <c r="BT2028" s="72">
        <v>0</v>
      </c>
      <c r="BU2028" s="73"/>
      <c r="BV2028" s="73"/>
    </row>
    <row r="2029" ht="30" customHeight="1" spans="1:74">
      <c r="A2029" s="55">
        <v>0</v>
      </c>
      <c r="B2029" s="56">
        <v>0</v>
      </c>
      <c r="C2029" s="57">
        <v>0</v>
      </c>
      <c r="D2029" s="58"/>
      <c r="E2029" s="74"/>
      <c r="F2029" s="59" t="e">
        <f>VLOOKUP(E2029,[1]库存!$B$1:$C$65536,2,FALSE)</f>
        <v>#N/A</v>
      </c>
      <c r="G2029" s="59" t="e">
        <v>#N/A</v>
      </c>
      <c r="H2029" s="52"/>
      <c r="I2029" s="52"/>
      <c r="J2029" s="63"/>
      <c r="K2029" s="61" t="s">
        <v>3193</v>
      </c>
      <c r="L2029" s="62">
        <v>0</v>
      </c>
      <c r="M2029" s="63">
        <v>0</v>
      </c>
      <c r="N2029" s="64">
        <v>0</v>
      </c>
      <c r="O2029" s="62">
        <v>0</v>
      </c>
      <c r="P2029" s="65">
        <f t="shared" si="135"/>
        <v>0</v>
      </c>
      <c r="Q2029" s="66"/>
      <c r="R2029" s="66"/>
      <c r="S2029" s="66"/>
      <c r="T2029" s="66"/>
      <c r="U2029" s="66"/>
      <c r="V2029" s="66"/>
      <c r="W2029" s="66"/>
      <c r="X2029" s="66"/>
      <c r="Y2029" s="66"/>
      <c r="Z2029" s="66"/>
      <c r="AA2029" s="66"/>
      <c r="AB2029" s="66"/>
      <c r="AC2029" s="66"/>
      <c r="AD2029" s="66"/>
      <c r="AE2029" s="66"/>
      <c r="AF2029" s="66"/>
      <c r="AG2029" s="66"/>
      <c r="AH2029" s="66"/>
      <c r="AI2029" s="66"/>
      <c r="AJ2029" s="66"/>
      <c r="AK2029" s="66"/>
      <c r="AL2029" s="66"/>
      <c r="AM2029" s="66"/>
      <c r="AN2029" s="66"/>
      <c r="AO2029" s="66"/>
      <c r="AP2029" s="66"/>
      <c r="AQ2029" s="66"/>
      <c r="AR2029" s="66"/>
      <c r="AS2029" s="66"/>
      <c r="AT2029" s="66"/>
      <c r="AU2029" s="66"/>
      <c r="AV2029" s="66"/>
      <c r="AW2029" s="66"/>
      <c r="AX2029" s="66"/>
      <c r="AY2029" s="66"/>
      <c r="AZ2029" s="66"/>
      <c r="BA2029" s="66"/>
      <c r="BB2029" s="66"/>
      <c r="BC2029" s="66"/>
      <c r="BD2029" s="66"/>
      <c r="BE2029" s="67"/>
      <c r="BF2029" s="67"/>
      <c r="BG2029" s="68"/>
      <c r="BI2029" s="69">
        <v>0</v>
      </c>
      <c r="BJ2029" s="70">
        <v>0</v>
      </c>
      <c r="BK2029" s="71">
        <v>0</v>
      </c>
      <c r="BL2029" s="71">
        <v>0</v>
      </c>
      <c r="BM2029" s="71">
        <v>0</v>
      </c>
      <c r="BN2029" s="72">
        <v>0</v>
      </c>
      <c r="BO2029" s="73"/>
      <c r="BP2029" s="73"/>
      <c r="BQ2029" s="71">
        <v>0</v>
      </c>
      <c r="BR2029" s="71">
        <v>0</v>
      </c>
      <c r="BS2029" s="71">
        <v>0</v>
      </c>
      <c r="BT2029" s="72">
        <v>0</v>
      </c>
      <c r="BU2029" s="73"/>
      <c r="BV2029" s="73"/>
    </row>
    <row r="2030" ht="30" customHeight="1" spans="1:74">
      <c r="A2030" s="55">
        <v>0</v>
      </c>
      <c r="B2030" s="56" t="s">
        <v>42</v>
      </c>
      <c r="C2030" s="57" t="s">
        <v>43</v>
      </c>
      <c r="D2030" s="58" t="s">
        <v>3187</v>
      </c>
      <c r="E2030" s="59" t="s">
        <v>3200</v>
      </c>
      <c r="F2030" s="59" t="str">
        <f>VLOOKUP(E2030,[1]库存!$B$1:$C$65536,2,FALSE)</f>
        <v>BAIC C70G SAB-LH</v>
      </c>
      <c r="G2030" s="59" t="s">
        <v>3201</v>
      </c>
      <c r="H2030" s="52" t="s">
        <v>3202</v>
      </c>
      <c r="I2030" s="52" t="s">
        <v>3203</v>
      </c>
      <c r="J2030" s="63"/>
      <c r="K2030" s="61" t="s">
        <v>3192</v>
      </c>
      <c r="L2030" s="62">
        <v>2</v>
      </c>
      <c r="M2030" s="63">
        <v>1100</v>
      </c>
      <c r="N2030" s="64">
        <v>6</v>
      </c>
      <c r="O2030" s="62">
        <v>2</v>
      </c>
      <c r="P2030" s="65">
        <f t="shared" si="135"/>
        <v>0</v>
      </c>
      <c r="Q2030" s="66"/>
      <c r="R2030" s="66"/>
      <c r="S2030" s="66"/>
      <c r="T2030" s="66"/>
      <c r="U2030" s="66"/>
      <c r="V2030" s="66"/>
      <c r="W2030" s="66"/>
      <c r="X2030" s="66"/>
      <c r="Y2030" s="66"/>
      <c r="Z2030" s="66"/>
      <c r="AA2030" s="66"/>
      <c r="AB2030" s="66"/>
      <c r="AC2030" s="66"/>
      <c r="AD2030" s="66"/>
      <c r="AE2030" s="66"/>
      <c r="AF2030" s="66"/>
      <c r="AG2030" s="66"/>
      <c r="AH2030" s="66"/>
      <c r="AI2030" s="66"/>
      <c r="AJ2030" s="66"/>
      <c r="AK2030" s="66"/>
      <c r="AL2030" s="66"/>
      <c r="AM2030" s="66"/>
      <c r="AN2030" s="66"/>
      <c r="AO2030" s="66"/>
      <c r="AP2030" s="66"/>
      <c r="AQ2030" s="66"/>
      <c r="AR2030" s="66"/>
      <c r="AS2030" s="66"/>
      <c r="AT2030" s="66"/>
      <c r="AU2030" s="66"/>
      <c r="AV2030" s="66"/>
      <c r="AW2030" s="66"/>
      <c r="AX2030" s="66"/>
      <c r="AY2030" s="66"/>
      <c r="AZ2030" s="66"/>
      <c r="BA2030" s="66"/>
      <c r="BB2030" s="66"/>
      <c r="BC2030" s="66"/>
      <c r="BD2030" s="66"/>
      <c r="BE2030" s="67"/>
      <c r="BF2030" s="67"/>
      <c r="BG2030" s="68"/>
      <c r="BI2030" s="69">
        <v>0</v>
      </c>
      <c r="BJ2030" s="70">
        <v>0</v>
      </c>
      <c r="BK2030" s="71">
        <v>0</v>
      </c>
      <c r="BL2030" s="71">
        <v>0</v>
      </c>
      <c r="BM2030" s="71">
        <v>0</v>
      </c>
      <c r="BN2030" s="72">
        <v>0</v>
      </c>
      <c r="BO2030" s="73"/>
      <c r="BP2030" s="73"/>
      <c r="BQ2030" s="71">
        <v>0</v>
      </c>
      <c r="BR2030" s="71">
        <v>0</v>
      </c>
      <c r="BS2030" s="71">
        <v>0</v>
      </c>
      <c r="BT2030" s="72">
        <v>0</v>
      </c>
      <c r="BU2030" s="73"/>
      <c r="BV2030" s="73"/>
    </row>
    <row r="2031" ht="30" customHeight="1" spans="1:74">
      <c r="A2031" s="55">
        <v>0</v>
      </c>
      <c r="B2031" s="56">
        <v>0</v>
      </c>
      <c r="C2031" s="57">
        <v>0</v>
      </c>
      <c r="D2031" s="58"/>
      <c r="E2031" s="74"/>
      <c r="F2031" s="59" t="e">
        <f>VLOOKUP(E2031,[1]库存!$B$1:$C$65536,2,FALSE)</f>
        <v>#N/A</v>
      </c>
      <c r="G2031" s="59" t="e">
        <v>#N/A</v>
      </c>
      <c r="H2031" s="52"/>
      <c r="I2031" s="52"/>
      <c r="J2031" s="63"/>
      <c r="K2031" s="61" t="s">
        <v>3193</v>
      </c>
      <c r="L2031" s="62">
        <v>0</v>
      </c>
      <c r="M2031" s="63">
        <v>0</v>
      </c>
      <c r="N2031" s="64">
        <v>0</v>
      </c>
      <c r="O2031" s="62">
        <v>0</v>
      </c>
      <c r="P2031" s="65">
        <f t="shared" si="135"/>
        <v>0</v>
      </c>
      <c r="Q2031" s="66"/>
      <c r="R2031" s="66"/>
      <c r="S2031" s="66"/>
      <c r="T2031" s="66"/>
      <c r="U2031" s="66"/>
      <c r="V2031" s="66"/>
      <c r="W2031" s="66"/>
      <c r="X2031" s="66"/>
      <c r="Y2031" s="66"/>
      <c r="Z2031" s="66"/>
      <c r="AA2031" s="66"/>
      <c r="AB2031" s="66"/>
      <c r="AC2031" s="66"/>
      <c r="AD2031" s="66"/>
      <c r="AE2031" s="66"/>
      <c r="AF2031" s="66"/>
      <c r="AG2031" s="66"/>
      <c r="AH2031" s="66"/>
      <c r="AI2031" s="66"/>
      <c r="AJ2031" s="66"/>
      <c r="AK2031" s="66"/>
      <c r="AL2031" s="66"/>
      <c r="AM2031" s="66"/>
      <c r="AN2031" s="66"/>
      <c r="AO2031" s="66"/>
      <c r="AP2031" s="66"/>
      <c r="AQ2031" s="66"/>
      <c r="AR2031" s="66"/>
      <c r="AS2031" s="66"/>
      <c r="AT2031" s="66"/>
      <c r="AU2031" s="66"/>
      <c r="AV2031" s="66"/>
      <c r="AW2031" s="66"/>
      <c r="AX2031" s="66"/>
      <c r="AY2031" s="66"/>
      <c r="AZ2031" s="66"/>
      <c r="BA2031" s="66"/>
      <c r="BB2031" s="66"/>
      <c r="BC2031" s="66"/>
      <c r="BD2031" s="66"/>
      <c r="BE2031" s="67"/>
      <c r="BF2031" s="67"/>
      <c r="BG2031" s="68"/>
      <c r="BI2031" s="69">
        <v>0</v>
      </c>
      <c r="BJ2031" s="70">
        <v>0</v>
      </c>
      <c r="BK2031" s="71">
        <v>0</v>
      </c>
      <c r="BL2031" s="71">
        <v>0</v>
      </c>
      <c r="BM2031" s="71">
        <v>0</v>
      </c>
      <c r="BN2031" s="72">
        <v>0</v>
      </c>
      <c r="BO2031" s="73"/>
      <c r="BP2031" s="73"/>
      <c r="BQ2031" s="71">
        <v>0</v>
      </c>
      <c r="BR2031" s="71">
        <v>0</v>
      </c>
      <c r="BS2031" s="71">
        <v>0</v>
      </c>
      <c r="BT2031" s="72">
        <v>0</v>
      </c>
      <c r="BU2031" s="73"/>
      <c r="BV2031" s="73"/>
    </row>
    <row r="2032" ht="30" customHeight="1" spans="1:74">
      <c r="A2032" s="55">
        <v>0</v>
      </c>
      <c r="B2032" s="56" t="s">
        <v>42</v>
      </c>
      <c r="C2032" s="57" t="s">
        <v>43</v>
      </c>
      <c r="D2032" s="58" t="s">
        <v>3187</v>
      </c>
      <c r="E2032" s="59" t="s">
        <v>3204</v>
      </c>
      <c r="F2032" s="59" t="str">
        <f>VLOOKUP(E2032,[1]库存!$B$1:$C$65536,2,FALSE)</f>
        <v>BAIC C70G SAB-RH</v>
      </c>
      <c r="G2032" s="59" t="s">
        <v>3205</v>
      </c>
      <c r="H2032" s="52" t="s">
        <v>3206</v>
      </c>
      <c r="I2032" s="52" t="s">
        <v>3203</v>
      </c>
      <c r="J2032" s="63"/>
      <c r="K2032" s="61" t="s">
        <v>3192</v>
      </c>
      <c r="L2032" s="62">
        <v>2</v>
      </c>
      <c r="M2032" s="63">
        <v>1100</v>
      </c>
      <c r="N2032" s="64">
        <v>6</v>
      </c>
      <c r="O2032" s="62">
        <v>2</v>
      </c>
      <c r="P2032" s="65">
        <f t="shared" si="135"/>
        <v>0</v>
      </c>
      <c r="Q2032" s="66"/>
      <c r="R2032" s="66"/>
      <c r="S2032" s="66"/>
      <c r="T2032" s="66"/>
      <c r="U2032" s="66"/>
      <c r="V2032" s="66"/>
      <c r="W2032" s="66"/>
      <c r="X2032" s="66"/>
      <c r="Y2032" s="66"/>
      <c r="Z2032" s="66"/>
      <c r="AA2032" s="66"/>
      <c r="AB2032" s="66"/>
      <c r="AC2032" s="66"/>
      <c r="AD2032" s="66"/>
      <c r="AE2032" s="66"/>
      <c r="AF2032" s="66"/>
      <c r="AG2032" s="66"/>
      <c r="AH2032" s="66"/>
      <c r="AI2032" s="66"/>
      <c r="AJ2032" s="66"/>
      <c r="AK2032" s="66"/>
      <c r="AL2032" s="66"/>
      <c r="AM2032" s="66"/>
      <c r="AN2032" s="66"/>
      <c r="AO2032" s="66"/>
      <c r="AP2032" s="66"/>
      <c r="AQ2032" s="66"/>
      <c r="AR2032" s="66"/>
      <c r="AS2032" s="66"/>
      <c r="AT2032" s="66"/>
      <c r="AU2032" s="66"/>
      <c r="AV2032" s="66"/>
      <c r="AW2032" s="66"/>
      <c r="AX2032" s="66"/>
      <c r="AY2032" s="66"/>
      <c r="AZ2032" s="66"/>
      <c r="BA2032" s="66"/>
      <c r="BB2032" s="66"/>
      <c r="BC2032" s="66"/>
      <c r="BD2032" s="66"/>
      <c r="BE2032" s="67"/>
      <c r="BF2032" s="67"/>
      <c r="BG2032" s="68"/>
      <c r="BI2032" s="69">
        <v>0</v>
      </c>
      <c r="BJ2032" s="70">
        <v>0</v>
      </c>
      <c r="BK2032" s="71">
        <v>0</v>
      </c>
      <c r="BL2032" s="71">
        <v>0</v>
      </c>
      <c r="BM2032" s="71">
        <v>0</v>
      </c>
      <c r="BN2032" s="72">
        <v>0</v>
      </c>
      <c r="BO2032" s="73"/>
      <c r="BP2032" s="73"/>
      <c r="BQ2032" s="71">
        <v>0</v>
      </c>
      <c r="BR2032" s="71">
        <v>0</v>
      </c>
      <c r="BS2032" s="71">
        <v>0</v>
      </c>
      <c r="BT2032" s="72">
        <v>0</v>
      </c>
      <c r="BU2032" s="73"/>
      <c r="BV2032" s="73"/>
    </row>
    <row r="2033" ht="30" customHeight="1" spans="1:74">
      <c r="A2033" s="55">
        <v>0</v>
      </c>
      <c r="B2033" s="56">
        <v>0</v>
      </c>
      <c r="C2033" s="57">
        <v>0</v>
      </c>
      <c r="D2033" s="58"/>
      <c r="E2033" s="74"/>
      <c r="F2033" s="59" t="e">
        <f>VLOOKUP(E2033,[1]库存!$B$1:$C$65536,2,FALSE)</f>
        <v>#N/A</v>
      </c>
      <c r="G2033" s="59" t="e">
        <v>#N/A</v>
      </c>
      <c r="H2033" s="52"/>
      <c r="I2033" s="52"/>
      <c r="J2033" s="63"/>
      <c r="K2033" s="61" t="s">
        <v>3193</v>
      </c>
      <c r="L2033" s="62">
        <v>0</v>
      </c>
      <c r="M2033" s="63">
        <v>0</v>
      </c>
      <c r="N2033" s="64">
        <v>0</v>
      </c>
      <c r="O2033" s="62">
        <v>0</v>
      </c>
      <c r="P2033" s="65">
        <f t="shared" si="135"/>
        <v>0</v>
      </c>
      <c r="Q2033" s="66"/>
      <c r="R2033" s="66"/>
      <c r="S2033" s="66"/>
      <c r="T2033" s="66"/>
      <c r="U2033" s="66"/>
      <c r="V2033" s="66"/>
      <c r="W2033" s="66"/>
      <c r="X2033" s="66"/>
      <c r="Y2033" s="66"/>
      <c r="Z2033" s="66"/>
      <c r="AA2033" s="66"/>
      <c r="AB2033" s="66"/>
      <c r="AC2033" s="66"/>
      <c r="AD2033" s="66"/>
      <c r="AE2033" s="66"/>
      <c r="AF2033" s="66"/>
      <c r="AG2033" s="66"/>
      <c r="AH2033" s="66"/>
      <c r="AI2033" s="66"/>
      <c r="AJ2033" s="66"/>
      <c r="AK2033" s="66"/>
      <c r="AL2033" s="66"/>
      <c r="AM2033" s="66"/>
      <c r="AN2033" s="66"/>
      <c r="AO2033" s="66"/>
      <c r="AP2033" s="66"/>
      <c r="AQ2033" s="66"/>
      <c r="AR2033" s="66"/>
      <c r="AS2033" s="66"/>
      <c r="AT2033" s="66"/>
      <c r="AU2033" s="66"/>
      <c r="AV2033" s="66"/>
      <c r="AW2033" s="66"/>
      <c r="AX2033" s="66"/>
      <c r="AY2033" s="66"/>
      <c r="AZ2033" s="66"/>
      <c r="BA2033" s="66"/>
      <c r="BB2033" s="66"/>
      <c r="BC2033" s="66"/>
      <c r="BD2033" s="66"/>
      <c r="BE2033" s="67"/>
      <c r="BF2033" s="67"/>
      <c r="BG2033" s="68"/>
      <c r="BI2033" s="69">
        <v>0</v>
      </c>
      <c r="BJ2033" s="70">
        <v>0</v>
      </c>
      <c r="BK2033" s="71">
        <v>0</v>
      </c>
      <c r="BL2033" s="71">
        <v>0</v>
      </c>
      <c r="BM2033" s="71">
        <v>0</v>
      </c>
      <c r="BN2033" s="72">
        <v>0</v>
      </c>
      <c r="BO2033" s="73"/>
      <c r="BP2033" s="73"/>
      <c r="BQ2033" s="71">
        <v>0</v>
      </c>
      <c r="BR2033" s="71">
        <v>0</v>
      </c>
      <c r="BS2033" s="71">
        <v>0</v>
      </c>
      <c r="BT2033" s="72">
        <v>0</v>
      </c>
      <c r="BU2033" s="73"/>
      <c r="BV2033" s="73"/>
    </row>
    <row r="2034" ht="30" customHeight="1" spans="1:74">
      <c r="A2034" s="55">
        <v>0</v>
      </c>
      <c r="B2034" s="56" t="s">
        <v>42</v>
      </c>
      <c r="C2034" s="57">
        <v>0</v>
      </c>
      <c r="D2034" s="58" t="s">
        <v>3187</v>
      </c>
      <c r="E2034" s="59" t="s">
        <v>3207</v>
      </c>
      <c r="F2034" s="59" t="e">
        <f>VLOOKUP(E2034,[1]库存!$B$1:$C$65536,2,FALSE)</f>
        <v>#N/A</v>
      </c>
      <c r="G2034" s="59" t="e">
        <v>#N/A</v>
      </c>
      <c r="H2034" s="52" t="s">
        <v>3208</v>
      </c>
      <c r="I2034" s="52" t="s">
        <v>3209</v>
      </c>
      <c r="J2034" s="63"/>
      <c r="K2034" s="61" t="s">
        <v>3192</v>
      </c>
      <c r="L2034" s="62">
        <v>0</v>
      </c>
      <c r="M2034" s="63">
        <v>0</v>
      </c>
      <c r="N2034" s="64">
        <v>0</v>
      </c>
      <c r="O2034" s="62">
        <v>0</v>
      </c>
      <c r="P2034" s="65">
        <f t="shared" si="135"/>
        <v>0</v>
      </c>
      <c r="Q2034" s="66"/>
      <c r="R2034" s="66"/>
      <c r="S2034" s="66"/>
      <c r="T2034" s="66"/>
      <c r="U2034" s="66"/>
      <c r="V2034" s="66"/>
      <c r="W2034" s="66"/>
      <c r="X2034" s="66"/>
      <c r="Y2034" s="66"/>
      <c r="Z2034" s="66"/>
      <c r="AA2034" s="66"/>
      <c r="AB2034" s="66"/>
      <c r="AC2034" s="66"/>
      <c r="AD2034" s="66"/>
      <c r="AE2034" s="66"/>
      <c r="AF2034" s="66"/>
      <c r="AG2034" s="66"/>
      <c r="AH2034" s="66"/>
      <c r="AI2034" s="66"/>
      <c r="AJ2034" s="66"/>
      <c r="AK2034" s="66"/>
      <c r="AL2034" s="66"/>
      <c r="AM2034" s="66"/>
      <c r="AN2034" s="66"/>
      <c r="AO2034" s="66"/>
      <c r="AP2034" s="66"/>
      <c r="AQ2034" s="66"/>
      <c r="AR2034" s="66"/>
      <c r="AS2034" s="66"/>
      <c r="AT2034" s="66"/>
      <c r="AU2034" s="66"/>
      <c r="AV2034" s="66"/>
      <c r="AW2034" s="66"/>
      <c r="AX2034" s="66"/>
      <c r="AY2034" s="66"/>
      <c r="AZ2034" s="66"/>
      <c r="BA2034" s="66"/>
      <c r="BB2034" s="66"/>
      <c r="BC2034" s="66"/>
      <c r="BD2034" s="66"/>
      <c r="BE2034" s="67"/>
      <c r="BF2034" s="67"/>
      <c r="BG2034" s="68"/>
      <c r="BI2034" s="69">
        <v>0</v>
      </c>
      <c r="BJ2034" s="70">
        <v>0</v>
      </c>
      <c r="BK2034" s="71">
        <v>0</v>
      </c>
      <c r="BL2034" s="71">
        <v>0</v>
      </c>
      <c r="BM2034" s="71">
        <v>0</v>
      </c>
      <c r="BN2034" s="72">
        <v>0</v>
      </c>
      <c r="BO2034" s="73"/>
      <c r="BP2034" s="73"/>
      <c r="BQ2034" s="71">
        <v>0</v>
      </c>
      <c r="BR2034" s="71">
        <v>0</v>
      </c>
      <c r="BS2034" s="71">
        <v>0</v>
      </c>
      <c r="BT2034" s="72">
        <v>0</v>
      </c>
      <c r="BU2034" s="73"/>
      <c r="BV2034" s="73"/>
    </row>
    <row r="2035" ht="30" customHeight="1" spans="1:74">
      <c r="A2035" s="55">
        <v>0</v>
      </c>
      <c r="B2035" s="56">
        <v>0</v>
      </c>
      <c r="C2035" s="57">
        <v>0</v>
      </c>
      <c r="D2035" s="58"/>
      <c r="E2035" s="74"/>
      <c r="F2035" s="59" t="e">
        <f>VLOOKUP(E2035,[1]库存!$B$1:$C$65536,2,FALSE)</f>
        <v>#N/A</v>
      </c>
      <c r="G2035" s="59" t="e">
        <v>#N/A</v>
      </c>
      <c r="H2035" s="52"/>
      <c r="I2035" s="52"/>
      <c r="J2035" s="63"/>
      <c r="K2035" s="61" t="s">
        <v>3193</v>
      </c>
      <c r="L2035" s="62">
        <v>0</v>
      </c>
      <c r="M2035" s="63">
        <v>0</v>
      </c>
      <c r="N2035" s="64">
        <v>0</v>
      </c>
      <c r="O2035" s="62">
        <v>0</v>
      </c>
      <c r="P2035" s="65">
        <f t="shared" si="135"/>
        <v>0</v>
      </c>
      <c r="Q2035" s="66"/>
      <c r="R2035" s="66"/>
      <c r="S2035" s="66"/>
      <c r="T2035" s="66"/>
      <c r="U2035" s="66"/>
      <c r="V2035" s="66"/>
      <c r="W2035" s="66"/>
      <c r="X2035" s="66"/>
      <c r="Y2035" s="66"/>
      <c r="Z2035" s="66"/>
      <c r="AA2035" s="66"/>
      <c r="AB2035" s="66"/>
      <c r="AC2035" s="66"/>
      <c r="AD2035" s="66"/>
      <c r="AE2035" s="66"/>
      <c r="AF2035" s="66"/>
      <c r="AG2035" s="66"/>
      <c r="AH2035" s="66"/>
      <c r="AI2035" s="66"/>
      <c r="AJ2035" s="66"/>
      <c r="AK2035" s="66"/>
      <c r="AL2035" s="66"/>
      <c r="AM2035" s="66"/>
      <c r="AN2035" s="66"/>
      <c r="AO2035" s="66"/>
      <c r="AP2035" s="66"/>
      <c r="AQ2035" s="66"/>
      <c r="AR2035" s="66"/>
      <c r="AS2035" s="66"/>
      <c r="AT2035" s="66"/>
      <c r="AU2035" s="66"/>
      <c r="AV2035" s="66"/>
      <c r="AW2035" s="66"/>
      <c r="AX2035" s="66"/>
      <c r="AY2035" s="66"/>
      <c r="AZ2035" s="66"/>
      <c r="BA2035" s="66"/>
      <c r="BB2035" s="66"/>
      <c r="BC2035" s="66"/>
      <c r="BD2035" s="66"/>
      <c r="BE2035" s="67"/>
      <c r="BF2035" s="67"/>
      <c r="BG2035" s="68"/>
      <c r="BI2035" s="69">
        <v>0</v>
      </c>
      <c r="BJ2035" s="70">
        <v>0</v>
      </c>
      <c r="BK2035" s="71">
        <v>0</v>
      </c>
      <c r="BL2035" s="71">
        <v>0</v>
      </c>
      <c r="BM2035" s="71">
        <v>0</v>
      </c>
      <c r="BN2035" s="72">
        <v>0</v>
      </c>
      <c r="BO2035" s="73"/>
      <c r="BP2035" s="73"/>
      <c r="BQ2035" s="71">
        <v>0</v>
      </c>
      <c r="BR2035" s="71">
        <v>0</v>
      </c>
      <c r="BS2035" s="71">
        <v>0</v>
      </c>
      <c r="BT2035" s="72">
        <v>0</v>
      </c>
      <c r="BU2035" s="73"/>
      <c r="BV2035" s="73"/>
    </row>
    <row r="2036" ht="30" customHeight="1" spans="1:74">
      <c r="A2036" s="55">
        <v>0</v>
      </c>
      <c r="B2036" s="56" t="s">
        <v>42</v>
      </c>
      <c r="C2036" s="57">
        <v>0</v>
      </c>
      <c r="D2036" s="58" t="s">
        <v>3187</v>
      </c>
      <c r="E2036" s="59" t="s">
        <v>3210</v>
      </c>
      <c r="F2036" s="59" t="e">
        <f>VLOOKUP(E2036,[1]库存!$B$1:$C$65536,2,FALSE)</f>
        <v>#N/A</v>
      </c>
      <c r="G2036" s="59" t="e">
        <v>#N/A</v>
      </c>
      <c r="H2036" s="52" t="s">
        <v>3211</v>
      </c>
      <c r="I2036" s="52" t="s">
        <v>3209</v>
      </c>
      <c r="J2036" s="63"/>
      <c r="K2036" s="61" t="s">
        <v>3192</v>
      </c>
      <c r="L2036" s="62">
        <v>0</v>
      </c>
      <c r="M2036" s="63">
        <v>0</v>
      </c>
      <c r="N2036" s="64">
        <v>0</v>
      </c>
      <c r="O2036" s="62">
        <v>0</v>
      </c>
      <c r="P2036" s="65">
        <f t="shared" si="135"/>
        <v>0</v>
      </c>
      <c r="Q2036" s="66"/>
      <c r="R2036" s="66"/>
      <c r="S2036" s="66"/>
      <c r="T2036" s="66"/>
      <c r="U2036" s="66"/>
      <c r="V2036" s="66"/>
      <c r="W2036" s="66"/>
      <c r="X2036" s="66"/>
      <c r="Y2036" s="66"/>
      <c r="Z2036" s="66"/>
      <c r="AA2036" s="66"/>
      <c r="AB2036" s="66"/>
      <c r="AC2036" s="66"/>
      <c r="AD2036" s="66"/>
      <c r="AE2036" s="66"/>
      <c r="AF2036" s="66"/>
      <c r="AG2036" s="66"/>
      <c r="AH2036" s="66"/>
      <c r="AI2036" s="66"/>
      <c r="AJ2036" s="66"/>
      <c r="AK2036" s="66"/>
      <c r="AL2036" s="66"/>
      <c r="AM2036" s="66"/>
      <c r="AN2036" s="66"/>
      <c r="AO2036" s="66"/>
      <c r="AP2036" s="66"/>
      <c r="AQ2036" s="66"/>
      <c r="AR2036" s="66"/>
      <c r="AS2036" s="66"/>
      <c r="AT2036" s="66"/>
      <c r="AU2036" s="66"/>
      <c r="AV2036" s="66"/>
      <c r="AW2036" s="66"/>
      <c r="AX2036" s="66"/>
      <c r="AY2036" s="66"/>
      <c r="AZ2036" s="66"/>
      <c r="BA2036" s="66"/>
      <c r="BB2036" s="66"/>
      <c r="BC2036" s="66"/>
      <c r="BD2036" s="66"/>
      <c r="BE2036" s="67"/>
      <c r="BF2036" s="67"/>
      <c r="BG2036" s="68"/>
      <c r="BI2036" s="69">
        <v>0</v>
      </c>
      <c r="BJ2036" s="70">
        <v>0</v>
      </c>
      <c r="BK2036" s="71">
        <v>0</v>
      </c>
      <c r="BL2036" s="71">
        <v>0</v>
      </c>
      <c r="BM2036" s="71">
        <v>0</v>
      </c>
      <c r="BN2036" s="72">
        <v>0</v>
      </c>
      <c r="BO2036" s="73"/>
      <c r="BP2036" s="73"/>
      <c r="BQ2036" s="71">
        <v>0</v>
      </c>
      <c r="BR2036" s="71">
        <v>0</v>
      </c>
      <c r="BS2036" s="71">
        <v>0</v>
      </c>
      <c r="BT2036" s="72">
        <v>0</v>
      </c>
      <c r="BU2036" s="73"/>
      <c r="BV2036" s="73"/>
    </row>
    <row r="2037" ht="30" customHeight="1" spans="1:74">
      <c r="A2037" s="55">
        <v>0</v>
      </c>
      <c r="B2037" s="56">
        <v>0</v>
      </c>
      <c r="C2037" s="57">
        <v>0</v>
      </c>
      <c r="D2037" s="58"/>
      <c r="E2037" s="74"/>
      <c r="F2037" s="59" t="e">
        <f>VLOOKUP(E2037,[1]库存!$B$1:$C$65536,2,FALSE)</f>
        <v>#N/A</v>
      </c>
      <c r="G2037" s="59" t="e">
        <v>#N/A</v>
      </c>
      <c r="H2037" s="52"/>
      <c r="I2037" s="52"/>
      <c r="J2037" s="63"/>
      <c r="K2037" s="61" t="s">
        <v>3193</v>
      </c>
      <c r="L2037" s="62">
        <v>0</v>
      </c>
      <c r="M2037" s="63">
        <v>0</v>
      </c>
      <c r="N2037" s="64">
        <v>0</v>
      </c>
      <c r="O2037" s="62">
        <v>0</v>
      </c>
      <c r="P2037" s="65">
        <f t="shared" si="135"/>
        <v>0</v>
      </c>
      <c r="Q2037" s="66"/>
      <c r="R2037" s="66"/>
      <c r="S2037" s="66"/>
      <c r="T2037" s="66"/>
      <c r="U2037" s="66"/>
      <c r="V2037" s="66"/>
      <c r="W2037" s="66"/>
      <c r="X2037" s="66"/>
      <c r="Y2037" s="66"/>
      <c r="Z2037" s="66"/>
      <c r="AA2037" s="66"/>
      <c r="AB2037" s="66"/>
      <c r="AC2037" s="66"/>
      <c r="AD2037" s="66"/>
      <c r="AE2037" s="66"/>
      <c r="AF2037" s="66"/>
      <c r="AG2037" s="66"/>
      <c r="AH2037" s="66"/>
      <c r="AI2037" s="66"/>
      <c r="AJ2037" s="66"/>
      <c r="AK2037" s="66"/>
      <c r="AL2037" s="66"/>
      <c r="AM2037" s="66"/>
      <c r="AN2037" s="66"/>
      <c r="AO2037" s="66"/>
      <c r="AP2037" s="66"/>
      <c r="AQ2037" s="66"/>
      <c r="AR2037" s="66"/>
      <c r="AS2037" s="66"/>
      <c r="AT2037" s="66"/>
      <c r="AU2037" s="66"/>
      <c r="AV2037" s="66"/>
      <c r="AW2037" s="66"/>
      <c r="AX2037" s="66"/>
      <c r="AY2037" s="66"/>
      <c r="AZ2037" s="66"/>
      <c r="BA2037" s="66"/>
      <c r="BB2037" s="66"/>
      <c r="BC2037" s="66"/>
      <c r="BD2037" s="66"/>
      <c r="BE2037" s="67"/>
      <c r="BF2037" s="67"/>
      <c r="BG2037" s="68"/>
      <c r="BI2037" s="69">
        <v>0</v>
      </c>
      <c r="BJ2037" s="70">
        <v>0</v>
      </c>
      <c r="BK2037" s="71">
        <v>0</v>
      </c>
      <c r="BL2037" s="71">
        <v>0</v>
      </c>
      <c r="BM2037" s="71">
        <v>0</v>
      </c>
      <c r="BN2037" s="72">
        <v>0</v>
      </c>
      <c r="BO2037" s="73"/>
      <c r="BP2037" s="73"/>
      <c r="BQ2037" s="71">
        <v>0</v>
      </c>
      <c r="BR2037" s="71">
        <v>0</v>
      </c>
      <c r="BS2037" s="71">
        <v>0</v>
      </c>
      <c r="BT2037" s="72">
        <v>0</v>
      </c>
      <c r="BU2037" s="73"/>
      <c r="BV2037" s="73"/>
    </row>
    <row r="2038" ht="30" customHeight="1" spans="1:74">
      <c r="A2038" s="55">
        <v>0</v>
      </c>
      <c r="B2038" s="56" t="s">
        <v>42</v>
      </c>
      <c r="C2038" s="57" t="s">
        <v>43</v>
      </c>
      <c r="D2038" s="58" t="s">
        <v>3187</v>
      </c>
      <c r="E2038" s="59" t="s">
        <v>3212</v>
      </c>
      <c r="F2038" s="59" t="str">
        <f>VLOOKUP(E2038,[1]库存!$B$1:$C$65536,2,FALSE)</f>
        <v>JAC 5AT SAB-LH</v>
      </c>
      <c r="G2038" s="59" t="s">
        <v>3213</v>
      </c>
      <c r="H2038" s="52" t="s">
        <v>3214</v>
      </c>
      <c r="I2038" s="52" t="s">
        <v>3215</v>
      </c>
      <c r="J2038" s="63"/>
      <c r="K2038" s="61" t="s">
        <v>3192</v>
      </c>
      <c r="L2038" s="62">
        <v>2</v>
      </c>
      <c r="M2038" s="63">
        <v>1430</v>
      </c>
      <c r="N2038" s="64">
        <v>6</v>
      </c>
      <c r="O2038" s="62">
        <v>2</v>
      </c>
      <c r="P2038" s="65">
        <f t="shared" si="135"/>
        <v>0</v>
      </c>
      <c r="Q2038" s="66"/>
      <c r="R2038" s="66"/>
      <c r="S2038" s="66"/>
      <c r="T2038" s="66"/>
      <c r="U2038" s="66"/>
      <c r="V2038" s="66"/>
      <c r="W2038" s="66"/>
      <c r="X2038" s="66"/>
      <c r="Y2038" s="66"/>
      <c r="Z2038" s="66"/>
      <c r="AA2038" s="66"/>
      <c r="AB2038" s="66"/>
      <c r="AC2038" s="66"/>
      <c r="AD2038" s="66"/>
      <c r="AE2038" s="66"/>
      <c r="AF2038" s="66"/>
      <c r="AG2038" s="66"/>
      <c r="AH2038" s="66"/>
      <c r="AI2038" s="66"/>
      <c r="AJ2038" s="66"/>
      <c r="AK2038" s="66"/>
      <c r="AL2038" s="66"/>
      <c r="AM2038" s="66"/>
      <c r="AN2038" s="66"/>
      <c r="AO2038" s="66"/>
      <c r="AP2038" s="66"/>
      <c r="AQ2038" s="66"/>
      <c r="AR2038" s="66"/>
      <c r="AS2038" s="66"/>
      <c r="AT2038" s="66"/>
      <c r="AU2038" s="66"/>
      <c r="AV2038" s="66"/>
      <c r="AW2038" s="66"/>
      <c r="AX2038" s="66"/>
      <c r="AY2038" s="66"/>
      <c r="AZ2038" s="66"/>
      <c r="BA2038" s="66"/>
      <c r="BB2038" s="66"/>
      <c r="BC2038" s="66"/>
      <c r="BD2038" s="66"/>
      <c r="BE2038" s="67"/>
      <c r="BF2038" s="67"/>
      <c r="BG2038" s="68"/>
      <c r="BI2038" s="69">
        <v>0</v>
      </c>
      <c r="BJ2038" s="70">
        <v>0</v>
      </c>
      <c r="BK2038" s="71">
        <v>0</v>
      </c>
      <c r="BL2038" s="71">
        <v>0</v>
      </c>
      <c r="BM2038" s="71">
        <v>0</v>
      </c>
      <c r="BN2038" s="72">
        <v>0</v>
      </c>
      <c r="BO2038" s="73"/>
      <c r="BP2038" s="73"/>
      <c r="BQ2038" s="71">
        <v>0</v>
      </c>
      <c r="BR2038" s="71">
        <v>0</v>
      </c>
      <c r="BS2038" s="71">
        <v>0</v>
      </c>
      <c r="BT2038" s="72">
        <v>0</v>
      </c>
      <c r="BU2038" s="73"/>
      <c r="BV2038" s="73"/>
    </row>
    <row r="2039" ht="30" customHeight="1" spans="1:74">
      <c r="A2039" s="55">
        <v>0</v>
      </c>
      <c r="B2039" s="56">
        <v>0</v>
      </c>
      <c r="C2039" s="57">
        <v>0</v>
      </c>
      <c r="D2039" s="58"/>
      <c r="E2039" s="74"/>
      <c r="F2039" s="59" t="e">
        <f>VLOOKUP(E2039,[1]库存!$B$1:$C$65536,2,FALSE)</f>
        <v>#N/A</v>
      </c>
      <c r="G2039" s="59" t="e">
        <v>#N/A</v>
      </c>
      <c r="H2039" s="52"/>
      <c r="I2039" s="52"/>
      <c r="J2039" s="63"/>
      <c r="K2039" s="61" t="s">
        <v>3193</v>
      </c>
      <c r="L2039" s="62">
        <v>0</v>
      </c>
      <c r="M2039" s="63">
        <v>0</v>
      </c>
      <c r="N2039" s="64">
        <v>0</v>
      </c>
      <c r="O2039" s="62">
        <v>0</v>
      </c>
      <c r="P2039" s="65">
        <f t="shared" si="135"/>
        <v>0</v>
      </c>
      <c r="Q2039" s="66"/>
      <c r="R2039" s="66"/>
      <c r="S2039" s="66"/>
      <c r="T2039" s="66"/>
      <c r="U2039" s="66"/>
      <c r="V2039" s="66"/>
      <c r="W2039" s="66"/>
      <c r="X2039" s="66"/>
      <c r="Y2039" s="66"/>
      <c r="Z2039" s="66"/>
      <c r="AA2039" s="66"/>
      <c r="AB2039" s="66"/>
      <c r="AC2039" s="66"/>
      <c r="AD2039" s="66"/>
      <c r="AE2039" s="66"/>
      <c r="AF2039" s="66"/>
      <c r="AG2039" s="66"/>
      <c r="AH2039" s="66"/>
      <c r="AI2039" s="66"/>
      <c r="AJ2039" s="66"/>
      <c r="AK2039" s="66"/>
      <c r="AL2039" s="66"/>
      <c r="AM2039" s="66"/>
      <c r="AN2039" s="66"/>
      <c r="AO2039" s="66"/>
      <c r="AP2039" s="66"/>
      <c r="AQ2039" s="66"/>
      <c r="AR2039" s="66"/>
      <c r="AS2039" s="66"/>
      <c r="AT2039" s="66"/>
      <c r="AU2039" s="66"/>
      <c r="AV2039" s="66"/>
      <c r="AW2039" s="66"/>
      <c r="AX2039" s="66"/>
      <c r="AY2039" s="66"/>
      <c r="AZ2039" s="66"/>
      <c r="BA2039" s="66"/>
      <c r="BB2039" s="66"/>
      <c r="BC2039" s="66"/>
      <c r="BD2039" s="66"/>
      <c r="BE2039" s="67"/>
      <c r="BF2039" s="67"/>
      <c r="BG2039" s="68"/>
      <c r="BI2039" s="69">
        <v>0</v>
      </c>
      <c r="BJ2039" s="70">
        <v>0</v>
      </c>
      <c r="BK2039" s="71">
        <v>0</v>
      </c>
      <c r="BL2039" s="71">
        <v>0</v>
      </c>
      <c r="BM2039" s="71">
        <v>0</v>
      </c>
      <c r="BN2039" s="72">
        <v>0</v>
      </c>
      <c r="BO2039" s="73"/>
      <c r="BP2039" s="73"/>
      <c r="BQ2039" s="71">
        <v>0</v>
      </c>
      <c r="BR2039" s="71">
        <v>0</v>
      </c>
      <c r="BS2039" s="71">
        <v>0</v>
      </c>
      <c r="BT2039" s="72">
        <v>0</v>
      </c>
      <c r="BU2039" s="73"/>
      <c r="BV2039" s="73"/>
    </row>
    <row r="2040" ht="30" customHeight="1" spans="1:74">
      <c r="A2040" s="55">
        <v>0</v>
      </c>
      <c r="B2040" s="56" t="s">
        <v>42</v>
      </c>
      <c r="C2040" s="57" t="s">
        <v>43</v>
      </c>
      <c r="D2040" s="58" t="s">
        <v>3187</v>
      </c>
      <c r="E2040" s="59" t="s">
        <v>3216</v>
      </c>
      <c r="F2040" s="59" t="str">
        <f>VLOOKUP(E2040,[1]库存!$B$1:$C$65536,2,FALSE)</f>
        <v>JAC 5AT SAB-RH</v>
      </c>
      <c r="G2040" s="59" t="s">
        <v>3217</v>
      </c>
      <c r="H2040" s="52" t="s">
        <v>3218</v>
      </c>
      <c r="I2040" s="52" t="s">
        <v>3215</v>
      </c>
      <c r="J2040" s="63"/>
      <c r="K2040" s="61" t="s">
        <v>3192</v>
      </c>
      <c r="L2040" s="62">
        <v>2</v>
      </c>
      <c r="M2040" s="63">
        <v>1430</v>
      </c>
      <c r="N2040" s="64">
        <v>6</v>
      </c>
      <c r="O2040" s="62">
        <v>2</v>
      </c>
      <c r="P2040" s="65">
        <f t="shared" si="135"/>
        <v>0</v>
      </c>
      <c r="Q2040" s="66"/>
      <c r="R2040" s="66"/>
      <c r="S2040" s="66"/>
      <c r="T2040" s="66"/>
      <c r="U2040" s="66"/>
      <c r="V2040" s="66"/>
      <c r="W2040" s="66"/>
      <c r="X2040" s="66"/>
      <c r="Y2040" s="66"/>
      <c r="Z2040" s="66"/>
      <c r="AA2040" s="66"/>
      <c r="AB2040" s="66"/>
      <c r="AC2040" s="66"/>
      <c r="AD2040" s="66"/>
      <c r="AE2040" s="66"/>
      <c r="AF2040" s="66"/>
      <c r="AG2040" s="66"/>
      <c r="AH2040" s="66"/>
      <c r="AI2040" s="66"/>
      <c r="AJ2040" s="66"/>
      <c r="AK2040" s="66"/>
      <c r="AL2040" s="66"/>
      <c r="AM2040" s="66"/>
      <c r="AN2040" s="66"/>
      <c r="AO2040" s="66"/>
      <c r="AP2040" s="66"/>
      <c r="AQ2040" s="66"/>
      <c r="AR2040" s="66"/>
      <c r="AS2040" s="66"/>
      <c r="AT2040" s="66"/>
      <c r="AU2040" s="66"/>
      <c r="AV2040" s="66"/>
      <c r="AW2040" s="66"/>
      <c r="AX2040" s="66"/>
      <c r="AY2040" s="66"/>
      <c r="AZ2040" s="66"/>
      <c r="BA2040" s="66"/>
      <c r="BB2040" s="66"/>
      <c r="BC2040" s="66"/>
      <c r="BD2040" s="66"/>
      <c r="BE2040" s="67"/>
      <c r="BF2040" s="67"/>
      <c r="BG2040" s="68"/>
      <c r="BI2040" s="69">
        <v>0</v>
      </c>
      <c r="BJ2040" s="70">
        <v>0</v>
      </c>
      <c r="BK2040" s="71">
        <v>0</v>
      </c>
      <c r="BL2040" s="71">
        <v>0</v>
      </c>
      <c r="BM2040" s="71">
        <v>0</v>
      </c>
      <c r="BN2040" s="72">
        <v>0</v>
      </c>
      <c r="BO2040" s="73"/>
      <c r="BP2040" s="73"/>
      <c r="BQ2040" s="71">
        <v>0</v>
      </c>
      <c r="BR2040" s="71">
        <v>0</v>
      </c>
      <c r="BS2040" s="71">
        <v>0</v>
      </c>
      <c r="BT2040" s="72">
        <v>0</v>
      </c>
      <c r="BU2040" s="73"/>
      <c r="BV2040" s="73"/>
    </row>
    <row r="2041" ht="30" customHeight="1" spans="1:74">
      <c r="A2041" s="55">
        <v>0</v>
      </c>
      <c r="B2041" s="56">
        <v>0</v>
      </c>
      <c r="C2041" s="57">
        <v>0</v>
      </c>
      <c r="D2041" s="58"/>
      <c r="E2041" s="74"/>
      <c r="F2041" s="59" t="e">
        <f>VLOOKUP(E2041,[1]库存!$B$1:$C$65536,2,FALSE)</f>
        <v>#N/A</v>
      </c>
      <c r="G2041" s="59" t="e">
        <v>#N/A</v>
      </c>
      <c r="H2041" s="52"/>
      <c r="I2041" s="52"/>
      <c r="J2041" s="63"/>
      <c r="K2041" s="61" t="s">
        <v>3193</v>
      </c>
      <c r="L2041" s="62">
        <v>0</v>
      </c>
      <c r="M2041" s="63">
        <v>0</v>
      </c>
      <c r="N2041" s="64">
        <v>0</v>
      </c>
      <c r="O2041" s="62">
        <v>0</v>
      </c>
      <c r="P2041" s="65">
        <f t="shared" si="135"/>
        <v>0</v>
      </c>
      <c r="Q2041" s="66"/>
      <c r="R2041" s="66"/>
      <c r="S2041" s="66"/>
      <c r="T2041" s="66"/>
      <c r="U2041" s="66"/>
      <c r="V2041" s="66"/>
      <c r="W2041" s="66"/>
      <c r="X2041" s="66"/>
      <c r="Y2041" s="66"/>
      <c r="Z2041" s="66"/>
      <c r="AA2041" s="66"/>
      <c r="AB2041" s="66"/>
      <c r="AC2041" s="66"/>
      <c r="AD2041" s="66"/>
      <c r="AE2041" s="66"/>
      <c r="AF2041" s="66"/>
      <c r="AG2041" s="66"/>
      <c r="AH2041" s="66"/>
      <c r="AI2041" s="66"/>
      <c r="AJ2041" s="66"/>
      <c r="AK2041" s="66"/>
      <c r="AL2041" s="66"/>
      <c r="AM2041" s="66"/>
      <c r="AN2041" s="66"/>
      <c r="AO2041" s="66"/>
      <c r="AP2041" s="66"/>
      <c r="AQ2041" s="66"/>
      <c r="AR2041" s="66"/>
      <c r="AS2041" s="66"/>
      <c r="AT2041" s="66"/>
      <c r="AU2041" s="66"/>
      <c r="AV2041" s="66"/>
      <c r="AW2041" s="66"/>
      <c r="AX2041" s="66"/>
      <c r="AY2041" s="66"/>
      <c r="AZ2041" s="66"/>
      <c r="BA2041" s="66"/>
      <c r="BB2041" s="66"/>
      <c r="BC2041" s="66"/>
      <c r="BD2041" s="66"/>
      <c r="BE2041" s="67"/>
      <c r="BF2041" s="67"/>
      <c r="BG2041" s="68"/>
      <c r="BI2041" s="69">
        <v>0</v>
      </c>
      <c r="BJ2041" s="70">
        <v>0</v>
      </c>
      <c r="BK2041" s="71">
        <v>0</v>
      </c>
      <c r="BL2041" s="71">
        <v>0</v>
      </c>
      <c r="BM2041" s="71">
        <v>0</v>
      </c>
      <c r="BN2041" s="72">
        <v>0</v>
      </c>
      <c r="BO2041" s="73"/>
      <c r="BP2041" s="73"/>
      <c r="BQ2041" s="71">
        <v>0</v>
      </c>
      <c r="BR2041" s="71">
        <v>0</v>
      </c>
      <c r="BS2041" s="71">
        <v>0</v>
      </c>
      <c r="BT2041" s="72">
        <v>0</v>
      </c>
      <c r="BU2041" s="73"/>
      <c r="BV2041" s="73"/>
    </row>
    <row r="2042" ht="30" customHeight="1" spans="1:74">
      <c r="A2042" s="55" t="s">
        <v>41</v>
      </c>
      <c r="B2042" s="56" t="s">
        <v>42</v>
      </c>
      <c r="C2042" s="57" t="s">
        <v>43</v>
      </c>
      <c r="D2042" s="58" t="s">
        <v>3187</v>
      </c>
      <c r="E2042" s="59" t="s">
        <v>3219</v>
      </c>
      <c r="F2042" s="59" t="str">
        <f>VLOOKUP(E2042,[1]库存!$B$1:$C$65536,2,FALSE)</f>
        <v>J36R SAB-LH</v>
      </c>
      <c r="G2042" s="59" t="s">
        <v>3220</v>
      </c>
      <c r="H2042" s="52" t="s">
        <v>3221</v>
      </c>
      <c r="I2042" s="52" t="s">
        <v>3222</v>
      </c>
      <c r="J2042" s="80" t="s">
        <v>65</v>
      </c>
      <c r="K2042" s="61" t="s">
        <v>3192</v>
      </c>
      <c r="L2042" s="62">
        <v>1</v>
      </c>
      <c r="M2042" s="63">
        <v>1370</v>
      </c>
      <c r="N2042" s="64">
        <v>9</v>
      </c>
      <c r="O2042" s="62">
        <v>1</v>
      </c>
      <c r="P2042" s="65">
        <f t="shared" si="135"/>
        <v>0</v>
      </c>
      <c r="Q2042" s="66"/>
      <c r="R2042" s="66"/>
      <c r="S2042" s="66"/>
      <c r="T2042" s="66"/>
      <c r="U2042" s="66"/>
      <c r="V2042" s="66"/>
      <c r="W2042" s="66"/>
      <c r="X2042" s="66"/>
      <c r="Y2042" s="66"/>
      <c r="Z2042" s="66"/>
      <c r="AA2042" s="66"/>
      <c r="AB2042" s="66"/>
      <c r="AC2042" s="66"/>
      <c r="AD2042" s="66"/>
      <c r="AE2042" s="66"/>
      <c r="AF2042" s="66"/>
      <c r="AG2042" s="66"/>
      <c r="AH2042" s="66"/>
      <c r="AI2042" s="66"/>
      <c r="AJ2042" s="66"/>
      <c r="AK2042" s="66"/>
      <c r="AL2042" s="66"/>
      <c r="AM2042" s="66"/>
      <c r="AN2042" s="66"/>
      <c r="AO2042" s="66"/>
      <c r="AP2042" s="66"/>
      <c r="AQ2042" s="66"/>
      <c r="AR2042" s="66"/>
      <c r="AS2042" s="66"/>
      <c r="AT2042" s="66"/>
      <c r="AU2042" s="66"/>
      <c r="AV2042" s="66"/>
      <c r="AW2042" s="66"/>
      <c r="AX2042" s="66"/>
      <c r="AY2042" s="66"/>
      <c r="AZ2042" s="66"/>
      <c r="BA2042" s="66"/>
      <c r="BB2042" s="66"/>
      <c r="BC2042" s="66"/>
      <c r="BD2042" s="66"/>
      <c r="BE2042" s="67"/>
      <c r="BF2042" s="67"/>
      <c r="BG2042" s="68"/>
      <c r="BI2042" s="69">
        <v>0</v>
      </c>
      <c r="BJ2042" s="70">
        <v>0</v>
      </c>
      <c r="BK2042" s="71">
        <v>0</v>
      </c>
      <c r="BL2042" s="71">
        <v>0</v>
      </c>
      <c r="BM2042" s="71">
        <v>0</v>
      </c>
      <c r="BN2042" s="72">
        <v>0</v>
      </c>
      <c r="BO2042" s="73"/>
      <c r="BP2042" s="73"/>
      <c r="BQ2042" s="71">
        <v>0</v>
      </c>
      <c r="BR2042" s="71">
        <v>0</v>
      </c>
      <c r="BS2042" s="71">
        <v>0</v>
      </c>
      <c r="BT2042" s="72">
        <v>0</v>
      </c>
      <c r="BU2042" s="73"/>
      <c r="BV2042" s="73"/>
    </row>
    <row r="2043" ht="30" customHeight="1" spans="1:74">
      <c r="A2043" s="55">
        <v>0</v>
      </c>
      <c r="B2043" s="56">
        <v>0</v>
      </c>
      <c r="C2043" s="57">
        <v>0</v>
      </c>
      <c r="D2043" s="58"/>
      <c r="E2043" s="74"/>
      <c r="F2043" s="59" t="e">
        <f>VLOOKUP(E2043,[1]库存!$B$1:$C$65536,2,FALSE)</f>
        <v>#N/A</v>
      </c>
      <c r="G2043" s="59" t="e">
        <v>#N/A</v>
      </c>
      <c r="H2043" s="52"/>
      <c r="I2043" s="52"/>
      <c r="J2043" s="81"/>
      <c r="K2043" s="61" t="s">
        <v>3193</v>
      </c>
      <c r="L2043" s="62">
        <v>0</v>
      </c>
      <c r="M2043" s="63">
        <v>0</v>
      </c>
      <c r="N2043" s="64">
        <v>0</v>
      </c>
      <c r="O2043" s="62">
        <v>0</v>
      </c>
      <c r="P2043" s="65">
        <f t="shared" si="135"/>
        <v>0</v>
      </c>
      <c r="Q2043" s="66"/>
      <c r="R2043" s="66"/>
      <c r="S2043" s="66"/>
      <c r="T2043" s="66"/>
      <c r="U2043" s="66"/>
      <c r="V2043" s="66"/>
      <c r="W2043" s="66"/>
      <c r="X2043" s="66"/>
      <c r="Y2043" s="66"/>
      <c r="Z2043" s="66"/>
      <c r="AA2043" s="66"/>
      <c r="AB2043" s="66"/>
      <c r="AC2043" s="66"/>
      <c r="AD2043" s="66"/>
      <c r="AE2043" s="66"/>
      <c r="AF2043" s="66"/>
      <c r="AG2043" s="66"/>
      <c r="AH2043" s="66"/>
      <c r="AI2043" s="66"/>
      <c r="AJ2043" s="66"/>
      <c r="AK2043" s="66"/>
      <c r="AL2043" s="66"/>
      <c r="AM2043" s="66"/>
      <c r="AN2043" s="66"/>
      <c r="AO2043" s="66"/>
      <c r="AP2043" s="66"/>
      <c r="AQ2043" s="66"/>
      <c r="AR2043" s="66"/>
      <c r="AS2043" s="66"/>
      <c r="AT2043" s="66"/>
      <c r="AU2043" s="66"/>
      <c r="AV2043" s="66"/>
      <c r="AW2043" s="66"/>
      <c r="AX2043" s="66"/>
      <c r="AY2043" s="66"/>
      <c r="AZ2043" s="66"/>
      <c r="BA2043" s="66"/>
      <c r="BB2043" s="66"/>
      <c r="BC2043" s="66"/>
      <c r="BD2043" s="66"/>
      <c r="BE2043" s="67"/>
      <c r="BF2043" s="67"/>
      <c r="BG2043" s="68"/>
      <c r="BI2043" s="69">
        <v>0</v>
      </c>
      <c r="BJ2043" s="70">
        <v>0</v>
      </c>
      <c r="BK2043" s="71">
        <v>0</v>
      </c>
      <c r="BL2043" s="71">
        <v>0</v>
      </c>
      <c r="BM2043" s="71">
        <v>0</v>
      </c>
      <c r="BN2043" s="72">
        <v>0</v>
      </c>
      <c r="BO2043" s="73"/>
      <c r="BP2043" s="73"/>
      <c r="BQ2043" s="71">
        <v>0</v>
      </c>
      <c r="BR2043" s="71">
        <v>0</v>
      </c>
      <c r="BS2043" s="71">
        <v>0</v>
      </c>
      <c r="BT2043" s="72">
        <v>0</v>
      </c>
      <c r="BU2043" s="73"/>
      <c r="BV2043" s="73"/>
    </row>
    <row r="2044" ht="30" customHeight="1" spans="1:74">
      <c r="A2044" s="55" t="s">
        <v>41</v>
      </c>
      <c r="B2044" s="56" t="s">
        <v>42</v>
      </c>
      <c r="C2044" s="57" t="s">
        <v>43</v>
      </c>
      <c r="D2044" s="59" t="s">
        <v>3187</v>
      </c>
      <c r="E2044" s="59" t="s">
        <v>3223</v>
      </c>
      <c r="F2044" s="59" t="str">
        <f>VLOOKUP(E2044,[1]库存!$B$1:$C$65536,2,FALSE)</f>
        <v>J36R SAB-RH</v>
      </c>
      <c r="G2044" s="59" t="s">
        <v>3224</v>
      </c>
      <c r="H2044" s="59" t="s">
        <v>3225</v>
      </c>
      <c r="I2044" s="59" t="s">
        <v>3222</v>
      </c>
      <c r="J2044" s="80" t="s">
        <v>65</v>
      </c>
      <c r="K2044" s="61" t="s">
        <v>3192</v>
      </c>
      <c r="L2044" s="62">
        <v>1</v>
      </c>
      <c r="M2044" s="63">
        <v>1370</v>
      </c>
      <c r="N2044" s="64">
        <v>9</v>
      </c>
      <c r="O2044" s="62">
        <v>1</v>
      </c>
      <c r="P2044" s="65">
        <f t="shared" si="135"/>
        <v>0</v>
      </c>
      <c r="Q2044" s="66"/>
      <c r="R2044" s="66"/>
      <c r="S2044" s="66"/>
      <c r="T2044" s="66"/>
      <c r="U2044" s="66"/>
      <c r="V2044" s="66"/>
      <c r="W2044" s="66"/>
      <c r="X2044" s="66"/>
      <c r="Y2044" s="66"/>
      <c r="Z2044" s="66"/>
      <c r="AA2044" s="66"/>
      <c r="AB2044" s="66"/>
      <c r="AC2044" s="66"/>
      <c r="AD2044" s="66"/>
      <c r="AE2044" s="66"/>
      <c r="AF2044" s="66"/>
      <c r="AG2044" s="66"/>
      <c r="AH2044" s="66"/>
      <c r="AI2044" s="66"/>
      <c r="AJ2044" s="66"/>
      <c r="AK2044" s="66"/>
      <c r="AL2044" s="66"/>
      <c r="AM2044" s="66"/>
      <c r="AN2044" s="66"/>
      <c r="AO2044" s="66"/>
      <c r="AP2044" s="66"/>
      <c r="AQ2044" s="66"/>
      <c r="AR2044" s="66"/>
      <c r="AS2044" s="66"/>
      <c r="AT2044" s="66"/>
      <c r="AU2044" s="66"/>
      <c r="AV2044" s="66"/>
      <c r="AW2044" s="66"/>
      <c r="AX2044" s="66"/>
      <c r="AY2044" s="66"/>
      <c r="AZ2044" s="66"/>
      <c r="BA2044" s="66"/>
      <c r="BB2044" s="66"/>
      <c r="BC2044" s="66"/>
      <c r="BD2044" s="66"/>
      <c r="BE2044" s="67"/>
      <c r="BF2044" s="67"/>
      <c r="BG2044" s="68"/>
      <c r="BI2044" s="69">
        <v>0</v>
      </c>
      <c r="BJ2044" s="70">
        <v>0</v>
      </c>
      <c r="BK2044" s="71">
        <v>0</v>
      </c>
      <c r="BL2044" s="71">
        <v>0</v>
      </c>
      <c r="BM2044" s="71">
        <v>0</v>
      </c>
      <c r="BN2044" s="72">
        <v>0</v>
      </c>
      <c r="BO2044" s="73"/>
      <c r="BP2044" s="73"/>
      <c r="BQ2044" s="71">
        <v>0</v>
      </c>
      <c r="BR2044" s="71">
        <v>0</v>
      </c>
      <c r="BS2044" s="71">
        <v>0</v>
      </c>
      <c r="BT2044" s="72">
        <v>0</v>
      </c>
      <c r="BU2044" s="73"/>
      <c r="BV2044" s="73"/>
    </row>
    <row r="2045" ht="30" customHeight="1" spans="1:74">
      <c r="A2045" s="55">
        <v>0</v>
      </c>
      <c r="B2045" s="56">
        <v>0</v>
      </c>
      <c r="C2045" s="57">
        <v>0</v>
      </c>
      <c r="D2045" s="74"/>
      <c r="E2045" s="74"/>
      <c r="F2045" s="59" t="e">
        <f>VLOOKUP(E2045,[1]库存!$B$1:$C$65536,2,FALSE)</f>
        <v>#N/A</v>
      </c>
      <c r="G2045" s="59" t="e">
        <v>#N/A</v>
      </c>
      <c r="H2045" s="74"/>
      <c r="I2045" s="74"/>
      <c r="J2045" s="81"/>
      <c r="K2045" s="61" t="s">
        <v>3193</v>
      </c>
      <c r="L2045" s="62">
        <v>0</v>
      </c>
      <c r="M2045" s="63">
        <v>0</v>
      </c>
      <c r="N2045" s="64">
        <v>0</v>
      </c>
      <c r="O2045" s="62">
        <v>0</v>
      </c>
      <c r="P2045" s="65">
        <f t="shared" si="135"/>
        <v>0</v>
      </c>
      <c r="Q2045" s="66"/>
      <c r="R2045" s="66"/>
      <c r="S2045" s="66"/>
      <c r="T2045" s="66"/>
      <c r="U2045" s="66"/>
      <c r="V2045" s="66"/>
      <c r="W2045" s="66"/>
      <c r="X2045" s="66"/>
      <c r="Y2045" s="66"/>
      <c r="Z2045" s="66"/>
      <c r="AA2045" s="66"/>
      <c r="AB2045" s="66"/>
      <c r="AC2045" s="66"/>
      <c r="AD2045" s="66"/>
      <c r="AE2045" s="66"/>
      <c r="AF2045" s="66"/>
      <c r="AG2045" s="66"/>
      <c r="AH2045" s="66"/>
      <c r="AI2045" s="66"/>
      <c r="AJ2045" s="66"/>
      <c r="AK2045" s="66"/>
      <c r="AL2045" s="66"/>
      <c r="AM2045" s="66"/>
      <c r="AN2045" s="66"/>
      <c r="AO2045" s="66"/>
      <c r="AP2045" s="66"/>
      <c r="AQ2045" s="66"/>
      <c r="AR2045" s="66"/>
      <c r="AS2045" s="66"/>
      <c r="AT2045" s="66"/>
      <c r="AU2045" s="66"/>
      <c r="AV2045" s="66"/>
      <c r="AW2045" s="66"/>
      <c r="AX2045" s="66"/>
      <c r="AY2045" s="66"/>
      <c r="AZ2045" s="66"/>
      <c r="BA2045" s="66"/>
      <c r="BB2045" s="66"/>
      <c r="BC2045" s="66"/>
      <c r="BD2045" s="66"/>
      <c r="BE2045" s="67"/>
      <c r="BF2045" s="67"/>
      <c r="BG2045" s="68"/>
      <c r="BI2045" s="69">
        <v>0</v>
      </c>
      <c r="BJ2045" s="70">
        <v>0</v>
      </c>
      <c r="BK2045" s="71">
        <v>0</v>
      </c>
      <c r="BL2045" s="71">
        <v>0</v>
      </c>
      <c r="BM2045" s="71">
        <v>0</v>
      </c>
      <c r="BN2045" s="72">
        <v>0</v>
      </c>
      <c r="BO2045" s="73"/>
      <c r="BP2045" s="73"/>
      <c r="BQ2045" s="71">
        <v>0</v>
      </c>
      <c r="BR2045" s="71">
        <v>0</v>
      </c>
      <c r="BS2045" s="71">
        <v>0</v>
      </c>
      <c r="BT2045" s="72">
        <v>0</v>
      </c>
      <c r="BU2045" s="73"/>
      <c r="BV2045" s="73"/>
    </row>
    <row r="2046" ht="30" customHeight="1" spans="1:74">
      <c r="A2046" s="55">
        <v>0</v>
      </c>
      <c r="B2046" s="56" t="s">
        <v>42</v>
      </c>
      <c r="C2046" s="57" t="s">
        <v>3226</v>
      </c>
      <c r="D2046" s="59" t="s">
        <v>3227</v>
      </c>
      <c r="E2046" s="59" t="s">
        <v>3228</v>
      </c>
      <c r="F2046" s="59" t="str">
        <f>VLOOKUP(E2046,[1]库存!$B$1:$C$65536,2,FALSE)</f>
        <v>CHANGAN B211 CAB</v>
      </c>
      <c r="G2046" s="59" t="s">
        <v>3229</v>
      </c>
      <c r="H2046" s="59" t="s">
        <v>3230</v>
      </c>
      <c r="I2046" s="59"/>
      <c r="J2046" s="63"/>
      <c r="K2046" s="61"/>
      <c r="L2046" s="62">
        <v>0</v>
      </c>
      <c r="M2046" s="63">
        <v>420</v>
      </c>
      <c r="N2046" s="64">
        <v>12</v>
      </c>
      <c r="O2046" s="62">
        <v>0</v>
      </c>
      <c r="P2046" s="65">
        <f t="shared" si="135"/>
        <v>0</v>
      </c>
      <c r="Q2046" s="66"/>
      <c r="R2046" s="66"/>
      <c r="S2046" s="66"/>
      <c r="T2046" s="66"/>
      <c r="U2046" s="66"/>
      <c r="V2046" s="66"/>
      <c r="W2046" s="66"/>
      <c r="X2046" s="66"/>
      <c r="Y2046" s="66"/>
      <c r="Z2046" s="66"/>
      <c r="AA2046" s="66"/>
      <c r="AB2046" s="66"/>
      <c r="AC2046" s="66"/>
      <c r="AD2046" s="66"/>
      <c r="AE2046" s="66"/>
      <c r="AF2046" s="66"/>
      <c r="AG2046" s="66"/>
      <c r="AH2046" s="66"/>
      <c r="AI2046" s="66"/>
      <c r="AJ2046" s="66"/>
      <c r="AK2046" s="66"/>
      <c r="AL2046" s="66"/>
      <c r="AM2046" s="66"/>
      <c r="AN2046" s="66"/>
      <c r="AO2046" s="66"/>
      <c r="AP2046" s="66"/>
      <c r="AQ2046" s="66"/>
      <c r="AR2046" s="66"/>
      <c r="AS2046" s="66"/>
      <c r="AT2046" s="66"/>
      <c r="AU2046" s="66"/>
      <c r="AV2046" s="66"/>
      <c r="AW2046" s="66"/>
      <c r="AX2046" s="66"/>
      <c r="AY2046" s="66"/>
      <c r="AZ2046" s="66"/>
      <c r="BA2046" s="66"/>
      <c r="BB2046" s="66"/>
      <c r="BC2046" s="66"/>
      <c r="BD2046" s="66"/>
      <c r="BE2046" s="67"/>
      <c r="BF2046" s="67"/>
      <c r="BG2046" s="68"/>
      <c r="BI2046" s="69">
        <v>0</v>
      </c>
      <c r="BJ2046" s="70">
        <v>0</v>
      </c>
      <c r="BK2046" s="71">
        <v>0</v>
      </c>
      <c r="BL2046" s="71">
        <v>0</v>
      </c>
      <c r="BM2046" s="71">
        <v>0</v>
      </c>
      <c r="BN2046" s="72">
        <v>0</v>
      </c>
      <c r="BO2046" s="73"/>
      <c r="BP2046" s="73"/>
      <c r="BQ2046" s="71">
        <v>0</v>
      </c>
      <c r="BR2046" s="71">
        <v>0</v>
      </c>
      <c r="BS2046" s="71">
        <v>0</v>
      </c>
      <c r="BT2046" s="72">
        <v>0</v>
      </c>
      <c r="BU2046" s="73"/>
      <c r="BV2046" s="73"/>
    </row>
    <row r="2047" ht="30" customHeight="1" spans="1:74">
      <c r="A2047" s="55">
        <v>0</v>
      </c>
      <c r="B2047" s="56">
        <v>0</v>
      </c>
      <c r="C2047" s="57">
        <v>0</v>
      </c>
      <c r="D2047" s="74"/>
      <c r="E2047" s="74"/>
      <c r="F2047" s="59" t="e">
        <f>VLOOKUP(E2047,[1]库存!$B$1:$C$65536,2,FALSE)</f>
        <v>#N/A</v>
      </c>
      <c r="G2047" s="59" t="e">
        <v>#N/A</v>
      </c>
      <c r="H2047" s="74"/>
      <c r="I2047" s="74"/>
      <c r="J2047" s="87"/>
      <c r="K2047" s="61"/>
      <c r="L2047" s="62">
        <v>0</v>
      </c>
      <c r="M2047" s="63">
        <v>0</v>
      </c>
      <c r="N2047" s="64">
        <v>0</v>
      </c>
      <c r="O2047" s="62">
        <v>0</v>
      </c>
      <c r="P2047" s="65">
        <f t="shared" si="135"/>
        <v>0</v>
      </c>
      <c r="Q2047" s="66"/>
      <c r="R2047" s="66"/>
      <c r="S2047" s="66"/>
      <c r="T2047" s="66"/>
      <c r="U2047" s="66"/>
      <c r="V2047" s="66"/>
      <c r="W2047" s="66"/>
      <c r="X2047" s="66"/>
      <c r="Y2047" s="66"/>
      <c r="Z2047" s="66"/>
      <c r="AA2047" s="66"/>
      <c r="AB2047" s="66"/>
      <c r="AC2047" s="66"/>
      <c r="AD2047" s="66"/>
      <c r="AE2047" s="66"/>
      <c r="AF2047" s="66"/>
      <c r="AG2047" s="66"/>
      <c r="AH2047" s="66"/>
      <c r="AI2047" s="66"/>
      <c r="AJ2047" s="66"/>
      <c r="AK2047" s="66"/>
      <c r="AL2047" s="66"/>
      <c r="AM2047" s="66"/>
      <c r="AN2047" s="66"/>
      <c r="AO2047" s="66"/>
      <c r="AP2047" s="66"/>
      <c r="AQ2047" s="66"/>
      <c r="AR2047" s="66"/>
      <c r="AS2047" s="66"/>
      <c r="AT2047" s="66"/>
      <c r="AU2047" s="66"/>
      <c r="AV2047" s="66"/>
      <c r="AW2047" s="66"/>
      <c r="AX2047" s="66"/>
      <c r="AY2047" s="66"/>
      <c r="AZ2047" s="66"/>
      <c r="BA2047" s="66"/>
      <c r="BB2047" s="66"/>
      <c r="BC2047" s="66"/>
      <c r="BD2047" s="66"/>
      <c r="BE2047" s="67"/>
      <c r="BF2047" s="67"/>
      <c r="BG2047" s="68"/>
      <c r="BI2047" s="69">
        <v>0</v>
      </c>
      <c r="BJ2047" s="70">
        <v>0</v>
      </c>
      <c r="BK2047" s="71">
        <v>0</v>
      </c>
      <c r="BL2047" s="71">
        <v>0</v>
      </c>
      <c r="BM2047" s="71">
        <v>0</v>
      </c>
      <c r="BN2047" s="72">
        <v>0</v>
      </c>
      <c r="BO2047" s="73"/>
      <c r="BP2047" s="73"/>
      <c r="BQ2047" s="71">
        <v>0</v>
      </c>
      <c r="BR2047" s="71">
        <v>0</v>
      </c>
      <c r="BS2047" s="71">
        <v>0</v>
      </c>
      <c r="BT2047" s="72">
        <v>0</v>
      </c>
      <c r="BU2047" s="73"/>
      <c r="BV2047" s="73"/>
    </row>
    <row r="2048" ht="30" customHeight="1" spans="1:74">
      <c r="A2048" s="55">
        <v>0</v>
      </c>
      <c r="B2048" s="56" t="s">
        <v>42</v>
      </c>
      <c r="C2048" s="57" t="s">
        <v>43</v>
      </c>
      <c r="D2048" s="59" t="s">
        <v>3187</v>
      </c>
      <c r="E2048" s="59" t="s">
        <v>3228</v>
      </c>
      <c r="F2048" s="59" t="str">
        <f>VLOOKUP(E2048,[1]库存!$B$1:$C$65536,2,FALSE)</f>
        <v>CHANGAN B211 CAB</v>
      </c>
      <c r="G2048" s="59" t="s">
        <v>3229</v>
      </c>
      <c r="H2048" s="59" t="s">
        <v>3231</v>
      </c>
      <c r="I2048" s="59" t="s">
        <v>3232</v>
      </c>
      <c r="J2048" s="63"/>
      <c r="K2048" s="61" t="s">
        <v>3192</v>
      </c>
      <c r="L2048" s="62">
        <v>2</v>
      </c>
      <c r="M2048" s="63">
        <v>420</v>
      </c>
      <c r="N2048" s="64">
        <v>12</v>
      </c>
      <c r="O2048" s="62">
        <v>2</v>
      </c>
      <c r="P2048" s="65">
        <f t="shared" si="135"/>
        <v>0</v>
      </c>
      <c r="Q2048" s="66"/>
      <c r="R2048" s="66"/>
      <c r="S2048" s="66"/>
      <c r="T2048" s="66"/>
      <c r="U2048" s="66"/>
      <c r="V2048" s="66"/>
      <c r="W2048" s="66"/>
      <c r="X2048" s="66"/>
      <c r="Y2048" s="66"/>
      <c r="Z2048" s="66"/>
      <c r="AA2048" s="66"/>
      <c r="AB2048" s="66"/>
      <c r="AC2048" s="66"/>
      <c r="AD2048" s="66"/>
      <c r="AE2048" s="66"/>
      <c r="AF2048" s="66"/>
      <c r="AG2048" s="66"/>
      <c r="AH2048" s="66"/>
      <c r="AI2048" s="66"/>
      <c r="AJ2048" s="66"/>
      <c r="AK2048" s="66"/>
      <c r="AL2048" s="66"/>
      <c r="AM2048" s="66"/>
      <c r="AN2048" s="66"/>
      <c r="AO2048" s="66"/>
      <c r="AP2048" s="66"/>
      <c r="AQ2048" s="66"/>
      <c r="AR2048" s="66"/>
      <c r="AS2048" s="66"/>
      <c r="AT2048" s="66"/>
      <c r="AU2048" s="66"/>
      <c r="AV2048" s="66"/>
      <c r="AW2048" s="66"/>
      <c r="AX2048" s="66"/>
      <c r="AY2048" s="66"/>
      <c r="AZ2048" s="66"/>
      <c r="BA2048" s="66"/>
      <c r="BB2048" s="66"/>
      <c r="BC2048" s="66"/>
      <c r="BD2048" s="66"/>
      <c r="BE2048" s="67"/>
      <c r="BF2048" s="67"/>
      <c r="BG2048" s="68"/>
      <c r="BI2048" s="69">
        <v>0</v>
      </c>
      <c r="BJ2048" s="70">
        <v>0</v>
      </c>
      <c r="BK2048" s="71">
        <v>0</v>
      </c>
      <c r="BL2048" s="71">
        <v>0</v>
      </c>
      <c r="BM2048" s="71">
        <v>0</v>
      </c>
      <c r="BN2048" s="72">
        <v>0</v>
      </c>
      <c r="BO2048" s="73"/>
      <c r="BP2048" s="73"/>
      <c r="BQ2048" s="71">
        <v>0</v>
      </c>
      <c r="BR2048" s="71">
        <v>0</v>
      </c>
      <c r="BS2048" s="71">
        <v>0</v>
      </c>
      <c r="BT2048" s="72">
        <v>0</v>
      </c>
      <c r="BU2048" s="73"/>
      <c r="BV2048" s="73"/>
    </row>
    <row r="2049" ht="30" customHeight="1" spans="1:74">
      <c r="A2049" s="55">
        <v>0</v>
      </c>
      <c r="B2049" s="56">
        <v>0</v>
      </c>
      <c r="C2049" s="57">
        <v>0</v>
      </c>
      <c r="D2049" s="74"/>
      <c r="E2049" s="74"/>
      <c r="F2049" s="59" t="e">
        <f>VLOOKUP(E2049,[1]库存!$B$1:$C$65536,2,FALSE)</f>
        <v>#N/A</v>
      </c>
      <c r="G2049" s="59" t="e">
        <v>#N/A</v>
      </c>
      <c r="H2049" s="74"/>
      <c r="I2049" s="74"/>
      <c r="J2049" s="87"/>
      <c r="K2049" s="61" t="s">
        <v>3193</v>
      </c>
      <c r="L2049" s="62">
        <v>0</v>
      </c>
      <c r="M2049" s="63">
        <v>0</v>
      </c>
      <c r="N2049" s="64">
        <v>0</v>
      </c>
      <c r="O2049" s="62">
        <v>0</v>
      </c>
      <c r="P2049" s="65">
        <f t="shared" si="135"/>
        <v>0</v>
      </c>
      <c r="Q2049" s="66"/>
      <c r="R2049" s="66"/>
      <c r="S2049" s="66"/>
      <c r="T2049" s="66"/>
      <c r="U2049" s="66"/>
      <c r="V2049" s="66"/>
      <c r="W2049" s="66"/>
      <c r="X2049" s="66"/>
      <c r="Y2049" s="66"/>
      <c r="Z2049" s="66"/>
      <c r="AA2049" s="66"/>
      <c r="AB2049" s="66"/>
      <c r="AC2049" s="66"/>
      <c r="AD2049" s="66"/>
      <c r="AE2049" s="66"/>
      <c r="AF2049" s="66"/>
      <c r="AG2049" s="66"/>
      <c r="AH2049" s="66"/>
      <c r="AI2049" s="66"/>
      <c r="AJ2049" s="66"/>
      <c r="AK2049" s="66"/>
      <c r="AL2049" s="66"/>
      <c r="AM2049" s="66"/>
      <c r="AN2049" s="66"/>
      <c r="AO2049" s="66"/>
      <c r="AP2049" s="66"/>
      <c r="AQ2049" s="66"/>
      <c r="AR2049" s="66"/>
      <c r="AS2049" s="66"/>
      <c r="AT2049" s="66"/>
      <c r="AU2049" s="66"/>
      <c r="AV2049" s="66"/>
      <c r="AW2049" s="66"/>
      <c r="AX2049" s="66"/>
      <c r="AY2049" s="66"/>
      <c r="AZ2049" s="66"/>
      <c r="BA2049" s="66"/>
      <c r="BB2049" s="66"/>
      <c r="BC2049" s="66"/>
      <c r="BD2049" s="66"/>
      <c r="BE2049" s="67"/>
      <c r="BF2049" s="67"/>
      <c r="BG2049" s="68"/>
      <c r="BI2049" s="69">
        <v>0</v>
      </c>
      <c r="BJ2049" s="70">
        <v>0</v>
      </c>
      <c r="BK2049" s="71">
        <v>0</v>
      </c>
      <c r="BL2049" s="71">
        <v>0</v>
      </c>
      <c r="BM2049" s="71">
        <v>0</v>
      </c>
      <c r="BN2049" s="72">
        <v>0</v>
      </c>
      <c r="BO2049" s="73"/>
      <c r="BP2049" s="73"/>
      <c r="BQ2049" s="71">
        <v>0</v>
      </c>
      <c r="BR2049" s="71">
        <v>0</v>
      </c>
      <c r="BS2049" s="71">
        <v>0</v>
      </c>
      <c r="BT2049" s="72">
        <v>0</v>
      </c>
      <c r="BU2049" s="73"/>
      <c r="BV2049" s="73"/>
    </row>
    <row r="2050" ht="30" customHeight="1" spans="1:74">
      <c r="A2050" s="55">
        <v>0</v>
      </c>
      <c r="B2050" s="56">
        <v>0</v>
      </c>
      <c r="C2050" s="57">
        <v>0</v>
      </c>
      <c r="D2050" s="106"/>
      <c r="E2050" s="107"/>
      <c r="F2050" s="59" t="e">
        <f>VLOOKUP(E2050,[1]库存!$B$1:$C$65536,2,FALSE)</f>
        <v>#N/A</v>
      </c>
      <c r="G2050" s="59" t="e">
        <v>#N/A</v>
      </c>
      <c r="H2050" s="89"/>
      <c r="I2050" s="88"/>
      <c r="J2050" s="90"/>
      <c r="K2050" s="61"/>
      <c r="L2050" s="62">
        <v>0</v>
      </c>
      <c r="M2050" s="63">
        <v>0</v>
      </c>
      <c r="N2050" s="64">
        <v>0</v>
      </c>
      <c r="O2050" s="62">
        <v>0</v>
      </c>
      <c r="P2050" s="65">
        <f t="shared" si="135"/>
        <v>0</v>
      </c>
      <c r="Q2050" s="66"/>
      <c r="R2050" s="66"/>
      <c r="S2050" s="66"/>
      <c r="T2050" s="66"/>
      <c r="U2050" s="66"/>
      <c r="V2050" s="66"/>
      <c r="W2050" s="66"/>
      <c r="X2050" s="66"/>
      <c r="Y2050" s="66"/>
      <c r="Z2050" s="66"/>
      <c r="AA2050" s="66"/>
      <c r="AB2050" s="66"/>
      <c r="AC2050" s="66"/>
      <c r="AD2050" s="66"/>
      <c r="AE2050" s="66"/>
      <c r="AF2050" s="66"/>
      <c r="AG2050" s="66"/>
      <c r="AH2050" s="66"/>
      <c r="AI2050" s="66"/>
      <c r="AJ2050" s="66"/>
      <c r="AK2050" s="66"/>
      <c r="AL2050" s="66"/>
      <c r="AM2050" s="66"/>
      <c r="AN2050" s="66"/>
      <c r="AO2050" s="66"/>
      <c r="AP2050" s="66"/>
      <c r="AQ2050" s="66"/>
      <c r="AR2050" s="66"/>
      <c r="AS2050" s="66"/>
      <c r="AT2050" s="66"/>
      <c r="AU2050" s="66"/>
      <c r="AV2050" s="66"/>
      <c r="AW2050" s="66"/>
      <c r="AX2050" s="66"/>
      <c r="AY2050" s="66"/>
      <c r="AZ2050" s="66"/>
      <c r="BA2050" s="66"/>
      <c r="BB2050" s="66"/>
      <c r="BC2050" s="66"/>
      <c r="BD2050" s="66"/>
      <c r="BE2050" s="67"/>
      <c r="BF2050" s="67"/>
      <c r="BG2050" s="68"/>
      <c r="BI2050" s="69">
        <v>0</v>
      </c>
      <c r="BJ2050" s="70">
        <v>0</v>
      </c>
      <c r="BK2050" s="71">
        <v>0</v>
      </c>
      <c r="BL2050" s="71">
        <v>0</v>
      </c>
      <c r="BM2050" s="71">
        <v>0</v>
      </c>
      <c r="BN2050" s="72">
        <v>0</v>
      </c>
      <c r="BO2050" s="151" t="e">
        <f t="shared" ref="BO2050:BO2113" si="136">(BK2050+BL2050)/BJ2050</f>
        <v>#DIV/0!</v>
      </c>
      <c r="BP2050" s="151" t="e">
        <f t="shared" ref="BP2050:BP2113" si="137">BM2050/BJ2050</f>
        <v>#DIV/0!</v>
      </c>
      <c r="BQ2050" s="71">
        <v>0</v>
      </c>
      <c r="BR2050" s="71">
        <v>0</v>
      </c>
      <c r="BS2050" s="71">
        <v>0</v>
      </c>
      <c r="BT2050" s="72">
        <v>0</v>
      </c>
      <c r="BU2050" s="151" t="e">
        <f>(BQ2050+BR2050)/BJ2050</f>
        <v>#DIV/0!</v>
      </c>
      <c r="BV2050" s="151" t="e">
        <f>BS2050/BJ2050</f>
        <v>#DIV/0!</v>
      </c>
    </row>
    <row r="2051" ht="30" customHeight="1" spans="1:74">
      <c r="A2051" s="55" t="s">
        <v>41</v>
      </c>
      <c r="B2051" s="56" t="s">
        <v>1057</v>
      </c>
      <c r="C2051" s="57" t="s">
        <v>1324</v>
      </c>
      <c r="D2051" s="59" t="s">
        <v>3233</v>
      </c>
      <c r="E2051" s="59" t="s">
        <v>3234</v>
      </c>
      <c r="F2051" s="59" t="str">
        <f>VLOOKUP(E2051,[1]库存!$B$1:$C$65536,2,FALSE)</f>
        <v>Geely NL-3 SAB LH</v>
      </c>
      <c r="G2051" s="59" t="s">
        <v>3235</v>
      </c>
      <c r="H2051" s="59" t="s">
        <v>3236</v>
      </c>
      <c r="I2051" s="59" t="s">
        <v>3237</v>
      </c>
      <c r="J2051" s="102" t="s">
        <v>65</v>
      </c>
      <c r="K2051" s="61" t="s">
        <v>3192</v>
      </c>
      <c r="L2051" s="62">
        <v>1</v>
      </c>
      <c r="M2051" s="63">
        <v>1500</v>
      </c>
      <c r="N2051" s="64">
        <v>7</v>
      </c>
      <c r="O2051" s="62">
        <v>1</v>
      </c>
      <c r="P2051" s="65">
        <f t="shared" si="135"/>
        <v>0</v>
      </c>
      <c r="Q2051" s="66"/>
      <c r="R2051" s="66"/>
      <c r="S2051" s="66"/>
      <c r="T2051" s="66"/>
      <c r="U2051" s="66"/>
      <c r="V2051" s="66"/>
      <c r="W2051" s="66"/>
      <c r="X2051" s="66"/>
      <c r="Y2051" s="66"/>
      <c r="Z2051" s="66"/>
      <c r="AA2051" s="66"/>
      <c r="AB2051" s="66"/>
      <c r="AC2051" s="66"/>
      <c r="AD2051" s="66"/>
      <c r="AE2051" s="66"/>
      <c r="AF2051" s="66"/>
      <c r="AG2051" s="66"/>
      <c r="AH2051" s="66"/>
      <c r="AI2051" s="66"/>
      <c r="AJ2051" s="66"/>
      <c r="AK2051" s="66"/>
      <c r="AL2051" s="66"/>
      <c r="AM2051" s="66"/>
      <c r="AN2051" s="66"/>
      <c r="AO2051" s="66"/>
      <c r="AP2051" s="66"/>
      <c r="AQ2051" s="66"/>
      <c r="AR2051" s="66"/>
      <c r="AS2051" s="66"/>
      <c r="AT2051" s="66"/>
      <c r="AU2051" s="66"/>
      <c r="AV2051" s="66"/>
      <c r="AW2051" s="66"/>
      <c r="AX2051" s="66"/>
      <c r="AY2051" s="66"/>
      <c r="AZ2051" s="66"/>
      <c r="BA2051" s="66"/>
      <c r="BB2051" s="66"/>
      <c r="BC2051" s="66"/>
      <c r="BD2051" s="66"/>
      <c r="BE2051" s="67"/>
      <c r="BF2051" s="67"/>
      <c r="BG2051" s="68"/>
      <c r="BI2051" s="69">
        <v>0</v>
      </c>
      <c r="BJ2051" s="70">
        <v>0</v>
      </c>
      <c r="BK2051" s="71">
        <v>0</v>
      </c>
      <c r="BL2051" s="71">
        <v>0</v>
      </c>
      <c r="BM2051" s="71">
        <v>0</v>
      </c>
      <c r="BN2051" s="72">
        <v>0</v>
      </c>
      <c r="BO2051" s="151" t="e">
        <f t="shared" si="136"/>
        <v>#DIV/0!</v>
      </c>
      <c r="BP2051" s="151" t="e">
        <f t="shared" si="137"/>
        <v>#DIV/0!</v>
      </c>
      <c r="BQ2051" s="71">
        <v>0</v>
      </c>
      <c r="BR2051" s="71">
        <v>0</v>
      </c>
      <c r="BS2051" s="71">
        <v>0</v>
      </c>
      <c r="BT2051" s="72">
        <v>0</v>
      </c>
      <c r="BU2051" s="73"/>
      <c r="BV2051" s="73"/>
    </row>
    <row r="2052" ht="30" customHeight="1" spans="1:74">
      <c r="A2052" s="55">
        <v>0</v>
      </c>
      <c r="B2052" s="56">
        <v>0</v>
      </c>
      <c r="C2052" s="57">
        <v>0</v>
      </c>
      <c r="D2052" s="74"/>
      <c r="E2052" s="74"/>
      <c r="F2052" s="59" t="e">
        <f>VLOOKUP(E2052,[1]库存!$B$1:$C$65536,2,FALSE)</f>
        <v>#N/A</v>
      </c>
      <c r="G2052" s="59" t="e">
        <v>#N/A</v>
      </c>
      <c r="H2052" s="74"/>
      <c r="I2052" s="74"/>
      <c r="J2052" s="102"/>
      <c r="K2052" s="61" t="s">
        <v>3193</v>
      </c>
      <c r="L2052" s="62">
        <v>0</v>
      </c>
      <c r="M2052" s="63">
        <v>0</v>
      </c>
      <c r="N2052" s="64">
        <v>0</v>
      </c>
      <c r="O2052" s="62">
        <v>0</v>
      </c>
      <c r="P2052" s="65">
        <f t="shared" si="135"/>
        <v>0</v>
      </c>
      <c r="Q2052" s="66"/>
      <c r="R2052" s="66"/>
      <c r="S2052" s="66"/>
      <c r="T2052" s="66"/>
      <c r="U2052" s="66"/>
      <c r="V2052" s="66"/>
      <c r="W2052" s="66"/>
      <c r="X2052" s="66"/>
      <c r="Y2052" s="66"/>
      <c r="Z2052" s="66"/>
      <c r="AA2052" s="66"/>
      <c r="AB2052" s="66"/>
      <c r="AC2052" s="66"/>
      <c r="AD2052" s="66"/>
      <c r="AE2052" s="66"/>
      <c r="AF2052" s="66"/>
      <c r="AG2052" s="66"/>
      <c r="AH2052" s="66"/>
      <c r="AI2052" s="66"/>
      <c r="AJ2052" s="66"/>
      <c r="AK2052" s="66"/>
      <c r="AL2052" s="66"/>
      <c r="AM2052" s="66"/>
      <c r="AN2052" s="66"/>
      <c r="AO2052" s="66"/>
      <c r="AP2052" s="66"/>
      <c r="AQ2052" s="66"/>
      <c r="AR2052" s="66"/>
      <c r="AS2052" s="66"/>
      <c r="AT2052" s="66"/>
      <c r="AU2052" s="66"/>
      <c r="AV2052" s="66"/>
      <c r="AW2052" s="66"/>
      <c r="AX2052" s="66"/>
      <c r="AY2052" s="66"/>
      <c r="AZ2052" s="66"/>
      <c r="BA2052" s="66"/>
      <c r="BB2052" s="66"/>
      <c r="BC2052" s="66"/>
      <c r="BD2052" s="66"/>
      <c r="BE2052" s="67"/>
      <c r="BF2052" s="67"/>
      <c r="BG2052" s="68"/>
      <c r="BI2052" s="69">
        <v>0</v>
      </c>
      <c r="BJ2052" s="70">
        <v>0</v>
      </c>
      <c r="BK2052" s="71">
        <v>0</v>
      </c>
      <c r="BL2052" s="71">
        <v>0</v>
      </c>
      <c r="BM2052" s="71">
        <v>0</v>
      </c>
      <c r="BN2052" s="72">
        <v>0</v>
      </c>
      <c r="BO2052" s="151" t="e">
        <f t="shared" si="136"/>
        <v>#DIV/0!</v>
      </c>
      <c r="BP2052" s="151" t="e">
        <f t="shared" si="137"/>
        <v>#DIV/0!</v>
      </c>
      <c r="BQ2052" s="71">
        <v>0</v>
      </c>
      <c r="BR2052" s="71">
        <v>0</v>
      </c>
      <c r="BS2052" s="71">
        <v>0</v>
      </c>
      <c r="BT2052" s="72">
        <v>0</v>
      </c>
      <c r="BU2052" s="73"/>
      <c r="BV2052" s="73"/>
    </row>
    <row r="2053" ht="30" customHeight="1" spans="1:74">
      <c r="A2053" s="55" t="s">
        <v>41</v>
      </c>
      <c r="B2053" s="56" t="s">
        <v>1057</v>
      </c>
      <c r="C2053" s="57" t="s">
        <v>1324</v>
      </c>
      <c r="D2053" s="59" t="s">
        <v>3233</v>
      </c>
      <c r="E2053" s="59" t="s">
        <v>3238</v>
      </c>
      <c r="F2053" s="59" t="str">
        <f>VLOOKUP(E2053,[1]库存!$B$1:$C$65536,2,FALSE)</f>
        <v>Geely NL-3 SAB RH</v>
      </c>
      <c r="G2053" s="59" t="s">
        <v>3239</v>
      </c>
      <c r="H2053" s="59" t="s">
        <v>3240</v>
      </c>
      <c r="I2053" s="59" t="s">
        <v>3237</v>
      </c>
      <c r="J2053" s="102" t="s">
        <v>65</v>
      </c>
      <c r="K2053" s="61" t="s">
        <v>3192</v>
      </c>
      <c r="L2053" s="62">
        <v>1</v>
      </c>
      <c r="M2053" s="63">
        <v>1500</v>
      </c>
      <c r="N2053" s="64">
        <v>7</v>
      </c>
      <c r="O2053" s="62">
        <v>1</v>
      </c>
      <c r="P2053" s="65">
        <f t="shared" si="135"/>
        <v>0</v>
      </c>
      <c r="Q2053" s="66"/>
      <c r="R2053" s="66"/>
      <c r="S2053" s="66"/>
      <c r="T2053" s="66"/>
      <c r="U2053" s="66"/>
      <c r="V2053" s="66"/>
      <c r="W2053" s="66"/>
      <c r="X2053" s="66"/>
      <c r="Y2053" s="66"/>
      <c r="Z2053" s="66"/>
      <c r="AA2053" s="66"/>
      <c r="AB2053" s="66"/>
      <c r="AC2053" s="66"/>
      <c r="AD2053" s="66"/>
      <c r="AE2053" s="66"/>
      <c r="AF2053" s="66"/>
      <c r="AG2053" s="66"/>
      <c r="AH2053" s="66"/>
      <c r="AI2053" s="66"/>
      <c r="AJ2053" s="66"/>
      <c r="AK2053" s="66"/>
      <c r="AL2053" s="66"/>
      <c r="AM2053" s="66"/>
      <c r="AN2053" s="66"/>
      <c r="AO2053" s="66"/>
      <c r="AP2053" s="66"/>
      <c r="AQ2053" s="66"/>
      <c r="AR2053" s="66"/>
      <c r="AS2053" s="66"/>
      <c r="AT2053" s="66"/>
      <c r="AU2053" s="66"/>
      <c r="AV2053" s="66"/>
      <c r="AW2053" s="66"/>
      <c r="AX2053" s="66"/>
      <c r="AY2053" s="66"/>
      <c r="AZ2053" s="66"/>
      <c r="BA2053" s="66"/>
      <c r="BB2053" s="66"/>
      <c r="BC2053" s="66"/>
      <c r="BD2053" s="66"/>
      <c r="BE2053" s="67"/>
      <c r="BF2053" s="67"/>
      <c r="BG2053" s="68"/>
      <c r="BI2053" s="69">
        <v>0</v>
      </c>
      <c r="BJ2053" s="70">
        <v>0</v>
      </c>
      <c r="BK2053" s="71">
        <v>0</v>
      </c>
      <c r="BL2053" s="71">
        <v>0</v>
      </c>
      <c r="BM2053" s="71">
        <v>0</v>
      </c>
      <c r="BN2053" s="72">
        <v>0</v>
      </c>
      <c r="BO2053" s="151" t="e">
        <f t="shared" si="136"/>
        <v>#DIV/0!</v>
      </c>
      <c r="BP2053" s="151" t="e">
        <f t="shared" si="137"/>
        <v>#DIV/0!</v>
      </c>
      <c r="BQ2053" s="71">
        <v>0</v>
      </c>
      <c r="BR2053" s="71">
        <v>0</v>
      </c>
      <c r="BS2053" s="71">
        <v>0</v>
      </c>
      <c r="BT2053" s="72">
        <v>0</v>
      </c>
      <c r="BU2053" s="73"/>
      <c r="BV2053" s="73"/>
    </row>
    <row r="2054" ht="30" customHeight="1" spans="1:74">
      <c r="A2054" s="55">
        <v>0</v>
      </c>
      <c r="B2054" s="56">
        <v>0</v>
      </c>
      <c r="C2054" s="57">
        <v>0</v>
      </c>
      <c r="D2054" s="74"/>
      <c r="E2054" s="74"/>
      <c r="F2054" s="59" t="e">
        <f>VLOOKUP(E2054,[1]库存!$B$1:$C$65536,2,FALSE)</f>
        <v>#N/A</v>
      </c>
      <c r="G2054" s="59" t="e">
        <v>#N/A</v>
      </c>
      <c r="H2054" s="74"/>
      <c r="I2054" s="74"/>
      <c r="J2054" s="102"/>
      <c r="K2054" s="61" t="s">
        <v>3193</v>
      </c>
      <c r="L2054" s="62">
        <v>0</v>
      </c>
      <c r="M2054" s="63">
        <v>0</v>
      </c>
      <c r="N2054" s="64">
        <v>0</v>
      </c>
      <c r="O2054" s="62">
        <v>0</v>
      </c>
      <c r="P2054" s="65">
        <f t="shared" ref="P2054:P2117" si="138">SUM(AG2054:AJ2054)</f>
        <v>0</v>
      </c>
      <c r="Q2054" s="66"/>
      <c r="R2054" s="66"/>
      <c r="S2054" s="66"/>
      <c r="T2054" s="66"/>
      <c r="U2054" s="66"/>
      <c r="V2054" s="66"/>
      <c r="W2054" s="66"/>
      <c r="X2054" s="66"/>
      <c r="Y2054" s="66"/>
      <c r="Z2054" s="66"/>
      <c r="AA2054" s="66"/>
      <c r="AB2054" s="66"/>
      <c r="AC2054" s="66"/>
      <c r="AD2054" s="66"/>
      <c r="AE2054" s="66"/>
      <c r="AF2054" s="66"/>
      <c r="AG2054" s="66"/>
      <c r="AH2054" s="66"/>
      <c r="AI2054" s="66"/>
      <c r="AJ2054" s="66"/>
      <c r="AK2054" s="66"/>
      <c r="AL2054" s="66"/>
      <c r="AM2054" s="66"/>
      <c r="AN2054" s="66"/>
      <c r="AO2054" s="66"/>
      <c r="AP2054" s="66"/>
      <c r="AQ2054" s="66"/>
      <c r="AR2054" s="66"/>
      <c r="AS2054" s="66"/>
      <c r="AT2054" s="66"/>
      <c r="AU2054" s="66"/>
      <c r="AV2054" s="66"/>
      <c r="AW2054" s="66"/>
      <c r="AX2054" s="66"/>
      <c r="AY2054" s="66"/>
      <c r="AZ2054" s="66"/>
      <c r="BA2054" s="66"/>
      <c r="BB2054" s="66"/>
      <c r="BC2054" s="66"/>
      <c r="BD2054" s="66"/>
      <c r="BE2054" s="67"/>
      <c r="BF2054" s="67"/>
      <c r="BG2054" s="68"/>
      <c r="BI2054" s="69">
        <v>0</v>
      </c>
      <c r="BJ2054" s="70">
        <v>0</v>
      </c>
      <c r="BK2054" s="71">
        <v>0</v>
      </c>
      <c r="BL2054" s="71">
        <v>0</v>
      </c>
      <c r="BM2054" s="71">
        <v>0</v>
      </c>
      <c r="BN2054" s="72">
        <v>0</v>
      </c>
      <c r="BO2054" s="151" t="e">
        <f t="shared" si="136"/>
        <v>#DIV/0!</v>
      </c>
      <c r="BP2054" s="151" t="e">
        <f t="shared" si="137"/>
        <v>#DIV/0!</v>
      </c>
      <c r="BQ2054" s="71">
        <v>0</v>
      </c>
      <c r="BR2054" s="71">
        <v>0</v>
      </c>
      <c r="BS2054" s="71">
        <v>0</v>
      </c>
      <c r="BT2054" s="72">
        <v>0</v>
      </c>
      <c r="BU2054" s="73"/>
      <c r="BV2054" s="73"/>
    </row>
    <row r="2055" ht="30" customHeight="1" spans="1:74">
      <c r="A2055" s="55">
        <v>0</v>
      </c>
      <c r="B2055" s="56">
        <v>0</v>
      </c>
      <c r="C2055" s="57">
        <v>0</v>
      </c>
      <c r="E2055" s="88"/>
      <c r="F2055" s="59" t="e">
        <f>VLOOKUP(E2055,[1]库存!$B$1:$C$65536,2,FALSE)</f>
        <v>#N/A</v>
      </c>
      <c r="G2055" s="59" t="e">
        <v>#N/A</v>
      </c>
      <c r="H2055" s="89"/>
      <c r="I2055" s="88"/>
      <c r="J2055" s="90"/>
      <c r="K2055" s="61"/>
      <c r="L2055" s="62">
        <v>0</v>
      </c>
      <c r="M2055" s="63">
        <v>0</v>
      </c>
      <c r="N2055" s="64">
        <v>0</v>
      </c>
      <c r="O2055" s="62">
        <v>0</v>
      </c>
      <c r="P2055" s="65">
        <f t="shared" si="138"/>
        <v>0</v>
      </c>
      <c r="Q2055" s="66"/>
      <c r="R2055" s="66"/>
      <c r="S2055" s="66"/>
      <c r="T2055" s="66"/>
      <c r="U2055" s="66"/>
      <c r="V2055" s="66"/>
      <c r="W2055" s="66"/>
      <c r="X2055" s="66"/>
      <c r="Y2055" s="66"/>
      <c r="Z2055" s="66"/>
      <c r="AA2055" s="66"/>
      <c r="AB2055" s="66"/>
      <c r="AC2055" s="66"/>
      <c r="AD2055" s="66"/>
      <c r="AE2055" s="66"/>
      <c r="AF2055" s="66"/>
      <c r="AG2055" s="66"/>
      <c r="AH2055" s="66"/>
      <c r="AI2055" s="66"/>
      <c r="AJ2055" s="66"/>
      <c r="AK2055" s="66"/>
      <c r="AL2055" s="66"/>
      <c r="AM2055" s="66"/>
      <c r="AN2055" s="66"/>
      <c r="AO2055" s="66"/>
      <c r="AP2055" s="66"/>
      <c r="AQ2055" s="66"/>
      <c r="AR2055" s="66"/>
      <c r="AS2055" s="66"/>
      <c r="AT2055" s="66"/>
      <c r="AU2055" s="66"/>
      <c r="AV2055" s="66"/>
      <c r="AW2055" s="66"/>
      <c r="AX2055" s="66"/>
      <c r="AY2055" s="66"/>
      <c r="AZ2055" s="66"/>
      <c r="BA2055" s="66"/>
      <c r="BB2055" s="66"/>
      <c r="BC2055" s="66"/>
      <c r="BD2055" s="66"/>
      <c r="BE2055" s="67"/>
      <c r="BF2055" s="67"/>
      <c r="BG2055" s="68"/>
      <c r="BI2055" s="69">
        <v>0</v>
      </c>
      <c r="BJ2055" s="70">
        <v>0</v>
      </c>
      <c r="BK2055" s="71">
        <v>0</v>
      </c>
      <c r="BL2055" s="71">
        <v>0</v>
      </c>
      <c r="BM2055" s="71">
        <v>0</v>
      </c>
      <c r="BN2055" s="72">
        <v>0</v>
      </c>
      <c r="BO2055" s="151" t="e">
        <f t="shared" si="136"/>
        <v>#DIV/0!</v>
      </c>
      <c r="BP2055" s="151" t="e">
        <f t="shared" si="137"/>
        <v>#DIV/0!</v>
      </c>
      <c r="BQ2055" s="71">
        <v>0</v>
      </c>
      <c r="BR2055" s="71">
        <v>0</v>
      </c>
      <c r="BS2055" s="71">
        <v>0</v>
      </c>
      <c r="BT2055" s="72">
        <v>0</v>
      </c>
      <c r="BU2055" s="73"/>
      <c r="BV2055" s="73"/>
    </row>
    <row r="2056" ht="30" customHeight="1" spans="1:74">
      <c r="A2056" s="55" t="s">
        <v>96</v>
      </c>
      <c r="B2056" s="56" t="s">
        <v>1057</v>
      </c>
      <c r="C2056" s="57" t="s">
        <v>1324</v>
      </c>
      <c r="D2056" s="59" t="s">
        <v>3241</v>
      </c>
      <c r="E2056" s="59" t="s">
        <v>3242</v>
      </c>
      <c r="F2056" s="59" t="str">
        <f>VLOOKUP(E2056,[1]库存!$B$1:$C$65536,2,FALSE)</f>
        <v>SVW LAVIDA NF SAB LH</v>
      </c>
      <c r="G2056" s="59" t="s">
        <v>3243</v>
      </c>
      <c r="H2056" s="59" t="s">
        <v>3244</v>
      </c>
      <c r="I2056" s="59" t="s">
        <v>3245</v>
      </c>
      <c r="J2056" s="102" t="s">
        <v>65</v>
      </c>
      <c r="K2056" s="61" t="s">
        <v>3192</v>
      </c>
      <c r="L2056" s="62">
        <v>2</v>
      </c>
      <c r="M2056" s="63">
        <v>1450</v>
      </c>
      <c r="N2056" s="64">
        <v>12</v>
      </c>
      <c r="O2056" s="62">
        <v>2</v>
      </c>
      <c r="P2056" s="65">
        <f t="shared" si="138"/>
        <v>0</v>
      </c>
      <c r="Q2056" s="66"/>
      <c r="R2056" s="66"/>
      <c r="S2056" s="66"/>
      <c r="T2056" s="66"/>
      <c r="U2056" s="66"/>
      <c r="V2056" s="66"/>
      <c r="W2056" s="66"/>
      <c r="X2056" s="66"/>
      <c r="Y2056" s="66"/>
      <c r="Z2056" s="66"/>
      <c r="AA2056" s="66"/>
      <c r="AB2056" s="66"/>
      <c r="AC2056" s="66"/>
      <c r="AD2056" s="66"/>
      <c r="AE2056" s="66"/>
      <c r="AF2056" s="66"/>
      <c r="AG2056" s="66"/>
      <c r="AH2056" s="66"/>
      <c r="AI2056" s="66"/>
      <c r="AJ2056" s="66"/>
      <c r="AK2056" s="66"/>
      <c r="AL2056" s="66"/>
      <c r="AM2056" s="66"/>
      <c r="AN2056" s="66"/>
      <c r="AO2056" s="66"/>
      <c r="AP2056" s="66"/>
      <c r="AQ2056" s="66"/>
      <c r="AR2056" s="66"/>
      <c r="AS2056" s="66"/>
      <c r="AT2056" s="66"/>
      <c r="AU2056" s="66"/>
      <c r="AV2056" s="66"/>
      <c r="AW2056" s="66"/>
      <c r="AX2056" s="66"/>
      <c r="AY2056" s="66"/>
      <c r="AZ2056" s="66"/>
      <c r="BA2056" s="66"/>
      <c r="BB2056" s="66"/>
      <c r="BC2056" s="66"/>
      <c r="BD2056" s="66"/>
      <c r="BE2056" s="67"/>
      <c r="BF2056" s="67"/>
      <c r="BG2056" s="68"/>
      <c r="BI2056" s="69">
        <v>0</v>
      </c>
      <c r="BJ2056" s="70">
        <v>0</v>
      </c>
      <c r="BK2056" s="71">
        <v>0</v>
      </c>
      <c r="BL2056" s="71">
        <v>0</v>
      </c>
      <c r="BM2056" s="71">
        <v>0</v>
      </c>
      <c r="BN2056" s="72">
        <v>0</v>
      </c>
      <c r="BO2056" s="151" t="e">
        <f t="shared" si="136"/>
        <v>#DIV/0!</v>
      </c>
      <c r="BP2056" s="151" t="e">
        <f t="shared" si="137"/>
        <v>#DIV/0!</v>
      </c>
      <c r="BQ2056" s="71">
        <v>0</v>
      </c>
      <c r="BR2056" s="71">
        <v>0</v>
      </c>
      <c r="BS2056" s="71">
        <v>0</v>
      </c>
      <c r="BT2056" s="72">
        <v>0</v>
      </c>
      <c r="BU2056" s="73"/>
      <c r="BV2056" s="73"/>
    </row>
    <row r="2057" ht="30" customHeight="1" spans="1:74">
      <c r="A2057" s="55">
        <v>0</v>
      </c>
      <c r="B2057" s="56">
        <v>0</v>
      </c>
      <c r="C2057" s="57">
        <v>0</v>
      </c>
      <c r="D2057" s="74"/>
      <c r="E2057" s="74"/>
      <c r="F2057" s="59" t="e">
        <f>VLOOKUP(E2057,[1]库存!$B$1:$C$65536,2,FALSE)</f>
        <v>#N/A</v>
      </c>
      <c r="G2057" s="59" t="e">
        <v>#N/A</v>
      </c>
      <c r="H2057" s="74"/>
      <c r="I2057" s="74"/>
      <c r="J2057" s="102"/>
      <c r="K2057" s="61" t="s">
        <v>3193</v>
      </c>
      <c r="L2057" s="62">
        <v>0</v>
      </c>
      <c r="M2057" s="63">
        <v>0</v>
      </c>
      <c r="N2057" s="64">
        <v>0</v>
      </c>
      <c r="O2057" s="62">
        <v>0</v>
      </c>
      <c r="P2057" s="65">
        <f t="shared" si="138"/>
        <v>0</v>
      </c>
      <c r="Q2057" s="66"/>
      <c r="R2057" s="66"/>
      <c r="S2057" s="66"/>
      <c r="T2057" s="66"/>
      <c r="U2057" s="66"/>
      <c r="V2057" s="66"/>
      <c r="W2057" s="66"/>
      <c r="X2057" s="66"/>
      <c r="Y2057" s="66"/>
      <c r="Z2057" s="66"/>
      <c r="AA2057" s="66"/>
      <c r="AB2057" s="66"/>
      <c r="AC2057" s="66"/>
      <c r="AD2057" s="66"/>
      <c r="AE2057" s="66"/>
      <c r="AF2057" s="66"/>
      <c r="AG2057" s="66"/>
      <c r="AH2057" s="66"/>
      <c r="AI2057" s="66"/>
      <c r="AJ2057" s="66"/>
      <c r="AK2057" s="66"/>
      <c r="AL2057" s="66"/>
      <c r="AM2057" s="66"/>
      <c r="AN2057" s="66"/>
      <c r="AO2057" s="66"/>
      <c r="AP2057" s="66"/>
      <c r="AQ2057" s="66"/>
      <c r="AR2057" s="66"/>
      <c r="AS2057" s="66"/>
      <c r="AT2057" s="66"/>
      <c r="AU2057" s="66"/>
      <c r="AV2057" s="66"/>
      <c r="AW2057" s="66"/>
      <c r="AX2057" s="66"/>
      <c r="AY2057" s="66"/>
      <c r="AZ2057" s="66"/>
      <c r="BA2057" s="66"/>
      <c r="BB2057" s="66"/>
      <c r="BC2057" s="66"/>
      <c r="BD2057" s="66"/>
      <c r="BE2057" s="67"/>
      <c r="BF2057" s="67"/>
      <c r="BG2057" s="68"/>
      <c r="BI2057" s="69">
        <v>0</v>
      </c>
      <c r="BJ2057" s="70">
        <v>0</v>
      </c>
      <c r="BK2057" s="71">
        <v>0</v>
      </c>
      <c r="BL2057" s="71">
        <v>0</v>
      </c>
      <c r="BM2057" s="71">
        <v>0</v>
      </c>
      <c r="BN2057" s="72">
        <v>0</v>
      </c>
      <c r="BO2057" s="151" t="e">
        <f t="shared" si="136"/>
        <v>#DIV/0!</v>
      </c>
      <c r="BP2057" s="151" t="e">
        <f t="shared" si="137"/>
        <v>#DIV/0!</v>
      </c>
      <c r="BQ2057" s="71">
        <v>0</v>
      </c>
      <c r="BR2057" s="71">
        <v>0</v>
      </c>
      <c r="BS2057" s="71">
        <v>0</v>
      </c>
      <c r="BT2057" s="72">
        <v>0</v>
      </c>
      <c r="BU2057" s="73"/>
      <c r="BV2057" s="73"/>
    </row>
    <row r="2058" ht="30" customHeight="1" spans="1:74">
      <c r="A2058" s="55" t="s">
        <v>96</v>
      </c>
      <c r="B2058" s="56" t="s">
        <v>1057</v>
      </c>
      <c r="C2058" s="57" t="s">
        <v>1324</v>
      </c>
      <c r="D2058" s="59" t="s">
        <v>3241</v>
      </c>
      <c r="E2058" s="59" t="s">
        <v>3246</v>
      </c>
      <c r="F2058" s="59" t="str">
        <f>VLOOKUP(E2058,[1]库存!$B$1:$C$65536,2,FALSE)</f>
        <v>SVW LAVIDA NF SAB RH</v>
      </c>
      <c r="G2058" s="59" t="s">
        <v>3247</v>
      </c>
      <c r="H2058" s="59" t="s">
        <v>3248</v>
      </c>
      <c r="I2058" s="59" t="s">
        <v>3245</v>
      </c>
      <c r="J2058" s="102" t="s">
        <v>65</v>
      </c>
      <c r="K2058" s="61" t="s">
        <v>3192</v>
      </c>
      <c r="L2058" s="62">
        <v>2</v>
      </c>
      <c r="M2058" s="63">
        <v>1450</v>
      </c>
      <c r="N2058" s="64">
        <v>12</v>
      </c>
      <c r="O2058" s="62">
        <v>2</v>
      </c>
      <c r="P2058" s="65">
        <f t="shared" si="138"/>
        <v>0</v>
      </c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66"/>
      <c r="AI2058" s="66"/>
      <c r="AJ2058" s="66"/>
      <c r="AK2058" s="66"/>
      <c r="AL2058" s="66"/>
      <c r="AM2058" s="66"/>
      <c r="AN2058" s="66"/>
      <c r="AO2058" s="66"/>
      <c r="AP2058" s="66"/>
      <c r="AQ2058" s="66"/>
      <c r="AR2058" s="66"/>
      <c r="AS2058" s="66"/>
      <c r="AT2058" s="66"/>
      <c r="AU2058" s="66"/>
      <c r="AV2058" s="66"/>
      <c r="AW2058" s="66"/>
      <c r="AX2058" s="66"/>
      <c r="AY2058" s="66"/>
      <c r="AZ2058" s="66"/>
      <c r="BA2058" s="66"/>
      <c r="BB2058" s="66"/>
      <c r="BC2058" s="66"/>
      <c r="BD2058" s="66"/>
      <c r="BE2058" s="67"/>
      <c r="BF2058" s="67"/>
      <c r="BG2058" s="68"/>
      <c r="BI2058" s="69">
        <v>0</v>
      </c>
      <c r="BJ2058" s="70">
        <v>0</v>
      </c>
      <c r="BK2058" s="71">
        <v>0</v>
      </c>
      <c r="BL2058" s="71">
        <v>0</v>
      </c>
      <c r="BM2058" s="71">
        <v>0</v>
      </c>
      <c r="BN2058" s="72">
        <v>0</v>
      </c>
      <c r="BO2058" s="151" t="e">
        <f t="shared" si="136"/>
        <v>#DIV/0!</v>
      </c>
      <c r="BP2058" s="151" t="e">
        <f t="shared" si="137"/>
        <v>#DIV/0!</v>
      </c>
      <c r="BQ2058" s="71">
        <v>0</v>
      </c>
      <c r="BR2058" s="71">
        <v>0</v>
      </c>
      <c r="BS2058" s="71">
        <v>0</v>
      </c>
      <c r="BT2058" s="72">
        <v>0</v>
      </c>
      <c r="BU2058" s="73"/>
      <c r="BV2058" s="73"/>
    </row>
    <row r="2059" ht="30" customHeight="1" spans="1:74">
      <c r="A2059" s="55">
        <v>0</v>
      </c>
      <c r="B2059" s="56">
        <v>0</v>
      </c>
      <c r="C2059" s="57">
        <v>0</v>
      </c>
      <c r="D2059" s="74"/>
      <c r="E2059" s="74"/>
      <c r="F2059" s="59" t="e">
        <f>VLOOKUP(E2059,[1]库存!$B$1:$C$65536,2,FALSE)</f>
        <v>#N/A</v>
      </c>
      <c r="G2059" s="59" t="e">
        <v>#N/A</v>
      </c>
      <c r="H2059" s="74"/>
      <c r="I2059" s="74"/>
      <c r="J2059" s="102"/>
      <c r="K2059" s="61" t="s">
        <v>3193</v>
      </c>
      <c r="L2059" s="62">
        <v>0</v>
      </c>
      <c r="M2059" s="63">
        <v>0</v>
      </c>
      <c r="N2059" s="64">
        <v>0</v>
      </c>
      <c r="O2059" s="62">
        <v>0</v>
      </c>
      <c r="P2059" s="65">
        <f t="shared" si="138"/>
        <v>0</v>
      </c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  <c r="AA2059" s="66"/>
      <c r="AB2059" s="66"/>
      <c r="AC2059" s="66"/>
      <c r="AD2059" s="66"/>
      <c r="AE2059" s="66"/>
      <c r="AF2059" s="66"/>
      <c r="AG2059" s="66"/>
      <c r="AH2059" s="66"/>
      <c r="AI2059" s="66"/>
      <c r="AJ2059" s="66"/>
      <c r="AK2059" s="66"/>
      <c r="AL2059" s="66"/>
      <c r="AM2059" s="66"/>
      <c r="AN2059" s="66"/>
      <c r="AO2059" s="66"/>
      <c r="AP2059" s="66"/>
      <c r="AQ2059" s="66"/>
      <c r="AR2059" s="66"/>
      <c r="AS2059" s="66"/>
      <c r="AT2059" s="66"/>
      <c r="AU2059" s="66"/>
      <c r="AV2059" s="66"/>
      <c r="AW2059" s="66"/>
      <c r="AX2059" s="66"/>
      <c r="AY2059" s="66"/>
      <c r="AZ2059" s="66"/>
      <c r="BA2059" s="66"/>
      <c r="BB2059" s="66"/>
      <c r="BC2059" s="66"/>
      <c r="BD2059" s="66"/>
      <c r="BE2059" s="67"/>
      <c r="BF2059" s="67"/>
      <c r="BG2059" s="68"/>
      <c r="BI2059" s="69">
        <v>0</v>
      </c>
      <c r="BJ2059" s="70">
        <v>0</v>
      </c>
      <c r="BK2059" s="71">
        <v>0</v>
      </c>
      <c r="BL2059" s="71">
        <v>0</v>
      </c>
      <c r="BM2059" s="71">
        <v>0</v>
      </c>
      <c r="BN2059" s="72">
        <v>0</v>
      </c>
      <c r="BO2059" s="151" t="e">
        <f t="shared" si="136"/>
        <v>#DIV/0!</v>
      </c>
      <c r="BP2059" s="151" t="e">
        <f t="shared" si="137"/>
        <v>#DIV/0!</v>
      </c>
      <c r="BQ2059" s="71">
        <v>0</v>
      </c>
      <c r="BR2059" s="71">
        <v>0</v>
      </c>
      <c r="BS2059" s="71">
        <v>0</v>
      </c>
      <c r="BT2059" s="72">
        <v>0</v>
      </c>
      <c r="BU2059" s="73"/>
      <c r="BV2059" s="73"/>
    </row>
    <row r="2060" ht="30" customHeight="1" spans="1:74">
      <c r="A2060" s="55">
        <v>0</v>
      </c>
      <c r="B2060" s="56" t="s">
        <v>1057</v>
      </c>
      <c r="C2060" s="57" t="s">
        <v>1324</v>
      </c>
      <c r="D2060" s="59" t="s">
        <v>3241</v>
      </c>
      <c r="E2060" s="59" t="s">
        <v>3249</v>
      </c>
      <c r="F2060" s="59" t="str">
        <f>VLOOKUP(E2060,[1]库存!$B$1:$C$65536,2,FALSE)</f>
        <v>KAROQ SAB LH</v>
      </c>
      <c r="G2060" s="59" t="s">
        <v>3250</v>
      </c>
      <c r="H2060" s="59" t="s">
        <v>3251</v>
      </c>
      <c r="I2060" s="59" t="s">
        <v>3252</v>
      </c>
      <c r="J2060" s="102" t="s">
        <v>3253</v>
      </c>
      <c r="K2060" s="61" t="s">
        <v>3192</v>
      </c>
      <c r="L2060" s="62">
        <v>2</v>
      </c>
      <c r="M2060" s="63">
        <v>1400</v>
      </c>
      <c r="N2060" s="64">
        <v>13</v>
      </c>
      <c r="O2060" s="62">
        <v>2</v>
      </c>
      <c r="P2060" s="65">
        <f t="shared" si="138"/>
        <v>0</v>
      </c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  <c r="AA2060" s="66"/>
      <c r="AB2060" s="66"/>
      <c r="AC2060" s="66"/>
      <c r="AD2060" s="66"/>
      <c r="AE2060" s="66"/>
      <c r="AF2060" s="66"/>
      <c r="AG2060" s="66"/>
      <c r="AH2060" s="66"/>
      <c r="AI2060" s="66"/>
      <c r="AJ2060" s="66"/>
      <c r="AK2060" s="66"/>
      <c r="AL2060" s="66"/>
      <c r="AM2060" s="66"/>
      <c r="AN2060" s="66"/>
      <c r="AO2060" s="66"/>
      <c r="AP2060" s="66"/>
      <c r="AQ2060" s="66"/>
      <c r="AR2060" s="66"/>
      <c r="AS2060" s="66"/>
      <c r="AT2060" s="66"/>
      <c r="AU2060" s="66"/>
      <c r="AV2060" s="66"/>
      <c r="AW2060" s="66"/>
      <c r="AX2060" s="66"/>
      <c r="AY2060" s="66"/>
      <c r="AZ2060" s="66"/>
      <c r="BA2060" s="66"/>
      <c r="BB2060" s="66"/>
      <c r="BC2060" s="66"/>
      <c r="BD2060" s="66"/>
      <c r="BE2060" s="67"/>
      <c r="BF2060" s="67"/>
      <c r="BG2060" s="68"/>
      <c r="BI2060" s="69">
        <v>0</v>
      </c>
      <c r="BJ2060" s="70">
        <v>0</v>
      </c>
      <c r="BK2060" s="71">
        <v>0</v>
      </c>
      <c r="BL2060" s="71">
        <v>0</v>
      </c>
      <c r="BM2060" s="71">
        <v>0</v>
      </c>
      <c r="BN2060" s="72">
        <v>0</v>
      </c>
      <c r="BO2060" s="151" t="e">
        <f t="shared" si="136"/>
        <v>#DIV/0!</v>
      </c>
      <c r="BP2060" s="151" t="e">
        <f t="shared" si="137"/>
        <v>#DIV/0!</v>
      </c>
      <c r="BQ2060" s="71">
        <v>0</v>
      </c>
      <c r="BR2060" s="71">
        <v>0</v>
      </c>
      <c r="BS2060" s="71">
        <v>0</v>
      </c>
      <c r="BT2060" s="72">
        <v>0</v>
      </c>
      <c r="BU2060" s="73"/>
      <c r="BV2060" s="73"/>
    </row>
    <row r="2061" ht="30" customHeight="1" spans="1:74">
      <c r="A2061" s="55">
        <v>0</v>
      </c>
      <c r="B2061" s="56">
        <v>0</v>
      </c>
      <c r="C2061" s="57">
        <v>0</v>
      </c>
      <c r="D2061" s="74"/>
      <c r="E2061" s="74"/>
      <c r="F2061" s="59" t="e">
        <f>VLOOKUP(E2061,[1]库存!$B$1:$C$65536,2,FALSE)</f>
        <v>#N/A</v>
      </c>
      <c r="G2061" s="59" t="e">
        <v>#N/A</v>
      </c>
      <c r="H2061" s="74"/>
      <c r="I2061" s="74"/>
      <c r="J2061" s="102"/>
      <c r="K2061" s="61" t="s">
        <v>3193</v>
      </c>
      <c r="L2061" s="62">
        <v>0</v>
      </c>
      <c r="M2061" s="63">
        <v>0</v>
      </c>
      <c r="N2061" s="64">
        <v>0</v>
      </c>
      <c r="O2061" s="62">
        <v>0</v>
      </c>
      <c r="P2061" s="65">
        <f t="shared" si="138"/>
        <v>0</v>
      </c>
      <c r="Q2061" s="66"/>
      <c r="R2061" s="66"/>
      <c r="S2061" s="66"/>
      <c r="T2061" s="66"/>
      <c r="U2061" s="66"/>
      <c r="V2061" s="66"/>
      <c r="W2061" s="66"/>
      <c r="X2061" s="66"/>
      <c r="Y2061" s="66"/>
      <c r="Z2061" s="66"/>
      <c r="AA2061" s="66"/>
      <c r="AB2061" s="66"/>
      <c r="AC2061" s="66"/>
      <c r="AD2061" s="66"/>
      <c r="AE2061" s="66"/>
      <c r="AF2061" s="66"/>
      <c r="AG2061" s="66"/>
      <c r="AH2061" s="66"/>
      <c r="AI2061" s="66"/>
      <c r="AJ2061" s="66"/>
      <c r="AK2061" s="66"/>
      <c r="AL2061" s="66"/>
      <c r="AM2061" s="66"/>
      <c r="AN2061" s="66"/>
      <c r="AO2061" s="66"/>
      <c r="AP2061" s="66"/>
      <c r="AQ2061" s="66"/>
      <c r="AR2061" s="66"/>
      <c r="AS2061" s="66"/>
      <c r="AT2061" s="66"/>
      <c r="AU2061" s="66"/>
      <c r="AV2061" s="66"/>
      <c r="AW2061" s="66"/>
      <c r="AX2061" s="66"/>
      <c r="AY2061" s="66"/>
      <c r="AZ2061" s="66"/>
      <c r="BA2061" s="66"/>
      <c r="BB2061" s="66"/>
      <c r="BC2061" s="66"/>
      <c r="BD2061" s="66"/>
      <c r="BE2061" s="67"/>
      <c r="BF2061" s="67"/>
      <c r="BG2061" s="68"/>
      <c r="BI2061" s="69">
        <v>0</v>
      </c>
      <c r="BJ2061" s="70">
        <v>0</v>
      </c>
      <c r="BK2061" s="71">
        <v>0</v>
      </c>
      <c r="BL2061" s="71">
        <v>0</v>
      </c>
      <c r="BM2061" s="71">
        <v>0</v>
      </c>
      <c r="BN2061" s="72">
        <v>0</v>
      </c>
      <c r="BO2061" s="151" t="e">
        <f t="shared" si="136"/>
        <v>#DIV/0!</v>
      </c>
      <c r="BP2061" s="151" t="e">
        <f t="shared" si="137"/>
        <v>#DIV/0!</v>
      </c>
      <c r="BQ2061" s="71">
        <v>0</v>
      </c>
      <c r="BR2061" s="71">
        <v>0</v>
      </c>
      <c r="BS2061" s="71">
        <v>0</v>
      </c>
      <c r="BT2061" s="72">
        <v>0</v>
      </c>
      <c r="BU2061" s="73"/>
      <c r="BV2061" s="73"/>
    </row>
    <row r="2062" ht="30" customHeight="1" spans="1:74">
      <c r="A2062" s="55">
        <v>0</v>
      </c>
      <c r="B2062" s="56" t="s">
        <v>1057</v>
      </c>
      <c r="C2062" s="57" t="s">
        <v>1324</v>
      </c>
      <c r="D2062" s="59" t="s">
        <v>3241</v>
      </c>
      <c r="E2062" s="59" t="s">
        <v>3254</v>
      </c>
      <c r="F2062" s="59" t="str">
        <f>VLOOKUP(E2062,[1]库存!$B$1:$C$65536,2,FALSE)</f>
        <v>KAROQ SAB RH</v>
      </c>
      <c r="G2062" s="59" t="s">
        <v>3255</v>
      </c>
      <c r="H2062" s="59" t="s">
        <v>3256</v>
      </c>
      <c r="I2062" s="59" t="s">
        <v>3252</v>
      </c>
      <c r="J2062" s="102" t="s">
        <v>3253</v>
      </c>
      <c r="K2062" s="61" t="s">
        <v>3192</v>
      </c>
      <c r="L2062" s="62">
        <v>2</v>
      </c>
      <c r="M2062" s="63">
        <v>1400</v>
      </c>
      <c r="N2062" s="64">
        <v>13</v>
      </c>
      <c r="O2062" s="62">
        <v>2</v>
      </c>
      <c r="P2062" s="65">
        <f t="shared" si="138"/>
        <v>0</v>
      </c>
      <c r="Q2062" s="66"/>
      <c r="R2062" s="66"/>
      <c r="S2062" s="66"/>
      <c r="T2062" s="66"/>
      <c r="U2062" s="66"/>
      <c r="V2062" s="66"/>
      <c r="W2062" s="66"/>
      <c r="X2062" s="66"/>
      <c r="Y2062" s="66"/>
      <c r="Z2062" s="66"/>
      <c r="AA2062" s="66"/>
      <c r="AB2062" s="66"/>
      <c r="AC2062" s="66"/>
      <c r="AD2062" s="66"/>
      <c r="AE2062" s="66"/>
      <c r="AF2062" s="66"/>
      <c r="AG2062" s="66"/>
      <c r="AH2062" s="66"/>
      <c r="AI2062" s="66"/>
      <c r="AJ2062" s="66"/>
      <c r="AK2062" s="66"/>
      <c r="AL2062" s="66"/>
      <c r="AM2062" s="66"/>
      <c r="AN2062" s="66"/>
      <c r="AO2062" s="66"/>
      <c r="AP2062" s="66"/>
      <c r="AQ2062" s="66"/>
      <c r="AR2062" s="66"/>
      <c r="AS2062" s="66"/>
      <c r="AT2062" s="66"/>
      <c r="AU2062" s="66"/>
      <c r="AV2062" s="66"/>
      <c r="AW2062" s="66"/>
      <c r="AX2062" s="66"/>
      <c r="AY2062" s="66"/>
      <c r="AZ2062" s="66"/>
      <c r="BA2062" s="66"/>
      <c r="BB2062" s="66"/>
      <c r="BC2062" s="66"/>
      <c r="BD2062" s="66"/>
      <c r="BE2062" s="67"/>
      <c r="BF2062" s="67"/>
      <c r="BG2062" s="68"/>
      <c r="BI2062" s="69">
        <v>0</v>
      </c>
      <c r="BJ2062" s="70">
        <v>0</v>
      </c>
      <c r="BK2062" s="71">
        <v>0</v>
      </c>
      <c r="BL2062" s="71">
        <v>0</v>
      </c>
      <c r="BM2062" s="71">
        <v>0</v>
      </c>
      <c r="BN2062" s="72">
        <v>0</v>
      </c>
      <c r="BO2062" s="151" t="e">
        <f t="shared" si="136"/>
        <v>#DIV/0!</v>
      </c>
      <c r="BP2062" s="151" t="e">
        <f t="shared" si="137"/>
        <v>#DIV/0!</v>
      </c>
      <c r="BQ2062" s="71">
        <v>0</v>
      </c>
      <c r="BR2062" s="71">
        <v>0</v>
      </c>
      <c r="BS2062" s="71">
        <v>0</v>
      </c>
      <c r="BT2062" s="72">
        <v>0</v>
      </c>
      <c r="BU2062" s="73"/>
      <c r="BV2062" s="73"/>
    </row>
    <row r="2063" ht="30" customHeight="1" spans="1:74">
      <c r="A2063" s="55">
        <v>0</v>
      </c>
      <c r="B2063" s="56">
        <v>0</v>
      </c>
      <c r="C2063" s="57">
        <v>0</v>
      </c>
      <c r="D2063" s="74"/>
      <c r="E2063" s="74"/>
      <c r="F2063" s="59" t="e">
        <f>VLOOKUP(E2063,[1]库存!$B$1:$C$65536,2,FALSE)</f>
        <v>#N/A</v>
      </c>
      <c r="G2063" s="59" t="e">
        <v>#N/A</v>
      </c>
      <c r="H2063" s="74"/>
      <c r="I2063" s="74"/>
      <c r="J2063" s="102"/>
      <c r="K2063" s="61" t="s">
        <v>3193</v>
      </c>
      <c r="L2063" s="62">
        <v>0</v>
      </c>
      <c r="M2063" s="63">
        <v>0</v>
      </c>
      <c r="N2063" s="64">
        <v>0</v>
      </c>
      <c r="O2063" s="62">
        <v>0</v>
      </c>
      <c r="P2063" s="65">
        <f t="shared" si="138"/>
        <v>0</v>
      </c>
      <c r="Q2063" s="66"/>
      <c r="R2063" s="66"/>
      <c r="S2063" s="66"/>
      <c r="T2063" s="66"/>
      <c r="U2063" s="66"/>
      <c r="V2063" s="66"/>
      <c r="W2063" s="66"/>
      <c r="X2063" s="66"/>
      <c r="Y2063" s="66"/>
      <c r="Z2063" s="66"/>
      <c r="AA2063" s="66"/>
      <c r="AB2063" s="66"/>
      <c r="AC2063" s="66"/>
      <c r="AD2063" s="66"/>
      <c r="AE2063" s="66"/>
      <c r="AF2063" s="66"/>
      <c r="AG2063" s="66"/>
      <c r="AH2063" s="66"/>
      <c r="AI2063" s="66"/>
      <c r="AJ2063" s="66"/>
      <c r="AK2063" s="66"/>
      <c r="AL2063" s="66"/>
      <c r="AM2063" s="66"/>
      <c r="AN2063" s="66"/>
      <c r="AO2063" s="66"/>
      <c r="AP2063" s="66"/>
      <c r="AQ2063" s="66"/>
      <c r="AR2063" s="66"/>
      <c r="AS2063" s="66"/>
      <c r="AT2063" s="66"/>
      <c r="AU2063" s="66"/>
      <c r="AV2063" s="66"/>
      <c r="AW2063" s="66"/>
      <c r="AX2063" s="66"/>
      <c r="AY2063" s="66"/>
      <c r="AZ2063" s="66"/>
      <c r="BA2063" s="66"/>
      <c r="BB2063" s="66"/>
      <c r="BC2063" s="66"/>
      <c r="BD2063" s="66"/>
      <c r="BE2063" s="67"/>
      <c r="BF2063" s="67"/>
      <c r="BG2063" s="68"/>
      <c r="BI2063" s="69">
        <v>0</v>
      </c>
      <c r="BJ2063" s="70">
        <v>0</v>
      </c>
      <c r="BK2063" s="71">
        <v>0</v>
      </c>
      <c r="BL2063" s="71">
        <v>0</v>
      </c>
      <c r="BM2063" s="71">
        <v>0</v>
      </c>
      <c r="BN2063" s="72">
        <v>0</v>
      </c>
      <c r="BO2063" s="151" t="e">
        <f t="shared" si="136"/>
        <v>#DIV/0!</v>
      </c>
      <c r="BP2063" s="151" t="e">
        <f t="shared" si="137"/>
        <v>#DIV/0!</v>
      </c>
      <c r="BQ2063" s="71">
        <v>0</v>
      </c>
      <c r="BR2063" s="71">
        <v>0</v>
      </c>
      <c r="BS2063" s="71">
        <v>0</v>
      </c>
      <c r="BT2063" s="72">
        <v>0</v>
      </c>
      <c r="BU2063" s="73"/>
      <c r="BV2063" s="73"/>
    </row>
    <row r="2064" ht="30" customHeight="1" spans="1:74">
      <c r="A2064" s="55">
        <v>0</v>
      </c>
      <c r="B2064" s="56" t="s">
        <v>1057</v>
      </c>
      <c r="C2064" s="57" t="s">
        <v>1324</v>
      </c>
      <c r="D2064" s="59" t="s">
        <v>3241</v>
      </c>
      <c r="E2064" s="59" t="s">
        <v>3257</v>
      </c>
      <c r="F2064" s="59" t="str">
        <f>VLOOKUP(E2064,[1]库存!$B$1:$C$65536,2,FALSE)</f>
        <v>SKODA MODEL Q SAB LH</v>
      </c>
      <c r="G2064" s="59" t="s">
        <v>3258</v>
      </c>
      <c r="H2064" s="59" t="s">
        <v>3259</v>
      </c>
      <c r="I2064" s="59" t="s">
        <v>3260</v>
      </c>
      <c r="J2064" s="102" t="s">
        <v>3261</v>
      </c>
      <c r="K2064" s="61" t="s">
        <v>3192</v>
      </c>
      <c r="L2064" s="62">
        <v>2</v>
      </c>
      <c r="M2064" s="63">
        <v>1450</v>
      </c>
      <c r="N2064" s="64">
        <v>12</v>
      </c>
      <c r="O2064" s="62">
        <v>2</v>
      </c>
      <c r="P2064" s="65">
        <f t="shared" si="138"/>
        <v>0</v>
      </c>
      <c r="Q2064" s="66"/>
      <c r="R2064" s="66"/>
      <c r="S2064" s="66"/>
      <c r="T2064" s="66"/>
      <c r="U2064" s="66"/>
      <c r="V2064" s="66"/>
      <c r="W2064" s="66"/>
      <c r="X2064" s="66"/>
      <c r="Y2064" s="66"/>
      <c r="Z2064" s="66"/>
      <c r="AA2064" s="66"/>
      <c r="AB2064" s="66"/>
      <c r="AC2064" s="66"/>
      <c r="AD2064" s="66"/>
      <c r="AE2064" s="66"/>
      <c r="AF2064" s="66"/>
      <c r="AG2064" s="66"/>
      <c r="AH2064" s="66"/>
      <c r="AI2064" s="66"/>
      <c r="AJ2064" s="66"/>
      <c r="AK2064" s="66"/>
      <c r="AL2064" s="66"/>
      <c r="AM2064" s="66"/>
      <c r="AN2064" s="66"/>
      <c r="AO2064" s="66"/>
      <c r="AP2064" s="66"/>
      <c r="AQ2064" s="66"/>
      <c r="AR2064" s="66"/>
      <c r="AS2064" s="66"/>
      <c r="AT2064" s="66"/>
      <c r="AU2064" s="66"/>
      <c r="AV2064" s="66"/>
      <c r="AW2064" s="66"/>
      <c r="AX2064" s="66"/>
      <c r="AY2064" s="66"/>
      <c r="AZ2064" s="66"/>
      <c r="BA2064" s="66"/>
      <c r="BB2064" s="66"/>
      <c r="BC2064" s="66"/>
      <c r="BD2064" s="66"/>
      <c r="BE2064" s="67"/>
      <c r="BF2064" s="67"/>
      <c r="BG2064" s="68"/>
      <c r="BI2064" s="69">
        <v>0</v>
      </c>
      <c r="BJ2064" s="70">
        <v>0</v>
      </c>
      <c r="BK2064" s="71">
        <v>0</v>
      </c>
      <c r="BL2064" s="71">
        <v>0</v>
      </c>
      <c r="BM2064" s="71">
        <v>0</v>
      </c>
      <c r="BN2064" s="72">
        <v>0</v>
      </c>
      <c r="BO2064" s="151" t="e">
        <f t="shared" si="136"/>
        <v>#DIV/0!</v>
      </c>
      <c r="BP2064" s="151" t="e">
        <f t="shared" si="137"/>
        <v>#DIV/0!</v>
      </c>
      <c r="BQ2064" s="71">
        <v>0</v>
      </c>
      <c r="BR2064" s="71">
        <v>0</v>
      </c>
      <c r="BS2064" s="71">
        <v>0</v>
      </c>
      <c r="BT2064" s="72">
        <v>0</v>
      </c>
      <c r="BU2064" s="73"/>
      <c r="BV2064" s="73"/>
    </row>
    <row r="2065" ht="30" customHeight="1" spans="1:74">
      <c r="A2065" s="55">
        <v>0</v>
      </c>
      <c r="B2065" s="56">
        <v>0</v>
      </c>
      <c r="C2065" s="57">
        <v>0</v>
      </c>
      <c r="D2065" s="74"/>
      <c r="E2065" s="74"/>
      <c r="F2065" s="59" t="e">
        <f>VLOOKUP(E2065,[1]库存!$B$1:$C$65536,2,FALSE)</f>
        <v>#N/A</v>
      </c>
      <c r="G2065" s="59" t="e">
        <v>#N/A</v>
      </c>
      <c r="H2065" s="74"/>
      <c r="I2065" s="74"/>
      <c r="J2065" s="102"/>
      <c r="K2065" s="61" t="s">
        <v>3193</v>
      </c>
      <c r="L2065" s="62">
        <v>0</v>
      </c>
      <c r="M2065" s="63">
        <v>0</v>
      </c>
      <c r="N2065" s="64">
        <v>0</v>
      </c>
      <c r="O2065" s="62">
        <v>0</v>
      </c>
      <c r="P2065" s="65">
        <f t="shared" si="138"/>
        <v>0</v>
      </c>
      <c r="Q2065" s="66"/>
      <c r="R2065" s="66"/>
      <c r="S2065" s="66"/>
      <c r="T2065" s="66"/>
      <c r="U2065" s="66"/>
      <c r="V2065" s="66"/>
      <c r="W2065" s="66"/>
      <c r="X2065" s="66"/>
      <c r="Y2065" s="66"/>
      <c r="Z2065" s="66"/>
      <c r="AA2065" s="66"/>
      <c r="AB2065" s="66"/>
      <c r="AC2065" s="66"/>
      <c r="AD2065" s="66"/>
      <c r="AE2065" s="66"/>
      <c r="AF2065" s="66"/>
      <c r="AG2065" s="66"/>
      <c r="AH2065" s="66"/>
      <c r="AI2065" s="66"/>
      <c r="AJ2065" s="66"/>
      <c r="AK2065" s="66"/>
      <c r="AL2065" s="66"/>
      <c r="AM2065" s="66"/>
      <c r="AN2065" s="66"/>
      <c r="AO2065" s="66"/>
      <c r="AP2065" s="66"/>
      <c r="AQ2065" s="66"/>
      <c r="AR2065" s="66"/>
      <c r="AS2065" s="66"/>
      <c r="AT2065" s="66"/>
      <c r="AU2065" s="66"/>
      <c r="AV2065" s="66"/>
      <c r="AW2065" s="66"/>
      <c r="AX2065" s="66"/>
      <c r="AY2065" s="66"/>
      <c r="AZ2065" s="66"/>
      <c r="BA2065" s="66"/>
      <c r="BB2065" s="66"/>
      <c r="BC2065" s="66"/>
      <c r="BD2065" s="66"/>
      <c r="BE2065" s="67"/>
      <c r="BF2065" s="67"/>
      <c r="BG2065" s="68"/>
      <c r="BI2065" s="69">
        <v>0</v>
      </c>
      <c r="BJ2065" s="70">
        <v>0</v>
      </c>
      <c r="BK2065" s="71">
        <v>0</v>
      </c>
      <c r="BL2065" s="71">
        <v>0</v>
      </c>
      <c r="BM2065" s="71">
        <v>0</v>
      </c>
      <c r="BN2065" s="72">
        <v>0</v>
      </c>
      <c r="BO2065" s="151" t="e">
        <f t="shared" si="136"/>
        <v>#DIV/0!</v>
      </c>
      <c r="BP2065" s="151" t="e">
        <f t="shared" si="137"/>
        <v>#DIV/0!</v>
      </c>
      <c r="BQ2065" s="71">
        <v>0</v>
      </c>
      <c r="BR2065" s="71">
        <v>0</v>
      </c>
      <c r="BS2065" s="71">
        <v>0</v>
      </c>
      <c r="BT2065" s="72">
        <v>0</v>
      </c>
      <c r="BU2065" s="73"/>
      <c r="BV2065" s="73"/>
    </row>
    <row r="2066" ht="30" customHeight="1" spans="1:74">
      <c r="A2066" s="55">
        <v>0</v>
      </c>
      <c r="B2066" s="56" t="s">
        <v>1057</v>
      </c>
      <c r="C2066" s="57" t="s">
        <v>1324</v>
      </c>
      <c r="D2066" s="59" t="s">
        <v>3241</v>
      </c>
      <c r="E2066" s="59" t="s">
        <v>3262</v>
      </c>
      <c r="F2066" s="59" t="str">
        <f>VLOOKUP(E2066,[1]库存!$B$1:$C$65536,2,FALSE)</f>
        <v>SKODA MODEL Q SAB RH</v>
      </c>
      <c r="G2066" s="59" t="s">
        <v>3263</v>
      </c>
      <c r="H2066" s="59" t="s">
        <v>3264</v>
      </c>
      <c r="I2066" s="59" t="s">
        <v>3260</v>
      </c>
      <c r="J2066" s="102" t="s">
        <v>3261</v>
      </c>
      <c r="K2066" s="61" t="s">
        <v>3192</v>
      </c>
      <c r="L2066" s="62">
        <v>2</v>
      </c>
      <c r="M2066" s="63">
        <v>1450</v>
      </c>
      <c r="N2066" s="64">
        <v>12</v>
      </c>
      <c r="O2066" s="62">
        <v>2</v>
      </c>
      <c r="P2066" s="65">
        <f t="shared" si="138"/>
        <v>0</v>
      </c>
      <c r="Q2066" s="66"/>
      <c r="R2066" s="66"/>
      <c r="S2066" s="66"/>
      <c r="T2066" s="66"/>
      <c r="U2066" s="66"/>
      <c r="V2066" s="66"/>
      <c r="W2066" s="66"/>
      <c r="X2066" s="66"/>
      <c r="Y2066" s="66"/>
      <c r="Z2066" s="66"/>
      <c r="AA2066" s="66"/>
      <c r="AB2066" s="66"/>
      <c r="AC2066" s="66"/>
      <c r="AD2066" s="66"/>
      <c r="AE2066" s="66"/>
      <c r="AF2066" s="66"/>
      <c r="AG2066" s="66"/>
      <c r="AH2066" s="66"/>
      <c r="AI2066" s="66"/>
      <c r="AJ2066" s="66"/>
      <c r="AK2066" s="66"/>
      <c r="AL2066" s="66"/>
      <c r="AM2066" s="66"/>
      <c r="AN2066" s="66"/>
      <c r="AO2066" s="66"/>
      <c r="AP2066" s="66"/>
      <c r="AQ2066" s="66"/>
      <c r="AR2066" s="66"/>
      <c r="AS2066" s="66"/>
      <c r="AT2066" s="66"/>
      <c r="AU2066" s="66"/>
      <c r="AV2066" s="66"/>
      <c r="AW2066" s="66"/>
      <c r="AX2066" s="66"/>
      <c r="AY2066" s="66"/>
      <c r="AZ2066" s="66"/>
      <c r="BA2066" s="66"/>
      <c r="BB2066" s="66"/>
      <c r="BC2066" s="66"/>
      <c r="BD2066" s="66"/>
      <c r="BE2066" s="67"/>
      <c r="BF2066" s="67"/>
      <c r="BG2066" s="68"/>
      <c r="BI2066" s="69">
        <v>0</v>
      </c>
      <c r="BJ2066" s="70">
        <v>0</v>
      </c>
      <c r="BK2066" s="71">
        <v>0</v>
      </c>
      <c r="BL2066" s="71">
        <v>0</v>
      </c>
      <c r="BM2066" s="71">
        <v>0</v>
      </c>
      <c r="BN2066" s="72">
        <v>0</v>
      </c>
      <c r="BO2066" s="151" t="e">
        <f t="shared" si="136"/>
        <v>#DIV/0!</v>
      </c>
      <c r="BP2066" s="151" t="e">
        <f t="shared" si="137"/>
        <v>#DIV/0!</v>
      </c>
      <c r="BQ2066" s="71">
        <v>0</v>
      </c>
      <c r="BR2066" s="71">
        <v>0</v>
      </c>
      <c r="BS2066" s="71">
        <v>0</v>
      </c>
      <c r="BT2066" s="72">
        <v>0</v>
      </c>
      <c r="BU2066" s="73"/>
      <c r="BV2066" s="73"/>
    </row>
    <row r="2067" ht="30" customHeight="1" spans="1:74">
      <c r="A2067" s="55">
        <v>0</v>
      </c>
      <c r="B2067" s="56">
        <v>0</v>
      </c>
      <c r="C2067" s="57">
        <v>0</v>
      </c>
      <c r="D2067" s="74"/>
      <c r="E2067" s="74"/>
      <c r="F2067" s="59" t="e">
        <f>VLOOKUP(E2067,[1]库存!$B$1:$C$65536,2,FALSE)</f>
        <v>#N/A</v>
      </c>
      <c r="G2067" s="59" t="e">
        <v>#N/A</v>
      </c>
      <c r="H2067" s="74"/>
      <c r="I2067" s="74"/>
      <c r="J2067" s="102"/>
      <c r="K2067" s="61" t="s">
        <v>3193</v>
      </c>
      <c r="L2067" s="62">
        <v>0</v>
      </c>
      <c r="M2067" s="63">
        <v>0</v>
      </c>
      <c r="N2067" s="64">
        <v>0</v>
      </c>
      <c r="O2067" s="62">
        <v>0</v>
      </c>
      <c r="P2067" s="65">
        <f t="shared" si="138"/>
        <v>0</v>
      </c>
      <c r="Q2067" s="66"/>
      <c r="R2067" s="66"/>
      <c r="S2067" s="66"/>
      <c r="T2067" s="66"/>
      <c r="U2067" s="66"/>
      <c r="V2067" s="66"/>
      <c r="W2067" s="66"/>
      <c r="X2067" s="66"/>
      <c r="Y2067" s="66"/>
      <c r="Z2067" s="66"/>
      <c r="AA2067" s="66"/>
      <c r="AB2067" s="66"/>
      <c r="AC2067" s="66"/>
      <c r="AD2067" s="66"/>
      <c r="AE2067" s="66"/>
      <c r="AF2067" s="66"/>
      <c r="AG2067" s="66"/>
      <c r="AH2067" s="66"/>
      <c r="AI2067" s="66"/>
      <c r="AJ2067" s="66"/>
      <c r="AK2067" s="66"/>
      <c r="AL2067" s="66"/>
      <c r="AM2067" s="66"/>
      <c r="AN2067" s="66"/>
      <c r="AO2067" s="66"/>
      <c r="AP2067" s="66"/>
      <c r="AQ2067" s="66"/>
      <c r="AR2067" s="66"/>
      <c r="AS2067" s="66"/>
      <c r="AT2067" s="66"/>
      <c r="AU2067" s="66"/>
      <c r="AV2067" s="66"/>
      <c r="AW2067" s="66"/>
      <c r="AX2067" s="66"/>
      <c r="AY2067" s="66"/>
      <c r="AZ2067" s="66"/>
      <c r="BA2067" s="66"/>
      <c r="BB2067" s="66"/>
      <c r="BC2067" s="66"/>
      <c r="BD2067" s="66"/>
      <c r="BE2067" s="67"/>
      <c r="BF2067" s="67"/>
      <c r="BG2067" s="68"/>
      <c r="BI2067" s="69">
        <v>0</v>
      </c>
      <c r="BJ2067" s="70">
        <v>0</v>
      </c>
      <c r="BK2067" s="71">
        <v>0</v>
      </c>
      <c r="BL2067" s="71">
        <v>0</v>
      </c>
      <c r="BM2067" s="71">
        <v>0</v>
      </c>
      <c r="BN2067" s="72">
        <v>0</v>
      </c>
      <c r="BO2067" s="151" t="e">
        <f t="shared" si="136"/>
        <v>#DIV/0!</v>
      </c>
      <c r="BP2067" s="151" t="e">
        <f t="shared" si="137"/>
        <v>#DIV/0!</v>
      </c>
      <c r="BQ2067" s="71">
        <v>0</v>
      </c>
      <c r="BR2067" s="71">
        <v>0</v>
      </c>
      <c r="BS2067" s="71">
        <v>0</v>
      </c>
      <c r="BT2067" s="72">
        <v>0</v>
      </c>
      <c r="BU2067" s="73"/>
      <c r="BV2067" s="73"/>
    </row>
    <row r="2068" ht="30" customHeight="1" spans="1:74">
      <c r="A2068" s="55">
        <v>0</v>
      </c>
      <c r="B2068" s="56" t="s">
        <v>1057</v>
      </c>
      <c r="C2068" s="57" t="s">
        <v>1324</v>
      </c>
      <c r="D2068" s="59" t="s">
        <v>3241</v>
      </c>
      <c r="E2068" s="59" t="s">
        <v>3265</v>
      </c>
      <c r="F2068" s="59" t="str">
        <f>VLOOKUP(E2068,[1]库存!$B$1:$C$65536,2,FALSE)</f>
        <v>kodiaq Coupe SAB LH A状态</v>
      </c>
      <c r="G2068" s="59" t="s">
        <v>3266</v>
      </c>
      <c r="H2068" s="59" t="s">
        <v>3267</v>
      </c>
      <c r="I2068" s="59" t="s">
        <v>3268</v>
      </c>
      <c r="J2068" s="215" t="s">
        <v>3269</v>
      </c>
      <c r="K2068" s="61" t="s">
        <v>1520</v>
      </c>
      <c r="L2068" s="62">
        <v>2</v>
      </c>
      <c r="M2068" s="63">
        <v>1250</v>
      </c>
      <c r="N2068" s="64">
        <v>13</v>
      </c>
      <c r="O2068" s="62">
        <v>2</v>
      </c>
      <c r="P2068" s="65">
        <f t="shared" si="138"/>
        <v>0</v>
      </c>
      <c r="Q2068" s="66"/>
      <c r="R2068" s="66"/>
      <c r="S2068" s="66"/>
      <c r="T2068" s="66"/>
      <c r="U2068" s="66"/>
      <c r="V2068" s="66"/>
      <c r="W2068" s="66"/>
      <c r="X2068" s="66"/>
      <c r="Y2068" s="66"/>
      <c r="Z2068" s="66"/>
      <c r="AA2068" s="66"/>
      <c r="AB2068" s="66"/>
      <c r="AC2068" s="66"/>
      <c r="AD2068" s="66"/>
      <c r="AE2068" s="66"/>
      <c r="AF2068" s="66"/>
      <c r="AG2068" s="66"/>
      <c r="AH2068" s="66"/>
      <c r="AI2068" s="66"/>
      <c r="AJ2068" s="66"/>
      <c r="AK2068" s="66"/>
      <c r="AL2068" s="66"/>
      <c r="AM2068" s="66"/>
      <c r="AN2068" s="66"/>
      <c r="AO2068" s="66"/>
      <c r="AP2068" s="66"/>
      <c r="AQ2068" s="66"/>
      <c r="AR2068" s="66"/>
      <c r="AS2068" s="66"/>
      <c r="AT2068" s="66"/>
      <c r="AU2068" s="66"/>
      <c r="AV2068" s="66"/>
      <c r="AW2068" s="66"/>
      <c r="AX2068" s="66"/>
      <c r="AY2068" s="66"/>
      <c r="AZ2068" s="66"/>
      <c r="BA2068" s="66"/>
      <c r="BB2068" s="66"/>
      <c r="BC2068" s="66"/>
      <c r="BD2068" s="66"/>
      <c r="BE2068" s="67"/>
      <c r="BF2068" s="67"/>
      <c r="BG2068" s="68"/>
      <c r="BI2068" s="69">
        <v>0</v>
      </c>
      <c r="BJ2068" s="70">
        <v>0</v>
      </c>
      <c r="BK2068" s="71">
        <v>0</v>
      </c>
      <c r="BL2068" s="71">
        <v>0</v>
      </c>
      <c r="BM2068" s="71">
        <v>0</v>
      </c>
      <c r="BN2068" s="72">
        <v>0</v>
      </c>
      <c r="BO2068" s="151" t="e">
        <f t="shared" si="136"/>
        <v>#DIV/0!</v>
      </c>
      <c r="BP2068" s="151" t="e">
        <f t="shared" si="137"/>
        <v>#DIV/0!</v>
      </c>
      <c r="BQ2068" s="71">
        <v>0</v>
      </c>
      <c r="BR2068" s="71">
        <v>0</v>
      </c>
      <c r="BS2068" s="71">
        <v>0</v>
      </c>
      <c r="BT2068" s="72">
        <v>0</v>
      </c>
      <c r="BU2068" s="73"/>
      <c r="BV2068" s="73"/>
    </row>
    <row r="2069" ht="30" customHeight="1" spans="1:74">
      <c r="A2069" s="55">
        <v>0</v>
      </c>
      <c r="B2069" s="56">
        <v>0</v>
      </c>
      <c r="C2069" s="57">
        <v>0</v>
      </c>
      <c r="D2069" s="74"/>
      <c r="E2069" s="74"/>
      <c r="F2069" s="59" t="e">
        <f>VLOOKUP(E2069,[1]库存!$B$1:$C$65536,2,FALSE)</f>
        <v>#N/A</v>
      </c>
      <c r="G2069" s="59" t="e">
        <v>#N/A</v>
      </c>
      <c r="H2069" s="74"/>
      <c r="I2069" s="74"/>
      <c r="J2069" s="215"/>
      <c r="K2069" s="61"/>
      <c r="L2069" s="62">
        <v>0</v>
      </c>
      <c r="M2069" s="63">
        <v>0</v>
      </c>
      <c r="N2069" s="64">
        <v>0</v>
      </c>
      <c r="O2069" s="62">
        <v>0</v>
      </c>
      <c r="P2069" s="65">
        <f t="shared" si="138"/>
        <v>0</v>
      </c>
      <c r="Q2069" s="66"/>
      <c r="R2069" s="66"/>
      <c r="S2069" s="66"/>
      <c r="T2069" s="66"/>
      <c r="U2069" s="66"/>
      <c r="V2069" s="66"/>
      <c r="W2069" s="66"/>
      <c r="X2069" s="66"/>
      <c r="Y2069" s="66"/>
      <c r="Z2069" s="66"/>
      <c r="AA2069" s="66"/>
      <c r="AB2069" s="66"/>
      <c r="AC2069" s="66"/>
      <c r="AD2069" s="66"/>
      <c r="AE2069" s="66"/>
      <c r="AF2069" s="66"/>
      <c r="AG2069" s="66"/>
      <c r="AH2069" s="66"/>
      <c r="AI2069" s="66"/>
      <c r="AJ2069" s="66"/>
      <c r="AK2069" s="66"/>
      <c r="AL2069" s="66"/>
      <c r="AM2069" s="66"/>
      <c r="AN2069" s="66"/>
      <c r="AO2069" s="66"/>
      <c r="AP2069" s="66"/>
      <c r="AQ2069" s="66"/>
      <c r="AR2069" s="66"/>
      <c r="AS2069" s="66"/>
      <c r="AT2069" s="66"/>
      <c r="AU2069" s="66"/>
      <c r="AV2069" s="66"/>
      <c r="AW2069" s="66"/>
      <c r="AX2069" s="66"/>
      <c r="AY2069" s="66"/>
      <c r="AZ2069" s="66"/>
      <c r="BA2069" s="66"/>
      <c r="BB2069" s="66"/>
      <c r="BC2069" s="66"/>
      <c r="BD2069" s="66"/>
      <c r="BE2069" s="67"/>
      <c r="BF2069" s="67"/>
      <c r="BG2069" s="68"/>
      <c r="BI2069" s="69">
        <v>0</v>
      </c>
      <c r="BJ2069" s="70">
        <v>0</v>
      </c>
      <c r="BK2069" s="71">
        <v>0</v>
      </c>
      <c r="BL2069" s="71">
        <v>0</v>
      </c>
      <c r="BM2069" s="71">
        <v>0</v>
      </c>
      <c r="BN2069" s="72">
        <v>0</v>
      </c>
      <c r="BO2069" s="151" t="e">
        <f t="shared" si="136"/>
        <v>#DIV/0!</v>
      </c>
      <c r="BP2069" s="151" t="e">
        <f t="shared" si="137"/>
        <v>#DIV/0!</v>
      </c>
      <c r="BQ2069" s="71">
        <v>0</v>
      </c>
      <c r="BR2069" s="71">
        <v>0</v>
      </c>
      <c r="BS2069" s="71">
        <v>0</v>
      </c>
      <c r="BT2069" s="72">
        <v>0</v>
      </c>
      <c r="BU2069" s="73"/>
      <c r="BV2069" s="73"/>
    </row>
    <row r="2070" ht="30" customHeight="1" spans="1:74">
      <c r="A2070" s="55">
        <v>0</v>
      </c>
      <c r="B2070" s="56" t="s">
        <v>1057</v>
      </c>
      <c r="C2070" s="57" t="s">
        <v>1324</v>
      </c>
      <c r="D2070" s="59" t="s">
        <v>3241</v>
      </c>
      <c r="E2070" s="59" t="s">
        <v>3270</v>
      </c>
      <c r="F2070" s="59" t="str">
        <f>VLOOKUP(E2070,[1]库存!$B$1:$C$65536,2,FALSE)</f>
        <v>kodiaq Coupe SAB RH A状态</v>
      </c>
      <c r="G2070" s="59" t="s">
        <v>3271</v>
      </c>
      <c r="H2070" s="59" t="s">
        <v>3272</v>
      </c>
      <c r="I2070" s="59" t="s">
        <v>3268</v>
      </c>
      <c r="J2070" s="215" t="s">
        <v>3269</v>
      </c>
      <c r="K2070" s="61" t="s">
        <v>1520</v>
      </c>
      <c r="L2070" s="62">
        <v>2</v>
      </c>
      <c r="M2070" s="63">
        <v>1250</v>
      </c>
      <c r="N2070" s="64">
        <v>13</v>
      </c>
      <c r="O2070" s="62">
        <v>2</v>
      </c>
      <c r="P2070" s="65">
        <f t="shared" si="138"/>
        <v>0</v>
      </c>
      <c r="Q2070" s="66"/>
      <c r="R2070" s="66"/>
      <c r="S2070" s="66"/>
      <c r="T2070" s="66"/>
      <c r="U2070" s="66"/>
      <c r="V2070" s="66"/>
      <c r="W2070" s="66"/>
      <c r="X2070" s="66"/>
      <c r="Y2070" s="66"/>
      <c r="Z2070" s="66"/>
      <c r="AA2070" s="66"/>
      <c r="AB2070" s="66"/>
      <c r="AC2070" s="66"/>
      <c r="AD2070" s="66"/>
      <c r="AE2070" s="66"/>
      <c r="AF2070" s="66"/>
      <c r="AG2070" s="66"/>
      <c r="AH2070" s="66"/>
      <c r="AI2070" s="66"/>
      <c r="AJ2070" s="66"/>
      <c r="AK2070" s="66"/>
      <c r="AL2070" s="66"/>
      <c r="AM2070" s="66"/>
      <c r="AN2070" s="66"/>
      <c r="AO2070" s="66"/>
      <c r="AP2070" s="66"/>
      <c r="AQ2070" s="66"/>
      <c r="AR2070" s="66"/>
      <c r="AS2070" s="66"/>
      <c r="AT2070" s="66"/>
      <c r="AU2070" s="66"/>
      <c r="AV2070" s="66"/>
      <c r="AW2070" s="66"/>
      <c r="AX2070" s="66"/>
      <c r="AY2070" s="66"/>
      <c r="AZ2070" s="66"/>
      <c r="BA2070" s="66"/>
      <c r="BB2070" s="66"/>
      <c r="BC2070" s="66"/>
      <c r="BD2070" s="66"/>
      <c r="BE2070" s="67"/>
      <c r="BF2070" s="67"/>
      <c r="BG2070" s="68"/>
      <c r="BI2070" s="69">
        <v>0</v>
      </c>
      <c r="BJ2070" s="70">
        <v>0</v>
      </c>
      <c r="BK2070" s="71">
        <v>0</v>
      </c>
      <c r="BL2070" s="71">
        <v>0</v>
      </c>
      <c r="BM2070" s="71">
        <v>0</v>
      </c>
      <c r="BN2070" s="72">
        <v>0</v>
      </c>
      <c r="BO2070" s="151" t="e">
        <f t="shared" si="136"/>
        <v>#DIV/0!</v>
      </c>
      <c r="BP2070" s="151" t="e">
        <f t="shared" si="137"/>
        <v>#DIV/0!</v>
      </c>
      <c r="BQ2070" s="71">
        <v>0</v>
      </c>
      <c r="BR2070" s="71">
        <v>0</v>
      </c>
      <c r="BS2070" s="71">
        <v>0</v>
      </c>
      <c r="BT2070" s="72">
        <v>0</v>
      </c>
      <c r="BU2070" s="73"/>
      <c r="BV2070" s="73"/>
    </row>
    <row r="2071" ht="30" customHeight="1" spans="1:74">
      <c r="A2071" s="55">
        <v>0</v>
      </c>
      <c r="B2071" s="56">
        <v>0</v>
      </c>
      <c r="C2071" s="57">
        <v>0</v>
      </c>
      <c r="D2071" s="74"/>
      <c r="E2071" s="74"/>
      <c r="F2071" s="59" t="e">
        <f>VLOOKUP(E2071,[1]库存!$B$1:$C$65536,2,FALSE)</f>
        <v>#N/A</v>
      </c>
      <c r="G2071" s="59" t="e">
        <v>#N/A</v>
      </c>
      <c r="H2071" s="74"/>
      <c r="I2071" s="74"/>
      <c r="J2071" s="215"/>
      <c r="K2071" s="61"/>
      <c r="L2071" s="62">
        <v>0</v>
      </c>
      <c r="M2071" s="63">
        <v>0</v>
      </c>
      <c r="N2071" s="64">
        <v>0</v>
      </c>
      <c r="O2071" s="62">
        <v>0</v>
      </c>
      <c r="P2071" s="65">
        <f t="shared" si="138"/>
        <v>0</v>
      </c>
      <c r="Q2071" s="66"/>
      <c r="R2071" s="66"/>
      <c r="S2071" s="66"/>
      <c r="T2071" s="66"/>
      <c r="U2071" s="66"/>
      <c r="V2071" s="66"/>
      <c r="W2071" s="66"/>
      <c r="X2071" s="66"/>
      <c r="Y2071" s="66"/>
      <c r="Z2071" s="66"/>
      <c r="AA2071" s="66"/>
      <c r="AB2071" s="66"/>
      <c r="AC2071" s="66"/>
      <c r="AD2071" s="66"/>
      <c r="AE2071" s="66"/>
      <c r="AF2071" s="66"/>
      <c r="AG2071" s="66"/>
      <c r="AH2071" s="66"/>
      <c r="AI2071" s="66"/>
      <c r="AJ2071" s="66"/>
      <c r="AK2071" s="66"/>
      <c r="AL2071" s="66"/>
      <c r="AM2071" s="66"/>
      <c r="AN2071" s="66"/>
      <c r="AO2071" s="66"/>
      <c r="AP2071" s="66"/>
      <c r="AQ2071" s="66"/>
      <c r="AR2071" s="66"/>
      <c r="AS2071" s="66"/>
      <c r="AT2071" s="66"/>
      <c r="AU2071" s="66"/>
      <c r="AV2071" s="66"/>
      <c r="AW2071" s="66"/>
      <c r="AX2071" s="66"/>
      <c r="AY2071" s="66"/>
      <c r="AZ2071" s="66"/>
      <c r="BA2071" s="66"/>
      <c r="BB2071" s="66"/>
      <c r="BC2071" s="66"/>
      <c r="BD2071" s="66"/>
      <c r="BE2071" s="67"/>
      <c r="BF2071" s="67"/>
      <c r="BG2071" s="68"/>
      <c r="BI2071" s="69">
        <v>0</v>
      </c>
      <c r="BJ2071" s="70">
        <v>0</v>
      </c>
      <c r="BK2071" s="71">
        <v>0</v>
      </c>
      <c r="BL2071" s="71">
        <v>0</v>
      </c>
      <c r="BM2071" s="71">
        <v>0</v>
      </c>
      <c r="BN2071" s="72">
        <v>0</v>
      </c>
      <c r="BO2071" s="151" t="e">
        <f t="shared" si="136"/>
        <v>#DIV/0!</v>
      </c>
      <c r="BP2071" s="151" t="e">
        <f t="shared" si="137"/>
        <v>#DIV/0!</v>
      </c>
      <c r="BQ2071" s="71">
        <v>0</v>
      </c>
      <c r="BR2071" s="71">
        <v>0</v>
      </c>
      <c r="BS2071" s="71">
        <v>0</v>
      </c>
      <c r="BT2071" s="72">
        <v>0</v>
      </c>
      <c r="BU2071" s="73"/>
      <c r="BV2071" s="73"/>
    </row>
    <row r="2072" ht="30" customHeight="1" spans="1:74">
      <c r="A2072" s="55">
        <v>0</v>
      </c>
      <c r="B2072" s="56">
        <v>0</v>
      </c>
      <c r="C2072" s="57">
        <v>0</v>
      </c>
      <c r="D2072" s="106"/>
      <c r="E2072" s="107"/>
      <c r="F2072" s="59" t="e">
        <f>VLOOKUP(E2072,[1]库存!$B$1:$C$65536,2,FALSE)</f>
        <v>#N/A</v>
      </c>
      <c r="G2072" s="59" t="e">
        <v>#N/A</v>
      </c>
      <c r="H2072" s="89"/>
      <c r="I2072" s="88"/>
      <c r="J2072" s="90"/>
      <c r="K2072" s="61"/>
      <c r="L2072" s="62">
        <v>0</v>
      </c>
      <c r="M2072" s="63">
        <v>0</v>
      </c>
      <c r="N2072" s="64">
        <v>0</v>
      </c>
      <c r="O2072" s="62">
        <v>0</v>
      </c>
      <c r="P2072" s="65">
        <f t="shared" si="138"/>
        <v>0</v>
      </c>
      <c r="Q2072" s="66"/>
      <c r="R2072" s="66"/>
      <c r="S2072" s="66"/>
      <c r="T2072" s="66"/>
      <c r="U2072" s="66"/>
      <c r="V2072" s="66"/>
      <c r="W2072" s="66"/>
      <c r="X2072" s="66"/>
      <c r="Y2072" s="66"/>
      <c r="Z2072" s="66"/>
      <c r="AA2072" s="66"/>
      <c r="AB2072" s="66"/>
      <c r="AC2072" s="66"/>
      <c r="AD2072" s="66"/>
      <c r="AE2072" s="66"/>
      <c r="AF2072" s="66"/>
      <c r="AG2072" s="66"/>
      <c r="AH2072" s="66"/>
      <c r="AI2072" s="66"/>
      <c r="AJ2072" s="66"/>
      <c r="AK2072" s="66"/>
      <c r="AL2072" s="66"/>
      <c r="AM2072" s="66"/>
      <c r="AN2072" s="66"/>
      <c r="AO2072" s="66"/>
      <c r="AP2072" s="66"/>
      <c r="AQ2072" s="66"/>
      <c r="AR2072" s="66"/>
      <c r="AS2072" s="66"/>
      <c r="AT2072" s="66"/>
      <c r="AU2072" s="66"/>
      <c r="AV2072" s="66"/>
      <c r="AW2072" s="66"/>
      <c r="AX2072" s="66"/>
      <c r="AY2072" s="66"/>
      <c r="AZ2072" s="66"/>
      <c r="BA2072" s="66"/>
      <c r="BB2072" s="66"/>
      <c r="BC2072" s="66"/>
      <c r="BD2072" s="66"/>
      <c r="BE2072" s="67"/>
      <c r="BF2072" s="67"/>
      <c r="BG2072" s="68"/>
      <c r="BI2072" s="69">
        <v>0</v>
      </c>
      <c r="BJ2072" s="70">
        <v>0</v>
      </c>
      <c r="BK2072" s="71">
        <v>0</v>
      </c>
      <c r="BL2072" s="71">
        <v>0</v>
      </c>
      <c r="BM2072" s="71">
        <v>0</v>
      </c>
      <c r="BN2072" s="72">
        <v>0</v>
      </c>
      <c r="BO2072" s="151" t="e">
        <f t="shared" si="136"/>
        <v>#DIV/0!</v>
      </c>
      <c r="BP2072" s="151" t="e">
        <f t="shared" si="137"/>
        <v>#DIV/0!</v>
      </c>
      <c r="BQ2072" s="71">
        <v>0</v>
      </c>
      <c r="BR2072" s="71">
        <v>0</v>
      </c>
      <c r="BS2072" s="71">
        <v>0</v>
      </c>
      <c r="BT2072" s="72">
        <v>0</v>
      </c>
      <c r="BU2072" s="151" t="e">
        <f>(BQ2072+BR2072)/BJ2072</f>
        <v>#DIV/0!</v>
      </c>
      <c r="BV2072" s="151" t="e">
        <f>BS2072/BJ2072</f>
        <v>#DIV/0!</v>
      </c>
    </row>
    <row r="2073" ht="30" customHeight="1" spans="1:74">
      <c r="A2073" s="55" t="s">
        <v>165</v>
      </c>
      <c r="B2073" s="56" t="s">
        <v>1057</v>
      </c>
      <c r="C2073" s="57" t="s">
        <v>1058</v>
      </c>
      <c r="D2073" s="59" t="s">
        <v>3273</v>
      </c>
      <c r="E2073" s="59" t="s">
        <v>3274</v>
      </c>
      <c r="F2073" s="59" t="str">
        <f>VLOOKUP(E2073,[1]库存!$B$1:$C$65536,2,FALSE)</f>
        <v>AU276 X55 SAB LH A状态</v>
      </c>
      <c r="G2073" s="59" t="s">
        <v>3275</v>
      </c>
      <c r="H2073" s="59" t="s">
        <v>3276</v>
      </c>
      <c r="I2073" s="59" t="s">
        <v>3277</v>
      </c>
      <c r="J2073" s="80" t="s">
        <v>65</v>
      </c>
      <c r="K2073" s="61" t="s">
        <v>3192</v>
      </c>
      <c r="L2073" s="62">
        <v>2</v>
      </c>
      <c r="M2073" s="63">
        <v>1200</v>
      </c>
      <c r="N2073" s="64">
        <v>11</v>
      </c>
      <c r="O2073" s="62">
        <v>2</v>
      </c>
      <c r="P2073" s="65">
        <f t="shared" si="138"/>
        <v>0</v>
      </c>
      <c r="Q2073" s="66"/>
      <c r="R2073" s="66"/>
      <c r="S2073" s="66"/>
      <c r="T2073" s="66"/>
      <c r="U2073" s="66"/>
      <c r="V2073" s="66"/>
      <c r="W2073" s="66"/>
      <c r="X2073" s="66"/>
      <c r="Y2073" s="66"/>
      <c r="Z2073" s="66"/>
      <c r="AA2073" s="66"/>
      <c r="AB2073" s="66"/>
      <c r="AC2073" s="66"/>
      <c r="AD2073" s="66"/>
      <c r="AE2073" s="66"/>
      <c r="AF2073" s="66"/>
      <c r="AG2073" s="66"/>
      <c r="AH2073" s="66"/>
      <c r="AI2073" s="66"/>
      <c r="AJ2073" s="66"/>
      <c r="AK2073" s="66"/>
      <c r="AL2073" s="66"/>
      <c r="AM2073" s="66"/>
      <c r="AN2073" s="66"/>
      <c r="AO2073" s="66"/>
      <c r="AP2073" s="66"/>
      <c r="AQ2073" s="66"/>
      <c r="AR2073" s="66"/>
      <c r="AS2073" s="66"/>
      <c r="AT2073" s="66"/>
      <c r="AU2073" s="66"/>
      <c r="AV2073" s="66"/>
      <c r="AW2073" s="66"/>
      <c r="AX2073" s="66"/>
      <c r="AY2073" s="66"/>
      <c r="AZ2073" s="66"/>
      <c r="BA2073" s="66"/>
      <c r="BB2073" s="66"/>
      <c r="BC2073" s="66"/>
      <c r="BD2073" s="66"/>
      <c r="BE2073" s="67"/>
      <c r="BF2073" s="67"/>
      <c r="BG2073" s="68"/>
      <c r="BI2073" s="69">
        <v>0</v>
      </c>
      <c r="BJ2073" s="70">
        <v>0</v>
      </c>
      <c r="BK2073" s="71">
        <v>0</v>
      </c>
      <c r="BL2073" s="71">
        <v>0</v>
      </c>
      <c r="BM2073" s="71">
        <v>0</v>
      </c>
      <c r="BN2073" s="72">
        <v>0</v>
      </c>
      <c r="BO2073" s="151" t="e">
        <f t="shared" si="136"/>
        <v>#DIV/0!</v>
      </c>
      <c r="BP2073" s="151" t="e">
        <f t="shared" si="137"/>
        <v>#DIV/0!</v>
      </c>
      <c r="BQ2073" s="71">
        <v>0</v>
      </c>
      <c r="BR2073" s="71">
        <v>0</v>
      </c>
      <c r="BS2073" s="71">
        <v>0</v>
      </c>
      <c r="BT2073" s="72">
        <v>0</v>
      </c>
      <c r="BU2073" s="73"/>
      <c r="BV2073" s="73"/>
    </row>
    <row r="2074" ht="30" customHeight="1" spans="1:74">
      <c r="A2074" s="55">
        <v>0</v>
      </c>
      <c r="B2074" s="56">
        <v>0</v>
      </c>
      <c r="C2074" s="57">
        <v>0</v>
      </c>
      <c r="D2074" s="74"/>
      <c r="E2074" s="74"/>
      <c r="F2074" s="59" t="e">
        <f>VLOOKUP(E2074,[1]库存!$B$1:$C$65536,2,FALSE)</f>
        <v>#N/A</v>
      </c>
      <c r="G2074" s="59" t="e">
        <v>#N/A</v>
      </c>
      <c r="H2074" s="74"/>
      <c r="I2074" s="74"/>
      <c r="J2074" s="81"/>
      <c r="K2074" s="61" t="s">
        <v>3193</v>
      </c>
      <c r="L2074" s="62">
        <v>0</v>
      </c>
      <c r="M2074" s="63">
        <v>0</v>
      </c>
      <c r="N2074" s="64">
        <v>0</v>
      </c>
      <c r="O2074" s="62">
        <v>0</v>
      </c>
      <c r="P2074" s="65">
        <f t="shared" si="138"/>
        <v>0</v>
      </c>
      <c r="Q2074" s="66"/>
      <c r="R2074" s="66"/>
      <c r="S2074" s="66"/>
      <c r="T2074" s="66"/>
      <c r="U2074" s="66"/>
      <c r="V2074" s="66"/>
      <c r="W2074" s="66"/>
      <c r="X2074" s="66"/>
      <c r="Y2074" s="66"/>
      <c r="Z2074" s="66"/>
      <c r="AA2074" s="66"/>
      <c r="AB2074" s="66"/>
      <c r="AC2074" s="66"/>
      <c r="AD2074" s="66"/>
      <c r="AE2074" s="66"/>
      <c r="AF2074" s="66"/>
      <c r="AG2074" s="66"/>
      <c r="AH2074" s="66"/>
      <c r="AI2074" s="66"/>
      <c r="AJ2074" s="66"/>
      <c r="AK2074" s="66"/>
      <c r="AL2074" s="66"/>
      <c r="AM2074" s="66"/>
      <c r="AN2074" s="66"/>
      <c r="AO2074" s="66"/>
      <c r="AP2074" s="66"/>
      <c r="AQ2074" s="66"/>
      <c r="AR2074" s="66"/>
      <c r="AS2074" s="66"/>
      <c r="AT2074" s="66"/>
      <c r="AU2074" s="66"/>
      <c r="AV2074" s="66"/>
      <c r="AW2074" s="66"/>
      <c r="AX2074" s="66"/>
      <c r="AY2074" s="66"/>
      <c r="AZ2074" s="66"/>
      <c r="BA2074" s="66"/>
      <c r="BB2074" s="66"/>
      <c r="BC2074" s="66"/>
      <c r="BD2074" s="66"/>
      <c r="BE2074" s="67"/>
      <c r="BF2074" s="67"/>
      <c r="BG2074" s="68"/>
      <c r="BI2074" s="69">
        <v>0</v>
      </c>
      <c r="BJ2074" s="70">
        <v>0</v>
      </c>
      <c r="BK2074" s="71">
        <v>0</v>
      </c>
      <c r="BL2074" s="71">
        <v>0</v>
      </c>
      <c r="BM2074" s="71">
        <v>0</v>
      </c>
      <c r="BN2074" s="72">
        <v>0</v>
      </c>
      <c r="BO2074" s="151" t="e">
        <f t="shared" si="136"/>
        <v>#DIV/0!</v>
      </c>
      <c r="BP2074" s="151" t="e">
        <f t="shared" si="137"/>
        <v>#DIV/0!</v>
      </c>
      <c r="BQ2074" s="71">
        <v>0</v>
      </c>
      <c r="BR2074" s="71">
        <v>0</v>
      </c>
      <c r="BS2074" s="71">
        <v>0</v>
      </c>
      <c r="BT2074" s="72">
        <v>0</v>
      </c>
      <c r="BU2074" s="73"/>
      <c r="BV2074" s="73"/>
    </row>
    <row r="2075" ht="30" customHeight="1" spans="1:74">
      <c r="A2075" s="55" t="s">
        <v>165</v>
      </c>
      <c r="B2075" s="56" t="s">
        <v>1057</v>
      </c>
      <c r="C2075" s="57" t="s">
        <v>1058</v>
      </c>
      <c r="D2075" s="59" t="s">
        <v>3273</v>
      </c>
      <c r="E2075" s="59" t="s">
        <v>3278</v>
      </c>
      <c r="F2075" s="59" t="str">
        <f>VLOOKUP(E2075,[1]库存!$B$1:$C$65536,2,FALSE)</f>
        <v>AU276 X55 SAB RH A状态</v>
      </c>
      <c r="G2075" s="59" t="s">
        <v>3279</v>
      </c>
      <c r="H2075" s="59" t="s">
        <v>3280</v>
      </c>
      <c r="I2075" s="59" t="s">
        <v>3277</v>
      </c>
      <c r="J2075" s="80" t="s">
        <v>65</v>
      </c>
      <c r="K2075" s="61" t="s">
        <v>3192</v>
      </c>
      <c r="L2075" s="62">
        <v>2</v>
      </c>
      <c r="M2075" s="63">
        <v>1200</v>
      </c>
      <c r="N2075" s="64">
        <v>11</v>
      </c>
      <c r="O2075" s="62">
        <v>2</v>
      </c>
      <c r="P2075" s="65">
        <f t="shared" si="138"/>
        <v>0</v>
      </c>
      <c r="Q2075" s="66"/>
      <c r="R2075" s="66"/>
      <c r="S2075" s="66"/>
      <c r="T2075" s="66"/>
      <c r="U2075" s="66"/>
      <c r="V2075" s="66"/>
      <c r="W2075" s="66"/>
      <c r="X2075" s="66"/>
      <c r="Y2075" s="66"/>
      <c r="Z2075" s="66"/>
      <c r="AA2075" s="66"/>
      <c r="AB2075" s="66"/>
      <c r="AC2075" s="66"/>
      <c r="AD2075" s="66"/>
      <c r="AE2075" s="66"/>
      <c r="AF2075" s="66"/>
      <c r="AG2075" s="66"/>
      <c r="AH2075" s="66"/>
      <c r="AI2075" s="66"/>
      <c r="AJ2075" s="66"/>
      <c r="AK2075" s="66"/>
      <c r="AL2075" s="66"/>
      <c r="AM2075" s="66"/>
      <c r="AN2075" s="66"/>
      <c r="AO2075" s="66"/>
      <c r="AP2075" s="66"/>
      <c r="AQ2075" s="66"/>
      <c r="AR2075" s="66"/>
      <c r="AS2075" s="66"/>
      <c r="AT2075" s="66"/>
      <c r="AU2075" s="66"/>
      <c r="AV2075" s="66"/>
      <c r="AW2075" s="66"/>
      <c r="AX2075" s="66"/>
      <c r="AY2075" s="66"/>
      <c r="AZ2075" s="66"/>
      <c r="BA2075" s="66"/>
      <c r="BB2075" s="66"/>
      <c r="BC2075" s="66"/>
      <c r="BD2075" s="66"/>
      <c r="BE2075" s="67"/>
      <c r="BF2075" s="67"/>
      <c r="BG2075" s="68"/>
      <c r="BI2075" s="69">
        <v>0</v>
      </c>
      <c r="BJ2075" s="70">
        <v>0</v>
      </c>
      <c r="BK2075" s="71">
        <v>0</v>
      </c>
      <c r="BL2075" s="71">
        <v>0</v>
      </c>
      <c r="BM2075" s="71">
        <v>0</v>
      </c>
      <c r="BN2075" s="72">
        <v>0</v>
      </c>
      <c r="BO2075" s="151" t="e">
        <f t="shared" si="136"/>
        <v>#DIV/0!</v>
      </c>
      <c r="BP2075" s="151" t="e">
        <f t="shared" si="137"/>
        <v>#DIV/0!</v>
      </c>
      <c r="BQ2075" s="71">
        <v>0</v>
      </c>
      <c r="BR2075" s="71">
        <v>0</v>
      </c>
      <c r="BS2075" s="71">
        <v>0</v>
      </c>
      <c r="BT2075" s="72">
        <v>0</v>
      </c>
      <c r="BU2075" s="73"/>
      <c r="BV2075" s="73"/>
    </row>
    <row r="2076" ht="30" customHeight="1" spans="1:74">
      <c r="A2076" s="55">
        <v>0</v>
      </c>
      <c r="B2076" s="56">
        <v>0</v>
      </c>
      <c r="C2076" s="57">
        <v>0</v>
      </c>
      <c r="D2076" s="74"/>
      <c r="E2076" s="74"/>
      <c r="F2076" s="59" t="e">
        <f>VLOOKUP(E2076,[1]库存!$B$1:$C$65536,2,FALSE)</f>
        <v>#N/A</v>
      </c>
      <c r="G2076" s="59" t="e">
        <v>#N/A</v>
      </c>
      <c r="H2076" s="74"/>
      <c r="I2076" s="74"/>
      <c r="J2076" s="81"/>
      <c r="K2076" s="61" t="s">
        <v>3193</v>
      </c>
      <c r="L2076" s="62">
        <v>0</v>
      </c>
      <c r="M2076" s="63">
        <v>0</v>
      </c>
      <c r="N2076" s="64">
        <v>0</v>
      </c>
      <c r="O2076" s="62">
        <v>0</v>
      </c>
      <c r="P2076" s="65">
        <f t="shared" si="138"/>
        <v>0</v>
      </c>
      <c r="Q2076" s="66"/>
      <c r="R2076" s="66"/>
      <c r="S2076" s="66"/>
      <c r="T2076" s="66"/>
      <c r="U2076" s="66"/>
      <c r="V2076" s="66"/>
      <c r="W2076" s="66"/>
      <c r="X2076" s="66"/>
      <c r="Y2076" s="66"/>
      <c r="Z2076" s="66"/>
      <c r="AA2076" s="66"/>
      <c r="AB2076" s="66"/>
      <c r="AC2076" s="66"/>
      <c r="AD2076" s="66"/>
      <c r="AE2076" s="66"/>
      <c r="AF2076" s="66"/>
      <c r="AG2076" s="66"/>
      <c r="AH2076" s="66"/>
      <c r="AI2076" s="66"/>
      <c r="AJ2076" s="66"/>
      <c r="AK2076" s="66"/>
      <c r="AL2076" s="66"/>
      <c r="AM2076" s="66"/>
      <c r="AN2076" s="66"/>
      <c r="AO2076" s="66"/>
      <c r="AP2076" s="66"/>
      <c r="AQ2076" s="66"/>
      <c r="AR2076" s="66"/>
      <c r="AS2076" s="66"/>
      <c r="AT2076" s="66"/>
      <c r="AU2076" s="66"/>
      <c r="AV2076" s="66"/>
      <c r="AW2076" s="66"/>
      <c r="AX2076" s="66"/>
      <c r="AY2076" s="66"/>
      <c r="AZ2076" s="66"/>
      <c r="BA2076" s="66"/>
      <c r="BB2076" s="66"/>
      <c r="BC2076" s="66"/>
      <c r="BD2076" s="66"/>
      <c r="BE2076" s="67"/>
      <c r="BF2076" s="67"/>
      <c r="BG2076" s="68"/>
      <c r="BI2076" s="69">
        <v>0</v>
      </c>
      <c r="BJ2076" s="70">
        <v>0</v>
      </c>
      <c r="BK2076" s="71">
        <v>0</v>
      </c>
      <c r="BL2076" s="71">
        <v>0</v>
      </c>
      <c r="BM2076" s="71">
        <v>0</v>
      </c>
      <c r="BN2076" s="72">
        <v>0</v>
      </c>
      <c r="BO2076" s="151" t="e">
        <f t="shared" si="136"/>
        <v>#DIV/0!</v>
      </c>
      <c r="BP2076" s="151" t="e">
        <f t="shared" si="137"/>
        <v>#DIV/0!</v>
      </c>
      <c r="BQ2076" s="71">
        <v>0</v>
      </c>
      <c r="BR2076" s="71">
        <v>0</v>
      </c>
      <c r="BS2076" s="71">
        <v>0</v>
      </c>
      <c r="BT2076" s="72">
        <v>0</v>
      </c>
      <c r="BU2076" s="73"/>
      <c r="BV2076" s="73"/>
    </row>
    <row r="2077" ht="30" customHeight="1" spans="1:74">
      <c r="A2077" s="55">
        <v>0</v>
      </c>
      <c r="B2077" s="56">
        <v>0</v>
      </c>
      <c r="C2077" s="57">
        <v>0</v>
      </c>
      <c r="E2077" s="88"/>
      <c r="F2077" s="59" t="e">
        <f>VLOOKUP(E2077,[1]库存!$B$1:$C$65536,2,FALSE)</f>
        <v>#N/A</v>
      </c>
      <c r="G2077" s="59" t="e">
        <v>#N/A</v>
      </c>
      <c r="H2077" s="89"/>
      <c r="I2077" s="88"/>
      <c r="J2077" s="90"/>
      <c r="K2077" s="61"/>
      <c r="L2077" s="62">
        <v>0</v>
      </c>
      <c r="M2077" s="63">
        <v>0</v>
      </c>
      <c r="N2077" s="64">
        <v>0</v>
      </c>
      <c r="O2077" s="62">
        <v>0</v>
      </c>
      <c r="P2077" s="65">
        <f t="shared" si="138"/>
        <v>0</v>
      </c>
      <c r="Q2077" s="66"/>
      <c r="R2077" s="66"/>
      <c r="S2077" s="66"/>
      <c r="T2077" s="66"/>
      <c r="U2077" s="66"/>
      <c r="V2077" s="66"/>
      <c r="W2077" s="66"/>
      <c r="X2077" s="66"/>
      <c r="Y2077" s="66"/>
      <c r="Z2077" s="66"/>
      <c r="AA2077" s="66"/>
      <c r="AB2077" s="66"/>
      <c r="AC2077" s="66"/>
      <c r="AD2077" s="66"/>
      <c r="AE2077" s="66"/>
      <c r="AF2077" s="66"/>
      <c r="AG2077" s="66"/>
      <c r="AH2077" s="66"/>
      <c r="AI2077" s="66"/>
      <c r="AJ2077" s="66"/>
      <c r="AK2077" s="66"/>
      <c r="AL2077" s="66"/>
      <c r="AM2077" s="66"/>
      <c r="AN2077" s="66"/>
      <c r="AO2077" s="66"/>
      <c r="AP2077" s="66"/>
      <c r="AQ2077" s="66"/>
      <c r="AR2077" s="66"/>
      <c r="AS2077" s="66"/>
      <c r="AT2077" s="66"/>
      <c r="AU2077" s="66"/>
      <c r="AV2077" s="66"/>
      <c r="AW2077" s="66"/>
      <c r="AX2077" s="66"/>
      <c r="AY2077" s="66"/>
      <c r="AZ2077" s="66"/>
      <c r="BA2077" s="66"/>
      <c r="BB2077" s="66"/>
      <c r="BC2077" s="66"/>
      <c r="BD2077" s="66"/>
      <c r="BE2077" s="67"/>
      <c r="BF2077" s="67"/>
      <c r="BG2077" s="68"/>
      <c r="BI2077" s="69">
        <v>0</v>
      </c>
      <c r="BJ2077" s="70">
        <v>0</v>
      </c>
      <c r="BK2077" s="71">
        <v>0</v>
      </c>
      <c r="BL2077" s="71">
        <v>0</v>
      </c>
      <c r="BM2077" s="71">
        <v>0</v>
      </c>
      <c r="BN2077" s="72">
        <v>0</v>
      </c>
      <c r="BO2077" s="151" t="e">
        <f t="shared" si="136"/>
        <v>#DIV/0!</v>
      </c>
      <c r="BP2077" s="151" t="e">
        <f t="shared" si="137"/>
        <v>#DIV/0!</v>
      </c>
      <c r="BQ2077" s="71">
        <v>0</v>
      </c>
      <c r="BR2077" s="71">
        <v>0</v>
      </c>
      <c r="BS2077" s="71">
        <v>0</v>
      </c>
      <c r="BT2077" s="72">
        <v>0</v>
      </c>
      <c r="BU2077" s="73"/>
      <c r="BV2077" s="73"/>
    </row>
    <row r="2078" ht="30" customHeight="1" spans="1:74">
      <c r="A2078" s="55" t="s">
        <v>96</v>
      </c>
      <c r="B2078" s="56" t="s">
        <v>1057</v>
      </c>
      <c r="C2078" s="57" t="s">
        <v>1324</v>
      </c>
      <c r="D2078" s="59" t="s">
        <v>3281</v>
      </c>
      <c r="E2078" s="59" t="s">
        <v>3282</v>
      </c>
      <c r="F2078" s="59" t="str">
        <f>VLOOKUP(E2078,[1]库存!$B$1:$C$65536,2,FALSE)</f>
        <v>SAIC IP31 SAB LH新状态</v>
      </c>
      <c r="G2078" s="59" t="s">
        <v>3283</v>
      </c>
      <c r="H2078" s="59" t="s">
        <v>3284</v>
      </c>
      <c r="I2078" s="59" t="s">
        <v>3285</v>
      </c>
      <c r="J2078" s="63"/>
      <c r="K2078" s="61" t="s">
        <v>3192</v>
      </c>
      <c r="L2078" s="62">
        <v>0</v>
      </c>
      <c r="M2078" s="63">
        <v>1450</v>
      </c>
      <c r="N2078" s="64">
        <v>13</v>
      </c>
      <c r="O2078" s="62">
        <v>0</v>
      </c>
      <c r="P2078" s="65">
        <f t="shared" si="138"/>
        <v>0</v>
      </c>
      <c r="Q2078" s="66"/>
      <c r="R2078" s="66"/>
      <c r="S2078" s="66"/>
      <c r="T2078" s="66"/>
      <c r="U2078" s="66"/>
      <c r="V2078" s="66"/>
      <c r="W2078" s="66"/>
      <c r="X2078" s="66"/>
      <c r="Y2078" s="66"/>
      <c r="Z2078" s="66"/>
      <c r="AA2078" s="66"/>
      <c r="AB2078" s="66"/>
      <c r="AC2078" s="66"/>
      <c r="AD2078" s="66"/>
      <c r="AE2078" s="66"/>
      <c r="AF2078" s="66"/>
      <c r="AG2078" s="66"/>
      <c r="AH2078" s="66"/>
      <c r="AI2078" s="66"/>
      <c r="AJ2078" s="66"/>
      <c r="AK2078" s="66"/>
      <c r="AL2078" s="66"/>
      <c r="AM2078" s="66"/>
      <c r="AN2078" s="66"/>
      <c r="AO2078" s="66"/>
      <c r="AP2078" s="66"/>
      <c r="AQ2078" s="66"/>
      <c r="AR2078" s="66"/>
      <c r="AS2078" s="66"/>
      <c r="AT2078" s="66"/>
      <c r="AU2078" s="66"/>
      <c r="AV2078" s="66"/>
      <c r="AW2078" s="66"/>
      <c r="AX2078" s="66"/>
      <c r="AY2078" s="66"/>
      <c r="AZ2078" s="66"/>
      <c r="BA2078" s="66"/>
      <c r="BB2078" s="66"/>
      <c r="BC2078" s="66"/>
      <c r="BD2078" s="66"/>
      <c r="BE2078" s="67"/>
      <c r="BF2078" s="67"/>
      <c r="BG2078" s="68"/>
      <c r="BI2078" s="69">
        <v>0</v>
      </c>
      <c r="BJ2078" s="70">
        <v>0</v>
      </c>
      <c r="BK2078" s="71">
        <v>0</v>
      </c>
      <c r="BL2078" s="71">
        <v>0</v>
      </c>
      <c r="BM2078" s="71">
        <v>0</v>
      </c>
      <c r="BN2078" s="72">
        <v>0</v>
      </c>
      <c r="BO2078" s="151" t="e">
        <f t="shared" si="136"/>
        <v>#DIV/0!</v>
      </c>
      <c r="BP2078" s="151" t="e">
        <f t="shared" si="137"/>
        <v>#DIV/0!</v>
      </c>
      <c r="BQ2078" s="71">
        <v>0</v>
      </c>
      <c r="BR2078" s="71">
        <v>0</v>
      </c>
      <c r="BS2078" s="71">
        <v>0</v>
      </c>
      <c r="BT2078" s="72">
        <v>0</v>
      </c>
      <c r="BU2078" s="73"/>
      <c r="BV2078" s="73"/>
    </row>
    <row r="2079" ht="30" customHeight="1" spans="1:74">
      <c r="A2079" s="55">
        <v>0</v>
      </c>
      <c r="B2079" s="56">
        <v>0</v>
      </c>
      <c r="C2079" s="57">
        <v>0</v>
      </c>
      <c r="D2079" s="74"/>
      <c r="E2079" s="74"/>
      <c r="F2079" s="59" t="e">
        <f>VLOOKUP(E2079,[1]库存!$B$1:$C$65536,2,FALSE)</f>
        <v>#N/A</v>
      </c>
      <c r="G2079" s="59" t="e">
        <v>#N/A</v>
      </c>
      <c r="H2079" s="74"/>
      <c r="I2079" s="74"/>
      <c r="J2079" s="87"/>
      <c r="K2079" s="61" t="s">
        <v>3193</v>
      </c>
      <c r="L2079" s="62">
        <v>0</v>
      </c>
      <c r="M2079" s="63">
        <v>0</v>
      </c>
      <c r="N2079" s="64">
        <v>0</v>
      </c>
      <c r="O2079" s="62">
        <v>0</v>
      </c>
      <c r="P2079" s="65">
        <f t="shared" si="138"/>
        <v>0</v>
      </c>
      <c r="Q2079" s="66"/>
      <c r="R2079" s="66"/>
      <c r="S2079" s="66"/>
      <c r="T2079" s="66"/>
      <c r="U2079" s="66"/>
      <c r="V2079" s="66"/>
      <c r="W2079" s="66"/>
      <c r="X2079" s="66"/>
      <c r="Y2079" s="66"/>
      <c r="Z2079" s="66"/>
      <c r="AA2079" s="66"/>
      <c r="AB2079" s="66"/>
      <c r="AC2079" s="66"/>
      <c r="AD2079" s="66"/>
      <c r="AE2079" s="66"/>
      <c r="AF2079" s="66"/>
      <c r="AG2079" s="66"/>
      <c r="AH2079" s="66"/>
      <c r="AI2079" s="66"/>
      <c r="AJ2079" s="66"/>
      <c r="AK2079" s="66"/>
      <c r="AL2079" s="66"/>
      <c r="AM2079" s="66"/>
      <c r="AN2079" s="66"/>
      <c r="AO2079" s="66"/>
      <c r="AP2079" s="66"/>
      <c r="AQ2079" s="66"/>
      <c r="AR2079" s="66"/>
      <c r="AS2079" s="66"/>
      <c r="AT2079" s="66"/>
      <c r="AU2079" s="66"/>
      <c r="AV2079" s="66"/>
      <c r="AW2079" s="66"/>
      <c r="AX2079" s="66"/>
      <c r="AY2079" s="66"/>
      <c r="AZ2079" s="66"/>
      <c r="BA2079" s="66"/>
      <c r="BB2079" s="66"/>
      <c r="BC2079" s="66"/>
      <c r="BD2079" s="66"/>
      <c r="BE2079" s="67"/>
      <c r="BF2079" s="67"/>
      <c r="BG2079" s="68"/>
      <c r="BI2079" s="69">
        <v>0</v>
      </c>
      <c r="BJ2079" s="70">
        <v>0</v>
      </c>
      <c r="BK2079" s="71">
        <v>0</v>
      </c>
      <c r="BL2079" s="71">
        <v>0</v>
      </c>
      <c r="BM2079" s="71">
        <v>0</v>
      </c>
      <c r="BN2079" s="72">
        <v>0</v>
      </c>
      <c r="BO2079" s="151" t="e">
        <f t="shared" si="136"/>
        <v>#DIV/0!</v>
      </c>
      <c r="BP2079" s="151" t="e">
        <f t="shared" si="137"/>
        <v>#DIV/0!</v>
      </c>
      <c r="BQ2079" s="71">
        <v>0</v>
      </c>
      <c r="BR2079" s="71">
        <v>0</v>
      </c>
      <c r="BS2079" s="71">
        <v>0</v>
      </c>
      <c r="BT2079" s="72">
        <v>0</v>
      </c>
      <c r="BU2079" s="73"/>
      <c r="BV2079" s="73"/>
    </row>
    <row r="2080" ht="30" customHeight="1" spans="1:74">
      <c r="A2080" s="55" t="s">
        <v>96</v>
      </c>
      <c r="B2080" s="56" t="s">
        <v>1057</v>
      </c>
      <c r="C2080" s="57" t="s">
        <v>1324</v>
      </c>
      <c r="D2080" s="59" t="s">
        <v>3281</v>
      </c>
      <c r="E2080" s="59" t="s">
        <v>3286</v>
      </c>
      <c r="F2080" s="59" t="str">
        <f>VLOOKUP(E2080,[1]库存!$B$1:$C$65536,2,FALSE)</f>
        <v>SAIC IP31 SAB RH新状态</v>
      </c>
      <c r="G2080" s="59" t="s">
        <v>3287</v>
      </c>
      <c r="H2080" s="59" t="s">
        <v>3288</v>
      </c>
      <c r="I2080" s="59" t="s">
        <v>3285</v>
      </c>
      <c r="J2080" s="63"/>
      <c r="K2080" s="61" t="s">
        <v>3192</v>
      </c>
      <c r="L2080" s="62">
        <v>2</v>
      </c>
      <c r="M2080" s="63">
        <v>1450</v>
      </c>
      <c r="N2080" s="64">
        <v>13</v>
      </c>
      <c r="O2080" s="62">
        <v>2</v>
      </c>
      <c r="P2080" s="65">
        <f t="shared" si="138"/>
        <v>0</v>
      </c>
      <c r="Q2080" s="66"/>
      <c r="R2080" s="66"/>
      <c r="S2080" s="66"/>
      <c r="T2080" s="66"/>
      <c r="U2080" s="66"/>
      <c r="V2080" s="66"/>
      <c r="W2080" s="66"/>
      <c r="X2080" s="66"/>
      <c r="Y2080" s="66"/>
      <c r="Z2080" s="66"/>
      <c r="AA2080" s="66"/>
      <c r="AB2080" s="66"/>
      <c r="AC2080" s="66"/>
      <c r="AD2080" s="66"/>
      <c r="AE2080" s="66"/>
      <c r="AF2080" s="66"/>
      <c r="AG2080" s="66"/>
      <c r="AH2080" s="66"/>
      <c r="AI2080" s="66"/>
      <c r="AJ2080" s="66"/>
      <c r="AK2080" s="66"/>
      <c r="AL2080" s="66"/>
      <c r="AM2080" s="66"/>
      <c r="AN2080" s="66"/>
      <c r="AO2080" s="66"/>
      <c r="AP2080" s="66"/>
      <c r="AQ2080" s="66"/>
      <c r="AR2080" s="66"/>
      <c r="AS2080" s="66"/>
      <c r="AT2080" s="66"/>
      <c r="AU2080" s="66"/>
      <c r="AV2080" s="66"/>
      <c r="AW2080" s="66"/>
      <c r="AX2080" s="66"/>
      <c r="AY2080" s="66"/>
      <c r="AZ2080" s="66"/>
      <c r="BA2080" s="66"/>
      <c r="BB2080" s="66"/>
      <c r="BC2080" s="66"/>
      <c r="BD2080" s="66"/>
      <c r="BE2080" s="67"/>
      <c r="BF2080" s="67"/>
      <c r="BG2080" s="68"/>
      <c r="BI2080" s="69">
        <v>0</v>
      </c>
      <c r="BJ2080" s="70">
        <v>0</v>
      </c>
      <c r="BK2080" s="71">
        <v>0</v>
      </c>
      <c r="BL2080" s="71">
        <v>0</v>
      </c>
      <c r="BM2080" s="71">
        <v>0</v>
      </c>
      <c r="BN2080" s="72">
        <v>0</v>
      </c>
      <c r="BO2080" s="151" t="e">
        <f t="shared" si="136"/>
        <v>#DIV/0!</v>
      </c>
      <c r="BP2080" s="151" t="e">
        <f t="shared" si="137"/>
        <v>#DIV/0!</v>
      </c>
      <c r="BQ2080" s="71">
        <v>0</v>
      </c>
      <c r="BR2080" s="71">
        <v>0</v>
      </c>
      <c r="BS2080" s="71">
        <v>0</v>
      </c>
      <c r="BT2080" s="72">
        <v>0</v>
      </c>
      <c r="BU2080" s="73"/>
      <c r="BV2080" s="73"/>
    </row>
    <row r="2081" ht="30" customHeight="1" spans="1:74">
      <c r="A2081" s="55">
        <v>0</v>
      </c>
      <c r="B2081" s="56">
        <v>0</v>
      </c>
      <c r="C2081" s="57">
        <v>0</v>
      </c>
      <c r="D2081" s="74"/>
      <c r="E2081" s="74"/>
      <c r="F2081" s="59" t="e">
        <f>VLOOKUP(E2081,[1]库存!$B$1:$C$65536,2,FALSE)</f>
        <v>#N/A</v>
      </c>
      <c r="G2081" s="59" t="e">
        <v>#N/A</v>
      </c>
      <c r="H2081" s="74"/>
      <c r="I2081" s="74"/>
      <c r="J2081" s="87"/>
      <c r="K2081" s="61" t="s">
        <v>3193</v>
      </c>
      <c r="L2081" s="62">
        <v>0</v>
      </c>
      <c r="M2081" s="63">
        <v>0</v>
      </c>
      <c r="N2081" s="64">
        <v>0</v>
      </c>
      <c r="O2081" s="62">
        <v>0</v>
      </c>
      <c r="P2081" s="65">
        <f t="shared" si="138"/>
        <v>0</v>
      </c>
      <c r="Q2081" s="66"/>
      <c r="R2081" s="66"/>
      <c r="S2081" s="66"/>
      <c r="T2081" s="66"/>
      <c r="U2081" s="66"/>
      <c r="V2081" s="66"/>
      <c r="W2081" s="66"/>
      <c r="X2081" s="66"/>
      <c r="Y2081" s="66"/>
      <c r="Z2081" s="66"/>
      <c r="AA2081" s="66"/>
      <c r="AB2081" s="66"/>
      <c r="AC2081" s="66"/>
      <c r="AD2081" s="66"/>
      <c r="AE2081" s="66"/>
      <c r="AF2081" s="66"/>
      <c r="AG2081" s="66"/>
      <c r="AH2081" s="66"/>
      <c r="AI2081" s="66"/>
      <c r="AJ2081" s="66"/>
      <c r="AK2081" s="66"/>
      <c r="AL2081" s="66"/>
      <c r="AM2081" s="66"/>
      <c r="AN2081" s="66"/>
      <c r="AO2081" s="66"/>
      <c r="AP2081" s="66"/>
      <c r="AQ2081" s="66"/>
      <c r="AR2081" s="66"/>
      <c r="AS2081" s="66"/>
      <c r="AT2081" s="66"/>
      <c r="AU2081" s="66"/>
      <c r="AV2081" s="66"/>
      <c r="AW2081" s="66"/>
      <c r="AX2081" s="66"/>
      <c r="AY2081" s="66"/>
      <c r="AZ2081" s="66"/>
      <c r="BA2081" s="66"/>
      <c r="BB2081" s="66"/>
      <c r="BC2081" s="66"/>
      <c r="BD2081" s="66"/>
      <c r="BE2081" s="67"/>
      <c r="BF2081" s="67"/>
      <c r="BG2081" s="68"/>
      <c r="BI2081" s="69">
        <v>0</v>
      </c>
      <c r="BJ2081" s="70">
        <v>0</v>
      </c>
      <c r="BK2081" s="71">
        <v>0</v>
      </c>
      <c r="BL2081" s="71">
        <v>0</v>
      </c>
      <c r="BM2081" s="71">
        <v>0</v>
      </c>
      <c r="BN2081" s="72">
        <v>0</v>
      </c>
      <c r="BO2081" s="151" t="e">
        <f t="shared" si="136"/>
        <v>#DIV/0!</v>
      </c>
      <c r="BP2081" s="151" t="e">
        <f t="shared" si="137"/>
        <v>#DIV/0!</v>
      </c>
      <c r="BQ2081" s="71">
        <v>0</v>
      </c>
      <c r="BR2081" s="71">
        <v>0</v>
      </c>
      <c r="BS2081" s="71">
        <v>0</v>
      </c>
      <c r="BT2081" s="72">
        <v>0</v>
      </c>
      <c r="BU2081" s="73"/>
      <c r="BV2081" s="73"/>
    </row>
    <row r="2082" ht="30" customHeight="1" spans="1:74">
      <c r="A2082" s="55">
        <v>0</v>
      </c>
      <c r="B2082" s="56">
        <v>0</v>
      </c>
      <c r="C2082" s="57">
        <v>0</v>
      </c>
      <c r="D2082" s="210"/>
      <c r="E2082" s="88"/>
      <c r="F2082" s="59" t="e">
        <f>VLOOKUP(E2082,[1]库存!$B$1:$C$65536,2,FALSE)</f>
        <v>#N/A</v>
      </c>
      <c r="G2082" s="59" t="e">
        <v>#N/A</v>
      </c>
      <c r="H2082" s="89"/>
      <c r="I2082" s="88"/>
      <c r="J2082" s="90"/>
      <c r="K2082" s="61"/>
      <c r="L2082" s="62">
        <v>0</v>
      </c>
      <c r="M2082" s="63">
        <v>0</v>
      </c>
      <c r="N2082" s="64">
        <v>0</v>
      </c>
      <c r="O2082" s="62">
        <v>0</v>
      </c>
      <c r="P2082" s="65">
        <f t="shared" si="138"/>
        <v>0</v>
      </c>
      <c r="Q2082" s="66"/>
      <c r="R2082" s="66"/>
      <c r="S2082" s="66"/>
      <c r="T2082" s="66"/>
      <c r="U2082" s="66"/>
      <c r="V2082" s="66"/>
      <c r="W2082" s="66"/>
      <c r="X2082" s="66"/>
      <c r="Y2082" s="66"/>
      <c r="Z2082" s="66"/>
      <c r="AA2082" s="66"/>
      <c r="AB2082" s="66"/>
      <c r="AC2082" s="66"/>
      <c r="AD2082" s="66"/>
      <c r="AE2082" s="66"/>
      <c r="AF2082" s="66"/>
      <c r="AG2082" s="66"/>
      <c r="AH2082" s="66"/>
      <c r="AI2082" s="66"/>
      <c r="AJ2082" s="66"/>
      <c r="AK2082" s="66"/>
      <c r="AL2082" s="66"/>
      <c r="AM2082" s="66"/>
      <c r="AN2082" s="66"/>
      <c r="AO2082" s="66"/>
      <c r="AP2082" s="66"/>
      <c r="AQ2082" s="66"/>
      <c r="AR2082" s="66"/>
      <c r="AS2082" s="66"/>
      <c r="AT2082" s="66"/>
      <c r="AU2082" s="66"/>
      <c r="AV2082" s="66"/>
      <c r="AW2082" s="66"/>
      <c r="AX2082" s="66"/>
      <c r="AY2082" s="66"/>
      <c r="AZ2082" s="66"/>
      <c r="BA2082" s="66"/>
      <c r="BB2082" s="66"/>
      <c r="BC2082" s="66"/>
      <c r="BD2082" s="66"/>
      <c r="BE2082" s="67"/>
      <c r="BF2082" s="67"/>
      <c r="BG2082" s="68"/>
      <c r="BI2082" s="69">
        <v>0</v>
      </c>
      <c r="BJ2082" s="70">
        <v>0</v>
      </c>
      <c r="BK2082" s="71">
        <v>0</v>
      </c>
      <c r="BL2082" s="71">
        <v>0</v>
      </c>
      <c r="BM2082" s="71">
        <v>0</v>
      </c>
      <c r="BN2082" s="72">
        <v>0</v>
      </c>
      <c r="BO2082" s="151" t="e">
        <f t="shared" si="136"/>
        <v>#DIV/0!</v>
      </c>
      <c r="BP2082" s="151" t="e">
        <f t="shared" si="137"/>
        <v>#DIV/0!</v>
      </c>
      <c r="BQ2082" s="71">
        <v>0</v>
      </c>
      <c r="BR2082" s="71">
        <v>0</v>
      </c>
      <c r="BS2082" s="71">
        <v>0</v>
      </c>
      <c r="BT2082" s="72">
        <v>0</v>
      </c>
      <c r="BU2082" s="73"/>
      <c r="BV2082" s="73"/>
    </row>
    <row r="2083" ht="30" customHeight="1" spans="1:74">
      <c r="A2083" s="55">
        <v>0</v>
      </c>
      <c r="B2083" s="56" t="s">
        <v>42</v>
      </c>
      <c r="C2083" s="57" t="s">
        <v>43</v>
      </c>
      <c r="D2083" s="59" t="s">
        <v>3289</v>
      </c>
      <c r="E2083" s="59" t="s">
        <v>3290</v>
      </c>
      <c r="F2083" s="59" t="str">
        <f>VLOOKUP(E2083,[1]库存!$B$1:$C$65536,2,FALSE)</f>
        <v>CHB021 SAB LH A状态 (埃)</v>
      </c>
      <c r="G2083" s="59" t="s">
        <v>3291</v>
      </c>
      <c r="H2083" s="59" t="s">
        <v>3292</v>
      </c>
      <c r="I2083" s="59" t="s">
        <v>3290</v>
      </c>
      <c r="J2083" s="159">
        <v>8000002797</v>
      </c>
      <c r="K2083" s="61" t="s">
        <v>3192</v>
      </c>
      <c r="L2083" s="62">
        <v>0</v>
      </c>
      <c r="M2083" s="63">
        <v>1450</v>
      </c>
      <c r="N2083" s="64">
        <v>13</v>
      </c>
      <c r="O2083" s="62">
        <v>0</v>
      </c>
      <c r="P2083" s="65">
        <f t="shared" si="138"/>
        <v>0</v>
      </c>
      <c r="Q2083" s="66" t="s">
        <v>3293</v>
      </c>
      <c r="R2083" s="66"/>
      <c r="S2083" s="66" t="s">
        <v>3293</v>
      </c>
      <c r="T2083" s="66"/>
      <c r="U2083" s="66" t="s">
        <v>3293</v>
      </c>
      <c r="V2083" s="66"/>
      <c r="W2083" s="66"/>
      <c r="X2083" s="66"/>
      <c r="Y2083" s="66"/>
      <c r="Z2083" s="66"/>
      <c r="AA2083" s="66"/>
      <c r="AB2083" s="66"/>
      <c r="AC2083" s="66" t="s">
        <v>3294</v>
      </c>
      <c r="AD2083" s="66"/>
      <c r="AE2083" s="66"/>
      <c r="AF2083" s="66"/>
      <c r="AG2083" s="66"/>
      <c r="AH2083" s="66"/>
      <c r="AI2083" s="66"/>
      <c r="AJ2083" s="66"/>
      <c r="AK2083" s="66"/>
      <c r="AL2083" s="66"/>
      <c r="AM2083" s="66"/>
      <c r="AN2083" s="66"/>
      <c r="AO2083" s="66"/>
      <c r="AP2083" s="66"/>
      <c r="AQ2083" s="66"/>
      <c r="AR2083" s="66"/>
      <c r="AS2083" s="66"/>
      <c r="AT2083" s="66"/>
      <c r="AU2083" s="66"/>
      <c r="AV2083" s="66"/>
      <c r="AW2083" s="66"/>
      <c r="AX2083" s="66"/>
      <c r="AY2083" s="66"/>
      <c r="AZ2083" s="66"/>
      <c r="BA2083" s="66"/>
      <c r="BB2083" s="66"/>
      <c r="BC2083" s="66"/>
      <c r="BD2083" s="66"/>
      <c r="BE2083" s="67"/>
      <c r="BF2083" s="67"/>
      <c r="BG2083" s="68"/>
      <c r="BI2083" s="69">
        <v>0</v>
      </c>
      <c r="BJ2083" s="70">
        <v>0</v>
      </c>
      <c r="BK2083" s="71">
        <v>0</v>
      </c>
      <c r="BL2083" s="71">
        <v>0</v>
      </c>
      <c r="BM2083" s="71">
        <v>0</v>
      </c>
      <c r="BN2083" s="72">
        <v>0</v>
      </c>
      <c r="BO2083" s="151" t="e">
        <f t="shared" si="136"/>
        <v>#DIV/0!</v>
      </c>
      <c r="BP2083" s="151" t="e">
        <f t="shared" si="137"/>
        <v>#DIV/0!</v>
      </c>
      <c r="BQ2083" s="71">
        <v>0</v>
      </c>
      <c r="BR2083" s="71">
        <v>0</v>
      </c>
      <c r="BS2083" s="71">
        <v>0</v>
      </c>
      <c r="BT2083" s="72">
        <v>0</v>
      </c>
      <c r="BU2083" s="73"/>
      <c r="BV2083" s="73"/>
    </row>
    <row r="2084" ht="30" customHeight="1" spans="1:74">
      <c r="A2084" s="55">
        <v>0</v>
      </c>
      <c r="B2084" s="56">
        <v>0</v>
      </c>
      <c r="C2084" s="57">
        <v>0</v>
      </c>
      <c r="D2084" s="74"/>
      <c r="E2084" s="74"/>
      <c r="F2084" s="59" t="e">
        <f>VLOOKUP(E2084,[1]库存!$B$1:$C$65536,2,FALSE)</f>
        <v>#N/A</v>
      </c>
      <c r="G2084" s="59" t="e">
        <v>#N/A</v>
      </c>
      <c r="H2084" s="74"/>
      <c r="I2084" s="74"/>
      <c r="J2084" s="160"/>
      <c r="K2084" s="61" t="s">
        <v>3193</v>
      </c>
      <c r="L2084" s="62">
        <v>0</v>
      </c>
      <c r="M2084" s="63">
        <v>0</v>
      </c>
      <c r="N2084" s="64">
        <v>0</v>
      </c>
      <c r="O2084" s="62">
        <v>0</v>
      </c>
      <c r="P2084" s="65">
        <f t="shared" si="138"/>
        <v>0</v>
      </c>
      <c r="Q2084" s="66">
        <v>595</v>
      </c>
      <c r="R2084" s="66"/>
      <c r="S2084" s="66">
        <v>850</v>
      </c>
      <c r="T2084" s="66"/>
      <c r="U2084" s="66">
        <v>527</v>
      </c>
      <c r="V2084" s="66"/>
      <c r="W2084" s="66"/>
      <c r="X2084" s="66"/>
      <c r="Y2084" s="66"/>
      <c r="Z2084" s="66"/>
      <c r="AA2084" s="66"/>
      <c r="AB2084" s="66"/>
      <c r="AC2084" s="66">
        <v>835</v>
      </c>
      <c r="AD2084" s="66"/>
      <c r="AE2084" s="66"/>
      <c r="AF2084" s="66"/>
      <c r="AG2084" s="66"/>
      <c r="AH2084" s="66"/>
      <c r="AI2084" s="66"/>
      <c r="AJ2084" s="66"/>
      <c r="AK2084" s="66"/>
      <c r="AL2084" s="66"/>
      <c r="AM2084" s="66"/>
      <c r="AN2084" s="66"/>
      <c r="AO2084" s="66"/>
      <c r="AP2084" s="66"/>
      <c r="AQ2084" s="66"/>
      <c r="AR2084" s="66"/>
      <c r="AS2084" s="66"/>
      <c r="AT2084" s="66"/>
      <c r="AU2084" s="66"/>
      <c r="AV2084" s="66"/>
      <c r="AW2084" s="66"/>
      <c r="AX2084" s="66"/>
      <c r="AY2084" s="66"/>
      <c r="AZ2084" s="66"/>
      <c r="BA2084" s="66"/>
      <c r="BB2084" s="66"/>
      <c r="BC2084" s="66"/>
      <c r="BD2084" s="66"/>
      <c r="BE2084" s="67"/>
      <c r="BF2084" s="67"/>
      <c r="BG2084" s="68"/>
      <c r="BI2084" s="69">
        <v>0</v>
      </c>
      <c r="BJ2084" s="70">
        <v>0</v>
      </c>
      <c r="BK2084" s="71">
        <v>0</v>
      </c>
      <c r="BL2084" s="71">
        <v>0</v>
      </c>
      <c r="BM2084" s="71">
        <v>0</v>
      </c>
      <c r="BN2084" s="72">
        <v>0</v>
      </c>
      <c r="BO2084" s="151" t="e">
        <f t="shared" si="136"/>
        <v>#DIV/0!</v>
      </c>
      <c r="BP2084" s="151" t="e">
        <f t="shared" si="137"/>
        <v>#DIV/0!</v>
      </c>
      <c r="BQ2084" s="71">
        <v>0</v>
      </c>
      <c r="BR2084" s="71">
        <v>0</v>
      </c>
      <c r="BS2084" s="71">
        <v>0</v>
      </c>
      <c r="BT2084" s="72">
        <v>0</v>
      </c>
      <c r="BU2084" s="73"/>
      <c r="BV2084" s="73"/>
    </row>
    <row r="2085" ht="30" customHeight="1" spans="1:74">
      <c r="A2085" s="55">
        <v>0</v>
      </c>
      <c r="B2085" s="56" t="s">
        <v>42</v>
      </c>
      <c r="C2085" s="57" t="s">
        <v>43</v>
      </c>
      <c r="D2085" s="59" t="s">
        <v>3289</v>
      </c>
      <c r="E2085" s="59" t="s">
        <v>3295</v>
      </c>
      <c r="F2085" s="59" t="str">
        <f>VLOOKUP(E2085,[1]库存!$B$1:$C$65536,2,FALSE)</f>
        <v>CHB021 SAB RH A状态 (埃)</v>
      </c>
      <c r="G2085" s="59" t="s">
        <v>3296</v>
      </c>
      <c r="H2085" s="59" t="s">
        <v>3297</v>
      </c>
      <c r="I2085" s="59" t="s">
        <v>3295</v>
      </c>
      <c r="J2085" s="261">
        <v>8000002798</v>
      </c>
      <c r="K2085" s="61" t="s">
        <v>3192</v>
      </c>
      <c r="L2085" s="62">
        <v>2</v>
      </c>
      <c r="M2085" s="63">
        <v>1450</v>
      </c>
      <c r="N2085" s="64">
        <v>13</v>
      </c>
      <c r="O2085" s="62">
        <v>2</v>
      </c>
      <c r="P2085" s="65">
        <f t="shared" si="138"/>
        <v>0</v>
      </c>
      <c r="Q2085" s="66"/>
      <c r="R2085" s="66"/>
      <c r="S2085" s="66"/>
      <c r="T2085" s="66"/>
      <c r="U2085" s="66"/>
      <c r="V2085" s="66"/>
      <c r="W2085" s="66"/>
      <c r="X2085" s="66"/>
      <c r="Y2085" s="66"/>
      <c r="Z2085" s="66"/>
      <c r="AA2085" s="66"/>
      <c r="AB2085" s="66"/>
      <c r="AC2085" s="66"/>
      <c r="AD2085" s="66"/>
      <c r="AE2085" s="66"/>
      <c r="AF2085" s="66"/>
      <c r="AG2085" s="66"/>
      <c r="AH2085" s="66"/>
      <c r="AI2085" s="66"/>
      <c r="AJ2085" s="66"/>
      <c r="AK2085" s="66"/>
      <c r="AL2085" s="66"/>
      <c r="AM2085" s="66"/>
      <c r="AN2085" s="66"/>
      <c r="AO2085" s="66"/>
      <c r="AP2085" s="66"/>
      <c r="AQ2085" s="66"/>
      <c r="AR2085" s="66"/>
      <c r="AS2085" s="66"/>
      <c r="AT2085" s="66"/>
      <c r="AU2085" s="66"/>
      <c r="AV2085" s="66"/>
      <c r="AW2085" s="66"/>
      <c r="AX2085" s="66"/>
      <c r="AY2085" s="66"/>
      <c r="AZ2085" s="66"/>
      <c r="BA2085" s="66"/>
      <c r="BB2085" s="66"/>
      <c r="BC2085" s="66"/>
      <c r="BD2085" s="66"/>
      <c r="BE2085" s="67"/>
      <c r="BF2085" s="67"/>
      <c r="BG2085" s="68"/>
      <c r="BI2085" s="69">
        <v>0</v>
      </c>
      <c r="BJ2085" s="70">
        <v>0</v>
      </c>
      <c r="BK2085" s="71">
        <v>0</v>
      </c>
      <c r="BL2085" s="71">
        <v>0</v>
      </c>
      <c r="BM2085" s="71">
        <v>0</v>
      </c>
      <c r="BN2085" s="72">
        <v>0</v>
      </c>
      <c r="BO2085" s="151" t="e">
        <f t="shared" si="136"/>
        <v>#DIV/0!</v>
      </c>
      <c r="BP2085" s="151" t="e">
        <f t="shared" si="137"/>
        <v>#DIV/0!</v>
      </c>
      <c r="BQ2085" s="71">
        <v>0</v>
      </c>
      <c r="BR2085" s="71">
        <v>0</v>
      </c>
      <c r="BS2085" s="71">
        <v>0</v>
      </c>
      <c r="BT2085" s="72">
        <v>0</v>
      </c>
      <c r="BU2085" s="73"/>
      <c r="BV2085" s="73"/>
    </row>
    <row r="2086" ht="30" customHeight="1" spans="1:74">
      <c r="A2086" s="55">
        <v>0</v>
      </c>
      <c r="B2086" s="56">
        <v>0</v>
      </c>
      <c r="C2086" s="57">
        <v>0</v>
      </c>
      <c r="D2086" s="74"/>
      <c r="E2086" s="74"/>
      <c r="F2086" s="59" t="e">
        <f>VLOOKUP(E2086,[1]库存!$B$1:$C$65536,2,FALSE)</f>
        <v>#N/A</v>
      </c>
      <c r="G2086" s="59" t="e">
        <v>#N/A</v>
      </c>
      <c r="H2086" s="74"/>
      <c r="I2086" s="74"/>
      <c r="J2086" s="262"/>
      <c r="K2086" s="61" t="s">
        <v>3193</v>
      </c>
      <c r="L2086" s="62">
        <v>0</v>
      </c>
      <c r="M2086" s="63">
        <v>0</v>
      </c>
      <c r="N2086" s="64">
        <v>0</v>
      </c>
      <c r="O2086" s="62">
        <v>0</v>
      </c>
      <c r="P2086" s="65">
        <f t="shared" si="138"/>
        <v>0</v>
      </c>
      <c r="Q2086" s="66"/>
      <c r="R2086" s="66"/>
      <c r="S2086" s="66"/>
      <c r="T2086" s="66"/>
      <c r="U2086" s="66"/>
      <c r="V2086" s="66"/>
      <c r="W2086" s="66"/>
      <c r="X2086" s="66"/>
      <c r="Y2086" s="66"/>
      <c r="Z2086" s="66"/>
      <c r="AA2086" s="66"/>
      <c r="AB2086" s="66"/>
      <c r="AC2086" s="66"/>
      <c r="AD2086" s="66"/>
      <c r="AE2086" s="66"/>
      <c r="AF2086" s="66"/>
      <c r="AG2086" s="66"/>
      <c r="AH2086" s="66"/>
      <c r="AI2086" s="66"/>
      <c r="AJ2086" s="66"/>
      <c r="AK2086" s="66"/>
      <c r="AL2086" s="66"/>
      <c r="AM2086" s="66"/>
      <c r="AN2086" s="66"/>
      <c r="AO2086" s="66"/>
      <c r="AP2086" s="66"/>
      <c r="AQ2086" s="66"/>
      <c r="AR2086" s="66"/>
      <c r="AS2086" s="66"/>
      <c r="AT2086" s="66"/>
      <c r="AU2086" s="66"/>
      <c r="AV2086" s="66"/>
      <c r="AW2086" s="66"/>
      <c r="AX2086" s="66"/>
      <c r="AY2086" s="66"/>
      <c r="AZ2086" s="66"/>
      <c r="BA2086" s="66"/>
      <c r="BB2086" s="66"/>
      <c r="BC2086" s="66"/>
      <c r="BD2086" s="66"/>
      <c r="BE2086" s="67"/>
      <c r="BF2086" s="67"/>
      <c r="BG2086" s="68"/>
      <c r="BI2086" s="69">
        <v>0</v>
      </c>
      <c r="BJ2086" s="70">
        <v>0</v>
      </c>
      <c r="BK2086" s="71">
        <v>0</v>
      </c>
      <c r="BL2086" s="71">
        <v>0</v>
      </c>
      <c r="BM2086" s="71">
        <v>0</v>
      </c>
      <c r="BN2086" s="72">
        <v>0</v>
      </c>
      <c r="BO2086" s="151" t="e">
        <f t="shared" si="136"/>
        <v>#DIV/0!</v>
      </c>
      <c r="BP2086" s="151" t="e">
        <f t="shared" si="137"/>
        <v>#DIV/0!</v>
      </c>
      <c r="BQ2086" s="71">
        <v>0</v>
      </c>
      <c r="BR2086" s="71">
        <v>0</v>
      </c>
      <c r="BS2086" s="71">
        <v>0</v>
      </c>
      <c r="BT2086" s="72">
        <v>0</v>
      </c>
      <c r="BU2086" s="73"/>
      <c r="BV2086" s="73"/>
    </row>
    <row r="2087" ht="30" customHeight="1" spans="1:74">
      <c r="A2087" s="55">
        <v>0</v>
      </c>
      <c r="B2087" s="56">
        <v>0</v>
      </c>
      <c r="C2087" s="57">
        <v>0</v>
      </c>
      <c r="D2087" s="106"/>
      <c r="E2087" s="88"/>
      <c r="F2087" s="59" t="e">
        <f>VLOOKUP(E2087,[1]库存!$B$1:$C$65536,2,FALSE)</f>
        <v>#N/A</v>
      </c>
      <c r="G2087" s="59" t="e">
        <v>#N/A</v>
      </c>
      <c r="H2087" s="89"/>
      <c r="I2087" s="88"/>
      <c r="J2087" s="90"/>
      <c r="K2087" s="61"/>
      <c r="L2087" s="62">
        <v>0</v>
      </c>
      <c r="M2087" s="63">
        <v>0</v>
      </c>
      <c r="N2087" s="64">
        <v>0</v>
      </c>
      <c r="O2087" s="62">
        <v>0</v>
      </c>
      <c r="P2087" s="65">
        <f t="shared" si="138"/>
        <v>0</v>
      </c>
      <c r="Q2087" s="66"/>
      <c r="R2087" s="66"/>
      <c r="S2087" s="66"/>
      <c r="T2087" s="66"/>
      <c r="U2087" s="66"/>
      <c r="V2087" s="66"/>
      <c r="W2087" s="66"/>
      <c r="X2087" s="66"/>
      <c r="Y2087" s="66"/>
      <c r="Z2087" s="66"/>
      <c r="AA2087" s="66"/>
      <c r="AB2087" s="66"/>
      <c r="AC2087" s="66"/>
      <c r="AD2087" s="66"/>
      <c r="AE2087" s="66"/>
      <c r="AF2087" s="66"/>
      <c r="AG2087" s="66"/>
      <c r="AH2087" s="66"/>
      <c r="AI2087" s="66"/>
      <c r="AJ2087" s="66"/>
      <c r="AK2087" s="66"/>
      <c r="AL2087" s="66"/>
      <c r="AM2087" s="66"/>
      <c r="AN2087" s="66"/>
      <c r="AO2087" s="66"/>
      <c r="AP2087" s="66"/>
      <c r="AQ2087" s="66"/>
      <c r="AR2087" s="66"/>
      <c r="AS2087" s="66"/>
      <c r="AT2087" s="66"/>
      <c r="AU2087" s="66"/>
      <c r="AV2087" s="66"/>
      <c r="AW2087" s="66"/>
      <c r="AX2087" s="66"/>
      <c r="AY2087" s="66"/>
      <c r="AZ2087" s="66"/>
      <c r="BA2087" s="66"/>
      <c r="BB2087" s="66"/>
      <c r="BC2087" s="66"/>
      <c r="BD2087" s="66"/>
      <c r="BE2087" s="67"/>
      <c r="BF2087" s="67"/>
      <c r="BG2087" s="68"/>
      <c r="BI2087" s="69">
        <v>0</v>
      </c>
      <c r="BJ2087" s="70">
        <v>0</v>
      </c>
      <c r="BK2087" s="71">
        <v>0</v>
      </c>
      <c r="BL2087" s="71">
        <v>0</v>
      </c>
      <c r="BM2087" s="71">
        <v>0</v>
      </c>
      <c r="BN2087" s="72">
        <v>0</v>
      </c>
      <c r="BO2087" s="151" t="e">
        <f t="shared" si="136"/>
        <v>#DIV/0!</v>
      </c>
      <c r="BP2087" s="151" t="e">
        <f t="shared" si="137"/>
        <v>#DIV/0!</v>
      </c>
      <c r="BQ2087" s="71">
        <v>0</v>
      </c>
      <c r="BR2087" s="71">
        <v>0</v>
      </c>
      <c r="BS2087" s="71">
        <v>0</v>
      </c>
      <c r="BT2087" s="72">
        <v>0</v>
      </c>
      <c r="BU2087" s="73"/>
      <c r="BV2087" s="73"/>
    </row>
    <row r="2088" ht="30" customHeight="1" spans="1:74">
      <c r="A2088" s="55">
        <v>0</v>
      </c>
      <c r="B2088" s="56">
        <v>0</v>
      </c>
      <c r="C2088" s="57">
        <v>0</v>
      </c>
      <c r="E2088" s="88"/>
      <c r="F2088" s="59" t="e">
        <f>VLOOKUP(E2088,[1]库存!$B$1:$C$65536,2,FALSE)</f>
        <v>#N/A</v>
      </c>
      <c r="G2088" s="59" t="e">
        <v>#N/A</v>
      </c>
      <c r="H2088" s="89"/>
      <c r="I2088" s="88"/>
      <c r="J2088" s="90"/>
      <c r="K2088" s="61"/>
      <c r="L2088" s="62">
        <v>0</v>
      </c>
      <c r="M2088" s="63">
        <v>0</v>
      </c>
      <c r="N2088" s="64">
        <v>0</v>
      </c>
      <c r="O2088" s="62">
        <v>0</v>
      </c>
      <c r="P2088" s="65">
        <f t="shared" si="138"/>
        <v>0</v>
      </c>
      <c r="Q2088" s="66"/>
      <c r="R2088" s="66"/>
      <c r="S2088" s="66"/>
      <c r="T2088" s="66"/>
      <c r="U2088" s="66"/>
      <c r="V2088" s="66"/>
      <c r="W2088" s="66"/>
      <c r="X2088" s="66"/>
      <c r="Y2088" s="66"/>
      <c r="Z2088" s="66"/>
      <c r="AA2088" s="66"/>
      <c r="AB2088" s="66"/>
      <c r="AC2088" s="66"/>
      <c r="AD2088" s="66"/>
      <c r="AE2088" s="66"/>
      <c r="AF2088" s="66"/>
      <c r="AG2088" s="66"/>
      <c r="AH2088" s="66"/>
      <c r="AI2088" s="66"/>
      <c r="AJ2088" s="66"/>
      <c r="AK2088" s="66"/>
      <c r="AL2088" s="66"/>
      <c r="AM2088" s="66"/>
      <c r="AN2088" s="66"/>
      <c r="AO2088" s="66"/>
      <c r="AP2088" s="66"/>
      <c r="AQ2088" s="66"/>
      <c r="AR2088" s="66"/>
      <c r="AS2088" s="66"/>
      <c r="AT2088" s="66"/>
      <c r="AU2088" s="66"/>
      <c r="AV2088" s="66"/>
      <c r="AW2088" s="66"/>
      <c r="AX2088" s="66"/>
      <c r="AY2088" s="66"/>
      <c r="AZ2088" s="66"/>
      <c r="BA2088" s="66"/>
      <c r="BB2088" s="66"/>
      <c r="BC2088" s="66"/>
      <c r="BD2088" s="66"/>
      <c r="BE2088" s="67"/>
      <c r="BF2088" s="67"/>
      <c r="BG2088" s="68"/>
      <c r="BI2088" s="69">
        <v>0</v>
      </c>
      <c r="BJ2088" s="70">
        <v>0</v>
      </c>
      <c r="BK2088" s="71">
        <v>0</v>
      </c>
      <c r="BL2088" s="71">
        <v>0</v>
      </c>
      <c r="BM2088" s="71">
        <v>0</v>
      </c>
      <c r="BN2088" s="72">
        <v>0</v>
      </c>
      <c r="BO2088" s="151" t="e">
        <f t="shared" si="136"/>
        <v>#DIV/0!</v>
      </c>
      <c r="BP2088" s="151" t="e">
        <f t="shared" si="137"/>
        <v>#DIV/0!</v>
      </c>
      <c r="BQ2088" s="71">
        <v>0</v>
      </c>
      <c r="BR2088" s="71">
        <v>0</v>
      </c>
      <c r="BS2088" s="71">
        <v>0</v>
      </c>
      <c r="BT2088" s="72">
        <v>0</v>
      </c>
      <c r="BU2088" s="73"/>
      <c r="BV2088" s="73"/>
    </row>
    <row r="2089" ht="30" customHeight="1" spans="1:74">
      <c r="A2089" s="55">
        <v>0</v>
      </c>
      <c r="B2089" s="56">
        <v>0</v>
      </c>
      <c r="C2089" s="57">
        <v>0</v>
      </c>
      <c r="D2089" s="185"/>
      <c r="E2089" s="186"/>
      <c r="F2089" s="187" t="e">
        <f>VLOOKUP(E2089,[1]库存!$B$1:$C$65536,2,FALSE)</f>
        <v>#N/A</v>
      </c>
      <c r="G2089" s="187" t="e">
        <v>#N/A</v>
      </c>
      <c r="H2089" s="188"/>
      <c r="I2089" s="189"/>
      <c r="J2089" s="190"/>
      <c r="K2089" s="181"/>
      <c r="L2089" s="65">
        <f>SUM(M2089:M2089)</f>
        <v>0</v>
      </c>
      <c r="M2089" s="63">
        <v>0</v>
      </c>
      <c r="N2089" s="65">
        <f>SUM(O2089:P2089)</f>
        <v>0</v>
      </c>
      <c r="O2089" s="65">
        <f>SUM(P2089:P2089)</f>
        <v>0</v>
      </c>
      <c r="P2089" s="65">
        <f t="shared" si="138"/>
        <v>0</v>
      </c>
      <c r="Q2089" s="66"/>
      <c r="R2089" s="66"/>
      <c r="S2089" s="66"/>
      <c r="T2089" s="66"/>
      <c r="U2089" s="66"/>
      <c r="V2089" s="66"/>
      <c r="W2089" s="66"/>
      <c r="X2089" s="66"/>
      <c r="Y2089" s="66"/>
      <c r="Z2089" s="66"/>
      <c r="AA2089" s="66"/>
      <c r="AB2089" s="66"/>
      <c r="AC2089" s="66"/>
      <c r="AD2089" s="66"/>
      <c r="AE2089" s="66"/>
      <c r="AF2089" s="66"/>
      <c r="AG2089" s="66"/>
      <c r="AH2089" s="66"/>
      <c r="AI2089" s="66"/>
      <c r="AJ2089" s="66"/>
      <c r="AK2089" s="66"/>
      <c r="AL2089" s="66"/>
      <c r="AM2089" s="66"/>
      <c r="AN2089" s="66"/>
      <c r="AO2089" s="66"/>
      <c r="AP2089" s="66"/>
      <c r="AQ2089" s="66"/>
      <c r="AR2089" s="66"/>
      <c r="AS2089" s="66"/>
      <c r="AT2089" s="66"/>
      <c r="AU2089" s="66"/>
      <c r="AV2089" s="66"/>
      <c r="AW2089" s="66"/>
      <c r="AX2089" s="66"/>
      <c r="AY2089" s="66"/>
      <c r="AZ2089" s="66"/>
      <c r="BA2089" s="66"/>
      <c r="BB2089" s="66"/>
      <c r="BC2089" s="66"/>
      <c r="BD2089" s="66"/>
      <c r="BE2089" s="67"/>
      <c r="BF2089" s="67"/>
      <c r="BG2089" s="68"/>
      <c r="BI2089" s="69">
        <v>0</v>
      </c>
      <c r="BJ2089" s="70">
        <v>0</v>
      </c>
      <c r="BK2089" s="71">
        <v>0</v>
      </c>
      <c r="BL2089" s="71">
        <v>0</v>
      </c>
      <c r="BM2089" s="71">
        <v>0</v>
      </c>
      <c r="BN2089" s="72">
        <v>0</v>
      </c>
      <c r="BO2089" s="151" t="e">
        <f t="shared" si="136"/>
        <v>#DIV/0!</v>
      </c>
      <c r="BP2089" s="151" t="e">
        <f t="shared" si="137"/>
        <v>#DIV/0!</v>
      </c>
      <c r="BQ2089" s="71">
        <v>0</v>
      </c>
      <c r="BR2089" s="71">
        <v>0</v>
      </c>
      <c r="BS2089" s="71">
        <v>0</v>
      </c>
      <c r="BT2089" s="72">
        <v>0</v>
      </c>
      <c r="BU2089" s="151" t="e">
        <f t="shared" ref="BU2089:BU2152" si="139">(BQ2089+BR2089)/BJ2089</f>
        <v>#DIV/0!</v>
      </c>
      <c r="BV2089" s="151" t="e">
        <f t="shared" ref="BV2089:BV2152" si="140">BS2089/BJ2089</f>
        <v>#DIV/0!</v>
      </c>
    </row>
    <row r="2090" ht="30" customHeight="1" spans="1:74">
      <c r="A2090" s="55" t="s">
        <v>165</v>
      </c>
      <c r="B2090" s="56" t="s">
        <v>1237</v>
      </c>
      <c r="C2090" s="57" t="s">
        <v>3226</v>
      </c>
      <c r="D2090" s="57" t="s">
        <v>3298</v>
      </c>
      <c r="E2090" s="56" t="s">
        <v>3299</v>
      </c>
      <c r="F2090" s="91" t="str">
        <f>VLOOKUP(E2090,[1]库存!$B$1:$C$65536,2,FALSE)</f>
        <v>GAC T09-M FCAB</v>
      </c>
      <c r="G2090" s="91" t="s">
        <v>3300</v>
      </c>
      <c r="H2090" s="91" t="s">
        <v>3301</v>
      </c>
      <c r="I2090" s="56" t="s">
        <v>3302</v>
      </c>
      <c r="J2090" s="63"/>
      <c r="K2090" s="61"/>
      <c r="L2090" s="62">
        <v>2</v>
      </c>
      <c r="M2090" s="63">
        <v>1100</v>
      </c>
      <c r="N2090" s="64">
        <v>21</v>
      </c>
      <c r="O2090" s="62">
        <v>3</v>
      </c>
      <c r="P2090" s="65">
        <f t="shared" si="138"/>
        <v>0</v>
      </c>
      <c r="Q2090" s="66"/>
      <c r="R2090" s="66"/>
      <c r="S2090" s="66"/>
      <c r="T2090" s="66"/>
      <c r="U2090" s="66"/>
      <c r="V2090" s="66"/>
      <c r="W2090" s="66"/>
      <c r="X2090" s="66"/>
      <c r="Y2090" s="66"/>
      <c r="Z2090" s="66"/>
      <c r="AA2090" s="66"/>
      <c r="AB2090" s="66"/>
      <c r="AC2090" s="66"/>
      <c r="AD2090" s="66"/>
      <c r="AE2090" s="66"/>
      <c r="AF2090" s="66"/>
      <c r="AG2090" s="66"/>
      <c r="AH2090" s="66"/>
      <c r="AI2090" s="66"/>
      <c r="AJ2090" s="66"/>
      <c r="AK2090" s="66"/>
      <c r="AL2090" s="66"/>
      <c r="AM2090" s="66"/>
      <c r="AN2090" s="66"/>
      <c r="AO2090" s="66"/>
      <c r="AP2090" s="66"/>
      <c r="AQ2090" s="66"/>
      <c r="AR2090" s="66"/>
      <c r="AS2090" s="66"/>
      <c r="AT2090" s="66"/>
      <c r="AU2090" s="66"/>
      <c r="AV2090" s="66"/>
      <c r="AW2090" s="66"/>
      <c r="AX2090" s="66"/>
      <c r="AY2090" s="66"/>
      <c r="AZ2090" s="66"/>
      <c r="BA2090" s="66"/>
      <c r="BB2090" s="66"/>
      <c r="BC2090" s="66"/>
      <c r="BD2090" s="66"/>
      <c r="BE2090" s="67"/>
      <c r="BF2090" s="67"/>
      <c r="BG2090" s="68"/>
      <c r="BI2090" s="69">
        <v>0</v>
      </c>
      <c r="BJ2090" s="70">
        <v>0</v>
      </c>
      <c r="BK2090" s="71">
        <v>0</v>
      </c>
      <c r="BL2090" s="71">
        <v>0</v>
      </c>
      <c r="BM2090" s="71">
        <v>0</v>
      </c>
      <c r="BN2090" s="72">
        <v>0</v>
      </c>
      <c r="BO2090" s="151" t="e">
        <f t="shared" si="136"/>
        <v>#DIV/0!</v>
      </c>
      <c r="BP2090" s="151" t="e">
        <f t="shared" si="137"/>
        <v>#DIV/0!</v>
      </c>
      <c r="BQ2090" s="71">
        <v>0</v>
      </c>
      <c r="BR2090" s="71">
        <v>0</v>
      </c>
      <c r="BS2090" s="71">
        <v>0</v>
      </c>
      <c r="BT2090" s="72">
        <v>0</v>
      </c>
      <c r="BU2090" s="151" t="e">
        <f t="shared" si="139"/>
        <v>#DIV/0!</v>
      </c>
      <c r="BV2090" s="151" t="e">
        <f t="shared" si="140"/>
        <v>#DIV/0!</v>
      </c>
    </row>
    <row r="2091" ht="30" customHeight="1" spans="1:74">
      <c r="A2091" s="55">
        <v>0</v>
      </c>
      <c r="B2091" s="56">
        <v>0</v>
      </c>
      <c r="C2091" s="57">
        <v>0</v>
      </c>
      <c r="D2091" s="174"/>
      <c r="E2091" s="56"/>
      <c r="F2091" s="91" t="e">
        <f>VLOOKUP(E2091,[1]库存!$B$1:$C$65536,2,FALSE)</f>
        <v>#N/A</v>
      </c>
      <c r="G2091" s="91" t="e">
        <v>#N/A</v>
      </c>
      <c r="H2091" s="154"/>
      <c r="I2091" s="56"/>
      <c r="J2091" s="87"/>
      <c r="K2091" s="61"/>
      <c r="L2091" s="62">
        <v>0</v>
      </c>
      <c r="M2091" s="63">
        <v>0</v>
      </c>
      <c r="N2091" s="64">
        <v>0</v>
      </c>
      <c r="O2091" s="62">
        <v>0</v>
      </c>
      <c r="P2091" s="65">
        <f t="shared" si="138"/>
        <v>0</v>
      </c>
      <c r="Q2091" s="66"/>
      <c r="R2091" s="66"/>
      <c r="S2091" s="66"/>
      <c r="T2091" s="66"/>
      <c r="U2091" s="66"/>
      <c r="V2091" s="66"/>
      <c r="W2091" s="66"/>
      <c r="X2091" s="66"/>
      <c r="Y2091" s="66"/>
      <c r="Z2091" s="66"/>
      <c r="AA2091" s="66"/>
      <c r="AB2091" s="66"/>
      <c r="AC2091" s="66"/>
      <c r="AD2091" s="66"/>
      <c r="AE2091" s="66"/>
      <c r="AF2091" s="66"/>
      <c r="AG2091" s="66"/>
      <c r="AH2091" s="66"/>
      <c r="AI2091" s="66"/>
      <c r="AJ2091" s="66"/>
      <c r="AK2091" s="66"/>
      <c r="AL2091" s="66"/>
      <c r="AM2091" s="66"/>
      <c r="AN2091" s="66"/>
      <c r="AO2091" s="66"/>
      <c r="AP2091" s="66"/>
      <c r="AQ2091" s="66"/>
      <c r="AR2091" s="66"/>
      <c r="AS2091" s="66"/>
      <c r="AT2091" s="66"/>
      <c r="AU2091" s="66"/>
      <c r="AV2091" s="66"/>
      <c r="AW2091" s="66"/>
      <c r="AX2091" s="66"/>
      <c r="AY2091" s="66"/>
      <c r="AZ2091" s="66"/>
      <c r="BA2091" s="66"/>
      <c r="BB2091" s="66"/>
      <c r="BC2091" s="66"/>
      <c r="BD2091" s="66"/>
      <c r="BE2091" s="67"/>
      <c r="BF2091" s="67"/>
      <c r="BG2091" s="68"/>
      <c r="BI2091" s="69">
        <v>0</v>
      </c>
      <c r="BJ2091" s="70">
        <v>0</v>
      </c>
      <c r="BK2091" s="71">
        <v>0</v>
      </c>
      <c r="BL2091" s="71">
        <v>0</v>
      </c>
      <c r="BM2091" s="71">
        <v>0</v>
      </c>
      <c r="BN2091" s="72">
        <v>0</v>
      </c>
      <c r="BO2091" s="151" t="e">
        <f t="shared" si="136"/>
        <v>#DIV/0!</v>
      </c>
      <c r="BP2091" s="151" t="e">
        <f t="shared" si="137"/>
        <v>#DIV/0!</v>
      </c>
      <c r="BQ2091" s="71">
        <v>0</v>
      </c>
      <c r="BR2091" s="71">
        <v>0</v>
      </c>
      <c r="BS2091" s="71">
        <v>0</v>
      </c>
      <c r="BT2091" s="72">
        <v>0</v>
      </c>
      <c r="BU2091" s="151" t="e">
        <f t="shared" si="139"/>
        <v>#DIV/0!</v>
      </c>
      <c r="BV2091" s="151" t="e">
        <f t="shared" si="140"/>
        <v>#DIV/0!</v>
      </c>
    </row>
    <row r="2092" ht="30" customHeight="1" spans="1:74">
      <c r="A2092" s="55">
        <v>0</v>
      </c>
      <c r="B2092" s="56">
        <v>0</v>
      </c>
      <c r="C2092" s="57">
        <v>0</v>
      </c>
      <c r="E2092" s="88"/>
      <c r="F2092" s="59" t="e">
        <f>VLOOKUP(E2092,[1]库存!$B$1:$C$65536,2,FALSE)</f>
        <v>#N/A</v>
      </c>
      <c r="G2092" s="59" t="e">
        <v>#N/A</v>
      </c>
      <c r="H2092" s="89"/>
      <c r="I2092" s="88"/>
      <c r="J2092" s="90"/>
      <c r="K2092" s="61"/>
      <c r="L2092" s="62">
        <v>0</v>
      </c>
      <c r="M2092" s="63">
        <v>0</v>
      </c>
      <c r="N2092" s="64">
        <v>0</v>
      </c>
      <c r="O2092" s="62">
        <v>0</v>
      </c>
      <c r="P2092" s="65">
        <f t="shared" si="138"/>
        <v>0</v>
      </c>
      <c r="Q2092" s="66"/>
      <c r="R2092" s="66"/>
      <c r="S2092" s="66"/>
      <c r="T2092" s="66"/>
      <c r="U2092" s="66"/>
      <c r="V2092" s="66"/>
      <c r="W2092" s="66"/>
      <c r="X2092" s="66"/>
      <c r="Y2092" s="66"/>
      <c r="Z2092" s="66"/>
      <c r="AA2092" s="66"/>
      <c r="AB2092" s="66"/>
      <c r="AC2092" s="66"/>
      <c r="AD2092" s="66"/>
      <c r="AE2092" s="66"/>
      <c r="AF2092" s="66"/>
      <c r="AG2092" s="66"/>
      <c r="AH2092" s="66"/>
      <c r="AI2092" s="66"/>
      <c r="AJ2092" s="66"/>
      <c r="AK2092" s="66"/>
      <c r="AL2092" s="66"/>
      <c r="AM2092" s="66"/>
      <c r="AN2092" s="66"/>
      <c r="AO2092" s="66"/>
      <c r="AP2092" s="66"/>
      <c r="AQ2092" s="66"/>
      <c r="AR2092" s="66"/>
      <c r="AS2092" s="66"/>
      <c r="AT2092" s="66"/>
      <c r="AU2092" s="66"/>
      <c r="AV2092" s="66"/>
      <c r="AW2092" s="66"/>
      <c r="AX2092" s="66"/>
      <c r="AY2092" s="66"/>
      <c r="AZ2092" s="66"/>
      <c r="BA2092" s="66"/>
      <c r="BB2092" s="66"/>
      <c r="BC2092" s="66"/>
      <c r="BD2092" s="66"/>
      <c r="BE2092" s="67"/>
      <c r="BF2092" s="67"/>
      <c r="BG2092" s="68"/>
      <c r="BI2092" s="69">
        <v>0</v>
      </c>
      <c r="BJ2092" s="70">
        <v>0</v>
      </c>
      <c r="BK2092" s="71">
        <v>0</v>
      </c>
      <c r="BL2092" s="71">
        <v>0</v>
      </c>
      <c r="BM2092" s="71">
        <v>0</v>
      </c>
      <c r="BN2092" s="72">
        <v>0</v>
      </c>
      <c r="BO2092" s="151" t="e">
        <f t="shared" si="136"/>
        <v>#DIV/0!</v>
      </c>
      <c r="BP2092" s="151" t="e">
        <f t="shared" si="137"/>
        <v>#DIV/0!</v>
      </c>
      <c r="BQ2092" s="71">
        <v>0</v>
      </c>
      <c r="BR2092" s="71">
        <v>0</v>
      </c>
      <c r="BS2092" s="71">
        <v>0</v>
      </c>
      <c r="BT2092" s="72">
        <v>0</v>
      </c>
      <c r="BU2092" s="151" t="e">
        <f t="shared" si="139"/>
        <v>#DIV/0!</v>
      </c>
      <c r="BV2092" s="151" t="e">
        <f t="shared" si="140"/>
        <v>#DIV/0!</v>
      </c>
    </row>
    <row r="2093" ht="30" customHeight="1" spans="1:74">
      <c r="A2093" s="55" t="s">
        <v>410</v>
      </c>
      <c r="B2093" s="56" t="s">
        <v>1237</v>
      </c>
      <c r="C2093" s="57" t="s">
        <v>3226</v>
      </c>
      <c r="D2093" s="57" t="s">
        <v>3303</v>
      </c>
      <c r="E2093" s="56" t="s">
        <v>3304</v>
      </c>
      <c r="F2093" s="91" t="str">
        <f>VLOOKUP(E2093,[1]库存!$B$1:$C$65536,2,FALSE)</f>
        <v>V32 FCA</v>
      </c>
      <c r="G2093" s="91" t="s">
        <v>3305</v>
      </c>
      <c r="H2093" s="91" t="s">
        <v>3306</v>
      </c>
      <c r="I2093" s="56" t="s">
        <v>1970</v>
      </c>
      <c r="J2093" s="63"/>
      <c r="K2093" s="61"/>
      <c r="L2093" s="62">
        <v>2</v>
      </c>
      <c r="M2093" s="63">
        <v>1100</v>
      </c>
      <c r="N2093" s="64">
        <v>16</v>
      </c>
      <c r="O2093" s="62">
        <v>2</v>
      </c>
      <c r="P2093" s="65">
        <f t="shared" si="138"/>
        <v>0</v>
      </c>
      <c r="Q2093" s="66"/>
      <c r="R2093" s="66"/>
      <c r="S2093" s="66"/>
      <c r="T2093" s="66"/>
      <c r="U2093" s="66"/>
      <c r="V2093" s="66"/>
      <c r="W2093" s="66"/>
      <c r="X2093" s="66"/>
      <c r="Y2093" s="66"/>
      <c r="Z2093" s="66"/>
      <c r="AA2093" s="66"/>
      <c r="AB2093" s="66"/>
      <c r="AC2093" s="66"/>
      <c r="AD2093" s="66"/>
      <c r="AE2093" s="66"/>
      <c r="AF2093" s="66"/>
      <c r="AG2093" s="66"/>
      <c r="AH2093" s="66"/>
      <c r="AI2093" s="66"/>
      <c r="AJ2093" s="66"/>
      <c r="AK2093" s="66"/>
      <c r="AL2093" s="66"/>
      <c r="AM2093" s="66"/>
      <c r="AN2093" s="66"/>
      <c r="AO2093" s="66"/>
      <c r="AP2093" s="66"/>
      <c r="AQ2093" s="66"/>
      <c r="AR2093" s="66"/>
      <c r="AS2093" s="66"/>
      <c r="AT2093" s="66"/>
      <c r="AU2093" s="66"/>
      <c r="AV2093" s="66"/>
      <c r="AW2093" s="66"/>
      <c r="AX2093" s="66"/>
      <c r="AY2093" s="66"/>
      <c r="AZ2093" s="66"/>
      <c r="BA2093" s="66"/>
      <c r="BB2093" s="66"/>
      <c r="BC2093" s="66"/>
      <c r="BD2093" s="66"/>
      <c r="BE2093" s="67"/>
      <c r="BF2093" s="67"/>
      <c r="BG2093" s="68"/>
      <c r="BI2093" s="69">
        <v>0</v>
      </c>
      <c r="BJ2093" s="70">
        <v>0</v>
      </c>
      <c r="BK2093" s="71">
        <v>0</v>
      </c>
      <c r="BL2093" s="71">
        <v>0</v>
      </c>
      <c r="BM2093" s="71">
        <v>0</v>
      </c>
      <c r="BN2093" s="72">
        <v>0</v>
      </c>
      <c r="BO2093" s="151" t="e">
        <f t="shared" si="136"/>
        <v>#DIV/0!</v>
      </c>
      <c r="BP2093" s="151" t="e">
        <f t="shared" si="137"/>
        <v>#DIV/0!</v>
      </c>
      <c r="BQ2093" s="71">
        <v>0</v>
      </c>
      <c r="BR2093" s="71">
        <v>0</v>
      </c>
      <c r="BS2093" s="71">
        <v>0</v>
      </c>
      <c r="BT2093" s="72">
        <v>0</v>
      </c>
      <c r="BU2093" s="151" t="e">
        <f t="shared" si="139"/>
        <v>#DIV/0!</v>
      </c>
      <c r="BV2093" s="151" t="e">
        <f t="shared" si="140"/>
        <v>#DIV/0!</v>
      </c>
    </row>
    <row r="2094" ht="30" customHeight="1" spans="1:74">
      <c r="A2094" s="55">
        <v>0</v>
      </c>
      <c r="B2094" s="56">
        <v>0</v>
      </c>
      <c r="C2094" s="57">
        <v>0</v>
      </c>
      <c r="D2094" s="174"/>
      <c r="E2094" s="56"/>
      <c r="F2094" s="91" t="e">
        <f>VLOOKUP(E2094,[1]库存!$B$1:$C$65536,2,FALSE)</f>
        <v>#N/A</v>
      </c>
      <c r="G2094" s="91" t="e">
        <v>#N/A</v>
      </c>
      <c r="H2094" s="154"/>
      <c r="I2094" s="56"/>
      <c r="J2094" s="87"/>
      <c r="K2094" s="61"/>
      <c r="L2094" s="62">
        <v>0</v>
      </c>
      <c r="M2094" s="63">
        <v>0</v>
      </c>
      <c r="N2094" s="64">
        <v>0</v>
      </c>
      <c r="O2094" s="62">
        <v>0</v>
      </c>
      <c r="P2094" s="65">
        <f t="shared" si="138"/>
        <v>0</v>
      </c>
      <c r="Q2094" s="66"/>
      <c r="R2094" s="66"/>
      <c r="S2094" s="66"/>
      <c r="T2094" s="66"/>
      <c r="U2094" s="66"/>
      <c r="V2094" s="66"/>
      <c r="W2094" s="66"/>
      <c r="X2094" s="66"/>
      <c r="Y2094" s="66"/>
      <c r="Z2094" s="66"/>
      <c r="AA2094" s="66"/>
      <c r="AB2094" s="66"/>
      <c r="AC2094" s="66"/>
      <c r="AD2094" s="66"/>
      <c r="AE2094" s="66"/>
      <c r="AF2094" s="66"/>
      <c r="AG2094" s="66"/>
      <c r="AH2094" s="66"/>
      <c r="AI2094" s="66"/>
      <c r="AJ2094" s="66"/>
      <c r="AK2094" s="66"/>
      <c r="AL2094" s="66"/>
      <c r="AM2094" s="66"/>
      <c r="AN2094" s="66"/>
      <c r="AO2094" s="66"/>
      <c r="AP2094" s="66"/>
      <c r="AQ2094" s="66"/>
      <c r="AR2094" s="66"/>
      <c r="AS2094" s="66"/>
      <c r="AT2094" s="66"/>
      <c r="AU2094" s="66"/>
      <c r="AV2094" s="66"/>
      <c r="AW2094" s="66"/>
      <c r="AX2094" s="66"/>
      <c r="AY2094" s="66"/>
      <c r="AZ2094" s="66"/>
      <c r="BA2094" s="66"/>
      <c r="BB2094" s="66"/>
      <c r="BC2094" s="66"/>
      <c r="BD2094" s="66"/>
      <c r="BE2094" s="67"/>
      <c r="BF2094" s="67"/>
      <c r="BG2094" s="68"/>
      <c r="BI2094" s="69">
        <v>0</v>
      </c>
      <c r="BJ2094" s="70">
        <v>0</v>
      </c>
      <c r="BK2094" s="71">
        <v>0</v>
      </c>
      <c r="BL2094" s="71">
        <v>0</v>
      </c>
      <c r="BM2094" s="71">
        <v>0</v>
      </c>
      <c r="BN2094" s="72">
        <v>0</v>
      </c>
      <c r="BO2094" s="151" t="e">
        <f t="shared" si="136"/>
        <v>#DIV/0!</v>
      </c>
      <c r="BP2094" s="151" t="e">
        <f t="shared" si="137"/>
        <v>#DIV/0!</v>
      </c>
      <c r="BQ2094" s="71">
        <v>0</v>
      </c>
      <c r="BR2094" s="71">
        <v>0</v>
      </c>
      <c r="BS2094" s="71">
        <v>0</v>
      </c>
      <c r="BT2094" s="72">
        <v>0</v>
      </c>
      <c r="BU2094" s="151" t="e">
        <f t="shared" si="139"/>
        <v>#DIV/0!</v>
      </c>
      <c r="BV2094" s="151" t="e">
        <f t="shared" si="140"/>
        <v>#DIV/0!</v>
      </c>
    </row>
    <row r="2095" ht="30" customHeight="1" spans="1:74">
      <c r="A2095" s="55" t="s">
        <v>246</v>
      </c>
      <c r="B2095" s="56" t="s">
        <v>1237</v>
      </c>
      <c r="C2095" s="57" t="s">
        <v>3226</v>
      </c>
      <c r="D2095" s="57" t="s">
        <v>3303</v>
      </c>
      <c r="E2095" s="56" t="s">
        <v>3307</v>
      </c>
      <c r="F2095" s="91" t="str">
        <f>VLOOKUP(E2095,[1]库存!$B$1:$C$65536,2,FALSE)</f>
        <v>C06 FCA A状态</v>
      </c>
      <c r="G2095" s="91" t="s">
        <v>3308</v>
      </c>
      <c r="H2095" s="91" t="s">
        <v>3309</v>
      </c>
      <c r="I2095" s="56" t="s">
        <v>3310</v>
      </c>
      <c r="J2095" s="52"/>
      <c r="K2095" s="263"/>
      <c r="L2095" s="62">
        <v>2</v>
      </c>
      <c r="M2095" s="63">
        <v>1100</v>
      </c>
      <c r="N2095" s="64">
        <v>16</v>
      </c>
      <c r="O2095" s="62">
        <v>2</v>
      </c>
      <c r="P2095" s="65">
        <f t="shared" si="138"/>
        <v>0</v>
      </c>
      <c r="Q2095" s="66">
        <v>1050</v>
      </c>
      <c r="R2095" s="66"/>
      <c r="S2095" s="66">
        <v>1050</v>
      </c>
      <c r="T2095" s="66"/>
      <c r="U2095" s="66"/>
      <c r="V2095" s="66"/>
      <c r="W2095" s="66"/>
      <c r="X2095" s="66"/>
      <c r="Y2095" s="66"/>
      <c r="Z2095" s="66"/>
      <c r="AA2095" s="66">
        <v>300</v>
      </c>
      <c r="AB2095" s="66"/>
      <c r="AC2095" s="66">
        <v>1100</v>
      </c>
      <c r="AD2095" s="66"/>
      <c r="AE2095" s="66"/>
      <c r="AF2095" s="66"/>
      <c r="AG2095" s="66"/>
      <c r="AH2095" s="66"/>
      <c r="AI2095" s="66"/>
      <c r="AJ2095" s="66"/>
      <c r="AK2095" s="66"/>
      <c r="AL2095" s="66"/>
      <c r="AM2095" s="66"/>
      <c r="AN2095" s="66"/>
      <c r="AO2095" s="66"/>
      <c r="AP2095" s="66"/>
      <c r="AQ2095" s="66"/>
      <c r="AR2095" s="66"/>
      <c r="AS2095" s="66"/>
      <c r="AT2095" s="66"/>
      <c r="AU2095" s="66"/>
      <c r="AV2095" s="66"/>
      <c r="AW2095" s="66"/>
      <c r="AX2095" s="66"/>
      <c r="AY2095" s="66"/>
      <c r="AZ2095" s="66"/>
      <c r="BA2095" s="66"/>
      <c r="BB2095" s="66"/>
      <c r="BC2095" s="66"/>
      <c r="BD2095" s="66"/>
      <c r="BE2095" s="67"/>
      <c r="BF2095" s="67"/>
      <c r="BG2095" s="68"/>
      <c r="BI2095" s="69">
        <v>0</v>
      </c>
      <c r="BJ2095" s="70">
        <v>0</v>
      </c>
      <c r="BK2095" s="71">
        <v>0</v>
      </c>
      <c r="BL2095" s="71">
        <v>0</v>
      </c>
      <c r="BM2095" s="71">
        <v>0</v>
      </c>
      <c r="BN2095" s="72">
        <v>0</v>
      </c>
      <c r="BO2095" s="151" t="e">
        <f t="shared" si="136"/>
        <v>#DIV/0!</v>
      </c>
      <c r="BP2095" s="151" t="e">
        <f t="shared" si="137"/>
        <v>#DIV/0!</v>
      </c>
      <c r="BQ2095" s="71">
        <v>0</v>
      </c>
      <c r="BR2095" s="71">
        <v>0</v>
      </c>
      <c r="BS2095" s="71">
        <v>0</v>
      </c>
      <c r="BT2095" s="72">
        <v>0</v>
      </c>
      <c r="BU2095" s="151" t="e">
        <f t="shared" si="139"/>
        <v>#DIV/0!</v>
      </c>
      <c r="BV2095" s="151" t="e">
        <f t="shared" si="140"/>
        <v>#DIV/0!</v>
      </c>
    </row>
    <row r="2096" ht="30" customHeight="1" spans="1:74">
      <c r="A2096" s="55">
        <v>0</v>
      </c>
      <c r="B2096" s="56">
        <v>0</v>
      </c>
      <c r="C2096" s="57">
        <v>0</v>
      </c>
      <c r="D2096" s="174"/>
      <c r="E2096" s="56"/>
      <c r="F2096" s="91" t="e">
        <f>VLOOKUP(E2096,[1]库存!$B$1:$C$65536,2,FALSE)</f>
        <v>#N/A</v>
      </c>
      <c r="G2096" s="91" t="e">
        <v>#N/A</v>
      </c>
      <c r="H2096" s="154"/>
      <c r="I2096" s="56"/>
      <c r="J2096" s="52"/>
      <c r="K2096" s="263"/>
      <c r="L2096" s="62">
        <v>0</v>
      </c>
      <c r="M2096" s="63">
        <v>0</v>
      </c>
      <c r="N2096" s="64">
        <v>0</v>
      </c>
      <c r="O2096" s="62">
        <v>0</v>
      </c>
      <c r="P2096" s="65">
        <f t="shared" si="138"/>
        <v>0</v>
      </c>
      <c r="Q2096" s="66">
        <v>1058</v>
      </c>
      <c r="R2096" s="66"/>
      <c r="S2096" s="66">
        <v>1068</v>
      </c>
      <c r="T2096" s="66"/>
      <c r="U2096" s="66"/>
      <c r="V2096" s="66"/>
      <c r="W2096" s="66"/>
      <c r="X2096" s="66"/>
      <c r="Y2096" s="66"/>
      <c r="Z2096" s="66"/>
      <c r="AA2096" s="66">
        <v>315</v>
      </c>
      <c r="AB2096" s="66"/>
      <c r="AC2096" s="66">
        <v>1106</v>
      </c>
      <c r="AD2096" s="66"/>
      <c r="AE2096" s="66"/>
      <c r="AF2096" s="66"/>
      <c r="AG2096" s="66"/>
      <c r="AH2096" s="66"/>
      <c r="AI2096" s="66"/>
      <c r="AJ2096" s="66"/>
      <c r="AK2096" s="66"/>
      <c r="AL2096" s="66"/>
      <c r="AM2096" s="66"/>
      <c r="AN2096" s="66"/>
      <c r="AO2096" s="66"/>
      <c r="AP2096" s="66"/>
      <c r="AQ2096" s="66"/>
      <c r="AR2096" s="66"/>
      <c r="AS2096" s="66"/>
      <c r="AT2096" s="66"/>
      <c r="AU2096" s="66"/>
      <c r="AV2096" s="66"/>
      <c r="AW2096" s="66"/>
      <c r="AX2096" s="66"/>
      <c r="AY2096" s="66"/>
      <c r="AZ2096" s="66"/>
      <c r="BA2096" s="66"/>
      <c r="BB2096" s="66"/>
      <c r="BC2096" s="66"/>
      <c r="BD2096" s="66"/>
      <c r="BE2096" s="67"/>
      <c r="BF2096" s="67"/>
      <c r="BG2096" s="68"/>
      <c r="BI2096" s="69">
        <v>0</v>
      </c>
      <c r="BJ2096" s="70">
        <v>0</v>
      </c>
      <c r="BK2096" s="71">
        <v>0</v>
      </c>
      <c r="BL2096" s="71">
        <v>0</v>
      </c>
      <c r="BM2096" s="71">
        <v>0</v>
      </c>
      <c r="BN2096" s="72">
        <v>0</v>
      </c>
      <c r="BO2096" s="151" t="e">
        <f t="shared" si="136"/>
        <v>#DIV/0!</v>
      </c>
      <c r="BP2096" s="151" t="e">
        <f t="shared" si="137"/>
        <v>#DIV/0!</v>
      </c>
      <c r="BQ2096" s="71">
        <v>0</v>
      </c>
      <c r="BR2096" s="71">
        <v>0</v>
      </c>
      <c r="BS2096" s="71">
        <v>0</v>
      </c>
      <c r="BT2096" s="72">
        <v>0</v>
      </c>
      <c r="BU2096" s="151" t="e">
        <f t="shared" si="139"/>
        <v>#DIV/0!</v>
      </c>
      <c r="BV2096" s="151" t="e">
        <f t="shared" si="140"/>
        <v>#DIV/0!</v>
      </c>
    </row>
    <row r="2097" ht="30" customHeight="1" spans="1:74">
      <c r="A2097" s="55">
        <v>0</v>
      </c>
      <c r="B2097" s="56" t="s">
        <v>1237</v>
      </c>
      <c r="C2097" s="57" t="s">
        <v>3226</v>
      </c>
      <c r="D2097" s="57" t="s">
        <v>3303</v>
      </c>
      <c r="E2097" s="56" t="s">
        <v>3311</v>
      </c>
      <c r="F2097" s="91" t="str">
        <f>VLOOKUP(E2097,[1]库存!$B$1:$C$65536,2,FALSE)</f>
        <v>N50AS FCAB LHD</v>
      </c>
      <c r="G2097" s="91" t="s">
        <v>3312</v>
      </c>
      <c r="H2097" s="91" t="s">
        <v>3313</v>
      </c>
      <c r="I2097" s="56" t="s">
        <v>3314</v>
      </c>
      <c r="J2097" s="52"/>
      <c r="K2097" s="263"/>
      <c r="L2097" s="62">
        <v>2</v>
      </c>
      <c r="M2097" s="63">
        <v>900</v>
      </c>
      <c r="N2097" s="64">
        <v>15</v>
      </c>
      <c r="O2097" s="62">
        <v>2</v>
      </c>
      <c r="P2097" s="65">
        <f t="shared" si="138"/>
        <v>0</v>
      </c>
      <c r="Q2097" s="66"/>
      <c r="R2097" s="66"/>
      <c r="S2097" s="66"/>
      <c r="T2097" s="66"/>
      <c r="U2097" s="66"/>
      <c r="V2097" s="66"/>
      <c r="W2097" s="66"/>
      <c r="X2097" s="66"/>
      <c r="Y2097" s="66"/>
      <c r="Z2097" s="66"/>
      <c r="AA2097" s="66">
        <v>120</v>
      </c>
      <c r="AB2097" s="66"/>
      <c r="AC2097" s="66"/>
      <c r="AD2097" s="66"/>
      <c r="AE2097" s="66"/>
      <c r="AF2097" s="66"/>
      <c r="AG2097" s="66"/>
      <c r="AH2097" s="66"/>
      <c r="AI2097" s="66"/>
      <c r="AJ2097" s="66"/>
      <c r="AK2097" s="66"/>
      <c r="AL2097" s="66"/>
      <c r="AM2097" s="66"/>
      <c r="AN2097" s="66"/>
      <c r="AO2097" s="66"/>
      <c r="AP2097" s="66"/>
      <c r="AQ2097" s="66"/>
      <c r="AR2097" s="66"/>
      <c r="AS2097" s="66"/>
      <c r="AT2097" s="66"/>
      <c r="AU2097" s="66"/>
      <c r="AV2097" s="66"/>
      <c r="AW2097" s="66"/>
      <c r="AX2097" s="66"/>
      <c r="AY2097" s="66"/>
      <c r="AZ2097" s="66"/>
      <c r="BA2097" s="66"/>
      <c r="BB2097" s="66"/>
      <c r="BC2097" s="66"/>
      <c r="BD2097" s="66"/>
      <c r="BE2097" s="67"/>
      <c r="BF2097" s="67"/>
      <c r="BG2097" s="68"/>
      <c r="BI2097" s="69">
        <v>0</v>
      </c>
      <c r="BJ2097" s="70">
        <v>0</v>
      </c>
      <c r="BK2097" s="71">
        <v>0</v>
      </c>
      <c r="BL2097" s="71">
        <v>0</v>
      </c>
      <c r="BM2097" s="71">
        <v>0</v>
      </c>
      <c r="BN2097" s="72">
        <v>0</v>
      </c>
      <c r="BO2097" s="151" t="e">
        <f t="shared" si="136"/>
        <v>#DIV/0!</v>
      </c>
      <c r="BP2097" s="151" t="e">
        <f t="shared" si="137"/>
        <v>#DIV/0!</v>
      </c>
      <c r="BQ2097" s="71">
        <v>0</v>
      </c>
      <c r="BR2097" s="71">
        <v>0</v>
      </c>
      <c r="BS2097" s="71">
        <v>0</v>
      </c>
      <c r="BT2097" s="72">
        <v>0</v>
      </c>
      <c r="BU2097" s="151" t="e">
        <f t="shared" si="139"/>
        <v>#DIV/0!</v>
      </c>
      <c r="BV2097" s="151" t="e">
        <f t="shared" si="140"/>
        <v>#DIV/0!</v>
      </c>
    </row>
    <row r="2098" ht="30" customHeight="1" spans="1:74">
      <c r="A2098" s="55">
        <v>0</v>
      </c>
      <c r="B2098" s="56">
        <v>0</v>
      </c>
      <c r="C2098" s="57">
        <v>0</v>
      </c>
      <c r="D2098" s="174"/>
      <c r="E2098" s="56"/>
      <c r="F2098" s="91" t="e">
        <f>VLOOKUP(E2098,[1]库存!$B$1:$C$65536,2,FALSE)</f>
        <v>#N/A</v>
      </c>
      <c r="G2098" s="91" t="e">
        <v>#N/A</v>
      </c>
      <c r="H2098" s="154"/>
      <c r="I2098" s="56"/>
      <c r="J2098" s="52"/>
      <c r="K2098" s="263"/>
      <c r="L2098" s="62">
        <v>0</v>
      </c>
      <c r="M2098" s="63">
        <v>0</v>
      </c>
      <c r="N2098" s="64">
        <v>0</v>
      </c>
      <c r="O2098" s="62">
        <v>0</v>
      </c>
      <c r="P2098" s="65">
        <f t="shared" si="138"/>
        <v>0</v>
      </c>
      <c r="Q2098" s="66"/>
      <c r="R2098" s="66"/>
      <c r="S2098" s="66"/>
      <c r="T2098" s="66"/>
      <c r="U2098" s="66"/>
      <c r="V2098" s="66"/>
      <c r="W2098" s="66"/>
      <c r="X2098" s="66"/>
      <c r="Y2098" s="66"/>
      <c r="Z2098" s="66"/>
      <c r="AA2098" s="66" t="s">
        <v>3315</v>
      </c>
      <c r="AB2098" s="66"/>
      <c r="AC2098" s="66"/>
      <c r="AD2098" s="66"/>
      <c r="AE2098" s="66"/>
      <c r="AF2098" s="66"/>
      <c r="AG2098" s="66"/>
      <c r="AH2098" s="66"/>
      <c r="AI2098" s="66"/>
      <c r="AJ2098" s="66"/>
      <c r="AK2098" s="66"/>
      <c r="AL2098" s="66"/>
      <c r="AM2098" s="66"/>
      <c r="AN2098" s="66"/>
      <c r="AO2098" s="66"/>
      <c r="AP2098" s="66"/>
      <c r="AQ2098" s="66"/>
      <c r="AR2098" s="66"/>
      <c r="AS2098" s="66"/>
      <c r="AT2098" s="66"/>
      <c r="AU2098" s="66"/>
      <c r="AV2098" s="66"/>
      <c r="AW2098" s="66"/>
      <c r="AX2098" s="66"/>
      <c r="AY2098" s="66"/>
      <c r="AZ2098" s="66"/>
      <c r="BA2098" s="66"/>
      <c r="BB2098" s="66"/>
      <c r="BC2098" s="66"/>
      <c r="BD2098" s="66"/>
      <c r="BE2098" s="67"/>
      <c r="BF2098" s="67"/>
      <c r="BG2098" s="68"/>
      <c r="BI2098" s="69">
        <v>0</v>
      </c>
      <c r="BJ2098" s="70">
        <v>0</v>
      </c>
      <c r="BK2098" s="71">
        <v>0</v>
      </c>
      <c r="BL2098" s="71">
        <v>0</v>
      </c>
      <c r="BM2098" s="71">
        <v>0</v>
      </c>
      <c r="BN2098" s="72">
        <v>0</v>
      </c>
      <c r="BO2098" s="151" t="e">
        <f t="shared" si="136"/>
        <v>#DIV/0!</v>
      </c>
      <c r="BP2098" s="151" t="e">
        <f t="shared" si="137"/>
        <v>#DIV/0!</v>
      </c>
      <c r="BQ2098" s="71">
        <v>0</v>
      </c>
      <c r="BR2098" s="71">
        <v>0</v>
      </c>
      <c r="BS2098" s="71">
        <v>0</v>
      </c>
      <c r="BT2098" s="72">
        <v>0</v>
      </c>
      <c r="BU2098" s="151" t="e">
        <f t="shared" si="139"/>
        <v>#DIV/0!</v>
      </c>
      <c r="BV2098" s="151" t="e">
        <f t="shared" si="140"/>
        <v>#DIV/0!</v>
      </c>
    </row>
    <row r="2099" ht="30" customHeight="1" spans="1:74">
      <c r="A2099" s="55">
        <v>0</v>
      </c>
      <c r="B2099" s="56" t="s">
        <v>1237</v>
      </c>
      <c r="C2099" s="57" t="s">
        <v>3226</v>
      </c>
      <c r="D2099" s="57" t="s">
        <v>3303</v>
      </c>
      <c r="E2099" s="56" t="s">
        <v>3316</v>
      </c>
      <c r="F2099" s="91" t="str">
        <f>VLOOKUP(E2099,[1]库存!$B$1:$C$65536,2,FALSE)</f>
        <v>N50AS FCAB RHD</v>
      </c>
      <c r="G2099" s="91" t="s">
        <v>3317</v>
      </c>
      <c r="H2099" s="91" t="s">
        <v>3318</v>
      </c>
      <c r="I2099" s="56" t="s">
        <v>3314</v>
      </c>
      <c r="J2099" s="52"/>
      <c r="K2099" s="263"/>
      <c r="L2099" s="62">
        <v>2</v>
      </c>
      <c r="M2099" s="63">
        <v>900</v>
      </c>
      <c r="N2099" s="64">
        <v>15</v>
      </c>
      <c r="O2099" s="62">
        <v>2</v>
      </c>
      <c r="P2099" s="65">
        <f t="shared" si="138"/>
        <v>0</v>
      </c>
      <c r="Q2099" s="66"/>
      <c r="R2099" s="66"/>
      <c r="S2099" s="66"/>
      <c r="T2099" s="66"/>
      <c r="U2099" s="66"/>
      <c r="V2099" s="66"/>
      <c r="W2099" s="66"/>
      <c r="X2099" s="66"/>
      <c r="Y2099" s="66"/>
      <c r="Z2099" s="66"/>
      <c r="AA2099" s="66">
        <v>120</v>
      </c>
      <c r="AB2099" s="66"/>
      <c r="AC2099" s="66"/>
      <c r="AD2099" s="66"/>
      <c r="AE2099" s="66"/>
      <c r="AF2099" s="66"/>
      <c r="AG2099" s="66"/>
      <c r="AH2099" s="66"/>
      <c r="AI2099" s="66"/>
      <c r="AJ2099" s="66"/>
      <c r="AK2099" s="66"/>
      <c r="AL2099" s="66"/>
      <c r="AM2099" s="66"/>
      <c r="AN2099" s="66"/>
      <c r="AO2099" s="66"/>
      <c r="AP2099" s="66"/>
      <c r="AQ2099" s="66"/>
      <c r="AR2099" s="66"/>
      <c r="AS2099" s="66"/>
      <c r="AT2099" s="66"/>
      <c r="AU2099" s="66"/>
      <c r="AV2099" s="66"/>
      <c r="AW2099" s="66"/>
      <c r="AX2099" s="66"/>
      <c r="AY2099" s="66"/>
      <c r="AZ2099" s="66"/>
      <c r="BA2099" s="66"/>
      <c r="BB2099" s="66"/>
      <c r="BC2099" s="66"/>
      <c r="BD2099" s="66"/>
      <c r="BE2099" s="67"/>
      <c r="BF2099" s="67"/>
      <c r="BG2099" s="68"/>
      <c r="BI2099" s="69">
        <v>0</v>
      </c>
      <c r="BJ2099" s="70">
        <v>0</v>
      </c>
      <c r="BK2099" s="71">
        <v>0</v>
      </c>
      <c r="BL2099" s="71">
        <v>0</v>
      </c>
      <c r="BM2099" s="71">
        <v>0</v>
      </c>
      <c r="BN2099" s="72">
        <v>0</v>
      </c>
      <c r="BO2099" s="151" t="e">
        <f t="shared" si="136"/>
        <v>#DIV/0!</v>
      </c>
      <c r="BP2099" s="151" t="e">
        <f t="shared" si="137"/>
        <v>#DIV/0!</v>
      </c>
      <c r="BQ2099" s="71">
        <v>0</v>
      </c>
      <c r="BR2099" s="71">
        <v>0</v>
      </c>
      <c r="BS2099" s="71">
        <v>0</v>
      </c>
      <c r="BT2099" s="72">
        <v>0</v>
      </c>
      <c r="BU2099" s="151" t="e">
        <f t="shared" si="139"/>
        <v>#DIV/0!</v>
      </c>
      <c r="BV2099" s="151" t="e">
        <f t="shared" si="140"/>
        <v>#DIV/0!</v>
      </c>
    </row>
    <row r="2100" ht="30" customHeight="1" spans="1:74">
      <c r="A2100" s="55">
        <v>0</v>
      </c>
      <c r="B2100" s="56">
        <v>0</v>
      </c>
      <c r="C2100" s="57">
        <v>0</v>
      </c>
      <c r="D2100" s="174"/>
      <c r="E2100" s="56"/>
      <c r="F2100" s="91" t="e">
        <f>VLOOKUP(E2100,[1]库存!$B$1:$C$65536,2,FALSE)</f>
        <v>#N/A</v>
      </c>
      <c r="G2100" s="91" t="e">
        <v>#N/A</v>
      </c>
      <c r="H2100" s="154"/>
      <c r="I2100" s="56"/>
      <c r="J2100" s="52"/>
      <c r="K2100" s="263"/>
      <c r="L2100" s="62">
        <v>0</v>
      </c>
      <c r="M2100" s="63">
        <v>0</v>
      </c>
      <c r="N2100" s="64">
        <v>0</v>
      </c>
      <c r="O2100" s="62">
        <v>0</v>
      </c>
      <c r="P2100" s="65">
        <f t="shared" si="138"/>
        <v>0</v>
      </c>
      <c r="Q2100" s="66"/>
      <c r="R2100" s="66"/>
      <c r="S2100" s="66"/>
      <c r="T2100" s="66"/>
      <c r="U2100" s="66"/>
      <c r="V2100" s="66"/>
      <c r="W2100" s="66"/>
      <c r="X2100" s="66"/>
      <c r="Y2100" s="66"/>
      <c r="Z2100" s="66"/>
      <c r="AA2100" s="66" t="s">
        <v>3319</v>
      </c>
      <c r="AB2100" s="66"/>
      <c r="AC2100" s="66"/>
      <c r="AD2100" s="66"/>
      <c r="AE2100" s="66"/>
      <c r="AF2100" s="66"/>
      <c r="AG2100" s="66"/>
      <c r="AH2100" s="66"/>
      <c r="AI2100" s="66"/>
      <c r="AJ2100" s="66"/>
      <c r="AK2100" s="66"/>
      <c r="AL2100" s="66"/>
      <c r="AM2100" s="66"/>
      <c r="AN2100" s="66"/>
      <c r="AO2100" s="66"/>
      <c r="AP2100" s="66"/>
      <c r="AQ2100" s="66"/>
      <c r="AR2100" s="66"/>
      <c r="AS2100" s="66"/>
      <c r="AT2100" s="66"/>
      <c r="AU2100" s="66"/>
      <c r="AV2100" s="66"/>
      <c r="AW2100" s="66"/>
      <c r="AX2100" s="66"/>
      <c r="AY2100" s="66"/>
      <c r="AZ2100" s="66"/>
      <c r="BA2100" s="66"/>
      <c r="BB2100" s="66"/>
      <c r="BC2100" s="66"/>
      <c r="BD2100" s="66"/>
      <c r="BE2100" s="67"/>
      <c r="BF2100" s="67"/>
      <c r="BG2100" s="68"/>
      <c r="BI2100" s="69">
        <v>0</v>
      </c>
      <c r="BJ2100" s="70">
        <v>0</v>
      </c>
      <c r="BK2100" s="71">
        <v>0</v>
      </c>
      <c r="BL2100" s="71">
        <v>0</v>
      </c>
      <c r="BM2100" s="71">
        <v>0</v>
      </c>
      <c r="BN2100" s="72">
        <v>0</v>
      </c>
      <c r="BO2100" s="151" t="e">
        <f t="shared" si="136"/>
        <v>#DIV/0!</v>
      </c>
      <c r="BP2100" s="151" t="e">
        <f t="shared" si="137"/>
        <v>#DIV/0!</v>
      </c>
      <c r="BQ2100" s="71">
        <v>0</v>
      </c>
      <c r="BR2100" s="71">
        <v>0</v>
      </c>
      <c r="BS2100" s="71">
        <v>0</v>
      </c>
      <c r="BT2100" s="72">
        <v>0</v>
      </c>
      <c r="BU2100" s="151" t="e">
        <f t="shared" si="139"/>
        <v>#DIV/0!</v>
      </c>
      <c r="BV2100" s="151" t="e">
        <f t="shared" si="140"/>
        <v>#DIV/0!</v>
      </c>
    </row>
    <row r="2101" ht="30" customHeight="1" spans="1:74">
      <c r="A2101" s="55">
        <v>0</v>
      </c>
      <c r="B2101" s="56">
        <v>0</v>
      </c>
      <c r="C2101" s="57">
        <v>0</v>
      </c>
      <c r="E2101" s="88"/>
      <c r="F2101" s="59" t="e">
        <f>VLOOKUP(E2101,[1]库存!$B$1:$C$65536,2,FALSE)</f>
        <v>#N/A</v>
      </c>
      <c r="G2101" s="59" t="e">
        <v>#N/A</v>
      </c>
      <c r="H2101" s="89"/>
      <c r="I2101" s="88"/>
      <c r="J2101" s="90"/>
      <c r="K2101" s="61"/>
      <c r="L2101" s="62">
        <v>0</v>
      </c>
      <c r="M2101" s="63">
        <v>0</v>
      </c>
      <c r="N2101" s="64">
        <v>0</v>
      </c>
      <c r="O2101" s="62">
        <v>0</v>
      </c>
      <c r="P2101" s="65">
        <f t="shared" si="138"/>
        <v>0</v>
      </c>
      <c r="Q2101" s="66"/>
      <c r="R2101" s="66"/>
      <c r="S2101" s="66"/>
      <c r="T2101" s="66"/>
      <c r="U2101" s="66"/>
      <c r="V2101" s="66"/>
      <c r="W2101" s="66"/>
      <c r="X2101" s="66"/>
      <c r="Y2101" s="66"/>
      <c r="Z2101" s="66"/>
      <c r="AA2101" s="66"/>
      <c r="AB2101" s="66"/>
      <c r="AC2101" s="66"/>
      <c r="AD2101" s="66"/>
      <c r="AE2101" s="66"/>
      <c r="AF2101" s="66"/>
      <c r="AG2101" s="66"/>
      <c r="AH2101" s="66"/>
      <c r="AI2101" s="66"/>
      <c r="AJ2101" s="66"/>
      <c r="AK2101" s="66"/>
      <c r="AL2101" s="66"/>
      <c r="AM2101" s="66"/>
      <c r="AN2101" s="66"/>
      <c r="AO2101" s="66"/>
      <c r="AP2101" s="66"/>
      <c r="AQ2101" s="66"/>
      <c r="AR2101" s="66"/>
      <c r="AS2101" s="66"/>
      <c r="AT2101" s="66"/>
      <c r="AU2101" s="66"/>
      <c r="AV2101" s="66"/>
      <c r="AW2101" s="66"/>
      <c r="AX2101" s="66"/>
      <c r="AY2101" s="66"/>
      <c r="AZ2101" s="66"/>
      <c r="BA2101" s="66"/>
      <c r="BB2101" s="66"/>
      <c r="BC2101" s="66"/>
      <c r="BD2101" s="66"/>
      <c r="BE2101" s="67"/>
      <c r="BF2101" s="67"/>
      <c r="BG2101" s="68"/>
      <c r="BI2101" s="69">
        <v>0</v>
      </c>
      <c r="BJ2101" s="70">
        <v>0</v>
      </c>
      <c r="BK2101" s="71">
        <v>0</v>
      </c>
      <c r="BL2101" s="71">
        <v>0</v>
      </c>
      <c r="BM2101" s="71">
        <v>0</v>
      </c>
      <c r="BN2101" s="72">
        <v>0</v>
      </c>
      <c r="BO2101" s="151" t="e">
        <f t="shared" si="136"/>
        <v>#DIV/0!</v>
      </c>
      <c r="BP2101" s="151" t="e">
        <f t="shared" si="137"/>
        <v>#DIV/0!</v>
      </c>
      <c r="BQ2101" s="71">
        <v>0</v>
      </c>
      <c r="BR2101" s="71">
        <v>0</v>
      </c>
      <c r="BS2101" s="71">
        <v>0</v>
      </c>
      <c r="BT2101" s="72">
        <v>0</v>
      </c>
      <c r="BU2101" s="151" t="e">
        <f t="shared" si="139"/>
        <v>#DIV/0!</v>
      </c>
      <c r="BV2101" s="151" t="e">
        <f t="shared" si="140"/>
        <v>#DIV/0!</v>
      </c>
    </row>
    <row r="2102" ht="30" customHeight="1" spans="1:74">
      <c r="A2102" s="55">
        <v>0</v>
      </c>
      <c r="B2102" s="56" t="s">
        <v>1237</v>
      </c>
      <c r="C2102" s="57" t="s">
        <v>3226</v>
      </c>
      <c r="D2102" s="76" t="s">
        <v>3320</v>
      </c>
      <c r="E2102" s="52"/>
      <c r="F2102" s="59" t="e">
        <f>VLOOKUP(E2102,[1]库存!$B$1:$C$65536,2,FALSE)</f>
        <v>#N/A</v>
      </c>
      <c r="G2102" s="59" t="e">
        <v>#N/A</v>
      </c>
      <c r="H2102" s="59" t="s">
        <v>3321</v>
      </c>
      <c r="I2102" s="52" t="s">
        <v>3322</v>
      </c>
      <c r="J2102" s="63"/>
      <c r="K2102" s="61"/>
      <c r="L2102" s="62">
        <v>2</v>
      </c>
      <c r="M2102" s="63">
        <v>1100</v>
      </c>
      <c r="N2102" s="64">
        <v>10</v>
      </c>
      <c r="O2102" s="62">
        <v>2</v>
      </c>
      <c r="P2102" s="65">
        <f t="shared" si="138"/>
        <v>0</v>
      </c>
      <c r="Q2102" s="66"/>
      <c r="R2102" s="66"/>
      <c r="S2102" s="66"/>
      <c r="T2102" s="66"/>
      <c r="U2102" s="66"/>
      <c r="V2102" s="66"/>
      <c r="W2102" s="66"/>
      <c r="X2102" s="66"/>
      <c r="Y2102" s="66"/>
      <c r="Z2102" s="66"/>
      <c r="AA2102" s="66"/>
      <c r="AB2102" s="66"/>
      <c r="AC2102" s="66"/>
      <c r="AD2102" s="66"/>
      <c r="AE2102" s="66"/>
      <c r="AF2102" s="66"/>
      <c r="AG2102" s="66"/>
      <c r="AH2102" s="66"/>
      <c r="AI2102" s="66"/>
      <c r="AJ2102" s="66"/>
      <c r="AK2102" s="66"/>
      <c r="AL2102" s="66"/>
      <c r="AM2102" s="66"/>
      <c r="AN2102" s="66"/>
      <c r="AO2102" s="66"/>
      <c r="AP2102" s="66"/>
      <c r="AQ2102" s="66"/>
      <c r="AR2102" s="66"/>
      <c r="AS2102" s="66"/>
      <c r="AT2102" s="66"/>
      <c r="AU2102" s="66"/>
      <c r="AV2102" s="66"/>
      <c r="AW2102" s="66"/>
      <c r="AX2102" s="66"/>
      <c r="AY2102" s="66"/>
      <c r="AZ2102" s="66"/>
      <c r="BA2102" s="66"/>
      <c r="BB2102" s="66"/>
      <c r="BC2102" s="66"/>
      <c r="BD2102" s="66"/>
      <c r="BE2102" s="67"/>
      <c r="BF2102" s="67"/>
      <c r="BG2102" s="68"/>
      <c r="BI2102" s="69">
        <v>0</v>
      </c>
      <c r="BJ2102" s="70">
        <v>0</v>
      </c>
      <c r="BK2102" s="71">
        <v>0</v>
      </c>
      <c r="BL2102" s="71">
        <v>0</v>
      </c>
      <c r="BM2102" s="71">
        <v>0</v>
      </c>
      <c r="BN2102" s="72">
        <v>0</v>
      </c>
      <c r="BO2102" s="151" t="e">
        <f t="shared" si="136"/>
        <v>#DIV/0!</v>
      </c>
      <c r="BP2102" s="151" t="e">
        <f t="shared" si="137"/>
        <v>#DIV/0!</v>
      </c>
      <c r="BQ2102" s="71">
        <v>0</v>
      </c>
      <c r="BR2102" s="71">
        <v>0</v>
      </c>
      <c r="BS2102" s="71">
        <v>0</v>
      </c>
      <c r="BT2102" s="72">
        <v>0</v>
      </c>
      <c r="BU2102" s="151" t="e">
        <f t="shared" si="139"/>
        <v>#DIV/0!</v>
      </c>
      <c r="BV2102" s="151" t="e">
        <f t="shared" si="140"/>
        <v>#DIV/0!</v>
      </c>
    </row>
    <row r="2103" ht="30" customHeight="1" spans="1:74">
      <c r="A2103" s="55">
        <v>0</v>
      </c>
      <c r="B2103" s="56">
        <v>0</v>
      </c>
      <c r="C2103" s="57">
        <v>0</v>
      </c>
      <c r="D2103" s="78"/>
      <c r="E2103" s="52"/>
      <c r="F2103" s="59" t="e">
        <f>VLOOKUP(E2103,[1]库存!$B$1:$C$65536,2,FALSE)</f>
        <v>#N/A</v>
      </c>
      <c r="G2103" s="59" t="e">
        <v>#N/A</v>
      </c>
      <c r="H2103" s="152"/>
      <c r="I2103" s="52"/>
      <c r="J2103" s="87"/>
      <c r="K2103" s="61"/>
      <c r="L2103" s="62">
        <v>0</v>
      </c>
      <c r="M2103" s="63">
        <v>0</v>
      </c>
      <c r="N2103" s="64">
        <v>0</v>
      </c>
      <c r="O2103" s="62">
        <v>0</v>
      </c>
      <c r="P2103" s="65">
        <f t="shared" si="138"/>
        <v>0</v>
      </c>
      <c r="Q2103" s="66"/>
      <c r="R2103" s="66"/>
      <c r="S2103" s="66"/>
      <c r="T2103" s="66"/>
      <c r="U2103" s="66"/>
      <c r="V2103" s="66"/>
      <c r="W2103" s="66"/>
      <c r="X2103" s="66"/>
      <c r="Y2103" s="66"/>
      <c r="Z2103" s="66"/>
      <c r="AA2103" s="66"/>
      <c r="AB2103" s="66"/>
      <c r="AC2103" s="66"/>
      <c r="AD2103" s="66"/>
      <c r="AE2103" s="66"/>
      <c r="AF2103" s="66"/>
      <c r="AG2103" s="66"/>
      <c r="AH2103" s="66"/>
      <c r="AI2103" s="66"/>
      <c r="AJ2103" s="66"/>
      <c r="AK2103" s="66"/>
      <c r="AL2103" s="66"/>
      <c r="AM2103" s="66"/>
      <c r="AN2103" s="66"/>
      <c r="AO2103" s="66"/>
      <c r="AP2103" s="66"/>
      <c r="AQ2103" s="66"/>
      <c r="AR2103" s="66"/>
      <c r="AS2103" s="66"/>
      <c r="AT2103" s="66"/>
      <c r="AU2103" s="66"/>
      <c r="AV2103" s="66"/>
      <c r="AW2103" s="66"/>
      <c r="AX2103" s="66"/>
      <c r="AY2103" s="66"/>
      <c r="AZ2103" s="66"/>
      <c r="BA2103" s="66"/>
      <c r="BB2103" s="66"/>
      <c r="BC2103" s="66"/>
      <c r="BD2103" s="66"/>
      <c r="BE2103" s="67"/>
      <c r="BF2103" s="67"/>
      <c r="BG2103" s="68"/>
      <c r="BI2103" s="69">
        <v>0</v>
      </c>
      <c r="BJ2103" s="70">
        <v>0</v>
      </c>
      <c r="BK2103" s="71">
        <v>0</v>
      </c>
      <c r="BL2103" s="71">
        <v>0</v>
      </c>
      <c r="BM2103" s="71">
        <v>0</v>
      </c>
      <c r="BN2103" s="72">
        <v>0</v>
      </c>
      <c r="BO2103" s="151" t="e">
        <f t="shared" si="136"/>
        <v>#DIV/0!</v>
      </c>
      <c r="BP2103" s="151" t="e">
        <f t="shared" si="137"/>
        <v>#DIV/0!</v>
      </c>
      <c r="BQ2103" s="71">
        <v>0</v>
      </c>
      <c r="BR2103" s="71">
        <v>0</v>
      </c>
      <c r="BS2103" s="71">
        <v>0</v>
      </c>
      <c r="BT2103" s="72">
        <v>0</v>
      </c>
      <c r="BU2103" s="151" t="e">
        <f t="shared" si="139"/>
        <v>#DIV/0!</v>
      </c>
      <c r="BV2103" s="151" t="e">
        <f t="shared" si="140"/>
        <v>#DIV/0!</v>
      </c>
    </row>
    <row r="2104" ht="30" customHeight="1" spans="1:74">
      <c r="A2104" s="55">
        <v>0</v>
      </c>
      <c r="B2104" s="56" t="s">
        <v>1237</v>
      </c>
      <c r="C2104" s="57" t="s">
        <v>3226</v>
      </c>
      <c r="D2104" s="76" t="s">
        <v>3320</v>
      </c>
      <c r="E2104" s="52"/>
      <c r="F2104" s="59" t="e">
        <f>VLOOKUP(E2104,[1]库存!$B$1:$C$65536,2,FALSE)</f>
        <v>#N/A</v>
      </c>
      <c r="G2104" s="59" t="e">
        <v>#N/A</v>
      </c>
      <c r="H2104" s="59" t="s">
        <v>3323</v>
      </c>
      <c r="I2104" s="52" t="s">
        <v>3324</v>
      </c>
      <c r="J2104" s="63"/>
      <c r="K2104" s="61"/>
      <c r="L2104" s="62">
        <v>2</v>
      </c>
      <c r="M2104" s="63">
        <v>1100</v>
      </c>
      <c r="N2104" s="64">
        <v>10</v>
      </c>
      <c r="O2104" s="62">
        <v>2</v>
      </c>
      <c r="P2104" s="65">
        <f t="shared" si="138"/>
        <v>0</v>
      </c>
      <c r="Q2104" s="66"/>
      <c r="R2104" s="66"/>
      <c r="S2104" s="66"/>
      <c r="T2104" s="66"/>
      <c r="U2104" s="66"/>
      <c r="V2104" s="66"/>
      <c r="W2104" s="66"/>
      <c r="X2104" s="66"/>
      <c r="Y2104" s="66"/>
      <c r="Z2104" s="66"/>
      <c r="AA2104" s="66"/>
      <c r="AB2104" s="66"/>
      <c r="AC2104" s="66"/>
      <c r="AD2104" s="66"/>
      <c r="AE2104" s="66"/>
      <c r="AF2104" s="66"/>
      <c r="AG2104" s="66"/>
      <c r="AH2104" s="66"/>
      <c r="AI2104" s="66"/>
      <c r="AJ2104" s="66"/>
      <c r="AK2104" s="66"/>
      <c r="AL2104" s="66"/>
      <c r="AM2104" s="66"/>
      <c r="AN2104" s="66"/>
      <c r="AO2104" s="66"/>
      <c r="AP2104" s="66"/>
      <c r="AQ2104" s="66"/>
      <c r="AR2104" s="66"/>
      <c r="AS2104" s="66"/>
      <c r="AT2104" s="66"/>
      <c r="AU2104" s="66"/>
      <c r="AV2104" s="66"/>
      <c r="AW2104" s="66"/>
      <c r="AX2104" s="66"/>
      <c r="AY2104" s="66"/>
      <c r="AZ2104" s="66"/>
      <c r="BA2104" s="66"/>
      <c r="BB2104" s="66"/>
      <c r="BC2104" s="66"/>
      <c r="BD2104" s="66"/>
      <c r="BE2104" s="67"/>
      <c r="BF2104" s="67"/>
      <c r="BG2104" s="68"/>
      <c r="BI2104" s="69">
        <v>0</v>
      </c>
      <c r="BJ2104" s="70">
        <v>0</v>
      </c>
      <c r="BK2104" s="71">
        <v>0</v>
      </c>
      <c r="BL2104" s="71">
        <v>0</v>
      </c>
      <c r="BM2104" s="71">
        <v>0</v>
      </c>
      <c r="BN2104" s="72">
        <v>0</v>
      </c>
      <c r="BO2104" s="151" t="e">
        <f t="shared" si="136"/>
        <v>#DIV/0!</v>
      </c>
      <c r="BP2104" s="151" t="e">
        <f t="shared" si="137"/>
        <v>#DIV/0!</v>
      </c>
      <c r="BQ2104" s="71">
        <v>0</v>
      </c>
      <c r="BR2104" s="71">
        <v>0</v>
      </c>
      <c r="BS2104" s="71">
        <v>0</v>
      </c>
      <c r="BT2104" s="72">
        <v>0</v>
      </c>
      <c r="BU2104" s="151" t="e">
        <f t="shared" si="139"/>
        <v>#DIV/0!</v>
      </c>
      <c r="BV2104" s="151" t="e">
        <f t="shared" si="140"/>
        <v>#DIV/0!</v>
      </c>
    </row>
    <row r="2105" ht="30" customHeight="1" spans="1:74">
      <c r="A2105" s="55">
        <v>0</v>
      </c>
      <c r="B2105" s="56">
        <v>0</v>
      </c>
      <c r="C2105" s="57">
        <v>0</v>
      </c>
      <c r="D2105" s="78"/>
      <c r="E2105" s="52"/>
      <c r="F2105" s="59" t="e">
        <f>VLOOKUP(E2105,[1]库存!$B$1:$C$65536,2,FALSE)</f>
        <v>#N/A</v>
      </c>
      <c r="G2105" s="59" t="e">
        <v>#N/A</v>
      </c>
      <c r="H2105" s="152"/>
      <c r="I2105" s="52"/>
      <c r="J2105" s="87"/>
      <c r="K2105" s="61"/>
      <c r="L2105" s="62">
        <v>0</v>
      </c>
      <c r="M2105" s="63">
        <v>0</v>
      </c>
      <c r="N2105" s="64">
        <v>0</v>
      </c>
      <c r="O2105" s="62">
        <v>0</v>
      </c>
      <c r="P2105" s="65">
        <f t="shared" si="138"/>
        <v>0</v>
      </c>
      <c r="Q2105" s="66"/>
      <c r="R2105" s="66"/>
      <c r="S2105" s="66"/>
      <c r="T2105" s="66"/>
      <c r="U2105" s="66"/>
      <c r="V2105" s="66"/>
      <c r="W2105" s="66"/>
      <c r="X2105" s="66"/>
      <c r="Y2105" s="66"/>
      <c r="Z2105" s="66"/>
      <c r="AA2105" s="66"/>
      <c r="AB2105" s="66"/>
      <c r="AC2105" s="66"/>
      <c r="AD2105" s="66"/>
      <c r="AE2105" s="66"/>
      <c r="AF2105" s="66"/>
      <c r="AG2105" s="66"/>
      <c r="AH2105" s="66"/>
      <c r="AI2105" s="66"/>
      <c r="AJ2105" s="66"/>
      <c r="AK2105" s="66"/>
      <c r="AL2105" s="66"/>
      <c r="AM2105" s="66"/>
      <c r="AN2105" s="66"/>
      <c r="AO2105" s="66"/>
      <c r="AP2105" s="66"/>
      <c r="AQ2105" s="66"/>
      <c r="AR2105" s="66"/>
      <c r="AS2105" s="66"/>
      <c r="AT2105" s="66"/>
      <c r="AU2105" s="66"/>
      <c r="AV2105" s="66"/>
      <c r="AW2105" s="66"/>
      <c r="AX2105" s="66"/>
      <c r="AY2105" s="66"/>
      <c r="AZ2105" s="66"/>
      <c r="BA2105" s="66"/>
      <c r="BB2105" s="66"/>
      <c r="BC2105" s="66"/>
      <c r="BD2105" s="66"/>
      <c r="BE2105" s="67"/>
      <c r="BF2105" s="67"/>
      <c r="BG2105" s="68"/>
      <c r="BI2105" s="69">
        <v>0</v>
      </c>
      <c r="BJ2105" s="70">
        <v>0</v>
      </c>
      <c r="BK2105" s="71">
        <v>0</v>
      </c>
      <c r="BL2105" s="71">
        <v>0</v>
      </c>
      <c r="BM2105" s="71">
        <v>0</v>
      </c>
      <c r="BN2105" s="72">
        <v>0</v>
      </c>
      <c r="BO2105" s="151" t="e">
        <f t="shared" si="136"/>
        <v>#DIV/0!</v>
      </c>
      <c r="BP2105" s="151" t="e">
        <f t="shared" si="137"/>
        <v>#DIV/0!</v>
      </c>
      <c r="BQ2105" s="71">
        <v>0</v>
      </c>
      <c r="BR2105" s="71">
        <v>0</v>
      </c>
      <c r="BS2105" s="71">
        <v>0</v>
      </c>
      <c r="BT2105" s="72">
        <v>0</v>
      </c>
      <c r="BU2105" s="151" t="e">
        <f t="shared" si="139"/>
        <v>#DIV/0!</v>
      </c>
      <c r="BV2105" s="151" t="e">
        <f t="shared" si="140"/>
        <v>#DIV/0!</v>
      </c>
    </row>
    <row r="2106" ht="30" customHeight="1" spans="1:74">
      <c r="A2106" s="55">
        <v>0</v>
      </c>
      <c r="B2106" s="56" t="s">
        <v>1237</v>
      </c>
      <c r="C2106" s="57" t="s">
        <v>3226</v>
      </c>
      <c r="D2106" s="76" t="s">
        <v>3320</v>
      </c>
      <c r="E2106" s="52"/>
      <c r="F2106" s="59" t="e">
        <f>VLOOKUP(E2106,[1]库存!$B$1:$C$65536,2,FALSE)</f>
        <v>#N/A</v>
      </c>
      <c r="G2106" s="59" t="e">
        <v>#N/A</v>
      </c>
      <c r="H2106" s="59" t="s">
        <v>3325</v>
      </c>
      <c r="I2106" s="52" t="s">
        <v>3326</v>
      </c>
      <c r="J2106" s="63"/>
      <c r="K2106" s="61"/>
      <c r="L2106" s="62">
        <v>2</v>
      </c>
      <c r="M2106" s="63">
        <v>1100</v>
      </c>
      <c r="N2106" s="64">
        <v>10</v>
      </c>
      <c r="O2106" s="62">
        <v>2</v>
      </c>
      <c r="P2106" s="65">
        <f t="shared" si="138"/>
        <v>0</v>
      </c>
      <c r="Q2106" s="66"/>
      <c r="R2106" s="66"/>
      <c r="S2106" s="66"/>
      <c r="T2106" s="66"/>
      <c r="U2106" s="66"/>
      <c r="V2106" s="66"/>
      <c r="W2106" s="66"/>
      <c r="X2106" s="66"/>
      <c r="Y2106" s="66"/>
      <c r="Z2106" s="66"/>
      <c r="AA2106" s="66"/>
      <c r="AB2106" s="66"/>
      <c r="AC2106" s="66"/>
      <c r="AD2106" s="66"/>
      <c r="AE2106" s="66"/>
      <c r="AF2106" s="66"/>
      <c r="AG2106" s="66"/>
      <c r="AH2106" s="66"/>
      <c r="AI2106" s="66"/>
      <c r="AJ2106" s="66"/>
      <c r="AK2106" s="66"/>
      <c r="AL2106" s="66"/>
      <c r="AM2106" s="66"/>
      <c r="AN2106" s="66"/>
      <c r="AO2106" s="66"/>
      <c r="AP2106" s="66"/>
      <c r="AQ2106" s="66"/>
      <c r="AR2106" s="66"/>
      <c r="AS2106" s="66"/>
      <c r="AT2106" s="66"/>
      <c r="AU2106" s="66"/>
      <c r="AV2106" s="66"/>
      <c r="AW2106" s="66"/>
      <c r="AX2106" s="66"/>
      <c r="AY2106" s="66"/>
      <c r="AZ2106" s="66"/>
      <c r="BA2106" s="66"/>
      <c r="BB2106" s="66"/>
      <c r="BC2106" s="66"/>
      <c r="BD2106" s="66"/>
      <c r="BE2106" s="67"/>
      <c r="BF2106" s="67"/>
      <c r="BG2106" s="68"/>
      <c r="BI2106" s="69">
        <v>0</v>
      </c>
      <c r="BJ2106" s="70">
        <v>0</v>
      </c>
      <c r="BK2106" s="71">
        <v>0</v>
      </c>
      <c r="BL2106" s="71">
        <v>0</v>
      </c>
      <c r="BM2106" s="71">
        <v>0</v>
      </c>
      <c r="BN2106" s="72">
        <v>0</v>
      </c>
      <c r="BO2106" s="151" t="e">
        <f t="shared" si="136"/>
        <v>#DIV/0!</v>
      </c>
      <c r="BP2106" s="151" t="e">
        <f t="shared" si="137"/>
        <v>#DIV/0!</v>
      </c>
      <c r="BQ2106" s="71">
        <v>0</v>
      </c>
      <c r="BR2106" s="71">
        <v>0</v>
      </c>
      <c r="BS2106" s="71">
        <v>0</v>
      </c>
      <c r="BT2106" s="72">
        <v>0</v>
      </c>
      <c r="BU2106" s="151" t="e">
        <f t="shared" si="139"/>
        <v>#DIV/0!</v>
      </c>
      <c r="BV2106" s="151" t="e">
        <f t="shared" si="140"/>
        <v>#DIV/0!</v>
      </c>
    </row>
    <row r="2107" ht="30" customHeight="1" spans="1:74">
      <c r="A2107" s="55">
        <v>0</v>
      </c>
      <c r="B2107" s="56">
        <v>0</v>
      </c>
      <c r="C2107" s="57">
        <v>0</v>
      </c>
      <c r="D2107" s="78"/>
      <c r="E2107" s="52"/>
      <c r="F2107" s="59" t="e">
        <f>VLOOKUP(E2107,[1]库存!$B$1:$C$65536,2,FALSE)</f>
        <v>#N/A</v>
      </c>
      <c r="G2107" s="59" t="e">
        <v>#N/A</v>
      </c>
      <c r="H2107" s="152"/>
      <c r="I2107" s="52"/>
      <c r="J2107" s="87"/>
      <c r="K2107" s="61"/>
      <c r="L2107" s="62">
        <v>0</v>
      </c>
      <c r="M2107" s="63">
        <v>0</v>
      </c>
      <c r="N2107" s="64">
        <v>0</v>
      </c>
      <c r="O2107" s="62">
        <v>0</v>
      </c>
      <c r="P2107" s="65">
        <f t="shared" si="138"/>
        <v>0</v>
      </c>
      <c r="Q2107" s="66"/>
      <c r="R2107" s="66"/>
      <c r="S2107" s="66"/>
      <c r="T2107" s="66"/>
      <c r="U2107" s="66"/>
      <c r="V2107" s="66"/>
      <c r="W2107" s="66"/>
      <c r="X2107" s="66"/>
      <c r="Y2107" s="66"/>
      <c r="Z2107" s="66"/>
      <c r="AA2107" s="66"/>
      <c r="AB2107" s="66"/>
      <c r="AC2107" s="66"/>
      <c r="AD2107" s="66"/>
      <c r="AE2107" s="66"/>
      <c r="AF2107" s="66"/>
      <c r="AG2107" s="66"/>
      <c r="AH2107" s="66"/>
      <c r="AI2107" s="66"/>
      <c r="AJ2107" s="66"/>
      <c r="AK2107" s="66"/>
      <c r="AL2107" s="66"/>
      <c r="AM2107" s="66"/>
      <c r="AN2107" s="66"/>
      <c r="AO2107" s="66"/>
      <c r="AP2107" s="66"/>
      <c r="AQ2107" s="66"/>
      <c r="AR2107" s="66"/>
      <c r="AS2107" s="66"/>
      <c r="AT2107" s="66"/>
      <c r="AU2107" s="66"/>
      <c r="AV2107" s="66"/>
      <c r="AW2107" s="66"/>
      <c r="AX2107" s="66"/>
      <c r="AY2107" s="66"/>
      <c r="AZ2107" s="66"/>
      <c r="BA2107" s="66"/>
      <c r="BB2107" s="66"/>
      <c r="BC2107" s="66"/>
      <c r="BD2107" s="66"/>
      <c r="BE2107" s="67"/>
      <c r="BF2107" s="67"/>
      <c r="BG2107" s="68"/>
      <c r="BI2107" s="69">
        <v>0</v>
      </c>
      <c r="BJ2107" s="70">
        <v>0</v>
      </c>
      <c r="BK2107" s="71">
        <v>0</v>
      </c>
      <c r="BL2107" s="71">
        <v>0</v>
      </c>
      <c r="BM2107" s="71">
        <v>0</v>
      </c>
      <c r="BN2107" s="72">
        <v>0</v>
      </c>
      <c r="BO2107" s="151" t="e">
        <f t="shared" si="136"/>
        <v>#DIV/0!</v>
      </c>
      <c r="BP2107" s="151" t="e">
        <f t="shared" si="137"/>
        <v>#DIV/0!</v>
      </c>
      <c r="BQ2107" s="71">
        <v>0</v>
      </c>
      <c r="BR2107" s="71">
        <v>0</v>
      </c>
      <c r="BS2107" s="71">
        <v>0</v>
      </c>
      <c r="BT2107" s="72">
        <v>0</v>
      </c>
      <c r="BU2107" s="151" t="e">
        <f t="shared" si="139"/>
        <v>#DIV/0!</v>
      </c>
      <c r="BV2107" s="151" t="e">
        <f t="shared" si="140"/>
        <v>#DIV/0!</v>
      </c>
    </row>
    <row r="2108" ht="30" customHeight="1" spans="1:74">
      <c r="A2108" s="55">
        <v>0</v>
      </c>
      <c r="B2108" s="56">
        <v>0</v>
      </c>
      <c r="C2108" s="57">
        <v>0</v>
      </c>
      <c r="E2108" s="88"/>
      <c r="F2108" s="59" t="e">
        <f>VLOOKUP(E2108,[1]库存!$B$1:$C$65536,2,FALSE)</f>
        <v>#N/A</v>
      </c>
      <c r="G2108" s="59" t="e">
        <v>#N/A</v>
      </c>
      <c r="H2108" s="89"/>
      <c r="I2108" s="88"/>
      <c r="J2108" s="90"/>
      <c r="K2108" s="61"/>
      <c r="L2108" s="62">
        <v>0</v>
      </c>
      <c r="M2108" s="63">
        <v>0</v>
      </c>
      <c r="N2108" s="64">
        <v>0</v>
      </c>
      <c r="O2108" s="62">
        <v>0</v>
      </c>
      <c r="P2108" s="65">
        <f t="shared" si="138"/>
        <v>0</v>
      </c>
      <c r="Q2108" s="66"/>
      <c r="R2108" s="66"/>
      <c r="S2108" s="66"/>
      <c r="T2108" s="66"/>
      <c r="U2108" s="66"/>
      <c r="V2108" s="66"/>
      <c r="W2108" s="66"/>
      <c r="X2108" s="66"/>
      <c r="Y2108" s="66"/>
      <c r="Z2108" s="66"/>
      <c r="AA2108" s="66"/>
      <c r="AB2108" s="66"/>
      <c r="AC2108" s="66"/>
      <c r="AD2108" s="66"/>
      <c r="AE2108" s="66"/>
      <c r="AF2108" s="66"/>
      <c r="AG2108" s="66"/>
      <c r="AH2108" s="66"/>
      <c r="AI2108" s="66"/>
      <c r="AJ2108" s="66"/>
      <c r="AK2108" s="66"/>
      <c r="AL2108" s="66"/>
      <c r="AM2108" s="66"/>
      <c r="AN2108" s="66"/>
      <c r="AO2108" s="66"/>
      <c r="AP2108" s="66"/>
      <c r="AQ2108" s="66"/>
      <c r="AR2108" s="66"/>
      <c r="AS2108" s="66"/>
      <c r="AT2108" s="66"/>
      <c r="AU2108" s="66"/>
      <c r="AV2108" s="66"/>
      <c r="AW2108" s="66"/>
      <c r="AX2108" s="66"/>
      <c r="AY2108" s="66"/>
      <c r="AZ2108" s="66"/>
      <c r="BA2108" s="66"/>
      <c r="BB2108" s="66"/>
      <c r="BC2108" s="66"/>
      <c r="BD2108" s="66"/>
      <c r="BE2108" s="67"/>
      <c r="BF2108" s="67"/>
      <c r="BG2108" s="68"/>
      <c r="BI2108" s="69">
        <v>0</v>
      </c>
      <c r="BJ2108" s="70">
        <v>0</v>
      </c>
      <c r="BK2108" s="71">
        <v>0</v>
      </c>
      <c r="BL2108" s="71">
        <v>0</v>
      </c>
      <c r="BM2108" s="71">
        <v>0</v>
      </c>
      <c r="BN2108" s="72">
        <v>0</v>
      </c>
      <c r="BO2108" s="151" t="e">
        <f t="shared" si="136"/>
        <v>#DIV/0!</v>
      </c>
      <c r="BP2108" s="151" t="e">
        <f t="shared" si="137"/>
        <v>#DIV/0!</v>
      </c>
      <c r="BQ2108" s="71">
        <v>0</v>
      </c>
      <c r="BR2108" s="71">
        <v>0</v>
      </c>
      <c r="BS2108" s="71">
        <v>0</v>
      </c>
      <c r="BT2108" s="72">
        <v>0</v>
      </c>
      <c r="BU2108" s="151" t="e">
        <f t="shared" si="139"/>
        <v>#DIV/0!</v>
      </c>
      <c r="BV2108" s="151" t="e">
        <f t="shared" si="140"/>
        <v>#DIV/0!</v>
      </c>
    </row>
    <row r="2109" ht="30" customHeight="1" spans="1:74">
      <c r="A2109" s="55" t="s">
        <v>165</v>
      </c>
      <c r="B2109" s="56" t="s">
        <v>1237</v>
      </c>
      <c r="C2109" s="57" t="s">
        <v>3226</v>
      </c>
      <c r="D2109" s="57" t="s">
        <v>3327</v>
      </c>
      <c r="E2109" s="91" t="s">
        <v>3328</v>
      </c>
      <c r="F2109" s="91" t="str">
        <f>VLOOKUP(E2109,[1]库存!$B$1:$C$65536,2,FALSE)</f>
        <v>NIO Cetus FSAB LH</v>
      </c>
      <c r="G2109" s="91" t="s">
        <v>3329</v>
      </c>
      <c r="H2109" s="91" t="s">
        <v>3330</v>
      </c>
      <c r="I2109" s="91" t="s">
        <v>3331</v>
      </c>
      <c r="J2109" s="63"/>
      <c r="K2109" s="61"/>
      <c r="L2109" s="62">
        <v>0</v>
      </c>
      <c r="M2109" s="63">
        <v>1350</v>
      </c>
      <c r="N2109" s="64">
        <v>13</v>
      </c>
      <c r="O2109" s="62">
        <v>2</v>
      </c>
      <c r="P2109" s="65">
        <f t="shared" si="138"/>
        <v>0</v>
      </c>
      <c r="Q2109" s="103"/>
      <c r="R2109" s="103"/>
      <c r="S2109" s="103"/>
      <c r="T2109" s="103"/>
      <c r="U2109" s="103"/>
      <c r="V2109" s="103"/>
      <c r="W2109" s="103"/>
      <c r="X2109" s="103"/>
      <c r="Y2109" s="103"/>
      <c r="Z2109" s="103"/>
      <c r="AA2109" s="103">
        <v>1650</v>
      </c>
      <c r="AB2109" s="103"/>
      <c r="AC2109" s="103">
        <v>0</v>
      </c>
      <c r="AD2109" s="103"/>
      <c r="AE2109" s="103"/>
      <c r="AF2109" s="103"/>
      <c r="AG2109" s="103"/>
      <c r="AH2109" s="103"/>
      <c r="AI2109" s="103"/>
      <c r="AJ2109" s="103"/>
      <c r="AK2109" s="103"/>
      <c r="AL2109" s="103"/>
      <c r="AM2109" s="103"/>
      <c r="AN2109" s="103"/>
      <c r="AO2109" s="103"/>
      <c r="AP2109" s="103"/>
      <c r="AQ2109" s="103"/>
      <c r="AR2109" s="103"/>
      <c r="AS2109" s="103"/>
      <c r="AT2109" s="103"/>
      <c r="AU2109" s="103"/>
      <c r="AV2109" s="103"/>
      <c r="AW2109" s="103"/>
      <c r="AX2109" s="103"/>
      <c r="AY2109" s="103"/>
      <c r="AZ2109" s="103"/>
      <c r="BA2109" s="103"/>
      <c r="BB2109" s="103"/>
      <c r="BC2109" s="103"/>
      <c r="BD2109" s="103"/>
      <c r="BE2109" s="67"/>
      <c r="BF2109" s="67"/>
      <c r="BG2109" s="68"/>
      <c r="BI2109" s="69">
        <v>0</v>
      </c>
      <c r="BJ2109" s="70">
        <v>0</v>
      </c>
      <c r="BK2109" s="71">
        <v>0</v>
      </c>
      <c r="BL2109" s="71">
        <v>0</v>
      </c>
      <c r="BM2109" s="71">
        <v>0</v>
      </c>
      <c r="BN2109" s="72">
        <v>0</v>
      </c>
      <c r="BO2109" s="151" t="e">
        <f t="shared" si="136"/>
        <v>#DIV/0!</v>
      </c>
      <c r="BP2109" s="151" t="e">
        <f t="shared" si="137"/>
        <v>#DIV/0!</v>
      </c>
      <c r="BQ2109" s="71">
        <v>0</v>
      </c>
      <c r="BR2109" s="71">
        <v>0</v>
      </c>
      <c r="BS2109" s="71">
        <v>0</v>
      </c>
      <c r="BT2109" s="72">
        <v>0</v>
      </c>
      <c r="BU2109" s="151" t="e">
        <f t="shared" si="139"/>
        <v>#DIV/0!</v>
      </c>
      <c r="BV2109" s="151" t="e">
        <f t="shared" si="140"/>
        <v>#DIV/0!</v>
      </c>
    </row>
    <row r="2110" ht="30" customHeight="1" spans="1:74">
      <c r="A2110" s="55">
        <v>0</v>
      </c>
      <c r="B2110" s="56">
        <v>0</v>
      </c>
      <c r="C2110" s="57">
        <v>0</v>
      </c>
      <c r="D2110" s="174"/>
      <c r="E2110" s="92"/>
      <c r="F2110" s="91" t="e">
        <f>VLOOKUP(E2110,[1]库存!$B$1:$C$65536,2,FALSE)</f>
        <v>#N/A</v>
      </c>
      <c r="G2110" s="91" t="e">
        <v>#N/A</v>
      </c>
      <c r="H2110" s="92"/>
      <c r="I2110" s="92"/>
      <c r="J2110" s="87"/>
      <c r="K2110" s="61"/>
      <c r="L2110" s="62">
        <v>0</v>
      </c>
      <c r="M2110" s="63">
        <v>0</v>
      </c>
      <c r="N2110" s="64">
        <v>0</v>
      </c>
      <c r="O2110" s="62">
        <v>0</v>
      </c>
      <c r="P2110" s="65">
        <f t="shared" si="138"/>
        <v>0</v>
      </c>
      <c r="Q2110" s="66"/>
      <c r="R2110" s="66"/>
      <c r="S2110" s="66"/>
      <c r="T2110" s="66"/>
      <c r="U2110" s="66"/>
      <c r="V2110" s="66"/>
      <c r="W2110" s="66"/>
      <c r="X2110" s="66"/>
      <c r="Y2110" s="66"/>
      <c r="Z2110" s="66"/>
      <c r="AA2110" s="66">
        <v>1724</v>
      </c>
      <c r="AB2110" s="66"/>
      <c r="AC2110" s="66"/>
      <c r="AD2110" s="66"/>
      <c r="AE2110" s="66"/>
      <c r="AF2110" s="66"/>
      <c r="AG2110" s="66"/>
      <c r="AH2110" s="66"/>
      <c r="AI2110" s="66"/>
      <c r="AJ2110" s="66"/>
      <c r="AK2110" s="66"/>
      <c r="AL2110" s="66"/>
      <c r="AM2110" s="66"/>
      <c r="AN2110" s="66"/>
      <c r="AO2110" s="66"/>
      <c r="AP2110" s="66"/>
      <c r="AQ2110" s="66"/>
      <c r="AR2110" s="66"/>
      <c r="AS2110" s="66"/>
      <c r="AT2110" s="66"/>
      <c r="AU2110" s="66"/>
      <c r="AV2110" s="66"/>
      <c r="AW2110" s="66"/>
      <c r="AX2110" s="66"/>
      <c r="AY2110" s="66"/>
      <c r="AZ2110" s="66"/>
      <c r="BA2110" s="66"/>
      <c r="BB2110" s="66"/>
      <c r="BC2110" s="66"/>
      <c r="BD2110" s="66"/>
      <c r="BE2110" s="67"/>
      <c r="BF2110" s="67"/>
      <c r="BG2110" s="68"/>
      <c r="BI2110" s="69">
        <v>0</v>
      </c>
      <c r="BJ2110" s="70">
        <v>0</v>
      </c>
      <c r="BK2110" s="71">
        <v>0</v>
      </c>
      <c r="BL2110" s="71">
        <v>0</v>
      </c>
      <c r="BM2110" s="71">
        <v>0</v>
      </c>
      <c r="BN2110" s="72">
        <v>0</v>
      </c>
      <c r="BO2110" s="151" t="e">
        <f t="shared" si="136"/>
        <v>#DIV/0!</v>
      </c>
      <c r="BP2110" s="151" t="e">
        <f t="shared" si="137"/>
        <v>#DIV/0!</v>
      </c>
      <c r="BQ2110" s="71">
        <v>0</v>
      </c>
      <c r="BR2110" s="71">
        <v>0</v>
      </c>
      <c r="BS2110" s="71">
        <v>0</v>
      </c>
      <c r="BT2110" s="72">
        <v>0</v>
      </c>
      <c r="BU2110" s="151" t="e">
        <f t="shared" si="139"/>
        <v>#DIV/0!</v>
      </c>
      <c r="BV2110" s="151" t="e">
        <f t="shared" si="140"/>
        <v>#DIV/0!</v>
      </c>
    </row>
    <row r="2111" ht="30" customHeight="1" spans="1:74">
      <c r="A2111" s="55" t="s">
        <v>165</v>
      </c>
      <c r="B2111" s="56" t="s">
        <v>1237</v>
      </c>
      <c r="C2111" s="57" t="s">
        <v>3226</v>
      </c>
      <c r="D2111" s="57" t="s">
        <v>3327</v>
      </c>
      <c r="E2111" s="91" t="s">
        <v>3332</v>
      </c>
      <c r="F2111" s="91" t="str">
        <f>VLOOKUP(E2111,[1]库存!$B$1:$C$65536,2,FALSE)</f>
        <v>NIO Cetus FSAB RH</v>
      </c>
      <c r="G2111" s="91" t="s">
        <v>3333</v>
      </c>
      <c r="H2111" s="91" t="s">
        <v>3334</v>
      </c>
      <c r="I2111" s="91" t="s">
        <v>3331</v>
      </c>
      <c r="J2111" s="63"/>
      <c r="K2111" s="61"/>
      <c r="L2111" s="62">
        <v>0</v>
      </c>
      <c r="M2111" s="63">
        <v>1350</v>
      </c>
      <c r="N2111" s="64">
        <v>13</v>
      </c>
      <c r="O2111" s="62">
        <v>2</v>
      </c>
      <c r="P2111" s="65">
        <f t="shared" si="138"/>
        <v>0</v>
      </c>
      <c r="Q2111" s="103"/>
      <c r="R2111" s="103"/>
      <c r="S2111" s="103"/>
      <c r="T2111" s="103"/>
      <c r="U2111" s="103"/>
      <c r="V2111" s="103"/>
      <c r="W2111" s="103"/>
      <c r="X2111" s="103"/>
      <c r="Y2111" s="103"/>
      <c r="Z2111" s="103"/>
      <c r="AA2111" s="103"/>
      <c r="AB2111" s="103"/>
      <c r="AC2111" s="103"/>
      <c r="AD2111" s="103"/>
      <c r="AE2111" s="103"/>
      <c r="AF2111" s="103"/>
      <c r="AG2111" s="103"/>
      <c r="AH2111" s="103"/>
      <c r="AI2111" s="103"/>
      <c r="AJ2111" s="103"/>
      <c r="AK2111" s="103"/>
      <c r="AL2111" s="103"/>
      <c r="AM2111" s="103"/>
      <c r="AN2111" s="103"/>
      <c r="AO2111" s="103"/>
      <c r="AP2111" s="103"/>
      <c r="AQ2111" s="103"/>
      <c r="AR2111" s="103"/>
      <c r="AS2111" s="103"/>
      <c r="AT2111" s="103"/>
      <c r="AU2111" s="103"/>
      <c r="AV2111" s="103"/>
      <c r="AW2111" s="103"/>
      <c r="AX2111" s="103"/>
      <c r="AY2111" s="103"/>
      <c r="AZ2111" s="103"/>
      <c r="BA2111" s="103"/>
      <c r="BB2111" s="103"/>
      <c r="BC2111" s="103"/>
      <c r="BD2111" s="103"/>
      <c r="BE2111" s="67"/>
      <c r="BF2111" s="67"/>
      <c r="BG2111" s="68"/>
      <c r="BI2111" s="69">
        <v>0</v>
      </c>
      <c r="BJ2111" s="70">
        <v>0</v>
      </c>
      <c r="BK2111" s="71">
        <v>0</v>
      </c>
      <c r="BL2111" s="71">
        <v>0</v>
      </c>
      <c r="BM2111" s="71">
        <v>0</v>
      </c>
      <c r="BN2111" s="72">
        <v>0</v>
      </c>
      <c r="BO2111" s="151" t="e">
        <f t="shared" si="136"/>
        <v>#DIV/0!</v>
      </c>
      <c r="BP2111" s="151" t="e">
        <f t="shared" si="137"/>
        <v>#DIV/0!</v>
      </c>
      <c r="BQ2111" s="71">
        <v>0</v>
      </c>
      <c r="BR2111" s="71">
        <v>0</v>
      </c>
      <c r="BS2111" s="71">
        <v>0</v>
      </c>
      <c r="BT2111" s="72">
        <v>0</v>
      </c>
      <c r="BU2111" s="151" t="e">
        <f t="shared" si="139"/>
        <v>#DIV/0!</v>
      </c>
      <c r="BV2111" s="151" t="e">
        <f t="shared" si="140"/>
        <v>#DIV/0!</v>
      </c>
    </row>
    <row r="2112" ht="30" customHeight="1" spans="1:74">
      <c r="A2112" s="55">
        <v>0</v>
      </c>
      <c r="B2112" s="56">
        <v>0</v>
      </c>
      <c r="C2112" s="57">
        <v>0</v>
      </c>
      <c r="D2112" s="174"/>
      <c r="E2112" s="92"/>
      <c r="F2112" s="91" t="e">
        <f>VLOOKUP(E2112,[1]库存!$B$1:$C$65536,2,FALSE)</f>
        <v>#N/A</v>
      </c>
      <c r="G2112" s="91" t="e">
        <v>#N/A</v>
      </c>
      <c r="H2112" s="92"/>
      <c r="I2112" s="92"/>
      <c r="J2112" s="87"/>
      <c r="K2112" s="61"/>
      <c r="L2112" s="62">
        <v>0</v>
      </c>
      <c r="M2112" s="63">
        <v>0</v>
      </c>
      <c r="N2112" s="64">
        <v>0</v>
      </c>
      <c r="O2112" s="62">
        <v>0</v>
      </c>
      <c r="P2112" s="65">
        <f t="shared" si="138"/>
        <v>0</v>
      </c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  <c r="AA2112" s="66"/>
      <c r="AB2112" s="66"/>
      <c r="AC2112" s="66"/>
      <c r="AD2112" s="66"/>
      <c r="AE2112" s="66"/>
      <c r="AF2112" s="66"/>
      <c r="AG2112" s="66"/>
      <c r="AH2112" s="66"/>
      <c r="AI2112" s="66"/>
      <c r="AJ2112" s="66"/>
      <c r="AK2112" s="66"/>
      <c r="AL2112" s="66"/>
      <c r="AM2112" s="66"/>
      <c r="AN2112" s="66"/>
      <c r="AO2112" s="66"/>
      <c r="AP2112" s="66"/>
      <c r="AQ2112" s="66"/>
      <c r="AR2112" s="66"/>
      <c r="AS2112" s="66"/>
      <c r="AT2112" s="66"/>
      <c r="AU2112" s="66"/>
      <c r="AV2112" s="66"/>
      <c r="AW2112" s="66"/>
      <c r="AX2112" s="66"/>
      <c r="AY2112" s="66"/>
      <c r="AZ2112" s="66"/>
      <c r="BA2112" s="66"/>
      <c r="BB2112" s="66"/>
      <c r="BC2112" s="66"/>
      <c r="BD2112" s="66"/>
      <c r="BE2112" s="67"/>
      <c r="BF2112" s="67"/>
      <c r="BG2112" s="68"/>
      <c r="BI2112" s="69">
        <v>0</v>
      </c>
      <c r="BJ2112" s="70">
        <v>0</v>
      </c>
      <c r="BK2112" s="71">
        <v>0</v>
      </c>
      <c r="BL2112" s="71">
        <v>0</v>
      </c>
      <c r="BM2112" s="71">
        <v>0</v>
      </c>
      <c r="BN2112" s="72">
        <v>0</v>
      </c>
      <c r="BO2112" s="151" t="e">
        <f t="shared" si="136"/>
        <v>#DIV/0!</v>
      </c>
      <c r="BP2112" s="151" t="e">
        <f t="shared" si="137"/>
        <v>#DIV/0!</v>
      </c>
      <c r="BQ2112" s="71">
        <v>0</v>
      </c>
      <c r="BR2112" s="71">
        <v>0</v>
      </c>
      <c r="BS2112" s="71">
        <v>0</v>
      </c>
      <c r="BT2112" s="72">
        <v>0</v>
      </c>
      <c r="BU2112" s="151" t="e">
        <f t="shared" si="139"/>
        <v>#DIV/0!</v>
      </c>
      <c r="BV2112" s="151" t="e">
        <f t="shared" si="140"/>
        <v>#DIV/0!</v>
      </c>
    </row>
    <row r="2113" ht="30" customHeight="1" spans="1:75 16331:16349">
      <c r="A2113" s="55" t="s">
        <v>165</v>
      </c>
      <c r="B2113" s="56" t="s">
        <v>1237</v>
      </c>
      <c r="C2113" s="57" t="s">
        <v>3226</v>
      </c>
      <c r="D2113" s="76" t="s">
        <v>3327</v>
      </c>
      <c r="E2113" s="59" t="s">
        <v>3335</v>
      </c>
      <c r="F2113" s="59" t="str">
        <f>VLOOKUP(E2113,[1]库存!$B$1:$C$65536,2,FALSE)</f>
        <v>FORD CX835 RSAB LH</v>
      </c>
      <c r="G2113" s="59" t="s">
        <v>3336</v>
      </c>
      <c r="H2113" s="59" t="s">
        <v>3337</v>
      </c>
      <c r="I2113" s="59" t="s">
        <v>429</v>
      </c>
      <c r="J2113" s="80" t="s">
        <v>65</v>
      </c>
      <c r="K2113" s="61"/>
      <c r="L2113" s="62">
        <v>0</v>
      </c>
      <c r="M2113" s="63">
        <v>1400</v>
      </c>
      <c r="N2113" s="64">
        <v>10</v>
      </c>
      <c r="O2113" s="62">
        <v>2</v>
      </c>
      <c r="P2113" s="65">
        <f t="shared" si="138"/>
        <v>0</v>
      </c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  <c r="AA2113" s="66"/>
      <c r="AB2113" s="66"/>
      <c r="AC2113" s="66"/>
      <c r="AD2113" s="66"/>
      <c r="AE2113" s="66"/>
      <c r="AF2113" s="66"/>
      <c r="AG2113" s="66"/>
      <c r="AH2113" s="66"/>
      <c r="AI2113" s="66"/>
      <c r="AJ2113" s="66"/>
      <c r="AK2113" s="66"/>
      <c r="AL2113" s="66"/>
      <c r="AM2113" s="66"/>
      <c r="AN2113" s="66"/>
      <c r="AO2113" s="66"/>
      <c r="AP2113" s="66"/>
      <c r="AQ2113" s="66"/>
      <c r="AR2113" s="66"/>
      <c r="AS2113" s="66"/>
      <c r="AT2113" s="66"/>
      <c r="AU2113" s="66"/>
      <c r="AV2113" s="66"/>
      <c r="AW2113" s="66"/>
      <c r="AX2113" s="66"/>
      <c r="AY2113" s="66"/>
      <c r="AZ2113" s="66"/>
      <c r="BA2113" s="66"/>
      <c r="BB2113" s="66"/>
      <c r="BC2113" s="66"/>
      <c r="BD2113" s="66"/>
      <c r="BE2113" s="67"/>
      <c r="BF2113" s="67"/>
      <c r="BG2113" s="68"/>
      <c r="BI2113" s="69">
        <v>0</v>
      </c>
      <c r="BJ2113" s="70">
        <v>0</v>
      </c>
      <c r="BK2113" s="71">
        <v>0</v>
      </c>
      <c r="BL2113" s="71">
        <v>0</v>
      </c>
      <c r="BM2113" s="71">
        <v>0</v>
      </c>
      <c r="BN2113" s="72">
        <v>0</v>
      </c>
      <c r="BO2113" s="151" t="e">
        <f t="shared" si="136"/>
        <v>#DIV/0!</v>
      </c>
      <c r="BP2113" s="151" t="e">
        <f t="shared" si="137"/>
        <v>#DIV/0!</v>
      </c>
      <c r="BQ2113" s="71">
        <v>0</v>
      </c>
      <c r="BR2113" s="71">
        <v>0</v>
      </c>
      <c r="BS2113" s="71">
        <v>0</v>
      </c>
      <c r="BT2113" s="72">
        <v>0</v>
      </c>
      <c r="BU2113" s="151" t="e">
        <f t="shared" si="139"/>
        <v>#DIV/0!</v>
      </c>
      <c r="BV2113" s="151" t="e">
        <f t="shared" si="140"/>
        <v>#DIV/0!</v>
      </c>
    </row>
    <row r="2114" ht="30" customHeight="1" spans="1:75 16331:16349">
      <c r="A2114" s="55">
        <v>0</v>
      </c>
      <c r="B2114" s="56">
        <v>0</v>
      </c>
      <c r="C2114" s="57">
        <v>0</v>
      </c>
      <c r="D2114" s="78"/>
      <c r="E2114" s="74"/>
      <c r="F2114" s="59" t="e">
        <f>VLOOKUP(E2114,[1]库存!$B$1:$C$65536,2,FALSE)</f>
        <v>#N/A</v>
      </c>
      <c r="G2114" s="59" t="e">
        <v>#N/A</v>
      </c>
      <c r="H2114" s="74"/>
      <c r="I2114" s="74"/>
      <c r="J2114" s="81"/>
      <c r="K2114" s="61"/>
      <c r="L2114" s="62">
        <v>0</v>
      </c>
      <c r="M2114" s="63">
        <v>0</v>
      </c>
      <c r="N2114" s="64">
        <v>0</v>
      </c>
      <c r="O2114" s="62">
        <v>0</v>
      </c>
      <c r="P2114" s="65">
        <f t="shared" si="138"/>
        <v>0</v>
      </c>
      <c r="Q2114" s="66"/>
      <c r="R2114" s="66"/>
      <c r="S2114" s="66"/>
      <c r="T2114" s="66"/>
      <c r="U2114" s="66"/>
      <c r="V2114" s="66"/>
      <c r="W2114" s="66"/>
      <c r="X2114" s="66"/>
      <c r="Y2114" s="66"/>
      <c r="Z2114" s="66"/>
      <c r="AA2114" s="66"/>
      <c r="AB2114" s="66"/>
      <c r="AC2114" s="66"/>
      <c r="AD2114" s="66"/>
      <c r="AE2114" s="66"/>
      <c r="AF2114" s="66"/>
      <c r="AG2114" s="66"/>
      <c r="AH2114" s="66"/>
      <c r="AI2114" s="66"/>
      <c r="AJ2114" s="66"/>
      <c r="AK2114" s="66"/>
      <c r="AL2114" s="66"/>
      <c r="AM2114" s="66"/>
      <c r="AN2114" s="66"/>
      <c r="AO2114" s="66"/>
      <c r="AP2114" s="66"/>
      <c r="AQ2114" s="66"/>
      <c r="AR2114" s="66"/>
      <c r="AS2114" s="66"/>
      <c r="AT2114" s="66"/>
      <c r="AU2114" s="66"/>
      <c r="AV2114" s="66"/>
      <c r="AW2114" s="66"/>
      <c r="AX2114" s="66"/>
      <c r="AY2114" s="66"/>
      <c r="AZ2114" s="66"/>
      <c r="BA2114" s="66"/>
      <c r="BB2114" s="66"/>
      <c r="BC2114" s="66"/>
      <c r="BD2114" s="66"/>
      <c r="BE2114" s="67"/>
      <c r="BF2114" s="67"/>
      <c r="BG2114" s="68"/>
      <c r="BI2114" s="69">
        <v>0</v>
      </c>
      <c r="BJ2114" s="70">
        <v>0</v>
      </c>
      <c r="BK2114" s="71">
        <v>0</v>
      </c>
      <c r="BL2114" s="71">
        <v>0</v>
      </c>
      <c r="BM2114" s="71">
        <v>0</v>
      </c>
      <c r="BN2114" s="72">
        <v>0</v>
      </c>
      <c r="BO2114" s="151" t="e">
        <f t="shared" ref="BO2114:BO2177" si="141">(BK2114+BL2114)/BJ2114</f>
        <v>#DIV/0!</v>
      </c>
      <c r="BP2114" s="151" t="e">
        <f t="shared" ref="BP2114:BP2177" si="142">BM2114/BJ2114</f>
        <v>#DIV/0!</v>
      </c>
      <c r="BQ2114" s="71">
        <v>0</v>
      </c>
      <c r="BR2114" s="71">
        <v>0</v>
      </c>
      <c r="BS2114" s="71">
        <v>0</v>
      </c>
      <c r="BT2114" s="72">
        <v>0</v>
      </c>
      <c r="BU2114" s="151" t="e">
        <f t="shared" si="139"/>
        <v>#DIV/0!</v>
      </c>
      <c r="BV2114" s="151" t="e">
        <f t="shared" si="140"/>
        <v>#DIV/0!</v>
      </c>
    </row>
    <row r="2115" ht="30" customHeight="1" spans="1:75 16331:16349">
      <c r="A2115" s="55" t="s">
        <v>165</v>
      </c>
      <c r="B2115" s="56" t="s">
        <v>1237</v>
      </c>
      <c r="C2115" s="57" t="s">
        <v>3226</v>
      </c>
      <c r="D2115" s="76" t="s">
        <v>3327</v>
      </c>
      <c r="E2115" s="59" t="s">
        <v>3338</v>
      </c>
      <c r="F2115" s="59" t="str">
        <f>VLOOKUP(E2115,[1]库存!$B$1:$C$65536,2,FALSE)</f>
        <v>FORD CX835 RSAB RH</v>
      </c>
      <c r="G2115" s="59" t="s">
        <v>3339</v>
      </c>
      <c r="H2115" s="59" t="s">
        <v>3340</v>
      </c>
      <c r="I2115" s="59" t="s">
        <v>429</v>
      </c>
      <c r="J2115" s="80" t="s">
        <v>65</v>
      </c>
      <c r="K2115" s="61"/>
      <c r="L2115" s="62">
        <v>0</v>
      </c>
      <c r="M2115" s="63">
        <v>1400</v>
      </c>
      <c r="N2115" s="64">
        <v>10</v>
      </c>
      <c r="O2115" s="62">
        <v>2</v>
      </c>
      <c r="P2115" s="65">
        <f t="shared" si="138"/>
        <v>0</v>
      </c>
      <c r="Q2115" s="66"/>
      <c r="R2115" s="66"/>
      <c r="S2115" s="66"/>
      <c r="T2115" s="66"/>
      <c r="U2115" s="66"/>
      <c r="V2115" s="66"/>
      <c r="W2115" s="66"/>
      <c r="X2115" s="66"/>
      <c r="Y2115" s="66"/>
      <c r="Z2115" s="66"/>
      <c r="AA2115" s="66"/>
      <c r="AB2115" s="66"/>
      <c r="AC2115" s="66"/>
      <c r="AD2115" s="66"/>
      <c r="AE2115" s="66"/>
      <c r="AF2115" s="66"/>
      <c r="AG2115" s="66"/>
      <c r="AH2115" s="66"/>
      <c r="AI2115" s="66"/>
      <c r="AJ2115" s="66"/>
      <c r="AK2115" s="66"/>
      <c r="AL2115" s="66"/>
      <c r="AM2115" s="66"/>
      <c r="AN2115" s="66"/>
      <c r="AO2115" s="66"/>
      <c r="AP2115" s="66"/>
      <c r="AQ2115" s="66"/>
      <c r="AR2115" s="66"/>
      <c r="AS2115" s="66"/>
      <c r="AT2115" s="66"/>
      <c r="AU2115" s="66"/>
      <c r="AV2115" s="66"/>
      <c r="AW2115" s="66"/>
      <c r="AX2115" s="66"/>
      <c r="AY2115" s="66"/>
      <c r="AZ2115" s="66"/>
      <c r="BA2115" s="66"/>
      <c r="BB2115" s="66"/>
      <c r="BC2115" s="66"/>
      <c r="BD2115" s="66"/>
      <c r="BE2115" s="67"/>
      <c r="BF2115" s="67"/>
      <c r="BG2115" s="68"/>
      <c r="BI2115" s="69">
        <v>0</v>
      </c>
      <c r="BJ2115" s="70">
        <v>0</v>
      </c>
      <c r="BK2115" s="71">
        <v>0</v>
      </c>
      <c r="BL2115" s="71">
        <v>0</v>
      </c>
      <c r="BM2115" s="71">
        <v>0</v>
      </c>
      <c r="BN2115" s="72">
        <v>0</v>
      </c>
      <c r="BO2115" s="151" t="e">
        <f t="shared" si="141"/>
        <v>#DIV/0!</v>
      </c>
      <c r="BP2115" s="151" t="e">
        <f t="shared" si="142"/>
        <v>#DIV/0!</v>
      </c>
      <c r="BQ2115" s="71">
        <v>0</v>
      </c>
      <c r="BR2115" s="71">
        <v>0</v>
      </c>
      <c r="BS2115" s="71">
        <v>0</v>
      </c>
      <c r="BT2115" s="72">
        <v>0</v>
      </c>
      <c r="BU2115" s="151" t="e">
        <f t="shared" si="139"/>
        <v>#DIV/0!</v>
      </c>
      <c r="BV2115" s="151" t="e">
        <f t="shared" si="140"/>
        <v>#DIV/0!</v>
      </c>
    </row>
    <row r="2116" ht="30" customHeight="1" spans="1:75 16331:16349">
      <c r="A2116" s="55">
        <v>0</v>
      </c>
      <c r="B2116" s="56">
        <v>0</v>
      </c>
      <c r="C2116" s="57">
        <v>0</v>
      </c>
      <c r="D2116" s="78"/>
      <c r="E2116" s="74"/>
      <c r="F2116" s="59" t="e">
        <f>VLOOKUP(E2116,[1]库存!$B$1:$C$65536,2,FALSE)</f>
        <v>#N/A</v>
      </c>
      <c r="G2116" s="59" t="e">
        <v>#N/A</v>
      </c>
      <c r="H2116" s="74"/>
      <c r="I2116" s="74"/>
      <c r="J2116" s="81"/>
      <c r="K2116" s="61"/>
      <c r="L2116" s="62">
        <v>0</v>
      </c>
      <c r="M2116" s="63">
        <v>0</v>
      </c>
      <c r="N2116" s="64">
        <v>0</v>
      </c>
      <c r="O2116" s="62">
        <v>0</v>
      </c>
      <c r="P2116" s="65">
        <f t="shared" si="138"/>
        <v>0</v>
      </c>
      <c r="Q2116" s="66"/>
      <c r="R2116" s="66"/>
      <c r="S2116" s="66"/>
      <c r="T2116" s="66"/>
      <c r="U2116" s="66"/>
      <c r="V2116" s="66"/>
      <c r="W2116" s="66"/>
      <c r="X2116" s="66"/>
      <c r="Y2116" s="66"/>
      <c r="Z2116" s="66"/>
      <c r="AA2116" s="66"/>
      <c r="AB2116" s="66"/>
      <c r="AC2116" s="66"/>
      <c r="AD2116" s="66"/>
      <c r="AE2116" s="66"/>
      <c r="AF2116" s="66"/>
      <c r="AG2116" s="66"/>
      <c r="AH2116" s="66"/>
      <c r="AI2116" s="66"/>
      <c r="AJ2116" s="66"/>
      <c r="AK2116" s="66"/>
      <c r="AL2116" s="66"/>
      <c r="AM2116" s="66"/>
      <c r="AN2116" s="66"/>
      <c r="AO2116" s="66"/>
      <c r="AP2116" s="66"/>
      <c r="AQ2116" s="66"/>
      <c r="AR2116" s="66"/>
      <c r="AS2116" s="66"/>
      <c r="AT2116" s="66"/>
      <c r="AU2116" s="66"/>
      <c r="AV2116" s="66"/>
      <c r="AW2116" s="66"/>
      <c r="AX2116" s="66"/>
      <c r="AY2116" s="66"/>
      <c r="AZ2116" s="66"/>
      <c r="BA2116" s="66"/>
      <c r="BB2116" s="66"/>
      <c r="BC2116" s="66"/>
      <c r="BD2116" s="66"/>
      <c r="BE2116" s="67"/>
      <c r="BF2116" s="67"/>
      <c r="BG2116" s="68"/>
      <c r="BI2116" s="69">
        <v>0</v>
      </c>
      <c r="BJ2116" s="70">
        <v>0</v>
      </c>
      <c r="BK2116" s="71">
        <v>0</v>
      </c>
      <c r="BL2116" s="71">
        <v>0</v>
      </c>
      <c r="BM2116" s="71">
        <v>0</v>
      </c>
      <c r="BN2116" s="72">
        <v>0</v>
      </c>
      <c r="BO2116" s="151" t="e">
        <f t="shared" si="141"/>
        <v>#DIV/0!</v>
      </c>
      <c r="BP2116" s="151" t="e">
        <f t="shared" si="142"/>
        <v>#DIV/0!</v>
      </c>
      <c r="BQ2116" s="71">
        <v>0</v>
      </c>
      <c r="BR2116" s="71">
        <v>0</v>
      </c>
      <c r="BS2116" s="71">
        <v>0</v>
      </c>
      <c r="BT2116" s="72">
        <v>0</v>
      </c>
      <c r="BU2116" s="151" t="e">
        <f t="shared" si="139"/>
        <v>#DIV/0!</v>
      </c>
      <c r="BV2116" s="151" t="e">
        <f t="shared" si="140"/>
        <v>#DIV/0!</v>
      </c>
    </row>
    <row r="2117" ht="30" customHeight="1" spans="1:75 16331:16349">
      <c r="A2117" s="55">
        <v>0</v>
      </c>
      <c r="B2117" s="56">
        <v>0</v>
      </c>
      <c r="C2117" s="57">
        <v>0</v>
      </c>
      <c r="E2117" s="88"/>
      <c r="F2117" s="59" t="e">
        <f>VLOOKUP(E2117,[1]库存!$B$1:$C$65536,2,FALSE)</f>
        <v>#N/A</v>
      </c>
      <c r="G2117" s="59" t="e">
        <v>#N/A</v>
      </c>
      <c r="H2117" s="89"/>
      <c r="I2117" s="88"/>
      <c r="J2117" s="90"/>
      <c r="K2117" s="61"/>
      <c r="L2117" s="62">
        <v>0</v>
      </c>
      <c r="M2117" s="63">
        <v>0</v>
      </c>
      <c r="N2117" s="64">
        <v>0</v>
      </c>
      <c r="O2117" s="62">
        <v>0</v>
      </c>
      <c r="P2117" s="65">
        <f t="shared" si="138"/>
        <v>0</v>
      </c>
      <c r="Q2117" s="66"/>
      <c r="R2117" s="66"/>
      <c r="S2117" s="66"/>
      <c r="T2117" s="66"/>
      <c r="U2117" s="66"/>
      <c r="V2117" s="66"/>
      <c r="W2117" s="66"/>
      <c r="X2117" s="66"/>
      <c r="Y2117" s="66"/>
      <c r="Z2117" s="66"/>
      <c r="AA2117" s="66"/>
      <c r="AB2117" s="66"/>
      <c r="AC2117" s="66"/>
      <c r="AD2117" s="66"/>
      <c r="AE2117" s="66"/>
      <c r="AF2117" s="66"/>
      <c r="AG2117" s="66"/>
      <c r="AH2117" s="66"/>
      <c r="AI2117" s="66"/>
      <c r="AJ2117" s="66"/>
      <c r="AK2117" s="66"/>
      <c r="AL2117" s="66"/>
      <c r="AM2117" s="66"/>
      <c r="AN2117" s="66"/>
      <c r="AO2117" s="66"/>
      <c r="AP2117" s="66"/>
      <c r="AQ2117" s="66"/>
      <c r="AR2117" s="66"/>
      <c r="AS2117" s="66"/>
      <c r="AT2117" s="66"/>
      <c r="AU2117" s="66"/>
      <c r="AV2117" s="66"/>
      <c r="AW2117" s="66"/>
      <c r="AX2117" s="66"/>
      <c r="AY2117" s="66"/>
      <c r="AZ2117" s="66"/>
      <c r="BA2117" s="66"/>
      <c r="BB2117" s="66"/>
      <c r="BC2117" s="66"/>
      <c r="BD2117" s="66"/>
      <c r="BE2117" s="67"/>
      <c r="BF2117" s="67"/>
      <c r="BG2117" s="68"/>
      <c r="BI2117" s="69">
        <v>0</v>
      </c>
      <c r="BJ2117" s="70">
        <v>0</v>
      </c>
      <c r="BK2117" s="71">
        <v>0</v>
      </c>
      <c r="BL2117" s="71">
        <v>0</v>
      </c>
      <c r="BM2117" s="71">
        <v>0</v>
      </c>
      <c r="BN2117" s="72">
        <v>0</v>
      </c>
      <c r="BO2117" s="151" t="e">
        <f t="shared" si="141"/>
        <v>#DIV/0!</v>
      </c>
      <c r="BP2117" s="151" t="e">
        <f t="shared" si="142"/>
        <v>#DIV/0!</v>
      </c>
      <c r="BQ2117" s="71">
        <v>0</v>
      </c>
      <c r="BR2117" s="71">
        <v>0</v>
      </c>
      <c r="BS2117" s="71">
        <v>0</v>
      </c>
      <c r="BT2117" s="72">
        <v>0</v>
      </c>
      <c r="BU2117" s="151" t="e">
        <f t="shared" si="139"/>
        <v>#DIV/0!</v>
      </c>
      <c r="BV2117" s="151" t="e">
        <f t="shared" si="140"/>
        <v>#DIV/0!</v>
      </c>
    </row>
    <row r="2118" s="1" customFormat="1" ht="30" customHeight="1" spans="1:75 16331:16349">
      <c r="A2118" s="110" t="s">
        <v>211</v>
      </c>
      <c r="B2118" s="111" t="s">
        <v>1237</v>
      </c>
      <c r="C2118" s="112" t="s">
        <v>3341</v>
      </c>
      <c r="D2118" s="264" t="s">
        <v>3342</v>
      </c>
      <c r="E2118" s="232" t="s">
        <v>3324</v>
      </c>
      <c r="F2118" s="113" t="str">
        <f>VLOOKUP(E2118,[1]库存!$B$1:$C$65536,2,FALSE)</f>
        <v>HYEA DAB</v>
      </c>
      <c r="G2118" s="113" t="s">
        <v>3343</v>
      </c>
      <c r="H2118" s="113" t="s">
        <v>3323</v>
      </c>
      <c r="I2118" s="232" t="s">
        <v>3173</v>
      </c>
      <c r="J2118" s="117"/>
      <c r="K2118" s="115"/>
      <c r="L2118" s="116">
        <v>2</v>
      </c>
      <c r="M2118" s="117">
        <v>1200</v>
      </c>
      <c r="N2118" s="114">
        <v>10</v>
      </c>
      <c r="O2118" s="116">
        <v>2</v>
      </c>
      <c r="P2118" s="65">
        <f t="shared" ref="P2118:P2181" si="143">SUM(AG2118:AJ2118)</f>
        <v>0</v>
      </c>
      <c r="Q2118" s="67"/>
      <c r="R2118" s="67"/>
      <c r="S2118" s="67"/>
      <c r="T2118" s="67"/>
      <c r="U2118" s="67"/>
      <c r="V2118" s="67"/>
      <c r="W2118" s="67"/>
      <c r="X2118" s="67"/>
      <c r="Y2118" s="67"/>
      <c r="Z2118" s="67"/>
      <c r="AA2118" s="67"/>
      <c r="AB2118" s="67"/>
      <c r="AC2118" s="67"/>
      <c r="AD2118" s="67"/>
      <c r="AE2118" s="67"/>
      <c r="AF2118" s="67"/>
      <c r="AG2118" s="67"/>
      <c r="AH2118" s="67"/>
      <c r="AI2118" s="67"/>
      <c r="AJ2118" s="67"/>
      <c r="AK2118" s="67"/>
      <c r="AL2118" s="67"/>
      <c r="AM2118" s="67"/>
      <c r="AN2118" s="67"/>
      <c r="AO2118" s="67"/>
      <c r="AP2118" s="67"/>
      <c r="AQ2118" s="67"/>
      <c r="AR2118" s="67"/>
      <c r="AS2118" s="67"/>
      <c r="AT2118" s="67"/>
      <c r="AU2118" s="67"/>
      <c r="AV2118" s="67"/>
      <c r="AW2118" s="67"/>
      <c r="AX2118" s="67"/>
      <c r="AY2118" s="67"/>
      <c r="AZ2118" s="67"/>
      <c r="BA2118" s="67"/>
      <c r="BB2118" s="67"/>
      <c r="BC2118" s="67"/>
      <c r="BD2118" s="67"/>
      <c r="BE2118" s="67"/>
      <c r="BF2118" s="67"/>
      <c r="BG2118" s="118"/>
      <c r="BH2118" s="119"/>
      <c r="BI2118" s="120">
        <v>0</v>
      </c>
      <c r="BJ2118" s="121">
        <v>0</v>
      </c>
      <c r="BK2118" s="122">
        <v>0</v>
      </c>
      <c r="BL2118" s="122">
        <v>0</v>
      </c>
      <c r="BM2118" s="122">
        <v>0</v>
      </c>
      <c r="BN2118" s="123">
        <v>0</v>
      </c>
      <c r="BO2118" s="204" t="e">
        <f t="shared" si="141"/>
        <v>#DIV/0!</v>
      </c>
      <c r="BP2118" s="204" t="e">
        <f t="shared" si="142"/>
        <v>#DIV/0!</v>
      </c>
      <c r="BQ2118" s="122">
        <v>0</v>
      </c>
      <c r="BR2118" s="122">
        <v>0</v>
      </c>
      <c r="BS2118" s="122">
        <v>0</v>
      </c>
      <c r="BT2118" s="123">
        <v>0</v>
      </c>
      <c r="BU2118" s="204" t="e">
        <f t="shared" si="139"/>
        <v>#DIV/0!</v>
      </c>
      <c r="BV2118" s="204" t="e">
        <f t="shared" si="140"/>
        <v>#DIV/0!</v>
      </c>
      <c r="BW2118" s="125"/>
      <c r="XDC2118" s="126"/>
      <c r="XDD2118" s="126"/>
      <c r="XDE2118" s="126"/>
      <c r="XDF2118" s="126"/>
      <c r="XDG2118" s="126"/>
      <c r="XDH2118" s="126"/>
      <c r="XDI2118" s="126"/>
      <c r="XDJ2118" s="126"/>
      <c r="XDK2118" s="126"/>
      <c r="XDL2118" s="126"/>
      <c r="XDM2118" s="126"/>
      <c r="XDN2118" s="126"/>
      <c r="XDO2118" s="126"/>
      <c r="XDP2118" s="126"/>
      <c r="XDQ2118" s="126"/>
      <c r="XDR2118" s="126"/>
      <c r="XDS2118" s="126"/>
      <c r="XDT2118" s="126"/>
      <c r="XDU2118" s="126"/>
    </row>
    <row r="2119" s="1" customFormat="1" ht="30" customHeight="1" spans="1:75 16331:16349">
      <c r="A2119" s="110">
        <v>0</v>
      </c>
      <c r="B2119" s="111">
        <v>0</v>
      </c>
      <c r="C2119" s="112">
        <v>0</v>
      </c>
      <c r="D2119" s="265"/>
      <c r="E2119" s="232"/>
      <c r="F2119" s="113" t="e">
        <f>VLOOKUP(E2119,[1]库存!$B$1:$C$65536,2,FALSE)</f>
        <v>#N/A</v>
      </c>
      <c r="G2119" s="113" t="e">
        <v>#N/A</v>
      </c>
      <c r="H2119" s="233"/>
      <c r="I2119" s="232"/>
      <c r="J2119" s="162"/>
      <c r="K2119" s="115"/>
      <c r="L2119" s="116">
        <v>0</v>
      </c>
      <c r="M2119" s="117">
        <v>0</v>
      </c>
      <c r="N2119" s="114">
        <v>0</v>
      </c>
      <c r="O2119" s="116">
        <v>0</v>
      </c>
      <c r="P2119" s="65">
        <f t="shared" si="143"/>
        <v>0</v>
      </c>
      <c r="Q2119" s="67"/>
      <c r="R2119" s="67"/>
      <c r="S2119" s="67"/>
      <c r="T2119" s="67"/>
      <c r="U2119" s="67"/>
      <c r="V2119" s="67"/>
      <c r="W2119" s="67"/>
      <c r="X2119" s="67"/>
      <c r="Y2119" s="67"/>
      <c r="Z2119" s="67"/>
      <c r="AA2119" s="67"/>
      <c r="AB2119" s="67"/>
      <c r="AC2119" s="67"/>
      <c r="AD2119" s="67"/>
      <c r="AE2119" s="67"/>
      <c r="AF2119" s="67"/>
      <c r="AG2119" s="67"/>
      <c r="AH2119" s="67"/>
      <c r="AI2119" s="67"/>
      <c r="AJ2119" s="67"/>
      <c r="AK2119" s="67"/>
      <c r="AL2119" s="67"/>
      <c r="AM2119" s="67"/>
      <c r="AN2119" s="67"/>
      <c r="AO2119" s="67"/>
      <c r="AP2119" s="67"/>
      <c r="AQ2119" s="67"/>
      <c r="AR2119" s="67"/>
      <c r="AS2119" s="67"/>
      <c r="AT2119" s="67"/>
      <c r="AU2119" s="67"/>
      <c r="AV2119" s="67"/>
      <c r="AW2119" s="67"/>
      <c r="AX2119" s="67"/>
      <c r="AY2119" s="67"/>
      <c r="AZ2119" s="67"/>
      <c r="BA2119" s="67"/>
      <c r="BB2119" s="67"/>
      <c r="BC2119" s="67"/>
      <c r="BD2119" s="67"/>
      <c r="BE2119" s="67"/>
      <c r="BF2119" s="67"/>
      <c r="BG2119" s="118"/>
      <c r="BH2119" s="119"/>
      <c r="BI2119" s="120">
        <v>0</v>
      </c>
      <c r="BJ2119" s="121">
        <v>0</v>
      </c>
      <c r="BK2119" s="122">
        <v>0</v>
      </c>
      <c r="BL2119" s="122">
        <v>0</v>
      </c>
      <c r="BM2119" s="122">
        <v>0</v>
      </c>
      <c r="BN2119" s="123">
        <v>0</v>
      </c>
      <c r="BO2119" s="204" t="e">
        <f t="shared" si="141"/>
        <v>#DIV/0!</v>
      </c>
      <c r="BP2119" s="204" t="e">
        <f t="shared" si="142"/>
        <v>#DIV/0!</v>
      </c>
      <c r="BQ2119" s="122">
        <v>0</v>
      </c>
      <c r="BR2119" s="122">
        <v>0</v>
      </c>
      <c r="BS2119" s="122">
        <v>0</v>
      </c>
      <c r="BT2119" s="123">
        <v>0</v>
      </c>
      <c r="BU2119" s="204" t="e">
        <f t="shared" si="139"/>
        <v>#DIV/0!</v>
      </c>
      <c r="BV2119" s="204" t="e">
        <f t="shared" si="140"/>
        <v>#DIV/0!</v>
      </c>
      <c r="BW2119" s="125"/>
      <c r="XDC2119" s="126"/>
      <c r="XDD2119" s="126"/>
      <c r="XDE2119" s="126"/>
      <c r="XDF2119" s="126"/>
      <c r="XDG2119" s="126"/>
      <c r="XDH2119" s="126"/>
      <c r="XDI2119" s="126"/>
      <c r="XDJ2119" s="126"/>
      <c r="XDK2119" s="126"/>
      <c r="XDL2119" s="126"/>
      <c r="XDM2119" s="126"/>
      <c r="XDN2119" s="126"/>
      <c r="XDO2119" s="126"/>
      <c r="XDP2119" s="126"/>
      <c r="XDQ2119" s="126"/>
      <c r="XDR2119" s="126"/>
      <c r="XDS2119" s="126"/>
      <c r="XDT2119" s="126"/>
      <c r="XDU2119" s="126"/>
    </row>
    <row r="2120" ht="30" customHeight="1" spans="1:75 16331:16349">
      <c r="A2120" s="55" t="s">
        <v>211</v>
      </c>
      <c r="B2120" s="56" t="s">
        <v>1237</v>
      </c>
      <c r="C2120" s="57" t="s">
        <v>3341</v>
      </c>
      <c r="D2120" s="76" t="s">
        <v>3342</v>
      </c>
      <c r="E2120" s="52"/>
      <c r="F2120" s="59" t="e">
        <f>VLOOKUP(E2120,[1]库存!$B$1:$C$65536,2,FALSE)</f>
        <v>#N/A</v>
      </c>
      <c r="G2120" s="59" t="e">
        <v>#N/A</v>
      </c>
      <c r="H2120" s="59" t="s">
        <v>3344</v>
      </c>
      <c r="I2120" s="52" t="s">
        <v>3345</v>
      </c>
      <c r="J2120" s="63"/>
      <c r="K2120" s="61"/>
      <c r="L2120" s="62">
        <v>2</v>
      </c>
      <c r="M2120" s="63">
        <v>1200</v>
      </c>
      <c r="N2120" s="64">
        <v>10</v>
      </c>
      <c r="O2120" s="62">
        <v>2</v>
      </c>
      <c r="P2120" s="65">
        <f t="shared" si="143"/>
        <v>0</v>
      </c>
      <c r="Q2120" s="66"/>
      <c r="R2120" s="66"/>
      <c r="S2120" s="66"/>
      <c r="T2120" s="66"/>
      <c r="U2120" s="66"/>
      <c r="V2120" s="66"/>
      <c r="W2120" s="66"/>
      <c r="X2120" s="66"/>
      <c r="Y2120" s="66"/>
      <c r="Z2120" s="66"/>
      <c r="AA2120" s="66"/>
      <c r="AB2120" s="66"/>
      <c r="AC2120" s="66"/>
      <c r="AD2120" s="66"/>
      <c r="AE2120" s="66"/>
      <c r="AF2120" s="66"/>
      <c r="AG2120" s="66"/>
      <c r="AH2120" s="66"/>
      <c r="AI2120" s="66"/>
      <c r="AJ2120" s="66"/>
      <c r="AK2120" s="66"/>
      <c r="AL2120" s="66"/>
      <c r="AM2120" s="66"/>
      <c r="AN2120" s="66"/>
      <c r="AO2120" s="66"/>
      <c r="AP2120" s="66"/>
      <c r="AQ2120" s="66"/>
      <c r="AR2120" s="66"/>
      <c r="AS2120" s="66"/>
      <c r="AT2120" s="66"/>
      <c r="AU2120" s="66"/>
      <c r="AV2120" s="66"/>
      <c r="AW2120" s="66"/>
      <c r="AX2120" s="66"/>
      <c r="AY2120" s="66"/>
      <c r="AZ2120" s="66"/>
      <c r="BA2120" s="66"/>
      <c r="BB2120" s="66"/>
      <c r="BC2120" s="66"/>
      <c r="BD2120" s="66"/>
      <c r="BE2120" s="67"/>
      <c r="BF2120" s="67"/>
      <c r="BG2120" s="68"/>
      <c r="BI2120" s="69">
        <v>0</v>
      </c>
      <c r="BJ2120" s="70">
        <v>0</v>
      </c>
      <c r="BK2120" s="71">
        <v>0</v>
      </c>
      <c r="BL2120" s="71">
        <v>0</v>
      </c>
      <c r="BM2120" s="71">
        <v>0</v>
      </c>
      <c r="BN2120" s="72">
        <v>0</v>
      </c>
      <c r="BO2120" s="151" t="e">
        <f t="shared" si="141"/>
        <v>#DIV/0!</v>
      </c>
      <c r="BP2120" s="151" t="e">
        <f t="shared" si="142"/>
        <v>#DIV/0!</v>
      </c>
      <c r="BQ2120" s="71">
        <v>0</v>
      </c>
      <c r="BR2120" s="71">
        <v>0</v>
      </c>
      <c r="BS2120" s="71">
        <v>0</v>
      </c>
      <c r="BT2120" s="72">
        <v>0</v>
      </c>
      <c r="BU2120" s="151" t="e">
        <f t="shared" si="139"/>
        <v>#DIV/0!</v>
      </c>
      <c r="BV2120" s="151" t="e">
        <f t="shared" si="140"/>
        <v>#DIV/0!</v>
      </c>
    </row>
    <row r="2121" ht="30" customHeight="1" spans="1:75 16331:16349">
      <c r="A2121" s="55">
        <v>0</v>
      </c>
      <c r="B2121" s="56">
        <v>0</v>
      </c>
      <c r="C2121" s="57">
        <v>0</v>
      </c>
      <c r="D2121" s="78"/>
      <c r="E2121" s="52"/>
      <c r="F2121" s="59" t="e">
        <f>VLOOKUP(E2121,[1]库存!$B$1:$C$65536,2,FALSE)</f>
        <v>#N/A</v>
      </c>
      <c r="G2121" s="59" t="e">
        <v>#N/A</v>
      </c>
      <c r="H2121" s="152"/>
      <c r="I2121" s="52"/>
      <c r="J2121" s="87"/>
      <c r="K2121" s="61"/>
      <c r="L2121" s="62">
        <v>0</v>
      </c>
      <c r="M2121" s="63">
        <v>0</v>
      </c>
      <c r="N2121" s="64">
        <v>0</v>
      </c>
      <c r="O2121" s="62">
        <v>0</v>
      </c>
      <c r="P2121" s="65">
        <f t="shared" si="143"/>
        <v>0</v>
      </c>
      <c r="Q2121" s="66"/>
      <c r="R2121" s="66"/>
      <c r="S2121" s="66"/>
      <c r="T2121" s="66"/>
      <c r="U2121" s="66"/>
      <c r="V2121" s="66"/>
      <c r="W2121" s="66"/>
      <c r="X2121" s="66"/>
      <c r="Y2121" s="66"/>
      <c r="Z2121" s="66"/>
      <c r="AA2121" s="66"/>
      <c r="AB2121" s="66"/>
      <c r="AC2121" s="66"/>
      <c r="AD2121" s="66"/>
      <c r="AE2121" s="66"/>
      <c r="AF2121" s="66"/>
      <c r="AG2121" s="66"/>
      <c r="AH2121" s="66"/>
      <c r="AI2121" s="66"/>
      <c r="AJ2121" s="66"/>
      <c r="AK2121" s="66"/>
      <c r="AL2121" s="66"/>
      <c r="AM2121" s="66"/>
      <c r="AN2121" s="66"/>
      <c r="AO2121" s="66"/>
      <c r="AP2121" s="66"/>
      <c r="AQ2121" s="66"/>
      <c r="AR2121" s="66"/>
      <c r="AS2121" s="66"/>
      <c r="AT2121" s="66"/>
      <c r="AU2121" s="66"/>
      <c r="AV2121" s="66"/>
      <c r="AW2121" s="66"/>
      <c r="AX2121" s="66"/>
      <c r="AY2121" s="66"/>
      <c r="AZ2121" s="66"/>
      <c r="BA2121" s="66"/>
      <c r="BB2121" s="66"/>
      <c r="BC2121" s="66"/>
      <c r="BD2121" s="66"/>
      <c r="BE2121" s="67"/>
      <c r="BF2121" s="67"/>
      <c r="BG2121" s="68"/>
      <c r="BI2121" s="69">
        <v>0</v>
      </c>
      <c r="BJ2121" s="70">
        <v>0</v>
      </c>
      <c r="BK2121" s="71">
        <v>0</v>
      </c>
      <c r="BL2121" s="71">
        <v>0</v>
      </c>
      <c r="BM2121" s="71">
        <v>0</v>
      </c>
      <c r="BN2121" s="72">
        <v>0</v>
      </c>
      <c r="BO2121" s="151" t="e">
        <f t="shared" si="141"/>
        <v>#DIV/0!</v>
      </c>
      <c r="BP2121" s="151" t="e">
        <f t="shared" si="142"/>
        <v>#DIV/0!</v>
      </c>
      <c r="BQ2121" s="71">
        <v>0</v>
      </c>
      <c r="BR2121" s="71">
        <v>0</v>
      </c>
      <c r="BS2121" s="71">
        <v>0</v>
      </c>
      <c r="BT2121" s="72">
        <v>0</v>
      </c>
      <c r="BU2121" s="151" t="e">
        <f t="shared" si="139"/>
        <v>#DIV/0!</v>
      </c>
      <c r="BV2121" s="151" t="e">
        <f t="shared" si="140"/>
        <v>#DIV/0!</v>
      </c>
    </row>
    <row r="2122" ht="30" customHeight="1" spans="1:75 16331:16349">
      <c r="A2122" s="55" t="s">
        <v>211</v>
      </c>
      <c r="B2122" s="56" t="s">
        <v>1237</v>
      </c>
      <c r="C2122" s="57" t="s">
        <v>3341</v>
      </c>
      <c r="D2122" s="76" t="s">
        <v>3342</v>
      </c>
      <c r="E2122" s="59" t="s">
        <v>3346</v>
      </c>
      <c r="F2122" s="59" t="str">
        <f>VLOOKUP(E2122,[1]库存!$B$1:$C$65536,2,FALSE)</f>
        <v>UGE DAB</v>
      </c>
      <c r="G2122" s="59" t="s">
        <v>3347</v>
      </c>
      <c r="H2122" s="59" t="s">
        <v>3348</v>
      </c>
      <c r="I2122" s="59" t="s">
        <v>3349</v>
      </c>
      <c r="J2122" s="63"/>
      <c r="K2122" s="61"/>
      <c r="L2122" s="62">
        <v>0</v>
      </c>
      <c r="M2122" s="63">
        <v>1000</v>
      </c>
      <c r="N2122" s="64">
        <v>11</v>
      </c>
      <c r="O2122" s="62">
        <v>2</v>
      </c>
      <c r="P2122" s="65">
        <f t="shared" si="143"/>
        <v>0</v>
      </c>
      <c r="Q2122" s="103"/>
      <c r="R2122" s="67"/>
      <c r="S2122" s="103"/>
      <c r="T2122" s="67"/>
      <c r="U2122" s="103"/>
      <c r="V2122" s="67"/>
      <c r="W2122" s="103"/>
      <c r="X2122" s="67"/>
      <c r="Y2122" s="103"/>
      <c r="Z2122" s="67"/>
      <c r="AA2122" s="103"/>
      <c r="AB2122" s="67"/>
      <c r="AC2122" s="103"/>
      <c r="AD2122" s="67"/>
      <c r="AE2122" s="103"/>
      <c r="AF2122" s="67"/>
      <c r="AG2122" s="103"/>
      <c r="AH2122" s="67"/>
      <c r="AI2122" s="103"/>
      <c r="AJ2122" s="67"/>
      <c r="AK2122" s="103"/>
      <c r="AL2122" s="67"/>
      <c r="AM2122" s="103"/>
      <c r="AN2122" s="67"/>
      <c r="AO2122" s="103"/>
      <c r="AP2122" s="67"/>
      <c r="AQ2122" s="103"/>
      <c r="AR2122" s="67"/>
      <c r="AS2122" s="103"/>
      <c r="AT2122" s="67"/>
      <c r="AU2122" s="103"/>
      <c r="AV2122" s="67"/>
      <c r="AW2122" s="103"/>
      <c r="AX2122" s="67"/>
      <c r="AY2122" s="103"/>
      <c r="AZ2122" s="67"/>
      <c r="BA2122" s="103"/>
      <c r="BB2122" s="67"/>
      <c r="BC2122" s="103"/>
      <c r="BD2122" s="67"/>
      <c r="BE2122" s="67"/>
      <c r="BF2122" s="67"/>
      <c r="BG2122" s="68"/>
      <c r="BI2122" s="69">
        <v>0</v>
      </c>
      <c r="BJ2122" s="70">
        <v>0</v>
      </c>
      <c r="BK2122" s="71">
        <v>0</v>
      </c>
      <c r="BL2122" s="71">
        <v>0</v>
      </c>
      <c r="BM2122" s="71">
        <v>0</v>
      </c>
      <c r="BN2122" s="72">
        <v>0</v>
      </c>
      <c r="BO2122" s="151" t="e">
        <f t="shared" si="141"/>
        <v>#DIV/0!</v>
      </c>
      <c r="BP2122" s="151" t="e">
        <f t="shared" si="142"/>
        <v>#DIV/0!</v>
      </c>
      <c r="BQ2122" s="71">
        <v>0</v>
      </c>
      <c r="BR2122" s="71">
        <v>0</v>
      </c>
      <c r="BS2122" s="71">
        <v>0</v>
      </c>
      <c r="BT2122" s="72">
        <v>0</v>
      </c>
      <c r="BU2122" s="151" t="e">
        <f t="shared" si="139"/>
        <v>#DIV/0!</v>
      </c>
      <c r="BV2122" s="151" t="e">
        <f t="shared" si="140"/>
        <v>#DIV/0!</v>
      </c>
    </row>
    <row r="2123" ht="30" customHeight="1" spans="1:75 16331:16349">
      <c r="A2123" s="55">
        <v>0</v>
      </c>
      <c r="B2123" s="56">
        <v>0</v>
      </c>
      <c r="C2123" s="57">
        <v>0</v>
      </c>
      <c r="D2123" s="78"/>
      <c r="E2123" s="74"/>
      <c r="F2123" s="59" t="e">
        <f>VLOOKUP(E2123,[1]库存!$B$1:$C$65536,2,FALSE)</f>
        <v>#N/A</v>
      </c>
      <c r="G2123" s="59" t="e">
        <v>#N/A</v>
      </c>
      <c r="H2123" s="74"/>
      <c r="I2123" s="74"/>
      <c r="J2123" s="87"/>
      <c r="K2123" s="61"/>
      <c r="L2123" s="62">
        <v>0</v>
      </c>
      <c r="M2123" s="63">
        <v>0</v>
      </c>
      <c r="N2123" s="64">
        <v>0</v>
      </c>
      <c r="O2123" s="62">
        <v>0</v>
      </c>
      <c r="P2123" s="65">
        <f t="shared" si="143"/>
        <v>0</v>
      </c>
      <c r="Q2123" s="66"/>
      <c r="R2123" s="66"/>
      <c r="S2123" s="66"/>
      <c r="T2123" s="66"/>
      <c r="U2123" s="66"/>
      <c r="V2123" s="66"/>
      <c r="W2123" s="66"/>
      <c r="X2123" s="66"/>
      <c r="Y2123" s="66"/>
      <c r="Z2123" s="66"/>
      <c r="AA2123" s="66"/>
      <c r="AB2123" s="66"/>
      <c r="AC2123" s="66"/>
      <c r="AD2123" s="66"/>
      <c r="AE2123" s="66"/>
      <c r="AF2123" s="66"/>
      <c r="AG2123" s="66"/>
      <c r="AH2123" s="66"/>
      <c r="AI2123" s="66"/>
      <c r="AJ2123" s="66"/>
      <c r="AK2123" s="66"/>
      <c r="AL2123" s="66"/>
      <c r="AM2123" s="66"/>
      <c r="AN2123" s="66"/>
      <c r="AO2123" s="66"/>
      <c r="AP2123" s="66"/>
      <c r="AQ2123" s="66"/>
      <c r="AR2123" s="66"/>
      <c r="AS2123" s="66"/>
      <c r="AT2123" s="66"/>
      <c r="AU2123" s="66"/>
      <c r="AV2123" s="66"/>
      <c r="AW2123" s="66"/>
      <c r="AX2123" s="66"/>
      <c r="AY2123" s="66"/>
      <c r="AZ2123" s="66"/>
      <c r="BA2123" s="66"/>
      <c r="BB2123" s="66"/>
      <c r="BC2123" s="66"/>
      <c r="BD2123" s="66"/>
      <c r="BE2123" s="67"/>
      <c r="BF2123" s="67"/>
      <c r="BG2123" s="68"/>
      <c r="BI2123" s="69">
        <v>0</v>
      </c>
      <c r="BJ2123" s="70">
        <v>0</v>
      </c>
      <c r="BK2123" s="71">
        <v>0</v>
      </c>
      <c r="BL2123" s="71">
        <v>0</v>
      </c>
      <c r="BM2123" s="71">
        <v>0</v>
      </c>
      <c r="BN2123" s="72">
        <v>0</v>
      </c>
      <c r="BO2123" s="151" t="e">
        <f t="shared" si="141"/>
        <v>#DIV/0!</v>
      </c>
      <c r="BP2123" s="151" t="e">
        <f t="shared" si="142"/>
        <v>#DIV/0!</v>
      </c>
      <c r="BQ2123" s="71">
        <v>0</v>
      </c>
      <c r="BR2123" s="71">
        <v>0</v>
      </c>
      <c r="BS2123" s="71">
        <v>0</v>
      </c>
      <c r="BT2123" s="72">
        <v>0</v>
      </c>
      <c r="BU2123" s="151" t="e">
        <f t="shared" si="139"/>
        <v>#DIV/0!</v>
      </c>
      <c r="BV2123" s="151" t="e">
        <f t="shared" si="140"/>
        <v>#DIV/0!</v>
      </c>
    </row>
    <row r="2124" ht="30" customHeight="1" spans="1:75 16331:16349">
      <c r="A2124" s="55">
        <v>0</v>
      </c>
      <c r="B2124" s="56" t="s">
        <v>1237</v>
      </c>
      <c r="C2124" s="57" t="s">
        <v>3341</v>
      </c>
      <c r="D2124" s="76" t="s">
        <v>3342</v>
      </c>
      <c r="E2124" s="52"/>
      <c r="F2124" s="59" t="e">
        <f>VLOOKUP(E2124,[1]库存!$B$1:$C$65536,2,FALSE)</f>
        <v>#N/A</v>
      </c>
      <c r="G2124" s="59" t="e">
        <v>#N/A</v>
      </c>
      <c r="H2124" s="59" t="s">
        <v>3350</v>
      </c>
      <c r="I2124" s="52" t="s">
        <v>3351</v>
      </c>
      <c r="J2124" s="63"/>
      <c r="K2124" s="61"/>
      <c r="L2124" s="62">
        <v>2</v>
      </c>
      <c r="M2124" s="63">
        <v>1100</v>
      </c>
      <c r="N2124" s="64">
        <v>10</v>
      </c>
      <c r="O2124" s="62">
        <v>2</v>
      </c>
      <c r="P2124" s="65">
        <f t="shared" si="143"/>
        <v>0</v>
      </c>
      <c r="Q2124" s="66"/>
      <c r="R2124" s="66"/>
      <c r="S2124" s="66"/>
      <c r="T2124" s="66"/>
      <c r="U2124" s="66"/>
      <c r="V2124" s="66"/>
      <c r="W2124" s="66"/>
      <c r="X2124" s="66"/>
      <c r="Y2124" s="66"/>
      <c r="Z2124" s="66"/>
      <c r="AA2124" s="66"/>
      <c r="AB2124" s="66"/>
      <c r="AC2124" s="66"/>
      <c r="AD2124" s="66"/>
      <c r="AE2124" s="66"/>
      <c r="AF2124" s="66"/>
      <c r="AG2124" s="66"/>
      <c r="AH2124" s="66"/>
      <c r="AI2124" s="66"/>
      <c r="AJ2124" s="66"/>
      <c r="AK2124" s="66"/>
      <c r="AL2124" s="66"/>
      <c r="AM2124" s="66"/>
      <c r="AN2124" s="66"/>
      <c r="AO2124" s="66"/>
      <c r="AP2124" s="66"/>
      <c r="AQ2124" s="66"/>
      <c r="AR2124" s="66"/>
      <c r="AS2124" s="66"/>
      <c r="AT2124" s="66"/>
      <c r="AU2124" s="66"/>
      <c r="AV2124" s="66"/>
      <c r="AW2124" s="66"/>
      <c r="AX2124" s="66"/>
      <c r="AY2124" s="66"/>
      <c r="AZ2124" s="66"/>
      <c r="BA2124" s="66"/>
      <c r="BB2124" s="66"/>
      <c r="BC2124" s="66"/>
      <c r="BD2124" s="66"/>
      <c r="BE2124" s="67"/>
      <c r="BF2124" s="67"/>
      <c r="BG2124" s="68"/>
      <c r="BI2124" s="69">
        <v>0</v>
      </c>
      <c r="BJ2124" s="70">
        <v>0</v>
      </c>
      <c r="BK2124" s="71">
        <v>0</v>
      </c>
      <c r="BL2124" s="71">
        <v>0</v>
      </c>
      <c r="BM2124" s="71">
        <v>0</v>
      </c>
      <c r="BN2124" s="72">
        <v>0</v>
      </c>
      <c r="BO2124" s="151" t="e">
        <f t="shared" si="141"/>
        <v>#DIV/0!</v>
      </c>
      <c r="BP2124" s="151" t="e">
        <f t="shared" si="142"/>
        <v>#DIV/0!</v>
      </c>
      <c r="BQ2124" s="71">
        <v>0</v>
      </c>
      <c r="BR2124" s="71">
        <v>0</v>
      </c>
      <c r="BS2124" s="71">
        <v>0</v>
      </c>
      <c r="BT2124" s="72">
        <v>0</v>
      </c>
      <c r="BU2124" s="151" t="e">
        <f t="shared" si="139"/>
        <v>#DIV/0!</v>
      </c>
      <c r="BV2124" s="151" t="e">
        <f t="shared" si="140"/>
        <v>#DIV/0!</v>
      </c>
    </row>
    <row r="2125" ht="30" customHeight="1" spans="1:75 16331:16349">
      <c r="A2125" s="55">
        <v>0</v>
      </c>
      <c r="B2125" s="56">
        <v>0</v>
      </c>
      <c r="C2125" s="57">
        <v>0</v>
      </c>
      <c r="D2125" s="78"/>
      <c r="E2125" s="52"/>
      <c r="F2125" s="59" t="e">
        <f>VLOOKUP(E2125,[1]库存!$B$1:$C$65536,2,FALSE)</f>
        <v>#N/A</v>
      </c>
      <c r="G2125" s="59" t="e">
        <v>#N/A</v>
      </c>
      <c r="H2125" s="152"/>
      <c r="I2125" s="52"/>
      <c r="J2125" s="87"/>
      <c r="K2125" s="61"/>
      <c r="L2125" s="62">
        <v>0</v>
      </c>
      <c r="M2125" s="63">
        <v>0</v>
      </c>
      <c r="N2125" s="64">
        <v>0</v>
      </c>
      <c r="O2125" s="62">
        <v>0</v>
      </c>
      <c r="P2125" s="65">
        <f t="shared" si="143"/>
        <v>0</v>
      </c>
      <c r="Q2125" s="66"/>
      <c r="R2125" s="66"/>
      <c r="S2125" s="66"/>
      <c r="T2125" s="66"/>
      <c r="U2125" s="66"/>
      <c r="V2125" s="66"/>
      <c r="W2125" s="66"/>
      <c r="X2125" s="66"/>
      <c r="Y2125" s="66"/>
      <c r="Z2125" s="66"/>
      <c r="AA2125" s="66"/>
      <c r="AB2125" s="66"/>
      <c r="AC2125" s="66"/>
      <c r="AD2125" s="66"/>
      <c r="AE2125" s="66"/>
      <c r="AF2125" s="66"/>
      <c r="AG2125" s="66"/>
      <c r="AH2125" s="66"/>
      <c r="AI2125" s="66"/>
      <c r="AJ2125" s="66"/>
      <c r="AK2125" s="66"/>
      <c r="AL2125" s="66"/>
      <c r="AM2125" s="66"/>
      <c r="AN2125" s="66"/>
      <c r="AO2125" s="66"/>
      <c r="AP2125" s="66"/>
      <c r="AQ2125" s="66"/>
      <c r="AR2125" s="66"/>
      <c r="AS2125" s="66"/>
      <c r="AT2125" s="66"/>
      <c r="AU2125" s="66"/>
      <c r="AV2125" s="66"/>
      <c r="AW2125" s="66"/>
      <c r="AX2125" s="66"/>
      <c r="AY2125" s="66"/>
      <c r="AZ2125" s="66"/>
      <c r="BA2125" s="66"/>
      <c r="BB2125" s="66"/>
      <c r="BC2125" s="66"/>
      <c r="BD2125" s="66"/>
      <c r="BE2125" s="67"/>
      <c r="BF2125" s="67"/>
      <c r="BG2125" s="68"/>
      <c r="BI2125" s="69">
        <v>0</v>
      </c>
      <c r="BJ2125" s="70">
        <v>0</v>
      </c>
      <c r="BK2125" s="71">
        <v>0</v>
      </c>
      <c r="BL2125" s="71">
        <v>0</v>
      </c>
      <c r="BM2125" s="71">
        <v>0</v>
      </c>
      <c r="BN2125" s="72">
        <v>0</v>
      </c>
      <c r="BO2125" s="151" t="e">
        <f t="shared" si="141"/>
        <v>#DIV/0!</v>
      </c>
      <c r="BP2125" s="151" t="e">
        <f t="shared" si="142"/>
        <v>#DIV/0!</v>
      </c>
      <c r="BQ2125" s="71">
        <v>0</v>
      </c>
      <c r="BR2125" s="71">
        <v>0</v>
      </c>
      <c r="BS2125" s="71">
        <v>0</v>
      </c>
      <c r="BT2125" s="72">
        <v>0</v>
      </c>
      <c r="BU2125" s="151" t="e">
        <f t="shared" si="139"/>
        <v>#DIV/0!</v>
      </c>
      <c r="BV2125" s="151" t="e">
        <f t="shared" si="140"/>
        <v>#DIV/0!</v>
      </c>
    </row>
    <row r="2126" ht="30" customHeight="1" spans="1:75 16331:16349">
      <c r="A2126" s="55">
        <v>0</v>
      </c>
      <c r="B2126" s="56" t="s">
        <v>1237</v>
      </c>
      <c r="C2126" s="57" t="s">
        <v>3341</v>
      </c>
      <c r="D2126" s="76" t="s">
        <v>3342</v>
      </c>
      <c r="E2126" s="52"/>
      <c r="F2126" s="59" t="e">
        <f>VLOOKUP(E2126,[1]库存!$B$1:$C$65536,2,FALSE)</f>
        <v>#N/A</v>
      </c>
      <c r="G2126" s="59" t="e">
        <v>#N/A</v>
      </c>
      <c r="H2126" s="59" t="s">
        <v>3352</v>
      </c>
      <c r="I2126" s="52" t="s">
        <v>3353</v>
      </c>
      <c r="J2126" s="63"/>
      <c r="K2126" s="61"/>
      <c r="L2126" s="62">
        <v>2</v>
      </c>
      <c r="M2126" s="63">
        <v>1100</v>
      </c>
      <c r="N2126" s="64">
        <v>10</v>
      </c>
      <c r="O2126" s="62">
        <v>2</v>
      </c>
      <c r="P2126" s="65">
        <f t="shared" si="143"/>
        <v>0</v>
      </c>
      <c r="Q2126" s="66"/>
      <c r="R2126" s="66"/>
      <c r="S2126" s="66"/>
      <c r="T2126" s="66"/>
      <c r="U2126" s="66"/>
      <c r="V2126" s="66"/>
      <c r="W2126" s="66"/>
      <c r="X2126" s="66"/>
      <c r="Y2126" s="66"/>
      <c r="Z2126" s="66"/>
      <c r="AA2126" s="66"/>
      <c r="AB2126" s="66"/>
      <c r="AC2126" s="66"/>
      <c r="AD2126" s="66"/>
      <c r="AE2126" s="66"/>
      <c r="AF2126" s="66"/>
      <c r="AG2126" s="66"/>
      <c r="AH2126" s="66"/>
      <c r="AI2126" s="66"/>
      <c r="AJ2126" s="66"/>
      <c r="AK2126" s="66"/>
      <c r="AL2126" s="66"/>
      <c r="AM2126" s="66"/>
      <c r="AN2126" s="66"/>
      <c r="AO2126" s="66"/>
      <c r="AP2126" s="66"/>
      <c r="AQ2126" s="66"/>
      <c r="AR2126" s="66"/>
      <c r="AS2126" s="66"/>
      <c r="AT2126" s="66"/>
      <c r="AU2126" s="66"/>
      <c r="AV2126" s="66"/>
      <c r="AW2126" s="66"/>
      <c r="AX2126" s="66"/>
      <c r="AY2126" s="66"/>
      <c r="AZ2126" s="66"/>
      <c r="BA2126" s="66"/>
      <c r="BB2126" s="66"/>
      <c r="BC2126" s="66"/>
      <c r="BD2126" s="66"/>
      <c r="BE2126" s="67"/>
      <c r="BF2126" s="67"/>
      <c r="BG2126" s="68"/>
      <c r="BI2126" s="69">
        <v>0</v>
      </c>
      <c r="BJ2126" s="70">
        <v>0</v>
      </c>
      <c r="BK2126" s="71">
        <v>0</v>
      </c>
      <c r="BL2126" s="71">
        <v>0</v>
      </c>
      <c r="BM2126" s="71">
        <v>0</v>
      </c>
      <c r="BN2126" s="72">
        <v>0</v>
      </c>
      <c r="BO2126" s="151" t="e">
        <f t="shared" si="141"/>
        <v>#DIV/0!</v>
      </c>
      <c r="BP2126" s="151" t="e">
        <f t="shared" si="142"/>
        <v>#DIV/0!</v>
      </c>
      <c r="BQ2126" s="71">
        <v>0</v>
      </c>
      <c r="BR2126" s="71">
        <v>0</v>
      </c>
      <c r="BS2126" s="71">
        <v>0</v>
      </c>
      <c r="BT2126" s="72">
        <v>0</v>
      </c>
      <c r="BU2126" s="151" t="e">
        <f t="shared" si="139"/>
        <v>#DIV/0!</v>
      </c>
      <c r="BV2126" s="151" t="e">
        <f t="shared" si="140"/>
        <v>#DIV/0!</v>
      </c>
    </row>
    <row r="2127" ht="30" customHeight="1" spans="1:75 16331:16349">
      <c r="A2127" s="55">
        <v>0</v>
      </c>
      <c r="B2127" s="56">
        <v>0</v>
      </c>
      <c r="C2127" s="57">
        <v>0</v>
      </c>
      <c r="D2127" s="78"/>
      <c r="E2127" s="52"/>
      <c r="F2127" s="59" t="e">
        <f>VLOOKUP(E2127,[1]库存!$B$1:$C$65536,2,FALSE)</f>
        <v>#N/A</v>
      </c>
      <c r="G2127" s="59" t="e">
        <v>#N/A</v>
      </c>
      <c r="H2127" s="152"/>
      <c r="I2127" s="52"/>
      <c r="J2127" s="87"/>
      <c r="K2127" s="61"/>
      <c r="L2127" s="62">
        <v>0</v>
      </c>
      <c r="M2127" s="63">
        <v>0</v>
      </c>
      <c r="N2127" s="64">
        <v>0</v>
      </c>
      <c r="O2127" s="62">
        <v>0</v>
      </c>
      <c r="P2127" s="65">
        <f t="shared" si="143"/>
        <v>0</v>
      </c>
      <c r="Q2127" s="66"/>
      <c r="R2127" s="66"/>
      <c r="S2127" s="66"/>
      <c r="T2127" s="66"/>
      <c r="U2127" s="66"/>
      <c r="V2127" s="66"/>
      <c r="W2127" s="66"/>
      <c r="X2127" s="66"/>
      <c r="Y2127" s="66"/>
      <c r="Z2127" s="66"/>
      <c r="AA2127" s="66"/>
      <c r="AB2127" s="66"/>
      <c r="AC2127" s="66"/>
      <c r="AD2127" s="66"/>
      <c r="AE2127" s="66"/>
      <c r="AF2127" s="66"/>
      <c r="AG2127" s="66"/>
      <c r="AH2127" s="66"/>
      <c r="AI2127" s="66"/>
      <c r="AJ2127" s="66"/>
      <c r="AK2127" s="66"/>
      <c r="AL2127" s="66"/>
      <c r="AM2127" s="66"/>
      <c r="AN2127" s="66"/>
      <c r="AO2127" s="66"/>
      <c r="AP2127" s="66"/>
      <c r="AQ2127" s="66"/>
      <c r="AR2127" s="66"/>
      <c r="AS2127" s="66"/>
      <c r="AT2127" s="66"/>
      <c r="AU2127" s="66"/>
      <c r="AV2127" s="66"/>
      <c r="AW2127" s="66"/>
      <c r="AX2127" s="66"/>
      <c r="AY2127" s="66"/>
      <c r="AZ2127" s="66"/>
      <c r="BA2127" s="66"/>
      <c r="BB2127" s="66"/>
      <c r="BC2127" s="66"/>
      <c r="BD2127" s="66"/>
      <c r="BE2127" s="67"/>
      <c r="BF2127" s="67"/>
      <c r="BG2127" s="68"/>
      <c r="BI2127" s="69">
        <v>0</v>
      </c>
      <c r="BJ2127" s="70">
        <v>0</v>
      </c>
      <c r="BK2127" s="71">
        <v>0</v>
      </c>
      <c r="BL2127" s="71">
        <v>0</v>
      </c>
      <c r="BM2127" s="71">
        <v>0</v>
      </c>
      <c r="BN2127" s="72">
        <v>0</v>
      </c>
      <c r="BO2127" s="151" t="e">
        <f t="shared" si="141"/>
        <v>#DIV/0!</v>
      </c>
      <c r="BP2127" s="151" t="e">
        <f t="shared" si="142"/>
        <v>#DIV/0!</v>
      </c>
      <c r="BQ2127" s="71">
        <v>0</v>
      </c>
      <c r="BR2127" s="71">
        <v>0</v>
      </c>
      <c r="BS2127" s="71">
        <v>0</v>
      </c>
      <c r="BT2127" s="72">
        <v>0</v>
      </c>
      <c r="BU2127" s="151" t="e">
        <f t="shared" si="139"/>
        <v>#DIV/0!</v>
      </c>
      <c r="BV2127" s="151" t="e">
        <f t="shared" si="140"/>
        <v>#DIV/0!</v>
      </c>
    </row>
    <row r="2128" ht="30" customHeight="1" spans="1:75 16331:16349">
      <c r="A2128" s="55">
        <v>0</v>
      </c>
      <c r="B2128" s="56" t="s">
        <v>1237</v>
      </c>
      <c r="C2128" s="57" t="s">
        <v>3341</v>
      </c>
      <c r="D2128" s="76" t="s">
        <v>3342</v>
      </c>
      <c r="E2128" s="52"/>
      <c r="F2128" s="59" t="e">
        <f>VLOOKUP(E2128,[1]库存!$B$1:$C$65536,2,FALSE)</f>
        <v>#N/A</v>
      </c>
      <c r="G2128" s="59" t="e">
        <v>#N/A</v>
      </c>
      <c r="H2128" s="59" t="s">
        <v>3354</v>
      </c>
      <c r="I2128" s="52" t="s">
        <v>3355</v>
      </c>
      <c r="J2128" s="63"/>
      <c r="K2128" s="61"/>
      <c r="L2128" s="62">
        <v>2</v>
      </c>
      <c r="M2128" s="63">
        <v>1100</v>
      </c>
      <c r="N2128" s="64">
        <v>10</v>
      </c>
      <c r="O2128" s="62">
        <v>2</v>
      </c>
      <c r="P2128" s="65">
        <f t="shared" si="143"/>
        <v>0</v>
      </c>
      <c r="Q2128" s="66"/>
      <c r="R2128" s="66"/>
      <c r="S2128" s="66"/>
      <c r="T2128" s="66"/>
      <c r="U2128" s="66"/>
      <c r="V2128" s="66"/>
      <c r="W2128" s="66"/>
      <c r="X2128" s="66"/>
      <c r="Y2128" s="66"/>
      <c r="Z2128" s="66"/>
      <c r="AA2128" s="66"/>
      <c r="AB2128" s="66"/>
      <c r="AC2128" s="66"/>
      <c r="AD2128" s="66"/>
      <c r="AE2128" s="66"/>
      <c r="AF2128" s="66"/>
      <c r="AG2128" s="66"/>
      <c r="AH2128" s="66"/>
      <c r="AI2128" s="66"/>
      <c r="AJ2128" s="66"/>
      <c r="AK2128" s="66"/>
      <c r="AL2128" s="66"/>
      <c r="AM2128" s="66"/>
      <c r="AN2128" s="66"/>
      <c r="AO2128" s="66"/>
      <c r="AP2128" s="66"/>
      <c r="AQ2128" s="66"/>
      <c r="AR2128" s="66"/>
      <c r="AS2128" s="66"/>
      <c r="AT2128" s="66"/>
      <c r="AU2128" s="66"/>
      <c r="AV2128" s="66"/>
      <c r="AW2128" s="66"/>
      <c r="AX2128" s="66"/>
      <c r="AY2128" s="66"/>
      <c r="AZ2128" s="66"/>
      <c r="BA2128" s="66"/>
      <c r="BB2128" s="66"/>
      <c r="BC2128" s="66"/>
      <c r="BD2128" s="66"/>
      <c r="BE2128" s="67"/>
      <c r="BF2128" s="67"/>
      <c r="BG2128" s="68"/>
      <c r="BI2128" s="69">
        <v>0</v>
      </c>
      <c r="BJ2128" s="70">
        <v>0</v>
      </c>
      <c r="BK2128" s="71">
        <v>0</v>
      </c>
      <c r="BL2128" s="71">
        <v>0</v>
      </c>
      <c r="BM2128" s="71">
        <v>0</v>
      </c>
      <c r="BN2128" s="72">
        <v>0</v>
      </c>
      <c r="BO2128" s="151" t="e">
        <f t="shared" si="141"/>
        <v>#DIV/0!</v>
      </c>
      <c r="BP2128" s="151" t="e">
        <f t="shared" si="142"/>
        <v>#DIV/0!</v>
      </c>
      <c r="BQ2128" s="71">
        <v>0</v>
      </c>
      <c r="BR2128" s="71">
        <v>0</v>
      </c>
      <c r="BS2128" s="71">
        <v>0</v>
      </c>
      <c r="BT2128" s="72">
        <v>0</v>
      </c>
      <c r="BU2128" s="151" t="e">
        <f t="shared" si="139"/>
        <v>#DIV/0!</v>
      </c>
      <c r="BV2128" s="151" t="e">
        <f t="shared" si="140"/>
        <v>#DIV/0!</v>
      </c>
    </row>
    <row r="2129" ht="30" customHeight="1" spans="1:74">
      <c r="A2129" s="55">
        <v>0</v>
      </c>
      <c r="B2129" s="56">
        <v>0</v>
      </c>
      <c r="C2129" s="57">
        <v>0</v>
      </c>
      <c r="D2129" s="78"/>
      <c r="E2129" s="52"/>
      <c r="F2129" s="59" t="e">
        <f>VLOOKUP(E2129,[1]库存!$B$1:$C$65536,2,FALSE)</f>
        <v>#N/A</v>
      </c>
      <c r="G2129" s="59" t="e">
        <v>#N/A</v>
      </c>
      <c r="H2129" s="152"/>
      <c r="I2129" s="52"/>
      <c r="J2129" s="87"/>
      <c r="K2129" s="61"/>
      <c r="L2129" s="62">
        <v>0</v>
      </c>
      <c r="M2129" s="63">
        <v>0</v>
      </c>
      <c r="N2129" s="64">
        <v>0</v>
      </c>
      <c r="O2129" s="62">
        <v>0</v>
      </c>
      <c r="P2129" s="65">
        <f t="shared" si="143"/>
        <v>0</v>
      </c>
      <c r="Q2129" s="66"/>
      <c r="R2129" s="66"/>
      <c r="S2129" s="66"/>
      <c r="T2129" s="66"/>
      <c r="U2129" s="66"/>
      <c r="V2129" s="66"/>
      <c r="W2129" s="66"/>
      <c r="X2129" s="66"/>
      <c r="Y2129" s="66"/>
      <c r="Z2129" s="66"/>
      <c r="AA2129" s="66"/>
      <c r="AB2129" s="66"/>
      <c r="AC2129" s="66"/>
      <c r="AD2129" s="66"/>
      <c r="AE2129" s="66"/>
      <c r="AF2129" s="66"/>
      <c r="AG2129" s="66"/>
      <c r="AH2129" s="66"/>
      <c r="AI2129" s="66"/>
      <c r="AJ2129" s="66"/>
      <c r="AK2129" s="66"/>
      <c r="AL2129" s="66"/>
      <c r="AM2129" s="66"/>
      <c r="AN2129" s="66"/>
      <c r="AO2129" s="66"/>
      <c r="AP2129" s="66"/>
      <c r="AQ2129" s="66"/>
      <c r="AR2129" s="66"/>
      <c r="AS2129" s="66"/>
      <c r="AT2129" s="66"/>
      <c r="AU2129" s="66"/>
      <c r="AV2129" s="66"/>
      <c r="AW2129" s="66"/>
      <c r="AX2129" s="66"/>
      <c r="AY2129" s="66"/>
      <c r="AZ2129" s="66"/>
      <c r="BA2129" s="66"/>
      <c r="BB2129" s="66"/>
      <c r="BC2129" s="66"/>
      <c r="BD2129" s="66"/>
      <c r="BE2129" s="67"/>
      <c r="BF2129" s="67"/>
      <c r="BG2129" s="68"/>
      <c r="BI2129" s="69">
        <v>0</v>
      </c>
      <c r="BJ2129" s="70">
        <v>0</v>
      </c>
      <c r="BK2129" s="71">
        <v>0</v>
      </c>
      <c r="BL2129" s="71">
        <v>0</v>
      </c>
      <c r="BM2129" s="71">
        <v>0</v>
      </c>
      <c r="BN2129" s="72">
        <v>0</v>
      </c>
      <c r="BO2129" s="151" t="e">
        <f t="shared" si="141"/>
        <v>#DIV/0!</v>
      </c>
      <c r="BP2129" s="151" t="e">
        <f t="shared" si="142"/>
        <v>#DIV/0!</v>
      </c>
      <c r="BQ2129" s="71">
        <v>0</v>
      </c>
      <c r="BR2129" s="71">
        <v>0</v>
      </c>
      <c r="BS2129" s="71">
        <v>0</v>
      </c>
      <c r="BT2129" s="72">
        <v>0</v>
      </c>
      <c r="BU2129" s="151" t="e">
        <f t="shared" si="139"/>
        <v>#DIV/0!</v>
      </c>
      <c r="BV2129" s="151" t="e">
        <f t="shared" si="140"/>
        <v>#DIV/0!</v>
      </c>
    </row>
    <row r="2130" ht="30" customHeight="1" spans="1:74">
      <c r="A2130" s="55">
        <v>0</v>
      </c>
      <c r="B2130" s="56" t="s">
        <v>1237</v>
      </c>
      <c r="C2130" s="57" t="s">
        <v>3341</v>
      </c>
      <c r="D2130" s="76" t="s">
        <v>3342</v>
      </c>
      <c r="E2130" s="52"/>
      <c r="F2130" s="59" t="e">
        <f>VLOOKUP(E2130,[1]库存!$B$1:$C$65536,2,FALSE)</f>
        <v>#N/A</v>
      </c>
      <c r="G2130" s="59" t="e">
        <v>#N/A</v>
      </c>
      <c r="H2130" s="59" t="s">
        <v>3356</v>
      </c>
      <c r="I2130" s="52" t="s">
        <v>3357</v>
      </c>
      <c r="J2130" s="63"/>
      <c r="K2130" s="61"/>
      <c r="L2130" s="62">
        <v>2</v>
      </c>
      <c r="M2130" s="63">
        <v>1100</v>
      </c>
      <c r="N2130" s="64">
        <v>10</v>
      </c>
      <c r="O2130" s="62">
        <v>2</v>
      </c>
      <c r="P2130" s="65">
        <f t="shared" si="143"/>
        <v>0</v>
      </c>
      <c r="Q2130" s="66"/>
      <c r="R2130" s="66"/>
      <c r="S2130" s="66"/>
      <c r="T2130" s="66"/>
      <c r="U2130" s="66"/>
      <c r="V2130" s="66"/>
      <c r="W2130" s="66"/>
      <c r="X2130" s="66"/>
      <c r="Y2130" s="66"/>
      <c r="Z2130" s="66"/>
      <c r="AA2130" s="66"/>
      <c r="AB2130" s="66"/>
      <c r="AC2130" s="66"/>
      <c r="AD2130" s="66"/>
      <c r="AE2130" s="66"/>
      <c r="AF2130" s="66"/>
      <c r="AG2130" s="66"/>
      <c r="AH2130" s="66"/>
      <c r="AI2130" s="66"/>
      <c r="AJ2130" s="66"/>
      <c r="AK2130" s="66"/>
      <c r="AL2130" s="66"/>
      <c r="AM2130" s="66"/>
      <c r="AN2130" s="66"/>
      <c r="AO2130" s="66"/>
      <c r="AP2130" s="66"/>
      <c r="AQ2130" s="66"/>
      <c r="AR2130" s="66"/>
      <c r="AS2130" s="66"/>
      <c r="AT2130" s="66"/>
      <c r="AU2130" s="66"/>
      <c r="AV2130" s="66"/>
      <c r="AW2130" s="66"/>
      <c r="AX2130" s="66"/>
      <c r="AY2130" s="66"/>
      <c r="AZ2130" s="66"/>
      <c r="BA2130" s="66"/>
      <c r="BB2130" s="66"/>
      <c r="BC2130" s="66"/>
      <c r="BD2130" s="66"/>
      <c r="BE2130" s="67"/>
      <c r="BF2130" s="67"/>
      <c r="BG2130" s="68"/>
      <c r="BI2130" s="69">
        <v>0</v>
      </c>
      <c r="BJ2130" s="70">
        <v>0</v>
      </c>
      <c r="BK2130" s="71">
        <v>0</v>
      </c>
      <c r="BL2130" s="71">
        <v>0</v>
      </c>
      <c r="BM2130" s="71">
        <v>0</v>
      </c>
      <c r="BN2130" s="72">
        <v>0</v>
      </c>
      <c r="BO2130" s="151" t="e">
        <f t="shared" si="141"/>
        <v>#DIV/0!</v>
      </c>
      <c r="BP2130" s="151" t="e">
        <f t="shared" si="142"/>
        <v>#DIV/0!</v>
      </c>
      <c r="BQ2130" s="71">
        <v>0</v>
      </c>
      <c r="BR2130" s="71">
        <v>0</v>
      </c>
      <c r="BS2130" s="71">
        <v>0</v>
      </c>
      <c r="BT2130" s="72">
        <v>0</v>
      </c>
      <c r="BU2130" s="151" t="e">
        <f t="shared" si="139"/>
        <v>#DIV/0!</v>
      </c>
      <c r="BV2130" s="151" t="e">
        <f t="shared" si="140"/>
        <v>#DIV/0!</v>
      </c>
    </row>
    <row r="2131" ht="30" customHeight="1" spans="1:74">
      <c r="A2131" s="55">
        <v>0</v>
      </c>
      <c r="B2131" s="56">
        <v>0</v>
      </c>
      <c r="C2131" s="57">
        <v>0</v>
      </c>
      <c r="D2131" s="78"/>
      <c r="E2131" s="52"/>
      <c r="F2131" s="59" t="e">
        <f>VLOOKUP(E2131,[1]库存!$B$1:$C$65536,2,FALSE)</f>
        <v>#N/A</v>
      </c>
      <c r="G2131" s="59" t="e">
        <v>#N/A</v>
      </c>
      <c r="H2131" s="152"/>
      <c r="I2131" s="52"/>
      <c r="J2131" s="87"/>
      <c r="K2131" s="61"/>
      <c r="L2131" s="62">
        <v>0</v>
      </c>
      <c r="M2131" s="63">
        <v>0</v>
      </c>
      <c r="N2131" s="64">
        <v>0</v>
      </c>
      <c r="O2131" s="62">
        <v>0</v>
      </c>
      <c r="P2131" s="65">
        <f t="shared" si="143"/>
        <v>0</v>
      </c>
      <c r="Q2131" s="66"/>
      <c r="R2131" s="66"/>
      <c r="S2131" s="66"/>
      <c r="T2131" s="66"/>
      <c r="U2131" s="66"/>
      <c r="V2131" s="66"/>
      <c r="W2131" s="66"/>
      <c r="X2131" s="66"/>
      <c r="Y2131" s="66"/>
      <c r="Z2131" s="66"/>
      <c r="AA2131" s="66"/>
      <c r="AB2131" s="66"/>
      <c r="AC2131" s="66"/>
      <c r="AD2131" s="66"/>
      <c r="AE2131" s="66"/>
      <c r="AF2131" s="66"/>
      <c r="AG2131" s="66"/>
      <c r="AH2131" s="66"/>
      <c r="AI2131" s="66"/>
      <c r="AJ2131" s="66"/>
      <c r="AK2131" s="66"/>
      <c r="AL2131" s="66"/>
      <c r="AM2131" s="66"/>
      <c r="AN2131" s="66"/>
      <c r="AO2131" s="66"/>
      <c r="AP2131" s="66"/>
      <c r="AQ2131" s="66"/>
      <c r="AR2131" s="66"/>
      <c r="AS2131" s="66"/>
      <c r="AT2131" s="66"/>
      <c r="AU2131" s="66"/>
      <c r="AV2131" s="66"/>
      <c r="AW2131" s="66"/>
      <c r="AX2131" s="66"/>
      <c r="AY2131" s="66"/>
      <c r="AZ2131" s="66"/>
      <c r="BA2131" s="66"/>
      <c r="BB2131" s="66"/>
      <c r="BC2131" s="66"/>
      <c r="BD2131" s="66"/>
      <c r="BE2131" s="67"/>
      <c r="BF2131" s="67"/>
      <c r="BG2131" s="68"/>
      <c r="BI2131" s="69">
        <v>0</v>
      </c>
      <c r="BJ2131" s="70">
        <v>0</v>
      </c>
      <c r="BK2131" s="71">
        <v>0</v>
      </c>
      <c r="BL2131" s="71">
        <v>0</v>
      </c>
      <c r="BM2131" s="71">
        <v>0</v>
      </c>
      <c r="BN2131" s="72">
        <v>0</v>
      </c>
      <c r="BO2131" s="151" t="e">
        <f t="shared" si="141"/>
        <v>#DIV/0!</v>
      </c>
      <c r="BP2131" s="151" t="e">
        <f t="shared" si="142"/>
        <v>#DIV/0!</v>
      </c>
      <c r="BQ2131" s="71">
        <v>0</v>
      </c>
      <c r="BR2131" s="71">
        <v>0</v>
      </c>
      <c r="BS2131" s="71">
        <v>0</v>
      </c>
      <c r="BT2131" s="72">
        <v>0</v>
      </c>
      <c r="BU2131" s="151" t="e">
        <f t="shared" si="139"/>
        <v>#DIV/0!</v>
      </c>
      <c r="BV2131" s="151" t="e">
        <f t="shared" si="140"/>
        <v>#DIV/0!</v>
      </c>
    </row>
    <row r="2132" ht="30" customHeight="1" spans="1:74">
      <c r="A2132" s="55">
        <v>0</v>
      </c>
      <c r="B2132" s="56">
        <v>0</v>
      </c>
      <c r="C2132" s="57">
        <v>0</v>
      </c>
      <c r="E2132" s="88"/>
      <c r="F2132" s="59" t="e">
        <f>VLOOKUP(E2132,[1]库存!$B$1:$C$65536,2,FALSE)</f>
        <v>#N/A</v>
      </c>
      <c r="G2132" s="59" t="e">
        <v>#N/A</v>
      </c>
      <c r="H2132" s="89"/>
      <c r="I2132" s="88"/>
      <c r="J2132" s="90"/>
      <c r="K2132" s="61"/>
      <c r="L2132" s="62">
        <v>0</v>
      </c>
      <c r="M2132" s="63">
        <v>0</v>
      </c>
      <c r="N2132" s="64">
        <v>0</v>
      </c>
      <c r="O2132" s="62">
        <v>0</v>
      </c>
      <c r="P2132" s="65">
        <f t="shared" si="143"/>
        <v>0</v>
      </c>
      <c r="Q2132" s="66"/>
      <c r="R2132" s="66"/>
      <c r="S2132" s="66"/>
      <c r="T2132" s="66"/>
      <c r="U2132" s="66"/>
      <c r="V2132" s="66"/>
      <c r="W2132" s="66"/>
      <c r="X2132" s="66"/>
      <c r="Y2132" s="66"/>
      <c r="Z2132" s="66"/>
      <c r="AA2132" s="66"/>
      <c r="AB2132" s="66"/>
      <c r="AC2132" s="66"/>
      <c r="AD2132" s="66"/>
      <c r="AE2132" s="66"/>
      <c r="AF2132" s="66"/>
      <c r="AG2132" s="66"/>
      <c r="AH2132" s="66"/>
      <c r="AI2132" s="66"/>
      <c r="AJ2132" s="66"/>
      <c r="AK2132" s="66"/>
      <c r="AL2132" s="66"/>
      <c r="AM2132" s="66"/>
      <c r="AN2132" s="66"/>
      <c r="AO2132" s="66"/>
      <c r="AP2132" s="66"/>
      <c r="AQ2132" s="66"/>
      <c r="AR2132" s="66"/>
      <c r="AS2132" s="66"/>
      <c r="AT2132" s="66"/>
      <c r="AU2132" s="66"/>
      <c r="AV2132" s="66"/>
      <c r="AW2132" s="66"/>
      <c r="AX2132" s="66"/>
      <c r="AY2132" s="66"/>
      <c r="AZ2132" s="66"/>
      <c r="BA2132" s="66"/>
      <c r="BB2132" s="66"/>
      <c r="BC2132" s="66"/>
      <c r="BD2132" s="66"/>
      <c r="BE2132" s="67"/>
      <c r="BF2132" s="67"/>
      <c r="BG2132" s="68"/>
      <c r="BI2132" s="69">
        <v>0</v>
      </c>
      <c r="BJ2132" s="70">
        <v>0</v>
      </c>
      <c r="BK2132" s="71">
        <v>0</v>
      </c>
      <c r="BL2132" s="71">
        <v>0</v>
      </c>
      <c r="BM2132" s="71">
        <v>0</v>
      </c>
      <c r="BN2132" s="72">
        <v>0</v>
      </c>
      <c r="BO2132" s="151" t="e">
        <f t="shared" si="141"/>
        <v>#DIV/0!</v>
      </c>
      <c r="BP2132" s="151" t="e">
        <f t="shared" si="142"/>
        <v>#DIV/0!</v>
      </c>
      <c r="BQ2132" s="71">
        <v>0</v>
      </c>
      <c r="BR2132" s="71">
        <v>0</v>
      </c>
      <c r="BS2132" s="71">
        <v>0</v>
      </c>
      <c r="BT2132" s="72">
        <v>0</v>
      </c>
      <c r="BU2132" s="151" t="e">
        <f t="shared" si="139"/>
        <v>#DIV/0!</v>
      </c>
      <c r="BV2132" s="151" t="e">
        <f t="shared" si="140"/>
        <v>#DIV/0!</v>
      </c>
    </row>
    <row r="2133" ht="30" customHeight="1" spans="1:74">
      <c r="A2133" s="55" t="s">
        <v>96</v>
      </c>
      <c r="B2133" s="56" t="s">
        <v>1237</v>
      </c>
      <c r="C2133" s="57" t="s">
        <v>3341</v>
      </c>
      <c r="D2133" s="57" t="s">
        <v>3358</v>
      </c>
      <c r="E2133" s="91" t="s">
        <v>3359</v>
      </c>
      <c r="F2133" s="91" t="str">
        <f>VLOOKUP(E2133,[1]库存!$B$1:$C$65536,2,FALSE)</f>
        <v>SAIC AS32 DAB</v>
      </c>
      <c r="G2133" s="91" t="s">
        <v>3360</v>
      </c>
      <c r="H2133" s="91" t="s">
        <v>3361</v>
      </c>
      <c r="I2133" s="91" t="s">
        <v>3362</v>
      </c>
      <c r="J2133" s="63"/>
      <c r="K2133" s="61"/>
      <c r="L2133" s="62">
        <v>2</v>
      </c>
      <c r="M2133" s="63">
        <v>1150</v>
      </c>
      <c r="N2133" s="64">
        <v>8</v>
      </c>
      <c r="O2133" s="62">
        <v>2</v>
      </c>
      <c r="P2133" s="65">
        <f t="shared" si="143"/>
        <v>0</v>
      </c>
      <c r="Q2133" s="66">
        <v>1750</v>
      </c>
      <c r="R2133" s="66">
        <v>0</v>
      </c>
      <c r="S2133" s="66">
        <v>1800</v>
      </c>
      <c r="T2133" s="149">
        <v>1800</v>
      </c>
      <c r="U2133" s="66">
        <v>1800</v>
      </c>
      <c r="V2133" s="66">
        <v>1800</v>
      </c>
      <c r="W2133" s="66">
        <v>0</v>
      </c>
      <c r="X2133" s="66">
        <v>0</v>
      </c>
      <c r="Y2133" s="66">
        <v>0</v>
      </c>
      <c r="Z2133" s="66">
        <v>0</v>
      </c>
      <c r="AA2133" s="66">
        <v>1700</v>
      </c>
      <c r="AB2133" s="66">
        <v>1700</v>
      </c>
      <c r="AC2133" s="66">
        <v>1700</v>
      </c>
      <c r="AD2133" s="66">
        <v>1700</v>
      </c>
      <c r="AE2133" s="66"/>
      <c r="AF2133" s="66"/>
      <c r="AG2133" s="66"/>
      <c r="AH2133" s="66"/>
      <c r="AI2133" s="66"/>
      <c r="AJ2133" s="66"/>
      <c r="AK2133" s="66"/>
      <c r="AL2133" s="66"/>
      <c r="AM2133" s="66"/>
      <c r="AN2133" s="66"/>
      <c r="AO2133" s="66"/>
      <c r="AP2133" s="66"/>
      <c r="AQ2133" s="66"/>
      <c r="AR2133" s="66"/>
      <c r="AS2133" s="66"/>
      <c r="AT2133" s="66"/>
      <c r="AU2133" s="66"/>
      <c r="AV2133" s="66"/>
      <c r="AW2133" s="66"/>
      <c r="AX2133" s="66"/>
      <c r="AY2133" s="66"/>
      <c r="AZ2133" s="66"/>
      <c r="BA2133" s="66"/>
      <c r="BB2133" s="66"/>
      <c r="BC2133" s="66"/>
      <c r="BD2133" s="66"/>
      <c r="BE2133" s="67"/>
      <c r="BF2133" s="67"/>
      <c r="BG2133" s="68"/>
      <c r="BI2133" s="69">
        <v>0</v>
      </c>
      <c r="BJ2133" s="70">
        <v>0</v>
      </c>
      <c r="BK2133" s="71">
        <v>0</v>
      </c>
      <c r="BL2133" s="71">
        <v>0</v>
      </c>
      <c r="BM2133" s="71">
        <v>0</v>
      </c>
      <c r="BN2133" s="72">
        <v>0</v>
      </c>
      <c r="BO2133" s="151" t="e">
        <f t="shared" si="141"/>
        <v>#DIV/0!</v>
      </c>
      <c r="BP2133" s="151" t="e">
        <f t="shared" si="142"/>
        <v>#DIV/0!</v>
      </c>
      <c r="BQ2133" s="71">
        <v>0</v>
      </c>
      <c r="BR2133" s="71">
        <v>0</v>
      </c>
      <c r="BS2133" s="71">
        <v>0</v>
      </c>
      <c r="BT2133" s="72">
        <v>0</v>
      </c>
      <c r="BU2133" s="151" t="e">
        <f t="shared" si="139"/>
        <v>#DIV/0!</v>
      </c>
      <c r="BV2133" s="151" t="e">
        <f t="shared" si="140"/>
        <v>#DIV/0!</v>
      </c>
    </row>
    <row r="2134" ht="30" customHeight="1" spans="1:74">
      <c r="A2134" s="55">
        <v>0</v>
      </c>
      <c r="B2134" s="56">
        <v>0</v>
      </c>
      <c r="C2134" s="57">
        <v>0</v>
      </c>
      <c r="D2134" s="174"/>
      <c r="E2134" s="92"/>
      <c r="F2134" s="91" t="e">
        <f>VLOOKUP(E2134,[1]库存!$B$1:$C$65536,2,FALSE)</f>
        <v>#N/A</v>
      </c>
      <c r="G2134" s="91" t="e">
        <v>#N/A</v>
      </c>
      <c r="H2134" s="92"/>
      <c r="I2134" s="92"/>
      <c r="J2134" s="87"/>
      <c r="K2134" s="61"/>
      <c r="L2134" s="62">
        <v>0</v>
      </c>
      <c r="M2134" s="63">
        <v>0</v>
      </c>
      <c r="N2134" s="64">
        <v>0</v>
      </c>
      <c r="O2134" s="62">
        <v>0</v>
      </c>
      <c r="P2134" s="65">
        <f t="shared" si="143"/>
        <v>0</v>
      </c>
      <c r="Q2134" s="66">
        <v>1753</v>
      </c>
      <c r="R2134" s="66"/>
      <c r="S2134" s="66">
        <v>1808</v>
      </c>
      <c r="T2134" s="66">
        <v>1804</v>
      </c>
      <c r="U2134" s="66">
        <v>1806</v>
      </c>
      <c r="V2134" s="66">
        <v>1803</v>
      </c>
      <c r="W2134" s="66"/>
      <c r="X2134" s="66"/>
      <c r="Y2134" s="66"/>
      <c r="Z2134" s="66"/>
      <c r="AA2134" s="66">
        <v>1805</v>
      </c>
      <c r="AB2134" s="66">
        <v>1802</v>
      </c>
      <c r="AC2134" s="66">
        <v>1804</v>
      </c>
      <c r="AD2134" s="66">
        <v>1633</v>
      </c>
      <c r="AE2134" s="66"/>
      <c r="AF2134" s="66"/>
      <c r="AG2134" s="66"/>
      <c r="AH2134" s="66"/>
      <c r="AI2134" s="66"/>
      <c r="AJ2134" s="66"/>
      <c r="AK2134" s="66"/>
      <c r="AL2134" s="66"/>
      <c r="AM2134" s="66"/>
      <c r="AN2134" s="66"/>
      <c r="AO2134" s="66"/>
      <c r="AP2134" s="66"/>
      <c r="AQ2134" s="66"/>
      <c r="AR2134" s="66"/>
      <c r="AS2134" s="66"/>
      <c r="AT2134" s="66"/>
      <c r="AU2134" s="66"/>
      <c r="AV2134" s="66"/>
      <c r="AW2134" s="66"/>
      <c r="AX2134" s="66"/>
      <c r="AY2134" s="66"/>
      <c r="AZ2134" s="66"/>
      <c r="BA2134" s="66"/>
      <c r="BB2134" s="66"/>
      <c r="BC2134" s="66"/>
      <c r="BD2134" s="66"/>
      <c r="BE2134" s="67"/>
      <c r="BF2134" s="67"/>
      <c r="BG2134" s="68"/>
      <c r="BI2134" s="69">
        <v>0</v>
      </c>
      <c r="BJ2134" s="70">
        <v>0</v>
      </c>
      <c r="BK2134" s="71">
        <v>0</v>
      </c>
      <c r="BL2134" s="71">
        <v>0</v>
      </c>
      <c r="BM2134" s="71">
        <v>0</v>
      </c>
      <c r="BN2134" s="72">
        <v>0</v>
      </c>
      <c r="BO2134" s="151" t="e">
        <f t="shared" si="141"/>
        <v>#DIV/0!</v>
      </c>
      <c r="BP2134" s="151" t="e">
        <f t="shared" si="142"/>
        <v>#DIV/0!</v>
      </c>
      <c r="BQ2134" s="71">
        <v>0</v>
      </c>
      <c r="BR2134" s="71">
        <v>0</v>
      </c>
      <c r="BS2134" s="71">
        <v>0</v>
      </c>
      <c r="BT2134" s="72">
        <v>0</v>
      </c>
      <c r="BU2134" s="151" t="e">
        <f t="shared" si="139"/>
        <v>#DIV/0!</v>
      </c>
      <c r="BV2134" s="151" t="e">
        <f t="shared" si="140"/>
        <v>#DIV/0!</v>
      </c>
    </row>
    <row r="2135" ht="30" customHeight="1" spans="1:74">
      <c r="A2135" s="55" t="s">
        <v>96</v>
      </c>
      <c r="B2135" s="56" t="s">
        <v>1237</v>
      </c>
      <c r="C2135" s="57" t="s">
        <v>3341</v>
      </c>
      <c r="D2135" s="57" t="s">
        <v>3358</v>
      </c>
      <c r="E2135" s="91" t="s">
        <v>3363</v>
      </c>
      <c r="F2135" s="91" t="str">
        <f>VLOOKUP(E2135,[1]库存!$B$1:$C$65536,2,FALSE)</f>
        <v>SAIC ZP22 DAB</v>
      </c>
      <c r="G2135" s="91" t="s">
        <v>3364</v>
      </c>
      <c r="H2135" s="91" t="s">
        <v>3365</v>
      </c>
      <c r="I2135" s="91" t="s">
        <v>3366</v>
      </c>
      <c r="J2135" s="63"/>
      <c r="K2135" s="61"/>
      <c r="L2135" s="62">
        <v>2</v>
      </c>
      <c r="M2135" s="63">
        <v>1450</v>
      </c>
      <c r="N2135" s="64">
        <v>7</v>
      </c>
      <c r="O2135" s="62">
        <v>2</v>
      </c>
      <c r="P2135" s="65">
        <f t="shared" si="143"/>
        <v>0</v>
      </c>
      <c r="Q2135" s="66"/>
      <c r="R2135" s="66"/>
      <c r="S2135" s="66"/>
      <c r="T2135" s="66"/>
      <c r="U2135" s="66"/>
      <c r="V2135" s="66"/>
      <c r="W2135" s="66"/>
      <c r="X2135" s="66"/>
      <c r="Y2135" s="66"/>
      <c r="Z2135" s="66"/>
      <c r="AA2135" s="66"/>
      <c r="AB2135" s="66"/>
      <c r="AC2135" s="66"/>
      <c r="AD2135" s="66"/>
      <c r="AE2135" s="66"/>
      <c r="AF2135" s="66"/>
      <c r="AG2135" s="66"/>
      <c r="AH2135" s="66"/>
      <c r="AI2135" s="66"/>
      <c r="AJ2135" s="66"/>
      <c r="AK2135" s="96"/>
      <c r="AL2135" s="96"/>
      <c r="AM2135" s="96"/>
      <c r="AN2135" s="96"/>
      <c r="AO2135" s="66"/>
      <c r="AP2135" s="66"/>
      <c r="AQ2135" s="66"/>
      <c r="AR2135" s="66"/>
      <c r="AS2135" s="66"/>
      <c r="AT2135" s="66"/>
      <c r="AU2135" s="66"/>
      <c r="AV2135" s="66"/>
      <c r="AW2135" s="66"/>
      <c r="AX2135" s="66"/>
      <c r="AY2135" s="66"/>
      <c r="AZ2135" s="66"/>
      <c r="BA2135" s="66"/>
      <c r="BB2135" s="66"/>
      <c r="BC2135" s="66"/>
      <c r="BD2135" s="66"/>
      <c r="BE2135" s="67"/>
      <c r="BF2135" s="67"/>
      <c r="BG2135" s="68"/>
      <c r="BI2135" s="69">
        <v>0</v>
      </c>
      <c r="BJ2135" s="70">
        <v>0</v>
      </c>
      <c r="BK2135" s="71">
        <v>0</v>
      </c>
      <c r="BL2135" s="71">
        <v>0</v>
      </c>
      <c r="BM2135" s="71">
        <v>0</v>
      </c>
      <c r="BN2135" s="72">
        <v>0</v>
      </c>
      <c r="BO2135" s="151" t="e">
        <f t="shared" si="141"/>
        <v>#DIV/0!</v>
      </c>
      <c r="BP2135" s="151" t="e">
        <f t="shared" si="142"/>
        <v>#DIV/0!</v>
      </c>
      <c r="BQ2135" s="71">
        <v>0</v>
      </c>
      <c r="BR2135" s="71">
        <v>0</v>
      </c>
      <c r="BS2135" s="71">
        <v>0</v>
      </c>
      <c r="BT2135" s="72">
        <v>0</v>
      </c>
      <c r="BU2135" s="151" t="e">
        <f t="shared" si="139"/>
        <v>#DIV/0!</v>
      </c>
      <c r="BV2135" s="151" t="e">
        <f t="shared" si="140"/>
        <v>#DIV/0!</v>
      </c>
    </row>
    <row r="2136" ht="30" customHeight="1" spans="1:74">
      <c r="A2136" s="55">
        <v>0</v>
      </c>
      <c r="B2136" s="56">
        <v>0</v>
      </c>
      <c r="C2136" s="57">
        <v>0</v>
      </c>
      <c r="D2136" s="174"/>
      <c r="E2136" s="92"/>
      <c r="F2136" s="91" t="e">
        <f>VLOOKUP(E2136,[1]库存!$B$1:$C$65536,2,FALSE)</f>
        <v>#N/A</v>
      </c>
      <c r="G2136" s="91" t="e">
        <v>#N/A</v>
      </c>
      <c r="H2136" s="92"/>
      <c r="I2136" s="92"/>
      <c r="J2136" s="87"/>
      <c r="K2136" s="61"/>
      <c r="L2136" s="62">
        <v>0</v>
      </c>
      <c r="M2136" s="63">
        <v>0</v>
      </c>
      <c r="N2136" s="64">
        <v>0</v>
      </c>
      <c r="O2136" s="62">
        <v>0</v>
      </c>
      <c r="P2136" s="65">
        <f t="shared" si="143"/>
        <v>0</v>
      </c>
      <c r="Q2136" s="66"/>
      <c r="R2136" s="66"/>
      <c r="S2136" s="66"/>
      <c r="T2136" s="66"/>
      <c r="U2136" s="66"/>
      <c r="V2136" s="66"/>
      <c r="W2136" s="66"/>
      <c r="X2136" s="66"/>
      <c r="Y2136" s="66"/>
      <c r="Z2136" s="66"/>
      <c r="AA2136" s="66"/>
      <c r="AB2136" s="66"/>
      <c r="AC2136" s="66"/>
      <c r="AD2136" s="66"/>
      <c r="AE2136" s="66"/>
      <c r="AF2136" s="66"/>
      <c r="AG2136" s="66"/>
      <c r="AH2136" s="66"/>
      <c r="AI2136" s="66"/>
      <c r="AJ2136" s="66"/>
      <c r="AK2136" s="66"/>
      <c r="AL2136" s="66"/>
      <c r="AM2136" s="66"/>
      <c r="AN2136" s="66"/>
      <c r="AO2136" s="66"/>
      <c r="AP2136" s="66"/>
      <c r="AQ2136" s="66"/>
      <c r="AR2136" s="66"/>
      <c r="AS2136" s="66"/>
      <c r="AT2136" s="66"/>
      <c r="AU2136" s="66"/>
      <c r="AV2136" s="66"/>
      <c r="AW2136" s="66"/>
      <c r="AX2136" s="66"/>
      <c r="AY2136" s="66"/>
      <c r="AZ2136" s="66"/>
      <c r="BA2136" s="66"/>
      <c r="BB2136" s="66"/>
      <c r="BC2136" s="66"/>
      <c r="BD2136" s="66"/>
      <c r="BE2136" s="67"/>
      <c r="BF2136" s="67"/>
      <c r="BG2136" s="68"/>
      <c r="BI2136" s="69">
        <v>0</v>
      </c>
      <c r="BJ2136" s="70">
        <v>0</v>
      </c>
      <c r="BK2136" s="71">
        <v>0</v>
      </c>
      <c r="BL2136" s="71">
        <v>0</v>
      </c>
      <c r="BM2136" s="71">
        <v>0</v>
      </c>
      <c r="BN2136" s="72">
        <v>0</v>
      </c>
      <c r="BO2136" s="151" t="e">
        <f t="shared" si="141"/>
        <v>#DIV/0!</v>
      </c>
      <c r="BP2136" s="151" t="e">
        <f t="shared" si="142"/>
        <v>#DIV/0!</v>
      </c>
      <c r="BQ2136" s="71">
        <v>0</v>
      </c>
      <c r="BR2136" s="71">
        <v>0</v>
      </c>
      <c r="BS2136" s="71">
        <v>0</v>
      </c>
      <c r="BT2136" s="72">
        <v>0</v>
      </c>
      <c r="BU2136" s="151" t="e">
        <f t="shared" si="139"/>
        <v>#DIV/0!</v>
      </c>
      <c r="BV2136" s="151" t="e">
        <f t="shared" si="140"/>
        <v>#DIV/0!</v>
      </c>
    </row>
    <row r="2137" ht="30" customHeight="1" spans="1:74">
      <c r="A2137" s="55" t="s">
        <v>96</v>
      </c>
      <c r="B2137" s="56" t="s">
        <v>1237</v>
      </c>
      <c r="C2137" s="57" t="s">
        <v>3341</v>
      </c>
      <c r="D2137" s="76" t="s">
        <v>3358</v>
      </c>
      <c r="E2137" s="59" t="s">
        <v>3367</v>
      </c>
      <c r="F2137" s="59" t="str">
        <f>VLOOKUP(E2137,[1]库存!$B$1:$C$65536,2,FALSE)</f>
        <v>GEELY HX11 DAB A状态</v>
      </c>
      <c r="G2137" s="59" t="s">
        <v>3368</v>
      </c>
      <c r="H2137" s="59" t="s">
        <v>3369</v>
      </c>
      <c r="I2137" s="59" t="s">
        <v>3370</v>
      </c>
      <c r="J2137" s="63"/>
      <c r="K2137" s="61"/>
      <c r="L2137" s="62">
        <v>0</v>
      </c>
      <c r="M2137" s="63">
        <v>1100</v>
      </c>
      <c r="N2137" s="64">
        <v>9</v>
      </c>
      <c r="O2137" s="62">
        <v>0</v>
      </c>
      <c r="P2137" s="65">
        <f t="shared" si="143"/>
        <v>0</v>
      </c>
      <c r="Q2137" s="66">
        <v>0</v>
      </c>
      <c r="R2137" s="66">
        <v>1200</v>
      </c>
      <c r="S2137" s="66"/>
      <c r="T2137" s="66"/>
      <c r="U2137" s="66"/>
      <c r="V2137" s="66"/>
      <c r="W2137" s="66"/>
      <c r="X2137" s="66"/>
      <c r="Y2137" s="66"/>
      <c r="Z2137" s="66"/>
      <c r="AA2137" s="66"/>
      <c r="AB2137" s="66"/>
      <c r="AC2137" s="66"/>
      <c r="AD2137" s="66"/>
      <c r="AE2137" s="66"/>
      <c r="AF2137" s="66"/>
      <c r="AG2137" s="66"/>
      <c r="AH2137" s="66"/>
      <c r="AI2137" s="66"/>
      <c r="AJ2137" s="66"/>
      <c r="AK2137" s="66"/>
      <c r="AL2137" s="66"/>
      <c r="AM2137" s="66"/>
      <c r="AN2137" s="66"/>
      <c r="AO2137" s="66"/>
      <c r="AP2137" s="66"/>
      <c r="AQ2137" s="66"/>
      <c r="AR2137" s="66"/>
      <c r="AS2137" s="66"/>
      <c r="AT2137" s="66"/>
      <c r="AU2137" s="66"/>
      <c r="AV2137" s="66"/>
      <c r="AW2137" s="66"/>
      <c r="AX2137" s="66"/>
      <c r="AY2137" s="66"/>
      <c r="AZ2137" s="66"/>
      <c r="BA2137" s="66"/>
      <c r="BB2137" s="66"/>
      <c r="BC2137" s="66"/>
      <c r="BD2137" s="66"/>
      <c r="BE2137" s="67"/>
      <c r="BF2137" s="67"/>
      <c r="BG2137" s="68"/>
      <c r="BI2137" s="69">
        <v>0</v>
      </c>
      <c r="BJ2137" s="70">
        <v>0</v>
      </c>
      <c r="BK2137" s="71">
        <v>0</v>
      </c>
      <c r="BL2137" s="71">
        <v>0</v>
      </c>
      <c r="BM2137" s="71">
        <v>0</v>
      </c>
      <c r="BN2137" s="72">
        <v>0</v>
      </c>
      <c r="BO2137" s="151" t="e">
        <f t="shared" si="141"/>
        <v>#DIV/0!</v>
      </c>
      <c r="BP2137" s="151" t="e">
        <f t="shared" si="142"/>
        <v>#DIV/0!</v>
      </c>
      <c r="BQ2137" s="71">
        <v>0</v>
      </c>
      <c r="BR2137" s="71">
        <v>0</v>
      </c>
      <c r="BS2137" s="71">
        <v>0</v>
      </c>
      <c r="BT2137" s="72">
        <v>0</v>
      </c>
      <c r="BU2137" s="151" t="e">
        <f t="shared" si="139"/>
        <v>#DIV/0!</v>
      </c>
      <c r="BV2137" s="151" t="e">
        <f t="shared" si="140"/>
        <v>#DIV/0!</v>
      </c>
    </row>
    <row r="2138" ht="30" customHeight="1" spans="1:74">
      <c r="A2138" s="55">
        <v>0</v>
      </c>
      <c r="B2138" s="56">
        <v>0</v>
      </c>
      <c r="C2138" s="57">
        <v>0</v>
      </c>
      <c r="D2138" s="78"/>
      <c r="E2138" s="74"/>
      <c r="F2138" s="59" t="e">
        <f>VLOOKUP(E2138,[1]库存!$B$1:$C$65536,2,FALSE)</f>
        <v>#N/A</v>
      </c>
      <c r="G2138" s="59" t="e">
        <v>#N/A</v>
      </c>
      <c r="H2138" s="74"/>
      <c r="I2138" s="74"/>
      <c r="J2138" s="87"/>
      <c r="K2138" s="61"/>
      <c r="L2138" s="62">
        <v>0</v>
      </c>
      <c r="M2138" s="63">
        <v>0</v>
      </c>
      <c r="N2138" s="64">
        <v>0</v>
      </c>
      <c r="O2138" s="62">
        <v>0</v>
      </c>
      <c r="P2138" s="65">
        <f t="shared" si="143"/>
        <v>0</v>
      </c>
      <c r="Q2138" s="66"/>
      <c r="R2138" s="66">
        <v>1155</v>
      </c>
      <c r="S2138" s="66"/>
      <c r="T2138" s="66"/>
      <c r="U2138" s="66"/>
      <c r="V2138" s="66"/>
      <c r="W2138" s="66"/>
      <c r="X2138" s="66"/>
      <c r="Y2138" s="66"/>
      <c r="Z2138" s="66"/>
      <c r="AA2138" s="66"/>
      <c r="AB2138" s="66"/>
      <c r="AC2138" s="66"/>
      <c r="AD2138" s="66"/>
      <c r="AE2138" s="66"/>
      <c r="AF2138" s="66"/>
      <c r="AG2138" s="66"/>
      <c r="AH2138" s="66"/>
      <c r="AI2138" s="66"/>
      <c r="AJ2138" s="66"/>
      <c r="AK2138" s="66"/>
      <c r="AL2138" s="66"/>
      <c r="AM2138" s="66"/>
      <c r="AN2138" s="66"/>
      <c r="AO2138" s="66"/>
      <c r="AP2138" s="66"/>
      <c r="AQ2138" s="66"/>
      <c r="AR2138" s="66"/>
      <c r="AS2138" s="66"/>
      <c r="AT2138" s="66"/>
      <c r="AU2138" s="66"/>
      <c r="AV2138" s="66"/>
      <c r="AW2138" s="66"/>
      <c r="AX2138" s="66"/>
      <c r="AY2138" s="66"/>
      <c r="AZ2138" s="66"/>
      <c r="BA2138" s="66"/>
      <c r="BB2138" s="66"/>
      <c r="BC2138" s="66"/>
      <c r="BD2138" s="66"/>
      <c r="BE2138" s="67"/>
      <c r="BF2138" s="67"/>
      <c r="BG2138" s="68"/>
      <c r="BI2138" s="69">
        <v>0</v>
      </c>
      <c r="BJ2138" s="70">
        <v>0</v>
      </c>
      <c r="BK2138" s="71">
        <v>0</v>
      </c>
      <c r="BL2138" s="71">
        <v>0</v>
      </c>
      <c r="BM2138" s="71">
        <v>0</v>
      </c>
      <c r="BN2138" s="72">
        <v>0</v>
      </c>
      <c r="BO2138" s="151" t="e">
        <f t="shared" si="141"/>
        <v>#DIV/0!</v>
      </c>
      <c r="BP2138" s="151" t="e">
        <f t="shared" si="142"/>
        <v>#DIV/0!</v>
      </c>
      <c r="BQ2138" s="71">
        <v>0</v>
      </c>
      <c r="BR2138" s="71">
        <v>0</v>
      </c>
      <c r="BS2138" s="71">
        <v>0</v>
      </c>
      <c r="BT2138" s="72">
        <v>0</v>
      </c>
      <c r="BU2138" s="151" t="e">
        <f t="shared" si="139"/>
        <v>#DIV/0!</v>
      </c>
      <c r="BV2138" s="151" t="e">
        <f t="shared" si="140"/>
        <v>#DIV/0!</v>
      </c>
    </row>
    <row r="2139" ht="30" customHeight="1" spans="1:74">
      <c r="A2139" s="55" t="s">
        <v>96</v>
      </c>
      <c r="B2139" s="56" t="s">
        <v>1237</v>
      </c>
      <c r="C2139" s="57" t="s">
        <v>3341</v>
      </c>
      <c r="D2139" s="76" t="s">
        <v>3358</v>
      </c>
      <c r="E2139" s="59" t="s">
        <v>3371</v>
      </c>
      <c r="F2139" s="59" t="str">
        <f>VLOOKUP(E2139,[1]库存!$B$1:$C$65536,2,FALSE)</f>
        <v>INEOS US DAB</v>
      </c>
      <c r="G2139" s="59" t="s">
        <v>3372</v>
      </c>
      <c r="H2139" s="59" t="s">
        <v>3373</v>
      </c>
      <c r="I2139" s="59" t="s">
        <v>3374</v>
      </c>
      <c r="J2139" s="80" t="s">
        <v>65</v>
      </c>
      <c r="K2139" s="61"/>
      <c r="L2139" s="62">
        <v>0</v>
      </c>
      <c r="M2139" s="63">
        <v>900</v>
      </c>
      <c r="N2139" s="64">
        <v>13</v>
      </c>
      <c r="O2139" s="62">
        <v>0</v>
      </c>
      <c r="P2139" s="65">
        <f t="shared" si="143"/>
        <v>0</v>
      </c>
      <c r="Q2139" s="66"/>
      <c r="R2139" s="66"/>
      <c r="S2139" s="66"/>
      <c r="T2139" s="66"/>
      <c r="U2139" s="66"/>
      <c r="V2139" s="66"/>
      <c r="W2139" s="66"/>
      <c r="X2139" s="66"/>
      <c r="Y2139" s="66"/>
      <c r="Z2139" s="66"/>
      <c r="AA2139" s="66"/>
      <c r="AB2139" s="66"/>
      <c r="AC2139" s="66"/>
      <c r="AD2139" s="66"/>
      <c r="AE2139" s="66"/>
      <c r="AF2139" s="66"/>
      <c r="AG2139" s="66"/>
      <c r="AH2139" s="66"/>
      <c r="AI2139" s="66"/>
      <c r="AJ2139" s="66"/>
      <c r="AK2139" s="66"/>
      <c r="AL2139" s="66"/>
      <c r="AM2139" s="66"/>
      <c r="AN2139" s="66"/>
      <c r="AO2139" s="66"/>
      <c r="AP2139" s="66"/>
      <c r="AQ2139" s="66"/>
      <c r="AR2139" s="66"/>
      <c r="AS2139" s="66"/>
      <c r="AT2139" s="66"/>
      <c r="AU2139" s="66"/>
      <c r="AV2139" s="66"/>
      <c r="AW2139" s="66"/>
      <c r="AX2139" s="66"/>
      <c r="AY2139" s="66"/>
      <c r="AZ2139" s="66"/>
      <c r="BA2139" s="66"/>
      <c r="BB2139" s="66"/>
      <c r="BC2139" s="66"/>
      <c r="BD2139" s="66"/>
      <c r="BE2139" s="67"/>
      <c r="BF2139" s="67"/>
      <c r="BG2139" s="68"/>
      <c r="BI2139" s="69">
        <v>0</v>
      </c>
      <c r="BJ2139" s="70">
        <v>0</v>
      </c>
      <c r="BK2139" s="71">
        <v>0</v>
      </c>
      <c r="BL2139" s="71">
        <v>0</v>
      </c>
      <c r="BM2139" s="71">
        <v>0</v>
      </c>
      <c r="BN2139" s="72">
        <v>0</v>
      </c>
      <c r="BO2139" s="151" t="e">
        <f t="shared" si="141"/>
        <v>#DIV/0!</v>
      </c>
      <c r="BP2139" s="151" t="e">
        <f t="shared" si="142"/>
        <v>#DIV/0!</v>
      </c>
      <c r="BQ2139" s="71">
        <v>0</v>
      </c>
      <c r="BR2139" s="71">
        <v>0</v>
      </c>
      <c r="BS2139" s="71">
        <v>0</v>
      </c>
      <c r="BT2139" s="72">
        <v>0</v>
      </c>
      <c r="BU2139" s="151" t="e">
        <f t="shared" si="139"/>
        <v>#DIV/0!</v>
      </c>
      <c r="BV2139" s="151" t="e">
        <f t="shared" si="140"/>
        <v>#DIV/0!</v>
      </c>
    </row>
    <row r="2140" ht="30" customHeight="1" spans="1:74">
      <c r="A2140" s="55">
        <v>0</v>
      </c>
      <c r="B2140" s="56">
        <v>0</v>
      </c>
      <c r="C2140" s="57">
        <v>0</v>
      </c>
      <c r="D2140" s="78"/>
      <c r="E2140" s="74"/>
      <c r="F2140" s="59" t="e">
        <f>VLOOKUP(E2140,[1]库存!$B$1:$C$65536,2,FALSE)</f>
        <v>#N/A</v>
      </c>
      <c r="G2140" s="59" t="e">
        <v>#N/A</v>
      </c>
      <c r="H2140" s="74"/>
      <c r="I2140" s="74"/>
      <c r="J2140" s="81"/>
      <c r="K2140" s="61"/>
      <c r="L2140" s="62">
        <v>0</v>
      </c>
      <c r="M2140" s="63">
        <v>0</v>
      </c>
      <c r="N2140" s="64">
        <v>0</v>
      </c>
      <c r="O2140" s="62">
        <v>0</v>
      </c>
      <c r="P2140" s="65">
        <f t="shared" si="143"/>
        <v>0</v>
      </c>
      <c r="Q2140" s="66"/>
      <c r="R2140" s="66"/>
      <c r="S2140" s="66"/>
      <c r="T2140" s="66"/>
      <c r="U2140" s="66"/>
      <c r="V2140" s="66"/>
      <c r="W2140" s="66"/>
      <c r="X2140" s="66"/>
      <c r="Y2140" s="66"/>
      <c r="Z2140" s="66"/>
      <c r="AA2140" s="66"/>
      <c r="AB2140" s="66"/>
      <c r="AC2140" s="66"/>
      <c r="AD2140" s="66"/>
      <c r="AE2140" s="66"/>
      <c r="AF2140" s="66"/>
      <c r="AG2140" s="66"/>
      <c r="AH2140" s="66"/>
      <c r="AI2140" s="66"/>
      <c r="AJ2140" s="66"/>
      <c r="AK2140" s="66"/>
      <c r="AL2140" s="66"/>
      <c r="AM2140" s="66"/>
      <c r="AN2140" s="66"/>
      <c r="AO2140" s="66"/>
      <c r="AP2140" s="66"/>
      <c r="AQ2140" s="66"/>
      <c r="AR2140" s="66"/>
      <c r="AS2140" s="66"/>
      <c r="AT2140" s="66"/>
      <c r="AU2140" s="66"/>
      <c r="AV2140" s="66"/>
      <c r="AW2140" s="66"/>
      <c r="AX2140" s="66"/>
      <c r="AY2140" s="66"/>
      <c r="AZ2140" s="66"/>
      <c r="BA2140" s="66"/>
      <c r="BB2140" s="66"/>
      <c r="BC2140" s="66"/>
      <c r="BD2140" s="66"/>
      <c r="BE2140" s="67"/>
      <c r="BF2140" s="67"/>
      <c r="BG2140" s="68"/>
      <c r="BI2140" s="69">
        <v>0</v>
      </c>
      <c r="BJ2140" s="70">
        <v>0</v>
      </c>
      <c r="BK2140" s="71">
        <v>0</v>
      </c>
      <c r="BL2140" s="71">
        <v>0</v>
      </c>
      <c r="BM2140" s="71">
        <v>0</v>
      </c>
      <c r="BN2140" s="72">
        <v>0</v>
      </c>
      <c r="BO2140" s="151" t="e">
        <f t="shared" si="141"/>
        <v>#DIV/0!</v>
      </c>
      <c r="BP2140" s="151" t="e">
        <f t="shared" si="142"/>
        <v>#DIV/0!</v>
      </c>
      <c r="BQ2140" s="71">
        <v>0</v>
      </c>
      <c r="BR2140" s="71">
        <v>0</v>
      </c>
      <c r="BS2140" s="71">
        <v>0</v>
      </c>
      <c r="BT2140" s="72">
        <v>0</v>
      </c>
      <c r="BU2140" s="151" t="e">
        <f t="shared" si="139"/>
        <v>#DIV/0!</v>
      </c>
      <c r="BV2140" s="151" t="e">
        <f t="shared" si="140"/>
        <v>#DIV/0!</v>
      </c>
    </row>
    <row r="2141" ht="30" customHeight="1" spans="1:74">
      <c r="A2141" s="55" t="s">
        <v>96</v>
      </c>
      <c r="B2141" s="56" t="s">
        <v>1237</v>
      </c>
      <c r="C2141" s="57" t="s">
        <v>3341</v>
      </c>
      <c r="D2141" s="76" t="s">
        <v>3358</v>
      </c>
      <c r="E2141" s="59" t="s">
        <v>3375</v>
      </c>
      <c r="F2141" s="59" t="str">
        <f>VLOOKUP(E2141,[1]库存!$B$1:$C$65536,2,FALSE)</f>
        <v>INEOS US-2 DAB</v>
      </c>
      <c r="G2141" s="59" t="s">
        <v>3376</v>
      </c>
      <c r="H2141" s="59" t="s">
        <v>3377</v>
      </c>
      <c r="I2141" s="59" t="s">
        <v>3378</v>
      </c>
      <c r="J2141" s="80" t="s">
        <v>65</v>
      </c>
      <c r="K2141" s="61"/>
      <c r="L2141" s="62">
        <v>0</v>
      </c>
      <c r="M2141" s="63">
        <v>800</v>
      </c>
      <c r="N2141" s="64">
        <v>12</v>
      </c>
      <c r="O2141" s="62">
        <v>0</v>
      </c>
      <c r="P2141" s="65">
        <f t="shared" si="143"/>
        <v>0</v>
      </c>
      <c r="Q2141" s="66"/>
      <c r="R2141" s="66"/>
      <c r="S2141" s="66"/>
      <c r="T2141" s="66"/>
      <c r="U2141" s="66"/>
      <c r="V2141" s="66"/>
      <c r="W2141" s="66"/>
      <c r="X2141" s="66"/>
      <c r="Y2141" s="66"/>
      <c r="Z2141" s="66"/>
      <c r="AA2141" s="66"/>
      <c r="AB2141" s="66"/>
      <c r="AC2141" s="66"/>
      <c r="AD2141" s="66"/>
      <c r="AE2141" s="66"/>
      <c r="AF2141" s="66"/>
      <c r="AG2141" s="66"/>
      <c r="AH2141" s="66"/>
      <c r="AI2141" s="66"/>
      <c r="AJ2141" s="66"/>
      <c r="AK2141" s="66"/>
      <c r="AL2141" s="66"/>
      <c r="AM2141" s="66"/>
      <c r="AN2141" s="66"/>
      <c r="AO2141" s="66"/>
      <c r="AP2141" s="66"/>
      <c r="AQ2141" s="66"/>
      <c r="AR2141" s="66"/>
      <c r="AS2141" s="66"/>
      <c r="AT2141" s="66"/>
      <c r="AU2141" s="66"/>
      <c r="AV2141" s="66"/>
      <c r="AW2141" s="66"/>
      <c r="AX2141" s="66"/>
      <c r="AY2141" s="66"/>
      <c r="AZ2141" s="66"/>
      <c r="BA2141" s="66"/>
      <c r="BB2141" s="66"/>
      <c r="BC2141" s="66"/>
      <c r="BD2141" s="66"/>
      <c r="BE2141" s="67"/>
      <c r="BF2141" s="67"/>
      <c r="BG2141" s="68"/>
      <c r="BI2141" s="69">
        <v>0</v>
      </c>
      <c r="BJ2141" s="70">
        <v>0</v>
      </c>
      <c r="BK2141" s="71">
        <v>0</v>
      </c>
      <c r="BL2141" s="71">
        <v>0</v>
      </c>
      <c r="BM2141" s="71">
        <v>0</v>
      </c>
      <c r="BN2141" s="72">
        <v>0</v>
      </c>
      <c r="BO2141" s="151" t="e">
        <f t="shared" si="141"/>
        <v>#DIV/0!</v>
      </c>
      <c r="BP2141" s="151" t="e">
        <f t="shared" si="142"/>
        <v>#DIV/0!</v>
      </c>
      <c r="BQ2141" s="71">
        <v>0</v>
      </c>
      <c r="BR2141" s="71">
        <v>0</v>
      </c>
      <c r="BS2141" s="71">
        <v>0</v>
      </c>
      <c r="BT2141" s="72">
        <v>0</v>
      </c>
      <c r="BU2141" s="151" t="e">
        <f t="shared" si="139"/>
        <v>#DIV/0!</v>
      </c>
      <c r="BV2141" s="151" t="e">
        <f t="shared" si="140"/>
        <v>#DIV/0!</v>
      </c>
    </row>
    <row r="2142" ht="30" customHeight="1" spans="1:74">
      <c r="A2142" s="55">
        <v>0</v>
      </c>
      <c r="B2142" s="56">
        <v>0</v>
      </c>
      <c r="C2142" s="57">
        <v>0</v>
      </c>
      <c r="D2142" s="78"/>
      <c r="E2142" s="74"/>
      <c r="F2142" s="59" t="e">
        <f>VLOOKUP(E2142,[1]库存!$B$1:$C$65536,2,FALSE)</f>
        <v>#N/A</v>
      </c>
      <c r="G2142" s="59" t="e">
        <v>#N/A</v>
      </c>
      <c r="H2142" s="74"/>
      <c r="I2142" s="74"/>
      <c r="J2142" s="81"/>
      <c r="K2142" s="61"/>
      <c r="L2142" s="62">
        <v>0</v>
      </c>
      <c r="M2142" s="63">
        <v>0</v>
      </c>
      <c r="N2142" s="64">
        <v>0</v>
      </c>
      <c r="O2142" s="62">
        <v>0</v>
      </c>
      <c r="P2142" s="65">
        <f t="shared" si="143"/>
        <v>0</v>
      </c>
      <c r="Q2142" s="66"/>
      <c r="R2142" s="66"/>
      <c r="S2142" s="66"/>
      <c r="T2142" s="66"/>
      <c r="U2142" s="66"/>
      <c r="V2142" s="66"/>
      <c r="W2142" s="66"/>
      <c r="X2142" s="66"/>
      <c r="Y2142" s="66"/>
      <c r="Z2142" s="66"/>
      <c r="AA2142" s="66"/>
      <c r="AB2142" s="66"/>
      <c r="AC2142" s="66"/>
      <c r="AD2142" s="66"/>
      <c r="AE2142" s="66"/>
      <c r="AF2142" s="66"/>
      <c r="AG2142" s="66"/>
      <c r="AH2142" s="66"/>
      <c r="AI2142" s="66"/>
      <c r="AJ2142" s="66"/>
      <c r="AK2142" s="66"/>
      <c r="AL2142" s="66"/>
      <c r="AM2142" s="66"/>
      <c r="AN2142" s="66"/>
      <c r="AO2142" s="66"/>
      <c r="AP2142" s="66"/>
      <c r="AQ2142" s="66"/>
      <c r="AR2142" s="66"/>
      <c r="AS2142" s="66"/>
      <c r="AT2142" s="66"/>
      <c r="AU2142" s="66"/>
      <c r="AV2142" s="66"/>
      <c r="AW2142" s="66"/>
      <c r="AX2142" s="66"/>
      <c r="AY2142" s="66"/>
      <c r="AZ2142" s="66"/>
      <c r="BA2142" s="66"/>
      <c r="BB2142" s="66"/>
      <c r="BC2142" s="66"/>
      <c r="BD2142" s="66"/>
      <c r="BE2142" s="67"/>
      <c r="BF2142" s="67"/>
      <c r="BG2142" s="68"/>
      <c r="BI2142" s="69">
        <v>0</v>
      </c>
      <c r="BJ2142" s="70">
        <v>0</v>
      </c>
      <c r="BK2142" s="71">
        <v>0</v>
      </c>
      <c r="BL2142" s="71">
        <v>0</v>
      </c>
      <c r="BM2142" s="71">
        <v>0</v>
      </c>
      <c r="BN2142" s="72">
        <v>0</v>
      </c>
      <c r="BO2142" s="151" t="e">
        <f t="shared" si="141"/>
        <v>#DIV/0!</v>
      </c>
      <c r="BP2142" s="151" t="e">
        <f t="shared" si="142"/>
        <v>#DIV/0!</v>
      </c>
      <c r="BQ2142" s="71">
        <v>0</v>
      </c>
      <c r="BR2142" s="71">
        <v>0</v>
      </c>
      <c r="BS2142" s="71">
        <v>0</v>
      </c>
      <c r="BT2142" s="72">
        <v>0</v>
      </c>
      <c r="BU2142" s="151" t="e">
        <f t="shared" si="139"/>
        <v>#DIV/0!</v>
      </c>
      <c r="BV2142" s="151" t="e">
        <f t="shared" si="140"/>
        <v>#DIV/0!</v>
      </c>
    </row>
    <row r="2143" ht="30" customHeight="1" spans="1:74">
      <c r="A2143" s="55">
        <v>0</v>
      </c>
      <c r="B2143" s="56" t="s">
        <v>1237</v>
      </c>
      <c r="C2143" s="57" t="s">
        <v>3341</v>
      </c>
      <c r="D2143" s="76" t="s">
        <v>3358</v>
      </c>
      <c r="E2143" s="59"/>
      <c r="F2143" s="59" t="e">
        <f>VLOOKUP(E2143,[1]库存!$B$1:$C$65536,2,FALSE)</f>
        <v>#N/A</v>
      </c>
      <c r="G2143" s="59" t="e">
        <v>#N/A</v>
      </c>
      <c r="H2143" s="59" t="s">
        <v>3379</v>
      </c>
      <c r="I2143" s="59" t="s">
        <v>3380</v>
      </c>
      <c r="J2143" s="63"/>
      <c r="K2143" s="61"/>
      <c r="L2143" s="62">
        <v>0</v>
      </c>
      <c r="M2143" s="63">
        <v>0</v>
      </c>
      <c r="N2143" s="64">
        <v>0</v>
      </c>
      <c r="O2143" s="62">
        <v>0</v>
      </c>
      <c r="P2143" s="65">
        <f t="shared" si="143"/>
        <v>0</v>
      </c>
      <c r="Q2143" s="66"/>
      <c r="R2143" s="66"/>
      <c r="S2143" s="66"/>
      <c r="T2143" s="66"/>
      <c r="U2143" s="66"/>
      <c r="V2143" s="66"/>
      <c r="W2143" s="66"/>
      <c r="X2143" s="66"/>
      <c r="Y2143" s="66"/>
      <c r="Z2143" s="66"/>
      <c r="AA2143" s="66"/>
      <c r="AB2143" s="66"/>
      <c r="AC2143" s="66"/>
      <c r="AD2143" s="66"/>
      <c r="AE2143" s="66"/>
      <c r="AF2143" s="66"/>
      <c r="AG2143" s="66"/>
      <c r="AH2143" s="66"/>
      <c r="AI2143" s="66"/>
      <c r="AJ2143" s="66"/>
      <c r="AK2143" s="66"/>
      <c r="AL2143" s="66"/>
      <c r="AM2143" s="66"/>
      <c r="AN2143" s="66"/>
      <c r="AO2143" s="66"/>
      <c r="AP2143" s="66"/>
      <c r="AQ2143" s="66"/>
      <c r="AR2143" s="66"/>
      <c r="AS2143" s="66"/>
      <c r="AT2143" s="66"/>
      <c r="AU2143" s="66"/>
      <c r="AV2143" s="66"/>
      <c r="AW2143" s="66"/>
      <c r="AX2143" s="66"/>
      <c r="AY2143" s="66"/>
      <c r="AZ2143" s="66"/>
      <c r="BA2143" s="66"/>
      <c r="BB2143" s="66"/>
      <c r="BC2143" s="66"/>
      <c r="BD2143" s="66"/>
      <c r="BE2143" s="67"/>
      <c r="BF2143" s="67"/>
      <c r="BG2143" s="68"/>
      <c r="BI2143" s="69">
        <v>0</v>
      </c>
      <c r="BJ2143" s="70">
        <v>0</v>
      </c>
      <c r="BK2143" s="71">
        <v>0</v>
      </c>
      <c r="BL2143" s="71">
        <v>0</v>
      </c>
      <c r="BM2143" s="71">
        <v>0</v>
      </c>
      <c r="BN2143" s="72">
        <v>0</v>
      </c>
      <c r="BO2143" s="151" t="e">
        <f t="shared" si="141"/>
        <v>#DIV/0!</v>
      </c>
      <c r="BP2143" s="151" t="e">
        <f t="shared" si="142"/>
        <v>#DIV/0!</v>
      </c>
      <c r="BQ2143" s="71">
        <v>0</v>
      </c>
      <c r="BR2143" s="71">
        <v>0</v>
      </c>
      <c r="BS2143" s="71">
        <v>0</v>
      </c>
      <c r="BT2143" s="72">
        <v>0</v>
      </c>
      <c r="BU2143" s="151" t="e">
        <f t="shared" si="139"/>
        <v>#DIV/0!</v>
      </c>
      <c r="BV2143" s="151" t="e">
        <f t="shared" si="140"/>
        <v>#DIV/0!</v>
      </c>
    </row>
    <row r="2144" ht="30" customHeight="1" spans="1:74">
      <c r="A2144" s="55">
        <v>0</v>
      </c>
      <c r="B2144" s="56">
        <v>0</v>
      </c>
      <c r="C2144" s="57">
        <v>0</v>
      </c>
      <c r="D2144" s="78"/>
      <c r="E2144" s="74"/>
      <c r="F2144" s="59" t="e">
        <f>VLOOKUP(E2144,[1]库存!$B$1:$C$65536,2,FALSE)</f>
        <v>#N/A</v>
      </c>
      <c r="G2144" s="59" t="e">
        <v>#N/A</v>
      </c>
      <c r="H2144" s="74"/>
      <c r="I2144" s="74"/>
      <c r="J2144" s="87"/>
      <c r="K2144" s="61"/>
      <c r="L2144" s="62">
        <v>0</v>
      </c>
      <c r="M2144" s="63">
        <v>0</v>
      </c>
      <c r="N2144" s="64">
        <v>0</v>
      </c>
      <c r="O2144" s="62">
        <v>0</v>
      </c>
      <c r="P2144" s="65">
        <f t="shared" si="143"/>
        <v>0</v>
      </c>
      <c r="Q2144" s="66"/>
      <c r="R2144" s="66"/>
      <c r="S2144" s="66"/>
      <c r="T2144" s="66"/>
      <c r="U2144" s="66"/>
      <c r="V2144" s="66"/>
      <c r="W2144" s="66"/>
      <c r="X2144" s="66"/>
      <c r="Y2144" s="66"/>
      <c r="Z2144" s="66"/>
      <c r="AA2144" s="66"/>
      <c r="AB2144" s="66"/>
      <c r="AC2144" s="66"/>
      <c r="AD2144" s="66"/>
      <c r="AE2144" s="66"/>
      <c r="AF2144" s="66"/>
      <c r="AG2144" s="66"/>
      <c r="AH2144" s="66"/>
      <c r="AI2144" s="66"/>
      <c r="AJ2144" s="66"/>
      <c r="AK2144" s="66"/>
      <c r="AL2144" s="66"/>
      <c r="AM2144" s="66"/>
      <c r="AN2144" s="66"/>
      <c r="AO2144" s="66"/>
      <c r="AP2144" s="66"/>
      <c r="AQ2144" s="66"/>
      <c r="AR2144" s="66"/>
      <c r="AS2144" s="66"/>
      <c r="AT2144" s="66"/>
      <c r="AU2144" s="66"/>
      <c r="AV2144" s="66"/>
      <c r="AW2144" s="66"/>
      <c r="AX2144" s="66"/>
      <c r="AY2144" s="66"/>
      <c r="AZ2144" s="66"/>
      <c r="BA2144" s="66"/>
      <c r="BB2144" s="66"/>
      <c r="BC2144" s="66"/>
      <c r="BD2144" s="66"/>
      <c r="BE2144" s="67"/>
      <c r="BF2144" s="67"/>
      <c r="BG2144" s="68"/>
      <c r="BI2144" s="69">
        <v>0</v>
      </c>
      <c r="BJ2144" s="70">
        <v>0</v>
      </c>
      <c r="BK2144" s="71">
        <v>0</v>
      </c>
      <c r="BL2144" s="71">
        <v>0</v>
      </c>
      <c r="BM2144" s="71">
        <v>0</v>
      </c>
      <c r="BN2144" s="72">
        <v>0</v>
      </c>
      <c r="BO2144" s="151" t="e">
        <f t="shared" si="141"/>
        <v>#DIV/0!</v>
      </c>
      <c r="BP2144" s="151" t="e">
        <f t="shared" si="142"/>
        <v>#DIV/0!</v>
      </c>
      <c r="BQ2144" s="71">
        <v>0</v>
      </c>
      <c r="BR2144" s="71">
        <v>0</v>
      </c>
      <c r="BS2144" s="71">
        <v>0</v>
      </c>
      <c r="BT2144" s="72">
        <v>0</v>
      </c>
      <c r="BU2144" s="151" t="e">
        <f t="shared" si="139"/>
        <v>#DIV/0!</v>
      </c>
      <c r="BV2144" s="151" t="e">
        <f t="shared" si="140"/>
        <v>#DIV/0!</v>
      </c>
    </row>
    <row r="2145" ht="30" customHeight="1" spans="1:74">
      <c r="A2145" s="55">
        <v>0</v>
      </c>
      <c r="B2145" s="56">
        <v>0</v>
      </c>
      <c r="C2145" s="57">
        <v>0</v>
      </c>
      <c r="E2145" s="88"/>
      <c r="F2145" s="59" t="e">
        <f>VLOOKUP(E2145,[1]库存!$B$1:$C$65536,2,FALSE)</f>
        <v>#N/A</v>
      </c>
      <c r="G2145" s="59" t="e">
        <v>#N/A</v>
      </c>
      <c r="H2145" s="89"/>
      <c r="I2145" s="88"/>
      <c r="J2145" s="90"/>
      <c r="K2145" s="61"/>
      <c r="L2145" s="62">
        <v>0</v>
      </c>
      <c r="M2145" s="63">
        <v>0</v>
      </c>
      <c r="N2145" s="64">
        <v>0</v>
      </c>
      <c r="O2145" s="62">
        <v>0</v>
      </c>
      <c r="P2145" s="65">
        <f t="shared" si="143"/>
        <v>0</v>
      </c>
      <c r="Q2145" s="66"/>
      <c r="R2145" s="66"/>
      <c r="S2145" s="66"/>
      <c r="T2145" s="66"/>
      <c r="U2145" s="66"/>
      <c r="V2145" s="66"/>
      <c r="W2145" s="66"/>
      <c r="X2145" s="66"/>
      <c r="Y2145" s="66"/>
      <c r="Z2145" s="66"/>
      <c r="AA2145" s="66"/>
      <c r="AB2145" s="66"/>
      <c r="AC2145" s="66"/>
      <c r="AD2145" s="66"/>
      <c r="AE2145" s="66"/>
      <c r="AF2145" s="66"/>
      <c r="AG2145" s="66"/>
      <c r="AH2145" s="66"/>
      <c r="AI2145" s="66"/>
      <c r="AJ2145" s="66"/>
      <c r="AK2145" s="66"/>
      <c r="AL2145" s="66"/>
      <c r="AM2145" s="66"/>
      <c r="AN2145" s="66"/>
      <c r="AO2145" s="66"/>
      <c r="AP2145" s="66"/>
      <c r="AQ2145" s="66"/>
      <c r="AR2145" s="66"/>
      <c r="AS2145" s="66"/>
      <c r="AT2145" s="66"/>
      <c r="AU2145" s="66"/>
      <c r="AV2145" s="66"/>
      <c r="AW2145" s="66"/>
      <c r="AX2145" s="66"/>
      <c r="AY2145" s="66"/>
      <c r="AZ2145" s="66"/>
      <c r="BA2145" s="66"/>
      <c r="BB2145" s="66"/>
      <c r="BC2145" s="66"/>
      <c r="BD2145" s="66"/>
      <c r="BE2145" s="67"/>
      <c r="BF2145" s="67"/>
      <c r="BG2145" s="68"/>
      <c r="BI2145" s="69">
        <v>0</v>
      </c>
      <c r="BJ2145" s="70">
        <v>0</v>
      </c>
      <c r="BK2145" s="71">
        <v>0</v>
      </c>
      <c r="BL2145" s="71">
        <v>0</v>
      </c>
      <c r="BM2145" s="71">
        <v>0</v>
      </c>
      <c r="BN2145" s="72">
        <v>0</v>
      </c>
      <c r="BO2145" s="151" t="e">
        <f t="shared" si="141"/>
        <v>#DIV/0!</v>
      </c>
      <c r="BP2145" s="151" t="e">
        <f t="shared" si="142"/>
        <v>#DIV/0!</v>
      </c>
      <c r="BQ2145" s="71">
        <v>0</v>
      </c>
      <c r="BR2145" s="71">
        <v>0</v>
      </c>
      <c r="BS2145" s="71">
        <v>0</v>
      </c>
      <c r="BT2145" s="72">
        <v>0</v>
      </c>
      <c r="BU2145" s="151" t="e">
        <f t="shared" si="139"/>
        <v>#DIV/0!</v>
      </c>
      <c r="BV2145" s="151" t="e">
        <f t="shared" si="140"/>
        <v>#DIV/0!</v>
      </c>
    </row>
    <row r="2146" ht="30" customHeight="1" spans="1:74">
      <c r="A2146" s="55" t="s">
        <v>41</v>
      </c>
      <c r="B2146" s="56" t="s">
        <v>1237</v>
      </c>
      <c r="C2146" s="57" t="s">
        <v>3341</v>
      </c>
      <c r="D2146" s="76" t="s">
        <v>3381</v>
      </c>
      <c r="E2146" s="59" t="s">
        <v>3382</v>
      </c>
      <c r="F2146" s="59" t="str">
        <f>VLOOKUP(E2146,[1]库存!$B$1:$C$65536,2,FALSE)</f>
        <v>CHANGAN S311 MCA DAB</v>
      </c>
      <c r="G2146" s="59" t="s">
        <v>3383</v>
      </c>
      <c r="H2146" s="59" t="s">
        <v>3384</v>
      </c>
      <c r="I2146" s="59" t="s">
        <v>3385</v>
      </c>
      <c r="J2146" s="80" t="s">
        <v>65</v>
      </c>
      <c r="K2146" s="61"/>
      <c r="L2146" s="62">
        <v>2</v>
      </c>
      <c r="M2146" s="63">
        <v>1450</v>
      </c>
      <c r="N2146" s="64">
        <v>7</v>
      </c>
      <c r="O2146" s="62">
        <v>2</v>
      </c>
      <c r="P2146" s="65">
        <f t="shared" si="143"/>
        <v>0</v>
      </c>
      <c r="Q2146" s="103"/>
      <c r="R2146" s="103"/>
      <c r="S2146" s="103"/>
      <c r="T2146" s="103"/>
      <c r="U2146" s="103"/>
      <c r="V2146" s="103"/>
      <c r="W2146" s="103"/>
      <c r="X2146" s="103"/>
      <c r="Y2146" s="103"/>
      <c r="Z2146" s="103"/>
      <c r="AA2146" s="103"/>
      <c r="AB2146" s="103"/>
      <c r="AC2146" s="103"/>
      <c r="AD2146" s="103"/>
      <c r="AE2146" s="103"/>
      <c r="AF2146" s="103"/>
      <c r="AG2146" s="103"/>
      <c r="AH2146" s="103"/>
      <c r="AI2146" s="103"/>
      <c r="AJ2146" s="103"/>
      <c r="AK2146" s="103"/>
      <c r="AL2146" s="103"/>
      <c r="AM2146" s="103"/>
      <c r="AN2146" s="103"/>
      <c r="AO2146" s="103"/>
      <c r="AP2146" s="103"/>
      <c r="AQ2146" s="103"/>
      <c r="AR2146" s="103"/>
      <c r="AS2146" s="103"/>
      <c r="AT2146" s="103"/>
      <c r="AU2146" s="103"/>
      <c r="AV2146" s="103"/>
      <c r="AW2146" s="103"/>
      <c r="AX2146" s="103"/>
      <c r="AY2146" s="103"/>
      <c r="AZ2146" s="103"/>
      <c r="BA2146" s="103"/>
      <c r="BB2146" s="103"/>
      <c r="BC2146" s="103"/>
      <c r="BD2146" s="103"/>
      <c r="BE2146" s="105"/>
      <c r="BF2146" s="105"/>
      <c r="BG2146" s="68"/>
      <c r="BI2146" s="69">
        <v>0</v>
      </c>
      <c r="BJ2146" s="70">
        <v>0</v>
      </c>
      <c r="BK2146" s="71">
        <v>0</v>
      </c>
      <c r="BL2146" s="71">
        <v>0</v>
      </c>
      <c r="BM2146" s="71">
        <v>0</v>
      </c>
      <c r="BN2146" s="72">
        <v>0</v>
      </c>
      <c r="BO2146" s="151" t="e">
        <f t="shared" si="141"/>
        <v>#DIV/0!</v>
      </c>
      <c r="BP2146" s="151" t="e">
        <f t="shared" si="142"/>
        <v>#DIV/0!</v>
      </c>
      <c r="BQ2146" s="71">
        <v>0</v>
      </c>
      <c r="BR2146" s="71">
        <v>0</v>
      </c>
      <c r="BS2146" s="71">
        <v>0</v>
      </c>
      <c r="BT2146" s="72">
        <v>0</v>
      </c>
      <c r="BU2146" s="151" t="e">
        <f t="shared" si="139"/>
        <v>#DIV/0!</v>
      </c>
      <c r="BV2146" s="151" t="e">
        <f t="shared" si="140"/>
        <v>#DIV/0!</v>
      </c>
    </row>
    <row r="2147" ht="30" customHeight="1" spans="1:74">
      <c r="A2147" s="55">
        <v>0</v>
      </c>
      <c r="B2147" s="56">
        <v>0</v>
      </c>
      <c r="C2147" s="57">
        <v>0</v>
      </c>
      <c r="D2147" s="78"/>
      <c r="E2147" s="74"/>
      <c r="F2147" s="59" t="e">
        <f>VLOOKUP(E2147,[1]库存!$B$1:$C$65536,2,FALSE)</f>
        <v>#N/A</v>
      </c>
      <c r="G2147" s="59" t="e">
        <v>#N/A</v>
      </c>
      <c r="H2147" s="74"/>
      <c r="I2147" s="74"/>
      <c r="J2147" s="81"/>
      <c r="K2147" s="61"/>
      <c r="L2147" s="62">
        <v>0</v>
      </c>
      <c r="M2147" s="63">
        <v>0</v>
      </c>
      <c r="N2147" s="64">
        <v>0</v>
      </c>
      <c r="O2147" s="62">
        <v>0</v>
      </c>
      <c r="P2147" s="65">
        <f t="shared" si="143"/>
        <v>0</v>
      </c>
      <c r="Q2147" s="66"/>
      <c r="R2147" s="66"/>
      <c r="S2147" s="66"/>
      <c r="T2147" s="66"/>
      <c r="U2147" s="66"/>
      <c r="V2147" s="66"/>
      <c r="W2147" s="66"/>
      <c r="X2147" s="66"/>
      <c r="Y2147" s="66"/>
      <c r="Z2147" s="66"/>
      <c r="AA2147" s="66"/>
      <c r="AB2147" s="66"/>
      <c r="AC2147" s="66"/>
      <c r="AD2147" s="66"/>
      <c r="AE2147" s="66"/>
      <c r="AF2147" s="66"/>
      <c r="AG2147" s="66"/>
      <c r="AH2147" s="66"/>
      <c r="AI2147" s="66"/>
      <c r="AJ2147" s="66"/>
      <c r="AK2147" s="66"/>
      <c r="AL2147" s="66"/>
      <c r="AM2147" s="66"/>
      <c r="AN2147" s="66"/>
      <c r="AO2147" s="66"/>
      <c r="AP2147" s="66"/>
      <c r="AQ2147" s="66"/>
      <c r="AR2147" s="66"/>
      <c r="AS2147" s="66"/>
      <c r="AT2147" s="66"/>
      <c r="AU2147" s="66"/>
      <c r="AV2147" s="66"/>
      <c r="AW2147" s="66"/>
      <c r="AX2147" s="66"/>
      <c r="AY2147" s="66"/>
      <c r="AZ2147" s="66"/>
      <c r="BA2147" s="66"/>
      <c r="BB2147" s="66"/>
      <c r="BC2147" s="66"/>
      <c r="BD2147" s="66"/>
      <c r="BE2147" s="105"/>
      <c r="BF2147" s="67"/>
      <c r="BG2147" s="68"/>
      <c r="BI2147" s="69">
        <v>0</v>
      </c>
      <c r="BJ2147" s="70">
        <v>0</v>
      </c>
      <c r="BK2147" s="71">
        <v>0</v>
      </c>
      <c r="BL2147" s="71">
        <v>0</v>
      </c>
      <c r="BM2147" s="71">
        <v>0</v>
      </c>
      <c r="BN2147" s="72">
        <v>0</v>
      </c>
      <c r="BO2147" s="151" t="e">
        <f t="shared" si="141"/>
        <v>#DIV/0!</v>
      </c>
      <c r="BP2147" s="151" t="e">
        <f t="shared" si="142"/>
        <v>#DIV/0!</v>
      </c>
      <c r="BQ2147" s="71">
        <v>0</v>
      </c>
      <c r="BR2147" s="71">
        <v>0</v>
      </c>
      <c r="BS2147" s="71">
        <v>0</v>
      </c>
      <c r="BT2147" s="72">
        <v>0</v>
      </c>
      <c r="BU2147" s="151" t="e">
        <f t="shared" si="139"/>
        <v>#DIV/0!</v>
      </c>
      <c r="BV2147" s="151" t="e">
        <f t="shared" si="140"/>
        <v>#DIV/0!</v>
      </c>
    </row>
    <row r="2148" ht="30" customHeight="1" spans="1:74">
      <c r="A2148" s="55" t="s">
        <v>41</v>
      </c>
      <c r="B2148" s="56" t="s">
        <v>1237</v>
      </c>
      <c r="C2148" s="57" t="s">
        <v>3341</v>
      </c>
      <c r="D2148" s="76" t="s">
        <v>3381</v>
      </c>
      <c r="E2148" s="59" t="s">
        <v>3386</v>
      </c>
      <c r="F2148" s="59" t="str">
        <f>VLOOKUP(E2148,[1]库存!$B$1:$C$65536,2,FALSE)</f>
        <v>Geely KX11 HEV DAB</v>
      </c>
      <c r="G2148" s="59" t="s">
        <v>3387</v>
      </c>
      <c r="H2148" s="59" t="s">
        <v>3388</v>
      </c>
      <c r="I2148" s="59" t="s">
        <v>3389</v>
      </c>
      <c r="J2148" s="80" t="s">
        <v>65</v>
      </c>
      <c r="K2148" s="61"/>
      <c r="L2148" s="62">
        <v>2</v>
      </c>
      <c r="M2148" s="63">
        <v>1200</v>
      </c>
      <c r="N2148" s="64">
        <v>8</v>
      </c>
      <c r="O2148" s="62">
        <v>2</v>
      </c>
      <c r="P2148" s="65">
        <f t="shared" si="143"/>
        <v>0</v>
      </c>
      <c r="Q2148" s="66"/>
      <c r="R2148" s="66"/>
      <c r="S2148" s="66"/>
      <c r="T2148" s="66"/>
      <c r="U2148" s="66"/>
      <c r="V2148" s="66"/>
      <c r="W2148" s="66"/>
      <c r="X2148" s="66"/>
      <c r="Y2148" s="66"/>
      <c r="Z2148" s="66"/>
      <c r="AA2148" s="66"/>
      <c r="AB2148" s="66"/>
      <c r="AC2148" s="66"/>
      <c r="AD2148" s="66"/>
      <c r="AE2148" s="66"/>
      <c r="AF2148" s="66"/>
      <c r="AG2148" s="66"/>
      <c r="AH2148" s="66"/>
      <c r="AI2148" s="66"/>
      <c r="AJ2148" s="66"/>
      <c r="AK2148" s="66"/>
      <c r="AL2148" s="66"/>
      <c r="AM2148" s="66"/>
      <c r="AN2148" s="66"/>
      <c r="AO2148" s="66"/>
      <c r="AP2148" s="66"/>
      <c r="AQ2148" s="66"/>
      <c r="AR2148" s="66"/>
      <c r="AS2148" s="66"/>
      <c r="AT2148" s="66"/>
      <c r="AU2148" s="66"/>
      <c r="AV2148" s="66"/>
      <c r="AW2148" s="66"/>
      <c r="AX2148" s="66"/>
      <c r="AY2148" s="66"/>
      <c r="AZ2148" s="66"/>
      <c r="BA2148" s="66"/>
      <c r="BB2148" s="66"/>
      <c r="BC2148" s="66"/>
      <c r="BD2148" s="66"/>
      <c r="BE2148" s="67"/>
      <c r="BF2148" s="67"/>
      <c r="BG2148" s="68"/>
      <c r="BI2148" s="69">
        <v>0</v>
      </c>
      <c r="BJ2148" s="70">
        <v>0</v>
      </c>
      <c r="BK2148" s="71">
        <v>0</v>
      </c>
      <c r="BL2148" s="71">
        <v>0</v>
      </c>
      <c r="BM2148" s="71">
        <v>0</v>
      </c>
      <c r="BN2148" s="72">
        <v>0</v>
      </c>
      <c r="BO2148" s="151" t="e">
        <f t="shared" si="141"/>
        <v>#DIV/0!</v>
      </c>
      <c r="BP2148" s="151" t="e">
        <f t="shared" si="142"/>
        <v>#DIV/0!</v>
      </c>
      <c r="BQ2148" s="71">
        <v>0</v>
      </c>
      <c r="BR2148" s="71">
        <v>0</v>
      </c>
      <c r="BS2148" s="71">
        <v>0</v>
      </c>
      <c r="BT2148" s="72">
        <v>0</v>
      </c>
      <c r="BU2148" s="151" t="e">
        <f t="shared" si="139"/>
        <v>#DIV/0!</v>
      </c>
      <c r="BV2148" s="151" t="e">
        <f t="shared" si="140"/>
        <v>#DIV/0!</v>
      </c>
    </row>
    <row r="2149" ht="30" customHeight="1" spans="1:74">
      <c r="A2149" s="55">
        <v>0</v>
      </c>
      <c r="B2149" s="56">
        <v>0</v>
      </c>
      <c r="C2149" s="57">
        <v>0</v>
      </c>
      <c r="D2149" s="78"/>
      <c r="E2149" s="74"/>
      <c r="F2149" s="59" t="e">
        <f>VLOOKUP(E2149,[1]库存!$B$1:$C$65536,2,FALSE)</f>
        <v>#N/A</v>
      </c>
      <c r="G2149" s="59" t="e">
        <v>#N/A</v>
      </c>
      <c r="H2149" s="74"/>
      <c r="I2149" s="74"/>
      <c r="J2149" s="81"/>
      <c r="K2149" s="61"/>
      <c r="L2149" s="62">
        <v>0</v>
      </c>
      <c r="M2149" s="63">
        <v>0</v>
      </c>
      <c r="N2149" s="64">
        <v>0</v>
      </c>
      <c r="O2149" s="62">
        <v>0</v>
      </c>
      <c r="P2149" s="65">
        <f t="shared" si="143"/>
        <v>0</v>
      </c>
      <c r="Q2149" s="66"/>
      <c r="R2149" s="66"/>
      <c r="S2149" s="66"/>
      <c r="T2149" s="66"/>
      <c r="U2149" s="66"/>
      <c r="V2149" s="66"/>
      <c r="W2149" s="66"/>
      <c r="X2149" s="66"/>
      <c r="Y2149" s="66"/>
      <c r="Z2149" s="66"/>
      <c r="AA2149" s="66"/>
      <c r="AB2149" s="66"/>
      <c r="AC2149" s="66"/>
      <c r="AD2149" s="66"/>
      <c r="AE2149" s="66"/>
      <c r="AF2149" s="66"/>
      <c r="AG2149" s="66"/>
      <c r="AH2149" s="66"/>
      <c r="AI2149" s="66"/>
      <c r="AJ2149" s="66"/>
      <c r="AK2149" s="66"/>
      <c r="AL2149" s="66"/>
      <c r="AM2149" s="66"/>
      <c r="AN2149" s="66"/>
      <c r="AO2149" s="66"/>
      <c r="AP2149" s="66"/>
      <c r="AQ2149" s="66"/>
      <c r="AR2149" s="66"/>
      <c r="AS2149" s="66"/>
      <c r="AT2149" s="66"/>
      <c r="AU2149" s="66"/>
      <c r="AV2149" s="66"/>
      <c r="AW2149" s="66"/>
      <c r="AX2149" s="66"/>
      <c r="AY2149" s="66"/>
      <c r="AZ2149" s="66"/>
      <c r="BA2149" s="66"/>
      <c r="BB2149" s="66"/>
      <c r="BC2149" s="66"/>
      <c r="BD2149" s="66"/>
      <c r="BE2149" s="67"/>
      <c r="BF2149" s="67"/>
      <c r="BG2149" s="68"/>
      <c r="BI2149" s="69">
        <v>0</v>
      </c>
      <c r="BJ2149" s="70">
        <v>0</v>
      </c>
      <c r="BK2149" s="71">
        <v>0</v>
      </c>
      <c r="BL2149" s="71">
        <v>0</v>
      </c>
      <c r="BM2149" s="71">
        <v>0</v>
      </c>
      <c r="BN2149" s="72">
        <v>0</v>
      </c>
      <c r="BO2149" s="151" t="e">
        <f t="shared" si="141"/>
        <v>#DIV/0!</v>
      </c>
      <c r="BP2149" s="151" t="e">
        <f t="shared" si="142"/>
        <v>#DIV/0!</v>
      </c>
      <c r="BQ2149" s="71">
        <v>0</v>
      </c>
      <c r="BR2149" s="71">
        <v>0</v>
      </c>
      <c r="BS2149" s="71">
        <v>0</v>
      </c>
      <c r="BT2149" s="72">
        <v>0</v>
      </c>
      <c r="BU2149" s="151" t="e">
        <f t="shared" si="139"/>
        <v>#DIV/0!</v>
      </c>
      <c r="BV2149" s="151" t="e">
        <f t="shared" si="140"/>
        <v>#DIV/0!</v>
      </c>
    </row>
    <row r="2150" ht="30" customHeight="1" spans="1:74">
      <c r="A2150" s="55" t="s">
        <v>41</v>
      </c>
      <c r="B2150" s="56" t="s">
        <v>1237</v>
      </c>
      <c r="C2150" s="57" t="s">
        <v>3341</v>
      </c>
      <c r="D2150" s="76" t="s">
        <v>3381</v>
      </c>
      <c r="E2150" s="59" t="s">
        <v>3390</v>
      </c>
      <c r="F2150" s="59" t="str">
        <f>VLOOKUP(E2150,[1]库存!$B$1:$C$65536,2,FALSE)</f>
        <v>GEELY FX11 DAB A状态</v>
      </c>
      <c r="G2150" s="59" t="s">
        <v>3391</v>
      </c>
      <c r="H2150" s="59" t="s">
        <v>3392</v>
      </c>
      <c r="I2150" s="59" t="s">
        <v>1634</v>
      </c>
      <c r="J2150" s="80" t="s">
        <v>65</v>
      </c>
      <c r="K2150" s="61"/>
      <c r="L2150" s="62">
        <v>0</v>
      </c>
      <c r="M2150" s="63">
        <v>1100</v>
      </c>
      <c r="N2150" s="64">
        <v>9</v>
      </c>
      <c r="O2150" s="62">
        <v>0</v>
      </c>
      <c r="P2150" s="65">
        <f t="shared" si="143"/>
        <v>0</v>
      </c>
      <c r="Q2150" s="66"/>
      <c r="R2150" s="66"/>
      <c r="S2150" s="66"/>
      <c r="T2150" s="66"/>
      <c r="U2150" s="66"/>
      <c r="V2150" s="66"/>
      <c r="W2150" s="66"/>
      <c r="X2150" s="66"/>
      <c r="Y2150" s="66"/>
      <c r="Z2150" s="66"/>
      <c r="AA2150" s="66"/>
      <c r="AB2150" s="66"/>
      <c r="AC2150" s="66"/>
      <c r="AD2150" s="66"/>
      <c r="AE2150" s="66"/>
      <c r="AF2150" s="66"/>
      <c r="AG2150" s="66"/>
      <c r="AH2150" s="66"/>
      <c r="AI2150" s="66"/>
      <c r="AJ2150" s="66"/>
      <c r="AK2150" s="66"/>
      <c r="AL2150" s="66"/>
      <c r="AM2150" s="66"/>
      <c r="AN2150" s="66"/>
      <c r="AO2150" s="66"/>
      <c r="AP2150" s="66"/>
      <c r="AQ2150" s="66"/>
      <c r="AR2150" s="66"/>
      <c r="AS2150" s="66"/>
      <c r="AT2150" s="66"/>
      <c r="AU2150" s="66"/>
      <c r="AV2150" s="66"/>
      <c r="AW2150" s="66"/>
      <c r="AX2150" s="66"/>
      <c r="AY2150" s="66"/>
      <c r="AZ2150" s="66"/>
      <c r="BA2150" s="66"/>
      <c r="BB2150" s="66"/>
      <c r="BC2150" s="66"/>
      <c r="BD2150" s="66"/>
      <c r="BE2150" s="67"/>
      <c r="BF2150" s="67"/>
      <c r="BG2150" s="68"/>
      <c r="BI2150" s="69">
        <v>0</v>
      </c>
      <c r="BJ2150" s="70">
        <v>0</v>
      </c>
      <c r="BK2150" s="71">
        <v>0</v>
      </c>
      <c r="BL2150" s="71">
        <v>0</v>
      </c>
      <c r="BM2150" s="71">
        <v>0</v>
      </c>
      <c r="BN2150" s="72">
        <v>0</v>
      </c>
      <c r="BO2150" s="151" t="e">
        <f t="shared" si="141"/>
        <v>#DIV/0!</v>
      </c>
      <c r="BP2150" s="151" t="e">
        <f t="shared" si="142"/>
        <v>#DIV/0!</v>
      </c>
      <c r="BQ2150" s="71">
        <v>0</v>
      </c>
      <c r="BR2150" s="71">
        <v>0</v>
      </c>
      <c r="BS2150" s="71">
        <v>0</v>
      </c>
      <c r="BT2150" s="72">
        <v>0</v>
      </c>
      <c r="BU2150" s="151" t="e">
        <f t="shared" si="139"/>
        <v>#DIV/0!</v>
      </c>
      <c r="BV2150" s="151" t="e">
        <f t="shared" si="140"/>
        <v>#DIV/0!</v>
      </c>
    </row>
    <row r="2151" ht="30" customHeight="1" spans="1:74">
      <c r="A2151" s="55">
        <v>0</v>
      </c>
      <c r="B2151" s="56">
        <v>0</v>
      </c>
      <c r="C2151" s="57">
        <v>0</v>
      </c>
      <c r="D2151" s="78"/>
      <c r="E2151" s="74"/>
      <c r="F2151" s="59" t="e">
        <f>VLOOKUP(E2151,[1]库存!$B$1:$C$65536,2,FALSE)</f>
        <v>#N/A</v>
      </c>
      <c r="G2151" s="59" t="e">
        <v>#N/A</v>
      </c>
      <c r="H2151" s="74"/>
      <c r="I2151" s="74"/>
      <c r="J2151" s="81"/>
      <c r="K2151" s="61"/>
      <c r="L2151" s="62">
        <v>0</v>
      </c>
      <c r="M2151" s="63">
        <v>0</v>
      </c>
      <c r="N2151" s="64">
        <v>0</v>
      </c>
      <c r="O2151" s="62">
        <v>0</v>
      </c>
      <c r="P2151" s="65">
        <f t="shared" si="143"/>
        <v>0</v>
      </c>
      <c r="Q2151" s="66"/>
      <c r="R2151" s="66"/>
      <c r="S2151" s="66"/>
      <c r="T2151" s="66"/>
      <c r="U2151" s="66"/>
      <c r="V2151" s="66"/>
      <c r="W2151" s="66"/>
      <c r="X2151" s="66"/>
      <c r="Y2151" s="66"/>
      <c r="Z2151" s="66"/>
      <c r="AA2151" s="66"/>
      <c r="AB2151" s="66"/>
      <c r="AC2151" s="66"/>
      <c r="AD2151" s="66"/>
      <c r="AE2151" s="66"/>
      <c r="AF2151" s="66"/>
      <c r="AG2151" s="66"/>
      <c r="AH2151" s="66"/>
      <c r="AI2151" s="66"/>
      <c r="AJ2151" s="66"/>
      <c r="AK2151" s="66"/>
      <c r="AL2151" s="66"/>
      <c r="AM2151" s="66"/>
      <c r="AN2151" s="66"/>
      <c r="AO2151" s="66"/>
      <c r="AP2151" s="66"/>
      <c r="AQ2151" s="66"/>
      <c r="AR2151" s="66"/>
      <c r="AS2151" s="66"/>
      <c r="AT2151" s="66"/>
      <c r="AU2151" s="66"/>
      <c r="AV2151" s="66"/>
      <c r="AW2151" s="66"/>
      <c r="AX2151" s="66"/>
      <c r="AY2151" s="66"/>
      <c r="AZ2151" s="66"/>
      <c r="BA2151" s="66"/>
      <c r="BB2151" s="66"/>
      <c r="BC2151" s="66"/>
      <c r="BD2151" s="66"/>
      <c r="BE2151" s="67"/>
      <c r="BF2151" s="67"/>
      <c r="BG2151" s="68"/>
      <c r="BI2151" s="69">
        <v>0</v>
      </c>
      <c r="BJ2151" s="70">
        <v>0</v>
      </c>
      <c r="BK2151" s="71">
        <v>0</v>
      </c>
      <c r="BL2151" s="71">
        <v>0</v>
      </c>
      <c r="BM2151" s="71">
        <v>0</v>
      </c>
      <c r="BN2151" s="72">
        <v>0</v>
      </c>
      <c r="BO2151" s="151" t="e">
        <f t="shared" si="141"/>
        <v>#DIV/0!</v>
      </c>
      <c r="BP2151" s="151" t="e">
        <f t="shared" si="142"/>
        <v>#DIV/0!</v>
      </c>
      <c r="BQ2151" s="71">
        <v>0</v>
      </c>
      <c r="BR2151" s="71">
        <v>0</v>
      </c>
      <c r="BS2151" s="71">
        <v>0</v>
      </c>
      <c r="BT2151" s="72">
        <v>0</v>
      </c>
      <c r="BU2151" s="151" t="e">
        <f t="shared" si="139"/>
        <v>#DIV/0!</v>
      </c>
      <c r="BV2151" s="151" t="e">
        <f t="shared" si="140"/>
        <v>#DIV/0!</v>
      </c>
    </row>
    <row r="2152" ht="30" customHeight="1" spans="1:74">
      <c r="A2152" s="55">
        <v>0</v>
      </c>
      <c r="B2152" s="56">
        <v>0</v>
      </c>
      <c r="C2152" s="57">
        <v>0</v>
      </c>
      <c r="E2152" s="88"/>
      <c r="F2152" s="59" t="e">
        <f>VLOOKUP(E2152,[1]库存!$B$1:$C$65536,2,FALSE)</f>
        <v>#N/A</v>
      </c>
      <c r="G2152" s="59" t="e">
        <v>#N/A</v>
      </c>
      <c r="H2152" s="89"/>
      <c r="I2152" s="88"/>
      <c r="J2152" s="90"/>
      <c r="K2152" s="61"/>
      <c r="L2152" s="62">
        <v>0</v>
      </c>
      <c r="M2152" s="63">
        <v>0</v>
      </c>
      <c r="N2152" s="64">
        <v>0</v>
      </c>
      <c r="O2152" s="62">
        <v>0</v>
      </c>
      <c r="P2152" s="65">
        <f t="shared" si="143"/>
        <v>0</v>
      </c>
      <c r="Q2152" s="66"/>
      <c r="R2152" s="66"/>
      <c r="S2152" s="66"/>
      <c r="T2152" s="66"/>
      <c r="U2152" s="66"/>
      <c r="V2152" s="66"/>
      <c r="W2152" s="66"/>
      <c r="X2152" s="66"/>
      <c r="Y2152" s="66"/>
      <c r="Z2152" s="66"/>
      <c r="AA2152" s="66"/>
      <c r="AB2152" s="66"/>
      <c r="AC2152" s="66"/>
      <c r="AD2152" s="66"/>
      <c r="AE2152" s="66"/>
      <c r="AF2152" s="66"/>
      <c r="AG2152" s="66"/>
      <c r="AH2152" s="66"/>
      <c r="AI2152" s="66"/>
      <c r="AJ2152" s="66"/>
      <c r="AK2152" s="66"/>
      <c r="AL2152" s="66"/>
      <c r="AM2152" s="66"/>
      <c r="AN2152" s="66"/>
      <c r="AO2152" s="66"/>
      <c r="AP2152" s="66"/>
      <c r="AQ2152" s="66"/>
      <c r="AR2152" s="66"/>
      <c r="AS2152" s="66"/>
      <c r="AT2152" s="66"/>
      <c r="AU2152" s="66"/>
      <c r="AV2152" s="66"/>
      <c r="AW2152" s="66"/>
      <c r="AX2152" s="66"/>
      <c r="AY2152" s="66"/>
      <c r="AZ2152" s="66"/>
      <c r="BA2152" s="66"/>
      <c r="BB2152" s="66"/>
      <c r="BC2152" s="66"/>
      <c r="BD2152" s="66"/>
      <c r="BE2152" s="67"/>
      <c r="BF2152" s="67"/>
      <c r="BG2152" s="68"/>
      <c r="BI2152" s="69">
        <v>0</v>
      </c>
      <c r="BJ2152" s="70">
        <v>0</v>
      </c>
      <c r="BK2152" s="71">
        <v>0</v>
      </c>
      <c r="BL2152" s="71">
        <v>0</v>
      </c>
      <c r="BM2152" s="71">
        <v>0</v>
      </c>
      <c r="BN2152" s="72">
        <v>0</v>
      </c>
      <c r="BO2152" s="151" t="e">
        <f t="shared" si="141"/>
        <v>#DIV/0!</v>
      </c>
      <c r="BP2152" s="151" t="e">
        <f t="shared" si="142"/>
        <v>#DIV/0!</v>
      </c>
      <c r="BQ2152" s="71">
        <v>0</v>
      </c>
      <c r="BR2152" s="71">
        <v>0</v>
      </c>
      <c r="BS2152" s="71">
        <v>0</v>
      </c>
      <c r="BT2152" s="72">
        <v>0</v>
      </c>
      <c r="BU2152" s="151" t="e">
        <f t="shared" si="139"/>
        <v>#DIV/0!</v>
      </c>
      <c r="BV2152" s="151" t="e">
        <f t="shared" si="140"/>
        <v>#DIV/0!</v>
      </c>
    </row>
    <row r="2153" ht="30" customHeight="1" spans="1:74">
      <c r="A2153" s="55" t="s">
        <v>165</v>
      </c>
      <c r="B2153" s="56" t="s">
        <v>1237</v>
      </c>
      <c r="C2153" s="57" t="s">
        <v>3226</v>
      </c>
      <c r="D2153" s="57" t="s">
        <v>3393</v>
      </c>
      <c r="E2153" s="91" t="s">
        <v>3394</v>
      </c>
      <c r="F2153" s="91" t="str">
        <f>VLOOKUP(E2153,[1]库存!$B$1:$C$65536,2,FALSE)</f>
        <v>IS4PR FSAB LH</v>
      </c>
      <c r="G2153" s="91" t="s">
        <v>3395</v>
      </c>
      <c r="H2153" s="91" t="s">
        <v>3396</v>
      </c>
      <c r="I2153" s="91" t="s">
        <v>3397</v>
      </c>
      <c r="J2153" s="63"/>
      <c r="K2153" s="61"/>
      <c r="L2153" s="62">
        <v>0</v>
      </c>
      <c r="M2153" s="63">
        <v>1500</v>
      </c>
      <c r="N2153" s="64">
        <v>11</v>
      </c>
      <c r="O2153" s="62">
        <v>2</v>
      </c>
      <c r="P2153" s="65">
        <f t="shared" si="143"/>
        <v>0</v>
      </c>
      <c r="Q2153" s="66"/>
      <c r="R2153" s="66"/>
      <c r="S2153" s="66"/>
      <c r="T2153" s="66"/>
      <c r="U2153" s="66"/>
      <c r="V2153" s="66"/>
      <c r="W2153" s="66"/>
      <c r="X2153" s="66"/>
      <c r="Y2153" s="66"/>
      <c r="Z2153" s="66"/>
      <c r="AA2153" s="66"/>
      <c r="AB2153" s="66"/>
      <c r="AC2153" s="66"/>
      <c r="AD2153" s="66"/>
      <c r="AE2153" s="66"/>
      <c r="AF2153" s="66"/>
      <c r="AG2153" s="66"/>
      <c r="AH2153" s="66"/>
      <c r="AI2153" s="66"/>
      <c r="AJ2153" s="66"/>
      <c r="AK2153" s="66"/>
      <c r="AL2153" s="66"/>
      <c r="AM2153" s="66"/>
      <c r="AN2153" s="66"/>
      <c r="AO2153" s="66"/>
      <c r="AP2153" s="66"/>
      <c r="AQ2153" s="66"/>
      <c r="AR2153" s="66"/>
      <c r="AS2153" s="66"/>
      <c r="AT2153" s="66"/>
      <c r="AU2153" s="66"/>
      <c r="AV2153" s="66"/>
      <c r="AW2153" s="66"/>
      <c r="AX2153" s="66"/>
      <c r="AY2153" s="66"/>
      <c r="AZ2153" s="66"/>
      <c r="BA2153" s="66"/>
      <c r="BB2153" s="66"/>
      <c r="BC2153" s="66"/>
      <c r="BD2153" s="66"/>
      <c r="BE2153" s="67"/>
      <c r="BF2153" s="67"/>
      <c r="BG2153" s="68"/>
      <c r="BI2153" s="69">
        <v>0</v>
      </c>
      <c r="BJ2153" s="70">
        <v>0</v>
      </c>
      <c r="BK2153" s="71">
        <v>0</v>
      </c>
      <c r="BL2153" s="71">
        <v>0</v>
      </c>
      <c r="BM2153" s="71">
        <v>0</v>
      </c>
      <c r="BN2153" s="72">
        <v>0</v>
      </c>
      <c r="BO2153" s="151" t="e">
        <f t="shared" si="141"/>
        <v>#DIV/0!</v>
      </c>
      <c r="BP2153" s="151" t="e">
        <f t="shared" si="142"/>
        <v>#DIV/0!</v>
      </c>
      <c r="BQ2153" s="71">
        <v>0</v>
      </c>
      <c r="BR2153" s="71">
        <v>0</v>
      </c>
      <c r="BS2153" s="71">
        <v>0</v>
      </c>
      <c r="BT2153" s="72">
        <v>0</v>
      </c>
      <c r="BU2153" s="73"/>
      <c r="BV2153" s="73"/>
    </row>
    <row r="2154" ht="30" customHeight="1" spans="1:74">
      <c r="A2154" s="55">
        <v>0</v>
      </c>
      <c r="B2154" s="56">
        <v>0</v>
      </c>
      <c r="C2154" s="57">
        <v>0</v>
      </c>
      <c r="D2154" s="174"/>
      <c r="E2154" s="92"/>
      <c r="F2154" s="91" t="e">
        <f>VLOOKUP(E2154,[1]库存!$B$1:$C$65536,2,FALSE)</f>
        <v>#N/A</v>
      </c>
      <c r="G2154" s="91" t="e">
        <v>#N/A</v>
      </c>
      <c r="H2154" s="92"/>
      <c r="I2154" s="92"/>
      <c r="J2154" s="87"/>
      <c r="K2154" s="61"/>
      <c r="L2154" s="62">
        <v>0</v>
      </c>
      <c r="M2154" s="63">
        <v>0</v>
      </c>
      <c r="N2154" s="64">
        <v>0</v>
      </c>
      <c r="O2154" s="62">
        <v>0</v>
      </c>
      <c r="P2154" s="65">
        <f t="shared" si="143"/>
        <v>0</v>
      </c>
      <c r="Q2154" s="66"/>
      <c r="R2154" s="66"/>
      <c r="S2154" s="66"/>
      <c r="T2154" s="66"/>
      <c r="U2154" s="66"/>
      <c r="V2154" s="66"/>
      <c r="W2154" s="66"/>
      <c r="X2154" s="66"/>
      <c r="Y2154" s="66"/>
      <c r="Z2154" s="66"/>
      <c r="AA2154" s="66"/>
      <c r="AB2154" s="66"/>
      <c r="AC2154" s="66"/>
      <c r="AD2154" s="66"/>
      <c r="AE2154" s="66"/>
      <c r="AF2154" s="66"/>
      <c r="AG2154" s="66"/>
      <c r="AH2154" s="66"/>
      <c r="AI2154" s="66"/>
      <c r="AJ2154" s="66"/>
      <c r="AK2154" s="66"/>
      <c r="AL2154" s="66"/>
      <c r="AM2154" s="66"/>
      <c r="AN2154" s="66"/>
      <c r="AO2154" s="66"/>
      <c r="AP2154" s="66"/>
      <c r="AQ2154" s="66"/>
      <c r="AR2154" s="66"/>
      <c r="AS2154" s="66"/>
      <c r="AT2154" s="66"/>
      <c r="AU2154" s="66"/>
      <c r="AV2154" s="66"/>
      <c r="AW2154" s="66"/>
      <c r="AX2154" s="66"/>
      <c r="AY2154" s="66"/>
      <c r="AZ2154" s="66"/>
      <c r="BA2154" s="66"/>
      <c r="BB2154" s="66"/>
      <c r="BC2154" s="66"/>
      <c r="BD2154" s="66"/>
      <c r="BE2154" s="67"/>
      <c r="BF2154" s="67"/>
      <c r="BG2154" s="68"/>
      <c r="BI2154" s="69">
        <v>0</v>
      </c>
      <c r="BJ2154" s="70">
        <v>0</v>
      </c>
      <c r="BK2154" s="71">
        <v>0</v>
      </c>
      <c r="BL2154" s="71">
        <v>0</v>
      </c>
      <c r="BM2154" s="71">
        <v>0</v>
      </c>
      <c r="BN2154" s="72">
        <v>0</v>
      </c>
      <c r="BO2154" s="151" t="e">
        <f t="shared" si="141"/>
        <v>#DIV/0!</v>
      </c>
      <c r="BP2154" s="151" t="e">
        <f t="shared" si="142"/>
        <v>#DIV/0!</v>
      </c>
      <c r="BQ2154" s="71">
        <v>0</v>
      </c>
      <c r="BR2154" s="71">
        <v>0</v>
      </c>
      <c r="BS2154" s="71">
        <v>0</v>
      </c>
      <c r="BT2154" s="72">
        <v>0</v>
      </c>
      <c r="BU2154" s="73"/>
      <c r="BV2154" s="73"/>
    </row>
    <row r="2155" ht="30" customHeight="1" spans="1:74">
      <c r="A2155" s="55" t="s">
        <v>165</v>
      </c>
      <c r="B2155" s="56" t="s">
        <v>1237</v>
      </c>
      <c r="C2155" s="57" t="s">
        <v>3226</v>
      </c>
      <c r="D2155" s="57" t="s">
        <v>3393</v>
      </c>
      <c r="E2155" s="91" t="s">
        <v>3398</v>
      </c>
      <c r="F2155" s="91" t="str">
        <f>VLOOKUP(E2155,[1]库存!$B$1:$C$65536,2,FALSE)</f>
        <v>IS4PR FSAB RH</v>
      </c>
      <c r="G2155" s="91" t="s">
        <v>3399</v>
      </c>
      <c r="H2155" s="91" t="s">
        <v>3400</v>
      </c>
      <c r="I2155" s="91" t="s">
        <v>3397</v>
      </c>
      <c r="J2155" s="63"/>
      <c r="K2155" s="61"/>
      <c r="L2155" s="62">
        <v>0</v>
      </c>
      <c r="M2155" s="63">
        <v>1500</v>
      </c>
      <c r="N2155" s="64">
        <v>11</v>
      </c>
      <c r="O2155" s="62">
        <v>2</v>
      </c>
      <c r="P2155" s="65">
        <f t="shared" si="143"/>
        <v>0</v>
      </c>
      <c r="Q2155" s="66"/>
      <c r="R2155" s="66"/>
      <c r="S2155" s="66"/>
      <c r="T2155" s="66"/>
      <c r="U2155" s="66"/>
      <c r="V2155" s="66"/>
      <c r="W2155" s="66"/>
      <c r="X2155" s="66"/>
      <c r="Y2155" s="66"/>
      <c r="Z2155" s="66"/>
      <c r="AA2155" s="66"/>
      <c r="AB2155" s="66"/>
      <c r="AC2155" s="66"/>
      <c r="AD2155" s="66"/>
      <c r="AE2155" s="66"/>
      <c r="AF2155" s="66"/>
      <c r="AG2155" s="66"/>
      <c r="AH2155" s="66"/>
      <c r="AI2155" s="66"/>
      <c r="AJ2155" s="66"/>
      <c r="AK2155" s="66"/>
      <c r="AL2155" s="66"/>
      <c r="AM2155" s="66"/>
      <c r="AN2155" s="66"/>
      <c r="AO2155" s="66"/>
      <c r="AP2155" s="66"/>
      <c r="AQ2155" s="66"/>
      <c r="AR2155" s="66"/>
      <c r="AS2155" s="66"/>
      <c r="AT2155" s="66"/>
      <c r="AU2155" s="66"/>
      <c r="AV2155" s="66"/>
      <c r="AW2155" s="66"/>
      <c r="AX2155" s="66"/>
      <c r="AY2155" s="66"/>
      <c r="AZ2155" s="66"/>
      <c r="BA2155" s="66"/>
      <c r="BB2155" s="66"/>
      <c r="BC2155" s="66"/>
      <c r="BD2155" s="66"/>
      <c r="BE2155" s="67"/>
      <c r="BF2155" s="67"/>
      <c r="BG2155" s="68"/>
      <c r="BI2155" s="69">
        <v>0</v>
      </c>
      <c r="BJ2155" s="70">
        <v>0</v>
      </c>
      <c r="BK2155" s="71">
        <v>0</v>
      </c>
      <c r="BL2155" s="71">
        <v>0</v>
      </c>
      <c r="BM2155" s="71">
        <v>0</v>
      </c>
      <c r="BN2155" s="72">
        <v>0</v>
      </c>
      <c r="BO2155" s="151" t="e">
        <f t="shared" si="141"/>
        <v>#DIV/0!</v>
      </c>
      <c r="BP2155" s="151" t="e">
        <f t="shared" si="142"/>
        <v>#DIV/0!</v>
      </c>
      <c r="BQ2155" s="71">
        <v>0</v>
      </c>
      <c r="BR2155" s="71">
        <v>0</v>
      </c>
      <c r="BS2155" s="71">
        <v>0</v>
      </c>
      <c r="BT2155" s="72">
        <v>0</v>
      </c>
      <c r="BU2155" s="73"/>
      <c r="BV2155" s="73"/>
    </row>
    <row r="2156" ht="30" customHeight="1" spans="1:74">
      <c r="A2156" s="55">
        <v>0</v>
      </c>
      <c r="B2156" s="56">
        <v>0</v>
      </c>
      <c r="C2156" s="57">
        <v>0</v>
      </c>
      <c r="D2156" s="174"/>
      <c r="E2156" s="92"/>
      <c r="F2156" s="91" t="e">
        <f>VLOOKUP(E2156,[1]库存!$B$1:$C$65536,2,FALSE)</f>
        <v>#N/A</v>
      </c>
      <c r="G2156" s="91" t="e">
        <v>#N/A</v>
      </c>
      <c r="H2156" s="92"/>
      <c r="I2156" s="92"/>
      <c r="J2156" s="87"/>
      <c r="K2156" s="61"/>
      <c r="L2156" s="62">
        <v>0</v>
      </c>
      <c r="M2156" s="63">
        <v>0</v>
      </c>
      <c r="N2156" s="64">
        <v>0</v>
      </c>
      <c r="O2156" s="62">
        <v>0</v>
      </c>
      <c r="P2156" s="65">
        <f t="shared" si="143"/>
        <v>0</v>
      </c>
      <c r="Q2156" s="66"/>
      <c r="R2156" s="66"/>
      <c r="S2156" s="66"/>
      <c r="T2156" s="66"/>
      <c r="U2156" s="66"/>
      <c r="V2156" s="66"/>
      <c r="W2156" s="66"/>
      <c r="X2156" s="66"/>
      <c r="Y2156" s="66"/>
      <c r="Z2156" s="66"/>
      <c r="AA2156" s="66"/>
      <c r="AB2156" s="66"/>
      <c r="AC2156" s="66"/>
      <c r="AD2156" s="66"/>
      <c r="AE2156" s="66"/>
      <c r="AF2156" s="66"/>
      <c r="AG2156" s="66"/>
      <c r="AH2156" s="66"/>
      <c r="AI2156" s="66"/>
      <c r="AJ2156" s="66"/>
      <c r="AK2156" s="66"/>
      <c r="AL2156" s="66"/>
      <c r="AM2156" s="66"/>
      <c r="AN2156" s="66"/>
      <c r="AO2156" s="66"/>
      <c r="AP2156" s="66"/>
      <c r="AQ2156" s="66"/>
      <c r="AR2156" s="66"/>
      <c r="AS2156" s="66"/>
      <c r="AT2156" s="66"/>
      <c r="AU2156" s="66"/>
      <c r="AV2156" s="66"/>
      <c r="AW2156" s="66"/>
      <c r="AX2156" s="66"/>
      <c r="AY2156" s="66"/>
      <c r="AZ2156" s="66"/>
      <c r="BA2156" s="66"/>
      <c r="BB2156" s="66"/>
      <c r="BC2156" s="66"/>
      <c r="BD2156" s="66"/>
      <c r="BE2156" s="67"/>
      <c r="BF2156" s="67"/>
      <c r="BG2156" s="68"/>
      <c r="BI2156" s="69">
        <v>0</v>
      </c>
      <c r="BJ2156" s="70">
        <v>0</v>
      </c>
      <c r="BK2156" s="71">
        <v>0</v>
      </c>
      <c r="BL2156" s="71">
        <v>0</v>
      </c>
      <c r="BM2156" s="71">
        <v>0</v>
      </c>
      <c r="BN2156" s="72">
        <v>0</v>
      </c>
      <c r="BO2156" s="151" t="e">
        <f t="shared" si="141"/>
        <v>#DIV/0!</v>
      </c>
      <c r="BP2156" s="151" t="e">
        <f t="shared" si="142"/>
        <v>#DIV/0!</v>
      </c>
      <c r="BQ2156" s="71">
        <v>0</v>
      </c>
      <c r="BR2156" s="71">
        <v>0</v>
      </c>
      <c r="BS2156" s="71">
        <v>0</v>
      </c>
      <c r="BT2156" s="72">
        <v>0</v>
      </c>
      <c r="BU2156" s="73"/>
      <c r="BV2156" s="73"/>
    </row>
    <row r="2157" ht="30" customHeight="1" spans="1:74">
      <c r="A2157" s="55">
        <v>0</v>
      </c>
      <c r="B2157" s="56" t="s">
        <v>1237</v>
      </c>
      <c r="C2157" s="57" t="s">
        <v>3226</v>
      </c>
      <c r="D2157" s="57" t="s">
        <v>3393</v>
      </c>
      <c r="E2157" s="91" t="s">
        <v>3401</v>
      </c>
      <c r="F2157" s="91" t="str">
        <f>VLOOKUP(E2157,[1]库存!$B$1:$C$65536,2,FALSE)</f>
        <v>G19 PRC A状态</v>
      </c>
      <c r="G2157" s="91" t="s">
        <v>3402</v>
      </c>
      <c r="H2157" s="91" t="s">
        <v>3403</v>
      </c>
      <c r="I2157" s="91" t="s">
        <v>429</v>
      </c>
      <c r="J2157" s="63"/>
      <c r="K2157" s="61"/>
      <c r="L2157" s="62">
        <v>0</v>
      </c>
      <c r="M2157" s="63">
        <v>1600</v>
      </c>
      <c r="N2157" s="64">
        <v>8.25</v>
      </c>
      <c r="O2157" s="62">
        <v>2</v>
      </c>
      <c r="P2157" s="65">
        <f t="shared" si="143"/>
        <v>0</v>
      </c>
      <c r="Q2157" s="66" t="s">
        <v>3404</v>
      </c>
      <c r="R2157" s="66"/>
      <c r="S2157" s="66"/>
      <c r="T2157" s="66"/>
      <c r="U2157" s="66"/>
      <c r="V2157" s="66"/>
      <c r="W2157" s="66"/>
      <c r="X2157" s="66"/>
      <c r="Y2157" s="66"/>
      <c r="Z2157" s="66"/>
      <c r="AA2157" s="66"/>
      <c r="AB2157" s="66"/>
      <c r="AC2157" s="66"/>
      <c r="AD2157" s="66"/>
      <c r="AE2157" s="66"/>
      <c r="AF2157" s="66"/>
      <c r="AG2157" s="66"/>
      <c r="AH2157" s="66"/>
      <c r="AI2157" s="66"/>
      <c r="AJ2157" s="66"/>
      <c r="AK2157" s="66"/>
      <c r="AL2157" s="66"/>
      <c r="AM2157" s="66"/>
      <c r="AN2157" s="66"/>
      <c r="AO2157" s="66"/>
      <c r="AP2157" s="66"/>
      <c r="AQ2157" s="66"/>
      <c r="AR2157" s="66"/>
      <c r="AS2157" s="66"/>
      <c r="AT2157" s="66"/>
      <c r="AU2157" s="66"/>
      <c r="AV2157" s="66"/>
      <c r="AW2157" s="66"/>
      <c r="AX2157" s="66"/>
      <c r="AY2157" s="66"/>
      <c r="AZ2157" s="66"/>
      <c r="BA2157" s="66"/>
      <c r="BB2157" s="66"/>
      <c r="BC2157" s="66"/>
      <c r="BD2157" s="66"/>
      <c r="BE2157" s="67"/>
      <c r="BF2157" s="67"/>
      <c r="BG2157" s="68"/>
      <c r="BI2157" s="69">
        <v>0</v>
      </c>
      <c r="BJ2157" s="70">
        <v>0</v>
      </c>
      <c r="BK2157" s="71">
        <v>0</v>
      </c>
      <c r="BL2157" s="71">
        <v>0</v>
      </c>
      <c r="BM2157" s="71">
        <v>0</v>
      </c>
      <c r="BN2157" s="72">
        <v>0</v>
      </c>
      <c r="BO2157" s="151" t="e">
        <f t="shared" si="141"/>
        <v>#DIV/0!</v>
      </c>
      <c r="BP2157" s="151" t="e">
        <f t="shared" si="142"/>
        <v>#DIV/0!</v>
      </c>
      <c r="BQ2157" s="71">
        <v>0</v>
      </c>
      <c r="BR2157" s="71">
        <v>0</v>
      </c>
      <c r="BS2157" s="71">
        <v>0</v>
      </c>
      <c r="BT2157" s="72">
        <v>0</v>
      </c>
      <c r="BU2157" s="73"/>
      <c r="BV2157" s="73"/>
    </row>
    <row r="2158" ht="30" customHeight="1" spans="1:74">
      <c r="A2158" s="55">
        <v>0</v>
      </c>
      <c r="B2158" s="56">
        <v>0</v>
      </c>
      <c r="C2158" s="57">
        <v>0</v>
      </c>
      <c r="D2158" s="174"/>
      <c r="E2158" s="92"/>
      <c r="F2158" s="91" t="e">
        <f>VLOOKUP(E2158,[1]库存!$B$1:$C$65536,2,FALSE)</f>
        <v>#N/A</v>
      </c>
      <c r="G2158" s="91" t="e">
        <v>#N/A</v>
      </c>
      <c r="H2158" s="92"/>
      <c r="I2158" s="92"/>
      <c r="J2158" s="87"/>
      <c r="K2158" s="61"/>
      <c r="L2158" s="62">
        <v>0</v>
      </c>
      <c r="M2158" s="63">
        <v>0</v>
      </c>
      <c r="N2158" s="64">
        <v>0</v>
      </c>
      <c r="O2158" s="62">
        <v>0</v>
      </c>
      <c r="P2158" s="65">
        <f t="shared" si="143"/>
        <v>0</v>
      </c>
      <c r="Q2158" s="66">
        <v>26</v>
      </c>
      <c r="R2158" s="66"/>
      <c r="S2158" s="66"/>
      <c r="T2158" s="66"/>
      <c r="U2158" s="66"/>
      <c r="V2158" s="66"/>
      <c r="W2158" s="66"/>
      <c r="X2158" s="66"/>
      <c r="Y2158" s="66"/>
      <c r="Z2158" s="66"/>
      <c r="AA2158" s="66"/>
      <c r="AB2158" s="66"/>
      <c r="AC2158" s="66"/>
      <c r="AD2158" s="66"/>
      <c r="AE2158" s="66"/>
      <c r="AF2158" s="66"/>
      <c r="AG2158" s="66"/>
      <c r="AH2158" s="66"/>
      <c r="AI2158" s="66"/>
      <c r="AJ2158" s="66"/>
      <c r="AK2158" s="66"/>
      <c r="AL2158" s="66"/>
      <c r="AM2158" s="66"/>
      <c r="AN2158" s="66"/>
      <c r="AO2158" s="66"/>
      <c r="AP2158" s="66"/>
      <c r="AQ2158" s="66"/>
      <c r="AR2158" s="66"/>
      <c r="AS2158" s="66"/>
      <c r="AT2158" s="66"/>
      <c r="AU2158" s="66"/>
      <c r="AV2158" s="66"/>
      <c r="AW2158" s="66"/>
      <c r="AX2158" s="66"/>
      <c r="AY2158" s="66"/>
      <c r="AZ2158" s="66"/>
      <c r="BA2158" s="66"/>
      <c r="BB2158" s="66"/>
      <c r="BC2158" s="66"/>
      <c r="BD2158" s="66"/>
      <c r="BE2158" s="67"/>
      <c r="BF2158" s="67"/>
      <c r="BG2158" s="68"/>
      <c r="BI2158" s="69">
        <v>0</v>
      </c>
      <c r="BJ2158" s="70">
        <v>0</v>
      </c>
      <c r="BK2158" s="71">
        <v>0</v>
      </c>
      <c r="BL2158" s="71">
        <v>0</v>
      </c>
      <c r="BM2158" s="71">
        <v>0</v>
      </c>
      <c r="BN2158" s="72">
        <v>0</v>
      </c>
      <c r="BO2158" s="151" t="e">
        <f t="shared" si="141"/>
        <v>#DIV/0!</v>
      </c>
      <c r="BP2158" s="151" t="e">
        <f t="shared" si="142"/>
        <v>#DIV/0!</v>
      </c>
      <c r="BQ2158" s="71">
        <v>0</v>
      </c>
      <c r="BR2158" s="71">
        <v>0</v>
      </c>
      <c r="BS2158" s="71">
        <v>0</v>
      </c>
      <c r="BT2158" s="72">
        <v>0</v>
      </c>
      <c r="BU2158" s="73"/>
      <c r="BV2158" s="73"/>
    </row>
    <row r="2159" ht="30" customHeight="1" spans="1:74">
      <c r="A2159" s="55" t="s">
        <v>165</v>
      </c>
      <c r="B2159" s="56" t="s">
        <v>1237</v>
      </c>
      <c r="C2159" s="57" t="s">
        <v>3226</v>
      </c>
      <c r="D2159" s="76" t="s">
        <v>3393</v>
      </c>
      <c r="E2159" s="59"/>
      <c r="F2159" s="59" t="e">
        <f>VLOOKUP(E2159,[1]库存!$B$1:$C$65536,2,FALSE)</f>
        <v>#N/A</v>
      </c>
      <c r="G2159" s="59" t="e">
        <v>#N/A</v>
      </c>
      <c r="H2159" s="59" t="s">
        <v>3405</v>
      </c>
      <c r="I2159" s="59" t="s">
        <v>3406</v>
      </c>
      <c r="J2159" s="63"/>
      <c r="K2159" s="61"/>
      <c r="L2159" s="62">
        <v>0</v>
      </c>
      <c r="M2159" s="63">
        <v>1500</v>
      </c>
      <c r="N2159" s="64">
        <v>11</v>
      </c>
      <c r="O2159" s="62">
        <v>2</v>
      </c>
      <c r="P2159" s="65">
        <f t="shared" si="143"/>
        <v>0</v>
      </c>
      <c r="Q2159" s="66" t="s">
        <v>3407</v>
      </c>
      <c r="R2159" s="66"/>
      <c r="S2159" s="66"/>
      <c r="T2159" s="66"/>
      <c r="U2159" s="66"/>
      <c r="V2159" s="66"/>
      <c r="W2159" s="66"/>
      <c r="X2159" s="66"/>
      <c r="Y2159" s="66"/>
      <c r="Z2159" s="66"/>
      <c r="AA2159" s="66"/>
      <c r="AB2159" s="66"/>
      <c r="AC2159" s="66" t="s">
        <v>3408</v>
      </c>
      <c r="AD2159" s="66"/>
      <c r="AE2159" s="66"/>
      <c r="AF2159" s="66"/>
      <c r="AG2159" s="66"/>
      <c r="AH2159" s="66"/>
      <c r="AI2159" s="66"/>
      <c r="AJ2159" s="66"/>
      <c r="AK2159" s="66"/>
      <c r="AL2159" s="66"/>
      <c r="AM2159" s="66"/>
      <c r="AN2159" s="66"/>
      <c r="AO2159" s="66"/>
      <c r="AP2159" s="66"/>
      <c r="AQ2159" s="66"/>
      <c r="AR2159" s="66"/>
      <c r="AS2159" s="66"/>
      <c r="AT2159" s="66"/>
      <c r="AU2159" s="66"/>
      <c r="AV2159" s="66"/>
      <c r="AW2159" s="66"/>
      <c r="AX2159" s="66"/>
      <c r="AY2159" s="66"/>
      <c r="AZ2159" s="66"/>
      <c r="BA2159" s="66"/>
      <c r="BB2159" s="66"/>
      <c r="BC2159" s="66"/>
      <c r="BD2159" s="66"/>
      <c r="BE2159" s="67"/>
      <c r="BF2159" s="67"/>
      <c r="BG2159" s="68"/>
      <c r="BI2159" s="69">
        <v>0</v>
      </c>
      <c r="BJ2159" s="70">
        <v>0</v>
      </c>
      <c r="BK2159" s="71">
        <v>0</v>
      </c>
      <c r="BL2159" s="71">
        <v>0</v>
      </c>
      <c r="BM2159" s="71">
        <v>0</v>
      </c>
      <c r="BN2159" s="72">
        <v>0</v>
      </c>
      <c r="BO2159" s="151" t="e">
        <f t="shared" si="141"/>
        <v>#DIV/0!</v>
      </c>
      <c r="BP2159" s="151" t="e">
        <f t="shared" si="142"/>
        <v>#DIV/0!</v>
      </c>
      <c r="BQ2159" s="71">
        <v>0</v>
      </c>
      <c r="BR2159" s="71">
        <v>0</v>
      </c>
      <c r="BS2159" s="71">
        <v>0</v>
      </c>
      <c r="BT2159" s="72">
        <v>0</v>
      </c>
      <c r="BU2159" s="73"/>
      <c r="BV2159" s="73"/>
    </row>
    <row r="2160" ht="30" customHeight="1" spans="1:74">
      <c r="A2160" s="55">
        <v>0</v>
      </c>
      <c r="B2160" s="56">
        <v>0</v>
      </c>
      <c r="C2160" s="57">
        <v>0</v>
      </c>
      <c r="D2160" s="78"/>
      <c r="E2160" s="74"/>
      <c r="F2160" s="59" t="e">
        <f>VLOOKUP(E2160,[1]库存!$B$1:$C$65536,2,FALSE)</f>
        <v>#N/A</v>
      </c>
      <c r="G2160" s="59" t="e">
        <v>#N/A</v>
      </c>
      <c r="H2160" s="74"/>
      <c r="I2160" s="74"/>
      <c r="J2160" s="87"/>
      <c r="K2160" s="61"/>
      <c r="L2160" s="62">
        <v>0</v>
      </c>
      <c r="M2160" s="63">
        <v>0</v>
      </c>
      <c r="N2160" s="64">
        <v>0</v>
      </c>
      <c r="O2160" s="62">
        <v>0</v>
      </c>
      <c r="P2160" s="65">
        <f t="shared" si="143"/>
        <v>0</v>
      </c>
      <c r="Q2160" s="66"/>
      <c r="R2160" s="66"/>
      <c r="S2160" s="66"/>
      <c r="T2160" s="66"/>
      <c r="U2160" s="66"/>
      <c r="V2160" s="66"/>
      <c r="W2160" s="66"/>
      <c r="X2160" s="66"/>
      <c r="Y2160" s="66"/>
      <c r="Z2160" s="66"/>
      <c r="AA2160" s="66"/>
      <c r="AB2160" s="66"/>
      <c r="AC2160" s="66"/>
      <c r="AD2160" s="66"/>
      <c r="AE2160" s="66"/>
      <c r="AF2160" s="66"/>
      <c r="AG2160" s="66"/>
      <c r="AH2160" s="66"/>
      <c r="AI2160" s="66"/>
      <c r="AJ2160" s="66"/>
      <c r="AK2160" s="66"/>
      <c r="AL2160" s="66"/>
      <c r="AM2160" s="66"/>
      <c r="AN2160" s="66"/>
      <c r="AO2160" s="66"/>
      <c r="AP2160" s="66"/>
      <c r="AQ2160" s="66"/>
      <c r="AR2160" s="66"/>
      <c r="AS2160" s="66"/>
      <c r="AT2160" s="66"/>
      <c r="AU2160" s="66"/>
      <c r="AV2160" s="66"/>
      <c r="AW2160" s="66"/>
      <c r="AX2160" s="66"/>
      <c r="AY2160" s="66"/>
      <c r="AZ2160" s="66"/>
      <c r="BA2160" s="66"/>
      <c r="BB2160" s="66"/>
      <c r="BC2160" s="66"/>
      <c r="BD2160" s="66"/>
      <c r="BE2160" s="67"/>
      <c r="BF2160" s="67"/>
      <c r="BG2160" s="68"/>
      <c r="BI2160" s="69">
        <v>0</v>
      </c>
      <c r="BJ2160" s="70">
        <v>0</v>
      </c>
      <c r="BK2160" s="71">
        <v>0</v>
      </c>
      <c r="BL2160" s="71">
        <v>0</v>
      </c>
      <c r="BM2160" s="71">
        <v>0</v>
      </c>
      <c r="BN2160" s="72">
        <v>0</v>
      </c>
      <c r="BO2160" s="151" t="e">
        <f t="shared" si="141"/>
        <v>#DIV/0!</v>
      </c>
      <c r="BP2160" s="151" t="e">
        <f t="shared" si="142"/>
        <v>#DIV/0!</v>
      </c>
      <c r="BQ2160" s="71">
        <v>0</v>
      </c>
      <c r="BR2160" s="71">
        <v>0</v>
      </c>
      <c r="BS2160" s="71">
        <v>0</v>
      </c>
      <c r="BT2160" s="72">
        <v>0</v>
      </c>
      <c r="BU2160" s="73"/>
      <c r="BV2160" s="73"/>
    </row>
    <row r="2161" ht="30" customHeight="1" spans="1:74">
      <c r="A2161" s="55" t="s">
        <v>165</v>
      </c>
      <c r="B2161" s="56" t="s">
        <v>1237</v>
      </c>
      <c r="C2161" s="57" t="s">
        <v>3226</v>
      </c>
      <c r="D2161" s="76" t="s">
        <v>3393</v>
      </c>
      <c r="E2161" s="59"/>
      <c r="F2161" s="59" t="e">
        <f>VLOOKUP(E2161,[1]库存!$B$1:$C$65536,2,FALSE)</f>
        <v>#N/A</v>
      </c>
      <c r="G2161" s="59" t="e">
        <v>#N/A</v>
      </c>
      <c r="H2161" s="59" t="s">
        <v>3409</v>
      </c>
      <c r="I2161" s="59" t="s">
        <v>3410</v>
      </c>
      <c r="J2161" s="63"/>
      <c r="K2161" s="61"/>
      <c r="L2161" s="62">
        <v>0</v>
      </c>
      <c r="M2161" s="63">
        <v>1500</v>
      </c>
      <c r="N2161" s="64">
        <v>11</v>
      </c>
      <c r="O2161" s="62">
        <v>2</v>
      </c>
      <c r="P2161" s="65">
        <f t="shared" si="143"/>
        <v>0</v>
      </c>
      <c r="Q2161" s="66" t="s">
        <v>3407</v>
      </c>
      <c r="R2161" s="66"/>
      <c r="S2161" s="66"/>
      <c r="T2161" s="66"/>
      <c r="U2161" s="66"/>
      <c r="V2161" s="66"/>
      <c r="W2161" s="66"/>
      <c r="X2161" s="66"/>
      <c r="Y2161" s="66"/>
      <c r="Z2161" s="66"/>
      <c r="AA2161" s="66"/>
      <c r="AB2161" s="66"/>
      <c r="AC2161" s="66" t="s">
        <v>3408</v>
      </c>
      <c r="AD2161" s="66"/>
      <c r="AE2161" s="66"/>
      <c r="AF2161" s="66"/>
      <c r="AG2161" s="66"/>
      <c r="AH2161" s="66"/>
      <c r="AI2161" s="66"/>
      <c r="AJ2161" s="66"/>
      <c r="AK2161" s="66"/>
      <c r="AL2161" s="66"/>
      <c r="AM2161" s="66"/>
      <c r="AN2161" s="66"/>
      <c r="AO2161" s="66"/>
      <c r="AP2161" s="66"/>
      <c r="AQ2161" s="66"/>
      <c r="AR2161" s="66"/>
      <c r="AS2161" s="66"/>
      <c r="AT2161" s="66"/>
      <c r="AU2161" s="66"/>
      <c r="AV2161" s="66"/>
      <c r="AW2161" s="66"/>
      <c r="AX2161" s="66"/>
      <c r="AY2161" s="66"/>
      <c r="AZ2161" s="66"/>
      <c r="BA2161" s="66"/>
      <c r="BB2161" s="66"/>
      <c r="BC2161" s="66"/>
      <c r="BD2161" s="66"/>
      <c r="BE2161" s="67"/>
      <c r="BF2161" s="67"/>
      <c r="BG2161" s="68"/>
      <c r="BI2161" s="69">
        <v>0</v>
      </c>
      <c r="BJ2161" s="70">
        <v>0</v>
      </c>
      <c r="BK2161" s="71">
        <v>0</v>
      </c>
      <c r="BL2161" s="71">
        <v>0</v>
      </c>
      <c r="BM2161" s="71">
        <v>0</v>
      </c>
      <c r="BN2161" s="72">
        <v>0</v>
      </c>
      <c r="BO2161" s="151" t="e">
        <f t="shared" si="141"/>
        <v>#DIV/0!</v>
      </c>
      <c r="BP2161" s="151" t="e">
        <f t="shared" si="142"/>
        <v>#DIV/0!</v>
      </c>
      <c r="BQ2161" s="71">
        <v>0</v>
      </c>
      <c r="BR2161" s="71">
        <v>0</v>
      </c>
      <c r="BS2161" s="71">
        <v>0</v>
      </c>
      <c r="BT2161" s="72">
        <v>0</v>
      </c>
      <c r="BU2161" s="73"/>
      <c r="BV2161" s="73"/>
    </row>
    <row r="2162" ht="30" customHeight="1" spans="1:74">
      <c r="A2162" s="55">
        <v>0</v>
      </c>
      <c r="B2162" s="56">
        <v>0</v>
      </c>
      <c r="C2162" s="57">
        <v>0</v>
      </c>
      <c r="D2162" s="78"/>
      <c r="E2162" s="74"/>
      <c r="F2162" s="59" t="e">
        <f>VLOOKUP(E2162,[1]库存!$B$1:$C$65536,2,FALSE)</f>
        <v>#N/A</v>
      </c>
      <c r="G2162" s="59" t="e">
        <v>#N/A</v>
      </c>
      <c r="H2162" s="74"/>
      <c r="I2162" s="74"/>
      <c r="J2162" s="87"/>
      <c r="K2162" s="61"/>
      <c r="L2162" s="62">
        <v>0</v>
      </c>
      <c r="M2162" s="63">
        <v>0</v>
      </c>
      <c r="N2162" s="64">
        <v>0</v>
      </c>
      <c r="O2162" s="62">
        <v>0</v>
      </c>
      <c r="P2162" s="65">
        <f t="shared" si="143"/>
        <v>0</v>
      </c>
      <c r="Q2162" s="66"/>
      <c r="R2162" s="66"/>
      <c r="S2162" s="66"/>
      <c r="T2162" s="66"/>
      <c r="U2162" s="66"/>
      <c r="V2162" s="66"/>
      <c r="W2162" s="66"/>
      <c r="X2162" s="66"/>
      <c r="Y2162" s="66"/>
      <c r="Z2162" s="66"/>
      <c r="AA2162" s="66"/>
      <c r="AB2162" s="66"/>
      <c r="AC2162" s="66"/>
      <c r="AD2162" s="66"/>
      <c r="AE2162" s="66"/>
      <c r="AF2162" s="66"/>
      <c r="AG2162" s="66"/>
      <c r="AH2162" s="66"/>
      <c r="AI2162" s="66"/>
      <c r="AJ2162" s="66"/>
      <c r="AK2162" s="66"/>
      <c r="AL2162" s="66"/>
      <c r="AM2162" s="66"/>
      <c r="AN2162" s="66"/>
      <c r="AO2162" s="66"/>
      <c r="AP2162" s="66"/>
      <c r="AQ2162" s="66"/>
      <c r="AR2162" s="66"/>
      <c r="AS2162" s="66"/>
      <c r="AT2162" s="66"/>
      <c r="AU2162" s="66"/>
      <c r="AV2162" s="66"/>
      <c r="AW2162" s="66"/>
      <c r="AX2162" s="66"/>
      <c r="AY2162" s="66"/>
      <c r="AZ2162" s="66"/>
      <c r="BA2162" s="66"/>
      <c r="BB2162" s="66"/>
      <c r="BC2162" s="66"/>
      <c r="BD2162" s="66"/>
      <c r="BE2162" s="67"/>
      <c r="BF2162" s="67"/>
      <c r="BG2162" s="68"/>
      <c r="BI2162" s="69">
        <v>0</v>
      </c>
      <c r="BJ2162" s="70">
        <v>0</v>
      </c>
      <c r="BK2162" s="71">
        <v>0</v>
      </c>
      <c r="BL2162" s="71">
        <v>0</v>
      </c>
      <c r="BM2162" s="71">
        <v>0</v>
      </c>
      <c r="BN2162" s="72">
        <v>0</v>
      </c>
      <c r="BO2162" s="151" t="e">
        <f t="shared" si="141"/>
        <v>#DIV/0!</v>
      </c>
      <c r="BP2162" s="151" t="e">
        <f t="shared" si="142"/>
        <v>#DIV/0!</v>
      </c>
      <c r="BQ2162" s="71">
        <v>0</v>
      </c>
      <c r="BR2162" s="71">
        <v>0</v>
      </c>
      <c r="BS2162" s="71">
        <v>0</v>
      </c>
      <c r="BT2162" s="72">
        <v>0</v>
      </c>
      <c r="BU2162" s="73"/>
      <c r="BV2162" s="73"/>
    </row>
    <row r="2163" ht="30" customHeight="1" spans="1:74">
      <c r="A2163" s="55">
        <v>0</v>
      </c>
      <c r="B2163" s="56" t="s">
        <v>1237</v>
      </c>
      <c r="C2163" s="57" t="s">
        <v>3226</v>
      </c>
      <c r="D2163" s="76" t="s">
        <v>3393</v>
      </c>
      <c r="E2163" s="59"/>
      <c r="F2163" s="59" t="e">
        <f>VLOOKUP(E2163,[1]库存!$B$1:$C$65536,2,FALSE)</f>
        <v>#N/A</v>
      </c>
      <c r="G2163" s="59" t="e">
        <v>#N/A</v>
      </c>
      <c r="H2163" s="59" t="s">
        <v>3411</v>
      </c>
      <c r="I2163" s="59" t="s">
        <v>3412</v>
      </c>
      <c r="J2163" s="63"/>
      <c r="K2163" s="61"/>
      <c r="L2163" s="62">
        <v>0</v>
      </c>
      <c r="M2163" s="63">
        <v>1050</v>
      </c>
      <c r="N2163" s="64">
        <v>8</v>
      </c>
      <c r="O2163" s="62">
        <v>2</v>
      </c>
      <c r="P2163" s="65">
        <f t="shared" si="143"/>
        <v>0</v>
      </c>
      <c r="Q2163" s="66"/>
      <c r="R2163" s="66"/>
      <c r="S2163" s="66"/>
      <c r="T2163" s="66"/>
      <c r="U2163" s="66"/>
      <c r="V2163" s="66"/>
      <c r="W2163" s="66"/>
      <c r="X2163" s="66"/>
      <c r="Y2163" s="66"/>
      <c r="Z2163" s="66"/>
      <c r="AA2163" s="66"/>
      <c r="AB2163" s="66"/>
      <c r="AC2163" s="66"/>
      <c r="AD2163" s="66"/>
      <c r="AE2163" s="66"/>
      <c r="AF2163" s="66"/>
      <c r="AG2163" s="66"/>
      <c r="AH2163" s="66"/>
      <c r="AI2163" s="66"/>
      <c r="AJ2163" s="66"/>
      <c r="AK2163" s="66"/>
      <c r="AL2163" s="66"/>
      <c r="AM2163" s="66"/>
      <c r="AN2163" s="66"/>
      <c r="AO2163" s="66"/>
      <c r="AP2163" s="66"/>
      <c r="AQ2163" s="66"/>
      <c r="AR2163" s="66"/>
      <c r="AS2163" s="66"/>
      <c r="AT2163" s="66"/>
      <c r="AU2163" s="66"/>
      <c r="AV2163" s="66"/>
      <c r="AW2163" s="66"/>
      <c r="AX2163" s="66"/>
      <c r="AY2163" s="66"/>
      <c r="AZ2163" s="66"/>
      <c r="BA2163" s="66"/>
      <c r="BB2163" s="66"/>
      <c r="BC2163" s="66"/>
      <c r="BD2163" s="66"/>
      <c r="BE2163" s="67"/>
      <c r="BF2163" s="67"/>
      <c r="BG2163" s="68"/>
      <c r="BI2163" s="69">
        <v>0</v>
      </c>
      <c r="BJ2163" s="70">
        <v>0</v>
      </c>
      <c r="BK2163" s="71">
        <v>0</v>
      </c>
      <c r="BL2163" s="71">
        <v>0</v>
      </c>
      <c r="BM2163" s="71">
        <v>0</v>
      </c>
      <c r="BN2163" s="72">
        <v>0</v>
      </c>
      <c r="BO2163" s="151" t="e">
        <f t="shared" si="141"/>
        <v>#DIV/0!</v>
      </c>
      <c r="BP2163" s="151" t="e">
        <f t="shared" si="142"/>
        <v>#DIV/0!</v>
      </c>
      <c r="BQ2163" s="71">
        <v>0</v>
      </c>
      <c r="BR2163" s="71">
        <v>0</v>
      </c>
      <c r="BS2163" s="71">
        <v>0</v>
      </c>
      <c r="BT2163" s="72">
        <v>0</v>
      </c>
      <c r="BU2163" s="73"/>
      <c r="BV2163" s="73"/>
    </row>
    <row r="2164" ht="30" customHeight="1" spans="1:74">
      <c r="A2164" s="55">
        <v>0</v>
      </c>
      <c r="B2164" s="56">
        <v>0</v>
      </c>
      <c r="C2164" s="57">
        <v>0</v>
      </c>
      <c r="D2164" s="78"/>
      <c r="E2164" s="74"/>
      <c r="F2164" s="59" t="e">
        <f>VLOOKUP(E2164,[1]库存!$B$1:$C$65536,2,FALSE)</f>
        <v>#N/A</v>
      </c>
      <c r="G2164" s="59" t="e">
        <v>#N/A</v>
      </c>
      <c r="H2164" s="74"/>
      <c r="I2164" s="74"/>
      <c r="J2164" s="87"/>
      <c r="K2164" s="61"/>
      <c r="L2164" s="62">
        <v>0</v>
      </c>
      <c r="M2164" s="63">
        <v>0</v>
      </c>
      <c r="N2164" s="64">
        <v>0</v>
      </c>
      <c r="O2164" s="62">
        <v>0</v>
      </c>
      <c r="P2164" s="65">
        <f t="shared" si="143"/>
        <v>0</v>
      </c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  <c r="AA2164" s="66"/>
      <c r="AB2164" s="66"/>
      <c r="AC2164" s="66"/>
      <c r="AD2164" s="66"/>
      <c r="AE2164" s="66"/>
      <c r="AF2164" s="66"/>
      <c r="AG2164" s="66"/>
      <c r="AH2164" s="66"/>
      <c r="AI2164" s="66"/>
      <c r="AJ2164" s="66"/>
      <c r="AK2164" s="66"/>
      <c r="AL2164" s="66"/>
      <c r="AM2164" s="66"/>
      <c r="AN2164" s="66"/>
      <c r="AO2164" s="66"/>
      <c r="AP2164" s="66"/>
      <c r="AQ2164" s="66"/>
      <c r="AR2164" s="66"/>
      <c r="AS2164" s="66"/>
      <c r="AT2164" s="66"/>
      <c r="AU2164" s="66"/>
      <c r="AV2164" s="66"/>
      <c r="AW2164" s="66"/>
      <c r="AX2164" s="66"/>
      <c r="AY2164" s="66"/>
      <c r="AZ2164" s="66"/>
      <c r="BA2164" s="66"/>
      <c r="BB2164" s="66"/>
      <c r="BC2164" s="66"/>
      <c r="BD2164" s="66"/>
      <c r="BE2164" s="67"/>
      <c r="BF2164" s="67"/>
      <c r="BG2164" s="68"/>
      <c r="BI2164" s="69">
        <v>0</v>
      </c>
      <c r="BJ2164" s="70">
        <v>0</v>
      </c>
      <c r="BK2164" s="71">
        <v>0</v>
      </c>
      <c r="BL2164" s="71">
        <v>0</v>
      </c>
      <c r="BM2164" s="71">
        <v>0</v>
      </c>
      <c r="BN2164" s="72">
        <v>0</v>
      </c>
      <c r="BO2164" s="151" t="e">
        <f t="shared" si="141"/>
        <v>#DIV/0!</v>
      </c>
      <c r="BP2164" s="151" t="e">
        <f t="shared" si="142"/>
        <v>#DIV/0!</v>
      </c>
      <c r="BQ2164" s="71">
        <v>0</v>
      </c>
      <c r="BR2164" s="71">
        <v>0</v>
      </c>
      <c r="BS2164" s="71">
        <v>0</v>
      </c>
      <c r="BT2164" s="72">
        <v>0</v>
      </c>
      <c r="BU2164" s="73"/>
      <c r="BV2164" s="73"/>
    </row>
    <row r="2165" ht="30" customHeight="1" spans="1:74">
      <c r="A2165" s="55">
        <v>0</v>
      </c>
      <c r="B2165" s="56" t="s">
        <v>1237</v>
      </c>
      <c r="C2165" s="57" t="s">
        <v>3226</v>
      </c>
      <c r="D2165" s="76" t="s">
        <v>3393</v>
      </c>
      <c r="E2165" s="59"/>
      <c r="F2165" s="59" t="e">
        <f>VLOOKUP(E2165,[1]库存!$B$1:$C$65536,2,FALSE)</f>
        <v>#N/A</v>
      </c>
      <c r="G2165" s="59" t="e">
        <v>#N/A</v>
      </c>
      <c r="H2165" s="59" t="s">
        <v>3413</v>
      </c>
      <c r="I2165" s="59" t="s">
        <v>3414</v>
      </c>
      <c r="J2165" s="63"/>
      <c r="K2165" s="61"/>
      <c r="L2165" s="62">
        <v>0</v>
      </c>
      <c r="M2165" s="63">
        <v>1050</v>
      </c>
      <c r="N2165" s="64">
        <v>8</v>
      </c>
      <c r="O2165" s="62">
        <v>2</v>
      </c>
      <c r="P2165" s="65">
        <f t="shared" si="143"/>
        <v>0</v>
      </c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  <c r="AA2165" s="66"/>
      <c r="AB2165" s="66"/>
      <c r="AC2165" s="66"/>
      <c r="AD2165" s="66"/>
      <c r="AE2165" s="66"/>
      <c r="AF2165" s="66"/>
      <c r="AG2165" s="66"/>
      <c r="AH2165" s="66"/>
      <c r="AI2165" s="66"/>
      <c r="AJ2165" s="66"/>
      <c r="AK2165" s="66"/>
      <c r="AL2165" s="66"/>
      <c r="AM2165" s="66"/>
      <c r="AN2165" s="66"/>
      <c r="AO2165" s="66"/>
      <c r="AP2165" s="66"/>
      <c r="AQ2165" s="66"/>
      <c r="AR2165" s="66"/>
      <c r="AS2165" s="66"/>
      <c r="AT2165" s="66"/>
      <c r="AU2165" s="66"/>
      <c r="AV2165" s="66"/>
      <c r="AW2165" s="66"/>
      <c r="AX2165" s="66"/>
      <c r="AY2165" s="66"/>
      <c r="AZ2165" s="66"/>
      <c r="BA2165" s="66"/>
      <c r="BB2165" s="66"/>
      <c r="BC2165" s="66"/>
      <c r="BD2165" s="66"/>
      <c r="BE2165" s="67"/>
      <c r="BF2165" s="67"/>
      <c r="BG2165" s="68"/>
      <c r="BI2165" s="69">
        <v>0</v>
      </c>
      <c r="BJ2165" s="70">
        <v>0</v>
      </c>
      <c r="BK2165" s="71">
        <v>0</v>
      </c>
      <c r="BL2165" s="71">
        <v>0</v>
      </c>
      <c r="BM2165" s="71">
        <v>0</v>
      </c>
      <c r="BN2165" s="72">
        <v>0</v>
      </c>
      <c r="BO2165" s="151" t="e">
        <f t="shared" si="141"/>
        <v>#DIV/0!</v>
      </c>
      <c r="BP2165" s="151" t="e">
        <f t="shared" si="142"/>
        <v>#DIV/0!</v>
      </c>
      <c r="BQ2165" s="71">
        <v>0</v>
      </c>
      <c r="BR2165" s="71">
        <v>0</v>
      </c>
      <c r="BS2165" s="71">
        <v>0</v>
      </c>
      <c r="BT2165" s="72">
        <v>0</v>
      </c>
      <c r="BU2165" s="73"/>
      <c r="BV2165" s="73"/>
    </row>
    <row r="2166" ht="30" customHeight="1" spans="1:74">
      <c r="A2166" s="55">
        <v>0</v>
      </c>
      <c r="B2166" s="56">
        <v>0</v>
      </c>
      <c r="C2166" s="57">
        <v>0</v>
      </c>
      <c r="D2166" s="78"/>
      <c r="E2166" s="74"/>
      <c r="F2166" s="59" t="e">
        <f>VLOOKUP(E2166,[1]库存!$B$1:$C$65536,2,FALSE)</f>
        <v>#N/A</v>
      </c>
      <c r="G2166" s="59" t="e">
        <v>#N/A</v>
      </c>
      <c r="H2166" s="74"/>
      <c r="I2166" s="74"/>
      <c r="J2166" s="87"/>
      <c r="K2166" s="61"/>
      <c r="L2166" s="62">
        <v>0</v>
      </c>
      <c r="M2166" s="63">
        <v>0</v>
      </c>
      <c r="N2166" s="64">
        <v>0</v>
      </c>
      <c r="O2166" s="62">
        <v>0</v>
      </c>
      <c r="P2166" s="65">
        <f t="shared" si="143"/>
        <v>0</v>
      </c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  <c r="AA2166" s="66"/>
      <c r="AB2166" s="66"/>
      <c r="AC2166" s="66"/>
      <c r="AD2166" s="66"/>
      <c r="AE2166" s="66"/>
      <c r="AF2166" s="66"/>
      <c r="AG2166" s="66"/>
      <c r="AH2166" s="66"/>
      <c r="AI2166" s="66"/>
      <c r="AJ2166" s="66"/>
      <c r="AK2166" s="66"/>
      <c r="AL2166" s="66"/>
      <c r="AM2166" s="66"/>
      <c r="AN2166" s="66"/>
      <c r="AO2166" s="66"/>
      <c r="AP2166" s="66"/>
      <c r="AQ2166" s="66"/>
      <c r="AR2166" s="66"/>
      <c r="AS2166" s="66"/>
      <c r="AT2166" s="66"/>
      <c r="AU2166" s="66"/>
      <c r="AV2166" s="66"/>
      <c r="AW2166" s="66"/>
      <c r="AX2166" s="66"/>
      <c r="AY2166" s="66"/>
      <c r="AZ2166" s="66"/>
      <c r="BA2166" s="66"/>
      <c r="BB2166" s="66"/>
      <c r="BC2166" s="66"/>
      <c r="BD2166" s="66"/>
      <c r="BE2166" s="67"/>
      <c r="BF2166" s="67"/>
      <c r="BG2166" s="68"/>
      <c r="BI2166" s="69">
        <v>0</v>
      </c>
      <c r="BJ2166" s="70">
        <v>0</v>
      </c>
      <c r="BK2166" s="71">
        <v>0</v>
      </c>
      <c r="BL2166" s="71">
        <v>0</v>
      </c>
      <c r="BM2166" s="71">
        <v>0</v>
      </c>
      <c r="BN2166" s="72">
        <v>0</v>
      </c>
      <c r="BO2166" s="151" t="e">
        <f t="shared" si="141"/>
        <v>#DIV/0!</v>
      </c>
      <c r="BP2166" s="151" t="e">
        <f t="shared" si="142"/>
        <v>#DIV/0!</v>
      </c>
      <c r="BQ2166" s="71">
        <v>0</v>
      </c>
      <c r="BR2166" s="71">
        <v>0</v>
      </c>
      <c r="BS2166" s="71">
        <v>0</v>
      </c>
      <c r="BT2166" s="72">
        <v>0</v>
      </c>
      <c r="BU2166" s="73"/>
      <c r="BV2166" s="73"/>
    </row>
    <row r="2167" ht="30" customHeight="1" spans="1:74">
      <c r="A2167" s="55">
        <v>0</v>
      </c>
      <c r="B2167" s="56">
        <v>0</v>
      </c>
      <c r="C2167" s="57">
        <v>0</v>
      </c>
      <c r="E2167" s="88"/>
      <c r="F2167" s="59" t="e">
        <f>VLOOKUP(E2167,[1]库存!$B$1:$C$65536,2,FALSE)</f>
        <v>#N/A</v>
      </c>
      <c r="G2167" s="59" t="e">
        <v>#N/A</v>
      </c>
      <c r="H2167" s="89"/>
      <c r="I2167" s="88"/>
      <c r="J2167" s="90"/>
      <c r="K2167" s="61"/>
      <c r="L2167" s="62">
        <v>0</v>
      </c>
      <c r="M2167" s="63">
        <v>0</v>
      </c>
      <c r="N2167" s="64">
        <v>0</v>
      </c>
      <c r="O2167" s="62">
        <v>0</v>
      </c>
      <c r="P2167" s="65">
        <f t="shared" si="143"/>
        <v>0</v>
      </c>
      <c r="Q2167" s="66"/>
      <c r="R2167" s="66"/>
      <c r="S2167" s="66"/>
      <c r="T2167" s="66"/>
      <c r="U2167" s="66"/>
      <c r="V2167" s="66"/>
      <c r="W2167" s="66"/>
      <c r="X2167" s="66"/>
      <c r="Y2167" s="66"/>
      <c r="Z2167" s="66"/>
      <c r="AA2167" s="66"/>
      <c r="AB2167" s="66"/>
      <c r="AC2167" s="66"/>
      <c r="AD2167" s="66"/>
      <c r="AE2167" s="66"/>
      <c r="AF2167" s="66"/>
      <c r="AG2167" s="66"/>
      <c r="AH2167" s="66"/>
      <c r="AI2167" s="66"/>
      <c r="AJ2167" s="66"/>
      <c r="AK2167" s="66"/>
      <c r="AL2167" s="66"/>
      <c r="AM2167" s="66"/>
      <c r="AN2167" s="66"/>
      <c r="AO2167" s="66"/>
      <c r="AP2167" s="66"/>
      <c r="AQ2167" s="66"/>
      <c r="AR2167" s="66"/>
      <c r="AS2167" s="66"/>
      <c r="AT2167" s="66"/>
      <c r="AU2167" s="66"/>
      <c r="AV2167" s="66"/>
      <c r="AW2167" s="66"/>
      <c r="AX2167" s="66"/>
      <c r="AY2167" s="66"/>
      <c r="AZ2167" s="66"/>
      <c r="BA2167" s="66"/>
      <c r="BB2167" s="66"/>
      <c r="BC2167" s="66"/>
      <c r="BD2167" s="66"/>
      <c r="BE2167" s="67"/>
      <c r="BF2167" s="67"/>
      <c r="BG2167" s="68"/>
      <c r="BI2167" s="69">
        <v>0</v>
      </c>
      <c r="BJ2167" s="70">
        <v>0</v>
      </c>
      <c r="BK2167" s="71">
        <v>0</v>
      </c>
      <c r="BL2167" s="71">
        <v>0</v>
      </c>
      <c r="BM2167" s="71">
        <v>0</v>
      </c>
      <c r="BN2167" s="72">
        <v>0</v>
      </c>
      <c r="BO2167" s="151" t="e">
        <f t="shared" si="141"/>
        <v>#DIV/0!</v>
      </c>
      <c r="BP2167" s="151" t="e">
        <f t="shared" si="142"/>
        <v>#DIV/0!</v>
      </c>
      <c r="BQ2167" s="71">
        <v>0</v>
      </c>
      <c r="BR2167" s="71">
        <v>0</v>
      </c>
      <c r="BS2167" s="71">
        <v>0</v>
      </c>
      <c r="BT2167" s="72">
        <v>0</v>
      </c>
      <c r="BU2167" s="151" t="e">
        <f>(BQ2167+BR2167)/BJ2167</f>
        <v>#DIV/0!</v>
      </c>
      <c r="BV2167" s="151" t="e">
        <f>BS2167/BJ2167</f>
        <v>#DIV/0!</v>
      </c>
    </row>
    <row r="2168" ht="30" customHeight="1" spans="1:74">
      <c r="A2168" s="55" t="s">
        <v>540</v>
      </c>
      <c r="B2168" s="56" t="s">
        <v>1237</v>
      </c>
      <c r="C2168" s="57" t="s">
        <v>3226</v>
      </c>
      <c r="D2168" s="76" t="s">
        <v>3415</v>
      </c>
      <c r="E2168" s="59" t="s">
        <v>3416</v>
      </c>
      <c r="F2168" s="59" t="str">
        <f>VLOOKUP(E2168,[1]库存!$B$1:$C$65536,2,FALSE)</f>
        <v>AUDI AU4010 FSAB LH B状态</v>
      </c>
      <c r="G2168" s="59" t="s">
        <v>3417</v>
      </c>
      <c r="H2168" s="59" t="s">
        <v>3418</v>
      </c>
      <c r="I2168" s="59" t="s">
        <v>250</v>
      </c>
      <c r="J2168" s="60" t="s">
        <v>3419</v>
      </c>
      <c r="K2168" s="61"/>
      <c r="L2168" s="62">
        <v>0</v>
      </c>
      <c r="M2168" s="63">
        <v>1050</v>
      </c>
      <c r="N2168" s="64">
        <v>8</v>
      </c>
      <c r="O2168" s="62">
        <v>2</v>
      </c>
      <c r="P2168" s="65">
        <f t="shared" si="143"/>
        <v>0</v>
      </c>
      <c r="Q2168" s="66"/>
      <c r="R2168" s="66"/>
      <c r="S2168" s="66"/>
      <c r="T2168" s="66"/>
      <c r="U2168" s="66"/>
      <c r="V2168" s="66"/>
      <c r="W2168" s="66"/>
      <c r="X2168" s="66"/>
      <c r="Y2168" s="66"/>
      <c r="Z2168" s="66"/>
      <c r="AA2168" s="66"/>
      <c r="AB2168" s="66"/>
      <c r="AC2168" s="66"/>
      <c r="AD2168" s="66"/>
      <c r="AE2168" s="66"/>
      <c r="AF2168" s="66"/>
      <c r="AG2168" s="66"/>
      <c r="AH2168" s="66"/>
      <c r="AI2168" s="66"/>
      <c r="AJ2168" s="66"/>
      <c r="AK2168" s="66"/>
      <c r="AL2168" s="66"/>
      <c r="AM2168" s="66"/>
      <c r="AN2168" s="66"/>
      <c r="AO2168" s="66"/>
      <c r="AP2168" s="66"/>
      <c r="AQ2168" s="66"/>
      <c r="AR2168" s="66"/>
      <c r="AS2168" s="66"/>
      <c r="AT2168" s="66"/>
      <c r="AU2168" s="66"/>
      <c r="AV2168" s="66"/>
      <c r="AW2168" s="66"/>
      <c r="AX2168" s="66"/>
      <c r="AY2168" s="66"/>
      <c r="AZ2168" s="66"/>
      <c r="BA2168" s="66"/>
      <c r="BB2168" s="66"/>
      <c r="BC2168" s="66"/>
      <c r="BD2168" s="66"/>
      <c r="BE2168" s="67"/>
      <c r="BF2168" s="67"/>
      <c r="BG2168" s="68"/>
      <c r="BI2168" s="69">
        <v>0</v>
      </c>
      <c r="BJ2168" s="70">
        <v>0</v>
      </c>
      <c r="BK2168" s="71">
        <v>0</v>
      </c>
      <c r="BL2168" s="71">
        <v>0</v>
      </c>
      <c r="BM2168" s="71">
        <v>0</v>
      </c>
      <c r="BN2168" s="72">
        <v>0</v>
      </c>
      <c r="BO2168" s="151" t="e">
        <f t="shared" si="141"/>
        <v>#DIV/0!</v>
      </c>
      <c r="BP2168" s="151" t="e">
        <f t="shared" si="142"/>
        <v>#DIV/0!</v>
      </c>
      <c r="BQ2168" s="71">
        <v>0</v>
      </c>
      <c r="BR2168" s="71">
        <v>0</v>
      </c>
      <c r="BS2168" s="71">
        <v>0</v>
      </c>
      <c r="BT2168" s="72">
        <v>0</v>
      </c>
      <c r="BU2168" s="73"/>
      <c r="BV2168" s="73"/>
    </row>
    <row r="2169" ht="30" customHeight="1" spans="1:74">
      <c r="A2169" s="55">
        <v>0</v>
      </c>
      <c r="B2169" s="56">
        <v>0</v>
      </c>
      <c r="C2169" s="57">
        <v>0</v>
      </c>
      <c r="D2169" s="78"/>
      <c r="E2169" s="74"/>
      <c r="F2169" s="59" t="e">
        <f>VLOOKUP(E2169,[1]库存!$B$1:$C$65536,2,FALSE)</f>
        <v>#N/A</v>
      </c>
      <c r="G2169" s="59" t="e">
        <v>#N/A</v>
      </c>
      <c r="H2169" s="74"/>
      <c r="I2169" s="74"/>
      <c r="J2169" s="75"/>
      <c r="K2169" s="61"/>
      <c r="L2169" s="62">
        <v>0</v>
      </c>
      <c r="M2169" s="63">
        <v>0</v>
      </c>
      <c r="N2169" s="64">
        <v>0</v>
      </c>
      <c r="O2169" s="62">
        <v>0</v>
      </c>
      <c r="P2169" s="65">
        <f t="shared" si="143"/>
        <v>0</v>
      </c>
      <c r="Q2169" s="66"/>
      <c r="R2169" s="66"/>
      <c r="S2169" s="66"/>
      <c r="T2169" s="66"/>
      <c r="U2169" s="66"/>
      <c r="V2169" s="66"/>
      <c r="W2169" s="66"/>
      <c r="X2169" s="66"/>
      <c r="Y2169" s="66"/>
      <c r="Z2169" s="66"/>
      <c r="AA2169" s="66"/>
      <c r="AB2169" s="66"/>
      <c r="AC2169" s="66"/>
      <c r="AD2169" s="66"/>
      <c r="AE2169" s="66"/>
      <c r="AF2169" s="66"/>
      <c r="AG2169" s="66"/>
      <c r="AH2169" s="66"/>
      <c r="AI2169" s="66"/>
      <c r="AJ2169" s="66"/>
      <c r="AK2169" s="66"/>
      <c r="AL2169" s="66"/>
      <c r="AM2169" s="66"/>
      <c r="AN2169" s="66"/>
      <c r="AO2169" s="66"/>
      <c r="AP2169" s="66"/>
      <c r="AQ2169" s="66"/>
      <c r="AR2169" s="66"/>
      <c r="AS2169" s="66"/>
      <c r="AT2169" s="66"/>
      <c r="AU2169" s="66"/>
      <c r="AV2169" s="66"/>
      <c r="AW2169" s="66"/>
      <c r="AX2169" s="66"/>
      <c r="AY2169" s="66"/>
      <c r="AZ2169" s="66"/>
      <c r="BA2169" s="66"/>
      <c r="BB2169" s="66"/>
      <c r="BC2169" s="66"/>
      <c r="BD2169" s="66"/>
      <c r="BE2169" s="67"/>
      <c r="BF2169" s="67"/>
      <c r="BG2169" s="68"/>
      <c r="BI2169" s="69">
        <v>0</v>
      </c>
      <c r="BJ2169" s="70">
        <v>0</v>
      </c>
      <c r="BK2169" s="71">
        <v>0</v>
      </c>
      <c r="BL2169" s="71">
        <v>0</v>
      </c>
      <c r="BM2169" s="71">
        <v>0</v>
      </c>
      <c r="BN2169" s="72">
        <v>0</v>
      </c>
      <c r="BO2169" s="151" t="e">
        <f t="shared" si="141"/>
        <v>#DIV/0!</v>
      </c>
      <c r="BP2169" s="151" t="e">
        <f t="shared" si="142"/>
        <v>#DIV/0!</v>
      </c>
      <c r="BQ2169" s="71">
        <v>0</v>
      </c>
      <c r="BR2169" s="71">
        <v>0</v>
      </c>
      <c r="BS2169" s="71">
        <v>0</v>
      </c>
      <c r="BT2169" s="72">
        <v>0</v>
      </c>
      <c r="BU2169" s="73"/>
      <c r="BV2169" s="73"/>
    </row>
    <row r="2170" ht="30" customHeight="1" spans="1:74">
      <c r="A2170" s="55" t="s">
        <v>540</v>
      </c>
      <c r="B2170" s="56" t="s">
        <v>1237</v>
      </c>
      <c r="C2170" s="57" t="s">
        <v>3226</v>
      </c>
      <c r="D2170" s="76" t="s">
        <v>3415</v>
      </c>
      <c r="E2170" s="59" t="s">
        <v>3420</v>
      </c>
      <c r="F2170" s="59" t="str">
        <f>VLOOKUP(E2170,[1]库存!$B$1:$C$65536,2,FALSE)</f>
        <v>AUDI AU4010 FSAB RH B状态</v>
      </c>
      <c r="G2170" s="59" t="s">
        <v>3421</v>
      </c>
      <c r="H2170" s="59" t="s">
        <v>3422</v>
      </c>
      <c r="I2170" s="59" t="s">
        <v>250</v>
      </c>
      <c r="J2170" s="75"/>
      <c r="K2170" s="61"/>
      <c r="L2170" s="62">
        <v>0</v>
      </c>
      <c r="M2170" s="63">
        <v>1050</v>
      </c>
      <c r="N2170" s="64">
        <v>8</v>
      </c>
      <c r="O2170" s="62">
        <v>2</v>
      </c>
      <c r="P2170" s="65">
        <f t="shared" si="143"/>
        <v>0</v>
      </c>
      <c r="Q2170" s="66"/>
      <c r="R2170" s="66"/>
      <c r="S2170" s="66"/>
      <c r="T2170" s="66"/>
      <c r="U2170" s="66"/>
      <c r="V2170" s="66"/>
      <c r="W2170" s="66"/>
      <c r="X2170" s="66"/>
      <c r="Y2170" s="66"/>
      <c r="Z2170" s="66"/>
      <c r="AA2170" s="66"/>
      <c r="AB2170" s="66"/>
      <c r="AC2170" s="66"/>
      <c r="AD2170" s="66"/>
      <c r="AE2170" s="66"/>
      <c r="AF2170" s="66"/>
      <c r="AG2170" s="66"/>
      <c r="AH2170" s="66"/>
      <c r="AI2170" s="66"/>
      <c r="AJ2170" s="66"/>
      <c r="AK2170" s="66"/>
      <c r="AL2170" s="66"/>
      <c r="AM2170" s="66"/>
      <c r="AN2170" s="66"/>
      <c r="AO2170" s="66"/>
      <c r="AP2170" s="66"/>
      <c r="AQ2170" s="66"/>
      <c r="AR2170" s="66"/>
      <c r="AS2170" s="66"/>
      <c r="AT2170" s="66"/>
      <c r="AU2170" s="66"/>
      <c r="AV2170" s="66"/>
      <c r="AW2170" s="66"/>
      <c r="AX2170" s="66"/>
      <c r="AY2170" s="66"/>
      <c r="AZ2170" s="66"/>
      <c r="BA2170" s="66"/>
      <c r="BB2170" s="66"/>
      <c r="BC2170" s="66"/>
      <c r="BD2170" s="66"/>
      <c r="BE2170" s="67"/>
      <c r="BF2170" s="67"/>
      <c r="BG2170" s="68"/>
      <c r="BI2170" s="69">
        <v>0</v>
      </c>
      <c r="BJ2170" s="70">
        <v>0</v>
      </c>
      <c r="BK2170" s="71">
        <v>0</v>
      </c>
      <c r="BL2170" s="71">
        <v>0</v>
      </c>
      <c r="BM2170" s="71">
        <v>0</v>
      </c>
      <c r="BN2170" s="72">
        <v>0</v>
      </c>
      <c r="BO2170" s="151" t="e">
        <f t="shared" si="141"/>
        <v>#DIV/0!</v>
      </c>
      <c r="BP2170" s="151" t="e">
        <f t="shared" si="142"/>
        <v>#DIV/0!</v>
      </c>
      <c r="BQ2170" s="71">
        <v>0</v>
      </c>
      <c r="BR2170" s="71">
        <v>0</v>
      </c>
      <c r="BS2170" s="71">
        <v>0</v>
      </c>
      <c r="BT2170" s="72">
        <v>0</v>
      </c>
      <c r="BU2170" s="73"/>
      <c r="BV2170" s="73"/>
    </row>
    <row r="2171" ht="30" customHeight="1" spans="1:74">
      <c r="A2171" s="55">
        <v>0</v>
      </c>
      <c r="B2171" s="56">
        <v>0</v>
      </c>
      <c r="C2171" s="57">
        <v>0</v>
      </c>
      <c r="D2171" s="78"/>
      <c r="E2171" s="74"/>
      <c r="F2171" s="59" t="e">
        <f>VLOOKUP(E2171,[1]库存!$B$1:$C$65536,2,FALSE)</f>
        <v>#N/A</v>
      </c>
      <c r="G2171" s="59" t="e">
        <v>#N/A</v>
      </c>
      <c r="H2171" s="74"/>
      <c r="I2171" s="74"/>
      <c r="J2171" s="75"/>
      <c r="K2171" s="61"/>
      <c r="L2171" s="62">
        <v>0</v>
      </c>
      <c r="M2171" s="63">
        <v>0</v>
      </c>
      <c r="N2171" s="64">
        <v>0</v>
      </c>
      <c r="O2171" s="62">
        <v>0</v>
      </c>
      <c r="P2171" s="65">
        <f t="shared" si="143"/>
        <v>0</v>
      </c>
      <c r="Q2171" s="66"/>
      <c r="R2171" s="66"/>
      <c r="S2171" s="66"/>
      <c r="T2171" s="66"/>
      <c r="U2171" s="66"/>
      <c r="V2171" s="66"/>
      <c r="W2171" s="66"/>
      <c r="X2171" s="66"/>
      <c r="Y2171" s="66"/>
      <c r="Z2171" s="66"/>
      <c r="AA2171" s="66"/>
      <c r="AB2171" s="66"/>
      <c r="AC2171" s="66"/>
      <c r="AD2171" s="66"/>
      <c r="AE2171" s="66"/>
      <c r="AF2171" s="66"/>
      <c r="AG2171" s="66"/>
      <c r="AH2171" s="66"/>
      <c r="AI2171" s="66"/>
      <c r="AJ2171" s="66"/>
      <c r="AK2171" s="66"/>
      <c r="AL2171" s="66"/>
      <c r="AM2171" s="66"/>
      <c r="AN2171" s="66"/>
      <c r="AO2171" s="66"/>
      <c r="AP2171" s="66"/>
      <c r="AQ2171" s="66"/>
      <c r="AR2171" s="66"/>
      <c r="AS2171" s="66"/>
      <c r="AT2171" s="66"/>
      <c r="AU2171" s="66"/>
      <c r="AV2171" s="66"/>
      <c r="AW2171" s="66"/>
      <c r="AX2171" s="66"/>
      <c r="AY2171" s="66"/>
      <c r="AZ2171" s="66"/>
      <c r="BA2171" s="66"/>
      <c r="BB2171" s="66"/>
      <c r="BC2171" s="66"/>
      <c r="BD2171" s="66"/>
      <c r="BE2171" s="67"/>
      <c r="BF2171" s="67"/>
      <c r="BG2171" s="68"/>
      <c r="BI2171" s="69">
        <v>0</v>
      </c>
      <c r="BJ2171" s="70">
        <v>0</v>
      </c>
      <c r="BK2171" s="71">
        <v>0</v>
      </c>
      <c r="BL2171" s="71">
        <v>0</v>
      </c>
      <c r="BM2171" s="71">
        <v>0</v>
      </c>
      <c r="BN2171" s="72">
        <v>0</v>
      </c>
      <c r="BO2171" s="151" t="e">
        <f t="shared" si="141"/>
        <v>#DIV/0!</v>
      </c>
      <c r="BP2171" s="151" t="e">
        <f t="shared" si="142"/>
        <v>#DIV/0!</v>
      </c>
      <c r="BQ2171" s="71">
        <v>0</v>
      </c>
      <c r="BR2171" s="71">
        <v>0</v>
      </c>
      <c r="BS2171" s="71">
        <v>0</v>
      </c>
      <c r="BT2171" s="72">
        <v>0</v>
      </c>
      <c r="BU2171" s="73"/>
      <c r="BV2171" s="73"/>
    </row>
    <row r="2172" ht="30" customHeight="1" spans="1:74">
      <c r="A2172" s="55">
        <v>0</v>
      </c>
      <c r="B2172" s="56" t="s">
        <v>1237</v>
      </c>
      <c r="C2172" s="57" t="s">
        <v>3226</v>
      </c>
      <c r="D2172" s="76" t="s">
        <v>3415</v>
      </c>
      <c r="E2172" s="59"/>
      <c r="F2172" s="59" t="e">
        <f>VLOOKUP(E2172,[1]库存!$B$1:$C$65536,2,FALSE)</f>
        <v>#N/A</v>
      </c>
      <c r="G2172" s="59" t="e">
        <v>#N/A</v>
      </c>
      <c r="H2172" s="59" t="s">
        <v>3423</v>
      </c>
      <c r="I2172" s="59" t="s">
        <v>3424</v>
      </c>
      <c r="J2172" s="63"/>
      <c r="K2172" s="61"/>
      <c r="L2172" s="62">
        <v>0</v>
      </c>
      <c r="M2172" s="63">
        <v>1050</v>
      </c>
      <c r="N2172" s="64">
        <v>8</v>
      </c>
      <c r="O2172" s="62">
        <v>2</v>
      </c>
      <c r="P2172" s="65">
        <f t="shared" si="143"/>
        <v>0</v>
      </c>
      <c r="Q2172" s="66"/>
      <c r="R2172" s="66"/>
      <c r="S2172" s="66"/>
      <c r="T2172" s="66"/>
      <c r="U2172" s="66"/>
      <c r="V2172" s="66"/>
      <c r="W2172" s="66"/>
      <c r="X2172" s="66"/>
      <c r="Y2172" s="66"/>
      <c r="Z2172" s="66"/>
      <c r="AA2172" s="66"/>
      <c r="AB2172" s="66"/>
      <c r="AC2172" s="66"/>
      <c r="AD2172" s="66"/>
      <c r="AE2172" s="66"/>
      <c r="AF2172" s="66"/>
      <c r="AG2172" s="66"/>
      <c r="AH2172" s="66"/>
      <c r="AI2172" s="66"/>
      <c r="AJ2172" s="66"/>
      <c r="AK2172" s="66"/>
      <c r="AL2172" s="66"/>
      <c r="AM2172" s="66"/>
      <c r="AN2172" s="66"/>
      <c r="AO2172" s="66"/>
      <c r="AP2172" s="66"/>
      <c r="AQ2172" s="66"/>
      <c r="AR2172" s="66"/>
      <c r="AS2172" s="66"/>
      <c r="AT2172" s="66"/>
      <c r="AU2172" s="66"/>
      <c r="AV2172" s="66"/>
      <c r="AW2172" s="66"/>
      <c r="AX2172" s="66"/>
      <c r="AY2172" s="66"/>
      <c r="AZ2172" s="66"/>
      <c r="BA2172" s="66"/>
      <c r="BB2172" s="66"/>
      <c r="BC2172" s="66"/>
      <c r="BD2172" s="66"/>
      <c r="BE2172" s="67"/>
      <c r="BF2172" s="67"/>
      <c r="BG2172" s="68"/>
      <c r="BI2172" s="69">
        <v>0</v>
      </c>
      <c r="BJ2172" s="70">
        <v>0</v>
      </c>
      <c r="BK2172" s="71">
        <v>0</v>
      </c>
      <c r="BL2172" s="71">
        <v>0</v>
      </c>
      <c r="BM2172" s="71">
        <v>0</v>
      </c>
      <c r="BN2172" s="72">
        <v>0</v>
      </c>
      <c r="BO2172" s="151" t="e">
        <f t="shared" si="141"/>
        <v>#DIV/0!</v>
      </c>
      <c r="BP2172" s="151" t="e">
        <f t="shared" si="142"/>
        <v>#DIV/0!</v>
      </c>
      <c r="BQ2172" s="71">
        <v>0</v>
      </c>
      <c r="BR2172" s="71">
        <v>0</v>
      </c>
      <c r="BS2172" s="71">
        <v>0</v>
      </c>
      <c r="BT2172" s="72">
        <v>0</v>
      </c>
      <c r="BU2172" s="73"/>
      <c r="BV2172" s="73"/>
    </row>
    <row r="2173" ht="30" customHeight="1" spans="1:74">
      <c r="A2173" s="55">
        <v>0</v>
      </c>
      <c r="B2173" s="56">
        <v>0</v>
      </c>
      <c r="C2173" s="57">
        <v>0</v>
      </c>
      <c r="D2173" s="78"/>
      <c r="E2173" s="74"/>
      <c r="F2173" s="59" t="e">
        <f>VLOOKUP(E2173,[1]库存!$B$1:$C$65536,2,FALSE)</f>
        <v>#N/A</v>
      </c>
      <c r="G2173" s="59" t="e">
        <v>#N/A</v>
      </c>
      <c r="H2173" s="74"/>
      <c r="I2173" s="74"/>
      <c r="J2173" s="87"/>
      <c r="K2173" s="61"/>
      <c r="L2173" s="62">
        <v>0</v>
      </c>
      <c r="M2173" s="63">
        <v>0</v>
      </c>
      <c r="N2173" s="64">
        <v>0</v>
      </c>
      <c r="O2173" s="62">
        <v>0</v>
      </c>
      <c r="P2173" s="65">
        <f t="shared" si="143"/>
        <v>0</v>
      </c>
      <c r="Q2173" s="66"/>
      <c r="R2173" s="66"/>
      <c r="S2173" s="66"/>
      <c r="T2173" s="66"/>
      <c r="U2173" s="66"/>
      <c r="V2173" s="66"/>
      <c r="W2173" s="66"/>
      <c r="X2173" s="66"/>
      <c r="Y2173" s="66"/>
      <c r="Z2173" s="66"/>
      <c r="AA2173" s="66"/>
      <c r="AB2173" s="66"/>
      <c r="AC2173" s="66"/>
      <c r="AD2173" s="66"/>
      <c r="AE2173" s="66"/>
      <c r="AF2173" s="66"/>
      <c r="AG2173" s="66"/>
      <c r="AH2173" s="66"/>
      <c r="AI2173" s="66"/>
      <c r="AJ2173" s="66"/>
      <c r="AK2173" s="66"/>
      <c r="AL2173" s="66"/>
      <c r="AM2173" s="66"/>
      <c r="AN2173" s="66"/>
      <c r="AO2173" s="66"/>
      <c r="AP2173" s="66"/>
      <c r="AQ2173" s="66"/>
      <c r="AR2173" s="66"/>
      <c r="AS2173" s="66"/>
      <c r="AT2173" s="66"/>
      <c r="AU2173" s="66"/>
      <c r="AV2173" s="66"/>
      <c r="AW2173" s="66"/>
      <c r="AX2173" s="66"/>
      <c r="AY2173" s="66"/>
      <c r="AZ2173" s="66"/>
      <c r="BA2173" s="66"/>
      <c r="BB2173" s="66"/>
      <c r="BC2173" s="66"/>
      <c r="BD2173" s="66"/>
      <c r="BE2173" s="67"/>
      <c r="BF2173" s="67"/>
      <c r="BG2173" s="68"/>
      <c r="BI2173" s="69">
        <v>0</v>
      </c>
      <c r="BJ2173" s="70">
        <v>0</v>
      </c>
      <c r="BK2173" s="71">
        <v>0</v>
      </c>
      <c r="BL2173" s="71">
        <v>0</v>
      </c>
      <c r="BM2173" s="71">
        <v>0</v>
      </c>
      <c r="BN2173" s="72">
        <v>0</v>
      </c>
      <c r="BO2173" s="151" t="e">
        <f t="shared" si="141"/>
        <v>#DIV/0!</v>
      </c>
      <c r="BP2173" s="151" t="e">
        <f t="shared" si="142"/>
        <v>#DIV/0!</v>
      </c>
      <c r="BQ2173" s="71">
        <v>0</v>
      </c>
      <c r="BR2173" s="71">
        <v>0</v>
      </c>
      <c r="BS2173" s="71">
        <v>0</v>
      </c>
      <c r="BT2173" s="72">
        <v>0</v>
      </c>
      <c r="BU2173" s="73"/>
      <c r="BV2173" s="73"/>
    </row>
    <row r="2174" ht="30" customHeight="1" spans="1:74">
      <c r="A2174" s="55">
        <v>0</v>
      </c>
      <c r="B2174" s="56" t="s">
        <v>1237</v>
      </c>
      <c r="C2174" s="57" t="s">
        <v>3226</v>
      </c>
      <c r="D2174" s="76" t="s">
        <v>3415</v>
      </c>
      <c r="E2174" s="59"/>
      <c r="F2174" s="59" t="e">
        <f>VLOOKUP(E2174,[1]库存!$B$1:$C$65536,2,FALSE)</f>
        <v>#N/A</v>
      </c>
      <c r="G2174" s="59" t="e">
        <v>#N/A</v>
      </c>
      <c r="H2174" s="59" t="s">
        <v>3425</v>
      </c>
      <c r="I2174" s="59" t="s">
        <v>3426</v>
      </c>
      <c r="J2174" s="63"/>
      <c r="K2174" s="61"/>
      <c r="L2174" s="62">
        <v>0</v>
      </c>
      <c r="M2174" s="63">
        <v>1050</v>
      </c>
      <c r="N2174" s="64">
        <v>8</v>
      </c>
      <c r="O2174" s="62">
        <v>2</v>
      </c>
      <c r="P2174" s="65">
        <f t="shared" si="143"/>
        <v>0</v>
      </c>
      <c r="Q2174" s="66"/>
      <c r="R2174" s="66"/>
      <c r="S2174" s="66"/>
      <c r="T2174" s="66"/>
      <c r="U2174" s="66"/>
      <c r="V2174" s="66"/>
      <c r="W2174" s="66"/>
      <c r="X2174" s="66"/>
      <c r="Y2174" s="66"/>
      <c r="Z2174" s="66"/>
      <c r="AA2174" s="66"/>
      <c r="AB2174" s="66"/>
      <c r="AC2174" s="66"/>
      <c r="AD2174" s="66"/>
      <c r="AE2174" s="66"/>
      <c r="AF2174" s="66"/>
      <c r="AG2174" s="66"/>
      <c r="AH2174" s="66"/>
      <c r="AI2174" s="66"/>
      <c r="AJ2174" s="66"/>
      <c r="AK2174" s="66"/>
      <c r="AL2174" s="66"/>
      <c r="AM2174" s="66"/>
      <c r="AN2174" s="66"/>
      <c r="AO2174" s="66"/>
      <c r="AP2174" s="66"/>
      <c r="AQ2174" s="66"/>
      <c r="AR2174" s="66"/>
      <c r="AS2174" s="66"/>
      <c r="AT2174" s="66"/>
      <c r="AU2174" s="66"/>
      <c r="AV2174" s="66"/>
      <c r="AW2174" s="66"/>
      <c r="AX2174" s="66"/>
      <c r="AY2174" s="66"/>
      <c r="AZ2174" s="66"/>
      <c r="BA2174" s="66"/>
      <c r="BB2174" s="66"/>
      <c r="BC2174" s="66"/>
      <c r="BD2174" s="66"/>
      <c r="BE2174" s="67"/>
      <c r="BF2174" s="67"/>
      <c r="BG2174" s="68"/>
      <c r="BI2174" s="69">
        <v>0</v>
      </c>
      <c r="BJ2174" s="70">
        <v>0</v>
      </c>
      <c r="BK2174" s="71">
        <v>0</v>
      </c>
      <c r="BL2174" s="71">
        <v>0</v>
      </c>
      <c r="BM2174" s="71">
        <v>0</v>
      </c>
      <c r="BN2174" s="72">
        <v>0</v>
      </c>
      <c r="BO2174" s="151" t="e">
        <f t="shared" si="141"/>
        <v>#DIV/0!</v>
      </c>
      <c r="BP2174" s="151" t="e">
        <f t="shared" si="142"/>
        <v>#DIV/0!</v>
      </c>
      <c r="BQ2174" s="71">
        <v>0</v>
      </c>
      <c r="BR2174" s="71">
        <v>0</v>
      </c>
      <c r="BS2174" s="71">
        <v>0</v>
      </c>
      <c r="BT2174" s="72">
        <v>0</v>
      </c>
      <c r="BU2174" s="73"/>
      <c r="BV2174" s="73"/>
    </row>
    <row r="2175" ht="30" customHeight="1" spans="1:74">
      <c r="A2175" s="55">
        <v>0</v>
      </c>
      <c r="B2175" s="56">
        <v>0</v>
      </c>
      <c r="C2175" s="57">
        <v>0</v>
      </c>
      <c r="D2175" s="78"/>
      <c r="E2175" s="74"/>
      <c r="F2175" s="59" t="e">
        <f>VLOOKUP(E2175,[1]库存!$B$1:$C$65536,2,FALSE)</f>
        <v>#N/A</v>
      </c>
      <c r="G2175" s="59" t="e">
        <v>#N/A</v>
      </c>
      <c r="H2175" s="74"/>
      <c r="I2175" s="74"/>
      <c r="J2175" s="87"/>
      <c r="K2175" s="61"/>
      <c r="L2175" s="62">
        <v>0</v>
      </c>
      <c r="M2175" s="63">
        <v>0</v>
      </c>
      <c r="N2175" s="64">
        <v>0</v>
      </c>
      <c r="O2175" s="62">
        <v>0</v>
      </c>
      <c r="P2175" s="65">
        <f t="shared" si="143"/>
        <v>0</v>
      </c>
      <c r="Q2175" s="66"/>
      <c r="R2175" s="66"/>
      <c r="S2175" s="66"/>
      <c r="T2175" s="66"/>
      <c r="U2175" s="66"/>
      <c r="V2175" s="66"/>
      <c r="W2175" s="66"/>
      <c r="X2175" s="66"/>
      <c r="Y2175" s="66"/>
      <c r="Z2175" s="66"/>
      <c r="AA2175" s="66"/>
      <c r="AB2175" s="66"/>
      <c r="AC2175" s="66"/>
      <c r="AD2175" s="66"/>
      <c r="AE2175" s="66"/>
      <c r="AF2175" s="66"/>
      <c r="AG2175" s="66"/>
      <c r="AH2175" s="66"/>
      <c r="AI2175" s="66"/>
      <c r="AJ2175" s="66"/>
      <c r="AK2175" s="66"/>
      <c r="AL2175" s="66"/>
      <c r="AM2175" s="66"/>
      <c r="AN2175" s="66"/>
      <c r="AO2175" s="66"/>
      <c r="AP2175" s="66"/>
      <c r="AQ2175" s="66"/>
      <c r="AR2175" s="66"/>
      <c r="AS2175" s="66"/>
      <c r="AT2175" s="66"/>
      <c r="AU2175" s="66"/>
      <c r="AV2175" s="66"/>
      <c r="AW2175" s="66"/>
      <c r="AX2175" s="66"/>
      <c r="AY2175" s="66"/>
      <c r="AZ2175" s="66"/>
      <c r="BA2175" s="66"/>
      <c r="BB2175" s="66"/>
      <c r="BC2175" s="66"/>
      <c r="BD2175" s="66"/>
      <c r="BE2175" s="67"/>
      <c r="BF2175" s="67"/>
      <c r="BG2175" s="68"/>
      <c r="BI2175" s="69">
        <v>0</v>
      </c>
      <c r="BJ2175" s="70">
        <v>0</v>
      </c>
      <c r="BK2175" s="71">
        <v>0</v>
      </c>
      <c r="BL2175" s="71">
        <v>0</v>
      </c>
      <c r="BM2175" s="71">
        <v>0</v>
      </c>
      <c r="BN2175" s="72">
        <v>0</v>
      </c>
      <c r="BO2175" s="151" t="e">
        <f t="shared" si="141"/>
        <v>#DIV/0!</v>
      </c>
      <c r="BP2175" s="151" t="e">
        <f t="shared" si="142"/>
        <v>#DIV/0!</v>
      </c>
      <c r="BQ2175" s="71">
        <v>0</v>
      </c>
      <c r="BR2175" s="71">
        <v>0</v>
      </c>
      <c r="BS2175" s="71">
        <v>0</v>
      </c>
      <c r="BT2175" s="72">
        <v>0</v>
      </c>
      <c r="BU2175" s="73"/>
      <c r="BV2175" s="73"/>
    </row>
    <row r="2176" ht="30" customHeight="1" spans="1:74">
      <c r="A2176" s="55">
        <v>0</v>
      </c>
      <c r="B2176" s="56" t="s">
        <v>1237</v>
      </c>
      <c r="C2176" s="57" t="s">
        <v>3226</v>
      </c>
      <c r="D2176" s="76" t="s">
        <v>3415</v>
      </c>
      <c r="E2176" s="59"/>
      <c r="F2176" s="59" t="e">
        <f>VLOOKUP(E2176,[1]库存!$B$1:$C$65536,2,FALSE)</f>
        <v>#N/A</v>
      </c>
      <c r="G2176" s="59" t="e">
        <v>#N/A</v>
      </c>
      <c r="H2176" s="59" t="s">
        <v>3427</v>
      </c>
      <c r="I2176" s="59" t="s">
        <v>3412</v>
      </c>
      <c r="J2176" s="63"/>
      <c r="K2176" s="61"/>
      <c r="L2176" s="62">
        <v>0</v>
      </c>
      <c r="M2176" s="63">
        <v>1050</v>
      </c>
      <c r="N2176" s="64">
        <v>8</v>
      </c>
      <c r="O2176" s="62">
        <v>2</v>
      </c>
      <c r="P2176" s="65">
        <f t="shared" si="143"/>
        <v>0</v>
      </c>
      <c r="Q2176" s="66"/>
      <c r="R2176" s="66"/>
      <c r="S2176" s="66"/>
      <c r="T2176" s="66"/>
      <c r="U2176" s="66"/>
      <c r="V2176" s="66"/>
      <c r="W2176" s="66"/>
      <c r="X2176" s="66"/>
      <c r="Y2176" s="66"/>
      <c r="Z2176" s="66"/>
      <c r="AA2176" s="66"/>
      <c r="AB2176" s="66"/>
      <c r="AC2176" s="66"/>
      <c r="AD2176" s="66"/>
      <c r="AE2176" s="66"/>
      <c r="AF2176" s="66"/>
      <c r="AG2176" s="66"/>
      <c r="AH2176" s="66"/>
      <c r="AI2176" s="66"/>
      <c r="AJ2176" s="66"/>
      <c r="AK2176" s="66"/>
      <c r="AL2176" s="66"/>
      <c r="AM2176" s="66"/>
      <c r="AN2176" s="66"/>
      <c r="AO2176" s="66"/>
      <c r="AP2176" s="66"/>
      <c r="AQ2176" s="66"/>
      <c r="AR2176" s="66"/>
      <c r="AS2176" s="66"/>
      <c r="AT2176" s="66"/>
      <c r="AU2176" s="66"/>
      <c r="AV2176" s="66"/>
      <c r="AW2176" s="66"/>
      <c r="AX2176" s="66"/>
      <c r="AY2176" s="66"/>
      <c r="AZ2176" s="66"/>
      <c r="BA2176" s="66"/>
      <c r="BB2176" s="66"/>
      <c r="BC2176" s="66"/>
      <c r="BD2176" s="66"/>
      <c r="BE2176" s="67"/>
      <c r="BF2176" s="67"/>
      <c r="BG2176" s="68"/>
      <c r="BI2176" s="69">
        <v>0</v>
      </c>
      <c r="BJ2176" s="70">
        <v>0</v>
      </c>
      <c r="BK2176" s="71">
        <v>0</v>
      </c>
      <c r="BL2176" s="71">
        <v>0</v>
      </c>
      <c r="BM2176" s="71">
        <v>0</v>
      </c>
      <c r="BN2176" s="72">
        <v>0</v>
      </c>
      <c r="BO2176" s="151" t="e">
        <f t="shared" si="141"/>
        <v>#DIV/0!</v>
      </c>
      <c r="BP2176" s="151" t="e">
        <f t="shared" si="142"/>
        <v>#DIV/0!</v>
      </c>
      <c r="BQ2176" s="71">
        <v>0</v>
      </c>
      <c r="BR2176" s="71">
        <v>0</v>
      </c>
      <c r="BS2176" s="71">
        <v>0</v>
      </c>
      <c r="BT2176" s="72">
        <v>0</v>
      </c>
      <c r="BU2176" s="73"/>
      <c r="BV2176" s="73"/>
    </row>
    <row r="2177" ht="30" customHeight="1" spans="1:74">
      <c r="A2177" s="55">
        <v>0</v>
      </c>
      <c r="B2177" s="56">
        <v>0</v>
      </c>
      <c r="C2177" s="57">
        <v>0</v>
      </c>
      <c r="D2177" s="78"/>
      <c r="E2177" s="74"/>
      <c r="F2177" s="59" t="e">
        <f>VLOOKUP(E2177,[1]库存!$B$1:$C$65536,2,FALSE)</f>
        <v>#N/A</v>
      </c>
      <c r="G2177" s="59" t="e">
        <v>#N/A</v>
      </c>
      <c r="H2177" s="74"/>
      <c r="I2177" s="74"/>
      <c r="J2177" s="87"/>
      <c r="K2177" s="61"/>
      <c r="L2177" s="62">
        <v>0</v>
      </c>
      <c r="M2177" s="63">
        <v>0</v>
      </c>
      <c r="N2177" s="64">
        <v>0</v>
      </c>
      <c r="O2177" s="62">
        <v>0</v>
      </c>
      <c r="P2177" s="65">
        <f t="shared" si="143"/>
        <v>0</v>
      </c>
      <c r="Q2177" s="66"/>
      <c r="R2177" s="66"/>
      <c r="S2177" s="66"/>
      <c r="T2177" s="66"/>
      <c r="U2177" s="66"/>
      <c r="V2177" s="66"/>
      <c r="W2177" s="66"/>
      <c r="X2177" s="66"/>
      <c r="Y2177" s="66"/>
      <c r="Z2177" s="66"/>
      <c r="AA2177" s="66"/>
      <c r="AB2177" s="66"/>
      <c r="AC2177" s="66"/>
      <c r="AD2177" s="66"/>
      <c r="AE2177" s="66"/>
      <c r="AF2177" s="66"/>
      <c r="AG2177" s="66"/>
      <c r="AH2177" s="66"/>
      <c r="AI2177" s="66"/>
      <c r="AJ2177" s="66"/>
      <c r="AK2177" s="66"/>
      <c r="AL2177" s="66"/>
      <c r="AM2177" s="66"/>
      <c r="AN2177" s="66"/>
      <c r="AO2177" s="66"/>
      <c r="AP2177" s="66"/>
      <c r="AQ2177" s="66"/>
      <c r="AR2177" s="66"/>
      <c r="AS2177" s="66"/>
      <c r="AT2177" s="66"/>
      <c r="AU2177" s="66"/>
      <c r="AV2177" s="66"/>
      <c r="AW2177" s="66"/>
      <c r="AX2177" s="66"/>
      <c r="AY2177" s="66"/>
      <c r="AZ2177" s="66"/>
      <c r="BA2177" s="66"/>
      <c r="BB2177" s="66"/>
      <c r="BC2177" s="66"/>
      <c r="BD2177" s="66"/>
      <c r="BE2177" s="67"/>
      <c r="BF2177" s="67"/>
      <c r="BG2177" s="68"/>
      <c r="BI2177" s="69">
        <v>0</v>
      </c>
      <c r="BJ2177" s="70">
        <v>0</v>
      </c>
      <c r="BK2177" s="71">
        <v>0</v>
      </c>
      <c r="BL2177" s="71">
        <v>0</v>
      </c>
      <c r="BM2177" s="71">
        <v>0</v>
      </c>
      <c r="BN2177" s="72">
        <v>0</v>
      </c>
      <c r="BO2177" s="151" t="e">
        <f t="shared" si="141"/>
        <v>#DIV/0!</v>
      </c>
      <c r="BP2177" s="151" t="e">
        <f t="shared" si="142"/>
        <v>#DIV/0!</v>
      </c>
      <c r="BQ2177" s="71">
        <v>0</v>
      </c>
      <c r="BR2177" s="71">
        <v>0</v>
      </c>
      <c r="BS2177" s="71">
        <v>0</v>
      </c>
      <c r="BT2177" s="72">
        <v>0</v>
      </c>
      <c r="BU2177" s="73"/>
      <c r="BV2177" s="73"/>
    </row>
    <row r="2178" ht="30" customHeight="1" spans="1:74">
      <c r="A2178" s="55">
        <v>0</v>
      </c>
      <c r="B2178" s="56" t="s">
        <v>1237</v>
      </c>
      <c r="C2178" s="57" t="s">
        <v>3226</v>
      </c>
      <c r="D2178" s="76" t="s">
        <v>3415</v>
      </c>
      <c r="E2178" s="59"/>
      <c r="F2178" s="59" t="e">
        <f>VLOOKUP(E2178,[1]库存!$B$1:$C$65536,2,FALSE)</f>
        <v>#N/A</v>
      </c>
      <c r="G2178" s="59" t="e">
        <v>#N/A</v>
      </c>
      <c r="H2178" s="59" t="s">
        <v>3428</v>
      </c>
      <c r="I2178" s="59" t="s">
        <v>3414</v>
      </c>
      <c r="J2178" s="63"/>
      <c r="K2178" s="61"/>
      <c r="L2178" s="62">
        <v>0</v>
      </c>
      <c r="M2178" s="63">
        <v>1050</v>
      </c>
      <c r="N2178" s="64">
        <v>8</v>
      </c>
      <c r="O2178" s="62">
        <v>2</v>
      </c>
      <c r="P2178" s="65">
        <f t="shared" si="143"/>
        <v>0</v>
      </c>
      <c r="Q2178" s="66"/>
      <c r="R2178" s="66"/>
      <c r="S2178" s="66"/>
      <c r="T2178" s="66"/>
      <c r="U2178" s="66"/>
      <c r="V2178" s="66"/>
      <c r="W2178" s="66"/>
      <c r="X2178" s="66"/>
      <c r="Y2178" s="66"/>
      <c r="Z2178" s="66"/>
      <c r="AA2178" s="66"/>
      <c r="AB2178" s="66"/>
      <c r="AC2178" s="66"/>
      <c r="AD2178" s="66"/>
      <c r="AE2178" s="66"/>
      <c r="AF2178" s="66"/>
      <c r="AG2178" s="66"/>
      <c r="AH2178" s="66"/>
      <c r="AI2178" s="66"/>
      <c r="AJ2178" s="66"/>
      <c r="AK2178" s="66"/>
      <c r="AL2178" s="66"/>
      <c r="AM2178" s="66"/>
      <c r="AN2178" s="66"/>
      <c r="AO2178" s="66"/>
      <c r="AP2178" s="66"/>
      <c r="AQ2178" s="66"/>
      <c r="AR2178" s="66"/>
      <c r="AS2178" s="66"/>
      <c r="AT2178" s="66"/>
      <c r="AU2178" s="66"/>
      <c r="AV2178" s="66"/>
      <c r="AW2178" s="66"/>
      <c r="AX2178" s="66"/>
      <c r="AY2178" s="66"/>
      <c r="AZ2178" s="66"/>
      <c r="BA2178" s="66"/>
      <c r="BB2178" s="66"/>
      <c r="BC2178" s="66"/>
      <c r="BD2178" s="66"/>
      <c r="BE2178" s="67"/>
      <c r="BF2178" s="67"/>
      <c r="BG2178" s="68"/>
      <c r="BI2178" s="69">
        <v>0</v>
      </c>
      <c r="BJ2178" s="70">
        <v>0</v>
      </c>
      <c r="BK2178" s="71">
        <v>0</v>
      </c>
      <c r="BL2178" s="71">
        <v>0</v>
      </c>
      <c r="BM2178" s="71">
        <v>0</v>
      </c>
      <c r="BN2178" s="72">
        <v>0</v>
      </c>
      <c r="BO2178" s="151" t="e">
        <f t="shared" ref="BO2178:BO2241" si="144">(BK2178+BL2178)/BJ2178</f>
        <v>#DIV/0!</v>
      </c>
      <c r="BP2178" s="151" t="e">
        <f t="shared" ref="BP2178:BP2241" si="145">BM2178/BJ2178</f>
        <v>#DIV/0!</v>
      </c>
      <c r="BQ2178" s="71">
        <v>0</v>
      </c>
      <c r="BR2178" s="71">
        <v>0</v>
      </c>
      <c r="BS2178" s="71">
        <v>0</v>
      </c>
      <c r="BT2178" s="72">
        <v>0</v>
      </c>
      <c r="BU2178" s="73"/>
      <c r="BV2178" s="73"/>
    </row>
    <row r="2179" ht="30" customHeight="1" spans="1:74">
      <c r="A2179" s="55">
        <v>0</v>
      </c>
      <c r="B2179" s="56">
        <v>0</v>
      </c>
      <c r="C2179" s="57">
        <v>0</v>
      </c>
      <c r="D2179" s="78"/>
      <c r="E2179" s="74"/>
      <c r="F2179" s="59" t="e">
        <f>VLOOKUP(E2179,[1]库存!$B$1:$C$65536,2,FALSE)</f>
        <v>#N/A</v>
      </c>
      <c r="G2179" s="59" t="e">
        <v>#N/A</v>
      </c>
      <c r="H2179" s="74"/>
      <c r="I2179" s="74"/>
      <c r="J2179" s="87"/>
      <c r="K2179" s="61"/>
      <c r="L2179" s="62">
        <v>0</v>
      </c>
      <c r="M2179" s="63">
        <v>0</v>
      </c>
      <c r="N2179" s="64">
        <v>0</v>
      </c>
      <c r="O2179" s="62">
        <v>0</v>
      </c>
      <c r="P2179" s="65">
        <f t="shared" si="143"/>
        <v>0</v>
      </c>
      <c r="Q2179" s="66"/>
      <c r="R2179" s="66"/>
      <c r="S2179" s="66"/>
      <c r="T2179" s="66"/>
      <c r="U2179" s="66"/>
      <c r="V2179" s="66"/>
      <c r="W2179" s="66"/>
      <c r="X2179" s="66"/>
      <c r="Y2179" s="66"/>
      <c r="Z2179" s="66"/>
      <c r="AA2179" s="66"/>
      <c r="AB2179" s="66"/>
      <c r="AC2179" s="66"/>
      <c r="AD2179" s="66"/>
      <c r="AE2179" s="66"/>
      <c r="AF2179" s="66"/>
      <c r="AG2179" s="66"/>
      <c r="AH2179" s="66"/>
      <c r="AI2179" s="66"/>
      <c r="AJ2179" s="66"/>
      <c r="AK2179" s="66"/>
      <c r="AL2179" s="66"/>
      <c r="AM2179" s="66"/>
      <c r="AN2179" s="66"/>
      <c r="AO2179" s="66"/>
      <c r="AP2179" s="66"/>
      <c r="AQ2179" s="66"/>
      <c r="AR2179" s="66"/>
      <c r="AS2179" s="66"/>
      <c r="AT2179" s="66"/>
      <c r="AU2179" s="66"/>
      <c r="AV2179" s="66"/>
      <c r="AW2179" s="66"/>
      <c r="AX2179" s="66"/>
      <c r="AY2179" s="66"/>
      <c r="AZ2179" s="66"/>
      <c r="BA2179" s="66"/>
      <c r="BB2179" s="66"/>
      <c r="BC2179" s="66"/>
      <c r="BD2179" s="66"/>
      <c r="BE2179" s="67"/>
      <c r="BF2179" s="67"/>
      <c r="BG2179" s="68"/>
      <c r="BI2179" s="69">
        <v>0</v>
      </c>
      <c r="BJ2179" s="70">
        <v>0</v>
      </c>
      <c r="BK2179" s="71">
        <v>0</v>
      </c>
      <c r="BL2179" s="71">
        <v>0</v>
      </c>
      <c r="BM2179" s="71">
        <v>0</v>
      </c>
      <c r="BN2179" s="72">
        <v>0</v>
      </c>
      <c r="BO2179" s="151" t="e">
        <f t="shared" si="144"/>
        <v>#DIV/0!</v>
      </c>
      <c r="BP2179" s="151" t="e">
        <f t="shared" si="145"/>
        <v>#DIV/0!</v>
      </c>
      <c r="BQ2179" s="71">
        <v>0</v>
      </c>
      <c r="BR2179" s="71">
        <v>0</v>
      </c>
      <c r="BS2179" s="71">
        <v>0</v>
      </c>
      <c r="BT2179" s="72">
        <v>0</v>
      </c>
      <c r="BU2179" s="73"/>
      <c r="BV2179" s="73"/>
    </row>
    <row r="2180" ht="30" customHeight="1" spans="1:74">
      <c r="A2180" s="55">
        <v>0</v>
      </c>
      <c r="B2180" s="56">
        <v>0</v>
      </c>
      <c r="C2180" s="57">
        <v>0</v>
      </c>
      <c r="E2180" s="88"/>
      <c r="F2180" s="59" t="e">
        <f>VLOOKUP(E2180,[1]库存!$B$1:$C$65536,2,FALSE)</f>
        <v>#N/A</v>
      </c>
      <c r="G2180" s="59" t="e">
        <v>#N/A</v>
      </c>
      <c r="H2180" s="89"/>
      <c r="I2180" s="88"/>
      <c r="J2180" s="90"/>
      <c r="K2180" s="61"/>
      <c r="L2180" s="62">
        <v>0</v>
      </c>
      <c r="M2180" s="63">
        <v>0</v>
      </c>
      <c r="N2180" s="64">
        <v>0</v>
      </c>
      <c r="O2180" s="62">
        <v>0</v>
      </c>
      <c r="P2180" s="65">
        <f t="shared" si="143"/>
        <v>0</v>
      </c>
      <c r="Q2180" s="66"/>
      <c r="R2180" s="66"/>
      <c r="S2180" s="66"/>
      <c r="T2180" s="66"/>
      <c r="U2180" s="66"/>
      <c r="V2180" s="66"/>
      <c r="W2180" s="66"/>
      <c r="X2180" s="66"/>
      <c r="Y2180" s="66"/>
      <c r="Z2180" s="66"/>
      <c r="AA2180" s="66"/>
      <c r="AB2180" s="66"/>
      <c r="AC2180" s="66"/>
      <c r="AD2180" s="66"/>
      <c r="AE2180" s="66"/>
      <c r="AF2180" s="66"/>
      <c r="AG2180" s="66"/>
      <c r="AH2180" s="66"/>
      <c r="AI2180" s="66"/>
      <c r="AJ2180" s="66"/>
      <c r="AK2180" s="66"/>
      <c r="AL2180" s="66"/>
      <c r="AM2180" s="66"/>
      <c r="AN2180" s="66"/>
      <c r="AO2180" s="66"/>
      <c r="AP2180" s="66"/>
      <c r="AQ2180" s="66"/>
      <c r="AR2180" s="66"/>
      <c r="AS2180" s="66"/>
      <c r="AT2180" s="66"/>
      <c r="AU2180" s="66"/>
      <c r="AV2180" s="66"/>
      <c r="AW2180" s="66"/>
      <c r="AX2180" s="66"/>
      <c r="AY2180" s="66"/>
      <c r="AZ2180" s="66"/>
      <c r="BA2180" s="66"/>
      <c r="BB2180" s="66"/>
      <c r="BC2180" s="66"/>
      <c r="BD2180" s="66"/>
      <c r="BE2180" s="67"/>
      <c r="BF2180" s="67"/>
      <c r="BG2180" s="68"/>
      <c r="BI2180" s="69">
        <v>0</v>
      </c>
      <c r="BJ2180" s="70">
        <v>0</v>
      </c>
      <c r="BK2180" s="71">
        <v>0</v>
      </c>
      <c r="BL2180" s="71">
        <v>0</v>
      </c>
      <c r="BM2180" s="71">
        <v>0</v>
      </c>
      <c r="BN2180" s="72">
        <v>0</v>
      </c>
      <c r="BO2180" s="151" t="e">
        <f t="shared" si="144"/>
        <v>#DIV/0!</v>
      </c>
      <c r="BP2180" s="151" t="e">
        <f t="shared" si="145"/>
        <v>#DIV/0!</v>
      </c>
      <c r="BQ2180" s="71">
        <v>0</v>
      </c>
      <c r="BR2180" s="71">
        <v>0</v>
      </c>
      <c r="BS2180" s="71">
        <v>0</v>
      </c>
      <c r="BT2180" s="72">
        <v>0</v>
      </c>
      <c r="BU2180" s="151" t="e">
        <f t="shared" ref="BU2180:BU2243" si="146">(BQ2180+BR2180)/BJ2180</f>
        <v>#DIV/0!</v>
      </c>
      <c r="BV2180" s="151" t="e">
        <f t="shared" ref="BV2180:BV2243" si="147">BS2180/BJ2180</f>
        <v>#DIV/0!</v>
      </c>
    </row>
    <row r="2181" ht="30" customHeight="1" spans="1:74">
      <c r="A2181" s="55" t="s">
        <v>165</v>
      </c>
      <c r="B2181" s="56" t="s">
        <v>1237</v>
      </c>
      <c r="C2181" s="57" t="s">
        <v>3226</v>
      </c>
      <c r="D2181" s="57" t="s">
        <v>3429</v>
      </c>
      <c r="E2181" s="91" t="s">
        <v>3430</v>
      </c>
      <c r="F2181" s="91" t="str">
        <f>VLOOKUP(E2181,[1]库存!$B$1:$C$65536,2,FALSE)</f>
        <v>HONDA TH82P1 PAB A状态</v>
      </c>
      <c r="G2181" s="91" t="s">
        <v>3431</v>
      </c>
      <c r="H2181" s="91" t="s">
        <v>3432</v>
      </c>
      <c r="I2181" s="91" t="s">
        <v>3433</v>
      </c>
      <c r="J2181" s="63"/>
      <c r="K2181" s="61"/>
      <c r="L2181" s="62">
        <v>2</v>
      </c>
      <c r="M2181" s="63">
        <v>600</v>
      </c>
      <c r="N2181" s="64">
        <v>26</v>
      </c>
      <c r="O2181" s="62">
        <v>2</v>
      </c>
      <c r="P2181" s="65">
        <f t="shared" si="143"/>
        <v>0</v>
      </c>
      <c r="Q2181" s="103"/>
      <c r="R2181" s="103"/>
      <c r="S2181" s="103"/>
      <c r="T2181" s="103"/>
      <c r="U2181" s="103"/>
      <c r="V2181" s="103"/>
      <c r="W2181" s="103"/>
      <c r="X2181" s="103"/>
      <c r="Y2181" s="103"/>
      <c r="Z2181" s="103"/>
      <c r="AA2181" s="103"/>
      <c r="AB2181" s="103"/>
      <c r="AC2181" s="103"/>
      <c r="AD2181" s="103"/>
      <c r="AE2181" s="103"/>
      <c r="AF2181" s="103"/>
      <c r="AG2181" s="103"/>
      <c r="AH2181" s="103"/>
      <c r="AI2181" s="103"/>
      <c r="AJ2181" s="103"/>
      <c r="AK2181" s="103"/>
      <c r="AL2181" s="103"/>
      <c r="AM2181" s="103"/>
      <c r="AN2181" s="103"/>
      <c r="AO2181" s="103"/>
      <c r="AP2181" s="103"/>
      <c r="AQ2181" s="103"/>
      <c r="AR2181" s="103"/>
      <c r="AS2181" s="103"/>
      <c r="AT2181" s="103"/>
      <c r="AU2181" s="103"/>
      <c r="AV2181" s="103"/>
      <c r="AW2181" s="103"/>
      <c r="AX2181" s="103"/>
      <c r="AY2181" s="103"/>
      <c r="AZ2181" s="103"/>
      <c r="BA2181" s="103"/>
      <c r="BB2181" s="103"/>
      <c r="BC2181" s="103"/>
      <c r="BD2181" s="103"/>
      <c r="BE2181" s="105"/>
      <c r="BF2181" s="105"/>
      <c r="BG2181" s="68"/>
      <c r="BI2181" s="69">
        <v>0</v>
      </c>
      <c r="BJ2181" s="70">
        <v>0</v>
      </c>
      <c r="BK2181" s="71">
        <v>0</v>
      </c>
      <c r="BL2181" s="71">
        <v>0</v>
      </c>
      <c r="BM2181" s="71">
        <v>0</v>
      </c>
      <c r="BN2181" s="72">
        <v>0</v>
      </c>
      <c r="BO2181" s="151" t="e">
        <f t="shared" si="144"/>
        <v>#DIV/0!</v>
      </c>
      <c r="BP2181" s="151" t="e">
        <f t="shared" si="145"/>
        <v>#DIV/0!</v>
      </c>
      <c r="BQ2181" s="71">
        <v>0</v>
      </c>
      <c r="BR2181" s="71">
        <v>0</v>
      </c>
      <c r="BS2181" s="71">
        <v>0</v>
      </c>
      <c r="BT2181" s="72">
        <v>0</v>
      </c>
      <c r="BU2181" s="151" t="e">
        <f t="shared" si="146"/>
        <v>#DIV/0!</v>
      </c>
      <c r="BV2181" s="151" t="e">
        <f t="shared" si="147"/>
        <v>#DIV/0!</v>
      </c>
    </row>
    <row r="2182" ht="30" customHeight="1" spans="1:74">
      <c r="A2182" s="55">
        <v>0</v>
      </c>
      <c r="B2182" s="56">
        <v>0</v>
      </c>
      <c r="C2182" s="57">
        <v>0</v>
      </c>
      <c r="D2182" s="174"/>
      <c r="E2182" s="92"/>
      <c r="F2182" s="91" t="e">
        <f>VLOOKUP(E2182,[1]库存!$B$1:$C$65536,2,FALSE)</f>
        <v>#N/A</v>
      </c>
      <c r="G2182" s="91" t="e">
        <v>#N/A</v>
      </c>
      <c r="H2182" s="92"/>
      <c r="I2182" s="92"/>
      <c r="J2182" s="87"/>
      <c r="K2182" s="61"/>
      <c r="L2182" s="62">
        <v>0</v>
      </c>
      <c r="M2182" s="63">
        <v>0</v>
      </c>
      <c r="N2182" s="64">
        <v>0</v>
      </c>
      <c r="O2182" s="62">
        <v>0</v>
      </c>
      <c r="P2182" s="65">
        <f t="shared" ref="P2182:P2245" si="148">SUM(AG2182:AJ2182)</f>
        <v>0</v>
      </c>
      <c r="Q2182" s="66"/>
      <c r="R2182" s="66"/>
      <c r="S2182" s="66"/>
      <c r="T2182" s="66"/>
      <c r="U2182" s="66"/>
      <c r="V2182" s="66"/>
      <c r="W2182" s="66"/>
      <c r="X2182" s="66"/>
      <c r="Y2182" s="66"/>
      <c r="Z2182" s="66"/>
      <c r="AA2182" s="66"/>
      <c r="AB2182" s="66"/>
      <c r="AC2182" s="66"/>
      <c r="AD2182" s="66"/>
      <c r="AE2182" s="66"/>
      <c r="AF2182" s="66"/>
      <c r="AG2182" s="66"/>
      <c r="AH2182" s="66"/>
      <c r="AI2182" s="66"/>
      <c r="AJ2182" s="66"/>
      <c r="AK2182" s="66"/>
      <c r="AL2182" s="66"/>
      <c r="AM2182" s="66"/>
      <c r="AN2182" s="66"/>
      <c r="AO2182" s="66"/>
      <c r="AP2182" s="66"/>
      <c r="AQ2182" s="66"/>
      <c r="AR2182" s="66"/>
      <c r="AS2182" s="66"/>
      <c r="AT2182" s="66"/>
      <c r="AU2182" s="66"/>
      <c r="AV2182" s="66"/>
      <c r="AW2182" s="66"/>
      <c r="AX2182" s="66"/>
      <c r="AY2182" s="66"/>
      <c r="AZ2182" s="66"/>
      <c r="BA2182" s="66"/>
      <c r="BB2182" s="66"/>
      <c r="BC2182" s="66"/>
      <c r="BD2182" s="66"/>
      <c r="BE2182" s="67"/>
      <c r="BF2182" s="67"/>
      <c r="BG2182" s="68"/>
      <c r="BI2182" s="69">
        <v>0</v>
      </c>
      <c r="BJ2182" s="70">
        <v>0</v>
      </c>
      <c r="BK2182" s="71">
        <v>0</v>
      </c>
      <c r="BL2182" s="71">
        <v>0</v>
      </c>
      <c r="BM2182" s="71">
        <v>0</v>
      </c>
      <c r="BN2182" s="72">
        <v>0</v>
      </c>
      <c r="BO2182" s="151" t="e">
        <f t="shared" si="144"/>
        <v>#DIV/0!</v>
      </c>
      <c r="BP2182" s="151" t="e">
        <f t="shared" si="145"/>
        <v>#DIV/0!</v>
      </c>
      <c r="BQ2182" s="71">
        <v>0</v>
      </c>
      <c r="BR2182" s="71">
        <v>0</v>
      </c>
      <c r="BS2182" s="71">
        <v>0</v>
      </c>
      <c r="BT2182" s="72">
        <v>0</v>
      </c>
      <c r="BU2182" s="151" t="e">
        <f t="shared" si="146"/>
        <v>#DIV/0!</v>
      </c>
      <c r="BV2182" s="151" t="e">
        <f t="shared" si="147"/>
        <v>#DIV/0!</v>
      </c>
    </row>
    <row r="2183" ht="39" spans="1:74">
      <c r="A2183" s="55" t="s">
        <v>3434</v>
      </c>
      <c r="B2183" s="56" t="s">
        <v>1237</v>
      </c>
      <c r="C2183" s="57" t="s">
        <v>3226</v>
      </c>
      <c r="D2183" s="266" t="s">
        <v>3429</v>
      </c>
      <c r="E2183" s="169" t="s">
        <v>3430</v>
      </c>
      <c r="F2183" s="169" t="s">
        <v>3435</v>
      </c>
      <c r="G2183" s="267">
        <v>8000004171</v>
      </c>
      <c r="H2183" s="169" t="s">
        <v>3435</v>
      </c>
      <c r="I2183" s="169" t="s">
        <v>3433</v>
      </c>
      <c r="J2183" s="268"/>
      <c r="K2183" s="61"/>
      <c r="L2183" s="62">
        <v>2</v>
      </c>
      <c r="M2183" s="63">
        <v>600</v>
      </c>
      <c r="N2183" s="64">
        <v>26</v>
      </c>
      <c r="O2183" s="62">
        <v>2</v>
      </c>
      <c r="P2183" s="65">
        <f t="shared" si="148"/>
        <v>0</v>
      </c>
      <c r="Q2183" s="66"/>
      <c r="R2183" s="66"/>
      <c r="S2183" s="66"/>
      <c r="T2183" s="66"/>
      <c r="U2183" s="66"/>
      <c r="V2183" s="66"/>
      <c r="W2183" s="66"/>
      <c r="X2183" s="66"/>
      <c r="Y2183" s="66"/>
      <c r="Z2183" s="66"/>
      <c r="AA2183" s="66"/>
      <c r="AB2183" s="66"/>
      <c r="AC2183" s="66"/>
      <c r="AD2183" s="66"/>
      <c r="AE2183" s="66"/>
      <c r="AF2183" s="66"/>
      <c r="AG2183" s="66"/>
      <c r="AH2183" s="66"/>
      <c r="AI2183" s="66"/>
      <c r="AJ2183" s="66"/>
      <c r="AK2183" s="66"/>
      <c r="AL2183" s="66"/>
      <c r="AM2183" s="66"/>
      <c r="AN2183" s="66"/>
      <c r="AO2183" s="66"/>
      <c r="AP2183" s="66"/>
      <c r="AQ2183" s="66"/>
      <c r="AR2183" s="66"/>
      <c r="AS2183" s="66"/>
      <c r="AT2183" s="66"/>
      <c r="AU2183" s="66"/>
      <c r="AV2183" s="66"/>
      <c r="AW2183" s="66"/>
      <c r="AX2183" s="66"/>
      <c r="AY2183" s="66"/>
      <c r="AZ2183" s="66"/>
      <c r="BA2183" s="66"/>
      <c r="BB2183" s="66"/>
      <c r="BC2183" s="66"/>
      <c r="BD2183" s="66"/>
      <c r="BE2183" s="67"/>
      <c r="BF2183" s="67"/>
      <c r="BG2183" s="68"/>
      <c r="BI2183" s="69">
        <v>0</v>
      </c>
      <c r="BJ2183" s="70">
        <v>0</v>
      </c>
      <c r="BK2183" s="71">
        <v>0</v>
      </c>
      <c r="BL2183" s="71">
        <v>0</v>
      </c>
      <c r="BM2183" s="71">
        <v>0</v>
      </c>
      <c r="BN2183" s="72">
        <v>0</v>
      </c>
      <c r="BO2183" s="151" t="e">
        <f t="shared" si="144"/>
        <v>#DIV/0!</v>
      </c>
      <c r="BP2183" s="151" t="e">
        <f t="shared" si="145"/>
        <v>#DIV/0!</v>
      </c>
      <c r="BQ2183" s="71">
        <v>0</v>
      </c>
      <c r="BR2183" s="71">
        <v>0</v>
      </c>
      <c r="BS2183" s="71">
        <v>0</v>
      </c>
      <c r="BT2183" s="72">
        <v>0</v>
      </c>
      <c r="BU2183" s="151" t="e">
        <f t="shared" si="146"/>
        <v>#DIV/0!</v>
      </c>
      <c r="BV2183" s="151" t="e">
        <f t="shared" si="147"/>
        <v>#DIV/0!</v>
      </c>
    </row>
    <row r="2184" ht="30" customHeight="1" spans="1:74">
      <c r="A2184" s="55">
        <v>0</v>
      </c>
      <c r="B2184" s="56">
        <v>0</v>
      </c>
      <c r="C2184" s="57">
        <v>0</v>
      </c>
      <c r="D2184" s="269"/>
      <c r="E2184" s="170"/>
      <c r="F2184" s="169" t="e">
        <f>VLOOKUP(E2184,[1]库存!$B$1:$C$65536,2,FALSE)</f>
        <v>#N/A</v>
      </c>
      <c r="G2184" s="169" t="e">
        <v>#N/A</v>
      </c>
      <c r="H2184" s="170"/>
      <c r="I2184" s="170"/>
      <c r="J2184" s="270"/>
      <c r="K2184" s="61"/>
      <c r="L2184" s="62">
        <v>0</v>
      </c>
      <c r="M2184" s="63">
        <v>0</v>
      </c>
      <c r="N2184" s="64">
        <v>0</v>
      </c>
      <c r="O2184" s="62">
        <v>0</v>
      </c>
      <c r="P2184" s="65">
        <f t="shared" si="148"/>
        <v>0</v>
      </c>
      <c r="Q2184" s="66"/>
      <c r="R2184" s="66"/>
      <c r="S2184" s="66"/>
      <c r="T2184" s="66"/>
      <c r="U2184" s="66"/>
      <c r="V2184" s="66"/>
      <c r="W2184" s="66"/>
      <c r="X2184" s="66"/>
      <c r="Y2184" s="66"/>
      <c r="Z2184" s="66"/>
      <c r="AA2184" s="66"/>
      <c r="AB2184" s="66"/>
      <c r="AC2184" s="66"/>
      <c r="AD2184" s="66"/>
      <c r="AE2184" s="66"/>
      <c r="AF2184" s="66"/>
      <c r="AG2184" s="66"/>
      <c r="AH2184" s="66"/>
      <c r="AI2184" s="66"/>
      <c r="AJ2184" s="66"/>
      <c r="AK2184" s="66"/>
      <c r="AL2184" s="66"/>
      <c r="AM2184" s="66"/>
      <c r="AN2184" s="66"/>
      <c r="AO2184" s="66"/>
      <c r="AP2184" s="66"/>
      <c r="AQ2184" s="66"/>
      <c r="AR2184" s="66"/>
      <c r="AS2184" s="66"/>
      <c r="AT2184" s="66"/>
      <c r="AU2184" s="66"/>
      <c r="AV2184" s="66"/>
      <c r="AW2184" s="66"/>
      <c r="AX2184" s="66"/>
      <c r="AY2184" s="66"/>
      <c r="AZ2184" s="66"/>
      <c r="BA2184" s="66"/>
      <c r="BB2184" s="66"/>
      <c r="BC2184" s="66"/>
      <c r="BD2184" s="66"/>
      <c r="BE2184" s="67"/>
      <c r="BF2184" s="67"/>
      <c r="BG2184" s="68"/>
      <c r="BI2184" s="69">
        <v>0</v>
      </c>
      <c r="BJ2184" s="70">
        <v>0</v>
      </c>
      <c r="BK2184" s="71">
        <v>0</v>
      </c>
      <c r="BL2184" s="71">
        <v>0</v>
      </c>
      <c r="BM2184" s="71">
        <v>0</v>
      </c>
      <c r="BN2184" s="72">
        <v>0</v>
      </c>
      <c r="BO2184" s="151" t="e">
        <f t="shared" si="144"/>
        <v>#DIV/0!</v>
      </c>
      <c r="BP2184" s="151" t="e">
        <f t="shared" si="145"/>
        <v>#DIV/0!</v>
      </c>
      <c r="BQ2184" s="71">
        <v>0</v>
      </c>
      <c r="BR2184" s="71">
        <v>0</v>
      </c>
      <c r="BS2184" s="71">
        <v>0</v>
      </c>
      <c r="BT2184" s="72">
        <v>0</v>
      </c>
      <c r="BU2184" s="151" t="e">
        <f t="shared" si="146"/>
        <v>#DIV/0!</v>
      </c>
      <c r="BV2184" s="151" t="e">
        <f t="shared" si="147"/>
        <v>#DIV/0!</v>
      </c>
    </row>
    <row r="2185" ht="30" customHeight="1" spans="1:74">
      <c r="A2185" s="55">
        <v>0</v>
      </c>
      <c r="B2185" s="56">
        <v>0</v>
      </c>
      <c r="C2185" s="57">
        <v>0</v>
      </c>
      <c r="E2185" s="88"/>
      <c r="F2185" s="59" t="e">
        <f>VLOOKUP(E2185,[1]库存!$B$1:$C$65536,2,FALSE)</f>
        <v>#N/A</v>
      </c>
      <c r="G2185" s="59" t="e">
        <v>#N/A</v>
      </c>
      <c r="H2185" s="89"/>
      <c r="I2185" s="88"/>
      <c r="J2185" s="90"/>
      <c r="K2185" s="61"/>
      <c r="L2185" s="62">
        <v>0</v>
      </c>
      <c r="M2185" s="63">
        <v>0</v>
      </c>
      <c r="N2185" s="64">
        <v>0</v>
      </c>
      <c r="O2185" s="62">
        <v>0</v>
      </c>
      <c r="P2185" s="65">
        <f t="shared" si="148"/>
        <v>0</v>
      </c>
      <c r="Q2185" s="66"/>
      <c r="R2185" s="66"/>
      <c r="S2185" s="66"/>
      <c r="T2185" s="66"/>
      <c r="U2185" s="66"/>
      <c r="V2185" s="66"/>
      <c r="W2185" s="66"/>
      <c r="X2185" s="66"/>
      <c r="Y2185" s="66"/>
      <c r="Z2185" s="66"/>
      <c r="AA2185" s="66"/>
      <c r="AB2185" s="66"/>
      <c r="AC2185" s="66"/>
      <c r="AD2185" s="66"/>
      <c r="AE2185" s="66"/>
      <c r="AF2185" s="66"/>
      <c r="AG2185" s="66"/>
      <c r="AH2185" s="66"/>
      <c r="AI2185" s="66"/>
      <c r="AJ2185" s="66"/>
      <c r="AK2185" s="66"/>
      <c r="AL2185" s="66"/>
      <c r="AM2185" s="66"/>
      <c r="AN2185" s="66"/>
      <c r="AO2185" s="66"/>
      <c r="AP2185" s="66"/>
      <c r="AQ2185" s="66"/>
      <c r="AR2185" s="66"/>
      <c r="AS2185" s="66"/>
      <c r="AT2185" s="66"/>
      <c r="AU2185" s="66"/>
      <c r="AV2185" s="66"/>
      <c r="AW2185" s="66"/>
      <c r="AX2185" s="66"/>
      <c r="AY2185" s="66"/>
      <c r="AZ2185" s="66"/>
      <c r="BA2185" s="66"/>
      <c r="BB2185" s="66"/>
      <c r="BC2185" s="66"/>
      <c r="BD2185" s="66"/>
      <c r="BE2185" s="67"/>
      <c r="BF2185" s="67"/>
      <c r="BG2185" s="68"/>
      <c r="BI2185" s="69">
        <v>0</v>
      </c>
      <c r="BJ2185" s="70">
        <v>0</v>
      </c>
      <c r="BK2185" s="71">
        <v>0</v>
      </c>
      <c r="BL2185" s="71">
        <v>0</v>
      </c>
      <c r="BM2185" s="71">
        <v>0</v>
      </c>
      <c r="BN2185" s="72">
        <v>0</v>
      </c>
      <c r="BO2185" s="151" t="e">
        <f t="shared" si="144"/>
        <v>#DIV/0!</v>
      </c>
      <c r="BP2185" s="151" t="e">
        <f t="shared" si="145"/>
        <v>#DIV/0!</v>
      </c>
      <c r="BQ2185" s="71">
        <v>0</v>
      </c>
      <c r="BR2185" s="71">
        <v>0</v>
      </c>
      <c r="BS2185" s="71">
        <v>0</v>
      </c>
      <c r="BT2185" s="72">
        <v>0</v>
      </c>
      <c r="BU2185" s="151" t="e">
        <f t="shared" si="146"/>
        <v>#DIV/0!</v>
      </c>
      <c r="BV2185" s="151" t="e">
        <f t="shared" si="147"/>
        <v>#DIV/0!</v>
      </c>
    </row>
    <row r="2186" ht="30" customHeight="1" spans="1:74">
      <c r="A2186" s="55" t="s">
        <v>165</v>
      </c>
      <c r="B2186" s="56" t="s">
        <v>1237</v>
      </c>
      <c r="C2186" s="57" t="s">
        <v>3341</v>
      </c>
      <c r="D2186" s="76" t="s">
        <v>3436</v>
      </c>
      <c r="E2186" s="59" t="s">
        <v>3437</v>
      </c>
      <c r="F2186" s="59" t="str">
        <f>VLOOKUP(E2186,[1]库存!$B$1:$C$65536,2,FALSE)</f>
        <v>FORD CDX706 DAB</v>
      </c>
      <c r="G2186" s="59" t="s">
        <v>3438</v>
      </c>
      <c r="H2186" s="59" t="s">
        <v>3439</v>
      </c>
      <c r="I2186" s="59" t="s">
        <v>1873</v>
      </c>
      <c r="J2186" s="63"/>
      <c r="K2186" s="61"/>
      <c r="L2186" s="62">
        <v>0</v>
      </c>
      <c r="M2186" s="63">
        <v>1100</v>
      </c>
      <c r="N2186" s="64">
        <v>10</v>
      </c>
      <c r="O2186" s="62">
        <v>0</v>
      </c>
      <c r="P2186" s="65">
        <f t="shared" si="148"/>
        <v>0</v>
      </c>
      <c r="Q2186" s="66"/>
      <c r="R2186" s="66"/>
      <c r="S2186" s="66"/>
      <c r="T2186" s="66"/>
      <c r="U2186" s="66"/>
      <c r="V2186" s="66"/>
      <c r="W2186" s="66"/>
      <c r="X2186" s="66"/>
      <c r="Y2186" s="66"/>
      <c r="Z2186" s="66"/>
      <c r="AA2186" s="66"/>
      <c r="AB2186" s="66"/>
      <c r="AC2186" s="66"/>
      <c r="AD2186" s="66"/>
      <c r="AE2186" s="66"/>
      <c r="AF2186" s="66"/>
      <c r="AG2186" s="66"/>
      <c r="AH2186" s="66"/>
      <c r="AI2186" s="66"/>
      <c r="AJ2186" s="66"/>
      <c r="AK2186" s="66"/>
      <c r="AL2186" s="66"/>
      <c r="AM2186" s="66"/>
      <c r="AN2186" s="66"/>
      <c r="AO2186" s="66"/>
      <c r="AP2186" s="66"/>
      <c r="AQ2186" s="66"/>
      <c r="AR2186" s="66"/>
      <c r="AS2186" s="66"/>
      <c r="AT2186" s="66"/>
      <c r="AU2186" s="66"/>
      <c r="AV2186" s="66"/>
      <c r="AW2186" s="66"/>
      <c r="AX2186" s="66"/>
      <c r="AY2186" s="66"/>
      <c r="AZ2186" s="66"/>
      <c r="BA2186" s="66"/>
      <c r="BB2186" s="66"/>
      <c r="BC2186" s="66"/>
      <c r="BD2186" s="66"/>
      <c r="BE2186" s="67"/>
      <c r="BF2186" s="67"/>
      <c r="BG2186" s="68"/>
      <c r="BI2186" s="69">
        <v>0</v>
      </c>
      <c r="BJ2186" s="70">
        <v>0</v>
      </c>
      <c r="BK2186" s="71">
        <v>0</v>
      </c>
      <c r="BL2186" s="71">
        <v>0</v>
      </c>
      <c r="BM2186" s="71">
        <v>0</v>
      </c>
      <c r="BN2186" s="72">
        <v>0</v>
      </c>
      <c r="BO2186" s="151" t="e">
        <f t="shared" si="144"/>
        <v>#DIV/0!</v>
      </c>
      <c r="BP2186" s="151" t="e">
        <f t="shared" si="145"/>
        <v>#DIV/0!</v>
      </c>
      <c r="BQ2186" s="71">
        <v>0</v>
      </c>
      <c r="BR2186" s="71">
        <v>0</v>
      </c>
      <c r="BS2186" s="71">
        <v>0</v>
      </c>
      <c r="BT2186" s="72">
        <v>0</v>
      </c>
      <c r="BU2186" s="151" t="e">
        <f t="shared" si="146"/>
        <v>#DIV/0!</v>
      </c>
      <c r="BV2186" s="151" t="e">
        <f t="shared" si="147"/>
        <v>#DIV/0!</v>
      </c>
    </row>
    <row r="2187" ht="30" customHeight="1" spans="1:74">
      <c r="A2187" s="55">
        <v>0</v>
      </c>
      <c r="B2187" s="56">
        <v>0</v>
      </c>
      <c r="C2187" s="57">
        <v>0</v>
      </c>
      <c r="D2187" s="78"/>
      <c r="E2187" s="74"/>
      <c r="F2187" s="59" t="e">
        <f>VLOOKUP(E2187,[1]库存!$B$1:$C$65536,2,FALSE)</f>
        <v>#N/A</v>
      </c>
      <c r="G2187" s="59" t="e">
        <v>#N/A</v>
      </c>
      <c r="H2187" s="74"/>
      <c r="I2187" s="74"/>
      <c r="J2187" s="87"/>
      <c r="K2187" s="61"/>
      <c r="L2187" s="62">
        <v>0</v>
      </c>
      <c r="M2187" s="63">
        <v>0</v>
      </c>
      <c r="N2187" s="64">
        <v>0</v>
      </c>
      <c r="O2187" s="62">
        <v>0</v>
      </c>
      <c r="P2187" s="65">
        <f t="shared" si="148"/>
        <v>0</v>
      </c>
      <c r="Q2187" s="66"/>
      <c r="R2187" s="66"/>
      <c r="S2187" s="66"/>
      <c r="T2187" s="66"/>
      <c r="U2187" s="66"/>
      <c r="V2187" s="66"/>
      <c r="W2187" s="66"/>
      <c r="X2187" s="66"/>
      <c r="Y2187" s="66"/>
      <c r="Z2187" s="66"/>
      <c r="AA2187" s="66"/>
      <c r="AB2187" s="66"/>
      <c r="AC2187" s="66"/>
      <c r="AD2187" s="66"/>
      <c r="AE2187" s="66"/>
      <c r="AF2187" s="66"/>
      <c r="AG2187" s="66"/>
      <c r="AH2187" s="66"/>
      <c r="AI2187" s="66"/>
      <c r="AJ2187" s="66"/>
      <c r="AK2187" s="66"/>
      <c r="AL2187" s="66"/>
      <c r="AM2187" s="66"/>
      <c r="AN2187" s="66"/>
      <c r="AO2187" s="66"/>
      <c r="AP2187" s="66"/>
      <c r="AQ2187" s="66"/>
      <c r="AR2187" s="66"/>
      <c r="AS2187" s="66"/>
      <c r="AT2187" s="66"/>
      <c r="AU2187" s="66"/>
      <c r="AV2187" s="66"/>
      <c r="AW2187" s="66"/>
      <c r="AX2187" s="66"/>
      <c r="AY2187" s="66"/>
      <c r="AZ2187" s="66"/>
      <c r="BA2187" s="66"/>
      <c r="BB2187" s="66"/>
      <c r="BC2187" s="66"/>
      <c r="BD2187" s="66"/>
      <c r="BE2187" s="67"/>
      <c r="BF2187" s="67"/>
      <c r="BG2187" s="68"/>
      <c r="BI2187" s="69">
        <v>0</v>
      </c>
      <c r="BJ2187" s="70">
        <v>0</v>
      </c>
      <c r="BK2187" s="71">
        <v>0</v>
      </c>
      <c r="BL2187" s="71">
        <v>0</v>
      </c>
      <c r="BM2187" s="71">
        <v>0</v>
      </c>
      <c r="BN2187" s="72">
        <v>0</v>
      </c>
      <c r="BO2187" s="151" t="e">
        <f t="shared" si="144"/>
        <v>#DIV/0!</v>
      </c>
      <c r="BP2187" s="151" t="e">
        <f t="shared" si="145"/>
        <v>#DIV/0!</v>
      </c>
      <c r="BQ2187" s="71">
        <v>0</v>
      </c>
      <c r="BR2187" s="71">
        <v>0</v>
      </c>
      <c r="BS2187" s="71">
        <v>0</v>
      </c>
      <c r="BT2187" s="72">
        <v>0</v>
      </c>
      <c r="BU2187" s="151" t="e">
        <f t="shared" si="146"/>
        <v>#DIV/0!</v>
      </c>
      <c r="BV2187" s="151" t="e">
        <f t="shared" si="147"/>
        <v>#DIV/0!</v>
      </c>
    </row>
    <row r="2188" ht="30" customHeight="1" spans="1:74">
      <c r="A2188" s="55">
        <v>0</v>
      </c>
      <c r="B2188" s="56">
        <v>0</v>
      </c>
      <c r="C2188" s="57">
        <v>0</v>
      </c>
      <c r="E2188" s="88"/>
      <c r="F2188" s="59" t="e">
        <f>VLOOKUP(E2188,[1]库存!$B$1:$C$65536,2,FALSE)</f>
        <v>#N/A</v>
      </c>
      <c r="G2188" s="59" t="e">
        <v>#N/A</v>
      </c>
      <c r="H2188" s="89"/>
      <c r="I2188" s="88"/>
      <c r="J2188" s="90"/>
      <c r="K2188" s="61"/>
      <c r="L2188" s="62">
        <v>0</v>
      </c>
      <c r="M2188" s="63">
        <v>0</v>
      </c>
      <c r="N2188" s="64">
        <v>0</v>
      </c>
      <c r="O2188" s="62">
        <v>0</v>
      </c>
      <c r="P2188" s="65">
        <f t="shared" si="148"/>
        <v>0</v>
      </c>
      <c r="Q2188" s="66"/>
      <c r="R2188" s="66"/>
      <c r="S2188" s="66"/>
      <c r="T2188" s="66"/>
      <c r="U2188" s="66"/>
      <c r="V2188" s="66"/>
      <c r="W2188" s="66"/>
      <c r="X2188" s="66"/>
      <c r="Y2188" s="66"/>
      <c r="Z2188" s="66"/>
      <c r="AA2188" s="66"/>
      <c r="AB2188" s="66"/>
      <c r="AC2188" s="66"/>
      <c r="AD2188" s="66"/>
      <c r="AE2188" s="66"/>
      <c r="AF2188" s="66"/>
      <c r="AG2188" s="66"/>
      <c r="AH2188" s="66"/>
      <c r="AI2188" s="66"/>
      <c r="AJ2188" s="66"/>
      <c r="AK2188" s="66"/>
      <c r="AL2188" s="66"/>
      <c r="AM2188" s="66"/>
      <c r="AN2188" s="66"/>
      <c r="AO2188" s="66"/>
      <c r="AP2188" s="66"/>
      <c r="AQ2188" s="66"/>
      <c r="AR2188" s="66"/>
      <c r="AS2188" s="66"/>
      <c r="AT2188" s="66"/>
      <c r="AU2188" s="66"/>
      <c r="AV2188" s="66"/>
      <c r="AW2188" s="66"/>
      <c r="AX2188" s="66"/>
      <c r="AY2188" s="66"/>
      <c r="AZ2188" s="66"/>
      <c r="BA2188" s="66"/>
      <c r="BB2188" s="66"/>
      <c r="BC2188" s="66"/>
      <c r="BD2188" s="66"/>
      <c r="BE2188" s="67"/>
      <c r="BF2188" s="67"/>
      <c r="BG2188" s="68"/>
      <c r="BI2188" s="69">
        <v>0</v>
      </c>
      <c r="BJ2188" s="70">
        <v>0</v>
      </c>
      <c r="BK2188" s="71">
        <v>0</v>
      </c>
      <c r="BL2188" s="71">
        <v>0</v>
      </c>
      <c r="BM2188" s="71">
        <v>0</v>
      </c>
      <c r="BN2188" s="72">
        <v>0</v>
      </c>
      <c r="BO2188" s="151" t="e">
        <f t="shared" si="144"/>
        <v>#DIV/0!</v>
      </c>
      <c r="BP2188" s="151" t="e">
        <f t="shared" si="145"/>
        <v>#DIV/0!</v>
      </c>
      <c r="BQ2188" s="71">
        <v>0</v>
      </c>
      <c r="BR2188" s="71">
        <v>0</v>
      </c>
      <c r="BS2188" s="71">
        <v>0</v>
      </c>
      <c r="BT2188" s="72">
        <v>0</v>
      </c>
      <c r="BU2188" s="151" t="e">
        <f t="shared" si="146"/>
        <v>#DIV/0!</v>
      </c>
      <c r="BV2188" s="151" t="e">
        <f t="shared" si="147"/>
        <v>#DIV/0!</v>
      </c>
    </row>
    <row r="2189" ht="30" customHeight="1" spans="1:74">
      <c r="A2189" s="55" t="s">
        <v>246</v>
      </c>
      <c r="B2189" s="56" t="s">
        <v>1237</v>
      </c>
      <c r="C2189" s="57" t="s">
        <v>3341</v>
      </c>
      <c r="D2189" s="57" t="s">
        <v>3440</v>
      </c>
      <c r="E2189" s="91" t="s">
        <v>3441</v>
      </c>
      <c r="F2189" s="91" t="str">
        <f>VLOOKUP(E2189,[1]库存!$B$1:$C$65536,2,FALSE)</f>
        <v>GWM M81M83 SAB LH</v>
      </c>
      <c r="G2189" s="91" t="s">
        <v>3442</v>
      </c>
      <c r="H2189" s="91" t="s">
        <v>3443</v>
      </c>
      <c r="I2189" s="91" t="s">
        <v>250</v>
      </c>
      <c r="J2189" s="80" t="s">
        <v>65</v>
      </c>
      <c r="K2189" s="61"/>
      <c r="L2189" s="62">
        <v>0</v>
      </c>
      <c r="M2189" s="63">
        <v>1200</v>
      </c>
      <c r="N2189" s="64">
        <v>12</v>
      </c>
      <c r="O2189" s="62">
        <v>0</v>
      </c>
      <c r="P2189" s="65">
        <f t="shared" si="148"/>
        <v>0</v>
      </c>
      <c r="Q2189" s="66"/>
      <c r="R2189" s="66"/>
      <c r="S2189" s="66"/>
      <c r="T2189" s="66"/>
      <c r="U2189" s="66"/>
      <c r="V2189" s="66"/>
      <c r="W2189" s="66"/>
      <c r="X2189" s="66"/>
      <c r="Y2189" s="66"/>
      <c r="Z2189" s="66"/>
      <c r="AA2189" s="66"/>
      <c r="AB2189" s="66"/>
      <c r="AC2189" s="66"/>
      <c r="AD2189" s="66"/>
      <c r="AE2189" s="66"/>
      <c r="AF2189" s="66"/>
      <c r="AG2189" s="66"/>
      <c r="AH2189" s="66"/>
      <c r="AI2189" s="66"/>
      <c r="AJ2189" s="66"/>
      <c r="AK2189" s="66"/>
      <c r="AL2189" s="66"/>
      <c r="AM2189" s="66"/>
      <c r="AN2189" s="66"/>
      <c r="AO2189" s="66"/>
      <c r="AP2189" s="66"/>
      <c r="AQ2189" s="66"/>
      <c r="AR2189" s="66"/>
      <c r="AS2189" s="66"/>
      <c r="AT2189" s="66"/>
      <c r="AU2189" s="66"/>
      <c r="AV2189" s="66"/>
      <c r="AW2189" s="66"/>
      <c r="AX2189" s="66"/>
      <c r="AY2189" s="66"/>
      <c r="AZ2189" s="66"/>
      <c r="BA2189" s="66"/>
      <c r="BB2189" s="66"/>
      <c r="BC2189" s="66"/>
      <c r="BD2189" s="66"/>
      <c r="BE2189" s="67"/>
      <c r="BF2189" s="67"/>
      <c r="BG2189" s="68"/>
      <c r="BI2189" s="69">
        <v>0</v>
      </c>
      <c r="BJ2189" s="70">
        <v>0</v>
      </c>
      <c r="BK2189" s="71">
        <v>0</v>
      </c>
      <c r="BL2189" s="71">
        <v>0</v>
      </c>
      <c r="BM2189" s="71">
        <v>0</v>
      </c>
      <c r="BN2189" s="72">
        <v>0</v>
      </c>
      <c r="BO2189" s="151" t="e">
        <f t="shared" si="144"/>
        <v>#DIV/0!</v>
      </c>
      <c r="BP2189" s="151" t="e">
        <f t="shared" si="145"/>
        <v>#DIV/0!</v>
      </c>
      <c r="BQ2189" s="71">
        <v>0</v>
      </c>
      <c r="BR2189" s="71">
        <v>0</v>
      </c>
      <c r="BS2189" s="71">
        <v>0</v>
      </c>
      <c r="BT2189" s="72">
        <v>0</v>
      </c>
      <c r="BU2189" s="151" t="e">
        <f t="shared" si="146"/>
        <v>#DIV/0!</v>
      </c>
      <c r="BV2189" s="151" t="e">
        <f t="shared" si="147"/>
        <v>#DIV/0!</v>
      </c>
    </row>
    <row r="2190" ht="30" customHeight="1" spans="1:74">
      <c r="A2190" s="55">
        <v>0</v>
      </c>
      <c r="B2190" s="56">
        <v>0</v>
      </c>
      <c r="C2190" s="57">
        <v>0</v>
      </c>
      <c r="D2190" s="174"/>
      <c r="E2190" s="92"/>
      <c r="F2190" s="91" t="e">
        <f>VLOOKUP(E2190,[1]库存!$B$1:$C$65536,2,FALSE)</f>
        <v>#N/A</v>
      </c>
      <c r="G2190" s="91" t="e">
        <v>#N/A</v>
      </c>
      <c r="H2190" s="92"/>
      <c r="I2190" s="92"/>
      <c r="J2190" s="81"/>
      <c r="K2190" s="61"/>
      <c r="L2190" s="62">
        <v>0</v>
      </c>
      <c r="M2190" s="63">
        <v>0</v>
      </c>
      <c r="N2190" s="64">
        <v>0</v>
      </c>
      <c r="O2190" s="62">
        <v>0</v>
      </c>
      <c r="P2190" s="65">
        <f t="shared" si="148"/>
        <v>0</v>
      </c>
      <c r="Q2190" s="66"/>
      <c r="R2190" s="66"/>
      <c r="S2190" s="66"/>
      <c r="T2190" s="66"/>
      <c r="U2190" s="66"/>
      <c r="V2190" s="66"/>
      <c r="W2190" s="66"/>
      <c r="X2190" s="66"/>
      <c r="Y2190" s="66"/>
      <c r="Z2190" s="66"/>
      <c r="AA2190" s="66"/>
      <c r="AB2190" s="66"/>
      <c r="AC2190" s="66"/>
      <c r="AD2190" s="66"/>
      <c r="AE2190" s="66"/>
      <c r="AF2190" s="66"/>
      <c r="AG2190" s="66"/>
      <c r="AH2190" s="66"/>
      <c r="AI2190" s="66"/>
      <c r="AJ2190" s="66"/>
      <c r="AK2190" s="66"/>
      <c r="AL2190" s="66"/>
      <c r="AM2190" s="66"/>
      <c r="AN2190" s="66"/>
      <c r="AO2190" s="66"/>
      <c r="AP2190" s="66"/>
      <c r="AQ2190" s="66"/>
      <c r="AR2190" s="66"/>
      <c r="AS2190" s="66"/>
      <c r="AT2190" s="66"/>
      <c r="AU2190" s="66"/>
      <c r="AV2190" s="66"/>
      <c r="AW2190" s="66"/>
      <c r="AX2190" s="66"/>
      <c r="AY2190" s="66"/>
      <c r="AZ2190" s="66"/>
      <c r="BA2190" s="66"/>
      <c r="BB2190" s="66"/>
      <c r="BC2190" s="66"/>
      <c r="BD2190" s="66"/>
      <c r="BE2190" s="67"/>
      <c r="BF2190" s="67"/>
      <c r="BG2190" s="68"/>
      <c r="BI2190" s="69">
        <v>0</v>
      </c>
      <c r="BJ2190" s="70">
        <v>0</v>
      </c>
      <c r="BK2190" s="71">
        <v>0</v>
      </c>
      <c r="BL2190" s="71">
        <v>0</v>
      </c>
      <c r="BM2190" s="71">
        <v>0</v>
      </c>
      <c r="BN2190" s="72">
        <v>0</v>
      </c>
      <c r="BO2190" s="151" t="e">
        <f t="shared" si="144"/>
        <v>#DIV/0!</v>
      </c>
      <c r="BP2190" s="151" t="e">
        <f t="shared" si="145"/>
        <v>#DIV/0!</v>
      </c>
      <c r="BQ2190" s="71">
        <v>0</v>
      </c>
      <c r="BR2190" s="71">
        <v>0</v>
      </c>
      <c r="BS2190" s="71">
        <v>0</v>
      </c>
      <c r="BT2190" s="72">
        <v>0</v>
      </c>
      <c r="BU2190" s="151" t="e">
        <f t="shared" si="146"/>
        <v>#DIV/0!</v>
      </c>
      <c r="BV2190" s="151" t="e">
        <f t="shared" si="147"/>
        <v>#DIV/0!</v>
      </c>
    </row>
    <row r="2191" ht="30" customHeight="1" spans="1:74">
      <c r="A2191" s="55" t="s">
        <v>246</v>
      </c>
      <c r="B2191" s="56" t="s">
        <v>1237</v>
      </c>
      <c r="C2191" s="57" t="s">
        <v>3341</v>
      </c>
      <c r="D2191" s="57" t="s">
        <v>3440</v>
      </c>
      <c r="E2191" s="91" t="s">
        <v>3444</v>
      </c>
      <c r="F2191" s="91" t="str">
        <f>VLOOKUP(E2191,[1]库存!$B$1:$C$65536,2,FALSE)</f>
        <v>GWM M81M83 SAB RH</v>
      </c>
      <c r="G2191" s="91" t="s">
        <v>3445</v>
      </c>
      <c r="H2191" s="91" t="s">
        <v>3446</v>
      </c>
      <c r="I2191" s="91" t="s">
        <v>250</v>
      </c>
      <c r="J2191" s="80" t="s">
        <v>65</v>
      </c>
      <c r="K2191" s="61"/>
      <c r="L2191" s="62">
        <v>0</v>
      </c>
      <c r="M2191" s="63">
        <v>1200</v>
      </c>
      <c r="N2191" s="64">
        <v>12</v>
      </c>
      <c r="O2191" s="62">
        <v>0</v>
      </c>
      <c r="P2191" s="65">
        <f t="shared" si="148"/>
        <v>0</v>
      </c>
      <c r="Q2191" s="66"/>
      <c r="R2191" s="66"/>
      <c r="S2191" s="66"/>
      <c r="T2191" s="66"/>
      <c r="U2191" s="66"/>
      <c r="V2191" s="66"/>
      <c r="W2191" s="66"/>
      <c r="X2191" s="66"/>
      <c r="Y2191" s="66"/>
      <c r="Z2191" s="66"/>
      <c r="AA2191" s="66"/>
      <c r="AB2191" s="66"/>
      <c r="AC2191" s="66"/>
      <c r="AD2191" s="66"/>
      <c r="AE2191" s="66"/>
      <c r="AF2191" s="66"/>
      <c r="AG2191" s="66"/>
      <c r="AH2191" s="66"/>
      <c r="AI2191" s="66"/>
      <c r="AJ2191" s="66"/>
      <c r="AK2191" s="66"/>
      <c r="AL2191" s="66"/>
      <c r="AM2191" s="66"/>
      <c r="AN2191" s="66"/>
      <c r="AO2191" s="66"/>
      <c r="AP2191" s="66"/>
      <c r="AQ2191" s="66"/>
      <c r="AR2191" s="66"/>
      <c r="AS2191" s="66"/>
      <c r="AT2191" s="66"/>
      <c r="AU2191" s="66"/>
      <c r="AV2191" s="66"/>
      <c r="AW2191" s="66"/>
      <c r="AX2191" s="66"/>
      <c r="AY2191" s="66"/>
      <c r="AZ2191" s="66"/>
      <c r="BA2191" s="66"/>
      <c r="BB2191" s="66"/>
      <c r="BC2191" s="66"/>
      <c r="BD2191" s="66"/>
      <c r="BE2191" s="67"/>
      <c r="BF2191" s="67"/>
      <c r="BG2191" s="68"/>
      <c r="BI2191" s="69">
        <v>0</v>
      </c>
      <c r="BJ2191" s="70">
        <v>0</v>
      </c>
      <c r="BK2191" s="71">
        <v>0</v>
      </c>
      <c r="BL2191" s="71">
        <v>0</v>
      </c>
      <c r="BM2191" s="71">
        <v>0</v>
      </c>
      <c r="BN2191" s="72">
        <v>0</v>
      </c>
      <c r="BO2191" s="151" t="e">
        <f t="shared" si="144"/>
        <v>#DIV/0!</v>
      </c>
      <c r="BP2191" s="151" t="e">
        <f t="shared" si="145"/>
        <v>#DIV/0!</v>
      </c>
      <c r="BQ2191" s="71">
        <v>0</v>
      </c>
      <c r="BR2191" s="71">
        <v>0</v>
      </c>
      <c r="BS2191" s="71">
        <v>0</v>
      </c>
      <c r="BT2191" s="72">
        <v>0</v>
      </c>
      <c r="BU2191" s="151" t="e">
        <f t="shared" si="146"/>
        <v>#DIV/0!</v>
      </c>
      <c r="BV2191" s="151" t="e">
        <f t="shared" si="147"/>
        <v>#DIV/0!</v>
      </c>
    </row>
    <row r="2192" ht="30" customHeight="1" spans="1:74">
      <c r="A2192" s="55">
        <v>0</v>
      </c>
      <c r="B2192" s="56">
        <v>0</v>
      </c>
      <c r="C2192" s="57">
        <v>0</v>
      </c>
      <c r="D2192" s="174"/>
      <c r="E2192" s="92"/>
      <c r="F2192" s="91" t="e">
        <f>VLOOKUP(E2192,[1]库存!$B$1:$C$65536,2,FALSE)</f>
        <v>#N/A</v>
      </c>
      <c r="G2192" s="91" t="e">
        <v>#N/A</v>
      </c>
      <c r="H2192" s="92"/>
      <c r="I2192" s="92"/>
      <c r="J2192" s="81"/>
      <c r="K2192" s="61"/>
      <c r="L2192" s="62">
        <v>0</v>
      </c>
      <c r="M2192" s="63">
        <v>0</v>
      </c>
      <c r="N2192" s="64">
        <v>0</v>
      </c>
      <c r="O2192" s="62">
        <v>0</v>
      </c>
      <c r="P2192" s="65">
        <f t="shared" si="148"/>
        <v>0</v>
      </c>
      <c r="Q2192" s="66"/>
      <c r="R2192" s="66"/>
      <c r="S2192" s="66"/>
      <c r="T2192" s="66"/>
      <c r="U2192" s="66"/>
      <c r="V2192" s="66"/>
      <c r="W2192" s="66"/>
      <c r="X2192" s="66"/>
      <c r="Y2192" s="66"/>
      <c r="Z2192" s="66"/>
      <c r="AA2192" s="66"/>
      <c r="AB2192" s="66"/>
      <c r="AC2192" s="66"/>
      <c r="AD2192" s="66"/>
      <c r="AE2192" s="66"/>
      <c r="AF2192" s="66"/>
      <c r="AG2192" s="66"/>
      <c r="AH2192" s="66"/>
      <c r="AI2192" s="66"/>
      <c r="AJ2192" s="66"/>
      <c r="AK2192" s="66"/>
      <c r="AL2192" s="66"/>
      <c r="AM2192" s="66"/>
      <c r="AN2192" s="66"/>
      <c r="AO2192" s="66"/>
      <c r="AP2192" s="66"/>
      <c r="AQ2192" s="66"/>
      <c r="AR2192" s="66"/>
      <c r="AS2192" s="66"/>
      <c r="AT2192" s="66"/>
      <c r="AU2192" s="66"/>
      <c r="AV2192" s="66"/>
      <c r="AW2192" s="66"/>
      <c r="AX2192" s="66"/>
      <c r="AY2192" s="66"/>
      <c r="AZ2192" s="66"/>
      <c r="BA2192" s="66"/>
      <c r="BB2192" s="66"/>
      <c r="BC2192" s="66"/>
      <c r="BD2192" s="66"/>
      <c r="BE2192" s="67"/>
      <c r="BF2192" s="67"/>
      <c r="BG2192" s="68"/>
      <c r="BI2192" s="69">
        <v>0</v>
      </c>
      <c r="BJ2192" s="70">
        <v>0</v>
      </c>
      <c r="BK2192" s="71">
        <v>0</v>
      </c>
      <c r="BL2192" s="71">
        <v>0</v>
      </c>
      <c r="BM2192" s="71">
        <v>0</v>
      </c>
      <c r="BN2192" s="72">
        <v>0</v>
      </c>
      <c r="BO2192" s="151" t="e">
        <f t="shared" si="144"/>
        <v>#DIV/0!</v>
      </c>
      <c r="BP2192" s="151" t="e">
        <f t="shared" si="145"/>
        <v>#DIV/0!</v>
      </c>
      <c r="BQ2192" s="71">
        <v>0</v>
      </c>
      <c r="BR2192" s="71">
        <v>0</v>
      </c>
      <c r="BS2192" s="71">
        <v>0</v>
      </c>
      <c r="BT2192" s="72">
        <v>0</v>
      </c>
      <c r="BU2192" s="151" t="e">
        <f t="shared" si="146"/>
        <v>#DIV/0!</v>
      </c>
      <c r="BV2192" s="151" t="e">
        <f t="shared" si="147"/>
        <v>#DIV/0!</v>
      </c>
    </row>
    <row r="2193" ht="30" customHeight="1" spans="1:74">
      <c r="A2193" s="55" t="s">
        <v>165</v>
      </c>
      <c r="B2193" s="56" t="s">
        <v>1237</v>
      </c>
      <c r="C2193" s="57" t="s">
        <v>3341</v>
      </c>
      <c r="D2193" s="76" t="s">
        <v>3440</v>
      </c>
      <c r="E2193" s="59" t="s">
        <v>3447</v>
      </c>
      <c r="F2193" s="59" t="str">
        <f>VLOOKUP(E2193,[1]库存!$B$1:$C$65536,2,FALSE)</f>
        <v>FY RSAB LH A状态</v>
      </c>
      <c r="G2193" s="59" t="s">
        <v>3448</v>
      </c>
      <c r="H2193" s="59" t="s">
        <v>3449</v>
      </c>
      <c r="I2193" s="59" t="s">
        <v>2782</v>
      </c>
      <c r="J2193" s="80" t="s">
        <v>65</v>
      </c>
      <c r="K2193" s="61"/>
      <c r="L2193" s="62">
        <v>0</v>
      </c>
      <c r="M2193" s="63">
        <v>1200</v>
      </c>
      <c r="N2193" s="64">
        <v>11</v>
      </c>
      <c r="O2193" s="62">
        <v>0</v>
      </c>
      <c r="P2193" s="65">
        <f t="shared" si="148"/>
        <v>0</v>
      </c>
      <c r="Q2193" s="66"/>
      <c r="R2193" s="66"/>
      <c r="S2193" s="66"/>
      <c r="T2193" s="66"/>
      <c r="U2193" s="66"/>
      <c r="V2193" s="66"/>
      <c r="W2193" s="66"/>
      <c r="X2193" s="66"/>
      <c r="Y2193" s="66"/>
      <c r="Z2193" s="66"/>
      <c r="AA2193" s="66"/>
      <c r="AB2193" s="66"/>
      <c r="AC2193" s="66"/>
      <c r="AD2193" s="66"/>
      <c r="AE2193" s="66"/>
      <c r="AF2193" s="66"/>
      <c r="AG2193" s="66"/>
      <c r="AH2193" s="66"/>
      <c r="AI2193" s="66"/>
      <c r="AJ2193" s="66"/>
      <c r="AK2193" s="66"/>
      <c r="AL2193" s="66"/>
      <c r="AM2193" s="66"/>
      <c r="AN2193" s="66"/>
      <c r="AO2193" s="66"/>
      <c r="AP2193" s="66"/>
      <c r="AQ2193" s="66"/>
      <c r="AR2193" s="66"/>
      <c r="AS2193" s="66"/>
      <c r="AT2193" s="66"/>
      <c r="AU2193" s="66"/>
      <c r="AV2193" s="66"/>
      <c r="AW2193" s="66"/>
      <c r="AX2193" s="66"/>
      <c r="AY2193" s="66"/>
      <c r="AZ2193" s="66"/>
      <c r="BA2193" s="66"/>
      <c r="BB2193" s="66"/>
      <c r="BC2193" s="66"/>
      <c r="BD2193" s="66"/>
      <c r="BE2193" s="67"/>
      <c r="BF2193" s="67"/>
      <c r="BG2193" s="68"/>
      <c r="BI2193" s="69">
        <v>0</v>
      </c>
      <c r="BJ2193" s="70">
        <v>0</v>
      </c>
      <c r="BK2193" s="71">
        <v>0</v>
      </c>
      <c r="BL2193" s="71">
        <v>0</v>
      </c>
      <c r="BM2193" s="71">
        <v>0</v>
      </c>
      <c r="BN2193" s="72">
        <v>0</v>
      </c>
      <c r="BO2193" s="151" t="e">
        <f t="shared" si="144"/>
        <v>#DIV/0!</v>
      </c>
      <c r="BP2193" s="151" t="e">
        <f t="shared" si="145"/>
        <v>#DIV/0!</v>
      </c>
      <c r="BQ2193" s="71">
        <v>0</v>
      </c>
      <c r="BR2193" s="71">
        <v>0</v>
      </c>
      <c r="BS2193" s="71">
        <v>0</v>
      </c>
      <c r="BT2193" s="72">
        <v>0</v>
      </c>
      <c r="BU2193" s="151" t="e">
        <f t="shared" si="146"/>
        <v>#DIV/0!</v>
      </c>
      <c r="BV2193" s="151" t="e">
        <f t="shared" si="147"/>
        <v>#DIV/0!</v>
      </c>
    </row>
    <row r="2194" ht="30" customHeight="1" spans="1:74">
      <c r="A2194" s="55">
        <v>0</v>
      </c>
      <c r="B2194" s="56">
        <v>0</v>
      </c>
      <c r="C2194" s="57">
        <v>0</v>
      </c>
      <c r="D2194" s="78"/>
      <c r="E2194" s="74"/>
      <c r="F2194" s="59" t="e">
        <f>VLOOKUP(E2194,[1]库存!$B$1:$C$65536,2,FALSE)</f>
        <v>#N/A</v>
      </c>
      <c r="G2194" s="59" t="e">
        <v>#N/A</v>
      </c>
      <c r="H2194" s="74"/>
      <c r="I2194" s="74"/>
      <c r="J2194" s="81"/>
      <c r="K2194" s="61"/>
      <c r="L2194" s="62">
        <v>0</v>
      </c>
      <c r="M2194" s="63">
        <v>0</v>
      </c>
      <c r="N2194" s="64">
        <v>0</v>
      </c>
      <c r="O2194" s="62">
        <v>0</v>
      </c>
      <c r="P2194" s="65">
        <f t="shared" si="148"/>
        <v>0</v>
      </c>
      <c r="Q2194" s="66"/>
      <c r="R2194" s="66"/>
      <c r="S2194" s="66"/>
      <c r="T2194" s="66"/>
      <c r="U2194" s="66"/>
      <c r="V2194" s="66"/>
      <c r="W2194" s="66"/>
      <c r="X2194" s="66"/>
      <c r="Y2194" s="66"/>
      <c r="Z2194" s="66"/>
      <c r="AA2194" s="66"/>
      <c r="AB2194" s="66"/>
      <c r="AC2194" s="66"/>
      <c r="AD2194" s="66"/>
      <c r="AE2194" s="66"/>
      <c r="AF2194" s="66"/>
      <c r="AG2194" s="66"/>
      <c r="AH2194" s="66"/>
      <c r="AI2194" s="66"/>
      <c r="AJ2194" s="66"/>
      <c r="AK2194" s="66"/>
      <c r="AL2194" s="66"/>
      <c r="AM2194" s="66"/>
      <c r="AN2194" s="66"/>
      <c r="AO2194" s="66"/>
      <c r="AP2194" s="66"/>
      <c r="AQ2194" s="66"/>
      <c r="AR2194" s="66"/>
      <c r="AS2194" s="66"/>
      <c r="AT2194" s="66"/>
      <c r="AU2194" s="66"/>
      <c r="AV2194" s="66"/>
      <c r="AW2194" s="66"/>
      <c r="AX2194" s="66"/>
      <c r="AY2194" s="66"/>
      <c r="AZ2194" s="66"/>
      <c r="BA2194" s="66"/>
      <c r="BB2194" s="66"/>
      <c r="BC2194" s="66"/>
      <c r="BD2194" s="66"/>
      <c r="BE2194" s="67"/>
      <c r="BF2194" s="67"/>
      <c r="BG2194" s="68"/>
      <c r="BI2194" s="69">
        <v>0</v>
      </c>
      <c r="BJ2194" s="70">
        <v>0</v>
      </c>
      <c r="BK2194" s="71">
        <v>0</v>
      </c>
      <c r="BL2194" s="71">
        <v>0</v>
      </c>
      <c r="BM2194" s="71">
        <v>0</v>
      </c>
      <c r="BN2194" s="72">
        <v>0</v>
      </c>
      <c r="BO2194" s="151" t="e">
        <f t="shared" si="144"/>
        <v>#DIV/0!</v>
      </c>
      <c r="BP2194" s="151" t="e">
        <f t="shared" si="145"/>
        <v>#DIV/0!</v>
      </c>
      <c r="BQ2194" s="71">
        <v>0</v>
      </c>
      <c r="BR2194" s="71">
        <v>0</v>
      </c>
      <c r="BS2194" s="71">
        <v>0</v>
      </c>
      <c r="BT2194" s="72">
        <v>0</v>
      </c>
      <c r="BU2194" s="151" t="e">
        <f t="shared" si="146"/>
        <v>#DIV/0!</v>
      </c>
      <c r="BV2194" s="151" t="e">
        <f t="shared" si="147"/>
        <v>#DIV/0!</v>
      </c>
    </row>
    <row r="2195" ht="30" customHeight="1" spans="1:74">
      <c r="A2195" s="55" t="s">
        <v>165</v>
      </c>
      <c r="B2195" s="56" t="s">
        <v>1237</v>
      </c>
      <c r="C2195" s="57" t="s">
        <v>3341</v>
      </c>
      <c r="D2195" s="76" t="s">
        <v>3440</v>
      </c>
      <c r="E2195" s="59" t="s">
        <v>3450</v>
      </c>
      <c r="F2195" s="59" t="str">
        <f>VLOOKUP(E2195,[1]库存!$B$1:$C$65536,2,FALSE)</f>
        <v>FY RSAB RH A状态</v>
      </c>
      <c r="G2195" s="59" t="s">
        <v>3451</v>
      </c>
      <c r="H2195" s="59" t="s">
        <v>3452</v>
      </c>
      <c r="I2195" s="59" t="s">
        <v>2782</v>
      </c>
      <c r="J2195" s="80" t="s">
        <v>65</v>
      </c>
      <c r="K2195" s="61"/>
      <c r="L2195" s="62">
        <v>0</v>
      </c>
      <c r="M2195" s="63">
        <v>1200</v>
      </c>
      <c r="N2195" s="64">
        <v>11</v>
      </c>
      <c r="O2195" s="62">
        <v>0</v>
      </c>
      <c r="P2195" s="65">
        <f t="shared" si="148"/>
        <v>0</v>
      </c>
      <c r="Q2195" s="66"/>
      <c r="R2195" s="66"/>
      <c r="S2195" s="66"/>
      <c r="T2195" s="66"/>
      <c r="U2195" s="66"/>
      <c r="V2195" s="66"/>
      <c r="W2195" s="66"/>
      <c r="X2195" s="66"/>
      <c r="Y2195" s="66"/>
      <c r="Z2195" s="66"/>
      <c r="AA2195" s="66"/>
      <c r="AB2195" s="66"/>
      <c r="AC2195" s="66"/>
      <c r="AD2195" s="66"/>
      <c r="AE2195" s="66"/>
      <c r="AF2195" s="66"/>
      <c r="AG2195" s="66"/>
      <c r="AH2195" s="66"/>
      <c r="AI2195" s="66"/>
      <c r="AJ2195" s="66"/>
      <c r="AK2195" s="66"/>
      <c r="AL2195" s="66"/>
      <c r="AM2195" s="66"/>
      <c r="AN2195" s="66"/>
      <c r="AO2195" s="66"/>
      <c r="AP2195" s="66"/>
      <c r="AQ2195" s="66"/>
      <c r="AR2195" s="66"/>
      <c r="AS2195" s="66"/>
      <c r="AT2195" s="66"/>
      <c r="AU2195" s="66"/>
      <c r="AV2195" s="66"/>
      <c r="AW2195" s="66"/>
      <c r="AX2195" s="66"/>
      <c r="AY2195" s="66"/>
      <c r="AZ2195" s="66"/>
      <c r="BA2195" s="66"/>
      <c r="BB2195" s="66"/>
      <c r="BC2195" s="66"/>
      <c r="BD2195" s="66"/>
      <c r="BE2195" s="67"/>
      <c r="BF2195" s="67"/>
      <c r="BG2195" s="68"/>
      <c r="BI2195" s="69">
        <v>0</v>
      </c>
      <c r="BJ2195" s="70">
        <v>0</v>
      </c>
      <c r="BK2195" s="71">
        <v>0</v>
      </c>
      <c r="BL2195" s="71">
        <v>0</v>
      </c>
      <c r="BM2195" s="71">
        <v>0</v>
      </c>
      <c r="BN2195" s="72">
        <v>0</v>
      </c>
      <c r="BO2195" s="151" t="e">
        <f t="shared" si="144"/>
        <v>#DIV/0!</v>
      </c>
      <c r="BP2195" s="151" t="e">
        <f t="shared" si="145"/>
        <v>#DIV/0!</v>
      </c>
      <c r="BQ2195" s="71">
        <v>0</v>
      </c>
      <c r="BR2195" s="71">
        <v>0</v>
      </c>
      <c r="BS2195" s="71">
        <v>0</v>
      </c>
      <c r="BT2195" s="72">
        <v>0</v>
      </c>
      <c r="BU2195" s="151" t="e">
        <f t="shared" si="146"/>
        <v>#DIV/0!</v>
      </c>
      <c r="BV2195" s="151" t="e">
        <f t="shared" si="147"/>
        <v>#DIV/0!</v>
      </c>
    </row>
    <row r="2196" ht="30" customHeight="1" spans="1:74">
      <c r="A2196" s="55">
        <v>0</v>
      </c>
      <c r="B2196" s="56">
        <v>0</v>
      </c>
      <c r="C2196" s="57">
        <v>0</v>
      </c>
      <c r="D2196" s="78"/>
      <c r="E2196" s="74"/>
      <c r="F2196" s="59" t="e">
        <f>VLOOKUP(E2196,[1]库存!$B$1:$C$65536,2,FALSE)</f>
        <v>#N/A</v>
      </c>
      <c r="G2196" s="59" t="e">
        <v>#N/A</v>
      </c>
      <c r="H2196" s="74"/>
      <c r="I2196" s="74"/>
      <c r="J2196" s="81"/>
      <c r="K2196" s="61"/>
      <c r="L2196" s="62">
        <v>0</v>
      </c>
      <c r="M2196" s="63">
        <v>0</v>
      </c>
      <c r="N2196" s="64">
        <v>0</v>
      </c>
      <c r="O2196" s="62">
        <v>0</v>
      </c>
      <c r="P2196" s="65">
        <f t="shared" si="148"/>
        <v>0</v>
      </c>
      <c r="Q2196" s="66"/>
      <c r="R2196" s="66"/>
      <c r="S2196" s="66"/>
      <c r="T2196" s="66"/>
      <c r="U2196" s="66"/>
      <c r="V2196" s="66"/>
      <c r="W2196" s="66"/>
      <c r="X2196" s="66"/>
      <c r="Y2196" s="66"/>
      <c r="Z2196" s="66"/>
      <c r="AA2196" s="66"/>
      <c r="AB2196" s="66"/>
      <c r="AC2196" s="66"/>
      <c r="AD2196" s="66"/>
      <c r="AE2196" s="66"/>
      <c r="AF2196" s="66"/>
      <c r="AG2196" s="66"/>
      <c r="AH2196" s="66"/>
      <c r="AI2196" s="66"/>
      <c r="AJ2196" s="66"/>
      <c r="AK2196" s="66"/>
      <c r="AL2196" s="66"/>
      <c r="AM2196" s="66"/>
      <c r="AN2196" s="66"/>
      <c r="AO2196" s="66"/>
      <c r="AP2196" s="66"/>
      <c r="AQ2196" s="66"/>
      <c r="AR2196" s="66"/>
      <c r="AS2196" s="66"/>
      <c r="AT2196" s="66"/>
      <c r="AU2196" s="66"/>
      <c r="AV2196" s="66"/>
      <c r="AW2196" s="66"/>
      <c r="AX2196" s="66"/>
      <c r="AY2196" s="66"/>
      <c r="AZ2196" s="66"/>
      <c r="BA2196" s="66"/>
      <c r="BB2196" s="66"/>
      <c r="BC2196" s="66"/>
      <c r="BD2196" s="66"/>
      <c r="BE2196" s="67"/>
      <c r="BF2196" s="67"/>
      <c r="BG2196" s="68"/>
      <c r="BI2196" s="69">
        <v>0</v>
      </c>
      <c r="BJ2196" s="70">
        <v>0</v>
      </c>
      <c r="BK2196" s="71">
        <v>0</v>
      </c>
      <c r="BL2196" s="71">
        <v>0</v>
      </c>
      <c r="BM2196" s="71">
        <v>0</v>
      </c>
      <c r="BN2196" s="72">
        <v>0</v>
      </c>
      <c r="BO2196" s="151" t="e">
        <f t="shared" si="144"/>
        <v>#DIV/0!</v>
      </c>
      <c r="BP2196" s="151" t="e">
        <f t="shared" si="145"/>
        <v>#DIV/0!</v>
      </c>
      <c r="BQ2196" s="71">
        <v>0</v>
      </c>
      <c r="BR2196" s="71">
        <v>0</v>
      </c>
      <c r="BS2196" s="71">
        <v>0</v>
      </c>
      <c r="BT2196" s="72">
        <v>0</v>
      </c>
      <c r="BU2196" s="151" t="e">
        <f t="shared" si="146"/>
        <v>#DIV/0!</v>
      </c>
      <c r="BV2196" s="151" t="e">
        <f t="shared" si="147"/>
        <v>#DIV/0!</v>
      </c>
    </row>
    <row r="2197" ht="30" customHeight="1" spans="1:74">
      <c r="A2197" s="55" t="s">
        <v>165</v>
      </c>
      <c r="B2197" s="56" t="s">
        <v>1237</v>
      </c>
      <c r="C2197" s="57" t="s">
        <v>3341</v>
      </c>
      <c r="D2197" s="76" t="s">
        <v>3440</v>
      </c>
      <c r="E2197" s="59" t="s">
        <v>3453</v>
      </c>
      <c r="F2197" s="59" t="str">
        <f>VLOOKUP(E2197,[1]库存!$B$1:$C$65536,2,FALSE)</f>
        <v>GWM A08 SAB LH</v>
      </c>
      <c r="G2197" s="59" t="s">
        <v>3454</v>
      </c>
      <c r="H2197" s="59" t="s">
        <v>3455</v>
      </c>
      <c r="I2197" s="59" t="s">
        <v>3456</v>
      </c>
      <c r="J2197" s="63" t="s">
        <v>2946</v>
      </c>
      <c r="K2197" s="61"/>
      <c r="L2197" s="62">
        <v>2</v>
      </c>
      <c r="M2197" s="63">
        <v>1200</v>
      </c>
      <c r="N2197" s="64">
        <v>12</v>
      </c>
      <c r="O2197" s="62">
        <v>2</v>
      </c>
      <c r="P2197" s="65">
        <f t="shared" si="148"/>
        <v>0</v>
      </c>
      <c r="Q2197" s="66"/>
      <c r="R2197" s="66"/>
      <c r="S2197" s="66"/>
      <c r="T2197" s="66"/>
      <c r="U2197" s="66"/>
      <c r="V2197" s="66"/>
      <c r="W2197" s="66"/>
      <c r="X2197" s="66"/>
      <c r="Y2197" s="66"/>
      <c r="Z2197" s="66"/>
      <c r="AA2197" s="66"/>
      <c r="AB2197" s="66"/>
      <c r="AC2197" s="66"/>
      <c r="AD2197" s="66"/>
      <c r="AE2197" s="66"/>
      <c r="AF2197" s="66"/>
      <c r="AG2197" s="66"/>
      <c r="AH2197" s="66"/>
      <c r="AI2197" s="66"/>
      <c r="AJ2197" s="66"/>
      <c r="AK2197" s="66"/>
      <c r="AL2197" s="66"/>
      <c r="AM2197" s="66"/>
      <c r="AN2197" s="66"/>
      <c r="AO2197" s="66"/>
      <c r="AP2197" s="66"/>
      <c r="AQ2197" s="66"/>
      <c r="AR2197" s="66"/>
      <c r="AS2197" s="66"/>
      <c r="AT2197" s="66"/>
      <c r="AU2197" s="66"/>
      <c r="AV2197" s="66"/>
      <c r="AW2197" s="66"/>
      <c r="AX2197" s="66"/>
      <c r="AY2197" s="66"/>
      <c r="AZ2197" s="66"/>
      <c r="BA2197" s="66"/>
      <c r="BB2197" s="66"/>
      <c r="BC2197" s="66"/>
      <c r="BD2197" s="66"/>
      <c r="BE2197" s="67"/>
      <c r="BF2197" s="67"/>
      <c r="BG2197" s="68"/>
      <c r="BI2197" s="69">
        <v>0</v>
      </c>
      <c r="BJ2197" s="70">
        <v>0</v>
      </c>
      <c r="BK2197" s="71">
        <v>0</v>
      </c>
      <c r="BL2197" s="71">
        <v>0</v>
      </c>
      <c r="BM2197" s="71">
        <v>0</v>
      </c>
      <c r="BN2197" s="72">
        <v>0</v>
      </c>
      <c r="BO2197" s="151" t="e">
        <f t="shared" si="144"/>
        <v>#DIV/0!</v>
      </c>
      <c r="BP2197" s="151" t="e">
        <f t="shared" si="145"/>
        <v>#DIV/0!</v>
      </c>
      <c r="BQ2197" s="71">
        <v>0</v>
      </c>
      <c r="BR2197" s="71">
        <v>0</v>
      </c>
      <c r="BS2197" s="71">
        <v>0</v>
      </c>
      <c r="BT2197" s="72">
        <v>0</v>
      </c>
      <c r="BU2197" s="151" t="e">
        <f t="shared" si="146"/>
        <v>#DIV/0!</v>
      </c>
      <c r="BV2197" s="151" t="e">
        <f t="shared" si="147"/>
        <v>#DIV/0!</v>
      </c>
    </row>
    <row r="2198" ht="30" customHeight="1" spans="1:74">
      <c r="A2198" s="55">
        <v>0</v>
      </c>
      <c r="B2198" s="56">
        <v>0</v>
      </c>
      <c r="C2198" s="57">
        <v>0</v>
      </c>
      <c r="D2198" s="78"/>
      <c r="E2198" s="74"/>
      <c r="F2198" s="59" t="e">
        <f>VLOOKUP(E2198,[1]库存!$B$1:$C$65536,2,FALSE)</f>
        <v>#N/A</v>
      </c>
      <c r="G2198" s="59" t="e">
        <v>#N/A</v>
      </c>
      <c r="H2198" s="74"/>
      <c r="I2198" s="74"/>
      <c r="J2198" s="87"/>
      <c r="K2198" s="61"/>
      <c r="L2198" s="62">
        <v>0</v>
      </c>
      <c r="M2198" s="63">
        <v>0</v>
      </c>
      <c r="N2198" s="64">
        <v>0</v>
      </c>
      <c r="O2198" s="62">
        <v>0</v>
      </c>
      <c r="P2198" s="65">
        <f t="shared" si="148"/>
        <v>0</v>
      </c>
      <c r="Q2198" s="66"/>
      <c r="R2198" s="66"/>
      <c r="S2198" s="66"/>
      <c r="T2198" s="66"/>
      <c r="U2198" s="66"/>
      <c r="V2198" s="66"/>
      <c r="W2198" s="66"/>
      <c r="X2198" s="66"/>
      <c r="Y2198" s="66"/>
      <c r="Z2198" s="66"/>
      <c r="AA2198" s="66"/>
      <c r="AB2198" s="66"/>
      <c r="AC2198" s="66"/>
      <c r="AD2198" s="66"/>
      <c r="AE2198" s="66"/>
      <c r="AF2198" s="66"/>
      <c r="AG2198" s="66"/>
      <c r="AH2198" s="66"/>
      <c r="AI2198" s="66"/>
      <c r="AJ2198" s="66"/>
      <c r="AK2198" s="66"/>
      <c r="AL2198" s="66"/>
      <c r="AM2198" s="66"/>
      <c r="AN2198" s="66"/>
      <c r="AO2198" s="66"/>
      <c r="AP2198" s="66"/>
      <c r="AQ2198" s="66"/>
      <c r="AR2198" s="66"/>
      <c r="AS2198" s="66"/>
      <c r="AT2198" s="66"/>
      <c r="AU2198" s="66"/>
      <c r="AV2198" s="66"/>
      <c r="AW2198" s="66"/>
      <c r="AX2198" s="66"/>
      <c r="AY2198" s="66"/>
      <c r="AZ2198" s="66"/>
      <c r="BA2198" s="66"/>
      <c r="BB2198" s="66"/>
      <c r="BC2198" s="66"/>
      <c r="BD2198" s="66"/>
      <c r="BE2198" s="67"/>
      <c r="BF2198" s="67"/>
      <c r="BG2198" s="68"/>
      <c r="BI2198" s="69">
        <v>0</v>
      </c>
      <c r="BJ2198" s="70">
        <v>0</v>
      </c>
      <c r="BK2198" s="71">
        <v>0</v>
      </c>
      <c r="BL2198" s="71">
        <v>0</v>
      </c>
      <c r="BM2198" s="71">
        <v>0</v>
      </c>
      <c r="BN2198" s="72">
        <v>0</v>
      </c>
      <c r="BO2198" s="151" t="e">
        <f t="shared" si="144"/>
        <v>#DIV/0!</v>
      </c>
      <c r="BP2198" s="151" t="e">
        <f t="shared" si="145"/>
        <v>#DIV/0!</v>
      </c>
      <c r="BQ2198" s="71">
        <v>0</v>
      </c>
      <c r="BR2198" s="71">
        <v>0</v>
      </c>
      <c r="BS2198" s="71">
        <v>0</v>
      </c>
      <c r="BT2198" s="72">
        <v>0</v>
      </c>
      <c r="BU2198" s="151" t="e">
        <f t="shared" si="146"/>
        <v>#DIV/0!</v>
      </c>
      <c r="BV2198" s="151" t="e">
        <f t="shared" si="147"/>
        <v>#DIV/0!</v>
      </c>
    </row>
    <row r="2199" ht="30" customHeight="1" spans="1:74">
      <c r="A2199" s="55" t="s">
        <v>165</v>
      </c>
      <c r="B2199" s="56" t="s">
        <v>1237</v>
      </c>
      <c r="C2199" s="57" t="s">
        <v>3341</v>
      </c>
      <c r="D2199" s="76" t="s">
        <v>3440</v>
      </c>
      <c r="E2199" s="59" t="s">
        <v>3457</v>
      </c>
      <c r="F2199" s="59" t="str">
        <f>VLOOKUP(E2199,[1]库存!$B$1:$C$65536,2,FALSE)</f>
        <v>GWM A08 SAB RH</v>
      </c>
      <c r="G2199" s="59" t="s">
        <v>3458</v>
      </c>
      <c r="H2199" s="59" t="s">
        <v>3459</v>
      </c>
      <c r="I2199" s="59" t="s">
        <v>3456</v>
      </c>
      <c r="J2199" s="87"/>
      <c r="K2199" s="61"/>
      <c r="L2199" s="62">
        <v>2</v>
      </c>
      <c r="M2199" s="63">
        <v>1200</v>
      </c>
      <c r="N2199" s="64">
        <v>12</v>
      </c>
      <c r="O2199" s="62">
        <v>2</v>
      </c>
      <c r="P2199" s="65">
        <f t="shared" si="148"/>
        <v>0</v>
      </c>
      <c r="Q2199" s="66"/>
      <c r="R2199" s="66"/>
      <c r="S2199" s="66"/>
      <c r="T2199" s="66"/>
      <c r="U2199" s="66"/>
      <c r="V2199" s="66"/>
      <c r="W2199" s="66"/>
      <c r="X2199" s="66"/>
      <c r="Y2199" s="66"/>
      <c r="Z2199" s="66"/>
      <c r="AA2199" s="66"/>
      <c r="AB2199" s="66"/>
      <c r="AC2199" s="66"/>
      <c r="AD2199" s="66"/>
      <c r="AE2199" s="66"/>
      <c r="AF2199" s="66"/>
      <c r="AG2199" s="66"/>
      <c r="AH2199" s="66"/>
      <c r="AI2199" s="66"/>
      <c r="AJ2199" s="66"/>
      <c r="AK2199" s="66"/>
      <c r="AL2199" s="66"/>
      <c r="AM2199" s="66"/>
      <c r="AN2199" s="66"/>
      <c r="AO2199" s="66"/>
      <c r="AP2199" s="66"/>
      <c r="AQ2199" s="66"/>
      <c r="AR2199" s="66"/>
      <c r="AS2199" s="66"/>
      <c r="AT2199" s="66"/>
      <c r="AU2199" s="66"/>
      <c r="AV2199" s="66"/>
      <c r="AW2199" s="66"/>
      <c r="AX2199" s="66"/>
      <c r="AY2199" s="66"/>
      <c r="AZ2199" s="66"/>
      <c r="BA2199" s="66"/>
      <c r="BB2199" s="66"/>
      <c r="BC2199" s="66"/>
      <c r="BD2199" s="66"/>
      <c r="BE2199" s="67"/>
      <c r="BF2199" s="67"/>
      <c r="BG2199" s="68"/>
      <c r="BI2199" s="69">
        <v>0</v>
      </c>
      <c r="BJ2199" s="70">
        <v>0</v>
      </c>
      <c r="BK2199" s="71">
        <v>0</v>
      </c>
      <c r="BL2199" s="71">
        <v>0</v>
      </c>
      <c r="BM2199" s="71">
        <v>0</v>
      </c>
      <c r="BN2199" s="72">
        <v>0</v>
      </c>
      <c r="BO2199" s="151" t="e">
        <f t="shared" si="144"/>
        <v>#DIV/0!</v>
      </c>
      <c r="BP2199" s="151" t="e">
        <f t="shared" si="145"/>
        <v>#DIV/0!</v>
      </c>
      <c r="BQ2199" s="71">
        <v>0</v>
      </c>
      <c r="BR2199" s="71">
        <v>0</v>
      </c>
      <c r="BS2199" s="71">
        <v>0</v>
      </c>
      <c r="BT2199" s="72">
        <v>0</v>
      </c>
      <c r="BU2199" s="151" t="e">
        <f t="shared" si="146"/>
        <v>#DIV/0!</v>
      </c>
      <c r="BV2199" s="151" t="e">
        <f t="shared" si="147"/>
        <v>#DIV/0!</v>
      </c>
    </row>
    <row r="2200" ht="30" customHeight="1" spans="1:74">
      <c r="A2200" s="55">
        <v>0</v>
      </c>
      <c r="B2200" s="56">
        <v>0</v>
      </c>
      <c r="C2200" s="57">
        <v>0</v>
      </c>
      <c r="D2200" s="78"/>
      <c r="E2200" s="74"/>
      <c r="F2200" s="59" t="e">
        <f>VLOOKUP(E2200,[1]库存!$B$1:$C$65536,2,FALSE)</f>
        <v>#N/A</v>
      </c>
      <c r="G2200" s="59" t="e">
        <v>#N/A</v>
      </c>
      <c r="H2200" s="74"/>
      <c r="I2200" s="74"/>
      <c r="J2200" s="87"/>
      <c r="K2200" s="61"/>
      <c r="L2200" s="62">
        <v>0</v>
      </c>
      <c r="M2200" s="63">
        <v>0</v>
      </c>
      <c r="N2200" s="64">
        <v>0</v>
      </c>
      <c r="O2200" s="62">
        <v>0</v>
      </c>
      <c r="P2200" s="65">
        <f t="shared" si="148"/>
        <v>0</v>
      </c>
      <c r="Q2200" s="66"/>
      <c r="R2200" s="66"/>
      <c r="S2200" s="66"/>
      <c r="T2200" s="66"/>
      <c r="U2200" s="66"/>
      <c r="V2200" s="66"/>
      <c r="W2200" s="66"/>
      <c r="X2200" s="66"/>
      <c r="Y2200" s="66"/>
      <c r="Z2200" s="66"/>
      <c r="AA2200" s="66"/>
      <c r="AB2200" s="66"/>
      <c r="AC2200" s="66"/>
      <c r="AD2200" s="66"/>
      <c r="AE2200" s="66"/>
      <c r="AF2200" s="66"/>
      <c r="AG2200" s="66"/>
      <c r="AH2200" s="66"/>
      <c r="AI2200" s="66"/>
      <c r="AJ2200" s="66"/>
      <c r="AK2200" s="66"/>
      <c r="AL2200" s="66"/>
      <c r="AM2200" s="66"/>
      <c r="AN2200" s="66"/>
      <c r="AO2200" s="66"/>
      <c r="AP2200" s="66"/>
      <c r="AQ2200" s="66"/>
      <c r="AR2200" s="66"/>
      <c r="AS2200" s="66"/>
      <c r="AT2200" s="66"/>
      <c r="AU2200" s="66"/>
      <c r="AV2200" s="66"/>
      <c r="AW2200" s="66"/>
      <c r="AX2200" s="66"/>
      <c r="AY2200" s="66"/>
      <c r="AZ2200" s="66"/>
      <c r="BA2200" s="66"/>
      <c r="BB2200" s="66"/>
      <c r="BC2200" s="66"/>
      <c r="BD2200" s="66"/>
      <c r="BE2200" s="67"/>
      <c r="BF2200" s="67"/>
      <c r="BG2200" s="68"/>
      <c r="BI2200" s="69">
        <v>0</v>
      </c>
      <c r="BJ2200" s="70">
        <v>0</v>
      </c>
      <c r="BK2200" s="71">
        <v>0</v>
      </c>
      <c r="BL2200" s="71">
        <v>0</v>
      </c>
      <c r="BM2200" s="71">
        <v>0</v>
      </c>
      <c r="BN2200" s="72">
        <v>0</v>
      </c>
      <c r="BO2200" s="151" t="e">
        <f t="shared" si="144"/>
        <v>#DIV/0!</v>
      </c>
      <c r="BP2200" s="151" t="e">
        <f t="shared" si="145"/>
        <v>#DIV/0!</v>
      </c>
      <c r="BQ2200" s="71">
        <v>0</v>
      </c>
      <c r="BR2200" s="71">
        <v>0</v>
      </c>
      <c r="BS2200" s="71">
        <v>0</v>
      </c>
      <c r="BT2200" s="72">
        <v>0</v>
      </c>
      <c r="BU2200" s="151" t="e">
        <f t="shared" si="146"/>
        <v>#DIV/0!</v>
      </c>
      <c r="BV2200" s="151" t="e">
        <f t="shared" si="147"/>
        <v>#DIV/0!</v>
      </c>
    </row>
    <row r="2201" ht="30" customHeight="1" spans="1:74">
      <c r="A2201" s="55" t="s">
        <v>246</v>
      </c>
      <c r="B2201" s="56" t="s">
        <v>1237</v>
      </c>
      <c r="C2201" s="57" t="s">
        <v>3341</v>
      </c>
      <c r="D2201" s="76" t="s">
        <v>3440</v>
      </c>
      <c r="E2201" s="59" t="s">
        <v>3460</v>
      </c>
      <c r="F2201" s="59" t="str">
        <f>VLOOKUP(E2201,[1]库存!$B$1:$C$65536,2,FALSE)</f>
        <v>CHANGAN D587 FSAB LH</v>
      </c>
      <c r="G2201" s="59" t="s">
        <v>3461</v>
      </c>
      <c r="H2201" s="59" t="s">
        <v>3462</v>
      </c>
      <c r="I2201" s="59" t="s">
        <v>3463</v>
      </c>
      <c r="J2201" s="80" t="s">
        <v>65</v>
      </c>
      <c r="K2201" s="61"/>
      <c r="L2201" s="62">
        <v>0</v>
      </c>
      <c r="M2201" s="63">
        <v>1250</v>
      </c>
      <c r="N2201" s="64">
        <v>11.5</v>
      </c>
      <c r="O2201" s="62">
        <v>0</v>
      </c>
      <c r="P2201" s="65">
        <f t="shared" si="148"/>
        <v>0</v>
      </c>
      <c r="Q2201" s="66"/>
      <c r="R2201" s="66"/>
      <c r="S2201" s="66"/>
      <c r="T2201" s="66"/>
      <c r="U2201" s="66"/>
      <c r="V2201" s="66"/>
      <c r="W2201" s="66"/>
      <c r="X2201" s="66"/>
      <c r="Y2201" s="66"/>
      <c r="Z2201" s="66"/>
      <c r="AA2201" s="66"/>
      <c r="AB2201" s="66"/>
      <c r="AC2201" s="66"/>
      <c r="AD2201" s="66"/>
      <c r="AE2201" s="66"/>
      <c r="AF2201" s="66"/>
      <c r="AG2201" s="66"/>
      <c r="AH2201" s="66"/>
      <c r="AI2201" s="66"/>
      <c r="AJ2201" s="66"/>
      <c r="AK2201" s="66"/>
      <c r="AL2201" s="66"/>
      <c r="AM2201" s="66"/>
      <c r="AN2201" s="66"/>
      <c r="AO2201" s="66"/>
      <c r="AP2201" s="66"/>
      <c r="AQ2201" s="66"/>
      <c r="AR2201" s="66"/>
      <c r="AS2201" s="66"/>
      <c r="AT2201" s="66"/>
      <c r="AU2201" s="66"/>
      <c r="AV2201" s="66"/>
      <c r="AW2201" s="66"/>
      <c r="AX2201" s="66"/>
      <c r="AY2201" s="66"/>
      <c r="AZ2201" s="66"/>
      <c r="BA2201" s="66"/>
      <c r="BB2201" s="66"/>
      <c r="BC2201" s="66"/>
      <c r="BD2201" s="66"/>
      <c r="BE2201" s="67"/>
      <c r="BF2201" s="67"/>
      <c r="BG2201" s="68"/>
      <c r="BI2201" s="69">
        <v>0</v>
      </c>
      <c r="BJ2201" s="70">
        <v>0</v>
      </c>
      <c r="BK2201" s="71">
        <v>0</v>
      </c>
      <c r="BL2201" s="71">
        <v>0</v>
      </c>
      <c r="BM2201" s="71">
        <v>0</v>
      </c>
      <c r="BN2201" s="72">
        <v>0</v>
      </c>
      <c r="BO2201" s="151" t="e">
        <f t="shared" si="144"/>
        <v>#DIV/0!</v>
      </c>
      <c r="BP2201" s="151" t="e">
        <f t="shared" si="145"/>
        <v>#DIV/0!</v>
      </c>
      <c r="BQ2201" s="71">
        <v>0</v>
      </c>
      <c r="BR2201" s="71">
        <v>0</v>
      </c>
      <c r="BS2201" s="71">
        <v>0</v>
      </c>
      <c r="BT2201" s="72">
        <v>0</v>
      </c>
      <c r="BU2201" s="151" t="e">
        <f t="shared" si="146"/>
        <v>#DIV/0!</v>
      </c>
      <c r="BV2201" s="151" t="e">
        <f t="shared" si="147"/>
        <v>#DIV/0!</v>
      </c>
    </row>
    <row r="2202" ht="30" customHeight="1" spans="1:74">
      <c r="A2202" s="55">
        <v>0</v>
      </c>
      <c r="B2202" s="56">
        <v>0</v>
      </c>
      <c r="C2202" s="57">
        <v>0</v>
      </c>
      <c r="D2202" s="78"/>
      <c r="E2202" s="74"/>
      <c r="F2202" s="59" t="e">
        <f>VLOOKUP(E2202,[1]库存!$B$1:$C$65536,2,FALSE)</f>
        <v>#N/A</v>
      </c>
      <c r="G2202" s="59" t="e">
        <v>#N/A</v>
      </c>
      <c r="H2202" s="74"/>
      <c r="I2202" s="74"/>
      <c r="J2202" s="81"/>
      <c r="K2202" s="61"/>
      <c r="L2202" s="62">
        <v>0</v>
      </c>
      <c r="M2202" s="63">
        <v>0</v>
      </c>
      <c r="N2202" s="64">
        <v>0</v>
      </c>
      <c r="O2202" s="62">
        <v>0</v>
      </c>
      <c r="P2202" s="65">
        <f t="shared" si="148"/>
        <v>0</v>
      </c>
      <c r="Q2202" s="66"/>
      <c r="R2202" s="66"/>
      <c r="S2202" s="66"/>
      <c r="T2202" s="66"/>
      <c r="U2202" s="66"/>
      <c r="V2202" s="66"/>
      <c r="W2202" s="66"/>
      <c r="X2202" s="66"/>
      <c r="Y2202" s="66"/>
      <c r="Z2202" s="66"/>
      <c r="AA2202" s="66"/>
      <c r="AB2202" s="66"/>
      <c r="AC2202" s="66"/>
      <c r="AD2202" s="66"/>
      <c r="AE2202" s="66"/>
      <c r="AF2202" s="66"/>
      <c r="AG2202" s="66"/>
      <c r="AH2202" s="66"/>
      <c r="AI2202" s="66"/>
      <c r="AJ2202" s="66"/>
      <c r="AK2202" s="66"/>
      <c r="AL2202" s="66"/>
      <c r="AM2202" s="66"/>
      <c r="AN2202" s="66"/>
      <c r="AO2202" s="66"/>
      <c r="AP2202" s="66"/>
      <c r="AQ2202" s="66"/>
      <c r="AR2202" s="66"/>
      <c r="AS2202" s="66"/>
      <c r="AT2202" s="66"/>
      <c r="AU2202" s="66"/>
      <c r="AV2202" s="66"/>
      <c r="AW2202" s="66"/>
      <c r="AX2202" s="66"/>
      <c r="AY2202" s="66"/>
      <c r="AZ2202" s="66"/>
      <c r="BA2202" s="66"/>
      <c r="BB2202" s="66"/>
      <c r="BC2202" s="66"/>
      <c r="BD2202" s="66"/>
      <c r="BE2202" s="67"/>
      <c r="BF2202" s="67"/>
      <c r="BG2202" s="68"/>
      <c r="BI2202" s="69">
        <v>0</v>
      </c>
      <c r="BJ2202" s="70">
        <v>0</v>
      </c>
      <c r="BK2202" s="71">
        <v>0</v>
      </c>
      <c r="BL2202" s="71">
        <v>0</v>
      </c>
      <c r="BM2202" s="71">
        <v>0</v>
      </c>
      <c r="BN2202" s="72">
        <v>0</v>
      </c>
      <c r="BO2202" s="151" t="e">
        <f t="shared" si="144"/>
        <v>#DIV/0!</v>
      </c>
      <c r="BP2202" s="151" t="e">
        <f t="shared" si="145"/>
        <v>#DIV/0!</v>
      </c>
      <c r="BQ2202" s="71">
        <v>0</v>
      </c>
      <c r="BR2202" s="71">
        <v>0</v>
      </c>
      <c r="BS2202" s="71">
        <v>0</v>
      </c>
      <c r="BT2202" s="72">
        <v>0</v>
      </c>
      <c r="BU2202" s="151" t="e">
        <f t="shared" si="146"/>
        <v>#DIV/0!</v>
      </c>
      <c r="BV2202" s="151" t="e">
        <f t="shared" si="147"/>
        <v>#DIV/0!</v>
      </c>
    </row>
    <row r="2203" ht="30" customHeight="1" spans="1:74">
      <c r="A2203" s="55" t="s">
        <v>246</v>
      </c>
      <c r="B2203" s="56" t="s">
        <v>1237</v>
      </c>
      <c r="C2203" s="57" t="s">
        <v>3341</v>
      </c>
      <c r="D2203" s="76" t="s">
        <v>3440</v>
      </c>
      <c r="E2203" s="59" t="s">
        <v>3464</v>
      </c>
      <c r="F2203" s="59" t="str">
        <f>VLOOKUP(E2203,[1]库存!$B$1:$C$65536,2,FALSE)</f>
        <v>CHANGAN D587 FSAB RH</v>
      </c>
      <c r="G2203" s="59" t="s">
        <v>3465</v>
      </c>
      <c r="H2203" s="59" t="s">
        <v>3466</v>
      </c>
      <c r="I2203" s="59" t="s">
        <v>3463</v>
      </c>
      <c r="J2203" s="80" t="s">
        <v>65</v>
      </c>
      <c r="K2203" s="61"/>
      <c r="L2203" s="62">
        <v>0</v>
      </c>
      <c r="M2203" s="63">
        <v>1250</v>
      </c>
      <c r="N2203" s="64">
        <v>11.5</v>
      </c>
      <c r="O2203" s="62">
        <v>0</v>
      </c>
      <c r="P2203" s="65">
        <f t="shared" si="148"/>
        <v>0</v>
      </c>
      <c r="Q2203" s="66"/>
      <c r="R2203" s="66"/>
      <c r="S2203" s="66"/>
      <c r="T2203" s="66"/>
      <c r="U2203" s="66"/>
      <c r="V2203" s="66"/>
      <c r="W2203" s="66"/>
      <c r="X2203" s="66"/>
      <c r="Y2203" s="66"/>
      <c r="Z2203" s="66"/>
      <c r="AA2203" s="66"/>
      <c r="AB2203" s="66"/>
      <c r="AC2203" s="66"/>
      <c r="AD2203" s="66"/>
      <c r="AE2203" s="66"/>
      <c r="AF2203" s="66"/>
      <c r="AG2203" s="66"/>
      <c r="AH2203" s="66"/>
      <c r="AI2203" s="66"/>
      <c r="AJ2203" s="66"/>
      <c r="AK2203" s="66"/>
      <c r="AL2203" s="66"/>
      <c r="AM2203" s="66"/>
      <c r="AN2203" s="66"/>
      <c r="AO2203" s="66"/>
      <c r="AP2203" s="66"/>
      <c r="AQ2203" s="66"/>
      <c r="AR2203" s="66"/>
      <c r="AS2203" s="66"/>
      <c r="AT2203" s="66"/>
      <c r="AU2203" s="66"/>
      <c r="AV2203" s="66"/>
      <c r="AW2203" s="66"/>
      <c r="AX2203" s="66"/>
      <c r="AY2203" s="66"/>
      <c r="AZ2203" s="66"/>
      <c r="BA2203" s="66"/>
      <c r="BB2203" s="66"/>
      <c r="BC2203" s="66"/>
      <c r="BD2203" s="66"/>
      <c r="BE2203" s="67"/>
      <c r="BF2203" s="67"/>
      <c r="BG2203" s="68"/>
      <c r="BI2203" s="69">
        <v>0</v>
      </c>
      <c r="BJ2203" s="70">
        <v>0</v>
      </c>
      <c r="BK2203" s="71">
        <v>0</v>
      </c>
      <c r="BL2203" s="71">
        <v>0</v>
      </c>
      <c r="BM2203" s="71">
        <v>0</v>
      </c>
      <c r="BN2203" s="72">
        <v>0</v>
      </c>
      <c r="BO2203" s="151" t="e">
        <f t="shared" si="144"/>
        <v>#DIV/0!</v>
      </c>
      <c r="BP2203" s="151" t="e">
        <f t="shared" si="145"/>
        <v>#DIV/0!</v>
      </c>
      <c r="BQ2203" s="71">
        <v>0</v>
      </c>
      <c r="BR2203" s="71">
        <v>0</v>
      </c>
      <c r="BS2203" s="71">
        <v>0</v>
      </c>
      <c r="BT2203" s="72">
        <v>0</v>
      </c>
      <c r="BU2203" s="151" t="e">
        <f t="shared" si="146"/>
        <v>#DIV/0!</v>
      </c>
      <c r="BV2203" s="151" t="e">
        <f t="shared" si="147"/>
        <v>#DIV/0!</v>
      </c>
    </row>
    <row r="2204" ht="30" customHeight="1" spans="1:74">
      <c r="A2204" s="55">
        <v>0</v>
      </c>
      <c r="B2204" s="56">
        <v>0</v>
      </c>
      <c r="C2204" s="57">
        <v>0</v>
      </c>
      <c r="D2204" s="78"/>
      <c r="E2204" s="74"/>
      <c r="F2204" s="59" t="e">
        <f>VLOOKUP(E2204,[1]库存!$B$1:$C$65536,2,FALSE)</f>
        <v>#N/A</v>
      </c>
      <c r="G2204" s="59" t="e">
        <v>#N/A</v>
      </c>
      <c r="H2204" s="74"/>
      <c r="I2204" s="74"/>
      <c r="J2204" s="81"/>
      <c r="K2204" s="61"/>
      <c r="L2204" s="62">
        <v>0</v>
      </c>
      <c r="M2204" s="63">
        <v>0</v>
      </c>
      <c r="N2204" s="64">
        <v>0</v>
      </c>
      <c r="O2204" s="62">
        <v>0</v>
      </c>
      <c r="P2204" s="65">
        <f t="shared" si="148"/>
        <v>0</v>
      </c>
      <c r="Q2204" s="66"/>
      <c r="R2204" s="66"/>
      <c r="S2204" s="66"/>
      <c r="T2204" s="66"/>
      <c r="U2204" s="66"/>
      <c r="V2204" s="66"/>
      <c r="W2204" s="66"/>
      <c r="X2204" s="66"/>
      <c r="Y2204" s="66"/>
      <c r="Z2204" s="66"/>
      <c r="AA2204" s="66"/>
      <c r="AB2204" s="66"/>
      <c r="AC2204" s="66"/>
      <c r="AD2204" s="66"/>
      <c r="AE2204" s="66"/>
      <c r="AF2204" s="66"/>
      <c r="AG2204" s="66"/>
      <c r="AH2204" s="66"/>
      <c r="AI2204" s="66"/>
      <c r="AJ2204" s="66"/>
      <c r="AK2204" s="66"/>
      <c r="AL2204" s="66"/>
      <c r="AM2204" s="66"/>
      <c r="AN2204" s="66"/>
      <c r="AO2204" s="66"/>
      <c r="AP2204" s="66"/>
      <c r="AQ2204" s="66"/>
      <c r="AR2204" s="66"/>
      <c r="AS2204" s="66"/>
      <c r="AT2204" s="66"/>
      <c r="AU2204" s="66"/>
      <c r="AV2204" s="66"/>
      <c r="AW2204" s="66"/>
      <c r="AX2204" s="66"/>
      <c r="AY2204" s="66"/>
      <c r="AZ2204" s="66"/>
      <c r="BA2204" s="66"/>
      <c r="BB2204" s="66"/>
      <c r="BC2204" s="66"/>
      <c r="BD2204" s="66"/>
      <c r="BE2204" s="67"/>
      <c r="BF2204" s="67"/>
      <c r="BG2204" s="68"/>
      <c r="BI2204" s="69">
        <v>0</v>
      </c>
      <c r="BJ2204" s="70">
        <v>0</v>
      </c>
      <c r="BK2204" s="71">
        <v>0</v>
      </c>
      <c r="BL2204" s="71">
        <v>0</v>
      </c>
      <c r="BM2204" s="71">
        <v>0</v>
      </c>
      <c r="BN2204" s="72">
        <v>0</v>
      </c>
      <c r="BO2204" s="151" t="e">
        <f t="shared" si="144"/>
        <v>#DIV/0!</v>
      </c>
      <c r="BP2204" s="151" t="e">
        <f t="shared" si="145"/>
        <v>#DIV/0!</v>
      </c>
      <c r="BQ2204" s="71">
        <v>0</v>
      </c>
      <c r="BR2204" s="71">
        <v>0</v>
      </c>
      <c r="BS2204" s="71">
        <v>0</v>
      </c>
      <c r="BT2204" s="72">
        <v>0</v>
      </c>
      <c r="BU2204" s="151" t="e">
        <f t="shared" si="146"/>
        <v>#DIV/0!</v>
      </c>
      <c r="BV2204" s="151" t="e">
        <f t="shared" si="147"/>
        <v>#DIV/0!</v>
      </c>
    </row>
    <row r="2205" ht="30" customHeight="1" spans="1:74">
      <c r="A2205" s="55" t="s">
        <v>246</v>
      </c>
      <c r="B2205" s="56" t="s">
        <v>1237</v>
      </c>
      <c r="C2205" s="57" t="s">
        <v>3341</v>
      </c>
      <c r="D2205" s="76" t="s">
        <v>3440</v>
      </c>
      <c r="E2205" s="59" t="s">
        <v>3467</v>
      </c>
      <c r="F2205" s="59" t="str">
        <f>VLOOKUP(E2205,[1]库存!$B$1:$C$65536,2,FALSE)</f>
        <v>GWM B16 SAB LH</v>
      </c>
      <c r="G2205" s="59" t="s">
        <v>3468</v>
      </c>
      <c r="H2205" s="59" t="s">
        <v>3469</v>
      </c>
      <c r="I2205" s="59" t="s">
        <v>250</v>
      </c>
      <c r="J2205" s="80" t="s">
        <v>65</v>
      </c>
      <c r="K2205" s="61"/>
      <c r="L2205" s="62">
        <v>0</v>
      </c>
      <c r="M2205" s="63">
        <v>1200</v>
      </c>
      <c r="N2205" s="64">
        <v>12</v>
      </c>
      <c r="O2205" s="62">
        <v>0</v>
      </c>
      <c r="P2205" s="65">
        <f t="shared" si="148"/>
        <v>0</v>
      </c>
      <c r="Q2205" s="66">
        <v>760</v>
      </c>
      <c r="R2205" s="66"/>
      <c r="S2205" s="66">
        <v>0</v>
      </c>
      <c r="T2205" s="66"/>
      <c r="U2205" s="66"/>
      <c r="V2205" s="66"/>
      <c r="W2205" s="66"/>
      <c r="X2205" s="66"/>
      <c r="Y2205" s="66"/>
      <c r="Z2205" s="66"/>
      <c r="AA2205" s="66"/>
      <c r="AB2205" s="66"/>
      <c r="AC2205" s="66">
        <v>1700</v>
      </c>
      <c r="AD2205" s="66">
        <v>1750</v>
      </c>
      <c r="AE2205" s="66"/>
      <c r="AF2205" s="66"/>
      <c r="AG2205" s="66"/>
      <c r="AH2205" s="66"/>
      <c r="AI2205" s="66"/>
      <c r="AJ2205" s="66"/>
      <c r="AK2205" s="66"/>
      <c r="AL2205" s="66"/>
      <c r="AM2205" s="66"/>
      <c r="AN2205" s="66"/>
      <c r="AO2205" s="66"/>
      <c r="AP2205" s="66"/>
      <c r="AQ2205" s="66"/>
      <c r="AR2205" s="66"/>
      <c r="AS2205" s="66"/>
      <c r="AT2205" s="66"/>
      <c r="AU2205" s="66"/>
      <c r="AV2205" s="66"/>
      <c r="AW2205" s="66"/>
      <c r="AX2205" s="66"/>
      <c r="AY2205" s="66"/>
      <c r="AZ2205" s="66"/>
      <c r="BA2205" s="66"/>
      <c r="BB2205" s="66"/>
      <c r="BC2205" s="66"/>
      <c r="BD2205" s="66"/>
      <c r="BE2205" s="67"/>
      <c r="BF2205" s="67"/>
      <c r="BG2205" s="68"/>
      <c r="BI2205" s="69">
        <v>0</v>
      </c>
      <c r="BJ2205" s="70">
        <v>0</v>
      </c>
      <c r="BK2205" s="71">
        <v>0</v>
      </c>
      <c r="BL2205" s="71">
        <v>0</v>
      </c>
      <c r="BM2205" s="71">
        <v>0</v>
      </c>
      <c r="BN2205" s="72">
        <v>0</v>
      </c>
      <c r="BO2205" s="151" t="e">
        <f t="shared" si="144"/>
        <v>#DIV/0!</v>
      </c>
      <c r="BP2205" s="151" t="e">
        <f t="shared" si="145"/>
        <v>#DIV/0!</v>
      </c>
      <c r="BQ2205" s="71">
        <v>0</v>
      </c>
      <c r="BR2205" s="71">
        <v>0</v>
      </c>
      <c r="BS2205" s="71">
        <v>0</v>
      </c>
      <c r="BT2205" s="72">
        <v>0</v>
      </c>
      <c r="BU2205" s="151" t="e">
        <f t="shared" si="146"/>
        <v>#DIV/0!</v>
      </c>
      <c r="BV2205" s="151" t="e">
        <f t="shared" si="147"/>
        <v>#DIV/0!</v>
      </c>
    </row>
    <row r="2206" ht="30" customHeight="1" spans="1:74">
      <c r="A2206" s="55">
        <v>0</v>
      </c>
      <c r="B2206" s="56">
        <v>0</v>
      </c>
      <c r="C2206" s="57">
        <v>0</v>
      </c>
      <c r="D2206" s="78"/>
      <c r="E2206" s="74"/>
      <c r="F2206" s="59" t="e">
        <f>VLOOKUP(E2206,[1]库存!$B$1:$C$65536,2,FALSE)</f>
        <v>#N/A</v>
      </c>
      <c r="G2206" s="59" t="e">
        <v>#N/A</v>
      </c>
      <c r="H2206" s="74"/>
      <c r="I2206" s="74"/>
      <c r="J2206" s="81"/>
      <c r="K2206" s="61"/>
      <c r="L2206" s="62">
        <v>0</v>
      </c>
      <c r="M2206" s="63">
        <v>0</v>
      </c>
      <c r="N2206" s="64">
        <v>0</v>
      </c>
      <c r="O2206" s="62">
        <v>0</v>
      </c>
      <c r="P2206" s="65">
        <f t="shared" si="148"/>
        <v>0</v>
      </c>
      <c r="Q2206" s="66">
        <v>802</v>
      </c>
      <c r="R2206" s="66"/>
      <c r="S2206" s="66"/>
      <c r="T2206" s="66"/>
      <c r="U2206" s="66"/>
      <c r="V2206" s="66"/>
      <c r="W2206" s="66"/>
      <c r="X2206" s="66"/>
      <c r="Y2206" s="66"/>
      <c r="Z2206" s="66"/>
      <c r="AA2206" s="66"/>
      <c r="AB2206" s="66"/>
      <c r="AC2206" s="66">
        <v>685</v>
      </c>
      <c r="AD2206" s="66">
        <v>1763</v>
      </c>
      <c r="AE2206" s="66"/>
      <c r="AF2206" s="66"/>
      <c r="AG2206" s="66"/>
      <c r="AH2206" s="66"/>
      <c r="AI2206" s="66"/>
      <c r="AJ2206" s="66"/>
      <c r="AK2206" s="66"/>
      <c r="AL2206" s="66"/>
      <c r="AM2206" s="66"/>
      <c r="AN2206" s="66"/>
      <c r="AO2206" s="66"/>
      <c r="AP2206" s="66"/>
      <c r="AQ2206" s="66"/>
      <c r="AR2206" s="66"/>
      <c r="AS2206" s="66"/>
      <c r="AT2206" s="66"/>
      <c r="AU2206" s="66"/>
      <c r="AV2206" s="66"/>
      <c r="AW2206" s="66"/>
      <c r="AX2206" s="66"/>
      <c r="AY2206" s="66"/>
      <c r="AZ2206" s="66"/>
      <c r="BA2206" s="66"/>
      <c r="BB2206" s="66"/>
      <c r="BC2206" s="66"/>
      <c r="BD2206" s="66"/>
      <c r="BE2206" s="67"/>
      <c r="BF2206" s="67"/>
      <c r="BG2206" s="68"/>
      <c r="BI2206" s="69">
        <v>0</v>
      </c>
      <c r="BJ2206" s="70">
        <v>0</v>
      </c>
      <c r="BK2206" s="71">
        <v>0</v>
      </c>
      <c r="BL2206" s="71">
        <v>0</v>
      </c>
      <c r="BM2206" s="71">
        <v>0</v>
      </c>
      <c r="BN2206" s="72">
        <v>0</v>
      </c>
      <c r="BO2206" s="151" t="e">
        <f t="shared" si="144"/>
        <v>#DIV/0!</v>
      </c>
      <c r="BP2206" s="151" t="e">
        <f t="shared" si="145"/>
        <v>#DIV/0!</v>
      </c>
      <c r="BQ2206" s="71">
        <v>0</v>
      </c>
      <c r="BR2206" s="71">
        <v>0</v>
      </c>
      <c r="BS2206" s="71">
        <v>0</v>
      </c>
      <c r="BT2206" s="72">
        <v>0</v>
      </c>
      <c r="BU2206" s="151" t="e">
        <f t="shared" si="146"/>
        <v>#DIV/0!</v>
      </c>
      <c r="BV2206" s="151" t="e">
        <f t="shared" si="147"/>
        <v>#DIV/0!</v>
      </c>
    </row>
    <row r="2207" ht="30" customHeight="1" spans="1:74">
      <c r="A2207" s="55" t="s">
        <v>246</v>
      </c>
      <c r="B2207" s="56" t="s">
        <v>1237</v>
      </c>
      <c r="C2207" s="57" t="s">
        <v>3341</v>
      </c>
      <c r="D2207" s="76" t="s">
        <v>3440</v>
      </c>
      <c r="E2207" s="59" t="s">
        <v>3470</v>
      </c>
      <c r="F2207" s="59" t="str">
        <f>VLOOKUP(E2207,[1]库存!$B$1:$C$65536,2,FALSE)</f>
        <v>GWM B16 SAB RH</v>
      </c>
      <c r="G2207" s="59" t="s">
        <v>3471</v>
      </c>
      <c r="H2207" s="59" t="s">
        <v>3472</v>
      </c>
      <c r="I2207" s="59" t="s">
        <v>250</v>
      </c>
      <c r="J2207" s="80" t="s">
        <v>65</v>
      </c>
      <c r="K2207" s="61"/>
      <c r="L2207" s="62">
        <v>0</v>
      </c>
      <c r="M2207" s="63">
        <v>1200</v>
      </c>
      <c r="N2207" s="64">
        <v>12</v>
      </c>
      <c r="O2207" s="62">
        <v>0</v>
      </c>
      <c r="P2207" s="65">
        <f t="shared" si="148"/>
        <v>0</v>
      </c>
      <c r="Q2207" s="66">
        <v>400</v>
      </c>
      <c r="R2207" s="66"/>
      <c r="S2207" s="66">
        <v>0</v>
      </c>
      <c r="T2207" s="66"/>
      <c r="U2207" s="66"/>
      <c r="V2207" s="66"/>
      <c r="W2207" s="66"/>
      <c r="X2207" s="66"/>
      <c r="Y2207" s="66"/>
      <c r="Z2207" s="66"/>
      <c r="AA2207" s="66">
        <v>1700</v>
      </c>
      <c r="AB2207" s="66">
        <v>1750</v>
      </c>
      <c r="AC2207" s="66">
        <v>10</v>
      </c>
      <c r="AD2207" s="66"/>
      <c r="AE2207" s="66"/>
      <c r="AF2207" s="66"/>
      <c r="AG2207" s="66"/>
      <c r="AH2207" s="66"/>
      <c r="AI2207" s="66"/>
      <c r="AJ2207" s="66"/>
      <c r="AK2207" s="66"/>
      <c r="AL2207" s="66"/>
      <c r="AM2207" s="66"/>
      <c r="AN2207" s="66"/>
      <c r="AO2207" s="66"/>
      <c r="AP2207" s="66"/>
      <c r="AQ2207" s="66"/>
      <c r="AR2207" s="66"/>
      <c r="AS2207" s="66"/>
      <c r="AT2207" s="66"/>
      <c r="AU2207" s="66"/>
      <c r="AV2207" s="66"/>
      <c r="AW2207" s="66"/>
      <c r="AX2207" s="66"/>
      <c r="AY2207" s="66"/>
      <c r="AZ2207" s="66"/>
      <c r="BA2207" s="66"/>
      <c r="BB2207" s="66"/>
      <c r="BC2207" s="66"/>
      <c r="BD2207" s="66"/>
      <c r="BE2207" s="67"/>
      <c r="BF2207" s="67"/>
      <c r="BG2207" s="68"/>
      <c r="BI2207" s="69">
        <v>0</v>
      </c>
      <c r="BJ2207" s="70">
        <v>0</v>
      </c>
      <c r="BK2207" s="71">
        <v>0</v>
      </c>
      <c r="BL2207" s="71">
        <v>0</v>
      </c>
      <c r="BM2207" s="71">
        <v>0</v>
      </c>
      <c r="BN2207" s="72">
        <v>0</v>
      </c>
      <c r="BO2207" s="151" t="e">
        <f t="shared" si="144"/>
        <v>#DIV/0!</v>
      </c>
      <c r="BP2207" s="151" t="e">
        <f t="shared" si="145"/>
        <v>#DIV/0!</v>
      </c>
      <c r="BQ2207" s="71">
        <v>0</v>
      </c>
      <c r="BR2207" s="71">
        <v>0</v>
      </c>
      <c r="BS2207" s="71">
        <v>0</v>
      </c>
      <c r="BT2207" s="72">
        <v>0</v>
      </c>
      <c r="BU2207" s="151" t="e">
        <f t="shared" si="146"/>
        <v>#DIV/0!</v>
      </c>
      <c r="BV2207" s="151" t="e">
        <f t="shared" si="147"/>
        <v>#DIV/0!</v>
      </c>
    </row>
    <row r="2208" ht="30" customHeight="1" spans="1:74">
      <c r="A2208" s="55">
        <v>0</v>
      </c>
      <c r="B2208" s="56">
        <v>0</v>
      </c>
      <c r="C2208" s="57">
        <v>0</v>
      </c>
      <c r="D2208" s="78"/>
      <c r="E2208" s="74"/>
      <c r="F2208" s="59" t="e">
        <f>VLOOKUP(E2208,[1]库存!$B$1:$C$65536,2,FALSE)</f>
        <v>#N/A</v>
      </c>
      <c r="G2208" s="59" t="e">
        <v>#N/A</v>
      </c>
      <c r="H2208" s="74"/>
      <c r="I2208" s="74"/>
      <c r="J2208" s="81"/>
      <c r="K2208" s="61"/>
      <c r="L2208" s="62">
        <v>0</v>
      </c>
      <c r="M2208" s="63">
        <v>0</v>
      </c>
      <c r="N2208" s="64">
        <v>0</v>
      </c>
      <c r="O2208" s="62">
        <v>0</v>
      </c>
      <c r="P2208" s="65">
        <f t="shared" si="148"/>
        <v>0</v>
      </c>
      <c r="Q2208" s="66">
        <v>440</v>
      </c>
      <c r="R2208" s="66"/>
      <c r="S2208" s="66"/>
      <c r="T2208" s="66"/>
      <c r="U2208" s="66"/>
      <c r="V2208" s="66"/>
      <c r="W2208" s="66"/>
      <c r="X2208" s="66"/>
      <c r="Y2208" s="66"/>
      <c r="Z2208" s="66"/>
      <c r="AA2208" s="66">
        <v>1755</v>
      </c>
      <c r="AB2208" s="66"/>
      <c r="AC2208" s="66">
        <v>841</v>
      </c>
      <c r="AD2208" s="66"/>
      <c r="AE2208" s="66"/>
      <c r="AF2208" s="66"/>
      <c r="AG2208" s="66"/>
      <c r="AH2208" s="66"/>
      <c r="AI2208" s="66"/>
      <c r="AJ2208" s="66"/>
      <c r="AK2208" s="66"/>
      <c r="AL2208" s="66"/>
      <c r="AM2208" s="66"/>
      <c r="AN2208" s="66"/>
      <c r="AO2208" s="66"/>
      <c r="AP2208" s="66"/>
      <c r="AQ2208" s="66"/>
      <c r="AR2208" s="66"/>
      <c r="AS2208" s="66"/>
      <c r="AT2208" s="66"/>
      <c r="AU2208" s="66"/>
      <c r="AV2208" s="66"/>
      <c r="AW2208" s="66"/>
      <c r="AX2208" s="66"/>
      <c r="AY2208" s="66"/>
      <c r="AZ2208" s="66"/>
      <c r="BA2208" s="66"/>
      <c r="BB2208" s="66"/>
      <c r="BC2208" s="66"/>
      <c r="BD2208" s="66"/>
      <c r="BE2208" s="67"/>
      <c r="BF2208" s="67"/>
      <c r="BG2208" s="68"/>
      <c r="BI2208" s="69">
        <v>0</v>
      </c>
      <c r="BJ2208" s="70">
        <v>0</v>
      </c>
      <c r="BK2208" s="71">
        <v>0</v>
      </c>
      <c r="BL2208" s="71">
        <v>0</v>
      </c>
      <c r="BM2208" s="71">
        <v>0</v>
      </c>
      <c r="BN2208" s="72">
        <v>0</v>
      </c>
      <c r="BO2208" s="151" t="e">
        <f t="shared" si="144"/>
        <v>#DIV/0!</v>
      </c>
      <c r="BP2208" s="151" t="e">
        <f t="shared" si="145"/>
        <v>#DIV/0!</v>
      </c>
      <c r="BQ2208" s="71">
        <v>0</v>
      </c>
      <c r="BR2208" s="71">
        <v>0</v>
      </c>
      <c r="BS2208" s="71">
        <v>0</v>
      </c>
      <c r="BT2208" s="72">
        <v>0</v>
      </c>
      <c r="BU2208" s="151" t="e">
        <f t="shared" si="146"/>
        <v>#DIV/0!</v>
      </c>
      <c r="BV2208" s="151" t="e">
        <f t="shared" si="147"/>
        <v>#DIV/0!</v>
      </c>
    </row>
    <row r="2209" ht="30" customHeight="1" spans="1:75 16331:16349">
      <c r="A2209" s="55">
        <v>0</v>
      </c>
      <c r="B2209" s="56" t="s">
        <v>1237</v>
      </c>
      <c r="C2209" s="57" t="s">
        <v>3341</v>
      </c>
      <c r="D2209" s="76" t="s">
        <v>3440</v>
      </c>
      <c r="E2209" s="59" t="s">
        <v>3473</v>
      </c>
      <c r="F2209" s="59" t="e">
        <f>VLOOKUP(E2209,[1]库存!$B$1:$C$65536,2,FALSE)</f>
        <v>#N/A</v>
      </c>
      <c r="G2209" s="59" t="e">
        <v>#N/A</v>
      </c>
      <c r="H2209" s="59" t="s">
        <v>3474</v>
      </c>
      <c r="I2209" s="59" t="s">
        <v>170</v>
      </c>
      <c r="J2209" s="102" t="s">
        <v>65</v>
      </c>
      <c r="K2209" s="61"/>
      <c r="L2209" s="62">
        <v>0</v>
      </c>
      <c r="M2209" s="63">
        <v>1200</v>
      </c>
      <c r="N2209" s="64">
        <v>12</v>
      </c>
      <c r="O2209" s="62">
        <v>0</v>
      </c>
      <c r="P2209" s="65">
        <f t="shared" si="148"/>
        <v>0</v>
      </c>
      <c r="Q2209" s="66"/>
      <c r="R2209" s="66"/>
      <c r="S2209" s="66"/>
      <c r="T2209" s="66"/>
      <c r="U2209" s="66"/>
      <c r="V2209" s="66"/>
      <c r="W2209" s="66"/>
      <c r="X2209" s="66"/>
      <c r="Y2209" s="66"/>
      <c r="Z2209" s="66"/>
      <c r="AA2209" s="66"/>
      <c r="AB2209" s="66"/>
      <c r="AC2209" s="66"/>
      <c r="AD2209" s="66"/>
      <c r="AE2209" s="66"/>
      <c r="AF2209" s="66"/>
      <c r="AG2209" s="66"/>
      <c r="AH2209" s="66"/>
      <c r="AI2209" s="66"/>
      <c r="AJ2209" s="66"/>
      <c r="AK2209" s="66"/>
      <c r="AL2209" s="66"/>
      <c r="AM2209" s="66"/>
      <c r="AN2209" s="66"/>
      <c r="AO2209" s="66"/>
      <c r="AP2209" s="66"/>
      <c r="AQ2209" s="66"/>
      <c r="AR2209" s="66"/>
      <c r="AS2209" s="66"/>
      <c r="AT2209" s="66"/>
      <c r="AU2209" s="66"/>
      <c r="AV2209" s="66"/>
      <c r="AW2209" s="66"/>
      <c r="AX2209" s="66"/>
      <c r="AY2209" s="66"/>
      <c r="AZ2209" s="66"/>
      <c r="BA2209" s="66"/>
      <c r="BB2209" s="66"/>
      <c r="BC2209" s="66"/>
      <c r="BD2209" s="66"/>
      <c r="BE2209" s="67"/>
      <c r="BF2209" s="67"/>
      <c r="BG2209" s="68"/>
      <c r="BI2209" s="69">
        <v>0</v>
      </c>
      <c r="BJ2209" s="70">
        <v>0</v>
      </c>
      <c r="BK2209" s="71">
        <v>0</v>
      </c>
      <c r="BL2209" s="71">
        <v>0</v>
      </c>
      <c r="BM2209" s="71">
        <v>0</v>
      </c>
      <c r="BN2209" s="72">
        <v>0</v>
      </c>
      <c r="BO2209" s="151" t="e">
        <f t="shared" si="144"/>
        <v>#DIV/0!</v>
      </c>
      <c r="BP2209" s="151" t="e">
        <f t="shared" si="145"/>
        <v>#DIV/0!</v>
      </c>
      <c r="BQ2209" s="71">
        <v>0</v>
      </c>
      <c r="BR2209" s="71">
        <v>0</v>
      </c>
      <c r="BS2209" s="71">
        <v>0</v>
      </c>
      <c r="BT2209" s="72">
        <v>0</v>
      </c>
      <c r="BU2209" s="151" t="e">
        <f t="shared" si="146"/>
        <v>#DIV/0!</v>
      </c>
      <c r="BV2209" s="151" t="e">
        <f t="shared" si="147"/>
        <v>#DIV/0!</v>
      </c>
    </row>
    <row r="2210" ht="30" customHeight="1" spans="1:75 16331:16349">
      <c r="A2210" s="55">
        <v>0</v>
      </c>
      <c r="B2210" s="56">
        <v>0</v>
      </c>
      <c r="C2210" s="57">
        <v>0</v>
      </c>
      <c r="D2210" s="78"/>
      <c r="E2210" s="74"/>
      <c r="F2210" s="59" t="e">
        <f>VLOOKUP(E2210,[1]库存!$B$1:$C$65536,2,FALSE)</f>
        <v>#N/A</v>
      </c>
      <c r="G2210" s="59" t="e">
        <v>#N/A</v>
      </c>
      <c r="H2210" s="74"/>
      <c r="I2210" s="74"/>
      <c r="J2210" s="102"/>
      <c r="K2210" s="61"/>
      <c r="L2210" s="62">
        <v>0</v>
      </c>
      <c r="M2210" s="63">
        <v>0</v>
      </c>
      <c r="N2210" s="64">
        <v>0</v>
      </c>
      <c r="O2210" s="62">
        <v>0</v>
      </c>
      <c r="P2210" s="65">
        <f t="shared" si="148"/>
        <v>0</v>
      </c>
      <c r="Q2210" s="66"/>
      <c r="R2210" s="66"/>
      <c r="S2210" s="66"/>
      <c r="T2210" s="66"/>
      <c r="U2210" s="66"/>
      <c r="V2210" s="66"/>
      <c r="W2210" s="66"/>
      <c r="X2210" s="66"/>
      <c r="Y2210" s="66"/>
      <c r="Z2210" s="66"/>
      <c r="AA2210" s="66"/>
      <c r="AB2210" s="66"/>
      <c r="AC2210" s="66"/>
      <c r="AD2210" s="66"/>
      <c r="AE2210" s="66"/>
      <c r="AF2210" s="66"/>
      <c r="AG2210" s="66"/>
      <c r="AH2210" s="66"/>
      <c r="AI2210" s="66"/>
      <c r="AJ2210" s="66"/>
      <c r="AK2210" s="66"/>
      <c r="AL2210" s="66"/>
      <c r="AM2210" s="66"/>
      <c r="AN2210" s="66"/>
      <c r="AO2210" s="66"/>
      <c r="AP2210" s="66"/>
      <c r="AQ2210" s="66"/>
      <c r="AR2210" s="66"/>
      <c r="AS2210" s="66"/>
      <c r="AT2210" s="66"/>
      <c r="AU2210" s="66"/>
      <c r="AV2210" s="66"/>
      <c r="AW2210" s="66"/>
      <c r="AX2210" s="66"/>
      <c r="AY2210" s="66"/>
      <c r="AZ2210" s="66"/>
      <c r="BA2210" s="66"/>
      <c r="BB2210" s="66"/>
      <c r="BC2210" s="66"/>
      <c r="BD2210" s="66"/>
      <c r="BE2210" s="67"/>
      <c r="BF2210" s="67"/>
      <c r="BG2210" s="68"/>
      <c r="BI2210" s="69">
        <v>0</v>
      </c>
      <c r="BJ2210" s="70">
        <v>0</v>
      </c>
      <c r="BK2210" s="71">
        <v>0</v>
      </c>
      <c r="BL2210" s="71">
        <v>0</v>
      </c>
      <c r="BM2210" s="71">
        <v>0</v>
      </c>
      <c r="BN2210" s="72">
        <v>0</v>
      </c>
      <c r="BO2210" s="151" t="e">
        <f t="shared" si="144"/>
        <v>#DIV/0!</v>
      </c>
      <c r="BP2210" s="151" t="e">
        <f t="shared" si="145"/>
        <v>#DIV/0!</v>
      </c>
      <c r="BQ2210" s="71">
        <v>0</v>
      </c>
      <c r="BR2210" s="71">
        <v>0</v>
      </c>
      <c r="BS2210" s="71">
        <v>0</v>
      </c>
      <c r="BT2210" s="72">
        <v>0</v>
      </c>
      <c r="BU2210" s="151" t="e">
        <f t="shared" si="146"/>
        <v>#DIV/0!</v>
      </c>
      <c r="BV2210" s="151" t="e">
        <f t="shared" si="147"/>
        <v>#DIV/0!</v>
      </c>
    </row>
    <row r="2211" ht="30" customHeight="1" spans="1:75 16331:16349">
      <c r="A2211" s="55">
        <v>0</v>
      </c>
      <c r="B2211" s="56" t="s">
        <v>1237</v>
      </c>
      <c r="C2211" s="57" t="s">
        <v>3341</v>
      </c>
      <c r="D2211" s="76" t="s">
        <v>3440</v>
      </c>
      <c r="E2211" s="59" t="s">
        <v>3475</v>
      </c>
      <c r="F2211" s="59" t="e">
        <f>VLOOKUP(E2211,[1]库存!$B$1:$C$65536,2,FALSE)</f>
        <v>#N/A</v>
      </c>
      <c r="G2211" s="59" t="e">
        <v>#N/A</v>
      </c>
      <c r="H2211" s="59" t="s">
        <v>3476</v>
      </c>
      <c r="I2211" s="59" t="s">
        <v>170</v>
      </c>
      <c r="J2211" s="102" t="s">
        <v>65</v>
      </c>
      <c r="K2211" s="61"/>
      <c r="L2211" s="62">
        <v>0</v>
      </c>
      <c r="M2211" s="63">
        <v>1200</v>
      </c>
      <c r="N2211" s="64">
        <v>12</v>
      </c>
      <c r="O2211" s="62">
        <v>0</v>
      </c>
      <c r="P2211" s="65">
        <f t="shared" si="148"/>
        <v>0</v>
      </c>
      <c r="Q2211" s="66"/>
      <c r="R2211" s="66"/>
      <c r="S2211" s="66"/>
      <c r="T2211" s="66"/>
      <c r="U2211" s="66"/>
      <c r="V2211" s="66"/>
      <c r="W2211" s="66"/>
      <c r="X2211" s="66"/>
      <c r="Y2211" s="66"/>
      <c r="Z2211" s="66"/>
      <c r="AA2211" s="66"/>
      <c r="AB2211" s="66"/>
      <c r="AC2211" s="66"/>
      <c r="AD2211" s="66"/>
      <c r="AE2211" s="66"/>
      <c r="AF2211" s="66"/>
      <c r="AG2211" s="66"/>
      <c r="AH2211" s="66"/>
      <c r="AI2211" s="66"/>
      <c r="AJ2211" s="66"/>
      <c r="AK2211" s="66"/>
      <c r="AL2211" s="66"/>
      <c r="AM2211" s="66"/>
      <c r="AN2211" s="66"/>
      <c r="AO2211" s="66"/>
      <c r="AP2211" s="66"/>
      <c r="AQ2211" s="66"/>
      <c r="AR2211" s="66"/>
      <c r="AS2211" s="66"/>
      <c r="AT2211" s="66"/>
      <c r="AU2211" s="66"/>
      <c r="AV2211" s="66"/>
      <c r="AW2211" s="66"/>
      <c r="AX2211" s="66"/>
      <c r="AY2211" s="66"/>
      <c r="AZ2211" s="66"/>
      <c r="BA2211" s="66"/>
      <c r="BB2211" s="66"/>
      <c r="BC2211" s="66"/>
      <c r="BD2211" s="66"/>
      <c r="BE2211" s="67"/>
      <c r="BF2211" s="67"/>
      <c r="BG2211" s="68"/>
      <c r="BI2211" s="69">
        <v>0</v>
      </c>
      <c r="BJ2211" s="70">
        <v>0</v>
      </c>
      <c r="BK2211" s="71">
        <v>0</v>
      </c>
      <c r="BL2211" s="71">
        <v>0</v>
      </c>
      <c r="BM2211" s="71">
        <v>0</v>
      </c>
      <c r="BN2211" s="72">
        <v>0</v>
      </c>
      <c r="BO2211" s="151" t="e">
        <f t="shared" si="144"/>
        <v>#DIV/0!</v>
      </c>
      <c r="BP2211" s="151" t="e">
        <f t="shared" si="145"/>
        <v>#DIV/0!</v>
      </c>
      <c r="BQ2211" s="71">
        <v>0</v>
      </c>
      <c r="BR2211" s="71">
        <v>0</v>
      </c>
      <c r="BS2211" s="71">
        <v>0</v>
      </c>
      <c r="BT2211" s="72">
        <v>0</v>
      </c>
      <c r="BU2211" s="151" t="e">
        <f t="shared" si="146"/>
        <v>#DIV/0!</v>
      </c>
      <c r="BV2211" s="151" t="e">
        <f t="shared" si="147"/>
        <v>#DIV/0!</v>
      </c>
    </row>
    <row r="2212" ht="30" customHeight="1" spans="1:75 16331:16349">
      <c r="A2212" s="55">
        <v>0</v>
      </c>
      <c r="B2212" s="56">
        <v>0</v>
      </c>
      <c r="C2212" s="57">
        <v>0</v>
      </c>
      <c r="D2212" s="78"/>
      <c r="E2212" s="74"/>
      <c r="F2212" s="59" t="e">
        <f>VLOOKUP(E2212,[1]库存!$B$1:$C$65536,2,FALSE)</f>
        <v>#N/A</v>
      </c>
      <c r="G2212" s="59" t="e">
        <v>#N/A</v>
      </c>
      <c r="H2212" s="74"/>
      <c r="I2212" s="74"/>
      <c r="J2212" s="102"/>
      <c r="K2212" s="61"/>
      <c r="L2212" s="62">
        <v>0</v>
      </c>
      <c r="M2212" s="63">
        <v>0</v>
      </c>
      <c r="N2212" s="64">
        <v>0</v>
      </c>
      <c r="O2212" s="62">
        <v>0</v>
      </c>
      <c r="P2212" s="65">
        <f t="shared" si="148"/>
        <v>0</v>
      </c>
      <c r="Q2212" s="66"/>
      <c r="R2212" s="66"/>
      <c r="S2212" s="66"/>
      <c r="T2212" s="66"/>
      <c r="U2212" s="66"/>
      <c r="V2212" s="66"/>
      <c r="W2212" s="66"/>
      <c r="X2212" s="66"/>
      <c r="Y2212" s="66"/>
      <c r="Z2212" s="66"/>
      <c r="AA2212" s="66"/>
      <c r="AB2212" s="66"/>
      <c r="AC2212" s="66"/>
      <c r="AD2212" s="66"/>
      <c r="AE2212" s="66"/>
      <c r="AF2212" s="66"/>
      <c r="AG2212" s="66"/>
      <c r="AH2212" s="66"/>
      <c r="AI2212" s="66"/>
      <c r="AJ2212" s="66"/>
      <c r="AK2212" s="66"/>
      <c r="AL2212" s="66"/>
      <c r="AM2212" s="66"/>
      <c r="AN2212" s="66"/>
      <c r="AO2212" s="66"/>
      <c r="AP2212" s="66"/>
      <c r="AQ2212" s="66"/>
      <c r="AR2212" s="66"/>
      <c r="AS2212" s="66"/>
      <c r="AT2212" s="66"/>
      <c r="AU2212" s="66"/>
      <c r="AV2212" s="66"/>
      <c r="AW2212" s="66"/>
      <c r="AX2212" s="66"/>
      <c r="AY2212" s="66"/>
      <c r="AZ2212" s="66"/>
      <c r="BA2212" s="66"/>
      <c r="BB2212" s="66"/>
      <c r="BC2212" s="66"/>
      <c r="BD2212" s="66"/>
      <c r="BE2212" s="67"/>
      <c r="BF2212" s="67"/>
      <c r="BG2212" s="68"/>
      <c r="BI2212" s="69">
        <v>0</v>
      </c>
      <c r="BJ2212" s="70">
        <v>0</v>
      </c>
      <c r="BK2212" s="71">
        <v>0</v>
      </c>
      <c r="BL2212" s="71">
        <v>0</v>
      </c>
      <c r="BM2212" s="71">
        <v>0</v>
      </c>
      <c r="BN2212" s="72">
        <v>0</v>
      </c>
      <c r="BO2212" s="151" t="e">
        <f t="shared" si="144"/>
        <v>#DIV/0!</v>
      </c>
      <c r="BP2212" s="151" t="e">
        <f t="shared" si="145"/>
        <v>#DIV/0!</v>
      </c>
      <c r="BQ2212" s="71">
        <v>0</v>
      </c>
      <c r="BR2212" s="71">
        <v>0</v>
      </c>
      <c r="BS2212" s="71">
        <v>0</v>
      </c>
      <c r="BT2212" s="72">
        <v>0</v>
      </c>
      <c r="BU2212" s="151" t="e">
        <f t="shared" si="146"/>
        <v>#DIV/0!</v>
      </c>
      <c r="BV2212" s="151" t="e">
        <f t="shared" si="147"/>
        <v>#DIV/0!</v>
      </c>
    </row>
    <row r="2213" ht="30" customHeight="1" spans="1:75 16331:16349">
      <c r="A2213" s="55">
        <v>0</v>
      </c>
      <c r="B2213" s="56">
        <v>0</v>
      </c>
      <c r="C2213" s="57">
        <v>0</v>
      </c>
      <c r="E2213" s="88"/>
      <c r="F2213" s="59" t="e">
        <f>VLOOKUP(E2213,[1]库存!$B$1:$C$65536,2,FALSE)</f>
        <v>#N/A</v>
      </c>
      <c r="G2213" s="59" t="e">
        <v>#N/A</v>
      </c>
      <c r="H2213" s="89"/>
      <c r="I2213" s="88"/>
      <c r="J2213" s="90"/>
      <c r="K2213" s="61"/>
      <c r="L2213" s="62">
        <v>0</v>
      </c>
      <c r="M2213" s="63">
        <v>0</v>
      </c>
      <c r="N2213" s="64">
        <v>0</v>
      </c>
      <c r="O2213" s="62">
        <v>0</v>
      </c>
      <c r="P2213" s="65">
        <f t="shared" si="148"/>
        <v>0</v>
      </c>
      <c r="Q2213" s="66"/>
      <c r="R2213" s="66"/>
      <c r="S2213" s="66"/>
      <c r="T2213" s="66"/>
      <c r="U2213" s="66"/>
      <c r="V2213" s="66"/>
      <c r="W2213" s="66"/>
      <c r="X2213" s="66"/>
      <c r="Y2213" s="66"/>
      <c r="Z2213" s="66"/>
      <c r="AA2213" s="66"/>
      <c r="AB2213" s="66"/>
      <c r="AC2213" s="66"/>
      <c r="AD2213" s="66"/>
      <c r="AE2213" s="66"/>
      <c r="AF2213" s="66"/>
      <c r="AG2213" s="66"/>
      <c r="AH2213" s="66"/>
      <c r="AI2213" s="66"/>
      <c r="AJ2213" s="66"/>
      <c r="AK2213" s="66"/>
      <c r="AL2213" s="66"/>
      <c r="AM2213" s="66"/>
      <c r="AN2213" s="66"/>
      <c r="AO2213" s="66"/>
      <c r="AP2213" s="66"/>
      <c r="AQ2213" s="66"/>
      <c r="AR2213" s="66"/>
      <c r="AS2213" s="66"/>
      <c r="AT2213" s="66"/>
      <c r="AU2213" s="66"/>
      <c r="AV2213" s="66"/>
      <c r="AW2213" s="66"/>
      <c r="AX2213" s="66"/>
      <c r="AY2213" s="66"/>
      <c r="AZ2213" s="66"/>
      <c r="BA2213" s="66"/>
      <c r="BB2213" s="66"/>
      <c r="BC2213" s="66"/>
      <c r="BD2213" s="66"/>
      <c r="BE2213" s="67"/>
      <c r="BF2213" s="67"/>
      <c r="BG2213" s="68"/>
      <c r="BI2213" s="69">
        <v>0</v>
      </c>
      <c r="BJ2213" s="70">
        <v>0</v>
      </c>
      <c r="BK2213" s="71">
        <v>0</v>
      </c>
      <c r="BL2213" s="71">
        <v>0</v>
      </c>
      <c r="BM2213" s="71">
        <v>0</v>
      </c>
      <c r="BN2213" s="72">
        <v>0</v>
      </c>
      <c r="BO2213" s="151" t="e">
        <f t="shared" si="144"/>
        <v>#DIV/0!</v>
      </c>
      <c r="BP2213" s="151" t="e">
        <f t="shared" si="145"/>
        <v>#DIV/0!</v>
      </c>
      <c r="BQ2213" s="71">
        <v>0</v>
      </c>
      <c r="BR2213" s="71">
        <v>0</v>
      </c>
      <c r="BS2213" s="71">
        <v>0</v>
      </c>
      <c r="BT2213" s="72">
        <v>0</v>
      </c>
      <c r="BU2213" s="151" t="e">
        <f t="shared" si="146"/>
        <v>#DIV/0!</v>
      </c>
      <c r="BV2213" s="151" t="e">
        <f t="shared" si="147"/>
        <v>#DIV/0!</v>
      </c>
    </row>
    <row r="2214" ht="30" customHeight="1" spans="1:75 16331:16349">
      <c r="A2214" s="55">
        <v>0</v>
      </c>
      <c r="B2214" s="52" t="s">
        <v>1237</v>
      </c>
      <c r="C2214" s="76" t="s">
        <v>3226</v>
      </c>
      <c r="D2214" s="57" t="s">
        <v>3477</v>
      </c>
      <c r="E2214" s="91" t="s">
        <v>3478</v>
      </c>
      <c r="F2214" s="91" t="str">
        <f>VLOOKUP(E2214,[1]库存!$B$1:$C$65536,2,FALSE)</f>
        <v>FORD CDX707 FSAB LH B状态</v>
      </c>
      <c r="G2214" s="91" t="s">
        <v>3479</v>
      </c>
      <c r="H2214" s="91" t="s">
        <v>3480</v>
      </c>
      <c r="I2214" s="91" t="s">
        <v>2640</v>
      </c>
      <c r="J2214" s="63"/>
      <c r="K2214" s="61"/>
      <c r="L2214" s="62">
        <v>2</v>
      </c>
      <c r="M2214" s="63">
        <v>1400</v>
      </c>
      <c r="N2214" s="64">
        <v>11</v>
      </c>
      <c r="O2214" s="62">
        <v>2</v>
      </c>
      <c r="P2214" s="65">
        <f t="shared" si="148"/>
        <v>0</v>
      </c>
      <c r="Q2214" s="66"/>
      <c r="R2214" s="66"/>
      <c r="S2214" s="66"/>
      <c r="T2214" s="66"/>
      <c r="U2214" s="66"/>
      <c r="V2214" s="66"/>
      <c r="W2214" s="66"/>
      <c r="X2214" s="66"/>
      <c r="Y2214" s="66"/>
      <c r="Z2214" s="66"/>
      <c r="AA2214" s="66"/>
      <c r="AB2214" s="66"/>
      <c r="AC2214" s="66"/>
      <c r="AD2214" s="66"/>
      <c r="AE2214" s="66"/>
      <c r="AF2214" s="66"/>
      <c r="AG2214" s="66"/>
      <c r="AH2214" s="66"/>
      <c r="AI2214" s="66"/>
      <c r="AJ2214" s="66"/>
      <c r="AK2214" s="66"/>
      <c r="AL2214" s="66"/>
      <c r="AM2214" s="66"/>
      <c r="AN2214" s="66"/>
      <c r="AO2214" s="66"/>
      <c r="AP2214" s="66"/>
      <c r="AQ2214" s="66"/>
      <c r="AR2214" s="66"/>
      <c r="AS2214" s="66"/>
      <c r="AT2214" s="66"/>
      <c r="AU2214" s="66"/>
      <c r="AV2214" s="66"/>
      <c r="AW2214" s="66"/>
      <c r="AX2214" s="66"/>
      <c r="AY2214" s="66"/>
      <c r="AZ2214" s="66"/>
      <c r="BA2214" s="66"/>
      <c r="BB2214" s="66"/>
      <c r="BC2214" s="66"/>
      <c r="BD2214" s="66"/>
      <c r="BE2214" s="67"/>
      <c r="BF2214" s="67"/>
      <c r="BG2214" s="68"/>
      <c r="BI2214" s="69">
        <v>0</v>
      </c>
      <c r="BJ2214" s="70">
        <v>0</v>
      </c>
      <c r="BK2214" s="71">
        <v>0</v>
      </c>
      <c r="BL2214" s="71">
        <v>0</v>
      </c>
      <c r="BM2214" s="71">
        <v>0</v>
      </c>
      <c r="BN2214" s="72">
        <v>0</v>
      </c>
      <c r="BO2214" s="151" t="e">
        <f t="shared" si="144"/>
        <v>#DIV/0!</v>
      </c>
      <c r="BP2214" s="151" t="e">
        <f t="shared" si="145"/>
        <v>#DIV/0!</v>
      </c>
      <c r="BQ2214" s="71">
        <v>0</v>
      </c>
      <c r="BR2214" s="71">
        <v>0</v>
      </c>
      <c r="BS2214" s="71">
        <v>0</v>
      </c>
      <c r="BT2214" s="72">
        <v>0</v>
      </c>
      <c r="BU2214" s="151" t="e">
        <f t="shared" si="146"/>
        <v>#DIV/0!</v>
      </c>
      <c r="BV2214" s="151" t="e">
        <f t="shared" si="147"/>
        <v>#DIV/0!</v>
      </c>
    </row>
    <row r="2215" ht="30" customHeight="1" spans="1:75 16331:16349">
      <c r="A2215" s="55">
        <v>0</v>
      </c>
      <c r="B2215" s="52">
        <v>0</v>
      </c>
      <c r="C2215" s="76">
        <v>0</v>
      </c>
      <c r="D2215" s="174"/>
      <c r="E2215" s="92"/>
      <c r="F2215" s="91" t="e">
        <f>VLOOKUP(E2215,[1]库存!$B$1:$C$65536,2,FALSE)</f>
        <v>#N/A</v>
      </c>
      <c r="G2215" s="91" t="e">
        <v>#N/A</v>
      </c>
      <c r="H2215" s="92"/>
      <c r="I2215" s="92"/>
      <c r="J2215" s="87"/>
      <c r="K2215" s="61"/>
      <c r="L2215" s="62">
        <v>0</v>
      </c>
      <c r="M2215" s="63">
        <v>0</v>
      </c>
      <c r="N2215" s="64">
        <v>0</v>
      </c>
      <c r="O2215" s="62">
        <v>0</v>
      </c>
      <c r="P2215" s="65">
        <f t="shared" si="148"/>
        <v>0</v>
      </c>
      <c r="Q2215" s="66"/>
      <c r="R2215" s="66"/>
      <c r="S2215" s="66"/>
      <c r="T2215" s="66"/>
      <c r="U2215" s="66"/>
      <c r="V2215" s="66"/>
      <c r="W2215" s="66"/>
      <c r="X2215" s="66"/>
      <c r="Y2215" s="66"/>
      <c r="Z2215" s="66"/>
      <c r="AA2215" s="66"/>
      <c r="AB2215" s="66"/>
      <c r="AC2215" s="66"/>
      <c r="AD2215" s="66"/>
      <c r="AE2215" s="66"/>
      <c r="AF2215" s="66"/>
      <c r="AG2215" s="66"/>
      <c r="AH2215" s="66"/>
      <c r="AI2215" s="66"/>
      <c r="AJ2215" s="66"/>
      <c r="AK2215" s="66"/>
      <c r="AL2215" s="66"/>
      <c r="AM2215" s="66"/>
      <c r="AN2215" s="66"/>
      <c r="AO2215" s="66"/>
      <c r="AP2215" s="66"/>
      <c r="AQ2215" s="66"/>
      <c r="AR2215" s="66"/>
      <c r="AS2215" s="66"/>
      <c r="AT2215" s="66"/>
      <c r="AU2215" s="66"/>
      <c r="AV2215" s="66"/>
      <c r="AW2215" s="66"/>
      <c r="AX2215" s="66"/>
      <c r="AY2215" s="66"/>
      <c r="AZ2215" s="66"/>
      <c r="BA2215" s="66"/>
      <c r="BB2215" s="66"/>
      <c r="BC2215" s="66"/>
      <c r="BD2215" s="66"/>
      <c r="BE2215" s="67"/>
      <c r="BF2215" s="67"/>
      <c r="BG2215" s="68"/>
      <c r="BI2215" s="69">
        <v>0</v>
      </c>
      <c r="BJ2215" s="70">
        <v>0</v>
      </c>
      <c r="BK2215" s="71">
        <v>0</v>
      </c>
      <c r="BL2215" s="71">
        <v>0</v>
      </c>
      <c r="BM2215" s="71">
        <v>0</v>
      </c>
      <c r="BN2215" s="72">
        <v>0</v>
      </c>
      <c r="BO2215" s="151" t="e">
        <f t="shared" si="144"/>
        <v>#DIV/0!</v>
      </c>
      <c r="BP2215" s="151" t="e">
        <f t="shared" si="145"/>
        <v>#DIV/0!</v>
      </c>
      <c r="BQ2215" s="71">
        <v>0</v>
      </c>
      <c r="BR2215" s="71">
        <v>0</v>
      </c>
      <c r="BS2215" s="71">
        <v>0</v>
      </c>
      <c r="BT2215" s="72">
        <v>0</v>
      </c>
      <c r="BU2215" s="151" t="e">
        <f t="shared" si="146"/>
        <v>#DIV/0!</v>
      </c>
      <c r="BV2215" s="151" t="e">
        <f t="shared" si="147"/>
        <v>#DIV/0!</v>
      </c>
    </row>
    <row r="2216" ht="30" customHeight="1" spans="1:75 16331:16349">
      <c r="A2216" s="55">
        <v>0</v>
      </c>
      <c r="B2216" s="52" t="s">
        <v>1237</v>
      </c>
      <c r="C2216" s="76" t="s">
        <v>3226</v>
      </c>
      <c r="D2216" s="56" t="s">
        <v>3477</v>
      </c>
      <c r="E2216" s="91" t="s">
        <v>3481</v>
      </c>
      <c r="F2216" s="91" t="str">
        <f>VLOOKUP(E2216,[1]库存!$B$1:$C$65536,2,FALSE)</f>
        <v>FORD CDX707 FSAB RH B状态</v>
      </c>
      <c r="G2216" s="91" t="s">
        <v>3482</v>
      </c>
      <c r="H2216" s="91" t="s">
        <v>3483</v>
      </c>
      <c r="I2216" s="91" t="s">
        <v>2640</v>
      </c>
      <c r="J2216" s="63"/>
      <c r="K2216" s="61"/>
      <c r="L2216" s="62">
        <v>2</v>
      </c>
      <c r="M2216" s="63">
        <v>1400</v>
      </c>
      <c r="N2216" s="64">
        <v>11</v>
      </c>
      <c r="O2216" s="62">
        <v>2</v>
      </c>
      <c r="P2216" s="65">
        <f t="shared" si="148"/>
        <v>0</v>
      </c>
      <c r="Q2216" s="66"/>
      <c r="R2216" s="66"/>
      <c r="S2216" s="66"/>
      <c r="T2216" s="66"/>
      <c r="U2216" s="66"/>
      <c r="V2216" s="66"/>
      <c r="W2216" s="66"/>
      <c r="X2216" s="66"/>
      <c r="Y2216" s="66"/>
      <c r="Z2216" s="66"/>
      <c r="AA2216" s="66"/>
      <c r="AB2216" s="66"/>
      <c r="AC2216" s="66"/>
      <c r="AD2216" s="66"/>
      <c r="AE2216" s="66"/>
      <c r="AF2216" s="66"/>
      <c r="AG2216" s="66"/>
      <c r="AH2216" s="66"/>
      <c r="AI2216" s="66"/>
      <c r="AJ2216" s="66"/>
      <c r="AK2216" s="66"/>
      <c r="AL2216" s="66"/>
      <c r="AM2216" s="66"/>
      <c r="AN2216" s="66"/>
      <c r="AO2216" s="66"/>
      <c r="AP2216" s="66"/>
      <c r="AQ2216" s="66"/>
      <c r="AR2216" s="66"/>
      <c r="AS2216" s="66"/>
      <c r="AT2216" s="66"/>
      <c r="AU2216" s="66"/>
      <c r="AV2216" s="66"/>
      <c r="AW2216" s="66"/>
      <c r="AX2216" s="66"/>
      <c r="AY2216" s="66"/>
      <c r="AZ2216" s="66"/>
      <c r="BA2216" s="66"/>
      <c r="BB2216" s="66"/>
      <c r="BC2216" s="66"/>
      <c r="BD2216" s="66"/>
      <c r="BE2216" s="67"/>
      <c r="BF2216" s="67"/>
      <c r="BG2216" s="68"/>
      <c r="BI2216" s="69">
        <v>0</v>
      </c>
      <c r="BJ2216" s="70">
        <v>0</v>
      </c>
      <c r="BK2216" s="71">
        <v>0</v>
      </c>
      <c r="BL2216" s="71">
        <v>0</v>
      </c>
      <c r="BM2216" s="71">
        <v>0</v>
      </c>
      <c r="BN2216" s="72">
        <v>0</v>
      </c>
      <c r="BO2216" s="151" t="e">
        <f t="shared" si="144"/>
        <v>#DIV/0!</v>
      </c>
      <c r="BP2216" s="151" t="e">
        <f t="shared" si="145"/>
        <v>#DIV/0!</v>
      </c>
      <c r="BQ2216" s="71">
        <v>0</v>
      </c>
      <c r="BR2216" s="71">
        <v>0</v>
      </c>
      <c r="BS2216" s="71">
        <v>0</v>
      </c>
      <c r="BT2216" s="72">
        <v>0</v>
      </c>
      <c r="BU2216" s="151" t="e">
        <f t="shared" si="146"/>
        <v>#DIV/0!</v>
      </c>
      <c r="BV2216" s="151" t="e">
        <f t="shared" si="147"/>
        <v>#DIV/0!</v>
      </c>
    </row>
    <row r="2217" ht="30" customHeight="1" spans="1:75 16331:16349">
      <c r="A2217" s="55">
        <v>0</v>
      </c>
      <c r="B2217" s="52">
        <v>0</v>
      </c>
      <c r="C2217" s="76">
        <v>0</v>
      </c>
      <c r="D2217" s="56"/>
      <c r="E2217" s="92"/>
      <c r="F2217" s="91" t="e">
        <f>VLOOKUP(E2217,[1]库存!$B$1:$C$65536,2,FALSE)</f>
        <v>#N/A</v>
      </c>
      <c r="G2217" s="91" t="e">
        <v>#N/A</v>
      </c>
      <c r="H2217" s="92"/>
      <c r="I2217" s="92"/>
      <c r="J2217" s="87"/>
      <c r="K2217" s="61"/>
      <c r="L2217" s="62">
        <v>0</v>
      </c>
      <c r="M2217" s="63">
        <v>0</v>
      </c>
      <c r="N2217" s="64">
        <v>0</v>
      </c>
      <c r="O2217" s="62">
        <v>0</v>
      </c>
      <c r="P2217" s="65">
        <f t="shared" si="148"/>
        <v>0</v>
      </c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  <c r="AA2217" s="66"/>
      <c r="AB2217" s="66"/>
      <c r="AC2217" s="66"/>
      <c r="AD2217" s="66"/>
      <c r="AE2217" s="66"/>
      <c r="AF2217" s="66"/>
      <c r="AG2217" s="66"/>
      <c r="AH2217" s="66"/>
      <c r="AI2217" s="66"/>
      <c r="AJ2217" s="66"/>
      <c r="AK2217" s="66"/>
      <c r="AL2217" s="66"/>
      <c r="AM2217" s="66"/>
      <c r="AN2217" s="66"/>
      <c r="AO2217" s="66"/>
      <c r="AP2217" s="66"/>
      <c r="AQ2217" s="66"/>
      <c r="AR2217" s="66"/>
      <c r="AS2217" s="66"/>
      <c r="AT2217" s="66"/>
      <c r="AU2217" s="66"/>
      <c r="AV2217" s="66"/>
      <c r="AW2217" s="66"/>
      <c r="AX2217" s="66"/>
      <c r="AY2217" s="66"/>
      <c r="AZ2217" s="66"/>
      <c r="BA2217" s="66"/>
      <c r="BB2217" s="66"/>
      <c r="BC2217" s="66"/>
      <c r="BD2217" s="66"/>
      <c r="BE2217" s="67"/>
      <c r="BF2217" s="67"/>
      <c r="BG2217" s="68"/>
      <c r="BI2217" s="69">
        <v>0</v>
      </c>
      <c r="BJ2217" s="70">
        <v>0</v>
      </c>
      <c r="BK2217" s="71">
        <v>0</v>
      </c>
      <c r="BL2217" s="71">
        <v>0</v>
      </c>
      <c r="BM2217" s="71">
        <v>0</v>
      </c>
      <c r="BN2217" s="72">
        <v>0</v>
      </c>
      <c r="BO2217" s="151" t="e">
        <f t="shared" si="144"/>
        <v>#DIV/0!</v>
      </c>
      <c r="BP2217" s="151" t="e">
        <f t="shared" si="145"/>
        <v>#DIV/0!</v>
      </c>
      <c r="BQ2217" s="71">
        <v>0</v>
      </c>
      <c r="BR2217" s="71">
        <v>0</v>
      </c>
      <c r="BS2217" s="71">
        <v>0</v>
      </c>
      <c r="BT2217" s="72">
        <v>0</v>
      </c>
      <c r="BU2217" s="151" t="e">
        <f t="shared" si="146"/>
        <v>#DIV/0!</v>
      </c>
      <c r="BV2217" s="151" t="e">
        <f t="shared" si="147"/>
        <v>#DIV/0!</v>
      </c>
    </row>
    <row r="2218" s="1" customFormat="1" ht="30" customHeight="1" spans="1:75 16331:16349">
      <c r="A2218" s="110" t="s">
        <v>165</v>
      </c>
      <c r="B2218" s="111" t="s">
        <v>1237</v>
      </c>
      <c r="C2218" s="112" t="s">
        <v>3226</v>
      </c>
      <c r="D2218" s="264" t="s">
        <v>3477</v>
      </c>
      <c r="E2218" s="113" t="s">
        <v>3484</v>
      </c>
      <c r="F2218" s="113" t="str">
        <f>VLOOKUP(E2218,[1]库存!$B$1:$C$65536,2,FALSE)</f>
        <v>FORD CDX706 SAB LH A状态</v>
      </c>
      <c r="G2218" s="113" t="s">
        <v>3485</v>
      </c>
      <c r="H2218" s="113" t="s">
        <v>3486</v>
      </c>
      <c r="I2218" s="113" t="s">
        <v>2640</v>
      </c>
      <c r="J2218" s="82" t="s">
        <v>1805</v>
      </c>
      <c r="K2218" s="115"/>
      <c r="L2218" s="116">
        <v>2</v>
      </c>
      <c r="M2218" s="117">
        <v>1400</v>
      </c>
      <c r="N2218" s="114">
        <v>12</v>
      </c>
      <c r="O2218" s="116">
        <v>2</v>
      </c>
      <c r="P2218" s="65">
        <f t="shared" si="148"/>
        <v>0</v>
      </c>
      <c r="Q2218" s="67"/>
      <c r="R2218" s="67"/>
      <c r="S2218" s="66">
        <v>931</v>
      </c>
      <c r="T2218" s="66"/>
      <c r="U2218" s="67"/>
      <c r="V2218" s="67"/>
      <c r="W2218" s="67" t="s">
        <v>3487</v>
      </c>
      <c r="X2218" s="67"/>
      <c r="Y2218" s="67"/>
      <c r="Z2218" s="67"/>
      <c r="AA2218" s="67"/>
      <c r="AB2218" s="67"/>
      <c r="AC2218" s="67"/>
      <c r="AD2218" s="67"/>
      <c r="AE2218" s="67"/>
      <c r="AF2218" s="67"/>
      <c r="AG2218" s="67"/>
      <c r="AH2218" s="67"/>
      <c r="AI2218" s="67"/>
      <c r="AJ2218" s="67"/>
      <c r="AK2218" s="67"/>
      <c r="AL2218" s="67"/>
      <c r="AM2218" s="67"/>
      <c r="AN2218" s="67"/>
      <c r="AO2218" s="67"/>
      <c r="AP2218" s="67"/>
      <c r="AQ2218" s="67"/>
      <c r="AR2218" s="67"/>
      <c r="AS2218" s="67"/>
      <c r="AT2218" s="67"/>
      <c r="AU2218" s="67"/>
      <c r="AV2218" s="67"/>
      <c r="AW2218" s="67"/>
      <c r="AX2218" s="67"/>
      <c r="AY2218" s="67"/>
      <c r="AZ2218" s="67"/>
      <c r="BA2218" s="67"/>
      <c r="BB2218" s="67"/>
      <c r="BC2218" s="67"/>
      <c r="BD2218" s="67"/>
      <c r="BE2218" s="67"/>
      <c r="BF2218" s="67"/>
      <c r="BG2218" s="118"/>
      <c r="BH2218" s="119"/>
      <c r="BI2218" s="120">
        <v>0</v>
      </c>
      <c r="BJ2218" s="121">
        <v>0</v>
      </c>
      <c r="BK2218" s="122">
        <v>0</v>
      </c>
      <c r="BL2218" s="122">
        <v>0</v>
      </c>
      <c r="BM2218" s="122">
        <v>0</v>
      </c>
      <c r="BN2218" s="123">
        <v>0</v>
      </c>
      <c r="BO2218" s="204" t="e">
        <f t="shared" si="144"/>
        <v>#DIV/0!</v>
      </c>
      <c r="BP2218" s="204" t="e">
        <f t="shared" si="145"/>
        <v>#DIV/0!</v>
      </c>
      <c r="BQ2218" s="122">
        <v>0</v>
      </c>
      <c r="BR2218" s="122">
        <v>0</v>
      </c>
      <c r="BS2218" s="122">
        <v>0</v>
      </c>
      <c r="BT2218" s="123">
        <v>0</v>
      </c>
      <c r="BU2218" s="204" t="e">
        <f t="shared" si="146"/>
        <v>#DIV/0!</v>
      </c>
      <c r="BV2218" s="204" t="e">
        <f t="shared" si="147"/>
        <v>#DIV/0!</v>
      </c>
      <c r="BW2218" s="125"/>
      <c r="XDC2218" s="126"/>
      <c r="XDD2218" s="126"/>
      <c r="XDE2218" s="126"/>
      <c r="XDF2218" s="126"/>
      <c r="XDG2218" s="126"/>
      <c r="XDH2218" s="126"/>
      <c r="XDI2218" s="126"/>
      <c r="XDJ2218" s="126"/>
      <c r="XDK2218" s="126"/>
      <c r="XDL2218" s="126"/>
      <c r="XDM2218" s="126"/>
      <c r="XDN2218" s="126"/>
      <c r="XDO2218" s="126"/>
      <c r="XDP2218" s="126"/>
      <c r="XDQ2218" s="126"/>
      <c r="XDR2218" s="126"/>
      <c r="XDS2218" s="126"/>
      <c r="XDT2218" s="126"/>
      <c r="XDU2218" s="126"/>
    </row>
    <row r="2219" s="1" customFormat="1" ht="30" customHeight="1" spans="1:75 16331:16349">
      <c r="A2219" s="110">
        <v>0</v>
      </c>
      <c r="B2219" s="111">
        <v>0</v>
      </c>
      <c r="C2219" s="112">
        <v>0</v>
      </c>
      <c r="D2219" s="265"/>
      <c r="E2219" s="127"/>
      <c r="F2219" s="113" t="e">
        <f>VLOOKUP(E2219,[1]库存!$B$1:$C$65536,2,FALSE)</f>
        <v>#N/A</v>
      </c>
      <c r="G2219" s="113" t="e">
        <v>#N/A</v>
      </c>
      <c r="H2219" s="127"/>
      <c r="I2219" s="127"/>
      <c r="J2219" s="83"/>
      <c r="K2219" s="115"/>
      <c r="L2219" s="116">
        <v>0</v>
      </c>
      <c r="M2219" s="117">
        <v>0</v>
      </c>
      <c r="N2219" s="114">
        <v>0</v>
      </c>
      <c r="O2219" s="116">
        <v>0</v>
      </c>
      <c r="P2219" s="65">
        <f t="shared" si="148"/>
        <v>0</v>
      </c>
      <c r="Q2219" s="67"/>
      <c r="R2219" s="67"/>
      <c r="S2219" s="66" t="s">
        <v>3488</v>
      </c>
      <c r="T2219" s="66" t="s">
        <v>3489</v>
      </c>
      <c r="U2219" s="67"/>
      <c r="V2219" s="67"/>
      <c r="W2219" s="67"/>
      <c r="X2219" s="67"/>
      <c r="Y2219" s="67"/>
      <c r="Z2219" s="67"/>
      <c r="AA2219" s="67"/>
      <c r="AB2219" s="67"/>
      <c r="AC2219" s="67"/>
      <c r="AD2219" s="67"/>
      <c r="AE2219" s="67"/>
      <c r="AF2219" s="67"/>
      <c r="AG2219" s="67"/>
      <c r="AH2219" s="67"/>
      <c r="AI2219" s="67"/>
      <c r="AJ2219" s="67"/>
      <c r="AK2219" s="67"/>
      <c r="AL2219" s="67"/>
      <c r="AM2219" s="67"/>
      <c r="AN2219" s="67"/>
      <c r="AO2219" s="67"/>
      <c r="AP2219" s="67"/>
      <c r="AQ2219" s="67"/>
      <c r="AR2219" s="67"/>
      <c r="AS2219" s="67"/>
      <c r="AT2219" s="67"/>
      <c r="AU2219" s="67"/>
      <c r="AV2219" s="67"/>
      <c r="AW2219" s="67"/>
      <c r="AX2219" s="67"/>
      <c r="AY2219" s="67"/>
      <c r="AZ2219" s="67"/>
      <c r="BA2219" s="67"/>
      <c r="BB2219" s="67"/>
      <c r="BC2219" s="67"/>
      <c r="BD2219" s="67"/>
      <c r="BE2219" s="67"/>
      <c r="BF2219" s="67"/>
      <c r="BG2219" s="118"/>
      <c r="BH2219" s="119"/>
      <c r="BI2219" s="120">
        <v>0</v>
      </c>
      <c r="BJ2219" s="121">
        <v>0</v>
      </c>
      <c r="BK2219" s="122">
        <v>0</v>
      </c>
      <c r="BL2219" s="122">
        <v>0</v>
      </c>
      <c r="BM2219" s="122">
        <v>0</v>
      </c>
      <c r="BN2219" s="123">
        <v>0</v>
      </c>
      <c r="BO2219" s="204" t="e">
        <f t="shared" si="144"/>
        <v>#DIV/0!</v>
      </c>
      <c r="BP2219" s="204" t="e">
        <f t="shared" si="145"/>
        <v>#DIV/0!</v>
      </c>
      <c r="BQ2219" s="122">
        <v>0</v>
      </c>
      <c r="BR2219" s="122">
        <v>0</v>
      </c>
      <c r="BS2219" s="122">
        <v>0</v>
      </c>
      <c r="BT2219" s="123">
        <v>0</v>
      </c>
      <c r="BU2219" s="204" t="e">
        <f t="shared" si="146"/>
        <v>#DIV/0!</v>
      </c>
      <c r="BV2219" s="204" t="e">
        <f t="shared" si="147"/>
        <v>#DIV/0!</v>
      </c>
      <c r="BW2219" s="125"/>
      <c r="XDC2219" s="126"/>
      <c r="XDD2219" s="126"/>
      <c r="XDE2219" s="126"/>
      <c r="XDF2219" s="126"/>
      <c r="XDG2219" s="126"/>
      <c r="XDH2219" s="126"/>
      <c r="XDI2219" s="126"/>
      <c r="XDJ2219" s="126"/>
      <c r="XDK2219" s="126"/>
      <c r="XDL2219" s="126"/>
      <c r="XDM2219" s="126"/>
      <c r="XDN2219" s="126"/>
      <c r="XDO2219" s="126"/>
      <c r="XDP2219" s="126"/>
      <c r="XDQ2219" s="126"/>
      <c r="XDR2219" s="126"/>
      <c r="XDS2219" s="126"/>
      <c r="XDT2219" s="126"/>
      <c r="XDU2219" s="126"/>
    </row>
    <row r="2220" s="1" customFormat="1" ht="30" customHeight="1" spans="1:75 16331:16349">
      <c r="A2220" s="110" t="s">
        <v>165</v>
      </c>
      <c r="B2220" s="111" t="s">
        <v>1237</v>
      </c>
      <c r="C2220" s="112" t="s">
        <v>3226</v>
      </c>
      <c r="D2220" s="232" t="s">
        <v>3477</v>
      </c>
      <c r="E2220" s="113" t="s">
        <v>3490</v>
      </c>
      <c r="F2220" s="113" t="str">
        <f>VLOOKUP(E2220,[1]库存!$B$1:$C$65536,2,FALSE)</f>
        <v>FORD CDX706 SAB RH A状态</v>
      </c>
      <c r="G2220" s="113" t="s">
        <v>3491</v>
      </c>
      <c r="H2220" s="113" t="s">
        <v>3492</v>
      </c>
      <c r="I2220" s="113" t="s">
        <v>2640</v>
      </c>
      <c r="J2220" s="83"/>
      <c r="K2220" s="115"/>
      <c r="L2220" s="116">
        <v>2</v>
      </c>
      <c r="M2220" s="117">
        <v>1400</v>
      </c>
      <c r="N2220" s="114">
        <v>12</v>
      </c>
      <c r="O2220" s="116">
        <v>2</v>
      </c>
      <c r="P2220" s="65">
        <f t="shared" si="148"/>
        <v>0</v>
      </c>
      <c r="Q2220" s="67"/>
      <c r="R2220" s="67"/>
      <c r="S2220" s="66">
        <v>9</v>
      </c>
      <c r="T2220" s="66"/>
      <c r="U2220" s="67"/>
      <c r="V2220" s="67"/>
      <c r="W2220" s="67" t="s">
        <v>3487</v>
      </c>
      <c r="X2220" s="67"/>
      <c r="Y2220" s="67"/>
      <c r="Z2220" s="67"/>
      <c r="AA2220" s="67"/>
      <c r="AB2220" s="67"/>
      <c r="AC2220" s="67"/>
      <c r="AD2220" s="67"/>
      <c r="AE2220" s="67"/>
      <c r="AF2220" s="67"/>
      <c r="AG2220" s="67"/>
      <c r="AH2220" s="67"/>
      <c r="AI2220" s="67"/>
      <c r="AJ2220" s="67"/>
      <c r="AK2220" s="67"/>
      <c r="AL2220" s="67"/>
      <c r="AM2220" s="67"/>
      <c r="AN2220" s="67"/>
      <c r="AO2220" s="67"/>
      <c r="AP2220" s="67"/>
      <c r="AQ2220" s="67"/>
      <c r="AR2220" s="67"/>
      <c r="AS2220" s="67"/>
      <c r="AT2220" s="67"/>
      <c r="AU2220" s="67"/>
      <c r="AV2220" s="67"/>
      <c r="AW2220" s="67"/>
      <c r="AX2220" s="67"/>
      <c r="AY2220" s="67"/>
      <c r="AZ2220" s="67"/>
      <c r="BA2220" s="67"/>
      <c r="BB2220" s="67"/>
      <c r="BC2220" s="67"/>
      <c r="BD2220" s="67"/>
      <c r="BE2220" s="67"/>
      <c r="BF2220" s="67"/>
      <c r="BG2220" s="118"/>
      <c r="BH2220" s="119"/>
      <c r="BI2220" s="120">
        <v>0</v>
      </c>
      <c r="BJ2220" s="121">
        <v>0</v>
      </c>
      <c r="BK2220" s="122">
        <v>0</v>
      </c>
      <c r="BL2220" s="122">
        <v>0</v>
      </c>
      <c r="BM2220" s="122">
        <v>0</v>
      </c>
      <c r="BN2220" s="123">
        <v>0</v>
      </c>
      <c r="BO2220" s="204" t="e">
        <f t="shared" si="144"/>
        <v>#DIV/0!</v>
      </c>
      <c r="BP2220" s="204" t="e">
        <f t="shared" si="145"/>
        <v>#DIV/0!</v>
      </c>
      <c r="BQ2220" s="122">
        <v>0</v>
      </c>
      <c r="BR2220" s="122">
        <v>0</v>
      </c>
      <c r="BS2220" s="122">
        <v>0</v>
      </c>
      <c r="BT2220" s="123">
        <v>0</v>
      </c>
      <c r="BU2220" s="204" t="e">
        <f t="shared" si="146"/>
        <v>#DIV/0!</v>
      </c>
      <c r="BV2220" s="204" t="e">
        <f t="shared" si="147"/>
        <v>#DIV/0!</v>
      </c>
      <c r="BW2220" s="125"/>
      <c r="XDC2220" s="126"/>
      <c r="XDD2220" s="126"/>
      <c r="XDE2220" s="126"/>
      <c r="XDF2220" s="126"/>
      <c r="XDG2220" s="126"/>
      <c r="XDH2220" s="126"/>
      <c r="XDI2220" s="126"/>
      <c r="XDJ2220" s="126"/>
      <c r="XDK2220" s="126"/>
      <c r="XDL2220" s="126"/>
      <c r="XDM2220" s="126"/>
      <c r="XDN2220" s="126"/>
      <c r="XDO2220" s="126"/>
      <c r="XDP2220" s="126"/>
      <c r="XDQ2220" s="126"/>
      <c r="XDR2220" s="126"/>
      <c r="XDS2220" s="126"/>
      <c r="XDT2220" s="126"/>
      <c r="XDU2220" s="126"/>
    </row>
    <row r="2221" s="1" customFormat="1" ht="30" customHeight="1" spans="1:75 16331:16349">
      <c r="A2221" s="110">
        <v>0</v>
      </c>
      <c r="B2221" s="111">
        <v>0</v>
      </c>
      <c r="C2221" s="112">
        <v>0</v>
      </c>
      <c r="D2221" s="232"/>
      <c r="E2221" s="127"/>
      <c r="F2221" s="113" t="e">
        <f>VLOOKUP(E2221,[1]库存!$B$1:$C$65536,2,FALSE)</f>
        <v>#N/A</v>
      </c>
      <c r="G2221" s="113" t="e">
        <v>#N/A</v>
      </c>
      <c r="H2221" s="127"/>
      <c r="I2221" s="127"/>
      <c r="J2221" s="83"/>
      <c r="K2221" s="115"/>
      <c r="L2221" s="116">
        <v>0</v>
      </c>
      <c r="M2221" s="117">
        <v>0</v>
      </c>
      <c r="N2221" s="114">
        <v>0</v>
      </c>
      <c r="O2221" s="116">
        <v>0</v>
      </c>
      <c r="P2221" s="65">
        <f t="shared" si="148"/>
        <v>0</v>
      </c>
      <c r="Q2221" s="67"/>
      <c r="R2221" s="67"/>
      <c r="S2221" s="66" t="s">
        <v>3493</v>
      </c>
      <c r="T2221" s="66" t="s">
        <v>3494</v>
      </c>
      <c r="U2221" s="67"/>
      <c r="V2221" s="67"/>
      <c r="W2221" s="67"/>
      <c r="X2221" s="67"/>
      <c r="Y2221" s="67"/>
      <c r="Z2221" s="67"/>
      <c r="AA2221" s="67"/>
      <c r="AB2221" s="67"/>
      <c r="AC2221" s="67"/>
      <c r="AD2221" s="67"/>
      <c r="AE2221" s="67"/>
      <c r="AF2221" s="67"/>
      <c r="AG2221" s="67"/>
      <c r="AH2221" s="67"/>
      <c r="AI2221" s="67"/>
      <c r="AJ2221" s="67"/>
      <c r="AK2221" s="67"/>
      <c r="AL2221" s="67"/>
      <c r="AM2221" s="67"/>
      <c r="AN2221" s="67"/>
      <c r="AO2221" s="67"/>
      <c r="AP2221" s="67"/>
      <c r="AQ2221" s="67"/>
      <c r="AR2221" s="67"/>
      <c r="AS2221" s="67"/>
      <c r="AT2221" s="67"/>
      <c r="AU2221" s="67"/>
      <c r="AV2221" s="67"/>
      <c r="AW2221" s="67"/>
      <c r="AX2221" s="67"/>
      <c r="AY2221" s="67"/>
      <c r="AZ2221" s="67"/>
      <c r="BA2221" s="67"/>
      <c r="BB2221" s="67"/>
      <c r="BC2221" s="67"/>
      <c r="BD2221" s="67"/>
      <c r="BE2221" s="67"/>
      <c r="BF2221" s="67"/>
      <c r="BG2221" s="118"/>
      <c r="BH2221" s="119"/>
      <c r="BI2221" s="120">
        <v>0</v>
      </c>
      <c r="BJ2221" s="121">
        <v>0</v>
      </c>
      <c r="BK2221" s="122">
        <v>0</v>
      </c>
      <c r="BL2221" s="122">
        <v>0</v>
      </c>
      <c r="BM2221" s="122">
        <v>0</v>
      </c>
      <c r="BN2221" s="123">
        <v>0</v>
      </c>
      <c r="BO2221" s="204" t="e">
        <f t="shared" si="144"/>
        <v>#DIV/0!</v>
      </c>
      <c r="BP2221" s="204" t="e">
        <f t="shared" si="145"/>
        <v>#DIV/0!</v>
      </c>
      <c r="BQ2221" s="122">
        <v>0</v>
      </c>
      <c r="BR2221" s="122">
        <v>0</v>
      </c>
      <c r="BS2221" s="122">
        <v>0</v>
      </c>
      <c r="BT2221" s="123">
        <v>0</v>
      </c>
      <c r="BU2221" s="204" t="e">
        <f t="shared" si="146"/>
        <v>#DIV/0!</v>
      </c>
      <c r="BV2221" s="204" t="e">
        <f t="shared" si="147"/>
        <v>#DIV/0!</v>
      </c>
      <c r="BW2221" s="125"/>
      <c r="XDC2221" s="126"/>
      <c r="XDD2221" s="126"/>
      <c r="XDE2221" s="126"/>
      <c r="XDF2221" s="126"/>
      <c r="XDG2221" s="126"/>
      <c r="XDH2221" s="126"/>
      <c r="XDI2221" s="126"/>
      <c r="XDJ2221" s="126"/>
      <c r="XDK2221" s="126"/>
      <c r="XDL2221" s="126"/>
      <c r="XDM2221" s="126"/>
      <c r="XDN2221" s="126"/>
      <c r="XDO2221" s="126"/>
      <c r="XDP2221" s="126"/>
      <c r="XDQ2221" s="126"/>
      <c r="XDR2221" s="126"/>
      <c r="XDS2221" s="126"/>
      <c r="XDT2221" s="126"/>
      <c r="XDU2221" s="126"/>
    </row>
    <row r="2222" ht="30" customHeight="1" spans="1:75 16331:16349">
      <c r="A2222" s="55">
        <v>0</v>
      </c>
      <c r="B2222" s="52" t="s">
        <v>1237</v>
      </c>
      <c r="C2222" s="76" t="s">
        <v>3226</v>
      </c>
      <c r="D2222" s="76" t="s">
        <v>3477</v>
      </c>
      <c r="E2222" s="59"/>
      <c r="F2222" s="59" t="e">
        <f>VLOOKUP(E2222,[1]库存!$B$1:$C$65536,2,FALSE)</f>
        <v>#N/A</v>
      </c>
      <c r="G2222" s="59" t="e">
        <v>#N/A</v>
      </c>
      <c r="H2222" s="59" t="s">
        <v>3495</v>
      </c>
      <c r="I2222" s="59" t="s">
        <v>3496</v>
      </c>
      <c r="J2222" s="63"/>
      <c r="K2222" s="61"/>
      <c r="L2222" s="62">
        <v>2</v>
      </c>
      <c r="M2222" s="63">
        <v>1400</v>
      </c>
      <c r="N2222" s="64">
        <v>12</v>
      </c>
      <c r="O2222" s="62">
        <v>2</v>
      </c>
      <c r="P2222" s="65">
        <f t="shared" si="148"/>
        <v>0</v>
      </c>
      <c r="Q2222" s="66"/>
      <c r="R2222" s="66"/>
      <c r="S2222" s="66"/>
      <c r="T2222" s="66"/>
      <c r="U2222" s="66"/>
      <c r="V2222" s="66"/>
      <c r="W2222" s="66"/>
      <c r="X2222" s="66"/>
      <c r="Y2222" s="66"/>
      <c r="Z2222" s="66"/>
      <c r="AA2222" s="66"/>
      <c r="AB2222" s="66"/>
      <c r="AC2222" s="66"/>
      <c r="AD2222" s="66"/>
      <c r="AE2222" s="66"/>
      <c r="AF2222" s="66"/>
      <c r="AG2222" s="66"/>
      <c r="AH2222" s="66"/>
      <c r="AI2222" s="66"/>
      <c r="AJ2222" s="66"/>
      <c r="AK2222" s="66"/>
      <c r="AL2222" s="66"/>
      <c r="AM2222" s="66"/>
      <c r="AN2222" s="66"/>
      <c r="AO2222" s="66"/>
      <c r="AP2222" s="66"/>
      <c r="AQ2222" s="66"/>
      <c r="AR2222" s="66"/>
      <c r="AS2222" s="66"/>
      <c r="AT2222" s="66"/>
      <c r="AU2222" s="66"/>
      <c r="AV2222" s="66"/>
      <c r="AW2222" s="66"/>
      <c r="AX2222" s="66"/>
      <c r="AY2222" s="66"/>
      <c r="AZ2222" s="66"/>
      <c r="BA2222" s="66"/>
      <c r="BB2222" s="66"/>
      <c r="BC2222" s="66"/>
      <c r="BD2222" s="66"/>
      <c r="BE2222" s="67"/>
      <c r="BF2222" s="67"/>
      <c r="BG2222" s="68"/>
      <c r="BI2222" s="69">
        <v>0</v>
      </c>
      <c r="BJ2222" s="70">
        <v>0</v>
      </c>
      <c r="BK2222" s="71">
        <v>0</v>
      </c>
      <c r="BL2222" s="71">
        <v>0</v>
      </c>
      <c r="BM2222" s="71">
        <v>0</v>
      </c>
      <c r="BN2222" s="72">
        <v>0</v>
      </c>
      <c r="BO2222" s="151" t="e">
        <f t="shared" si="144"/>
        <v>#DIV/0!</v>
      </c>
      <c r="BP2222" s="151" t="e">
        <f t="shared" si="145"/>
        <v>#DIV/0!</v>
      </c>
      <c r="BQ2222" s="71">
        <v>0</v>
      </c>
      <c r="BR2222" s="71">
        <v>0</v>
      </c>
      <c r="BS2222" s="71">
        <v>0</v>
      </c>
      <c r="BT2222" s="72">
        <v>0</v>
      </c>
      <c r="BU2222" s="151" t="e">
        <f t="shared" si="146"/>
        <v>#DIV/0!</v>
      </c>
      <c r="BV2222" s="151" t="e">
        <f t="shared" si="147"/>
        <v>#DIV/0!</v>
      </c>
    </row>
    <row r="2223" ht="30" customHeight="1" spans="1:75 16331:16349">
      <c r="A2223" s="55">
        <v>0</v>
      </c>
      <c r="B2223" s="52">
        <v>0</v>
      </c>
      <c r="C2223" s="76">
        <v>0</v>
      </c>
      <c r="D2223" s="78"/>
      <c r="E2223" s="74"/>
      <c r="F2223" s="59" t="e">
        <f>VLOOKUP(E2223,[1]库存!$B$1:$C$65536,2,FALSE)</f>
        <v>#N/A</v>
      </c>
      <c r="G2223" s="59" t="e">
        <v>#N/A</v>
      </c>
      <c r="H2223" s="74"/>
      <c r="I2223" s="74"/>
      <c r="J2223" s="87"/>
      <c r="K2223" s="61"/>
      <c r="L2223" s="62">
        <v>0</v>
      </c>
      <c r="M2223" s="63">
        <v>0</v>
      </c>
      <c r="N2223" s="64">
        <v>0</v>
      </c>
      <c r="O2223" s="62">
        <v>0</v>
      </c>
      <c r="P2223" s="65">
        <f t="shared" si="148"/>
        <v>0</v>
      </c>
      <c r="Q2223" s="66"/>
      <c r="R2223" s="66"/>
      <c r="S2223" s="66"/>
      <c r="T2223" s="66"/>
      <c r="U2223" s="66"/>
      <c r="V2223" s="66"/>
      <c r="W2223" s="66"/>
      <c r="X2223" s="66"/>
      <c r="Y2223" s="66"/>
      <c r="Z2223" s="66"/>
      <c r="AA2223" s="66"/>
      <c r="AB2223" s="66"/>
      <c r="AC2223" s="66"/>
      <c r="AD2223" s="66"/>
      <c r="AE2223" s="66"/>
      <c r="AF2223" s="66"/>
      <c r="AG2223" s="66"/>
      <c r="AH2223" s="66"/>
      <c r="AI2223" s="66"/>
      <c r="AJ2223" s="66"/>
      <c r="AK2223" s="66"/>
      <c r="AL2223" s="66"/>
      <c r="AM2223" s="66"/>
      <c r="AN2223" s="66"/>
      <c r="AO2223" s="66"/>
      <c r="AP2223" s="66"/>
      <c r="AQ2223" s="66"/>
      <c r="AR2223" s="66"/>
      <c r="AS2223" s="66"/>
      <c r="AT2223" s="66"/>
      <c r="AU2223" s="66"/>
      <c r="AV2223" s="66"/>
      <c r="AW2223" s="66"/>
      <c r="AX2223" s="66"/>
      <c r="AY2223" s="66"/>
      <c r="AZ2223" s="66"/>
      <c r="BA2223" s="66"/>
      <c r="BB2223" s="66"/>
      <c r="BC2223" s="66"/>
      <c r="BD2223" s="66"/>
      <c r="BE2223" s="67"/>
      <c r="BF2223" s="67"/>
      <c r="BG2223" s="68"/>
      <c r="BI2223" s="69">
        <v>0</v>
      </c>
      <c r="BJ2223" s="70">
        <v>0</v>
      </c>
      <c r="BK2223" s="71">
        <v>0</v>
      </c>
      <c r="BL2223" s="71">
        <v>0</v>
      </c>
      <c r="BM2223" s="71">
        <v>0</v>
      </c>
      <c r="BN2223" s="72">
        <v>0</v>
      </c>
      <c r="BO2223" s="151" t="e">
        <f t="shared" si="144"/>
        <v>#DIV/0!</v>
      </c>
      <c r="BP2223" s="151" t="e">
        <f t="shared" si="145"/>
        <v>#DIV/0!</v>
      </c>
      <c r="BQ2223" s="71">
        <v>0</v>
      </c>
      <c r="BR2223" s="71">
        <v>0</v>
      </c>
      <c r="BS2223" s="71">
        <v>0</v>
      </c>
      <c r="BT2223" s="72">
        <v>0</v>
      </c>
      <c r="BU2223" s="151" t="e">
        <f t="shared" si="146"/>
        <v>#DIV/0!</v>
      </c>
      <c r="BV2223" s="151" t="e">
        <f t="shared" si="147"/>
        <v>#DIV/0!</v>
      </c>
    </row>
    <row r="2224" ht="30" customHeight="1" spans="1:75 16331:16349">
      <c r="A2224" s="55">
        <v>0</v>
      </c>
      <c r="B2224" s="52" t="s">
        <v>1237</v>
      </c>
      <c r="C2224" s="76" t="s">
        <v>3226</v>
      </c>
      <c r="D2224" s="52" t="s">
        <v>3477</v>
      </c>
      <c r="E2224" s="59"/>
      <c r="F2224" s="59" t="e">
        <f>VLOOKUP(E2224,[1]库存!$B$1:$C$65536,2,FALSE)</f>
        <v>#N/A</v>
      </c>
      <c r="G2224" s="59" t="e">
        <v>#N/A</v>
      </c>
      <c r="H2224" s="59" t="s">
        <v>3497</v>
      </c>
      <c r="I2224" s="59" t="s">
        <v>3498</v>
      </c>
      <c r="J2224" s="63"/>
      <c r="K2224" s="61"/>
      <c r="L2224" s="62">
        <v>2</v>
      </c>
      <c r="M2224" s="63">
        <v>1400</v>
      </c>
      <c r="N2224" s="64">
        <v>12</v>
      </c>
      <c r="O2224" s="62">
        <v>2</v>
      </c>
      <c r="P2224" s="65">
        <f t="shared" si="148"/>
        <v>0</v>
      </c>
      <c r="Q2224" s="66"/>
      <c r="R2224" s="66"/>
      <c r="S2224" s="66"/>
      <c r="T2224" s="66"/>
      <c r="U2224" s="66"/>
      <c r="V2224" s="66"/>
      <c r="W2224" s="66"/>
      <c r="X2224" s="66"/>
      <c r="Y2224" s="66"/>
      <c r="Z2224" s="66"/>
      <c r="AA2224" s="66"/>
      <c r="AB2224" s="66"/>
      <c r="AC2224" s="66"/>
      <c r="AD2224" s="66"/>
      <c r="AE2224" s="66"/>
      <c r="AF2224" s="66"/>
      <c r="AG2224" s="66"/>
      <c r="AH2224" s="66"/>
      <c r="AI2224" s="66"/>
      <c r="AJ2224" s="66"/>
      <c r="AK2224" s="66"/>
      <c r="AL2224" s="66"/>
      <c r="AM2224" s="66"/>
      <c r="AN2224" s="66"/>
      <c r="AO2224" s="66"/>
      <c r="AP2224" s="66"/>
      <c r="AQ2224" s="66"/>
      <c r="AR2224" s="66"/>
      <c r="AS2224" s="66"/>
      <c r="AT2224" s="66"/>
      <c r="AU2224" s="66"/>
      <c r="AV2224" s="66"/>
      <c r="AW2224" s="66"/>
      <c r="AX2224" s="66"/>
      <c r="AY2224" s="66"/>
      <c r="AZ2224" s="66"/>
      <c r="BA2224" s="66"/>
      <c r="BB2224" s="66"/>
      <c r="BC2224" s="66"/>
      <c r="BD2224" s="66"/>
      <c r="BE2224" s="67"/>
      <c r="BF2224" s="67"/>
      <c r="BG2224" s="68"/>
      <c r="BI2224" s="69">
        <v>0</v>
      </c>
      <c r="BJ2224" s="70">
        <v>0</v>
      </c>
      <c r="BK2224" s="71">
        <v>0</v>
      </c>
      <c r="BL2224" s="71">
        <v>0</v>
      </c>
      <c r="BM2224" s="71">
        <v>0</v>
      </c>
      <c r="BN2224" s="72">
        <v>0</v>
      </c>
      <c r="BO2224" s="151" t="e">
        <f t="shared" si="144"/>
        <v>#DIV/0!</v>
      </c>
      <c r="BP2224" s="151" t="e">
        <f t="shared" si="145"/>
        <v>#DIV/0!</v>
      </c>
      <c r="BQ2224" s="71">
        <v>0</v>
      </c>
      <c r="BR2224" s="71">
        <v>0</v>
      </c>
      <c r="BS2224" s="71">
        <v>0</v>
      </c>
      <c r="BT2224" s="72">
        <v>0</v>
      </c>
      <c r="BU2224" s="151" t="e">
        <f t="shared" si="146"/>
        <v>#DIV/0!</v>
      </c>
      <c r="BV2224" s="151" t="e">
        <f t="shared" si="147"/>
        <v>#DIV/0!</v>
      </c>
    </row>
    <row r="2225" ht="30" customHeight="1" spans="1:74">
      <c r="A2225" s="55">
        <v>0</v>
      </c>
      <c r="B2225" s="52">
        <v>0</v>
      </c>
      <c r="C2225" s="76">
        <v>0</v>
      </c>
      <c r="D2225" s="52"/>
      <c r="E2225" s="74"/>
      <c r="F2225" s="59" t="e">
        <f>VLOOKUP(E2225,[1]库存!$B$1:$C$65536,2,FALSE)</f>
        <v>#N/A</v>
      </c>
      <c r="G2225" s="59" t="e">
        <v>#N/A</v>
      </c>
      <c r="H2225" s="74"/>
      <c r="I2225" s="74"/>
      <c r="J2225" s="87"/>
      <c r="K2225" s="61"/>
      <c r="L2225" s="62">
        <v>0</v>
      </c>
      <c r="M2225" s="63">
        <v>0</v>
      </c>
      <c r="N2225" s="64">
        <v>0</v>
      </c>
      <c r="O2225" s="62">
        <v>0</v>
      </c>
      <c r="P2225" s="65">
        <f t="shared" si="148"/>
        <v>0</v>
      </c>
      <c r="Q2225" s="66"/>
      <c r="R2225" s="66"/>
      <c r="S2225" s="66"/>
      <c r="T2225" s="66"/>
      <c r="U2225" s="66"/>
      <c r="V2225" s="66"/>
      <c r="W2225" s="66"/>
      <c r="X2225" s="66"/>
      <c r="Y2225" s="66"/>
      <c r="Z2225" s="66"/>
      <c r="AA2225" s="66"/>
      <c r="AB2225" s="66"/>
      <c r="AC2225" s="66"/>
      <c r="AD2225" s="66"/>
      <c r="AE2225" s="66"/>
      <c r="AF2225" s="66"/>
      <c r="AG2225" s="66"/>
      <c r="AH2225" s="66"/>
      <c r="AI2225" s="66"/>
      <c r="AJ2225" s="66"/>
      <c r="AK2225" s="66"/>
      <c r="AL2225" s="66"/>
      <c r="AM2225" s="66"/>
      <c r="AN2225" s="66"/>
      <c r="AO2225" s="66"/>
      <c r="AP2225" s="66"/>
      <c r="AQ2225" s="66"/>
      <c r="AR2225" s="66"/>
      <c r="AS2225" s="66"/>
      <c r="AT2225" s="66"/>
      <c r="AU2225" s="66"/>
      <c r="AV2225" s="66"/>
      <c r="AW2225" s="66"/>
      <c r="AX2225" s="66"/>
      <c r="AY2225" s="66"/>
      <c r="AZ2225" s="66"/>
      <c r="BA2225" s="66"/>
      <c r="BB2225" s="66"/>
      <c r="BC2225" s="66"/>
      <c r="BD2225" s="66"/>
      <c r="BE2225" s="67"/>
      <c r="BF2225" s="67"/>
      <c r="BG2225" s="68"/>
      <c r="BI2225" s="69">
        <v>0</v>
      </c>
      <c r="BJ2225" s="70">
        <v>0</v>
      </c>
      <c r="BK2225" s="71">
        <v>0</v>
      </c>
      <c r="BL2225" s="71">
        <v>0</v>
      </c>
      <c r="BM2225" s="71">
        <v>0</v>
      </c>
      <c r="BN2225" s="72">
        <v>0</v>
      </c>
      <c r="BO2225" s="151" t="e">
        <f t="shared" si="144"/>
        <v>#DIV/0!</v>
      </c>
      <c r="BP2225" s="151" t="e">
        <f t="shared" si="145"/>
        <v>#DIV/0!</v>
      </c>
      <c r="BQ2225" s="71">
        <v>0</v>
      </c>
      <c r="BR2225" s="71">
        <v>0</v>
      </c>
      <c r="BS2225" s="71">
        <v>0</v>
      </c>
      <c r="BT2225" s="72">
        <v>0</v>
      </c>
      <c r="BU2225" s="151" t="e">
        <f t="shared" si="146"/>
        <v>#DIV/0!</v>
      </c>
      <c r="BV2225" s="151" t="e">
        <f t="shared" si="147"/>
        <v>#DIV/0!</v>
      </c>
    </row>
    <row r="2226" ht="30" customHeight="1" spans="1:74">
      <c r="A2226" s="55" t="s">
        <v>165</v>
      </c>
      <c r="B2226" s="56" t="s">
        <v>1237</v>
      </c>
      <c r="C2226" s="57" t="s">
        <v>3226</v>
      </c>
      <c r="D2226" s="76" t="s">
        <v>3477</v>
      </c>
      <c r="E2226" s="59" t="s">
        <v>3499</v>
      </c>
      <c r="F2226" s="59" t="str">
        <f>VLOOKUP(E2226,[1]库存!$B$1:$C$65536,2,FALSE)</f>
        <v>VW426/1 RSAB LH</v>
      </c>
      <c r="G2226" s="59" t="s">
        <v>3500</v>
      </c>
      <c r="H2226" s="59" t="s">
        <v>3501</v>
      </c>
      <c r="I2226" s="59" t="s">
        <v>1308</v>
      </c>
      <c r="J2226" s="63"/>
      <c r="K2226" s="61"/>
      <c r="L2226" s="62">
        <v>2</v>
      </c>
      <c r="M2226" s="63">
        <v>1400</v>
      </c>
      <c r="N2226" s="64">
        <v>12</v>
      </c>
      <c r="O2226" s="62">
        <v>2</v>
      </c>
      <c r="P2226" s="65">
        <f t="shared" si="148"/>
        <v>0</v>
      </c>
      <c r="Q2226" s="66"/>
      <c r="R2226" s="66"/>
      <c r="S2226" s="66"/>
      <c r="T2226" s="66"/>
      <c r="U2226" s="66"/>
      <c r="V2226" s="66"/>
      <c r="W2226" s="66"/>
      <c r="X2226" s="66"/>
      <c r="Y2226" s="66"/>
      <c r="Z2226" s="66"/>
      <c r="AA2226" s="66"/>
      <c r="AB2226" s="66"/>
      <c r="AC2226" s="66"/>
      <c r="AD2226" s="66"/>
      <c r="AE2226" s="66"/>
      <c r="AF2226" s="66"/>
      <c r="AG2226" s="66"/>
      <c r="AH2226" s="66"/>
      <c r="AI2226" s="66"/>
      <c r="AJ2226" s="66"/>
      <c r="AK2226" s="66"/>
      <c r="AL2226" s="66"/>
      <c r="AM2226" s="66"/>
      <c r="AN2226" s="66"/>
      <c r="AO2226" s="66"/>
      <c r="AP2226" s="66"/>
      <c r="AQ2226" s="66"/>
      <c r="AR2226" s="66"/>
      <c r="AS2226" s="66"/>
      <c r="AT2226" s="66"/>
      <c r="AU2226" s="66"/>
      <c r="AV2226" s="66"/>
      <c r="AW2226" s="66"/>
      <c r="AX2226" s="66"/>
      <c r="AY2226" s="66"/>
      <c r="AZ2226" s="66"/>
      <c r="BA2226" s="66"/>
      <c r="BB2226" s="66"/>
      <c r="BC2226" s="66"/>
      <c r="BD2226" s="66"/>
      <c r="BE2226" s="67"/>
      <c r="BF2226" s="67"/>
      <c r="BG2226" s="68"/>
      <c r="BI2226" s="69">
        <v>0</v>
      </c>
      <c r="BJ2226" s="70">
        <v>0</v>
      </c>
      <c r="BK2226" s="71">
        <v>0</v>
      </c>
      <c r="BL2226" s="71">
        <v>0</v>
      </c>
      <c r="BM2226" s="71">
        <v>0</v>
      </c>
      <c r="BN2226" s="72">
        <v>0</v>
      </c>
      <c r="BO2226" s="151" t="e">
        <f t="shared" si="144"/>
        <v>#DIV/0!</v>
      </c>
      <c r="BP2226" s="151" t="e">
        <f t="shared" si="145"/>
        <v>#DIV/0!</v>
      </c>
      <c r="BQ2226" s="71">
        <v>0</v>
      </c>
      <c r="BR2226" s="71">
        <v>0</v>
      </c>
      <c r="BS2226" s="71">
        <v>0</v>
      </c>
      <c r="BT2226" s="72">
        <v>0</v>
      </c>
      <c r="BU2226" s="151" t="e">
        <f t="shared" si="146"/>
        <v>#DIV/0!</v>
      </c>
      <c r="BV2226" s="151" t="e">
        <f t="shared" si="147"/>
        <v>#DIV/0!</v>
      </c>
    </row>
    <row r="2227" ht="30" customHeight="1" spans="1:74">
      <c r="A2227" s="55">
        <v>0</v>
      </c>
      <c r="B2227" s="56">
        <v>0</v>
      </c>
      <c r="C2227" s="57">
        <v>0</v>
      </c>
      <c r="D2227" s="78"/>
      <c r="E2227" s="74"/>
      <c r="F2227" s="59" t="e">
        <f>VLOOKUP(E2227,[1]库存!$B$1:$C$65536,2,FALSE)</f>
        <v>#N/A</v>
      </c>
      <c r="G2227" s="59" t="e">
        <v>#N/A</v>
      </c>
      <c r="H2227" s="74"/>
      <c r="I2227" s="74"/>
      <c r="J2227" s="87"/>
      <c r="K2227" s="61"/>
      <c r="L2227" s="62">
        <v>0</v>
      </c>
      <c r="M2227" s="63">
        <v>0</v>
      </c>
      <c r="N2227" s="64">
        <v>0</v>
      </c>
      <c r="O2227" s="62">
        <v>0</v>
      </c>
      <c r="P2227" s="65">
        <f t="shared" si="148"/>
        <v>0</v>
      </c>
      <c r="Q2227" s="66"/>
      <c r="R2227" s="66"/>
      <c r="S2227" s="66"/>
      <c r="T2227" s="66"/>
      <c r="U2227" s="66"/>
      <c r="V2227" s="66"/>
      <c r="W2227" s="66"/>
      <c r="X2227" s="66"/>
      <c r="Y2227" s="66"/>
      <c r="Z2227" s="66"/>
      <c r="AA2227" s="66"/>
      <c r="AB2227" s="66"/>
      <c r="AC2227" s="66"/>
      <c r="AD2227" s="66"/>
      <c r="AE2227" s="66"/>
      <c r="AF2227" s="66"/>
      <c r="AG2227" s="66"/>
      <c r="AH2227" s="66"/>
      <c r="AI2227" s="66"/>
      <c r="AJ2227" s="66"/>
      <c r="AK2227" s="66"/>
      <c r="AL2227" s="66"/>
      <c r="AM2227" s="66"/>
      <c r="AN2227" s="66"/>
      <c r="AO2227" s="66"/>
      <c r="AP2227" s="66"/>
      <c r="AQ2227" s="66"/>
      <c r="AR2227" s="66"/>
      <c r="AS2227" s="66"/>
      <c r="AT2227" s="66"/>
      <c r="AU2227" s="66"/>
      <c r="AV2227" s="66"/>
      <c r="AW2227" s="66"/>
      <c r="AX2227" s="66"/>
      <c r="AY2227" s="66"/>
      <c r="AZ2227" s="66"/>
      <c r="BA2227" s="66"/>
      <c r="BB2227" s="66"/>
      <c r="BC2227" s="66"/>
      <c r="BD2227" s="66"/>
      <c r="BE2227" s="67"/>
      <c r="BF2227" s="67"/>
      <c r="BG2227" s="68"/>
      <c r="BI2227" s="69">
        <v>0</v>
      </c>
      <c r="BJ2227" s="70">
        <v>0</v>
      </c>
      <c r="BK2227" s="71">
        <v>0</v>
      </c>
      <c r="BL2227" s="71">
        <v>0</v>
      </c>
      <c r="BM2227" s="71">
        <v>0</v>
      </c>
      <c r="BN2227" s="72">
        <v>0</v>
      </c>
      <c r="BO2227" s="151" t="e">
        <f t="shared" si="144"/>
        <v>#DIV/0!</v>
      </c>
      <c r="BP2227" s="151" t="e">
        <f t="shared" si="145"/>
        <v>#DIV/0!</v>
      </c>
      <c r="BQ2227" s="71">
        <v>0</v>
      </c>
      <c r="BR2227" s="71">
        <v>0</v>
      </c>
      <c r="BS2227" s="71">
        <v>0</v>
      </c>
      <c r="BT2227" s="72">
        <v>0</v>
      </c>
      <c r="BU2227" s="151" t="e">
        <f t="shared" si="146"/>
        <v>#DIV/0!</v>
      </c>
      <c r="BV2227" s="151" t="e">
        <f t="shared" si="147"/>
        <v>#DIV/0!</v>
      </c>
    </row>
    <row r="2228" ht="30" customHeight="1" spans="1:74">
      <c r="A2228" s="55" t="s">
        <v>165</v>
      </c>
      <c r="B2228" s="56" t="s">
        <v>1237</v>
      </c>
      <c r="C2228" s="57" t="s">
        <v>3226</v>
      </c>
      <c r="D2228" s="76" t="s">
        <v>3477</v>
      </c>
      <c r="E2228" s="59" t="s">
        <v>3502</v>
      </c>
      <c r="F2228" s="59" t="str">
        <f>VLOOKUP(E2228,[1]库存!$B$1:$C$65536,2,FALSE)</f>
        <v>VW426/1 RSAB RH</v>
      </c>
      <c r="G2228" s="59" t="s">
        <v>3503</v>
      </c>
      <c r="H2228" s="59" t="s">
        <v>3504</v>
      </c>
      <c r="I2228" s="59" t="s">
        <v>1308</v>
      </c>
      <c r="J2228" s="63"/>
      <c r="K2228" s="61"/>
      <c r="L2228" s="62">
        <v>2</v>
      </c>
      <c r="M2228" s="63">
        <v>1400</v>
      </c>
      <c r="N2228" s="64">
        <v>12</v>
      </c>
      <c r="O2228" s="62">
        <v>2</v>
      </c>
      <c r="P2228" s="65">
        <f t="shared" si="148"/>
        <v>0</v>
      </c>
      <c r="Q2228" s="66"/>
      <c r="R2228" s="66"/>
      <c r="S2228" s="66"/>
      <c r="T2228" s="66"/>
      <c r="U2228" s="66"/>
      <c r="V2228" s="66"/>
      <c r="W2228" s="66"/>
      <c r="X2228" s="66"/>
      <c r="Y2228" s="66"/>
      <c r="Z2228" s="66"/>
      <c r="AA2228" s="66"/>
      <c r="AB2228" s="66"/>
      <c r="AC2228" s="66"/>
      <c r="AD2228" s="66"/>
      <c r="AE2228" s="66"/>
      <c r="AF2228" s="66"/>
      <c r="AG2228" s="66"/>
      <c r="AH2228" s="66"/>
      <c r="AI2228" s="66"/>
      <c r="AJ2228" s="66"/>
      <c r="AK2228" s="66"/>
      <c r="AL2228" s="66"/>
      <c r="AM2228" s="66"/>
      <c r="AN2228" s="66"/>
      <c r="AO2228" s="66"/>
      <c r="AP2228" s="66"/>
      <c r="AQ2228" s="66"/>
      <c r="AR2228" s="66"/>
      <c r="AS2228" s="66"/>
      <c r="AT2228" s="66"/>
      <c r="AU2228" s="66"/>
      <c r="AV2228" s="66"/>
      <c r="AW2228" s="66"/>
      <c r="AX2228" s="66"/>
      <c r="AY2228" s="66"/>
      <c r="AZ2228" s="66"/>
      <c r="BA2228" s="66"/>
      <c r="BB2228" s="66"/>
      <c r="BC2228" s="66"/>
      <c r="BD2228" s="66"/>
      <c r="BE2228" s="67"/>
      <c r="BF2228" s="67"/>
      <c r="BG2228" s="68"/>
      <c r="BI2228" s="69">
        <v>0</v>
      </c>
      <c r="BJ2228" s="70">
        <v>0</v>
      </c>
      <c r="BK2228" s="71">
        <v>0</v>
      </c>
      <c r="BL2228" s="71">
        <v>0</v>
      </c>
      <c r="BM2228" s="71">
        <v>0</v>
      </c>
      <c r="BN2228" s="72">
        <v>0</v>
      </c>
      <c r="BO2228" s="151" t="e">
        <f t="shared" si="144"/>
        <v>#DIV/0!</v>
      </c>
      <c r="BP2228" s="151" t="e">
        <f t="shared" si="145"/>
        <v>#DIV/0!</v>
      </c>
      <c r="BQ2228" s="71">
        <v>0</v>
      </c>
      <c r="BR2228" s="71">
        <v>0</v>
      </c>
      <c r="BS2228" s="71">
        <v>0</v>
      </c>
      <c r="BT2228" s="72">
        <v>0</v>
      </c>
      <c r="BU2228" s="151" t="e">
        <f t="shared" si="146"/>
        <v>#DIV/0!</v>
      </c>
      <c r="BV2228" s="151" t="e">
        <f t="shared" si="147"/>
        <v>#DIV/0!</v>
      </c>
    </row>
    <row r="2229" ht="30" customHeight="1" spans="1:74">
      <c r="A2229" s="55">
        <v>0</v>
      </c>
      <c r="B2229" s="56">
        <v>0</v>
      </c>
      <c r="C2229" s="57">
        <v>0</v>
      </c>
      <c r="D2229" s="78"/>
      <c r="E2229" s="74"/>
      <c r="F2229" s="59" t="e">
        <f>VLOOKUP(E2229,[1]库存!$B$1:$C$65536,2,FALSE)</f>
        <v>#N/A</v>
      </c>
      <c r="G2229" s="59" t="e">
        <v>#N/A</v>
      </c>
      <c r="H2229" s="74"/>
      <c r="I2229" s="74"/>
      <c r="J2229" s="87"/>
      <c r="K2229" s="61"/>
      <c r="L2229" s="62">
        <v>0</v>
      </c>
      <c r="M2229" s="63"/>
      <c r="N2229" s="64">
        <v>0</v>
      </c>
      <c r="O2229" s="62">
        <v>0</v>
      </c>
      <c r="P2229" s="65">
        <f t="shared" si="148"/>
        <v>0</v>
      </c>
      <c r="Q2229" s="66"/>
      <c r="R2229" s="66"/>
      <c r="S2229" s="66"/>
      <c r="T2229" s="66"/>
      <c r="U2229" s="66"/>
      <c r="V2229" s="66"/>
      <c r="W2229" s="66"/>
      <c r="X2229" s="66"/>
      <c r="Y2229" s="66"/>
      <c r="Z2229" s="66"/>
      <c r="AA2229" s="66"/>
      <c r="AB2229" s="66"/>
      <c r="AC2229" s="66"/>
      <c r="AD2229" s="66"/>
      <c r="AE2229" s="66"/>
      <c r="AF2229" s="66"/>
      <c r="AG2229" s="66"/>
      <c r="AH2229" s="66"/>
      <c r="AI2229" s="66"/>
      <c r="AJ2229" s="66"/>
      <c r="AK2229" s="66"/>
      <c r="AL2229" s="66"/>
      <c r="AM2229" s="66"/>
      <c r="AN2229" s="66"/>
      <c r="AO2229" s="66"/>
      <c r="AP2229" s="66"/>
      <c r="AQ2229" s="66"/>
      <c r="AR2229" s="66"/>
      <c r="AS2229" s="66"/>
      <c r="AT2229" s="66"/>
      <c r="AU2229" s="66"/>
      <c r="AV2229" s="66"/>
      <c r="AW2229" s="66"/>
      <c r="AX2229" s="66"/>
      <c r="AY2229" s="66"/>
      <c r="AZ2229" s="66"/>
      <c r="BA2229" s="66"/>
      <c r="BB2229" s="66"/>
      <c r="BC2229" s="66"/>
      <c r="BD2229" s="66"/>
      <c r="BE2229" s="67"/>
      <c r="BF2229" s="67"/>
      <c r="BG2229" s="68"/>
      <c r="BI2229" s="69">
        <v>0</v>
      </c>
      <c r="BJ2229" s="70">
        <v>0</v>
      </c>
      <c r="BK2229" s="71">
        <v>0</v>
      </c>
      <c r="BL2229" s="71">
        <v>0</v>
      </c>
      <c r="BM2229" s="71">
        <v>0</v>
      </c>
      <c r="BN2229" s="72">
        <v>0</v>
      </c>
      <c r="BO2229" s="151" t="e">
        <f t="shared" si="144"/>
        <v>#DIV/0!</v>
      </c>
      <c r="BP2229" s="151" t="e">
        <f t="shared" si="145"/>
        <v>#DIV/0!</v>
      </c>
      <c r="BQ2229" s="71">
        <v>0</v>
      </c>
      <c r="BR2229" s="71">
        <v>0</v>
      </c>
      <c r="BS2229" s="71">
        <v>0</v>
      </c>
      <c r="BT2229" s="72">
        <v>0</v>
      </c>
      <c r="BU2229" s="151" t="e">
        <f t="shared" si="146"/>
        <v>#DIV/0!</v>
      </c>
      <c r="BV2229" s="151" t="e">
        <f t="shared" si="147"/>
        <v>#DIV/0!</v>
      </c>
    </row>
    <row r="2230" ht="30" customHeight="1" spans="1:74">
      <c r="A2230" s="55">
        <v>0</v>
      </c>
      <c r="B2230" s="56">
        <v>0</v>
      </c>
      <c r="C2230" s="57">
        <v>0</v>
      </c>
      <c r="E2230" s="88"/>
      <c r="F2230" s="59" t="e">
        <f>VLOOKUP(E2230,[1]库存!$B$1:$C$65536,2,FALSE)</f>
        <v>#N/A</v>
      </c>
      <c r="G2230" s="59" t="e">
        <v>#N/A</v>
      </c>
      <c r="H2230" s="89"/>
      <c r="I2230" s="88"/>
      <c r="J2230" s="90"/>
      <c r="K2230" s="61"/>
      <c r="L2230" s="62">
        <v>0</v>
      </c>
      <c r="M2230" s="63">
        <v>0</v>
      </c>
      <c r="N2230" s="64">
        <v>0</v>
      </c>
      <c r="O2230" s="62">
        <v>0</v>
      </c>
      <c r="P2230" s="65">
        <f t="shared" si="148"/>
        <v>0</v>
      </c>
      <c r="Q2230" s="66"/>
      <c r="R2230" s="66"/>
      <c r="S2230" s="66"/>
      <c r="T2230" s="66"/>
      <c r="U2230" s="66"/>
      <c r="V2230" s="66"/>
      <c r="W2230" s="66"/>
      <c r="X2230" s="66"/>
      <c r="Y2230" s="66"/>
      <c r="Z2230" s="66"/>
      <c r="AA2230" s="66"/>
      <c r="AB2230" s="66"/>
      <c r="AC2230" s="66"/>
      <c r="AD2230" s="66"/>
      <c r="AE2230" s="66"/>
      <c r="AF2230" s="66"/>
      <c r="AG2230" s="66"/>
      <c r="AH2230" s="66"/>
      <c r="AI2230" s="66"/>
      <c r="AJ2230" s="66"/>
      <c r="AK2230" s="66"/>
      <c r="AL2230" s="66"/>
      <c r="AM2230" s="66"/>
      <c r="AN2230" s="66"/>
      <c r="AO2230" s="66"/>
      <c r="AP2230" s="66"/>
      <c r="AQ2230" s="66"/>
      <c r="AR2230" s="66"/>
      <c r="AS2230" s="66"/>
      <c r="AT2230" s="66"/>
      <c r="AU2230" s="66"/>
      <c r="AV2230" s="66"/>
      <c r="AW2230" s="66"/>
      <c r="AX2230" s="66"/>
      <c r="AY2230" s="66"/>
      <c r="AZ2230" s="66"/>
      <c r="BA2230" s="66"/>
      <c r="BB2230" s="66"/>
      <c r="BC2230" s="66"/>
      <c r="BD2230" s="66"/>
      <c r="BE2230" s="67"/>
      <c r="BF2230" s="67"/>
      <c r="BG2230" s="68"/>
      <c r="BI2230" s="69">
        <v>0</v>
      </c>
      <c r="BJ2230" s="70">
        <v>0</v>
      </c>
      <c r="BK2230" s="71">
        <v>0</v>
      </c>
      <c r="BL2230" s="71">
        <v>0</v>
      </c>
      <c r="BM2230" s="71">
        <v>0</v>
      </c>
      <c r="BN2230" s="72">
        <v>0</v>
      </c>
      <c r="BO2230" s="151" t="e">
        <f t="shared" si="144"/>
        <v>#DIV/0!</v>
      </c>
      <c r="BP2230" s="151" t="e">
        <f t="shared" si="145"/>
        <v>#DIV/0!</v>
      </c>
      <c r="BQ2230" s="71">
        <v>0</v>
      </c>
      <c r="BR2230" s="71">
        <v>0</v>
      </c>
      <c r="BS2230" s="71">
        <v>0</v>
      </c>
      <c r="BT2230" s="72">
        <v>0</v>
      </c>
      <c r="BU2230" s="151" t="e">
        <f t="shared" si="146"/>
        <v>#DIV/0!</v>
      </c>
      <c r="BV2230" s="151" t="e">
        <f t="shared" si="147"/>
        <v>#DIV/0!</v>
      </c>
    </row>
    <row r="2231" ht="30" customHeight="1" spans="1:74">
      <c r="A2231" s="55" t="s">
        <v>540</v>
      </c>
      <c r="B2231" s="56" t="s">
        <v>1237</v>
      </c>
      <c r="C2231" s="57" t="s">
        <v>3226</v>
      </c>
      <c r="D2231" s="76" t="s">
        <v>3505</v>
      </c>
      <c r="E2231" s="59" t="s">
        <v>3506</v>
      </c>
      <c r="F2231" s="59" t="str">
        <f>VLOOKUP(E2231,[1]库存!$B$1:$C$65536,2,FALSE)</f>
        <v>BMW G68 FSAB LH B状态</v>
      </c>
      <c r="G2231" s="59" t="s">
        <v>3507</v>
      </c>
      <c r="H2231" s="59" t="s">
        <v>3508</v>
      </c>
      <c r="I2231" s="59" t="s">
        <v>2782</v>
      </c>
      <c r="J2231" s="63"/>
      <c r="K2231" s="61"/>
      <c r="L2231" s="62">
        <v>2</v>
      </c>
      <c r="M2231" s="63">
        <v>1200</v>
      </c>
      <c r="N2231" s="64">
        <v>9</v>
      </c>
      <c r="O2231" s="62">
        <v>2</v>
      </c>
      <c r="P2231" s="65">
        <f t="shared" si="148"/>
        <v>0</v>
      </c>
      <c r="Q2231" s="103"/>
      <c r="R2231" s="66"/>
      <c r="S2231" s="103"/>
      <c r="T2231" s="66"/>
      <c r="U2231" s="103">
        <v>1700</v>
      </c>
      <c r="V2231" s="66"/>
      <c r="W2231" s="103"/>
      <c r="X2231" s="66"/>
      <c r="Y2231" s="103"/>
      <c r="Z2231" s="66"/>
      <c r="AA2231" s="103"/>
      <c r="AB2231" s="66"/>
      <c r="AC2231" s="103"/>
      <c r="AD2231" s="66"/>
      <c r="AE2231" s="103"/>
      <c r="AF2231" s="66"/>
      <c r="AG2231" s="103"/>
      <c r="AH2231" s="66"/>
      <c r="AI2231" s="103"/>
      <c r="AJ2231" s="66"/>
      <c r="AK2231" s="103"/>
      <c r="AL2231" s="66"/>
      <c r="AM2231" s="103"/>
      <c r="AN2231" s="66"/>
      <c r="AO2231" s="103"/>
      <c r="AP2231" s="66"/>
      <c r="AQ2231" s="103"/>
      <c r="AR2231" s="66"/>
      <c r="AS2231" s="103"/>
      <c r="AT2231" s="66"/>
      <c r="AU2231" s="103"/>
      <c r="AV2231" s="66"/>
      <c r="AW2231" s="103"/>
      <c r="AX2231" s="66"/>
      <c r="AY2231" s="103"/>
      <c r="AZ2231" s="66"/>
      <c r="BA2231" s="103"/>
      <c r="BB2231" s="66"/>
      <c r="BC2231" s="103"/>
      <c r="BD2231" s="66"/>
      <c r="BE2231" s="105"/>
      <c r="BF2231" s="67"/>
      <c r="BG2231" s="68"/>
      <c r="BI2231" s="69">
        <v>0</v>
      </c>
      <c r="BJ2231" s="70">
        <v>0</v>
      </c>
      <c r="BK2231" s="71">
        <v>0</v>
      </c>
      <c r="BL2231" s="71">
        <v>0</v>
      </c>
      <c r="BM2231" s="71">
        <v>0</v>
      </c>
      <c r="BN2231" s="72">
        <v>0</v>
      </c>
      <c r="BO2231" s="151" t="e">
        <f t="shared" si="144"/>
        <v>#DIV/0!</v>
      </c>
      <c r="BP2231" s="151" t="e">
        <f t="shared" si="145"/>
        <v>#DIV/0!</v>
      </c>
      <c r="BQ2231" s="71">
        <v>0</v>
      </c>
      <c r="BR2231" s="71">
        <v>0</v>
      </c>
      <c r="BS2231" s="71">
        <v>0</v>
      </c>
      <c r="BT2231" s="72">
        <v>0</v>
      </c>
      <c r="BU2231" s="151" t="e">
        <f t="shared" si="146"/>
        <v>#DIV/0!</v>
      </c>
      <c r="BV2231" s="151" t="e">
        <f t="shared" si="147"/>
        <v>#DIV/0!</v>
      </c>
    </row>
    <row r="2232" ht="30" customHeight="1" spans="1:74">
      <c r="A2232" s="55">
        <v>0</v>
      </c>
      <c r="B2232" s="56">
        <v>0</v>
      </c>
      <c r="C2232" s="57">
        <v>0</v>
      </c>
      <c r="D2232" s="78"/>
      <c r="E2232" s="74"/>
      <c r="F2232" s="59" t="e">
        <f>VLOOKUP(E2232,[1]库存!$B$1:$C$65536,2,FALSE)</f>
        <v>#N/A</v>
      </c>
      <c r="G2232" s="59" t="e">
        <v>#N/A</v>
      </c>
      <c r="H2232" s="74"/>
      <c r="I2232" s="74"/>
      <c r="J2232" s="87"/>
      <c r="K2232" s="61"/>
      <c r="L2232" s="62">
        <v>0</v>
      </c>
      <c r="M2232" s="63">
        <v>0</v>
      </c>
      <c r="N2232" s="64">
        <v>0</v>
      </c>
      <c r="O2232" s="62">
        <v>0</v>
      </c>
      <c r="P2232" s="65">
        <f t="shared" si="148"/>
        <v>0</v>
      </c>
      <c r="Q2232" s="66"/>
      <c r="R2232" s="66"/>
      <c r="S2232" s="66"/>
      <c r="T2232" s="66"/>
      <c r="U2232" s="66">
        <v>1705</v>
      </c>
      <c r="V2232" s="66"/>
      <c r="W2232" s="66"/>
      <c r="X2232" s="66"/>
      <c r="Y2232" s="66"/>
      <c r="Z2232" s="66"/>
      <c r="AA2232" s="66"/>
      <c r="AB2232" s="66"/>
      <c r="AC2232" s="66"/>
      <c r="AD2232" s="66"/>
      <c r="AE2232" s="66"/>
      <c r="AF2232" s="66"/>
      <c r="AG2232" s="66"/>
      <c r="AH2232" s="66"/>
      <c r="AI2232" s="66"/>
      <c r="AJ2232" s="66"/>
      <c r="AK2232" s="66"/>
      <c r="AL2232" s="66"/>
      <c r="AM2232" s="66"/>
      <c r="AN2232" s="66"/>
      <c r="AO2232" s="66"/>
      <c r="AP2232" s="66"/>
      <c r="AQ2232" s="66"/>
      <c r="AR2232" s="66"/>
      <c r="AS2232" s="66"/>
      <c r="AT2232" s="66"/>
      <c r="AU2232" s="66"/>
      <c r="AV2232" s="66"/>
      <c r="AW2232" s="66"/>
      <c r="AX2232" s="66"/>
      <c r="AY2232" s="66"/>
      <c r="AZ2232" s="66"/>
      <c r="BA2232" s="66"/>
      <c r="BB2232" s="66"/>
      <c r="BC2232" s="66"/>
      <c r="BD2232" s="66"/>
      <c r="BE2232" s="67"/>
      <c r="BF2232" s="67"/>
      <c r="BG2232" s="68"/>
      <c r="BI2232" s="69">
        <v>0</v>
      </c>
      <c r="BJ2232" s="70">
        <v>0</v>
      </c>
      <c r="BK2232" s="71">
        <v>0</v>
      </c>
      <c r="BL2232" s="71">
        <v>0</v>
      </c>
      <c r="BM2232" s="71">
        <v>0</v>
      </c>
      <c r="BN2232" s="72">
        <v>0</v>
      </c>
      <c r="BO2232" s="151" t="e">
        <f t="shared" si="144"/>
        <v>#DIV/0!</v>
      </c>
      <c r="BP2232" s="151" t="e">
        <f t="shared" si="145"/>
        <v>#DIV/0!</v>
      </c>
      <c r="BQ2232" s="71">
        <v>0</v>
      </c>
      <c r="BR2232" s="71">
        <v>0</v>
      </c>
      <c r="BS2232" s="71">
        <v>0</v>
      </c>
      <c r="BT2232" s="72">
        <v>0</v>
      </c>
      <c r="BU2232" s="151" t="e">
        <f t="shared" si="146"/>
        <v>#DIV/0!</v>
      </c>
      <c r="BV2232" s="151" t="e">
        <f t="shared" si="147"/>
        <v>#DIV/0!</v>
      </c>
    </row>
    <row r="2233" ht="30" customHeight="1" spans="1:74">
      <c r="A2233" s="55" t="s">
        <v>540</v>
      </c>
      <c r="B2233" s="56" t="s">
        <v>1237</v>
      </c>
      <c r="C2233" s="57" t="s">
        <v>3226</v>
      </c>
      <c r="D2233" s="76" t="s">
        <v>3505</v>
      </c>
      <c r="E2233" s="59" t="s">
        <v>3509</v>
      </c>
      <c r="F2233" s="59" t="str">
        <f>VLOOKUP(E2233,[1]库存!$B$1:$C$65536,2,FALSE)</f>
        <v>BMW G68 FSAB RH B状态</v>
      </c>
      <c r="G2233" s="59" t="s">
        <v>3510</v>
      </c>
      <c r="H2233" s="59" t="s">
        <v>3511</v>
      </c>
      <c r="I2233" s="59" t="s">
        <v>2782</v>
      </c>
      <c r="J2233" s="63"/>
      <c r="K2233" s="61"/>
      <c r="L2233" s="62">
        <v>2</v>
      </c>
      <c r="M2233" s="63">
        <v>1200</v>
      </c>
      <c r="N2233" s="64">
        <v>9</v>
      </c>
      <c r="O2233" s="62">
        <v>2</v>
      </c>
      <c r="P2233" s="65">
        <f t="shared" si="148"/>
        <v>0</v>
      </c>
      <c r="Q2233" s="103"/>
      <c r="R2233" s="66"/>
      <c r="S2233" s="103"/>
      <c r="T2233" s="66"/>
      <c r="U2233" s="103"/>
      <c r="V2233" s="66"/>
      <c r="W2233" s="103"/>
      <c r="X2233" s="66"/>
      <c r="Y2233" s="103"/>
      <c r="Z2233" s="66"/>
      <c r="AA2233" s="103">
        <v>1750</v>
      </c>
      <c r="AB2233" s="66"/>
      <c r="AC2233" s="103">
        <v>1750</v>
      </c>
      <c r="AD2233" s="66"/>
      <c r="AE2233" s="103"/>
      <c r="AF2233" s="66"/>
      <c r="AG2233" s="103"/>
      <c r="AH2233" s="66"/>
      <c r="AI2233" s="103"/>
      <c r="AJ2233" s="66"/>
      <c r="AK2233" s="103"/>
      <c r="AL2233" s="66"/>
      <c r="AM2233" s="103"/>
      <c r="AN2233" s="66"/>
      <c r="AO2233" s="103"/>
      <c r="AP2233" s="66"/>
      <c r="AQ2233" s="103"/>
      <c r="AR2233" s="66"/>
      <c r="AS2233" s="103"/>
      <c r="AT2233" s="66"/>
      <c r="AU2233" s="103"/>
      <c r="AV2233" s="66"/>
      <c r="AW2233" s="103"/>
      <c r="AX2233" s="66"/>
      <c r="AY2233" s="103"/>
      <c r="AZ2233" s="66"/>
      <c r="BA2233" s="103"/>
      <c r="BB2233" s="66"/>
      <c r="BC2233" s="103"/>
      <c r="BD2233" s="66"/>
      <c r="BE2233" s="105"/>
      <c r="BF2233" s="67"/>
      <c r="BG2233" s="68"/>
      <c r="BI2233" s="69">
        <v>0</v>
      </c>
      <c r="BJ2233" s="70">
        <v>0</v>
      </c>
      <c r="BK2233" s="71">
        <v>0</v>
      </c>
      <c r="BL2233" s="71">
        <v>0</v>
      </c>
      <c r="BM2233" s="71">
        <v>0</v>
      </c>
      <c r="BN2233" s="72">
        <v>0</v>
      </c>
      <c r="BO2233" s="151" t="e">
        <f t="shared" si="144"/>
        <v>#DIV/0!</v>
      </c>
      <c r="BP2233" s="151" t="e">
        <f t="shared" si="145"/>
        <v>#DIV/0!</v>
      </c>
      <c r="BQ2233" s="71">
        <v>0</v>
      </c>
      <c r="BR2233" s="71">
        <v>0</v>
      </c>
      <c r="BS2233" s="71">
        <v>0</v>
      </c>
      <c r="BT2233" s="72">
        <v>0</v>
      </c>
      <c r="BU2233" s="151" t="e">
        <f t="shared" si="146"/>
        <v>#DIV/0!</v>
      </c>
      <c r="BV2233" s="151" t="e">
        <f t="shared" si="147"/>
        <v>#DIV/0!</v>
      </c>
    </row>
    <row r="2234" ht="30" customHeight="1" spans="1:74">
      <c r="A2234" s="55">
        <v>0</v>
      </c>
      <c r="B2234" s="56">
        <v>0</v>
      </c>
      <c r="C2234" s="57">
        <v>0</v>
      </c>
      <c r="D2234" s="78"/>
      <c r="E2234" s="74"/>
      <c r="F2234" s="59" t="e">
        <f>VLOOKUP(E2234,[1]库存!$B$1:$C$65536,2,FALSE)</f>
        <v>#N/A</v>
      </c>
      <c r="G2234" s="59" t="e">
        <v>#N/A</v>
      </c>
      <c r="H2234" s="74"/>
      <c r="I2234" s="74"/>
      <c r="J2234" s="87"/>
      <c r="K2234" s="61"/>
      <c r="L2234" s="62">
        <v>0</v>
      </c>
      <c r="M2234" s="63">
        <v>0</v>
      </c>
      <c r="N2234" s="64">
        <v>0</v>
      </c>
      <c r="O2234" s="62">
        <v>0</v>
      </c>
      <c r="P2234" s="65">
        <f t="shared" si="148"/>
        <v>0</v>
      </c>
      <c r="Q2234" s="66"/>
      <c r="R2234" s="66"/>
      <c r="S2234" s="66"/>
      <c r="T2234" s="66"/>
      <c r="U2234" s="66"/>
      <c r="V2234" s="66"/>
      <c r="W2234" s="66"/>
      <c r="X2234" s="66"/>
      <c r="Y2234" s="66"/>
      <c r="Z2234" s="66"/>
      <c r="AA2234" s="66">
        <v>1642</v>
      </c>
      <c r="AB2234" s="66"/>
      <c r="AC2234" s="66">
        <v>1850</v>
      </c>
      <c r="AD2234" s="66"/>
      <c r="AE2234" s="66"/>
      <c r="AF2234" s="66"/>
      <c r="AG2234" s="66"/>
      <c r="AH2234" s="66"/>
      <c r="AI2234" s="66"/>
      <c r="AJ2234" s="66"/>
      <c r="AK2234" s="66"/>
      <c r="AL2234" s="66"/>
      <c r="AM2234" s="66"/>
      <c r="AN2234" s="66"/>
      <c r="AO2234" s="66"/>
      <c r="AP2234" s="66"/>
      <c r="AQ2234" s="66"/>
      <c r="AR2234" s="66"/>
      <c r="AS2234" s="66"/>
      <c r="AT2234" s="66"/>
      <c r="AU2234" s="66"/>
      <c r="AV2234" s="66"/>
      <c r="AW2234" s="66"/>
      <c r="AX2234" s="66"/>
      <c r="AY2234" s="66"/>
      <c r="AZ2234" s="66"/>
      <c r="BA2234" s="66"/>
      <c r="BB2234" s="66"/>
      <c r="BC2234" s="66"/>
      <c r="BD2234" s="66"/>
      <c r="BE2234" s="67"/>
      <c r="BF2234" s="67"/>
      <c r="BG2234" s="68"/>
      <c r="BI2234" s="69">
        <v>0</v>
      </c>
      <c r="BJ2234" s="70">
        <v>0</v>
      </c>
      <c r="BK2234" s="71">
        <v>0</v>
      </c>
      <c r="BL2234" s="71">
        <v>0</v>
      </c>
      <c r="BM2234" s="71">
        <v>0</v>
      </c>
      <c r="BN2234" s="72">
        <v>0</v>
      </c>
      <c r="BO2234" s="151" t="e">
        <f t="shared" si="144"/>
        <v>#DIV/0!</v>
      </c>
      <c r="BP2234" s="151" t="e">
        <f t="shared" si="145"/>
        <v>#DIV/0!</v>
      </c>
      <c r="BQ2234" s="71">
        <v>0</v>
      </c>
      <c r="BR2234" s="71">
        <v>0</v>
      </c>
      <c r="BS2234" s="71">
        <v>0</v>
      </c>
      <c r="BT2234" s="72">
        <v>0</v>
      </c>
      <c r="BU2234" s="151" t="e">
        <f t="shared" si="146"/>
        <v>#DIV/0!</v>
      </c>
      <c r="BV2234" s="151" t="e">
        <f t="shared" si="147"/>
        <v>#DIV/0!</v>
      </c>
    </row>
    <row r="2235" ht="30" customHeight="1" spans="1:74">
      <c r="A2235" s="55">
        <v>0</v>
      </c>
      <c r="B2235" s="56">
        <v>0</v>
      </c>
      <c r="C2235" s="57">
        <v>0</v>
      </c>
      <c r="E2235" s="88"/>
      <c r="F2235" s="59" t="e">
        <f>VLOOKUP(E2235,[1]库存!$B$1:$C$65536,2,FALSE)</f>
        <v>#N/A</v>
      </c>
      <c r="G2235" s="59" t="e">
        <v>#N/A</v>
      </c>
      <c r="H2235" s="89"/>
      <c r="I2235" s="88"/>
      <c r="J2235" s="90"/>
      <c r="K2235" s="61"/>
      <c r="L2235" s="62">
        <v>0</v>
      </c>
      <c r="M2235" s="63">
        <v>0</v>
      </c>
      <c r="N2235" s="64">
        <v>0</v>
      </c>
      <c r="O2235" s="62">
        <v>0</v>
      </c>
      <c r="P2235" s="65">
        <f t="shared" si="148"/>
        <v>0</v>
      </c>
      <c r="Q2235" s="66"/>
      <c r="R2235" s="66"/>
      <c r="S2235" s="66"/>
      <c r="T2235" s="66"/>
      <c r="U2235" s="66"/>
      <c r="V2235" s="66"/>
      <c r="W2235" s="66"/>
      <c r="X2235" s="66"/>
      <c r="Y2235" s="66"/>
      <c r="Z2235" s="66"/>
      <c r="AA2235" s="66"/>
      <c r="AB2235" s="66"/>
      <c r="AC2235" s="66"/>
      <c r="AD2235" s="66"/>
      <c r="AE2235" s="66"/>
      <c r="AF2235" s="66"/>
      <c r="AG2235" s="66"/>
      <c r="AH2235" s="66"/>
      <c r="AI2235" s="66"/>
      <c r="AJ2235" s="66"/>
      <c r="AK2235" s="66"/>
      <c r="AL2235" s="66"/>
      <c r="AM2235" s="66"/>
      <c r="AN2235" s="66"/>
      <c r="AO2235" s="66"/>
      <c r="AP2235" s="66"/>
      <c r="AQ2235" s="66"/>
      <c r="AR2235" s="66"/>
      <c r="AS2235" s="66"/>
      <c r="AT2235" s="66"/>
      <c r="AU2235" s="66"/>
      <c r="AV2235" s="66"/>
      <c r="AW2235" s="66"/>
      <c r="AX2235" s="66"/>
      <c r="AY2235" s="66"/>
      <c r="AZ2235" s="66"/>
      <c r="BA2235" s="66"/>
      <c r="BB2235" s="66"/>
      <c r="BC2235" s="66"/>
      <c r="BD2235" s="66"/>
      <c r="BE2235" s="67"/>
      <c r="BF2235" s="67"/>
      <c r="BG2235" s="68"/>
      <c r="BI2235" s="69">
        <v>0</v>
      </c>
      <c r="BJ2235" s="70">
        <v>0</v>
      </c>
      <c r="BK2235" s="71">
        <v>0</v>
      </c>
      <c r="BL2235" s="71">
        <v>0</v>
      </c>
      <c r="BM2235" s="71">
        <v>0</v>
      </c>
      <c r="BN2235" s="72">
        <v>0</v>
      </c>
      <c r="BO2235" s="151" t="e">
        <f t="shared" si="144"/>
        <v>#DIV/0!</v>
      </c>
      <c r="BP2235" s="151" t="e">
        <f t="shared" si="145"/>
        <v>#DIV/0!</v>
      </c>
      <c r="BQ2235" s="71">
        <v>0</v>
      </c>
      <c r="BR2235" s="71">
        <v>0</v>
      </c>
      <c r="BS2235" s="71">
        <v>0</v>
      </c>
      <c r="BT2235" s="72">
        <v>0</v>
      </c>
      <c r="BU2235" s="151" t="e">
        <f t="shared" si="146"/>
        <v>#DIV/0!</v>
      </c>
      <c r="BV2235" s="151" t="e">
        <f t="shared" si="147"/>
        <v>#DIV/0!</v>
      </c>
    </row>
    <row r="2236" ht="30" customHeight="1" spans="1:74">
      <c r="A2236" s="55" t="s">
        <v>96</v>
      </c>
      <c r="B2236" s="56" t="s">
        <v>1237</v>
      </c>
      <c r="C2236" s="57" t="s">
        <v>3226</v>
      </c>
      <c r="D2236" s="59" t="s">
        <v>3512</v>
      </c>
      <c r="E2236" s="59" t="s">
        <v>3513</v>
      </c>
      <c r="F2236" s="59" t="str">
        <f>VLOOKUP(E2236,[1]库存!$B$1:$C$65536,2,FALSE)</f>
        <v>SMCV MIFA PAB</v>
      </c>
      <c r="G2236" s="59" t="s">
        <v>3514</v>
      </c>
      <c r="H2236" s="59" t="s">
        <v>3515</v>
      </c>
      <c r="I2236" s="59" t="s">
        <v>3516</v>
      </c>
      <c r="J2236" s="82" t="s">
        <v>1774</v>
      </c>
      <c r="K2236" s="61"/>
      <c r="L2236" s="62">
        <v>2</v>
      </c>
      <c r="M2236" s="63">
        <v>500</v>
      </c>
      <c r="N2236" s="64">
        <v>17</v>
      </c>
      <c r="O2236" s="62">
        <v>2</v>
      </c>
      <c r="P2236" s="65">
        <f t="shared" si="148"/>
        <v>0</v>
      </c>
      <c r="Q2236" s="66"/>
      <c r="R2236" s="66"/>
      <c r="S2236" s="66"/>
      <c r="T2236" s="66"/>
      <c r="U2236" s="66"/>
      <c r="V2236" s="66"/>
      <c r="W2236" s="66"/>
      <c r="X2236" s="66"/>
      <c r="Y2236" s="66"/>
      <c r="Z2236" s="66"/>
      <c r="AA2236" s="66"/>
      <c r="AB2236" s="66"/>
      <c r="AC2236" s="66"/>
      <c r="AD2236" s="66"/>
      <c r="AE2236" s="66"/>
      <c r="AF2236" s="66"/>
      <c r="AG2236" s="66"/>
      <c r="AH2236" s="66"/>
      <c r="AI2236" s="66"/>
      <c r="AJ2236" s="66"/>
      <c r="AK2236" s="66"/>
      <c r="AL2236" s="66"/>
      <c r="AM2236" s="66"/>
      <c r="AN2236" s="66"/>
      <c r="AO2236" s="66"/>
      <c r="AP2236" s="66"/>
      <c r="AQ2236" s="66"/>
      <c r="AR2236" s="66"/>
      <c r="AS2236" s="66"/>
      <c r="AT2236" s="66"/>
      <c r="AU2236" s="66"/>
      <c r="AV2236" s="66"/>
      <c r="AW2236" s="66"/>
      <c r="AX2236" s="66"/>
      <c r="AY2236" s="66"/>
      <c r="AZ2236" s="66"/>
      <c r="BA2236" s="66"/>
      <c r="BB2236" s="66"/>
      <c r="BC2236" s="66"/>
      <c r="BD2236" s="66"/>
      <c r="BE2236" s="67"/>
      <c r="BF2236" s="67"/>
      <c r="BG2236" s="68"/>
      <c r="BI2236" s="69">
        <v>0</v>
      </c>
      <c r="BJ2236" s="70">
        <v>0</v>
      </c>
      <c r="BK2236" s="71">
        <v>0</v>
      </c>
      <c r="BL2236" s="71">
        <v>0</v>
      </c>
      <c r="BM2236" s="71">
        <v>0</v>
      </c>
      <c r="BN2236" s="72">
        <v>0</v>
      </c>
      <c r="BO2236" s="151" t="e">
        <f t="shared" si="144"/>
        <v>#DIV/0!</v>
      </c>
      <c r="BP2236" s="151" t="e">
        <f t="shared" si="145"/>
        <v>#DIV/0!</v>
      </c>
      <c r="BQ2236" s="71">
        <v>0</v>
      </c>
      <c r="BR2236" s="71">
        <v>0</v>
      </c>
      <c r="BS2236" s="71">
        <v>0</v>
      </c>
      <c r="BT2236" s="72">
        <v>0</v>
      </c>
      <c r="BU2236" s="151" t="e">
        <f t="shared" si="146"/>
        <v>#DIV/0!</v>
      </c>
      <c r="BV2236" s="151" t="e">
        <f t="shared" si="147"/>
        <v>#DIV/0!</v>
      </c>
    </row>
    <row r="2237" ht="30" customHeight="1" spans="1:74">
      <c r="A2237" s="55">
        <v>0</v>
      </c>
      <c r="B2237" s="56">
        <v>0</v>
      </c>
      <c r="C2237" s="57">
        <v>0</v>
      </c>
      <c r="D2237" s="74"/>
      <c r="E2237" s="74"/>
      <c r="F2237" s="59" t="e">
        <f>VLOOKUP(E2237,[1]库存!$B$1:$C$65536,2,FALSE)</f>
        <v>#N/A</v>
      </c>
      <c r="G2237" s="59" t="e">
        <v>#N/A</v>
      </c>
      <c r="H2237" s="74"/>
      <c r="I2237" s="74"/>
      <c r="J2237" s="83"/>
      <c r="K2237" s="61"/>
      <c r="L2237" s="62">
        <v>0</v>
      </c>
      <c r="M2237" s="63">
        <v>0</v>
      </c>
      <c r="N2237" s="64">
        <v>0</v>
      </c>
      <c r="O2237" s="62">
        <v>0</v>
      </c>
      <c r="P2237" s="65">
        <f t="shared" si="148"/>
        <v>0</v>
      </c>
      <c r="Q2237" s="66"/>
      <c r="R2237" s="66"/>
      <c r="S2237" s="66"/>
      <c r="T2237" s="66"/>
      <c r="U2237" s="66"/>
      <c r="V2237" s="66"/>
      <c r="W2237" s="66"/>
      <c r="X2237" s="66"/>
      <c r="Y2237" s="66"/>
      <c r="Z2237" s="66"/>
      <c r="AA2237" s="66"/>
      <c r="AB2237" s="66"/>
      <c r="AC2237" s="66"/>
      <c r="AD2237" s="66"/>
      <c r="AE2237" s="66"/>
      <c r="AF2237" s="66"/>
      <c r="AG2237" s="66"/>
      <c r="AH2237" s="66"/>
      <c r="AI2237" s="66"/>
      <c r="AJ2237" s="66"/>
      <c r="AK2237" s="66"/>
      <c r="AL2237" s="66"/>
      <c r="AM2237" s="66"/>
      <c r="AN2237" s="66"/>
      <c r="AO2237" s="66"/>
      <c r="AP2237" s="66"/>
      <c r="AQ2237" s="66"/>
      <c r="AR2237" s="66"/>
      <c r="AS2237" s="66"/>
      <c r="AT2237" s="66"/>
      <c r="AU2237" s="66"/>
      <c r="AV2237" s="66"/>
      <c r="AW2237" s="66"/>
      <c r="AX2237" s="66"/>
      <c r="AY2237" s="66"/>
      <c r="AZ2237" s="66"/>
      <c r="BA2237" s="66"/>
      <c r="BB2237" s="66"/>
      <c r="BC2237" s="66"/>
      <c r="BD2237" s="66"/>
      <c r="BE2237" s="67"/>
      <c r="BF2237" s="67"/>
      <c r="BG2237" s="68"/>
      <c r="BI2237" s="69">
        <v>0</v>
      </c>
      <c r="BJ2237" s="70">
        <v>0</v>
      </c>
      <c r="BK2237" s="71">
        <v>0</v>
      </c>
      <c r="BL2237" s="71">
        <v>0</v>
      </c>
      <c r="BM2237" s="71">
        <v>0</v>
      </c>
      <c r="BN2237" s="72">
        <v>0</v>
      </c>
      <c r="BO2237" s="151" t="e">
        <f t="shared" si="144"/>
        <v>#DIV/0!</v>
      </c>
      <c r="BP2237" s="151" t="e">
        <f t="shared" si="145"/>
        <v>#DIV/0!</v>
      </c>
      <c r="BQ2237" s="71">
        <v>0</v>
      </c>
      <c r="BR2237" s="71">
        <v>0</v>
      </c>
      <c r="BS2237" s="71">
        <v>0</v>
      </c>
      <c r="BT2237" s="72">
        <v>0</v>
      </c>
      <c r="BU2237" s="151" t="e">
        <f t="shared" si="146"/>
        <v>#DIV/0!</v>
      </c>
      <c r="BV2237" s="151" t="e">
        <f t="shared" si="147"/>
        <v>#DIV/0!</v>
      </c>
    </row>
    <row r="2238" ht="30" customHeight="1" spans="1:74">
      <c r="A2238" s="55" t="s">
        <v>96</v>
      </c>
      <c r="B2238" s="56" t="s">
        <v>1237</v>
      </c>
      <c r="C2238" s="57" t="s">
        <v>3226</v>
      </c>
      <c r="D2238" s="59" t="s">
        <v>3512</v>
      </c>
      <c r="E2238" s="59" t="s">
        <v>3517</v>
      </c>
      <c r="F2238" s="59" t="str">
        <f>VLOOKUP(E2238,[1]库存!$B$1:$C$65536,2,FALSE)</f>
        <v>SGM 557 PAB</v>
      </c>
      <c r="G2238" s="59" t="s">
        <v>3518</v>
      </c>
      <c r="H2238" s="59" t="s">
        <v>3519</v>
      </c>
      <c r="I2238" s="59" t="s">
        <v>3520</v>
      </c>
      <c r="J2238" s="63"/>
      <c r="K2238" s="61"/>
      <c r="L2238" s="62">
        <v>0</v>
      </c>
      <c r="M2238" s="63">
        <v>850</v>
      </c>
      <c r="N2238" s="64">
        <v>19</v>
      </c>
      <c r="O2238" s="62">
        <v>0</v>
      </c>
      <c r="P2238" s="65">
        <f t="shared" si="148"/>
        <v>0</v>
      </c>
      <c r="Q2238" s="66"/>
      <c r="R2238" s="66"/>
      <c r="S2238" s="66"/>
      <c r="T2238" s="66"/>
      <c r="U2238" s="66"/>
      <c r="V2238" s="66"/>
      <c r="W2238" s="66"/>
      <c r="X2238" s="66"/>
      <c r="Y2238" s="66"/>
      <c r="Z2238" s="66"/>
      <c r="AA2238" s="66"/>
      <c r="AB2238" s="66"/>
      <c r="AC2238" s="66"/>
      <c r="AD2238" s="66"/>
      <c r="AE2238" s="66"/>
      <c r="AF2238" s="66"/>
      <c r="AG2238" s="66"/>
      <c r="AH2238" s="66"/>
      <c r="AI2238" s="66"/>
      <c r="AJ2238" s="66"/>
      <c r="AK2238" s="66"/>
      <c r="AL2238" s="66"/>
      <c r="AM2238" s="66"/>
      <c r="AN2238" s="66"/>
      <c r="AO2238" s="66"/>
      <c r="AP2238" s="66"/>
      <c r="AQ2238" s="66"/>
      <c r="AR2238" s="66"/>
      <c r="AS2238" s="66"/>
      <c r="AT2238" s="66"/>
      <c r="AU2238" s="66"/>
      <c r="AV2238" s="66"/>
      <c r="AW2238" s="66"/>
      <c r="AX2238" s="66"/>
      <c r="AY2238" s="66"/>
      <c r="AZ2238" s="66"/>
      <c r="BA2238" s="66"/>
      <c r="BB2238" s="66"/>
      <c r="BC2238" s="66"/>
      <c r="BD2238" s="66"/>
      <c r="BE2238" s="67"/>
      <c r="BF2238" s="67"/>
      <c r="BG2238" s="68"/>
      <c r="BI2238" s="69">
        <v>0</v>
      </c>
      <c r="BJ2238" s="70">
        <v>0</v>
      </c>
      <c r="BK2238" s="71">
        <v>0</v>
      </c>
      <c r="BL2238" s="71">
        <v>0</v>
      </c>
      <c r="BM2238" s="71">
        <v>0</v>
      </c>
      <c r="BN2238" s="72">
        <v>0</v>
      </c>
      <c r="BO2238" s="151" t="e">
        <f t="shared" si="144"/>
        <v>#DIV/0!</v>
      </c>
      <c r="BP2238" s="151" t="e">
        <f t="shared" si="145"/>
        <v>#DIV/0!</v>
      </c>
      <c r="BQ2238" s="71">
        <v>0</v>
      </c>
      <c r="BR2238" s="71">
        <v>0</v>
      </c>
      <c r="BS2238" s="71">
        <v>0</v>
      </c>
      <c r="BT2238" s="72">
        <v>0</v>
      </c>
      <c r="BU2238" s="151" t="e">
        <f t="shared" si="146"/>
        <v>#DIV/0!</v>
      </c>
      <c r="BV2238" s="151" t="e">
        <f t="shared" si="147"/>
        <v>#DIV/0!</v>
      </c>
    </row>
    <row r="2239" ht="30" customHeight="1" spans="1:74">
      <c r="A2239" s="55">
        <v>0</v>
      </c>
      <c r="B2239" s="56">
        <v>0</v>
      </c>
      <c r="C2239" s="57">
        <v>0</v>
      </c>
      <c r="D2239" s="74"/>
      <c r="E2239" s="74"/>
      <c r="F2239" s="59" t="e">
        <f>VLOOKUP(E2239,[1]库存!$B$1:$C$65536,2,FALSE)</f>
        <v>#N/A</v>
      </c>
      <c r="G2239" s="59" t="e">
        <v>#N/A</v>
      </c>
      <c r="H2239" s="74"/>
      <c r="I2239" s="74"/>
      <c r="J2239" s="87"/>
      <c r="K2239" s="61"/>
      <c r="L2239" s="62">
        <v>0</v>
      </c>
      <c r="M2239" s="63">
        <v>0</v>
      </c>
      <c r="N2239" s="64">
        <v>0</v>
      </c>
      <c r="O2239" s="62">
        <v>0</v>
      </c>
      <c r="P2239" s="65">
        <f t="shared" si="148"/>
        <v>0</v>
      </c>
      <c r="Q2239" s="66"/>
      <c r="R2239" s="66"/>
      <c r="S2239" s="66"/>
      <c r="T2239" s="66"/>
      <c r="U2239" s="66"/>
      <c r="V2239" s="66"/>
      <c r="W2239" s="66"/>
      <c r="X2239" s="66"/>
      <c r="Y2239" s="66"/>
      <c r="Z2239" s="66"/>
      <c r="AA2239" s="66"/>
      <c r="AB2239" s="66"/>
      <c r="AC2239" s="66"/>
      <c r="AD2239" s="66"/>
      <c r="AE2239" s="66"/>
      <c r="AF2239" s="66"/>
      <c r="AG2239" s="66"/>
      <c r="AH2239" s="66"/>
      <c r="AI2239" s="66"/>
      <c r="AJ2239" s="66"/>
      <c r="AK2239" s="66"/>
      <c r="AL2239" s="66"/>
      <c r="AM2239" s="66"/>
      <c r="AN2239" s="66"/>
      <c r="AO2239" s="66"/>
      <c r="AP2239" s="66"/>
      <c r="AQ2239" s="66"/>
      <c r="AR2239" s="66"/>
      <c r="AS2239" s="66"/>
      <c r="AT2239" s="66"/>
      <c r="AU2239" s="66"/>
      <c r="AV2239" s="66"/>
      <c r="AW2239" s="66"/>
      <c r="AX2239" s="66"/>
      <c r="AY2239" s="66"/>
      <c r="AZ2239" s="66"/>
      <c r="BA2239" s="66"/>
      <c r="BB2239" s="66"/>
      <c r="BC2239" s="66"/>
      <c r="BD2239" s="66"/>
      <c r="BE2239" s="67"/>
      <c r="BF2239" s="67"/>
      <c r="BG2239" s="68"/>
      <c r="BI2239" s="69">
        <v>0</v>
      </c>
      <c r="BJ2239" s="70">
        <v>0</v>
      </c>
      <c r="BK2239" s="71">
        <v>0</v>
      </c>
      <c r="BL2239" s="71">
        <v>0</v>
      </c>
      <c r="BM2239" s="71">
        <v>0</v>
      </c>
      <c r="BN2239" s="72">
        <v>0</v>
      </c>
      <c r="BO2239" s="151" t="e">
        <f t="shared" si="144"/>
        <v>#DIV/0!</v>
      </c>
      <c r="BP2239" s="151" t="e">
        <f t="shared" si="145"/>
        <v>#DIV/0!</v>
      </c>
      <c r="BQ2239" s="71">
        <v>0</v>
      </c>
      <c r="BR2239" s="71">
        <v>0</v>
      </c>
      <c r="BS2239" s="71">
        <v>0</v>
      </c>
      <c r="BT2239" s="72">
        <v>0</v>
      </c>
      <c r="BU2239" s="151" t="e">
        <f t="shared" si="146"/>
        <v>#DIV/0!</v>
      </c>
      <c r="BV2239" s="151" t="e">
        <f t="shared" si="147"/>
        <v>#DIV/0!</v>
      </c>
    </row>
    <row r="2240" ht="30" customHeight="1" spans="1:74">
      <c r="A2240" s="55" t="s">
        <v>3521</v>
      </c>
      <c r="B2240" s="56" t="s">
        <v>1237</v>
      </c>
      <c r="C2240" s="57" t="s">
        <v>3226</v>
      </c>
      <c r="D2240" s="59" t="s">
        <v>3512</v>
      </c>
      <c r="E2240" s="59" t="s">
        <v>3522</v>
      </c>
      <c r="F2240" s="59" t="str">
        <f>VLOOKUP(E2240,[1]库存!$B$1:$C$65536,2,FALSE)</f>
        <v>INEOS PAB A状态</v>
      </c>
      <c r="G2240" s="59" t="s">
        <v>3523</v>
      </c>
      <c r="H2240" s="59" t="s">
        <v>3524</v>
      </c>
      <c r="I2240" s="59" t="s">
        <v>584</v>
      </c>
      <c r="J2240" s="80" t="s">
        <v>3525</v>
      </c>
      <c r="K2240" s="61"/>
      <c r="L2240" s="62">
        <v>0</v>
      </c>
      <c r="M2240" s="63">
        <v>500</v>
      </c>
      <c r="N2240" s="64">
        <v>17</v>
      </c>
      <c r="O2240" s="62">
        <v>0</v>
      </c>
      <c r="P2240" s="65">
        <f t="shared" si="148"/>
        <v>0</v>
      </c>
      <c r="Q2240" s="66"/>
      <c r="R2240" s="66"/>
      <c r="S2240" s="66"/>
      <c r="T2240" s="66"/>
      <c r="U2240" s="66"/>
      <c r="V2240" s="66"/>
      <c r="W2240" s="66"/>
      <c r="X2240" s="67"/>
      <c r="Y2240" s="67"/>
      <c r="Z2240" s="66"/>
      <c r="AA2240" s="66"/>
      <c r="AB2240" s="66"/>
      <c r="AC2240" s="66"/>
      <c r="AD2240" s="66"/>
      <c r="AE2240" s="66"/>
      <c r="AF2240" s="66"/>
      <c r="AG2240" s="66"/>
      <c r="AH2240" s="66"/>
      <c r="AI2240" s="66"/>
      <c r="AJ2240" s="66"/>
      <c r="AK2240" s="66"/>
      <c r="AL2240" s="67"/>
      <c r="AM2240" s="67"/>
      <c r="AN2240" s="66"/>
      <c r="AO2240" s="66"/>
      <c r="AP2240" s="66"/>
      <c r="AQ2240" s="66"/>
      <c r="AR2240" s="66"/>
      <c r="AS2240" s="66"/>
      <c r="AT2240" s="66"/>
      <c r="AU2240" s="66"/>
      <c r="AV2240" s="66"/>
      <c r="AW2240" s="66"/>
      <c r="AX2240" s="66"/>
      <c r="AY2240" s="66"/>
      <c r="AZ2240" s="67"/>
      <c r="BA2240" s="67"/>
      <c r="BB2240" s="66"/>
      <c r="BC2240" s="66"/>
      <c r="BD2240" s="66"/>
      <c r="BE2240" s="67"/>
      <c r="BF2240" s="67"/>
      <c r="BG2240" s="68"/>
      <c r="BI2240" s="69">
        <v>0</v>
      </c>
      <c r="BJ2240" s="70">
        <v>0</v>
      </c>
      <c r="BK2240" s="71">
        <v>0</v>
      </c>
      <c r="BL2240" s="71">
        <v>0</v>
      </c>
      <c r="BM2240" s="71">
        <v>0</v>
      </c>
      <c r="BN2240" s="72">
        <v>0</v>
      </c>
      <c r="BO2240" s="151" t="e">
        <f t="shared" si="144"/>
        <v>#DIV/0!</v>
      </c>
      <c r="BP2240" s="151" t="e">
        <f t="shared" si="145"/>
        <v>#DIV/0!</v>
      </c>
      <c r="BQ2240" s="71">
        <v>0</v>
      </c>
      <c r="BR2240" s="71">
        <v>0</v>
      </c>
      <c r="BS2240" s="71">
        <v>0</v>
      </c>
      <c r="BT2240" s="72">
        <v>0</v>
      </c>
      <c r="BU2240" s="151" t="e">
        <f t="shared" si="146"/>
        <v>#DIV/0!</v>
      </c>
      <c r="BV2240" s="151" t="e">
        <f t="shared" si="147"/>
        <v>#DIV/0!</v>
      </c>
    </row>
    <row r="2241" ht="30" customHeight="1" spans="1:74">
      <c r="A2241" s="55">
        <v>0</v>
      </c>
      <c r="B2241" s="56">
        <v>0</v>
      </c>
      <c r="C2241" s="57">
        <v>0</v>
      </c>
      <c r="D2241" s="74"/>
      <c r="E2241" s="74"/>
      <c r="F2241" s="59" t="e">
        <f>VLOOKUP(E2241,[1]库存!$B$1:$C$65536,2,FALSE)</f>
        <v>#N/A</v>
      </c>
      <c r="G2241" s="59" t="e">
        <v>#N/A</v>
      </c>
      <c r="H2241" s="74"/>
      <c r="I2241" s="74"/>
      <c r="J2241" s="81"/>
      <c r="K2241" s="61"/>
      <c r="L2241" s="62">
        <v>0</v>
      </c>
      <c r="M2241" s="63">
        <v>0</v>
      </c>
      <c r="N2241" s="64">
        <v>0</v>
      </c>
      <c r="O2241" s="62">
        <v>0</v>
      </c>
      <c r="P2241" s="65">
        <f t="shared" si="148"/>
        <v>0</v>
      </c>
      <c r="Q2241" s="66"/>
      <c r="R2241" s="66"/>
      <c r="S2241" s="66"/>
      <c r="T2241" s="66"/>
      <c r="U2241" s="66"/>
      <c r="V2241" s="66"/>
      <c r="W2241" s="66"/>
      <c r="X2241" s="66"/>
      <c r="Y2241" s="66"/>
      <c r="Z2241" s="66"/>
      <c r="AA2241" s="66"/>
      <c r="AB2241" s="66"/>
      <c r="AC2241" s="66"/>
      <c r="AD2241" s="66"/>
      <c r="AE2241" s="66"/>
      <c r="AF2241" s="66"/>
      <c r="AG2241" s="66"/>
      <c r="AH2241" s="66"/>
      <c r="AI2241" s="66"/>
      <c r="AJ2241" s="66"/>
      <c r="AK2241" s="66"/>
      <c r="AL2241" s="66"/>
      <c r="AM2241" s="66"/>
      <c r="AN2241" s="66"/>
      <c r="AO2241" s="66"/>
      <c r="AP2241" s="66"/>
      <c r="AQ2241" s="66"/>
      <c r="AR2241" s="66"/>
      <c r="AS2241" s="66"/>
      <c r="AT2241" s="66"/>
      <c r="AU2241" s="66"/>
      <c r="AV2241" s="66"/>
      <c r="AW2241" s="66"/>
      <c r="AX2241" s="66"/>
      <c r="AY2241" s="66"/>
      <c r="AZ2241" s="66"/>
      <c r="BA2241" s="66"/>
      <c r="BB2241" s="66"/>
      <c r="BC2241" s="66"/>
      <c r="BD2241" s="66"/>
      <c r="BE2241" s="67"/>
      <c r="BF2241" s="67"/>
      <c r="BG2241" s="68"/>
      <c r="BI2241" s="69">
        <v>0</v>
      </c>
      <c r="BJ2241" s="70">
        <v>0</v>
      </c>
      <c r="BK2241" s="71">
        <v>0</v>
      </c>
      <c r="BL2241" s="71">
        <v>0</v>
      </c>
      <c r="BM2241" s="71">
        <v>0</v>
      </c>
      <c r="BN2241" s="72">
        <v>0</v>
      </c>
      <c r="BO2241" s="151" t="e">
        <f t="shared" si="144"/>
        <v>#DIV/0!</v>
      </c>
      <c r="BP2241" s="151" t="e">
        <f t="shared" si="145"/>
        <v>#DIV/0!</v>
      </c>
      <c r="BQ2241" s="71">
        <v>0</v>
      </c>
      <c r="BR2241" s="71">
        <v>0</v>
      </c>
      <c r="BS2241" s="71">
        <v>0</v>
      </c>
      <c r="BT2241" s="72">
        <v>0</v>
      </c>
      <c r="BU2241" s="151" t="e">
        <f t="shared" si="146"/>
        <v>#DIV/0!</v>
      </c>
      <c r="BV2241" s="151" t="e">
        <f t="shared" si="147"/>
        <v>#DIV/0!</v>
      </c>
    </row>
    <row r="2242" ht="30" customHeight="1" spans="1:74">
      <c r="A2242" s="55">
        <v>0</v>
      </c>
      <c r="B2242" s="56" t="s">
        <v>1237</v>
      </c>
      <c r="C2242" s="57" t="s">
        <v>3226</v>
      </c>
      <c r="D2242" s="59" t="s">
        <v>3512</v>
      </c>
      <c r="E2242" s="59"/>
      <c r="F2242" s="59" t="e">
        <f>VLOOKUP(E2242,[1]库存!$B$1:$C$65536,2,FALSE)</f>
        <v>#N/A</v>
      </c>
      <c r="G2242" s="59" t="e">
        <v>#N/A</v>
      </c>
      <c r="H2242" s="59" t="s">
        <v>3526</v>
      </c>
      <c r="I2242" s="59" t="s">
        <v>3527</v>
      </c>
      <c r="J2242" s="63"/>
      <c r="K2242" s="61"/>
      <c r="L2242" s="62">
        <v>0</v>
      </c>
      <c r="M2242" s="63">
        <v>0</v>
      </c>
      <c r="N2242" s="64">
        <v>0</v>
      </c>
      <c r="O2242" s="62">
        <v>0</v>
      </c>
      <c r="P2242" s="65">
        <f t="shared" si="148"/>
        <v>0</v>
      </c>
      <c r="Q2242" s="66"/>
      <c r="R2242" s="66"/>
      <c r="S2242" s="66"/>
      <c r="T2242" s="66"/>
      <c r="U2242" s="66"/>
      <c r="V2242" s="66"/>
      <c r="W2242" s="66"/>
      <c r="X2242" s="66"/>
      <c r="Y2242" s="66"/>
      <c r="Z2242" s="66"/>
      <c r="AA2242" s="66"/>
      <c r="AB2242" s="66"/>
      <c r="AC2242" s="66"/>
      <c r="AD2242" s="66"/>
      <c r="AE2242" s="66"/>
      <c r="AF2242" s="66"/>
      <c r="AG2242" s="66"/>
      <c r="AH2242" s="66"/>
      <c r="AI2242" s="66"/>
      <c r="AJ2242" s="66"/>
      <c r="AK2242" s="66"/>
      <c r="AL2242" s="66"/>
      <c r="AM2242" s="66"/>
      <c r="AN2242" s="66"/>
      <c r="AO2242" s="66"/>
      <c r="AP2242" s="66"/>
      <c r="AQ2242" s="66"/>
      <c r="AR2242" s="66"/>
      <c r="AS2242" s="66"/>
      <c r="AT2242" s="66"/>
      <c r="AU2242" s="66"/>
      <c r="AV2242" s="66"/>
      <c r="AW2242" s="66"/>
      <c r="AX2242" s="66"/>
      <c r="AY2242" s="66"/>
      <c r="AZ2242" s="66"/>
      <c r="BA2242" s="66"/>
      <c r="BB2242" s="66"/>
      <c r="BC2242" s="66"/>
      <c r="BD2242" s="66"/>
      <c r="BE2242" s="67"/>
      <c r="BF2242" s="67"/>
      <c r="BG2242" s="68"/>
      <c r="BI2242" s="69">
        <v>0</v>
      </c>
      <c r="BJ2242" s="70">
        <v>0</v>
      </c>
      <c r="BK2242" s="71">
        <v>0</v>
      </c>
      <c r="BL2242" s="71">
        <v>0</v>
      </c>
      <c r="BM2242" s="71">
        <v>0</v>
      </c>
      <c r="BN2242" s="72">
        <v>0</v>
      </c>
      <c r="BO2242" s="151" t="e">
        <f t="shared" ref="BO2242:BO2305" si="149">(BK2242+BL2242)/BJ2242</f>
        <v>#DIV/0!</v>
      </c>
      <c r="BP2242" s="151" t="e">
        <f t="shared" ref="BP2242:BP2305" si="150">BM2242/BJ2242</f>
        <v>#DIV/0!</v>
      </c>
      <c r="BQ2242" s="71">
        <v>0</v>
      </c>
      <c r="BR2242" s="71">
        <v>0</v>
      </c>
      <c r="BS2242" s="71">
        <v>0</v>
      </c>
      <c r="BT2242" s="72">
        <v>0</v>
      </c>
      <c r="BU2242" s="151" t="e">
        <f t="shared" si="146"/>
        <v>#DIV/0!</v>
      </c>
      <c r="BV2242" s="151" t="e">
        <f t="shared" si="147"/>
        <v>#DIV/0!</v>
      </c>
    </row>
    <row r="2243" ht="30" customHeight="1" spans="1:74">
      <c r="A2243" s="55">
        <v>0</v>
      </c>
      <c r="B2243" s="56">
        <v>0</v>
      </c>
      <c r="C2243" s="57">
        <v>0</v>
      </c>
      <c r="D2243" s="74"/>
      <c r="E2243" s="74"/>
      <c r="F2243" s="59" t="e">
        <f>VLOOKUP(E2243,[1]库存!$B$1:$C$65536,2,FALSE)</f>
        <v>#N/A</v>
      </c>
      <c r="G2243" s="59" t="e">
        <v>#N/A</v>
      </c>
      <c r="H2243" s="74"/>
      <c r="I2243" s="74"/>
      <c r="J2243" s="87"/>
      <c r="K2243" s="61"/>
      <c r="L2243" s="62">
        <v>0</v>
      </c>
      <c r="M2243" s="63">
        <v>0</v>
      </c>
      <c r="N2243" s="64">
        <v>0</v>
      </c>
      <c r="O2243" s="62">
        <v>0</v>
      </c>
      <c r="P2243" s="65">
        <f t="shared" si="148"/>
        <v>0</v>
      </c>
      <c r="Q2243" s="66"/>
      <c r="R2243" s="66"/>
      <c r="S2243" s="66"/>
      <c r="T2243" s="66"/>
      <c r="U2243" s="66"/>
      <c r="V2243" s="66"/>
      <c r="W2243" s="66"/>
      <c r="X2243" s="66"/>
      <c r="Y2243" s="66"/>
      <c r="Z2243" s="66"/>
      <c r="AA2243" s="66"/>
      <c r="AB2243" s="66"/>
      <c r="AC2243" s="66"/>
      <c r="AD2243" s="66"/>
      <c r="AE2243" s="66"/>
      <c r="AF2243" s="66"/>
      <c r="AG2243" s="66"/>
      <c r="AH2243" s="66"/>
      <c r="AI2243" s="66"/>
      <c r="AJ2243" s="66"/>
      <c r="AK2243" s="66"/>
      <c r="AL2243" s="66"/>
      <c r="AM2243" s="66"/>
      <c r="AN2243" s="66"/>
      <c r="AO2243" s="66"/>
      <c r="AP2243" s="66"/>
      <c r="AQ2243" s="66"/>
      <c r="AR2243" s="66"/>
      <c r="AS2243" s="66"/>
      <c r="AT2243" s="66"/>
      <c r="AU2243" s="66"/>
      <c r="AV2243" s="66"/>
      <c r="AW2243" s="66"/>
      <c r="AX2243" s="66"/>
      <c r="AY2243" s="66"/>
      <c r="AZ2243" s="66"/>
      <c r="BA2243" s="66"/>
      <c r="BB2243" s="66"/>
      <c r="BC2243" s="66"/>
      <c r="BD2243" s="66"/>
      <c r="BE2243" s="67"/>
      <c r="BF2243" s="67"/>
      <c r="BG2243" s="68"/>
      <c r="BI2243" s="69">
        <v>0</v>
      </c>
      <c r="BJ2243" s="70">
        <v>0</v>
      </c>
      <c r="BK2243" s="71">
        <v>0</v>
      </c>
      <c r="BL2243" s="71">
        <v>0</v>
      </c>
      <c r="BM2243" s="71">
        <v>0</v>
      </c>
      <c r="BN2243" s="72">
        <v>0</v>
      </c>
      <c r="BO2243" s="151" t="e">
        <f t="shared" si="149"/>
        <v>#DIV/0!</v>
      </c>
      <c r="BP2243" s="151" t="e">
        <f t="shared" si="150"/>
        <v>#DIV/0!</v>
      </c>
      <c r="BQ2243" s="71">
        <v>0</v>
      </c>
      <c r="BR2243" s="71">
        <v>0</v>
      </c>
      <c r="BS2243" s="71">
        <v>0</v>
      </c>
      <c r="BT2243" s="72">
        <v>0</v>
      </c>
      <c r="BU2243" s="151" t="e">
        <f t="shared" si="146"/>
        <v>#DIV/0!</v>
      </c>
      <c r="BV2243" s="151" t="e">
        <f t="shared" si="147"/>
        <v>#DIV/0!</v>
      </c>
    </row>
    <row r="2244" ht="30" customHeight="1" spans="1:74">
      <c r="A2244" s="55">
        <v>0</v>
      </c>
      <c r="B2244" s="56" t="s">
        <v>1237</v>
      </c>
      <c r="C2244" s="57" t="s">
        <v>3226</v>
      </c>
      <c r="D2244" s="59" t="s">
        <v>3512</v>
      </c>
      <c r="E2244" s="59"/>
      <c r="F2244" s="59" t="e">
        <f>VLOOKUP(E2244,[1]库存!$B$1:$C$65536,2,FALSE)</f>
        <v>#N/A</v>
      </c>
      <c r="G2244" s="59" t="e">
        <v>#N/A</v>
      </c>
      <c r="H2244" s="59" t="s">
        <v>3528</v>
      </c>
      <c r="I2244" s="59" t="s">
        <v>3529</v>
      </c>
      <c r="J2244" s="63"/>
      <c r="K2244" s="61"/>
      <c r="L2244" s="62">
        <v>0</v>
      </c>
      <c r="M2244" s="63">
        <v>0</v>
      </c>
      <c r="N2244" s="64">
        <v>0</v>
      </c>
      <c r="O2244" s="62">
        <v>0</v>
      </c>
      <c r="P2244" s="65">
        <f t="shared" si="148"/>
        <v>0</v>
      </c>
      <c r="Q2244" s="66"/>
      <c r="R2244" s="66"/>
      <c r="S2244" s="66"/>
      <c r="T2244" s="66"/>
      <c r="U2244" s="66"/>
      <c r="V2244" s="66"/>
      <c r="W2244" s="66"/>
      <c r="X2244" s="66"/>
      <c r="Y2244" s="66"/>
      <c r="Z2244" s="66"/>
      <c r="AA2244" s="66"/>
      <c r="AB2244" s="66"/>
      <c r="AC2244" s="66"/>
      <c r="AD2244" s="66"/>
      <c r="AE2244" s="66"/>
      <c r="AF2244" s="66"/>
      <c r="AG2244" s="66"/>
      <c r="AH2244" s="66"/>
      <c r="AI2244" s="66"/>
      <c r="AJ2244" s="66"/>
      <c r="AK2244" s="66"/>
      <c r="AL2244" s="66"/>
      <c r="AM2244" s="66"/>
      <c r="AN2244" s="66"/>
      <c r="AO2244" s="66"/>
      <c r="AP2244" s="66"/>
      <c r="AQ2244" s="66"/>
      <c r="AR2244" s="66"/>
      <c r="AS2244" s="66"/>
      <c r="AT2244" s="66"/>
      <c r="AU2244" s="66"/>
      <c r="AV2244" s="66"/>
      <c r="AW2244" s="66"/>
      <c r="AX2244" s="66"/>
      <c r="AY2244" s="66"/>
      <c r="AZ2244" s="66"/>
      <c r="BA2244" s="66"/>
      <c r="BB2244" s="66"/>
      <c r="BC2244" s="66"/>
      <c r="BD2244" s="66"/>
      <c r="BE2244" s="67"/>
      <c r="BF2244" s="67"/>
      <c r="BG2244" s="68"/>
      <c r="BI2244" s="69">
        <v>0</v>
      </c>
      <c r="BJ2244" s="70">
        <v>0</v>
      </c>
      <c r="BK2244" s="71">
        <v>0</v>
      </c>
      <c r="BL2244" s="71">
        <v>0</v>
      </c>
      <c r="BM2244" s="71">
        <v>0</v>
      </c>
      <c r="BN2244" s="72">
        <v>0</v>
      </c>
      <c r="BO2244" s="151" t="e">
        <f t="shared" si="149"/>
        <v>#DIV/0!</v>
      </c>
      <c r="BP2244" s="151" t="e">
        <f t="shared" si="150"/>
        <v>#DIV/0!</v>
      </c>
      <c r="BQ2244" s="71">
        <v>0</v>
      </c>
      <c r="BR2244" s="71">
        <v>0</v>
      </c>
      <c r="BS2244" s="71">
        <v>0</v>
      </c>
      <c r="BT2244" s="72">
        <v>0</v>
      </c>
      <c r="BU2244" s="151" t="e">
        <f t="shared" ref="BU2244:BU2307" si="151">(BQ2244+BR2244)/BJ2244</f>
        <v>#DIV/0!</v>
      </c>
      <c r="BV2244" s="151" t="e">
        <f t="shared" ref="BV2244:BV2307" si="152">BS2244/BJ2244</f>
        <v>#DIV/0!</v>
      </c>
    </row>
    <row r="2245" ht="30" customHeight="1" spans="1:74">
      <c r="A2245" s="55">
        <v>0</v>
      </c>
      <c r="B2245" s="56">
        <v>0</v>
      </c>
      <c r="C2245" s="57">
        <v>0</v>
      </c>
      <c r="D2245" s="74"/>
      <c r="E2245" s="74"/>
      <c r="F2245" s="59" t="e">
        <f>VLOOKUP(E2245,[1]库存!$B$1:$C$65536,2,FALSE)</f>
        <v>#N/A</v>
      </c>
      <c r="G2245" s="59" t="e">
        <v>#N/A</v>
      </c>
      <c r="H2245" s="74"/>
      <c r="I2245" s="74"/>
      <c r="J2245" s="87"/>
      <c r="K2245" s="61"/>
      <c r="L2245" s="62">
        <v>0</v>
      </c>
      <c r="M2245" s="63">
        <v>0</v>
      </c>
      <c r="N2245" s="64">
        <v>0</v>
      </c>
      <c r="O2245" s="62">
        <v>0</v>
      </c>
      <c r="P2245" s="65">
        <f t="shared" si="148"/>
        <v>0</v>
      </c>
      <c r="Q2245" s="66"/>
      <c r="R2245" s="66"/>
      <c r="S2245" s="66"/>
      <c r="T2245" s="66"/>
      <c r="U2245" s="66"/>
      <c r="V2245" s="66"/>
      <c r="W2245" s="66"/>
      <c r="X2245" s="66"/>
      <c r="Y2245" s="66"/>
      <c r="Z2245" s="66"/>
      <c r="AA2245" s="66"/>
      <c r="AB2245" s="66"/>
      <c r="AC2245" s="66"/>
      <c r="AD2245" s="66"/>
      <c r="AE2245" s="66"/>
      <c r="AF2245" s="66"/>
      <c r="AG2245" s="66"/>
      <c r="AH2245" s="66"/>
      <c r="AI2245" s="66"/>
      <c r="AJ2245" s="66"/>
      <c r="AK2245" s="66"/>
      <c r="AL2245" s="66"/>
      <c r="AM2245" s="66"/>
      <c r="AN2245" s="66"/>
      <c r="AO2245" s="66"/>
      <c r="AP2245" s="66"/>
      <c r="AQ2245" s="66"/>
      <c r="AR2245" s="66"/>
      <c r="AS2245" s="66"/>
      <c r="AT2245" s="66"/>
      <c r="AU2245" s="66"/>
      <c r="AV2245" s="66"/>
      <c r="AW2245" s="66"/>
      <c r="AX2245" s="66"/>
      <c r="AY2245" s="66"/>
      <c r="AZ2245" s="66"/>
      <c r="BA2245" s="66"/>
      <c r="BB2245" s="66"/>
      <c r="BC2245" s="66"/>
      <c r="BD2245" s="66"/>
      <c r="BE2245" s="67"/>
      <c r="BF2245" s="67"/>
      <c r="BG2245" s="68"/>
      <c r="BI2245" s="69">
        <v>0</v>
      </c>
      <c r="BJ2245" s="70">
        <v>0</v>
      </c>
      <c r="BK2245" s="71">
        <v>0</v>
      </c>
      <c r="BL2245" s="71">
        <v>0</v>
      </c>
      <c r="BM2245" s="71">
        <v>0</v>
      </c>
      <c r="BN2245" s="72">
        <v>0</v>
      </c>
      <c r="BO2245" s="151" t="e">
        <f t="shared" si="149"/>
        <v>#DIV/0!</v>
      </c>
      <c r="BP2245" s="151" t="e">
        <f t="shared" si="150"/>
        <v>#DIV/0!</v>
      </c>
      <c r="BQ2245" s="71">
        <v>0</v>
      </c>
      <c r="BR2245" s="71">
        <v>0</v>
      </c>
      <c r="BS2245" s="71">
        <v>0</v>
      </c>
      <c r="BT2245" s="72">
        <v>0</v>
      </c>
      <c r="BU2245" s="151" t="e">
        <f t="shared" si="151"/>
        <v>#DIV/0!</v>
      </c>
      <c r="BV2245" s="151" t="e">
        <f t="shared" si="152"/>
        <v>#DIV/0!</v>
      </c>
    </row>
    <row r="2246" ht="30" customHeight="1" spans="1:74">
      <c r="A2246" s="55">
        <v>0</v>
      </c>
      <c r="B2246" s="56" t="s">
        <v>1237</v>
      </c>
      <c r="C2246" s="57" t="s">
        <v>3226</v>
      </c>
      <c r="D2246" s="59" t="s">
        <v>3512</v>
      </c>
      <c r="E2246" s="59"/>
      <c r="F2246" s="59" t="e">
        <f>VLOOKUP(E2246,[1]库存!$B$1:$C$65536,2,FALSE)</f>
        <v>#N/A</v>
      </c>
      <c r="G2246" s="59" t="e">
        <v>#N/A</v>
      </c>
      <c r="H2246" s="59" t="s">
        <v>3530</v>
      </c>
      <c r="I2246" s="59" t="s">
        <v>3531</v>
      </c>
      <c r="J2246" s="63"/>
      <c r="K2246" s="61"/>
      <c r="L2246" s="62">
        <v>0</v>
      </c>
      <c r="M2246" s="63">
        <v>0</v>
      </c>
      <c r="N2246" s="64">
        <v>0</v>
      </c>
      <c r="O2246" s="62">
        <v>0</v>
      </c>
      <c r="P2246" s="65">
        <f t="shared" ref="P2246:P2309" si="153">SUM(AG2246:AJ2246)</f>
        <v>0</v>
      </c>
      <c r="Q2246" s="66"/>
      <c r="R2246" s="66"/>
      <c r="S2246" s="66"/>
      <c r="T2246" s="66"/>
      <c r="U2246" s="66"/>
      <c r="V2246" s="66"/>
      <c r="W2246" s="66"/>
      <c r="X2246" s="66"/>
      <c r="Y2246" s="66"/>
      <c r="Z2246" s="66"/>
      <c r="AA2246" s="66"/>
      <c r="AB2246" s="66"/>
      <c r="AC2246" s="66"/>
      <c r="AD2246" s="66"/>
      <c r="AE2246" s="66"/>
      <c r="AF2246" s="66"/>
      <c r="AG2246" s="66"/>
      <c r="AH2246" s="66"/>
      <c r="AI2246" s="66"/>
      <c r="AJ2246" s="66"/>
      <c r="AK2246" s="66"/>
      <c r="AL2246" s="66"/>
      <c r="AM2246" s="66"/>
      <c r="AN2246" s="66"/>
      <c r="AO2246" s="66"/>
      <c r="AP2246" s="66"/>
      <c r="AQ2246" s="66"/>
      <c r="AR2246" s="66"/>
      <c r="AS2246" s="66"/>
      <c r="AT2246" s="66"/>
      <c r="AU2246" s="66"/>
      <c r="AV2246" s="66"/>
      <c r="AW2246" s="66"/>
      <c r="AX2246" s="66"/>
      <c r="AY2246" s="66"/>
      <c r="AZ2246" s="66"/>
      <c r="BA2246" s="66"/>
      <c r="BB2246" s="66"/>
      <c r="BC2246" s="66"/>
      <c r="BD2246" s="66"/>
      <c r="BE2246" s="67"/>
      <c r="BF2246" s="67"/>
      <c r="BG2246" s="68"/>
      <c r="BI2246" s="69">
        <v>0</v>
      </c>
      <c r="BJ2246" s="70">
        <v>0</v>
      </c>
      <c r="BK2246" s="71">
        <v>0</v>
      </c>
      <c r="BL2246" s="71">
        <v>0</v>
      </c>
      <c r="BM2246" s="71">
        <v>0</v>
      </c>
      <c r="BN2246" s="72">
        <v>0</v>
      </c>
      <c r="BO2246" s="151" t="e">
        <f t="shared" si="149"/>
        <v>#DIV/0!</v>
      </c>
      <c r="BP2246" s="151" t="e">
        <f t="shared" si="150"/>
        <v>#DIV/0!</v>
      </c>
      <c r="BQ2246" s="71">
        <v>0</v>
      </c>
      <c r="BR2246" s="71">
        <v>0</v>
      </c>
      <c r="BS2246" s="71">
        <v>0</v>
      </c>
      <c r="BT2246" s="72">
        <v>0</v>
      </c>
      <c r="BU2246" s="151" t="e">
        <f t="shared" si="151"/>
        <v>#DIV/0!</v>
      </c>
      <c r="BV2246" s="151" t="e">
        <f t="shared" si="152"/>
        <v>#DIV/0!</v>
      </c>
    </row>
    <row r="2247" ht="30" customHeight="1" spans="1:74">
      <c r="A2247" s="55">
        <v>0</v>
      </c>
      <c r="B2247" s="56">
        <v>0</v>
      </c>
      <c r="C2247" s="57">
        <v>0</v>
      </c>
      <c r="D2247" s="74"/>
      <c r="E2247" s="74"/>
      <c r="F2247" s="59" t="e">
        <f>VLOOKUP(E2247,[1]库存!$B$1:$C$65536,2,FALSE)</f>
        <v>#N/A</v>
      </c>
      <c r="G2247" s="59" t="e">
        <v>#N/A</v>
      </c>
      <c r="H2247" s="74"/>
      <c r="I2247" s="74"/>
      <c r="J2247" s="87"/>
      <c r="K2247" s="61"/>
      <c r="L2247" s="62">
        <v>0</v>
      </c>
      <c r="M2247" s="63">
        <v>0</v>
      </c>
      <c r="N2247" s="64">
        <v>0</v>
      </c>
      <c r="O2247" s="62">
        <v>0</v>
      </c>
      <c r="P2247" s="65">
        <f t="shared" si="153"/>
        <v>0</v>
      </c>
      <c r="Q2247" s="66"/>
      <c r="R2247" s="66"/>
      <c r="S2247" s="66"/>
      <c r="T2247" s="66"/>
      <c r="U2247" s="66"/>
      <c r="V2247" s="66"/>
      <c r="W2247" s="66"/>
      <c r="X2247" s="66"/>
      <c r="Y2247" s="66"/>
      <c r="Z2247" s="66"/>
      <c r="AA2247" s="66"/>
      <c r="AB2247" s="66"/>
      <c r="AC2247" s="66"/>
      <c r="AD2247" s="66"/>
      <c r="AE2247" s="66"/>
      <c r="AF2247" s="66"/>
      <c r="AG2247" s="66"/>
      <c r="AH2247" s="66"/>
      <c r="AI2247" s="66"/>
      <c r="AJ2247" s="66"/>
      <c r="AK2247" s="66"/>
      <c r="AL2247" s="66"/>
      <c r="AM2247" s="66"/>
      <c r="AN2247" s="66"/>
      <c r="AO2247" s="66"/>
      <c r="AP2247" s="66"/>
      <c r="AQ2247" s="66"/>
      <c r="AR2247" s="66"/>
      <c r="AS2247" s="66"/>
      <c r="AT2247" s="66"/>
      <c r="AU2247" s="66"/>
      <c r="AV2247" s="66"/>
      <c r="AW2247" s="66"/>
      <c r="AX2247" s="66"/>
      <c r="AY2247" s="66"/>
      <c r="AZ2247" s="66"/>
      <c r="BA2247" s="66"/>
      <c r="BB2247" s="66"/>
      <c r="BC2247" s="66"/>
      <c r="BD2247" s="66"/>
      <c r="BE2247" s="67"/>
      <c r="BF2247" s="67"/>
      <c r="BG2247" s="68"/>
      <c r="BI2247" s="69">
        <v>0</v>
      </c>
      <c r="BJ2247" s="70">
        <v>0</v>
      </c>
      <c r="BK2247" s="71">
        <v>0</v>
      </c>
      <c r="BL2247" s="71">
        <v>0</v>
      </c>
      <c r="BM2247" s="71">
        <v>0</v>
      </c>
      <c r="BN2247" s="72">
        <v>0</v>
      </c>
      <c r="BO2247" s="151" t="e">
        <f t="shared" si="149"/>
        <v>#DIV/0!</v>
      </c>
      <c r="BP2247" s="151" t="e">
        <f t="shared" si="150"/>
        <v>#DIV/0!</v>
      </c>
      <c r="BQ2247" s="71">
        <v>0</v>
      </c>
      <c r="BR2247" s="71">
        <v>0</v>
      </c>
      <c r="BS2247" s="71">
        <v>0</v>
      </c>
      <c r="BT2247" s="72">
        <v>0</v>
      </c>
      <c r="BU2247" s="151" t="e">
        <f t="shared" si="151"/>
        <v>#DIV/0!</v>
      </c>
      <c r="BV2247" s="151" t="e">
        <f t="shared" si="152"/>
        <v>#DIV/0!</v>
      </c>
    </row>
    <row r="2248" ht="30" customHeight="1" spans="1:74">
      <c r="A2248" s="55">
        <v>0</v>
      </c>
      <c r="B2248" s="56">
        <v>0</v>
      </c>
      <c r="C2248" s="57">
        <v>0</v>
      </c>
      <c r="E2248" s="88"/>
      <c r="F2248" s="59" t="e">
        <f>VLOOKUP(E2248,[1]库存!$B$1:$C$65536,2,FALSE)</f>
        <v>#N/A</v>
      </c>
      <c r="G2248" s="59" t="e">
        <v>#N/A</v>
      </c>
      <c r="H2248" s="89"/>
      <c r="I2248" s="88"/>
      <c r="J2248" s="90"/>
      <c r="K2248" s="61"/>
      <c r="L2248" s="62">
        <v>0</v>
      </c>
      <c r="M2248" s="63">
        <v>0</v>
      </c>
      <c r="N2248" s="64">
        <v>0</v>
      </c>
      <c r="O2248" s="62">
        <v>0</v>
      </c>
      <c r="P2248" s="65">
        <f t="shared" si="153"/>
        <v>0</v>
      </c>
      <c r="Q2248" s="66"/>
      <c r="R2248" s="66"/>
      <c r="S2248" s="66"/>
      <c r="T2248" s="66"/>
      <c r="U2248" s="66"/>
      <c r="V2248" s="66"/>
      <c r="W2248" s="66"/>
      <c r="X2248" s="66"/>
      <c r="Y2248" s="66"/>
      <c r="Z2248" s="66"/>
      <c r="AA2248" s="66"/>
      <c r="AB2248" s="66"/>
      <c r="AC2248" s="66"/>
      <c r="AD2248" s="66"/>
      <c r="AE2248" s="66"/>
      <c r="AF2248" s="66"/>
      <c r="AG2248" s="66"/>
      <c r="AH2248" s="66"/>
      <c r="AI2248" s="66"/>
      <c r="AJ2248" s="66"/>
      <c r="AK2248" s="66"/>
      <c r="AL2248" s="66"/>
      <c r="AM2248" s="66"/>
      <c r="AN2248" s="66"/>
      <c r="AO2248" s="66"/>
      <c r="AP2248" s="66"/>
      <c r="AQ2248" s="66"/>
      <c r="AR2248" s="66"/>
      <c r="AS2248" s="66"/>
      <c r="AT2248" s="66"/>
      <c r="AU2248" s="66"/>
      <c r="AV2248" s="66"/>
      <c r="AW2248" s="66"/>
      <c r="AX2248" s="66"/>
      <c r="AY2248" s="66"/>
      <c r="AZ2248" s="66"/>
      <c r="BA2248" s="66"/>
      <c r="BB2248" s="66"/>
      <c r="BC2248" s="66"/>
      <c r="BD2248" s="66"/>
      <c r="BE2248" s="67"/>
      <c r="BF2248" s="67"/>
      <c r="BG2248" s="68"/>
      <c r="BI2248" s="69">
        <v>0</v>
      </c>
      <c r="BJ2248" s="70">
        <v>0</v>
      </c>
      <c r="BK2248" s="71">
        <v>0</v>
      </c>
      <c r="BL2248" s="71">
        <v>0</v>
      </c>
      <c r="BM2248" s="71">
        <v>0</v>
      </c>
      <c r="BN2248" s="72">
        <v>0</v>
      </c>
      <c r="BO2248" s="151" t="e">
        <f t="shared" si="149"/>
        <v>#DIV/0!</v>
      </c>
      <c r="BP2248" s="151" t="e">
        <f t="shared" si="150"/>
        <v>#DIV/0!</v>
      </c>
      <c r="BQ2248" s="71">
        <v>0</v>
      </c>
      <c r="BR2248" s="71">
        <v>0</v>
      </c>
      <c r="BS2248" s="71">
        <v>0</v>
      </c>
      <c r="BT2248" s="72">
        <v>0</v>
      </c>
      <c r="BU2248" s="151" t="e">
        <f t="shared" si="151"/>
        <v>#DIV/0!</v>
      </c>
      <c r="BV2248" s="151" t="e">
        <f t="shared" si="152"/>
        <v>#DIV/0!</v>
      </c>
    </row>
    <row r="2249" ht="30" customHeight="1" spans="1:74">
      <c r="A2249" s="55" t="s">
        <v>165</v>
      </c>
      <c r="B2249" s="56" t="s">
        <v>1237</v>
      </c>
      <c r="C2249" s="57" t="s">
        <v>3226</v>
      </c>
      <c r="D2249" s="59" t="s">
        <v>3532</v>
      </c>
      <c r="E2249" s="59" t="s">
        <v>3533</v>
      </c>
      <c r="F2249" s="59" t="str">
        <f>VLOOKUP(E2249,[1]库存!$B$1:$C$65536,2,FALSE)</f>
        <v>L42P 19 IC LH C 状态</v>
      </c>
      <c r="G2249" s="59" t="s">
        <v>3534</v>
      </c>
      <c r="H2249" s="59" t="s">
        <v>3535</v>
      </c>
      <c r="I2249" s="59" t="s">
        <v>3536</v>
      </c>
      <c r="J2249" s="63"/>
      <c r="K2249" s="159"/>
      <c r="L2249" s="62">
        <v>2</v>
      </c>
      <c r="M2249" s="63">
        <v>745</v>
      </c>
      <c r="N2249" s="64">
        <v>16</v>
      </c>
      <c r="O2249" s="62">
        <v>2</v>
      </c>
      <c r="P2249" s="65">
        <f t="shared" si="153"/>
        <v>0</v>
      </c>
      <c r="Q2249" s="66"/>
      <c r="R2249" s="66"/>
      <c r="S2249" s="66"/>
      <c r="T2249" s="66"/>
      <c r="U2249" s="66"/>
      <c r="V2249" s="66"/>
      <c r="W2249" s="66"/>
      <c r="X2249" s="66"/>
      <c r="Y2249" s="66"/>
      <c r="Z2249" s="66"/>
      <c r="AA2249" s="66"/>
      <c r="AB2249" s="66"/>
      <c r="AC2249" s="66"/>
      <c r="AD2249" s="66"/>
      <c r="AE2249" s="66"/>
      <c r="AF2249" s="66"/>
      <c r="AG2249" s="66"/>
      <c r="AH2249" s="66"/>
      <c r="AI2249" s="66"/>
      <c r="AJ2249" s="66"/>
      <c r="AK2249" s="66"/>
      <c r="AL2249" s="66"/>
      <c r="AM2249" s="66"/>
      <c r="AN2249" s="66"/>
      <c r="AO2249" s="66"/>
      <c r="AP2249" s="66"/>
      <c r="AQ2249" s="66"/>
      <c r="AR2249" s="66"/>
      <c r="AS2249" s="66"/>
      <c r="AT2249" s="66"/>
      <c r="AU2249" s="66"/>
      <c r="AV2249" s="66"/>
      <c r="AW2249" s="66"/>
      <c r="AX2249" s="66"/>
      <c r="AY2249" s="66"/>
      <c r="AZ2249" s="66"/>
      <c r="BA2249" s="66"/>
      <c r="BB2249" s="66"/>
      <c r="BC2249" s="66"/>
      <c r="BD2249" s="66"/>
      <c r="BE2249" s="67"/>
      <c r="BF2249" s="67"/>
      <c r="BG2249" s="68"/>
      <c r="BI2249" s="69">
        <v>0</v>
      </c>
      <c r="BJ2249" s="70">
        <v>0</v>
      </c>
      <c r="BK2249" s="71">
        <v>0</v>
      </c>
      <c r="BL2249" s="71">
        <v>0</v>
      </c>
      <c r="BM2249" s="71">
        <v>0</v>
      </c>
      <c r="BN2249" s="72">
        <v>0</v>
      </c>
      <c r="BO2249" s="151" t="e">
        <f t="shared" si="149"/>
        <v>#DIV/0!</v>
      </c>
      <c r="BP2249" s="151" t="e">
        <f t="shared" si="150"/>
        <v>#DIV/0!</v>
      </c>
      <c r="BQ2249" s="71">
        <v>0</v>
      </c>
      <c r="BR2249" s="71">
        <v>0</v>
      </c>
      <c r="BS2249" s="71">
        <v>0</v>
      </c>
      <c r="BT2249" s="72">
        <v>0</v>
      </c>
      <c r="BU2249" s="151" t="e">
        <f t="shared" si="151"/>
        <v>#DIV/0!</v>
      </c>
      <c r="BV2249" s="151" t="e">
        <f t="shared" si="152"/>
        <v>#DIV/0!</v>
      </c>
    </row>
    <row r="2250" ht="30" customHeight="1" spans="1:74">
      <c r="A2250" s="55">
        <v>0</v>
      </c>
      <c r="B2250" s="56">
        <v>0</v>
      </c>
      <c r="C2250" s="57">
        <v>0</v>
      </c>
      <c r="D2250" s="74"/>
      <c r="E2250" s="74"/>
      <c r="F2250" s="59" t="e">
        <f>VLOOKUP(E2250,[1]库存!$B$1:$C$65536,2,FALSE)</f>
        <v>#N/A</v>
      </c>
      <c r="G2250" s="59" t="e">
        <v>#N/A</v>
      </c>
      <c r="H2250" s="74"/>
      <c r="I2250" s="74"/>
      <c r="J2250" s="87"/>
      <c r="K2250" s="159"/>
      <c r="L2250" s="62">
        <v>0</v>
      </c>
      <c r="M2250" s="63">
        <v>0</v>
      </c>
      <c r="N2250" s="64">
        <v>0</v>
      </c>
      <c r="O2250" s="62">
        <v>0</v>
      </c>
      <c r="P2250" s="65">
        <f t="shared" si="153"/>
        <v>0</v>
      </c>
      <c r="Q2250" s="66"/>
      <c r="R2250" s="66"/>
      <c r="S2250" s="66"/>
      <c r="T2250" s="66"/>
      <c r="U2250" s="66"/>
      <c r="V2250" s="66"/>
      <c r="W2250" s="66"/>
      <c r="X2250" s="66"/>
      <c r="Y2250" s="66"/>
      <c r="Z2250" s="66"/>
      <c r="AA2250" s="66"/>
      <c r="AB2250" s="66"/>
      <c r="AC2250" s="66"/>
      <c r="AD2250" s="66"/>
      <c r="AE2250" s="66"/>
      <c r="AF2250" s="66"/>
      <c r="AG2250" s="66"/>
      <c r="AH2250" s="66"/>
      <c r="AI2250" s="66"/>
      <c r="AJ2250" s="66"/>
      <c r="AK2250" s="66"/>
      <c r="AL2250" s="66"/>
      <c r="AM2250" s="66"/>
      <c r="AN2250" s="66"/>
      <c r="AO2250" s="66"/>
      <c r="AP2250" s="66"/>
      <c r="AQ2250" s="66"/>
      <c r="AR2250" s="66"/>
      <c r="AS2250" s="66"/>
      <c r="AT2250" s="66"/>
      <c r="AU2250" s="66"/>
      <c r="AV2250" s="66"/>
      <c r="AW2250" s="66"/>
      <c r="AX2250" s="66"/>
      <c r="AY2250" s="66"/>
      <c r="AZ2250" s="66"/>
      <c r="BA2250" s="66"/>
      <c r="BB2250" s="66"/>
      <c r="BC2250" s="66"/>
      <c r="BD2250" s="66"/>
      <c r="BE2250" s="67"/>
      <c r="BF2250" s="67"/>
      <c r="BG2250" s="68"/>
      <c r="BI2250" s="69">
        <v>0</v>
      </c>
      <c r="BJ2250" s="70">
        <v>0</v>
      </c>
      <c r="BK2250" s="71">
        <v>0</v>
      </c>
      <c r="BL2250" s="71">
        <v>0</v>
      </c>
      <c r="BM2250" s="71">
        <v>0</v>
      </c>
      <c r="BN2250" s="72">
        <v>0</v>
      </c>
      <c r="BO2250" s="151" t="e">
        <f t="shared" si="149"/>
        <v>#DIV/0!</v>
      </c>
      <c r="BP2250" s="151" t="e">
        <f t="shared" si="150"/>
        <v>#DIV/0!</v>
      </c>
      <c r="BQ2250" s="71">
        <v>0</v>
      </c>
      <c r="BR2250" s="71">
        <v>0</v>
      </c>
      <c r="BS2250" s="71">
        <v>0</v>
      </c>
      <c r="BT2250" s="72">
        <v>0</v>
      </c>
      <c r="BU2250" s="151" t="e">
        <f t="shared" si="151"/>
        <v>#DIV/0!</v>
      </c>
      <c r="BV2250" s="151" t="e">
        <f t="shared" si="152"/>
        <v>#DIV/0!</v>
      </c>
    </row>
    <row r="2251" ht="30" customHeight="1" spans="1:74">
      <c r="A2251" s="55" t="s">
        <v>165</v>
      </c>
      <c r="B2251" s="56" t="s">
        <v>1237</v>
      </c>
      <c r="C2251" s="57" t="s">
        <v>3226</v>
      </c>
      <c r="D2251" s="59" t="s">
        <v>3532</v>
      </c>
      <c r="E2251" s="59" t="s">
        <v>3537</v>
      </c>
      <c r="F2251" s="59" t="str">
        <f>VLOOKUP(E2251,[1]库存!$B$1:$C$65536,2,FALSE)</f>
        <v>L42P 19 IC RH C 状态</v>
      </c>
      <c r="G2251" s="59" t="s">
        <v>3538</v>
      </c>
      <c r="H2251" s="59" t="s">
        <v>3539</v>
      </c>
      <c r="I2251" s="59" t="s">
        <v>3536</v>
      </c>
      <c r="J2251" s="63"/>
      <c r="K2251" s="159"/>
      <c r="L2251" s="62">
        <v>0</v>
      </c>
      <c r="M2251" s="63">
        <v>745</v>
      </c>
      <c r="N2251" s="64">
        <v>16</v>
      </c>
      <c r="O2251" s="62">
        <v>0</v>
      </c>
      <c r="P2251" s="65">
        <f t="shared" si="153"/>
        <v>0</v>
      </c>
      <c r="Q2251" s="66"/>
      <c r="R2251" s="66"/>
      <c r="S2251" s="66"/>
      <c r="T2251" s="66"/>
      <c r="U2251" s="66"/>
      <c r="V2251" s="66"/>
      <c r="W2251" s="66"/>
      <c r="X2251" s="66"/>
      <c r="Y2251" s="66"/>
      <c r="Z2251" s="66"/>
      <c r="AA2251" s="66"/>
      <c r="AB2251" s="66"/>
      <c r="AC2251" s="66"/>
      <c r="AD2251" s="66"/>
      <c r="AE2251" s="66"/>
      <c r="AF2251" s="66"/>
      <c r="AG2251" s="66"/>
      <c r="AH2251" s="66"/>
      <c r="AI2251" s="66"/>
      <c r="AJ2251" s="66"/>
      <c r="AK2251" s="66"/>
      <c r="AL2251" s="66"/>
      <c r="AM2251" s="66"/>
      <c r="AN2251" s="66"/>
      <c r="AO2251" s="66"/>
      <c r="AP2251" s="66"/>
      <c r="AQ2251" s="66"/>
      <c r="AR2251" s="66"/>
      <c r="AS2251" s="66"/>
      <c r="AT2251" s="66"/>
      <c r="AU2251" s="66"/>
      <c r="AV2251" s="66"/>
      <c r="AW2251" s="66"/>
      <c r="AX2251" s="66"/>
      <c r="AY2251" s="66"/>
      <c r="AZ2251" s="66"/>
      <c r="BA2251" s="66"/>
      <c r="BB2251" s="66"/>
      <c r="BC2251" s="66"/>
      <c r="BD2251" s="66"/>
      <c r="BE2251" s="67"/>
      <c r="BF2251" s="67"/>
      <c r="BG2251" s="68"/>
      <c r="BI2251" s="69">
        <v>0</v>
      </c>
      <c r="BJ2251" s="70">
        <v>0</v>
      </c>
      <c r="BK2251" s="71">
        <v>0</v>
      </c>
      <c r="BL2251" s="71">
        <v>0</v>
      </c>
      <c r="BM2251" s="71">
        <v>0</v>
      </c>
      <c r="BN2251" s="72">
        <v>0</v>
      </c>
      <c r="BO2251" s="151" t="e">
        <f t="shared" si="149"/>
        <v>#DIV/0!</v>
      </c>
      <c r="BP2251" s="151" t="e">
        <f t="shared" si="150"/>
        <v>#DIV/0!</v>
      </c>
      <c r="BQ2251" s="71">
        <v>0</v>
      </c>
      <c r="BR2251" s="71">
        <v>0</v>
      </c>
      <c r="BS2251" s="71">
        <v>0</v>
      </c>
      <c r="BT2251" s="72">
        <v>0</v>
      </c>
      <c r="BU2251" s="151" t="e">
        <f t="shared" si="151"/>
        <v>#DIV/0!</v>
      </c>
      <c r="BV2251" s="151" t="e">
        <f t="shared" si="152"/>
        <v>#DIV/0!</v>
      </c>
    </row>
    <row r="2252" ht="30" customHeight="1" spans="1:74">
      <c r="A2252" s="55">
        <v>0</v>
      </c>
      <c r="B2252" s="56">
        <v>0</v>
      </c>
      <c r="C2252" s="57">
        <v>0</v>
      </c>
      <c r="D2252" s="74"/>
      <c r="E2252" s="74"/>
      <c r="F2252" s="59" t="e">
        <f>VLOOKUP(E2252,[1]库存!$B$1:$C$65536,2,FALSE)</f>
        <v>#N/A</v>
      </c>
      <c r="G2252" s="59" t="e">
        <v>#N/A</v>
      </c>
      <c r="H2252" s="74"/>
      <c r="I2252" s="74"/>
      <c r="J2252" s="87"/>
      <c r="K2252" s="159"/>
      <c r="L2252" s="62">
        <v>0</v>
      </c>
      <c r="M2252" s="63">
        <v>0</v>
      </c>
      <c r="N2252" s="64">
        <v>0</v>
      </c>
      <c r="O2252" s="62">
        <v>0</v>
      </c>
      <c r="P2252" s="65">
        <f t="shared" si="153"/>
        <v>0</v>
      </c>
      <c r="Q2252" s="66"/>
      <c r="R2252" s="66"/>
      <c r="S2252" s="66"/>
      <c r="T2252" s="66"/>
      <c r="U2252" s="66"/>
      <c r="V2252" s="66"/>
      <c r="W2252" s="66"/>
      <c r="X2252" s="66"/>
      <c r="Y2252" s="66"/>
      <c r="Z2252" s="66"/>
      <c r="AA2252" s="66"/>
      <c r="AB2252" s="66"/>
      <c r="AC2252" s="66"/>
      <c r="AD2252" s="66"/>
      <c r="AE2252" s="66"/>
      <c r="AF2252" s="66"/>
      <c r="AG2252" s="66"/>
      <c r="AH2252" s="66"/>
      <c r="AI2252" s="66"/>
      <c r="AJ2252" s="66"/>
      <c r="AK2252" s="66"/>
      <c r="AL2252" s="66"/>
      <c r="AM2252" s="66"/>
      <c r="AN2252" s="66"/>
      <c r="AO2252" s="66"/>
      <c r="AP2252" s="66"/>
      <c r="AQ2252" s="66"/>
      <c r="AR2252" s="66"/>
      <c r="AS2252" s="66"/>
      <c r="AT2252" s="66"/>
      <c r="AU2252" s="66"/>
      <c r="AV2252" s="66"/>
      <c r="AW2252" s="66"/>
      <c r="AX2252" s="66"/>
      <c r="AY2252" s="66"/>
      <c r="AZ2252" s="66"/>
      <c r="BA2252" s="66"/>
      <c r="BB2252" s="66"/>
      <c r="BC2252" s="66"/>
      <c r="BD2252" s="66"/>
      <c r="BE2252" s="67"/>
      <c r="BF2252" s="67"/>
      <c r="BG2252" s="68"/>
      <c r="BI2252" s="69">
        <v>0</v>
      </c>
      <c r="BJ2252" s="70">
        <v>0</v>
      </c>
      <c r="BK2252" s="71">
        <v>0</v>
      </c>
      <c r="BL2252" s="71">
        <v>0</v>
      </c>
      <c r="BM2252" s="71">
        <v>0</v>
      </c>
      <c r="BN2252" s="72">
        <v>0</v>
      </c>
      <c r="BO2252" s="151" t="e">
        <f t="shared" si="149"/>
        <v>#DIV/0!</v>
      </c>
      <c r="BP2252" s="151" t="e">
        <f t="shared" si="150"/>
        <v>#DIV/0!</v>
      </c>
      <c r="BQ2252" s="71">
        <v>0</v>
      </c>
      <c r="BR2252" s="71">
        <v>0</v>
      </c>
      <c r="BS2252" s="71">
        <v>0</v>
      </c>
      <c r="BT2252" s="72">
        <v>0</v>
      </c>
      <c r="BU2252" s="151" t="e">
        <f t="shared" si="151"/>
        <v>#DIV/0!</v>
      </c>
      <c r="BV2252" s="151" t="e">
        <f t="shared" si="152"/>
        <v>#DIV/0!</v>
      </c>
    </row>
    <row r="2253" ht="30" customHeight="1" spans="1:74">
      <c r="A2253" s="55">
        <v>0</v>
      </c>
      <c r="B2253" s="56">
        <v>0</v>
      </c>
      <c r="C2253" s="57">
        <v>0</v>
      </c>
      <c r="E2253" s="88"/>
      <c r="F2253" s="59" t="e">
        <f>VLOOKUP(E2253,[1]库存!$B$1:$C$65536,2,FALSE)</f>
        <v>#N/A</v>
      </c>
      <c r="G2253" s="59" t="e">
        <v>#N/A</v>
      </c>
      <c r="H2253" s="89"/>
      <c r="I2253" s="88"/>
      <c r="J2253" s="90"/>
      <c r="K2253" s="61"/>
      <c r="L2253" s="62">
        <v>0</v>
      </c>
      <c r="M2253" s="63">
        <v>0</v>
      </c>
      <c r="N2253" s="64">
        <v>0</v>
      </c>
      <c r="O2253" s="62">
        <v>0</v>
      </c>
      <c r="P2253" s="65">
        <f t="shared" si="153"/>
        <v>0</v>
      </c>
      <c r="Q2253" s="66"/>
      <c r="R2253" s="66"/>
      <c r="S2253" s="66"/>
      <c r="T2253" s="66"/>
      <c r="U2253" s="66"/>
      <c r="V2253" s="66"/>
      <c r="W2253" s="66"/>
      <c r="X2253" s="66"/>
      <c r="Y2253" s="66"/>
      <c r="Z2253" s="66"/>
      <c r="AA2253" s="66"/>
      <c r="AB2253" s="66"/>
      <c r="AC2253" s="66"/>
      <c r="AD2253" s="66"/>
      <c r="AE2253" s="66"/>
      <c r="AF2253" s="66"/>
      <c r="AG2253" s="66"/>
      <c r="AH2253" s="66"/>
      <c r="AI2253" s="66"/>
      <c r="AJ2253" s="66"/>
      <c r="AK2253" s="66"/>
      <c r="AL2253" s="66"/>
      <c r="AM2253" s="66"/>
      <c r="AN2253" s="66"/>
      <c r="AO2253" s="66"/>
      <c r="AP2253" s="66"/>
      <c r="AQ2253" s="66"/>
      <c r="AR2253" s="66"/>
      <c r="AS2253" s="66"/>
      <c r="AT2253" s="66"/>
      <c r="AU2253" s="66"/>
      <c r="AV2253" s="66"/>
      <c r="AW2253" s="66"/>
      <c r="AX2253" s="66"/>
      <c r="AY2253" s="66"/>
      <c r="AZ2253" s="66"/>
      <c r="BA2253" s="66"/>
      <c r="BB2253" s="66"/>
      <c r="BC2253" s="66"/>
      <c r="BD2253" s="66"/>
      <c r="BE2253" s="67"/>
      <c r="BF2253" s="67"/>
      <c r="BG2253" s="68"/>
      <c r="BI2253" s="69">
        <v>0</v>
      </c>
      <c r="BJ2253" s="70">
        <v>0</v>
      </c>
      <c r="BK2253" s="71">
        <v>0</v>
      </c>
      <c r="BL2253" s="71">
        <v>0</v>
      </c>
      <c r="BM2253" s="71">
        <v>0</v>
      </c>
      <c r="BN2253" s="72">
        <v>0</v>
      </c>
      <c r="BO2253" s="151" t="e">
        <f t="shared" si="149"/>
        <v>#DIV/0!</v>
      </c>
      <c r="BP2253" s="151" t="e">
        <f t="shared" si="150"/>
        <v>#DIV/0!</v>
      </c>
      <c r="BQ2253" s="71">
        <v>0</v>
      </c>
      <c r="BR2253" s="71">
        <v>0</v>
      </c>
      <c r="BS2253" s="71">
        <v>0</v>
      </c>
      <c r="BT2253" s="72">
        <v>0</v>
      </c>
      <c r="BU2253" s="151" t="e">
        <f t="shared" si="151"/>
        <v>#DIV/0!</v>
      </c>
      <c r="BV2253" s="151" t="e">
        <f t="shared" si="152"/>
        <v>#DIV/0!</v>
      </c>
    </row>
    <row r="2254" ht="30" customHeight="1" spans="1:74">
      <c r="A2254" s="55" t="s">
        <v>246</v>
      </c>
      <c r="B2254" s="56" t="s">
        <v>1237</v>
      </c>
      <c r="C2254" s="57" t="s">
        <v>3226</v>
      </c>
      <c r="D2254" s="57" t="s">
        <v>3540</v>
      </c>
      <c r="E2254" s="91" t="s">
        <v>3541</v>
      </c>
      <c r="F2254" s="91" t="str">
        <f>VLOOKUP(E2254,[1]库存!$B$1:$C$65536,2,FALSE)</f>
        <v>CHANGAN D587 RSAB LH</v>
      </c>
      <c r="G2254" s="91" t="s">
        <v>3542</v>
      </c>
      <c r="H2254" s="91" t="s">
        <v>3543</v>
      </c>
      <c r="I2254" s="91" t="s">
        <v>3544</v>
      </c>
      <c r="J2254" s="64"/>
      <c r="K2254" s="61"/>
      <c r="L2254" s="62">
        <v>0</v>
      </c>
      <c r="M2254" s="63">
        <v>1050</v>
      </c>
      <c r="N2254" s="64">
        <v>13</v>
      </c>
      <c r="O2254" s="62">
        <v>0</v>
      </c>
      <c r="P2254" s="65">
        <f t="shared" si="153"/>
        <v>0</v>
      </c>
      <c r="Q2254" s="66"/>
      <c r="R2254" s="66"/>
      <c r="S2254" s="66"/>
      <c r="T2254" s="66"/>
      <c r="U2254" s="66"/>
      <c r="V2254" s="66"/>
      <c r="W2254" s="66"/>
      <c r="X2254" s="66"/>
      <c r="Y2254" s="66"/>
      <c r="Z2254" s="66"/>
      <c r="AA2254" s="66"/>
      <c r="AB2254" s="66"/>
      <c r="AC2254" s="66"/>
      <c r="AD2254" s="66"/>
      <c r="AE2254" s="66"/>
      <c r="AF2254" s="66"/>
      <c r="AG2254" s="66"/>
      <c r="AH2254" s="66"/>
      <c r="AI2254" s="66"/>
      <c r="AJ2254" s="66"/>
      <c r="AK2254" s="66"/>
      <c r="AL2254" s="66"/>
      <c r="AM2254" s="66"/>
      <c r="AN2254" s="66"/>
      <c r="AO2254" s="66"/>
      <c r="AP2254" s="66"/>
      <c r="AQ2254" s="66"/>
      <c r="AR2254" s="66"/>
      <c r="AS2254" s="66"/>
      <c r="AT2254" s="66"/>
      <c r="AU2254" s="66"/>
      <c r="AV2254" s="66"/>
      <c r="AW2254" s="66"/>
      <c r="AX2254" s="66"/>
      <c r="AY2254" s="66"/>
      <c r="AZ2254" s="66"/>
      <c r="BA2254" s="66"/>
      <c r="BB2254" s="66"/>
      <c r="BC2254" s="66"/>
      <c r="BD2254" s="66"/>
      <c r="BE2254" s="67"/>
      <c r="BF2254" s="67"/>
      <c r="BG2254" s="68"/>
      <c r="BI2254" s="69">
        <v>0</v>
      </c>
      <c r="BJ2254" s="70">
        <v>0</v>
      </c>
      <c r="BK2254" s="71">
        <v>0</v>
      </c>
      <c r="BL2254" s="71">
        <v>0</v>
      </c>
      <c r="BM2254" s="71">
        <v>0</v>
      </c>
      <c r="BN2254" s="72">
        <v>0</v>
      </c>
      <c r="BO2254" s="151" t="e">
        <f t="shared" si="149"/>
        <v>#DIV/0!</v>
      </c>
      <c r="BP2254" s="151" t="e">
        <f t="shared" si="150"/>
        <v>#DIV/0!</v>
      </c>
      <c r="BQ2254" s="71">
        <v>0</v>
      </c>
      <c r="BR2254" s="71">
        <v>0</v>
      </c>
      <c r="BS2254" s="71">
        <v>0</v>
      </c>
      <c r="BT2254" s="72">
        <v>0</v>
      </c>
      <c r="BU2254" s="151" t="e">
        <f t="shared" si="151"/>
        <v>#DIV/0!</v>
      </c>
      <c r="BV2254" s="151" t="e">
        <f t="shared" si="152"/>
        <v>#DIV/0!</v>
      </c>
    </row>
    <row r="2255" ht="30" customHeight="1" spans="1:74">
      <c r="A2255" s="55">
        <v>0</v>
      </c>
      <c r="B2255" s="56">
        <v>0</v>
      </c>
      <c r="C2255" s="57">
        <v>0</v>
      </c>
      <c r="D2255" s="174"/>
      <c r="E2255" s="92"/>
      <c r="F2255" s="91" t="e">
        <f>VLOOKUP(E2255,[1]库存!$B$1:$C$65536,2,FALSE)</f>
        <v>#N/A</v>
      </c>
      <c r="G2255" s="91" t="e">
        <v>#N/A</v>
      </c>
      <c r="H2255" s="92"/>
      <c r="I2255" s="92"/>
      <c r="J2255" s="93"/>
      <c r="K2255" s="61"/>
      <c r="L2255" s="62">
        <v>0</v>
      </c>
      <c r="M2255" s="63">
        <v>0</v>
      </c>
      <c r="N2255" s="64">
        <v>0</v>
      </c>
      <c r="O2255" s="62">
        <v>0</v>
      </c>
      <c r="P2255" s="65">
        <f t="shared" si="153"/>
        <v>0</v>
      </c>
      <c r="Q2255" s="66"/>
      <c r="R2255" s="66"/>
      <c r="S2255" s="66"/>
      <c r="T2255" s="66"/>
      <c r="U2255" s="66"/>
      <c r="V2255" s="66"/>
      <c r="W2255" s="66"/>
      <c r="X2255" s="66"/>
      <c r="Y2255" s="66"/>
      <c r="Z2255" s="66"/>
      <c r="AA2255" s="66"/>
      <c r="AB2255" s="66"/>
      <c r="AC2255" s="66"/>
      <c r="AD2255" s="66"/>
      <c r="AE2255" s="66"/>
      <c r="AF2255" s="66"/>
      <c r="AG2255" s="66"/>
      <c r="AH2255" s="66"/>
      <c r="AI2255" s="66"/>
      <c r="AJ2255" s="66"/>
      <c r="AK2255" s="66"/>
      <c r="AL2255" s="66"/>
      <c r="AM2255" s="66"/>
      <c r="AN2255" s="66"/>
      <c r="AO2255" s="66"/>
      <c r="AP2255" s="66"/>
      <c r="AQ2255" s="66"/>
      <c r="AR2255" s="66"/>
      <c r="AS2255" s="66"/>
      <c r="AT2255" s="66"/>
      <c r="AU2255" s="66"/>
      <c r="AV2255" s="66"/>
      <c r="AW2255" s="66"/>
      <c r="AX2255" s="66"/>
      <c r="AY2255" s="66"/>
      <c r="AZ2255" s="66"/>
      <c r="BA2255" s="66"/>
      <c r="BB2255" s="66"/>
      <c r="BC2255" s="66"/>
      <c r="BD2255" s="66"/>
      <c r="BE2255" s="67"/>
      <c r="BF2255" s="67"/>
      <c r="BG2255" s="68"/>
      <c r="BI2255" s="69">
        <v>0</v>
      </c>
      <c r="BJ2255" s="70">
        <v>0</v>
      </c>
      <c r="BK2255" s="71">
        <v>0</v>
      </c>
      <c r="BL2255" s="71">
        <v>0</v>
      </c>
      <c r="BM2255" s="71">
        <v>0</v>
      </c>
      <c r="BN2255" s="72">
        <v>0</v>
      </c>
      <c r="BO2255" s="151" t="e">
        <f t="shared" si="149"/>
        <v>#DIV/0!</v>
      </c>
      <c r="BP2255" s="151" t="e">
        <f t="shared" si="150"/>
        <v>#DIV/0!</v>
      </c>
      <c r="BQ2255" s="71">
        <v>0</v>
      </c>
      <c r="BR2255" s="71">
        <v>0</v>
      </c>
      <c r="BS2255" s="71">
        <v>0</v>
      </c>
      <c r="BT2255" s="72">
        <v>0</v>
      </c>
      <c r="BU2255" s="151" t="e">
        <f t="shared" si="151"/>
        <v>#DIV/0!</v>
      </c>
      <c r="BV2255" s="151" t="e">
        <f t="shared" si="152"/>
        <v>#DIV/0!</v>
      </c>
    </row>
    <row r="2256" ht="30" customHeight="1" spans="1:74">
      <c r="A2256" s="55" t="s">
        <v>246</v>
      </c>
      <c r="B2256" s="56" t="s">
        <v>1237</v>
      </c>
      <c r="C2256" s="57" t="s">
        <v>3226</v>
      </c>
      <c r="D2256" s="57" t="s">
        <v>3540</v>
      </c>
      <c r="E2256" s="91" t="s">
        <v>3545</v>
      </c>
      <c r="F2256" s="91" t="str">
        <f>VLOOKUP(E2256,[1]库存!$B$1:$C$65536,2,FALSE)</f>
        <v>CHANGAN D587 RSAB RH</v>
      </c>
      <c r="G2256" s="91" t="s">
        <v>3546</v>
      </c>
      <c r="H2256" s="91" t="s">
        <v>3547</v>
      </c>
      <c r="I2256" s="91" t="s">
        <v>3548</v>
      </c>
      <c r="J2256" s="64"/>
      <c r="K2256" s="61"/>
      <c r="L2256" s="62">
        <v>0</v>
      </c>
      <c r="M2256" s="63">
        <v>1050</v>
      </c>
      <c r="N2256" s="64">
        <v>13</v>
      </c>
      <c r="O2256" s="62">
        <v>0</v>
      </c>
      <c r="P2256" s="65">
        <f t="shared" si="153"/>
        <v>0</v>
      </c>
      <c r="Q2256" s="66"/>
      <c r="R2256" s="66"/>
      <c r="S2256" s="66"/>
      <c r="T2256" s="66"/>
      <c r="U2256" s="66"/>
      <c r="V2256" s="66"/>
      <c r="W2256" s="66"/>
      <c r="X2256" s="66"/>
      <c r="Y2256" s="66"/>
      <c r="Z2256" s="66"/>
      <c r="AA2256" s="66"/>
      <c r="AB2256" s="66"/>
      <c r="AC2256" s="66"/>
      <c r="AD2256" s="66"/>
      <c r="AE2256" s="66"/>
      <c r="AF2256" s="66"/>
      <c r="AG2256" s="66"/>
      <c r="AH2256" s="66"/>
      <c r="AI2256" s="66"/>
      <c r="AJ2256" s="66"/>
      <c r="AK2256" s="66"/>
      <c r="AL2256" s="66"/>
      <c r="AM2256" s="66"/>
      <c r="AN2256" s="66"/>
      <c r="AO2256" s="66"/>
      <c r="AP2256" s="66"/>
      <c r="AQ2256" s="66"/>
      <c r="AR2256" s="66"/>
      <c r="AS2256" s="66"/>
      <c r="AT2256" s="66"/>
      <c r="AU2256" s="66"/>
      <c r="AV2256" s="66"/>
      <c r="AW2256" s="66"/>
      <c r="AX2256" s="66"/>
      <c r="AY2256" s="66"/>
      <c r="AZ2256" s="66"/>
      <c r="BA2256" s="66"/>
      <c r="BB2256" s="66"/>
      <c r="BC2256" s="66"/>
      <c r="BD2256" s="66"/>
      <c r="BE2256" s="67"/>
      <c r="BF2256" s="67"/>
      <c r="BG2256" s="68"/>
      <c r="BI2256" s="69">
        <v>0</v>
      </c>
      <c r="BJ2256" s="70">
        <v>0</v>
      </c>
      <c r="BK2256" s="71">
        <v>0</v>
      </c>
      <c r="BL2256" s="71">
        <v>0</v>
      </c>
      <c r="BM2256" s="71">
        <v>0</v>
      </c>
      <c r="BN2256" s="72">
        <v>0</v>
      </c>
      <c r="BO2256" s="151" t="e">
        <f t="shared" si="149"/>
        <v>#DIV/0!</v>
      </c>
      <c r="BP2256" s="151" t="e">
        <f t="shared" si="150"/>
        <v>#DIV/0!</v>
      </c>
      <c r="BQ2256" s="71">
        <v>0</v>
      </c>
      <c r="BR2256" s="71">
        <v>0</v>
      </c>
      <c r="BS2256" s="71">
        <v>0</v>
      </c>
      <c r="BT2256" s="72">
        <v>0</v>
      </c>
      <c r="BU2256" s="151" t="e">
        <f t="shared" si="151"/>
        <v>#DIV/0!</v>
      </c>
      <c r="BV2256" s="151" t="e">
        <f t="shared" si="152"/>
        <v>#DIV/0!</v>
      </c>
    </row>
    <row r="2257" ht="30" customHeight="1" spans="1:74">
      <c r="A2257" s="55">
        <v>0</v>
      </c>
      <c r="B2257" s="56">
        <v>0</v>
      </c>
      <c r="C2257" s="57">
        <v>0</v>
      </c>
      <c r="D2257" s="174"/>
      <c r="E2257" s="92"/>
      <c r="F2257" s="91" t="e">
        <f>VLOOKUP(E2257,[1]库存!$B$1:$C$65536,2,FALSE)</f>
        <v>#N/A</v>
      </c>
      <c r="G2257" s="91" t="e">
        <v>#N/A</v>
      </c>
      <c r="H2257" s="92"/>
      <c r="I2257" s="92"/>
      <c r="J2257" s="93"/>
      <c r="K2257" s="61"/>
      <c r="L2257" s="62">
        <v>0</v>
      </c>
      <c r="M2257" s="63">
        <v>0</v>
      </c>
      <c r="N2257" s="64">
        <v>0</v>
      </c>
      <c r="O2257" s="62">
        <v>0</v>
      </c>
      <c r="P2257" s="65">
        <f t="shared" si="153"/>
        <v>0</v>
      </c>
      <c r="Q2257" s="66"/>
      <c r="R2257" s="66"/>
      <c r="S2257" s="66"/>
      <c r="T2257" s="66"/>
      <c r="U2257" s="66"/>
      <c r="V2257" s="66"/>
      <c r="W2257" s="66"/>
      <c r="X2257" s="66"/>
      <c r="Y2257" s="66"/>
      <c r="Z2257" s="66"/>
      <c r="AA2257" s="66"/>
      <c r="AB2257" s="66"/>
      <c r="AC2257" s="66"/>
      <c r="AD2257" s="66"/>
      <c r="AE2257" s="66"/>
      <c r="AF2257" s="66"/>
      <c r="AG2257" s="66"/>
      <c r="AH2257" s="66"/>
      <c r="AI2257" s="66"/>
      <c r="AJ2257" s="66"/>
      <c r="AK2257" s="66"/>
      <c r="AL2257" s="66"/>
      <c r="AM2257" s="66"/>
      <c r="AN2257" s="66"/>
      <c r="AO2257" s="66"/>
      <c r="AP2257" s="66"/>
      <c r="AQ2257" s="66"/>
      <c r="AR2257" s="66"/>
      <c r="AS2257" s="66"/>
      <c r="AT2257" s="66"/>
      <c r="AU2257" s="66"/>
      <c r="AV2257" s="66"/>
      <c r="AW2257" s="66"/>
      <c r="AX2257" s="66"/>
      <c r="AY2257" s="66"/>
      <c r="AZ2257" s="66"/>
      <c r="BA2257" s="66"/>
      <c r="BB2257" s="66"/>
      <c r="BC2257" s="66"/>
      <c r="BD2257" s="66"/>
      <c r="BE2257" s="67"/>
      <c r="BF2257" s="67"/>
      <c r="BG2257" s="68"/>
      <c r="BI2257" s="69">
        <v>0</v>
      </c>
      <c r="BJ2257" s="70">
        <v>0</v>
      </c>
      <c r="BK2257" s="71">
        <v>0</v>
      </c>
      <c r="BL2257" s="71">
        <v>0</v>
      </c>
      <c r="BM2257" s="71">
        <v>0</v>
      </c>
      <c r="BN2257" s="72">
        <v>0</v>
      </c>
      <c r="BO2257" s="151" t="e">
        <f t="shared" si="149"/>
        <v>#DIV/0!</v>
      </c>
      <c r="BP2257" s="151" t="e">
        <f t="shared" si="150"/>
        <v>#DIV/0!</v>
      </c>
      <c r="BQ2257" s="71">
        <v>0</v>
      </c>
      <c r="BR2257" s="71">
        <v>0</v>
      </c>
      <c r="BS2257" s="71">
        <v>0</v>
      </c>
      <c r="BT2257" s="72">
        <v>0</v>
      </c>
      <c r="BU2257" s="151" t="e">
        <f t="shared" si="151"/>
        <v>#DIV/0!</v>
      </c>
      <c r="BV2257" s="151" t="e">
        <f t="shared" si="152"/>
        <v>#DIV/0!</v>
      </c>
    </row>
    <row r="2258" ht="30" customHeight="1" spans="1:74">
      <c r="A2258" s="55" t="s">
        <v>165</v>
      </c>
      <c r="B2258" s="56" t="s">
        <v>1237</v>
      </c>
      <c r="C2258" s="57" t="s">
        <v>3226</v>
      </c>
      <c r="D2258" s="57" t="s">
        <v>3540</v>
      </c>
      <c r="E2258" s="91" t="s">
        <v>3549</v>
      </c>
      <c r="F2258" s="91" t="str">
        <f>VLOOKUP(E2258,[1]库存!$B$1:$C$65536,2,FALSE)</f>
        <v>GWM P06 SAB LH A状态</v>
      </c>
      <c r="G2258" s="91" t="s">
        <v>3550</v>
      </c>
      <c r="H2258" s="91" t="s">
        <v>3551</v>
      </c>
      <c r="I2258" s="91" t="s">
        <v>250</v>
      </c>
      <c r="J2258" s="82" t="s">
        <v>1805</v>
      </c>
      <c r="K2258" s="61"/>
      <c r="L2258" s="62">
        <v>2</v>
      </c>
      <c r="M2258" s="63">
        <v>1000</v>
      </c>
      <c r="N2258" s="64">
        <v>13</v>
      </c>
      <c r="O2258" s="62">
        <v>2</v>
      </c>
      <c r="P2258" s="65">
        <f t="shared" si="153"/>
        <v>0</v>
      </c>
      <c r="Q2258" s="66"/>
      <c r="R2258" s="66"/>
      <c r="S2258" s="66"/>
      <c r="T2258" s="66"/>
      <c r="U2258" s="66"/>
      <c r="V2258" s="66"/>
      <c r="W2258" s="66"/>
      <c r="X2258" s="66"/>
      <c r="Y2258" s="66"/>
      <c r="Z2258" s="66"/>
      <c r="AA2258" s="66"/>
      <c r="AB2258" s="66"/>
      <c r="AC2258" s="66"/>
      <c r="AD2258" s="66"/>
      <c r="AE2258" s="66"/>
      <c r="AF2258" s="66"/>
      <c r="AG2258" s="66"/>
      <c r="AH2258" s="66"/>
      <c r="AI2258" s="66"/>
      <c r="AJ2258" s="66"/>
      <c r="AK2258" s="66"/>
      <c r="AL2258" s="66"/>
      <c r="AM2258" s="66"/>
      <c r="AN2258" s="66"/>
      <c r="AO2258" s="66"/>
      <c r="AP2258" s="66"/>
      <c r="AQ2258" s="66"/>
      <c r="AR2258" s="66"/>
      <c r="AS2258" s="66"/>
      <c r="AT2258" s="66"/>
      <c r="AU2258" s="66"/>
      <c r="AV2258" s="66"/>
      <c r="AW2258" s="66"/>
      <c r="AX2258" s="66"/>
      <c r="AY2258" s="66"/>
      <c r="AZ2258" s="66"/>
      <c r="BA2258" s="66"/>
      <c r="BB2258" s="66"/>
      <c r="BC2258" s="66"/>
      <c r="BD2258" s="66"/>
      <c r="BE2258" s="67"/>
      <c r="BF2258" s="67"/>
      <c r="BG2258" s="68"/>
      <c r="BI2258" s="69">
        <v>0</v>
      </c>
      <c r="BJ2258" s="70">
        <v>0</v>
      </c>
      <c r="BK2258" s="71">
        <v>0</v>
      </c>
      <c r="BL2258" s="71">
        <v>0</v>
      </c>
      <c r="BM2258" s="71">
        <v>0</v>
      </c>
      <c r="BN2258" s="72">
        <v>0</v>
      </c>
      <c r="BO2258" s="151" t="e">
        <f t="shared" si="149"/>
        <v>#DIV/0!</v>
      </c>
      <c r="BP2258" s="151" t="e">
        <f t="shared" si="150"/>
        <v>#DIV/0!</v>
      </c>
      <c r="BQ2258" s="71">
        <v>0</v>
      </c>
      <c r="BR2258" s="71">
        <v>0</v>
      </c>
      <c r="BS2258" s="71">
        <v>0</v>
      </c>
      <c r="BT2258" s="72">
        <v>0</v>
      </c>
      <c r="BU2258" s="151" t="e">
        <f t="shared" si="151"/>
        <v>#DIV/0!</v>
      </c>
      <c r="BV2258" s="151" t="e">
        <f t="shared" si="152"/>
        <v>#DIV/0!</v>
      </c>
    </row>
    <row r="2259" ht="30" customHeight="1" spans="1:74">
      <c r="A2259" s="55">
        <v>0</v>
      </c>
      <c r="B2259" s="56">
        <v>0</v>
      </c>
      <c r="C2259" s="57">
        <v>0</v>
      </c>
      <c r="D2259" s="174"/>
      <c r="E2259" s="92"/>
      <c r="F2259" s="91" t="e">
        <f>VLOOKUP(E2259,[1]库存!$B$1:$C$65536,2,FALSE)</f>
        <v>#N/A</v>
      </c>
      <c r="G2259" s="91" t="e">
        <v>#N/A</v>
      </c>
      <c r="H2259" s="92"/>
      <c r="I2259" s="92"/>
      <c r="J2259" s="83"/>
      <c r="K2259" s="61"/>
      <c r="L2259" s="62">
        <v>0</v>
      </c>
      <c r="M2259" s="63">
        <v>0</v>
      </c>
      <c r="N2259" s="64">
        <v>0</v>
      </c>
      <c r="O2259" s="62">
        <v>0</v>
      </c>
      <c r="P2259" s="65">
        <f t="shared" si="153"/>
        <v>0</v>
      </c>
      <c r="Q2259" s="66"/>
      <c r="R2259" s="66"/>
      <c r="S2259" s="66"/>
      <c r="T2259" s="66"/>
      <c r="U2259" s="66"/>
      <c r="V2259" s="66"/>
      <c r="W2259" s="66"/>
      <c r="X2259" s="66"/>
      <c r="Y2259" s="66"/>
      <c r="Z2259" s="66"/>
      <c r="AA2259" s="66"/>
      <c r="AB2259" s="66"/>
      <c r="AC2259" s="66"/>
      <c r="AD2259" s="66"/>
      <c r="AE2259" s="66"/>
      <c r="AF2259" s="66"/>
      <c r="AG2259" s="66"/>
      <c r="AH2259" s="66"/>
      <c r="AI2259" s="66"/>
      <c r="AJ2259" s="66"/>
      <c r="AK2259" s="66"/>
      <c r="AL2259" s="66"/>
      <c r="AM2259" s="66"/>
      <c r="AN2259" s="66"/>
      <c r="AO2259" s="66"/>
      <c r="AP2259" s="66"/>
      <c r="AQ2259" s="66"/>
      <c r="AR2259" s="66"/>
      <c r="AS2259" s="66"/>
      <c r="AT2259" s="66"/>
      <c r="AU2259" s="66"/>
      <c r="AV2259" s="66"/>
      <c r="AW2259" s="66"/>
      <c r="AX2259" s="66"/>
      <c r="AY2259" s="66"/>
      <c r="AZ2259" s="66"/>
      <c r="BA2259" s="66"/>
      <c r="BB2259" s="66"/>
      <c r="BC2259" s="66"/>
      <c r="BD2259" s="66"/>
      <c r="BE2259" s="67"/>
      <c r="BF2259" s="67"/>
      <c r="BG2259" s="68"/>
      <c r="BI2259" s="69">
        <v>0</v>
      </c>
      <c r="BJ2259" s="70">
        <v>0</v>
      </c>
      <c r="BK2259" s="71">
        <v>0</v>
      </c>
      <c r="BL2259" s="71">
        <v>0</v>
      </c>
      <c r="BM2259" s="71">
        <v>0</v>
      </c>
      <c r="BN2259" s="72">
        <v>0</v>
      </c>
      <c r="BO2259" s="151" t="e">
        <f t="shared" si="149"/>
        <v>#DIV/0!</v>
      </c>
      <c r="BP2259" s="151" t="e">
        <f t="shared" si="150"/>
        <v>#DIV/0!</v>
      </c>
      <c r="BQ2259" s="71">
        <v>0</v>
      </c>
      <c r="BR2259" s="71">
        <v>0</v>
      </c>
      <c r="BS2259" s="71">
        <v>0</v>
      </c>
      <c r="BT2259" s="72">
        <v>0</v>
      </c>
      <c r="BU2259" s="151" t="e">
        <f t="shared" si="151"/>
        <v>#DIV/0!</v>
      </c>
      <c r="BV2259" s="151" t="e">
        <f t="shared" si="152"/>
        <v>#DIV/0!</v>
      </c>
    </row>
    <row r="2260" ht="30" customHeight="1" spans="1:74">
      <c r="A2260" s="55" t="s">
        <v>165</v>
      </c>
      <c r="B2260" s="56" t="s">
        <v>1237</v>
      </c>
      <c r="C2260" s="57" t="s">
        <v>3226</v>
      </c>
      <c r="D2260" s="57" t="s">
        <v>3540</v>
      </c>
      <c r="E2260" s="91" t="s">
        <v>3552</v>
      </c>
      <c r="F2260" s="91" t="str">
        <f>VLOOKUP(E2260,[1]库存!$B$1:$C$65536,2,FALSE)</f>
        <v>GWM P06 SAB RH A状态</v>
      </c>
      <c r="G2260" s="91" t="s">
        <v>3553</v>
      </c>
      <c r="H2260" s="91" t="s">
        <v>3554</v>
      </c>
      <c r="I2260" s="91" t="s">
        <v>250</v>
      </c>
      <c r="J2260" s="83"/>
      <c r="K2260" s="61"/>
      <c r="L2260" s="62">
        <v>2</v>
      </c>
      <c r="M2260" s="63">
        <v>1000</v>
      </c>
      <c r="N2260" s="64">
        <v>13</v>
      </c>
      <c r="O2260" s="62">
        <v>2</v>
      </c>
      <c r="P2260" s="65">
        <f t="shared" si="153"/>
        <v>0</v>
      </c>
      <c r="Q2260" s="66"/>
      <c r="R2260" s="66"/>
      <c r="S2260" s="66"/>
      <c r="T2260" s="66"/>
      <c r="U2260" s="66"/>
      <c r="V2260" s="66"/>
      <c r="W2260" s="66"/>
      <c r="X2260" s="66"/>
      <c r="Y2260" s="66"/>
      <c r="Z2260" s="66"/>
      <c r="AA2260" s="66"/>
      <c r="AB2260" s="66"/>
      <c r="AC2260" s="66"/>
      <c r="AD2260" s="66"/>
      <c r="AE2260" s="66"/>
      <c r="AF2260" s="66"/>
      <c r="AG2260" s="66"/>
      <c r="AH2260" s="66"/>
      <c r="AI2260" s="66"/>
      <c r="AJ2260" s="66"/>
      <c r="AK2260" s="66"/>
      <c r="AL2260" s="66"/>
      <c r="AM2260" s="66"/>
      <c r="AN2260" s="66"/>
      <c r="AO2260" s="66"/>
      <c r="AP2260" s="66"/>
      <c r="AQ2260" s="66"/>
      <c r="AR2260" s="66"/>
      <c r="AS2260" s="66"/>
      <c r="AT2260" s="66"/>
      <c r="AU2260" s="66"/>
      <c r="AV2260" s="66"/>
      <c r="AW2260" s="66"/>
      <c r="AX2260" s="66"/>
      <c r="AY2260" s="66"/>
      <c r="AZ2260" s="66"/>
      <c r="BA2260" s="66"/>
      <c r="BB2260" s="66"/>
      <c r="BC2260" s="66"/>
      <c r="BD2260" s="66"/>
      <c r="BE2260" s="67"/>
      <c r="BF2260" s="67"/>
      <c r="BG2260" s="68"/>
      <c r="BI2260" s="69">
        <v>0</v>
      </c>
      <c r="BJ2260" s="70">
        <v>0</v>
      </c>
      <c r="BK2260" s="71">
        <v>0</v>
      </c>
      <c r="BL2260" s="71">
        <v>0</v>
      </c>
      <c r="BM2260" s="71">
        <v>0</v>
      </c>
      <c r="BN2260" s="72">
        <v>0</v>
      </c>
      <c r="BO2260" s="151" t="e">
        <f t="shared" si="149"/>
        <v>#DIV/0!</v>
      </c>
      <c r="BP2260" s="151" t="e">
        <f t="shared" si="150"/>
        <v>#DIV/0!</v>
      </c>
      <c r="BQ2260" s="71">
        <v>0</v>
      </c>
      <c r="BR2260" s="71">
        <v>0</v>
      </c>
      <c r="BS2260" s="71">
        <v>0</v>
      </c>
      <c r="BT2260" s="72">
        <v>0</v>
      </c>
      <c r="BU2260" s="151" t="e">
        <f t="shared" si="151"/>
        <v>#DIV/0!</v>
      </c>
      <c r="BV2260" s="151" t="e">
        <f t="shared" si="152"/>
        <v>#DIV/0!</v>
      </c>
    </row>
    <row r="2261" ht="30" customHeight="1" spans="1:74">
      <c r="A2261" s="55">
        <v>0</v>
      </c>
      <c r="B2261" s="56">
        <v>0</v>
      </c>
      <c r="C2261" s="57">
        <v>0</v>
      </c>
      <c r="D2261" s="174"/>
      <c r="E2261" s="92"/>
      <c r="F2261" s="91" t="e">
        <f>VLOOKUP(E2261,[1]库存!$B$1:$C$65536,2,FALSE)</f>
        <v>#N/A</v>
      </c>
      <c r="G2261" s="91" t="e">
        <v>#N/A</v>
      </c>
      <c r="H2261" s="92"/>
      <c r="I2261" s="92"/>
      <c r="J2261" s="83"/>
      <c r="K2261" s="61"/>
      <c r="L2261" s="62">
        <v>0</v>
      </c>
      <c r="M2261" s="63">
        <v>0</v>
      </c>
      <c r="N2261" s="64">
        <v>0</v>
      </c>
      <c r="O2261" s="62">
        <v>0</v>
      </c>
      <c r="P2261" s="65">
        <f t="shared" si="153"/>
        <v>0</v>
      </c>
      <c r="Q2261" s="66"/>
      <c r="R2261" s="66"/>
      <c r="S2261" s="66"/>
      <c r="T2261" s="66"/>
      <c r="U2261" s="66"/>
      <c r="V2261" s="66"/>
      <c r="W2261" s="66"/>
      <c r="X2261" s="66"/>
      <c r="Y2261" s="66"/>
      <c r="Z2261" s="66"/>
      <c r="AA2261" s="66"/>
      <c r="AB2261" s="66"/>
      <c r="AC2261" s="66"/>
      <c r="AD2261" s="66"/>
      <c r="AE2261" s="66"/>
      <c r="AF2261" s="66"/>
      <c r="AG2261" s="66"/>
      <c r="AH2261" s="66"/>
      <c r="AI2261" s="66"/>
      <c r="AJ2261" s="66"/>
      <c r="AK2261" s="66"/>
      <c r="AL2261" s="66"/>
      <c r="AM2261" s="66"/>
      <c r="AN2261" s="66"/>
      <c r="AO2261" s="66"/>
      <c r="AP2261" s="66"/>
      <c r="AQ2261" s="66"/>
      <c r="AR2261" s="66"/>
      <c r="AS2261" s="66"/>
      <c r="AT2261" s="66"/>
      <c r="AU2261" s="66"/>
      <c r="AV2261" s="66"/>
      <c r="AW2261" s="66"/>
      <c r="AX2261" s="66"/>
      <c r="AY2261" s="66"/>
      <c r="AZ2261" s="66"/>
      <c r="BA2261" s="66"/>
      <c r="BB2261" s="66"/>
      <c r="BC2261" s="66"/>
      <c r="BD2261" s="66"/>
      <c r="BE2261" s="67"/>
      <c r="BF2261" s="67"/>
      <c r="BG2261" s="68"/>
      <c r="BI2261" s="69">
        <v>0</v>
      </c>
      <c r="BJ2261" s="70">
        <v>0</v>
      </c>
      <c r="BK2261" s="71">
        <v>0</v>
      </c>
      <c r="BL2261" s="71">
        <v>0</v>
      </c>
      <c r="BM2261" s="71">
        <v>0</v>
      </c>
      <c r="BN2261" s="72">
        <v>0</v>
      </c>
      <c r="BO2261" s="151" t="e">
        <f t="shared" si="149"/>
        <v>#DIV/0!</v>
      </c>
      <c r="BP2261" s="151" t="e">
        <f t="shared" si="150"/>
        <v>#DIV/0!</v>
      </c>
      <c r="BQ2261" s="71">
        <v>0</v>
      </c>
      <c r="BR2261" s="71">
        <v>0</v>
      </c>
      <c r="BS2261" s="71">
        <v>0</v>
      </c>
      <c r="BT2261" s="72">
        <v>0</v>
      </c>
      <c r="BU2261" s="151" t="e">
        <f t="shared" si="151"/>
        <v>#DIV/0!</v>
      </c>
      <c r="BV2261" s="151" t="e">
        <f t="shared" si="152"/>
        <v>#DIV/0!</v>
      </c>
    </row>
    <row r="2262" ht="30" customHeight="1" spans="1:74">
      <c r="A2262" s="55" t="s">
        <v>246</v>
      </c>
      <c r="B2262" s="56" t="s">
        <v>1237</v>
      </c>
      <c r="C2262" s="57" t="s">
        <v>3226</v>
      </c>
      <c r="D2262" s="59" t="s">
        <v>3540</v>
      </c>
      <c r="E2262" s="59" t="s">
        <v>3555</v>
      </c>
      <c r="F2262" s="59" t="str">
        <f>VLOOKUP(E2262,[1]库存!$B$1:$C$65536,2,FALSE)</f>
        <v>GWM ES13 SAB LH</v>
      </c>
      <c r="G2262" s="59" t="s">
        <v>3556</v>
      </c>
      <c r="H2262" s="59" t="s">
        <v>3557</v>
      </c>
      <c r="I2262" s="59" t="s">
        <v>1804</v>
      </c>
      <c r="J2262" s="271" t="s">
        <v>3558</v>
      </c>
      <c r="K2262" s="61"/>
      <c r="L2262" s="62">
        <v>2</v>
      </c>
      <c r="M2262" s="63">
        <v>1050</v>
      </c>
      <c r="N2262" s="64">
        <v>12</v>
      </c>
      <c r="O2262" s="62">
        <v>2</v>
      </c>
      <c r="P2262" s="65">
        <f t="shared" si="153"/>
        <v>0</v>
      </c>
      <c r="Q2262" s="103"/>
      <c r="R2262" s="66"/>
      <c r="S2262" s="103"/>
      <c r="T2262" s="66"/>
      <c r="U2262" s="103"/>
      <c r="V2262" s="66"/>
      <c r="W2262" s="103"/>
      <c r="X2262" s="66"/>
      <c r="Y2262" s="103"/>
      <c r="Z2262" s="66"/>
      <c r="AA2262" s="103"/>
      <c r="AB2262" s="66"/>
      <c r="AC2262" s="103"/>
      <c r="AD2262" s="66"/>
      <c r="AE2262" s="103"/>
      <c r="AF2262" s="66"/>
      <c r="AG2262" s="103"/>
      <c r="AH2262" s="66"/>
      <c r="AI2262" s="103"/>
      <c r="AJ2262" s="66"/>
      <c r="AK2262" s="103"/>
      <c r="AL2262" s="66"/>
      <c r="AM2262" s="103"/>
      <c r="AN2262" s="66"/>
      <c r="AO2262" s="103"/>
      <c r="AP2262" s="66"/>
      <c r="AQ2262" s="103"/>
      <c r="AR2262" s="66"/>
      <c r="AS2262" s="103"/>
      <c r="AT2262" s="66"/>
      <c r="AU2262" s="103"/>
      <c r="AV2262" s="66"/>
      <c r="AW2262" s="103"/>
      <c r="AX2262" s="66"/>
      <c r="AY2262" s="103"/>
      <c r="AZ2262" s="66"/>
      <c r="BA2262" s="103"/>
      <c r="BB2262" s="66"/>
      <c r="BC2262" s="103"/>
      <c r="BD2262" s="66"/>
      <c r="BE2262" s="67"/>
      <c r="BF2262" s="67"/>
      <c r="BG2262" s="68"/>
      <c r="BI2262" s="69">
        <v>0</v>
      </c>
      <c r="BJ2262" s="70">
        <v>0</v>
      </c>
      <c r="BK2262" s="71">
        <v>0</v>
      </c>
      <c r="BL2262" s="71">
        <v>0</v>
      </c>
      <c r="BM2262" s="71">
        <v>0</v>
      </c>
      <c r="BN2262" s="72">
        <v>0</v>
      </c>
      <c r="BO2262" s="151" t="e">
        <f t="shared" si="149"/>
        <v>#DIV/0!</v>
      </c>
      <c r="BP2262" s="151" t="e">
        <f t="shared" si="150"/>
        <v>#DIV/0!</v>
      </c>
      <c r="BQ2262" s="71">
        <v>0</v>
      </c>
      <c r="BR2262" s="71">
        <v>0</v>
      </c>
      <c r="BS2262" s="71">
        <v>0</v>
      </c>
      <c r="BT2262" s="72">
        <v>0</v>
      </c>
      <c r="BU2262" s="151" t="e">
        <f t="shared" si="151"/>
        <v>#DIV/0!</v>
      </c>
      <c r="BV2262" s="151" t="e">
        <f t="shared" si="152"/>
        <v>#DIV/0!</v>
      </c>
    </row>
    <row r="2263" ht="30" customHeight="1" spans="1:74">
      <c r="A2263" s="55">
        <v>0</v>
      </c>
      <c r="B2263" s="56">
        <v>0</v>
      </c>
      <c r="C2263" s="57">
        <v>0</v>
      </c>
      <c r="D2263" s="74"/>
      <c r="E2263" s="74"/>
      <c r="F2263" s="59" t="e">
        <f>VLOOKUP(E2263,[1]库存!$B$1:$C$65536,2,FALSE)</f>
        <v>#N/A</v>
      </c>
      <c r="G2263" s="59" t="e">
        <v>#N/A</v>
      </c>
      <c r="H2263" s="74"/>
      <c r="I2263" s="74"/>
      <c r="J2263" s="272"/>
      <c r="K2263" s="61"/>
      <c r="L2263" s="62">
        <v>0</v>
      </c>
      <c r="M2263" s="63">
        <v>0</v>
      </c>
      <c r="N2263" s="64">
        <v>0</v>
      </c>
      <c r="O2263" s="62">
        <v>0</v>
      </c>
      <c r="P2263" s="65">
        <f t="shared" si="153"/>
        <v>0</v>
      </c>
      <c r="Q2263" s="66"/>
      <c r="R2263" s="66"/>
      <c r="S2263" s="66"/>
      <c r="T2263" s="66"/>
      <c r="U2263" s="66"/>
      <c r="V2263" s="66"/>
      <c r="W2263" s="66"/>
      <c r="X2263" s="66"/>
      <c r="Y2263" s="66"/>
      <c r="Z2263" s="66"/>
      <c r="AA2263" s="66"/>
      <c r="AB2263" s="66"/>
      <c r="AC2263" s="66"/>
      <c r="AD2263" s="66"/>
      <c r="AE2263" s="66"/>
      <c r="AF2263" s="66"/>
      <c r="AG2263" s="66"/>
      <c r="AH2263" s="66"/>
      <c r="AI2263" s="66"/>
      <c r="AJ2263" s="66"/>
      <c r="AK2263" s="66"/>
      <c r="AL2263" s="66"/>
      <c r="AM2263" s="66"/>
      <c r="AN2263" s="66"/>
      <c r="AO2263" s="66"/>
      <c r="AP2263" s="66"/>
      <c r="AQ2263" s="66"/>
      <c r="AR2263" s="66"/>
      <c r="AS2263" s="66"/>
      <c r="AT2263" s="66"/>
      <c r="AU2263" s="66"/>
      <c r="AV2263" s="66"/>
      <c r="AW2263" s="66"/>
      <c r="AX2263" s="66"/>
      <c r="AY2263" s="66"/>
      <c r="AZ2263" s="66"/>
      <c r="BA2263" s="66"/>
      <c r="BB2263" s="66"/>
      <c r="BC2263" s="66"/>
      <c r="BD2263" s="66"/>
      <c r="BE2263" s="67"/>
      <c r="BF2263" s="67"/>
      <c r="BG2263" s="68"/>
      <c r="BI2263" s="69">
        <v>0</v>
      </c>
      <c r="BJ2263" s="70">
        <v>0</v>
      </c>
      <c r="BK2263" s="71">
        <v>0</v>
      </c>
      <c r="BL2263" s="71">
        <v>0</v>
      </c>
      <c r="BM2263" s="71">
        <v>0</v>
      </c>
      <c r="BN2263" s="72">
        <v>0</v>
      </c>
      <c r="BO2263" s="151" t="e">
        <f t="shared" si="149"/>
        <v>#DIV/0!</v>
      </c>
      <c r="BP2263" s="151" t="e">
        <f t="shared" si="150"/>
        <v>#DIV/0!</v>
      </c>
      <c r="BQ2263" s="71">
        <v>0</v>
      </c>
      <c r="BR2263" s="71">
        <v>0</v>
      </c>
      <c r="BS2263" s="71">
        <v>0</v>
      </c>
      <c r="BT2263" s="72">
        <v>0</v>
      </c>
      <c r="BU2263" s="151" t="e">
        <f t="shared" si="151"/>
        <v>#DIV/0!</v>
      </c>
      <c r="BV2263" s="151" t="e">
        <f t="shared" si="152"/>
        <v>#DIV/0!</v>
      </c>
    </row>
    <row r="2264" ht="30" customHeight="1" spans="1:74">
      <c r="A2264" s="55" t="s">
        <v>246</v>
      </c>
      <c r="B2264" s="56" t="s">
        <v>1237</v>
      </c>
      <c r="C2264" s="57" t="s">
        <v>3226</v>
      </c>
      <c r="D2264" s="59" t="s">
        <v>3540</v>
      </c>
      <c r="E2264" s="59" t="s">
        <v>3559</v>
      </c>
      <c r="F2264" s="59" t="str">
        <f>VLOOKUP(E2264,[1]库存!$B$1:$C$65536,2,FALSE)</f>
        <v>GWM ES13 SAB RH</v>
      </c>
      <c r="G2264" s="59" t="s">
        <v>3560</v>
      </c>
      <c r="H2264" s="59" t="s">
        <v>3561</v>
      </c>
      <c r="I2264" s="59" t="s">
        <v>1804</v>
      </c>
      <c r="J2264" s="272"/>
      <c r="K2264" s="61"/>
      <c r="L2264" s="62">
        <v>2</v>
      </c>
      <c r="M2264" s="63">
        <v>1050</v>
      </c>
      <c r="N2264" s="64">
        <v>12</v>
      </c>
      <c r="O2264" s="62">
        <v>2</v>
      </c>
      <c r="P2264" s="65">
        <f t="shared" si="153"/>
        <v>0</v>
      </c>
      <c r="Q2264" s="103"/>
      <c r="R2264" s="66"/>
      <c r="S2264" s="103"/>
      <c r="T2264" s="66"/>
      <c r="U2264" s="103"/>
      <c r="V2264" s="66"/>
      <c r="W2264" s="103"/>
      <c r="X2264" s="66"/>
      <c r="Y2264" s="103"/>
      <c r="Z2264" s="66"/>
      <c r="AA2264" s="103"/>
      <c r="AB2264" s="66"/>
      <c r="AC2264" s="103"/>
      <c r="AD2264" s="66"/>
      <c r="AE2264" s="103"/>
      <c r="AF2264" s="66"/>
      <c r="AG2264" s="103"/>
      <c r="AH2264" s="66"/>
      <c r="AI2264" s="103"/>
      <c r="AJ2264" s="66"/>
      <c r="AK2264" s="103"/>
      <c r="AL2264" s="66"/>
      <c r="AM2264" s="103"/>
      <c r="AN2264" s="66"/>
      <c r="AO2264" s="103"/>
      <c r="AP2264" s="66"/>
      <c r="AQ2264" s="103"/>
      <c r="AR2264" s="66"/>
      <c r="AS2264" s="103"/>
      <c r="AT2264" s="66"/>
      <c r="AU2264" s="103"/>
      <c r="AV2264" s="66"/>
      <c r="AW2264" s="103"/>
      <c r="AX2264" s="66"/>
      <c r="AY2264" s="103"/>
      <c r="AZ2264" s="66"/>
      <c r="BA2264" s="103"/>
      <c r="BB2264" s="66"/>
      <c r="BC2264" s="103"/>
      <c r="BD2264" s="66"/>
      <c r="BE2264" s="67"/>
      <c r="BF2264" s="67"/>
      <c r="BG2264" s="68"/>
      <c r="BI2264" s="69">
        <v>0</v>
      </c>
      <c r="BJ2264" s="70">
        <v>0</v>
      </c>
      <c r="BK2264" s="71">
        <v>0</v>
      </c>
      <c r="BL2264" s="71">
        <v>0</v>
      </c>
      <c r="BM2264" s="71">
        <v>0</v>
      </c>
      <c r="BN2264" s="72">
        <v>0</v>
      </c>
      <c r="BO2264" s="151" t="e">
        <f t="shared" si="149"/>
        <v>#DIV/0!</v>
      </c>
      <c r="BP2264" s="151" t="e">
        <f t="shared" si="150"/>
        <v>#DIV/0!</v>
      </c>
      <c r="BQ2264" s="71">
        <v>0</v>
      </c>
      <c r="BR2264" s="71">
        <v>0</v>
      </c>
      <c r="BS2264" s="71">
        <v>0</v>
      </c>
      <c r="BT2264" s="72">
        <v>0</v>
      </c>
      <c r="BU2264" s="151" t="e">
        <f t="shared" si="151"/>
        <v>#DIV/0!</v>
      </c>
      <c r="BV2264" s="151" t="e">
        <f t="shared" si="152"/>
        <v>#DIV/0!</v>
      </c>
    </row>
    <row r="2265" ht="30" customHeight="1" spans="1:74">
      <c r="A2265" s="55">
        <v>0</v>
      </c>
      <c r="B2265" s="56">
        <v>0</v>
      </c>
      <c r="C2265" s="57">
        <v>0</v>
      </c>
      <c r="D2265" s="74"/>
      <c r="E2265" s="74"/>
      <c r="F2265" s="59" t="e">
        <f>VLOOKUP(E2265,[1]库存!$B$1:$C$65536,2,FALSE)</f>
        <v>#N/A</v>
      </c>
      <c r="G2265" s="59" t="e">
        <v>#N/A</v>
      </c>
      <c r="H2265" s="74"/>
      <c r="I2265" s="74"/>
      <c r="J2265" s="272"/>
      <c r="K2265" s="61"/>
      <c r="L2265" s="62">
        <v>0</v>
      </c>
      <c r="M2265" s="63">
        <v>0</v>
      </c>
      <c r="N2265" s="64">
        <v>0</v>
      </c>
      <c r="O2265" s="62">
        <v>0</v>
      </c>
      <c r="P2265" s="65">
        <f t="shared" si="153"/>
        <v>0</v>
      </c>
      <c r="Q2265" s="66"/>
      <c r="R2265" s="66"/>
      <c r="S2265" s="66"/>
      <c r="T2265" s="66"/>
      <c r="U2265" s="66"/>
      <c r="V2265" s="66"/>
      <c r="W2265" s="66"/>
      <c r="X2265" s="66"/>
      <c r="Y2265" s="66"/>
      <c r="Z2265" s="66"/>
      <c r="AA2265" s="66"/>
      <c r="AB2265" s="66"/>
      <c r="AC2265" s="66"/>
      <c r="AD2265" s="66"/>
      <c r="AE2265" s="66"/>
      <c r="AF2265" s="66"/>
      <c r="AG2265" s="66"/>
      <c r="AH2265" s="66"/>
      <c r="AI2265" s="66"/>
      <c r="AJ2265" s="66"/>
      <c r="AK2265" s="66"/>
      <c r="AL2265" s="66"/>
      <c r="AM2265" s="66"/>
      <c r="AN2265" s="66"/>
      <c r="AO2265" s="66"/>
      <c r="AP2265" s="66"/>
      <c r="AQ2265" s="66"/>
      <c r="AR2265" s="66"/>
      <c r="AS2265" s="66"/>
      <c r="AT2265" s="66"/>
      <c r="AU2265" s="66"/>
      <c r="AV2265" s="66"/>
      <c r="AW2265" s="66"/>
      <c r="AX2265" s="66"/>
      <c r="AY2265" s="66"/>
      <c r="AZ2265" s="66"/>
      <c r="BA2265" s="66"/>
      <c r="BB2265" s="66"/>
      <c r="BC2265" s="66"/>
      <c r="BD2265" s="66"/>
      <c r="BE2265" s="67"/>
      <c r="BF2265" s="67"/>
      <c r="BG2265" s="68"/>
      <c r="BI2265" s="69">
        <v>0</v>
      </c>
      <c r="BJ2265" s="70">
        <v>0</v>
      </c>
      <c r="BK2265" s="71">
        <v>0</v>
      </c>
      <c r="BL2265" s="71">
        <v>0</v>
      </c>
      <c r="BM2265" s="71">
        <v>0</v>
      </c>
      <c r="BN2265" s="72">
        <v>0</v>
      </c>
      <c r="BO2265" s="151" t="e">
        <f t="shared" si="149"/>
        <v>#DIV/0!</v>
      </c>
      <c r="BP2265" s="151" t="e">
        <f t="shared" si="150"/>
        <v>#DIV/0!</v>
      </c>
      <c r="BQ2265" s="71">
        <v>0</v>
      </c>
      <c r="BR2265" s="71">
        <v>0</v>
      </c>
      <c r="BS2265" s="71">
        <v>0</v>
      </c>
      <c r="BT2265" s="72">
        <v>0</v>
      </c>
      <c r="BU2265" s="151" t="e">
        <f t="shared" si="151"/>
        <v>#DIV/0!</v>
      </c>
      <c r="BV2265" s="151" t="e">
        <f t="shared" si="152"/>
        <v>#DIV/0!</v>
      </c>
    </row>
    <row r="2266" ht="30" customHeight="1" spans="1:74">
      <c r="A2266" s="55" t="s">
        <v>246</v>
      </c>
      <c r="B2266" s="56" t="s">
        <v>1237</v>
      </c>
      <c r="C2266" s="57" t="s">
        <v>3226</v>
      </c>
      <c r="D2266" s="187" t="s">
        <v>3540</v>
      </c>
      <c r="E2266" s="187" t="s">
        <v>3555</v>
      </c>
      <c r="F2266" s="169" t="s">
        <v>3562</v>
      </c>
      <c r="G2266" s="311" t="s">
        <v>3563</v>
      </c>
      <c r="H2266" s="187" t="s">
        <v>3564</v>
      </c>
      <c r="I2266" s="187" t="s">
        <v>1804</v>
      </c>
      <c r="J2266" s="273" t="s">
        <v>3565</v>
      </c>
      <c r="K2266" s="61"/>
      <c r="L2266" s="62">
        <v>2</v>
      </c>
      <c r="M2266" s="63">
        <v>1050</v>
      </c>
      <c r="N2266" s="64">
        <v>12</v>
      </c>
      <c r="O2266" s="62">
        <v>2</v>
      </c>
      <c r="P2266" s="65">
        <f t="shared" si="153"/>
        <v>0</v>
      </c>
      <c r="Q2266" s="66"/>
      <c r="R2266" s="66"/>
      <c r="S2266" s="66"/>
      <c r="T2266" s="66"/>
      <c r="U2266" s="66"/>
      <c r="V2266" s="66"/>
      <c r="W2266" s="66"/>
      <c r="X2266" s="66"/>
      <c r="Y2266" s="66"/>
      <c r="Z2266" s="66"/>
      <c r="AA2266" s="66"/>
      <c r="AB2266" s="66"/>
      <c r="AC2266" s="66"/>
      <c r="AD2266" s="66"/>
      <c r="AE2266" s="66"/>
      <c r="AF2266" s="66"/>
      <c r="AG2266" s="66"/>
      <c r="AH2266" s="66"/>
      <c r="AI2266" s="66"/>
      <c r="AJ2266" s="66"/>
      <c r="AK2266" s="66"/>
      <c r="AL2266" s="66"/>
      <c r="AM2266" s="66"/>
      <c r="AN2266" s="66"/>
      <c r="AO2266" s="66"/>
      <c r="AP2266" s="66"/>
      <c r="AQ2266" s="66"/>
      <c r="AR2266" s="66"/>
      <c r="AS2266" s="66"/>
      <c r="AT2266" s="66"/>
      <c r="AU2266" s="66"/>
      <c r="AV2266" s="66"/>
      <c r="AW2266" s="66"/>
      <c r="AX2266" s="66"/>
      <c r="AY2266" s="66"/>
      <c r="AZ2266" s="66"/>
      <c r="BA2266" s="66"/>
      <c r="BB2266" s="66"/>
      <c r="BC2266" s="66"/>
      <c r="BD2266" s="66"/>
      <c r="BE2266" s="67"/>
      <c r="BF2266" s="67"/>
      <c r="BG2266" s="68"/>
      <c r="BI2266" s="69">
        <v>0</v>
      </c>
      <c r="BJ2266" s="70">
        <v>0</v>
      </c>
      <c r="BK2266" s="71">
        <v>0</v>
      </c>
      <c r="BL2266" s="71">
        <v>0</v>
      </c>
      <c r="BM2266" s="71">
        <v>0</v>
      </c>
      <c r="BN2266" s="72">
        <v>0</v>
      </c>
      <c r="BO2266" s="151" t="e">
        <f t="shared" si="149"/>
        <v>#DIV/0!</v>
      </c>
      <c r="BP2266" s="151" t="e">
        <f t="shared" si="150"/>
        <v>#DIV/0!</v>
      </c>
      <c r="BQ2266" s="71">
        <v>0</v>
      </c>
      <c r="BR2266" s="71">
        <v>0</v>
      </c>
      <c r="BS2266" s="71">
        <v>0</v>
      </c>
      <c r="BT2266" s="72">
        <v>0</v>
      </c>
      <c r="BU2266" s="151" t="e">
        <f t="shared" si="151"/>
        <v>#DIV/0!</v>
      </c>
      <c r="BV2266" s="151" t="e">
        <f t="shared" si="152"/>
        <v>#DIV/0!</v>
      </c>
    </row>
    <row r="2267" ht="30" customHeight="1" spans="1:74">
      <c r="A2267" s="55">
        <v>0</v>
      </c>
      <c r="B2267" s="56">
        <v>0</v>
      </c>
      <c r="C2267" s="57">
        <v>0</v>
      </c>
      <c r="D2267" s="211"/>
      <c r="E2267" s="211"/>
      <c r="F2267" s="169" t="e">
        <f>VLOOKUP(E2267,[1]库存!$B$1:$C$65536,2,FALSE)</f>
        <v>#N/A</v>
      </c>
      <c r="G2267" s="187" t="e">
        <v>#N/A</v>
      </c>
      <c r="H2267" s="211"/>
      <c r="I2267" s="211"/>
      <c r="J2267" s="274"/>
      <c r="K2267" s="61"/>
      <c r="L2267" s="62">
        <v>0</v>
      </c>
      <c r="M2267" s="63">
        <v>0</v>
      </c>
      <c r="N2267" s="64">
        <v>0</v>
      </c>
      <c r="O2267" s="62">
        <v>0</v>
      </c>
      <c r="P2267" s="65">
        <f t="shared" si="153"/>
        <v>0</v>
      </c>
      <c r="Q2267" s="66"/>
      <c r="R2267" s="66"/>
      <c r="S2267" s="66"/>
      <c r="T2267" s="66"/>
      <c r="U2267" s="66"/>
      <c r="V2267" s="66"/>
      <c r="W2267" s="66"/>
      <c r="X2267" s="66"/>
      <c r="Y2267" s="66"/>
      <c r="Z2267" s="66"/>
      <c r="AA2267" s="66"/>
      <c r="AB2267" s="66"/>
      <c r="AC2267" s="66"/>
      <c r="AD2267" s="66"/>
      <c r="AE2267" s="66"/>
      <c r="AF2267" s="66"/>
      <c r="AG2267" s="66"/>
      <c r="AH2267" s="66"/>
      <c r="AI2267" s="66"/>
      <c r="AJ2267" s="66"/>
      <c r="AK2267" s="66"/>
      <c r="AL2267" s="66"/>
      <c r="AM2267" s="66"/>
      <c r="AN2267" s="66"/>
      <c r="AO2267" s="66"/>
      <c r="AP2267" s="66"/>
      <c r="AQ2267" s="66"/>
      <c r="AR2267" s="66"/>
      <c r="AS2267" s="66"/>
      <c r="AT2267" s="66"/>
      <c r="AU2267" s="66"/>
      <c r="AV2267" s="66"/>
      <c r="AW2267" s="66"/>
      <c r="AX2267" s="66"/>
      <c r="AY2267" s="66"/>
      <c r="AZ2267" s="66"/>
      <c r="BA2267" s="66"/>
      <c r="BB2267" s="66"/>
      <c r="BC2267" s="66"/>
      <c r="BD2267" s="66"/>
      <c r="BE2267" s="67"/>
      <c r="BF2267" s="67"/>
      <c r="BG2267" s="68"/>
      <c r="BI2267" s="69">
        <v>0</v>
      </c>
      <c r="BJ2267" s="70">
        <v>0</v>
      </c>
      <c r="BK2267" s="71">
        <v>0</v>
      </c>
      <c r="BL2267" s="71">
        <v>0</v>
      </c>
      <c r="BM2267" s="71">
        <v>0</v>
      </c>
      <c r="BN2267" s="72">
        <v>0</v>
      </c>
      <c r="BO2267" s="151" t="e">
        <f t="shared" si="149"/>
        <v>#DIV/0!</v>
      </c>
      <c r="BP2267" s="151" t="e">
        <f t="shared" si="150"/>
        <v>#DIV/0!</v>
      </c>
      <c r="BQ2267" s="71">
        <v>0</v>
      </c>
      <c r="BR2267" s="71">
        <v>0</v>
      </c>
      <c r="BS2267" s="71">
        <v>0</v>
      </c>
      <c r="BT2267" s="72">
        <v>0</v>
      </c>
      <c r="BU2267" s="151" t="e">
        <f t="shared" si="151"/>
        <v>#DIV/0!</v>
      </c>
      <c r="BV2267" s="151" t="e">
        <f t="shared" si="152"/>
        <v>#DIV/0!</v>
      </c>
    </row>
    <row r="2268" ht="30" customHeight="1" spans="1:74">
      <c r="A2268" s="55" t="s">
        <v>246</v>
      </c>
      <c r="B2268" s="56" t="s">
        <v>1237</v>
      </c>
      <c r="C2268" s="57" t="s">
        <v>3226</v>
      </c>
      <c r="D2268" s="187" t="s">
        <v>3540</v>
      </c>
      <c r="E2268" s="187" t="s">
        <v>3559</v>
      </c>
      <c r="F2268" s="169" t="s">
        <v>3566</v>
      </c>
      <c r="G2268" s="311" t="s">
        <v>3567</v>
      </c>
      <c r="H2268" s="187" t="s">
        <v>3568</v>
      </c>
      <c r="I2268" s="187" t="s">
        <v>1804</v>
      </c>
      <c r="J2268" s="274"/>
      <c r="K2268" s="61"/>
      <c r="L2268" s="62">
        <v>2</v>
      </c>
      <c r="M2268" s="63">
        <v>1050</v>
      </c>
      <c r="N2268" s="64">
        <v>12</v>
      </c>
      <c r="O2268" s="62">
        <v>2</v>
      </c>
      <c r="P2268" s="65">
        <f t="shared" si="153"/>
        <v>0</v>
      </c>
      <c r="Q2268" s="66"/>
      <c r="R2268" s="66"/>
      <c r="S2268" s="66"/>
      <c r="T2268" s="66"/>
      <c r="U2268" s="66"/>
      <c r="V2268" s="66"/>
      <c r="W2268" s="66"/>
      <c r="X2268" s="66"/>
      <c r="Y2268" s="66"/>
      <c r="Z2268" s="66"/>
      <c r="AA2268" s="66"/>
      <c r="AB2268" s="66"/>
      <c r="AC2268" s="66"/>
      <c r="AD2268" s="66"/>
      <c r="AE2268" s="66"/>
      <c r="AF2268" s="66"/>
      <c r="AG2268" s="66"/>
      <c r="AH2268" s="66"/>
      <c r="AI2268" s="66"/>
      <c r="AJ2268" s="66"/>
      <c r="AK2268" s="66"/>
      <c r="AL2268" s="66"/>
      <c r="AM2268" s="66"/>
      <c r="AN2268" s="66"/>
      <c r="AO2268" s="66"/>
      <c r="AP2268" s="66"/>
      <c r="AQ2268" s="66"/>
      <c r="AR2268" s="66"/>
      <c r="AS2268" s="66"/>
      <c r="AT2268" s="66"/>
      <c r="AU2268" s="66"/>
      <c r="AV2268" s="66"/>
      <c r="AW2268" s="66"/>
      <c r="AX2268" s="66"/>
      <c r="AY2268" s="66"/>
      <c r="AZ2268" s="66"/>
      <c r="BA2268" s="66"/>
      <c r="BB2268" s="66"/>
      <c r="BC2268" s="66"/>
      <c r="BD2268" s="66"/>
      <c r="BE2268" s="67"/>
      <c r="BF2268" s="67"/>
      <c r="BG2268" s="68"/>
      <c r="BI2268" s="69">
        <v>0</v>
      </c>
      <c r="BJ2268" s="70">
        <v>0</v>
      </c>
      <c r="BK2268" s="71">
        <v>0</v>
      </c>
      <c r="BL2268" s="71">
        <v>0</v>
      </c>
      <c r="BM2268" s="71">
        <v>0</v>
      </c>
      <c r="BN2268" s="72">
        <v>0</v>
      </c>
      <c r="BO2268" s="151" t="e">
        <f t="shared" si="149"/>
        <v>#DIV/0!</v>
      </c>
      <c r="BP2268" s="151" t="e">
        <f t="shared" si="150"/>
        <v>#DIV/0!</v>
      </c>
      <c r="BQ2268" s="71">
        <v>0</v>
      </c>
      <c r="BR2268" s="71">
        <v>0</v>
      </c>
      <c r="BS2268" s="71">
        <v>0</v>
      </c>
      <c r="BT2268" s="72">
        <v>0</v>
      </c>
      <c r="BU2268" s="151" t="e">
        <f t="shared" si="151"/>
        <v>#DIV/0!</v>
      </c>
      <c r="BV2268" s="151" t="e">
        <f t="shared" si="152"/>
        <v>#DIV/0!</v>
      </c>
    </row>
    <row r="2269" ht="30" customHeight="1" spans="1:74">
      <c r="A2269" s="55">
        <v>0</v>
      </c>
      <c r="B2269" s="56">
        <v>0</v>
      </c>
      <c r="C2269" s="57">
        <v>0</v>
      </c>
      <c r="D2269" s="211"/>
      <c r="E2269" s="211"/>
      <c r="F2269" s="187" t="e">
        <f>VLOOKUP(E2269,[1]库存!$B$1:$C$65536,2,FALSE)</f>
        <v>#N/A</v>
      </c>
      <c r="G2269" s="187" t="e">
        <v>#N/A</v>
      </c>
      <c r="H2269" s="211"/>
      <c r="I2269" s="211"/>
      <c r="J2269" s="274"/>
      <c r="K2269" s="61"/>
      <c r="L2269" s="62">
        <v>0</v>
      </c>
      <c r="M2269" s="63">
        <v>0</v>
      </c>
      <c r="N2269" s="64">
        <v>0</v>
      </c>
      <c r="O2269" s="62">
        <v>0</v>
      </c>
      <c r="P2269" s="65">
        <f t="shared" si="153"/>
        <v>0</v>
      </c>
      <c r="Q2269" s="66"/>
      <c r="R2269" s="66"/>
      <c r="S2269" s="66"/>
      <c r="T2269" s="66"/>
      <c r="U2269" s="66"/>
      <c r="V2269" s="66"/>
      <c r="W2269" s="66"/>
      <c r="X2269" s="66"/>
      <c r="Y2269" s="66"/>
      <c r="Z2269" s="66"/>
      <c r="AA2269" s="66"/>
      <c r="AB2269" s="66"/>
      <c r="AC2269" s="66"/>
      <c r="AD2269" s="66"/>
      <c r="AE2269" s="66"/>
      <c r="AF2269" s="66"/>
      <c r="AG2269" s="66"/>
      <c r="AH2269" s="66"/>
      <c r="AI2269" s="66"/>
      <c r="AJ2269" s="66"/>
      <c r="AK2269" s="66"/>
      <c r="AL2269" s="66"/>
      <c r="AM2269" s="66"/>
      <c r="AN2269" s="66"/>
      <c r="AO2269" s="66"/>
      <c r="AP2269" s="66"/>
      <c r="AQ2269" s="66"/>
      <c r="AR2269" s="66"/>
      <c r="AS2269" s="66"/>
      <c r="AT2269" s="66"/>
      <c r="AU2269" s="66"/>
      <c r="AV2269" s="66"/>
      <c r="AW2269" s="66"/>
      <c r="AX2269" s="66"/>
      <c r="AY2269" s="66"/>
      <c r="AZ2269" s="66"/>
      <c r="BA2269" s="66"/>
      <c r="BB2269" s="66"/>
      <c r="BC2269" s="66"/>
      <c r="BD2269" s="66"/>
      <c r="BE2269" s="67"/>
      <c r="BF2269" s="67"/>
      <c r="BG2269" s="68"/>
      <c r="BI2269" s="69">
        <v>0</v>
      </c>
      <c r="BJ2269" s="70">
        <v>0</v>
      </c>
      <c r="BK2269" s="71">
        <v>0</v>
      </c>
      <c r="BL2269" s="71">
        <v>0</v>
      </c>
      <c r="BM2269" s="71">
        <v>0</v>
      </c>
      <c r="BN2269" s="72">
        <v>0</v>
      </c>
      <c r="BO2269" s="151" t="e">
        <f t="shared" si="149"/>
        <v>#DIV/0!</v>
      </c>
      <c r="BP2269" s="151" t="e">
        <f t="shared" si="150"/>
        <v>#DIV/0!</v>
      </c>
      <c r="BQ2269" s="71">
        <v>0</v>
      </c>
      <c r="BR2269" s="71">
        <v>0</v>
      </c>
      <c r="BS2269" s="71">
        <v>0</v>
      </c>
      <c r="BT2269" s="72">
        <v>0</v>
      </c>
      <c r="BU2269" s="151" t="e">
        <f t="shared" si="151"/>
        <v>#DIV/0!</v>
      </c>
      <c r="BV2269" s="151" t="e">
        <f t="shared" si="152"/>
        <v>#DIV/0!</v>
      </c>
    </row>
    <row r="2270" ht="30" customHeight="1" spans="1:74">
      <c r="A2270" s="55" t="s">
        <v>165</v>
      </c>
      <c r="B2270" s="56" t="s">
        <v>1237</v>
      </c>
      <c r="C2270" s="57" t="s">
        <v>3226</v>
      </c>
      <c r="D2270" s="76" t="s">
        <v>3540</v>
      </c>
      <c r="E2270" s="59" t="s">
        <v>3569</v>
      </c>
      <c r="F2270" s="59" t="str">
        <f>VLOOKUP(E2270,[1]库存!$B$1:$C$65536,2,FALSE)</f>
        <v>GWM P05 FSAB LH</v>
      </c>
      <c r="G2270" s="59" t="s">
        <v>3570</v>
      </c>
      <c r="H2270" s="59" t="s">
        <v>3571</v>
      </c>
      <c r="I2270" s="59" t="s">
        <v>3572</v>
      </c>
      <c r="J2270" s="102" t="s">
        <v>65</v>
      </c>
      <c r="K2270" s="61"/>
      <c r="L2270" s="62">
        <v>0</v>
      </c>
      <c r="M2270" s="63">
        <v>1000</v>
      </c>
      <c r="N2270" s="64">
        <v>13</v>
      </c>
      <c r="O2270" s="62">
        <v>0</v>
      </c>
      <c r="P2270" s="65">
        <f t="shared" si="153"/>
        <v>0</v>
      </c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  <c r="AA2270" s="66"/>
      <c r="AB2270" s="66"/>
      <c r="AC2270" s="66"/>
      <c r="AD2270" s="66"/>
      <c r="AE2270" s="66"/>
      <c r="AF2270" s="66"/>
      <c r="AG2270" s="66"/>
      <c r="AH2270" s="66"/>
      <c r="AI2270" s="66"/>
      <c r="AJ2270" s="66"/>
      <c r="AK2270" s="66"/>
      <c r="AL2270" s="66"/>
      <c r="AM2270" s="66"/>
      <c r="AN2270" s="66"/>
      <c r="AO2270" s="66"/>
      <c r="AP2270" s="66"/>
      <c r="AQ2270" s="66"/>
      <c r="AR2270" s="66"/>
      <c r="AS2270" s="66"/>
      <c r="AT2270" s="66"/>
      <c r="AU2270" s="66"/>
      <c r="AV2270" s="66"/>
      <c r="AW2270" s="66"/>
      <c r="AX2270" s="66"/>
      <c r="AY2270" s="66"/>
      <c r="AZ2270" s="66"/>
      <c r="BA2270" s="66"/>
      <c r="BB2270" s="66"/>
      <c r="BC2270" s="66"/>
      <c r="BD2270" s="66"/>
      <c r="BE2270" s="67"/>
      <c r="BF2270" s="67"/>
      <c r="BG2270" s="68"/>
      <c r="BI2270" s="69">
        <v>0</v>
      </c>
      <c r="BJ2270" s="70">
        <v>0</v>
      </c>
      <c r="BK2270" s="71">
        <v>0</v>
      </c>
      <c r="BL2270" s="71">
        <v>0</v>
      </c>
      <c r="BM2270" s="71">
        <v>0</v>
      </c>
      <c r="BN2270" s="72">
        <v>0</v>
      </c>
      <c r="BO2270" s="151" t="e">
        <f t="shared" si="149"/>
        <v>#DIV/0!</v>
      </c>
      <c r="BP2270" s="151" t="e">
        <f t="shared" si="150"/>
        <v>#DIV/0!</v>
      </c>
      <c r="BQ2270" s="71">
        <v>0</v>
      </c>
      <c r="BR2270" s="71">
        <v>0</v>
      </c>
      <c r="BS2270" s="71">
        <v>0</v>
      </c>
      <c r="BT2270" s="72">
        <v>0</v>
      </c>
      <c r="BU2270" s="151" t="e">
        <f t="shared" si="151"/>
        <v>#DIV/0!</v>
      </c>
      <c r="BV2270" s="151" t="e">
        <f t="shared" si="152"/>
        <v>#DIV/0!</v>
      </c>
    </row>
    <row r="2271" ht="30" customHeight="1" spans="1:74">
      <c r="A2271" s="55">
        <v>0</v>
      </c>
      <c r="B2271" s="56">
        <v>0</v>
      </c>
      <c r="C2271" s="57">
        <v>0</v>
      </c>
      <c r="D2271" s="78"/>
      <c r="E2271" s="74"/>
      <c r="F2271" s="59" t="e">
        <f>VLOOKUP(E2271,[1]库存!$B$1:$C$65536,2,FALSE)</f>
        <v>#N/A</v>
      </c>
      <c r="G2271" s="59" t="e">
        <v>#N/A</v>
      </c>
      <c r="H2271" s="74"/>
      <c r="I2271" s="74"/>
      <c r="J2271" s="102"/>
      <c r="K2271" s="61"/>
      <c r="L2271" s="62">
        <v>0</v>
      </c>
      <c r="M2271" s="63">
        <v>0</v>
      </c>
      <c r="N2271" s="64">
        <v>0</v>
      </c>
      <c r="O2271" s="62">
        <v>0</v>
      </c>
      <c r="P2271" s="65">
        <f t="shared" si="153"/>
        <v>0</v>
      </c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  <c r="AA2271" s="66"/>
      <c r="AB2271" s="66"/>
      <c r="AC2271" s="66"/>
      <c r="AD2271" s="66"/>
      <c r="AE2271" s="66"/>
      <c r="AF2271" s="66"/>
      <c r="AG2271" s="66"/>
      <c r="AH2271" s="66"/>
      <c r="AI2271" s="66"/>
      <c r="AJ2271" s="66"/>
      <c r="AK2271" s="66"/>
      <c r="AL2271" s="66"/>
      <c r="AM2271" s="66"/>
      <c r="AN2271" s="66"/>
      <c r="AO2271" s="66"/>
      <c r="AP2271" s="66"/>
      <c r="AQ2271" s="66"/>
      <c r="AR2271" s="66"/>
      <c r="AS2271" s="66"/>
      <c r="AT2271" s="66"/>
      <c r="AU2271" s="66"/>
      <c r="AV2271" s="66"/>
      <c r="AW2271" s="66"/>
      <c r="AX2271" s="66"/>
      <c r="AY2271" s="66"/>
      <c r="AZ2271" s="66"/>
      <c r="BA2271" s="66"/>
      <c r="BB2271" s="66"/>
      <c r="BC2271" s="66"/>
      <c r="BD2271" s="66"/>
      <c r="BE2271" s="67"/>
      <c r="BF2271" s="67"/>
      <c r="BG2271" s="68"/>
      <c r="BI2271" s="69">
        <v>0</v>
      </c>
      <c r="BJ2271" s="70">
        <v>0</v>
      </c>
      <c r="BK2271" s="71">
        <v>0</v>
      </c>
      <c r="BL2271" s="71">
        <v>0</v>
      </c>
      <c r="BM2271" s="71">
        <v>0</v>
      </c>
      <c r="BN2271" s="72">
        <v>0</v>
      </c>
      <c r="BO2271" s="151" t="e">
        <f t="shared" si="149"/>
        <v>#DIV/0!</v>
      </c>
      <c r="BP2271" s="151" t="e">
        <f t="shared" si="150"/>
        <v>#DIV/0!</v>
      </c>
      <c r="BQ2271" s="71">
        <v>0</v>
      </c>
      <c r="BR2271" s="71">
        <v>0</v>
      </c>
      <c r="BS2271" s="71">
        <v>0</v>
      </c>
      <c r="BT2271" s="72">
        <v>0</v>
      </c>
      <c r="BU2271" s="151" t="e">
        <f t="shared" si="151"/>
        <v>#DIV/0!</v>
      </c>
      <c r="BV2271" s="151" t="e">
        <f t="shared" si="152"/>
        <v>#DIV/0!</v>
      </c>
    </row>
    <row r="2272" ht="30" customHeight="1" spans="1:74">
      <c r="A2272" s="55" t="s">
        <v>165</v>
      </c>
      <c r="B2272" s="56" t="s">
        <v>1237</v>
      </c>
      <c r="C2272" s="57" t="s">
        <v>3226</v>
      </c>
      <c r="D2272" s="76" t="s">
        <v>3540</v>
      </c>
      <c r="E2272" s="59" t="s">
        <v>3573</v>
      </c>
      <c r="F2272" s="59" t="str">
        <f>VLOOKUP(E2272,[1]库存!$B$1:$C$65536,2,FALSE)</f>
        <v>GWM P05 FSAB RH</v>
      </c>
      <c r="G2272" s="59" t="s">
        <v>3574</v>
      </c>
      <c r="H2272" s="59" t="s">
        <v>3575</v>
      </c>
      <c r="I2272" s="59" t="s">
        <v>3572</v>
      </c>
      <c r="J2272" s="102" t="s">
        <v>65</v>
      </c>
      <c r="K2272" s="61"/>
      <c r="L2272" s="62">
        <v>0</v>
      </c>
      <c r="M2272" s="63">
        <v>1000</v>
      </c>
      <c r="N2272" s="64">
        <v>13</v>
      </c>
      <c r="O2272" s="62">
        <v>0</v>
      </c>
      <c r="P2272" s="65">
        <f t="shared" si="153"/>
        <v>0</v>
      </c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  <c r="AA2272" s="66"/>
      <c r="AB2272" s="66"/>
      <c r="AC2272" s="66"/>
      <c r="AD2272" s="66"/>
      <c r="AE2272" s="66"/>
      <c r="AF2272" s="66"/>
      <c r="AG2272" s="66"/>
      <c r="AH2272" s="66"/>
      <c r="AI2272" s="66"/>
      <c r="AJ2272" s="66"/>
      <c r="AK2272" s="66"/>
      <c r="AL2272" s="66"/>
      <c r="AM2272" s="66"/>
      <c r="AN2272" s="66"/>
      <c r="AO2272" s="66"/>
      <c r="AP2272" s="66"/>
      <c r="AQ2272" s="66"/>
      <c r="AR2272" s="66"/>
      <c r="AS2272" s="66"/>
      <c r="AT2272" s="66"/>
      <c r="AU2272" s="66"/>
      <c r="AV2272" s="66"/>
      <c r="AW2272" s="66"/>
      <c r="AX2272" s="66"/>
      <c r="AY2272" s="66"/>
      <c r="AZ2272" s="66"/>
      <c r="BA2272" s="66"/>
      <c r="BB2272" s="66"/>
      <c r="BC2272" s="66"/>
      <c r="BD2272" s="66"/>
      <c r="BE2272" s="67"/>
      <c r="BF2272" s="67"/>
      <c r="BG2272" s="68"/>
      <c r="BI2272" s="69">
        <v>0</v>
      </c>
      <c r="BJ2272" s="70">
        <v>0</v>
      </c>
      <c r="BK2272" s="71">
        <v>0</v>
      </c>
      <c r="BL2272" s="71">
        <v>0</v>
      </c>
      <c r="BM2272" s="71">
        <v>0</v>
      </c>
      <c r="BN2272" s="72">
        <v>0</v>
      </c>
      <c r="BO2272" s="151" t="e">
        <f t="shared" si="149"/>
        <v>#DIV/0!</v>
      </c>
      <c r="BP2272" s="151" t="e">
        <f t="shared" si="150"/>
        <v>#DIV/0!</v>
      </c>
      <c r="BQ2272" s="71">
        <v>0</v>
      </c>
      <c r="BR2272" s="71">
        <v>0</v>
      </c>
      <c r="BS2272" s="71">
        <v>0</v>
      </c>
      <c r="BT2272" s="72">
        <v>0</v>
      </c>
      <c r="BU2272" s="151" t="e">
        <f t="shared" si="151"/>
        <v>#DIV/0!</v>
      </c>
      <c r="BV2272" s="151" t="e">
        <f t="shared" si="152"/>
        <v>#DIV/0!</v>
      </c>
    </row>
    <row r="2273" ht="30" customHeight="1" spans="1:74">
      <c r="A2273" s="55">
        <v>0</v>
      </c>
      <c r="B2273" s="56">
        <v>0</v>
      </c>
      <c r="C2273" s="57">
        <v>0</v>
      </c>
      <c r="D2273" s="78"/>
      <c r="E2273" s="74"/>
      <c r="F2273" s="59" t="e">
        <f>VLOOKUP(E2273,[1]库存!$B$1:$C$65536,2,FALSE)</f>
        <v>#N/A</v>
      </c>
      <c r="G2273" s="59" t="e">
        <v>#N/A</v>
      </c>
      <c r="H2273" s="74"/>
      <c r="I2273" s="74"/>
      <c r="J2273" s="102"/>
      <c r="K2273" s="61"/>
      <c r="L2273" s="62">
        <v>0</v>
      </c>
      <c r="M2273" s="63">
        <v>0</v>
      </c>
      <c r="N2273" s="64">
        <v>0</v>
      </c>
      <c r="O2273" s="62">
        <v>0</v>
      </c>
      <c r="P2273" s="65">
        <f t="shared" si="153"/>
        <v>0</v>
      </c>
      <c r="Q2273" s="66"/>
      <c r="R2273" s="66"/>
      <c r="S2273" s="66"/>
      <c r="T2273" s="66"/>
      <c r="U2273" s="66"/>
      <c r="V2273" s="66"/>
      <c r="W2273" s="66"/>
      <c r="X2273" s="66"/>
      <c r="Y2273" s="66"/>
      <c r="Z2273" s="66"/>
      <c r="AA2273" s="66"/>
      <c r="AB2273" s="66"/>
      <c r="AC2273" s="66"/>
      <c r="AD2273" s="66"/>
      <c r="AE2273" s="66"/>
      <c r="AF2273" s="66"/>
      <c r="AG2273" s="66"/>
      <c r="AH2273" s="66"/>
      <c r="AI2273" s="66"/>
      <c r="AJ2273" s="66"/>
      <c r="AK2273" s="66"/>
      <c r="AL2273" s="66"/>
      <c r="AM2273" s="66"/>
      <c r="AN2273" s="66"/>
      <c r="AO2273" s="66"/>
      <c r="AP2273" s="66"/>
      <c r="AQ2273" s="66"/>
      <c r="AR2273" s="66"/>
      <c r="AS2273" s="66"/>
      <c r="AT2273" s="66"/>
      <c r="AU2273" s="66"/>
      <c r="AV2273" s="66"/>
      <c r="AW2273" s="66"/>
      <c r="AX2273" s="66"/>
      <c r="AY2273" s="66"/>
      <c r="AZ2273" s="66"/>
      <c r="BA2273" s="66"/>
      <c r="BB2273" s="66"/>
      <c r="BC2273" s="66"/>
      <c r="BD2273" s="66"/>
      <c r="BE2273" s="67"/>
      <c r="BF2273" s="67"/>
      <c r="BG2273" s="68"/>
      <c r="BI2273" s="69">
        <v>0</v>
      </c>
      <c r="BJ2273" s="70">
        <v>0</v>
      </c>
      <c r="BK2273" s="71">
        <v>0</v>
      </c>
      <c r="BL2273" s="71">
        <v>0</v>
      </c>
      <c r="BM2273" s="71">
        <v>0</v>
      </c>
      <c r="BN2273" s="72">
        <v>0</v>
      </c>
      <c r="BO2273" s="151" t="e">
        <f t="shared" si="149"/>
        <v>#DIV/0!</v>
      </c>
      <c r="BP2273" s="151" t="e">
        <f t="shared" si="150"/>
        <v>#DIV/0!</v>
      </c>
      <c r="BQ2273" s="71">
        <v>0</v>
      </c>
      <c r="BR2273" s="71">
        <v>0</v>
      </c>
      <c r="BS2273" s="71">
        <v>0</v>
      </c>
      <c r="BT2273" s="72">
        <v>0</v>
      </c>
      <c r="BU2273" s="151" t="e">
        <f t="shared" si="151"/>
        <v>#DIV/0!</v>
      </c>
      <c r="BV2273" s="151" t="e">
        <f t="shared" si="152"/>
        <v>#DIV/0!</v>
      </c>
    </row>
    <row r="2274" ht="30" customHeight="1" spans="1:74">
      <c r="A2274" s="55" t="s">
        <v>165</v>
      </c>
      <c r="B2274" s="56" t="s">
        <v>1237</v>
      </c>
      <c r="C2274" s="57" t="s">
        <v>3226</v>
      </c>
      <c r="D2274" s="76" t="s">
        <v>3540</v>
      </c>
      <c r="E2274" s="59" t="s">
        <v>3576</v>
      </c>
      <c r="F2274" s="59" t="str">
        <f>VLOOKUP(E2274,[1]库存!$B$1:$C$65536,2,FALSE)</f>
        <v>GWM P05 FSAB AU LH</v>
      </c>
      <c r="G2274" s="59" t="s">
        <v>3577</v>
      </c>
      <c r="H2274" s="59" t="s">
        <v>3578</v>
      </c>
      <c r="I2274" s="59" t="s">
        <v>3572</v>
      </c>
      <c r="J2274" s="102" t="s">
        <v>65</v>
      </c>
      <c r="K2274" s="61"/>
      <c r="L2274" s="62">
        <v>0</v>
      </c>
      <c r="M2274" s="63">
        <v>1000</v>
      </c>
      <c r="N2274" s="64">
        <v>13</v>
      </c>
      <c r="O2274" s="62">
        <v>0</v>
      </c>
      <c r="P2274" s="65">
        <f t="shared" si="153"/>
        <v>0</v>
      </c>
      <c r="Q2274" s="66"/>
      <c r="R2274" s="66"/>
      <c r="S2274" s="66"/>
      <c r="T2274" s="66"/>
      <c r="U2274" s="66"/>
      <c r="V2274" s="66"/>
      <c r="W2274" s="66"/>
      <c r="X2274" s="66"/>
      <c r="Y2274" s="66"/>
      <c r="Z2274" s="66"/>
      <c r="AA2274" s="66"/>
      <c r="AB2274" s="66"/>
      <c r="AC2274" s="66"/>
      <c r="AD2274" s="66"/>
      <c r="AE2274" s="66"/>
      <c r="AF2274" s="66"/>
      <c r="AG2274" s="66"/>
      <c r="AH2274" s="66"/>
      <c r="AI2274" s="66"/>
      <c r="AJ2274" s="66"/>
      <c r="AK2274" s="66"/>
      <c r="AL2274" s="66"/>
      <c r="AM2274" s="66"/>
      <c r="AN2274" s="66"/>
      <c r="AO2274" s="66"/>
      <c r="AP2274" s="66"/>
      <c r="AQ2274" s="66"/>
      <c r="AR2274" s="66"/>
      <c r="AS2274" s="66"/>
      <c r="AT2274" s="66"/>
      <c r="AU2274" s="66"/>
      <c r="AV2274" s="66"/>
      <c r="AW2274" s="66"/>
      <c r="AX2274" s="66"/>
      <c r="AY2274" s="66"/>
      <c r="AZ2274" s="66"/>
      <c r="BA2274" s="66"/>
      <c r="BB2274" s="66"/>
      <c r="BC2274" s="66"/>
      <c r="BD2274" s="66"/>
      <c r="BE2274" s="67"/>
      <c r="BF2274" s="67"/>
      <c r="BG2274" s="68"/>
      <c r="BI2274" s="69">
        <v>0</v>
      </c>
      <c r="BJ2274" s="70">
        <v>0</v>
      </c>
      <c r="BK2274" s="71">
        <v>0</v>
      </c>
      <c r="BL2274" s="71">
        <v>0</v>
      </c>
      <c r="BM2274" s="71">
        <v>0</v>
      </c>
      <c r="BN2274" s="72">
        <v>0</v>
      </c>
      <c r="BO2274" s="151" t="e">
        <f t="shared" si="149"/>
        <v>#DIV/0!</v>
      </c>
      <c r="BP2274" s="151" t="e">
        <f t="shared" si="150"/>
        <v>#DIV/0!</v>
      </c>
      <c r="BQ2274" s="71">
        <v>0</v>
      </c>
      <c r="BR2274" s="71">
        <v>0</v>
      </c>
      <c r="BS2274" s="71">
        <v>0</v>
      </c>
      <c r="BT2274" s="72">
        <v>0</v>
      </c>
      <c r="BU2274" s="151" t="e">
        <f t="shared" si="151"/>
        <v>#DIV/0!</v>
      </c>
      <c r="BV2274" s="151" t="e">
        <f t="shared" si="152"/>
        <v>#DIV/0!</v>
      </c>
    </row>
    <row r="2275" ht="30" customHeight="1" spans="1:74">
      <c r="A2275" s="55">
        <v>0</v>
      </c>
      <c r="B2275" s="56">
        <v>0</v>
      </c>
      <c r="C2275" s="57">
        <v>0</v>
      </c>
      <c r="D2275" s="78"/>
      <c r="E2275" s="74"/>
      <c r="F2275" s="59" t="e">
        <f>VLOOKUP(E2275,[1]库存!$B$1:$C$65536,2,FALSE)</f>
        <v>#N/A</v>
      </c>
      <c r="G2275" s="59" t="e">
        <v>#N/A</v>
      </c>
      <c r="H2275" s="74"/>
      <c r="I2275" s="74"/>
      <c r="J2275" s="102"/>
      <c r="K2275" s="61"/>
      <c r="L2275" s="62">
        <v>0</v>
      </c>
      <c r="M2275" s="63">
        <v>0</v>
      </c>
      <c r="N2275" s="64">
        <v>0</v>
      </c>
      <c r="O2275" s="62">
        <v>0</v>
      </c>
      <c r="P2275" s="65">
        <f t="shared" si="153"/>
        <v>0</v>
      </c>
      <c r="Q2275" s="66"/>
      <c r="R2275" s="66"/>
      <c r="S2275" s="66"/>
      <c r="T2275" s="66"/>
      <c r="U2275" s="66"/>
      <c r="V2275" s="66"/>
      <c r="W2275" s="66"/>
      <c r="X2275" s="66"/>
      <c r="Y2275" s="66"/>
      <c r="Z2275" s="66"/>
      <c r="AA2275" s="66"/>
      <c r="AB2275" s="66"/>
      <c r="AC2275" s="66"/>
      <c r="AD2275" s="66"/>
      <c r="AE2275" s="66"/>
      <c r="AF2275" s="66"/>
      <c r="AG2275" s="66"/>
      <c r="AH2275" s="66"/>
      <c r="AI2275" s="66"/>
      <c r="AJ2275" s="66"/>
      <c r="AK2275" s="66"/>
      <c r="AL2275" s="66"/>
      <c r="AM2275" s="66"/>
      <c r="AN2275" s="66"/>
      <c r="AO2275" s="66"/>
      <c r="AP2275" s="66"/>
      <c r="AQ2275" s="66"/>
      <c r="AR2275" s="66"/>
      <c r="AS2275" s="66"/>
      <c r="AT2275" s="66"/>
      <c r="AU2275" s="66"/>
      <c r="AV2275" s="66"/>
      <c r="AW2275" s="66"/>
      <c r="AX2275" s="66"/>
      <c r="AY2275" s="66"/>
      <c r="AZ2275" s="66"/>
      <c r="BA2275" s="66"/>
      <c r="BB2275" s="66"/>
      <c r="BC2275" s="66"/>
      <c r="BD2275" s="66"/>
      <c r="BE2275" s="67"/>
      <c r="BF2275" s="67"/>
      <c r="BG2275" s="68"/>
      <c r="BI2275" s="69">
        <v>0</v>
      </c>
      <c r="BJ2275" s="70">
        <v>0</v>
      </c>
      <c r="BK2275" s="71">
        <v>0</v>
      </c>
      <c r="BL2275" s="71">
        <v>0</v>
      </c>
      <c r="BM2275" s="71">
        <v>0</v>
      </c>
      <c r="BN2275" s="72">
        <v>0</v>
      </c>
      <c r="BO2275" s="151" t="e">
        <f t="shared" si="149"/>
        <v>#DIV/0!</v>
      </c>
      <c r="BP2275" s="151" t="e">
        <f t="shared" si="150"/>
        <v>#DIV/0!</v>
      </c>
      <c r="BQ2275" s="71">
        <v>0</v>
      </c>
      <c r="BR2275" s="71">
        <v>0</v>
      </c>
      <c r="BS2275" s="71">
        <v>0</v>
      </c>
      <c r="BT2275" s="72">
        <v>0</v>
      </c>
      <c r="BU2275" s="151" t="e">
        <f t="shared" si="151"/>
        <v>#DIV/0!</v>
      </c>
      <c r="BV2275" s="151" t="e">
        <f t="shared" si="152"/>
        <v>#DIV/0!</v>
      </c>
    </row>
    <row r="2276" ht="30" customHeight="1" spans="1:74">
      <c r="A2276" s="55" t="s">
        <v>165</v>
      </c>
      <c r="B2276" s="56" t="s">
        <v>1237</v>
      </c>
      <c r="C2276" s="57" t="s">
        <v>3226</v>
      </c>
      <c r="D2276" s="76" t="s">
        <v>3540</v>
      </c>
      <c r="E2276" s="59" t="s">
        <v>3579</v>
      </c>
      <c r="F2276" s="59" t="str">
        <f>VLOOKUP(E2276,[1]库存!$B$1:$C$65536,2,FALSE)</f>
        <v>GWM P05 FSAB AU RH</v>
      </c>
      <c r="G2276" s="59" t="s">
        <v>3580</v>
      </c>
      <c r="H2276" s="59" t="s">
        <v>3581</v>
      </c>
      <c r="I2276" s="59" t="s">
        <v>3572</v>
      </c>
      <c r="J2276" s="102" t="s">
        <v>65</v>
      </c>
      <c r="K2276" s="61"/>
      <c r="L2276" s="62">
        <v>0</v>
      </c>
      <c r="M2276" s="63">
        <v>1000</v>
      </c>
      <c r="N2276" s="64">
        <v>13</v>
      </c>
      <c r="O2276" s="62">
        <v>0</v>
      </c>
      <c r="P2276" s="65">
        <f t="shared" si="153"/>
        <v>0</v>
      </c>
      <c r="Q2276" s="66"/>
      <c r="R2276" s="66"/>
      <c r="S2276" s="66"/>
      <c r="T2276" s="66"/>
      <c r="U2276" s="66"/>
      <c r="V2276" s="66"/>
      <c r="W2276" s="66"/>
      <c r="X2276" s="66"/>
      <c r="Y2276" s="66"/>
      <c r="Z2276" s="66"/>
      <c r="AA2276" s="66"/>
      <c r="AB2276" s="66"/>
      <c r="AC2276" s="66"/>
      <c r="AD2276" s="66"/>
      <c r="AE2276" s="66"/>
      <c r="AF2276" s="66"/>
      <c r="AG2276" s="66"/>
      <c r="AH2276" s="66"/>
      <c r="AI2276" s="66"/>
      <c r="AJ2276" s="66"/>
      <c r="AK2276" s="66"/>
      <c r="AL2276" s="66"/>
      <c r="AM2276" s="66"/>
      <c r="AN2276" s="66"/>
      <c r="AO2276" s="66"/>
      <c r="AP2276" s="66"/>
      <c r="AQ2276" s="66"/>
      <c r="AR2276" s="66"/>
      <c r="AS2276" s="66"/>
      <c r="AT2276" s="66"/>
      <c r="AU2276" s="66"/>
      <c r="AV2276" s="66"/>
      <c r="AW2276" s="66"/>
      <c r="AX2276" s="66"/>
      <c r="AY2276" s="66"/>
      <c r="AZ2276" s="66"/>
      <c r="BA2276" s="66"/>
      <c r="BB2276" s="66"/>
      <c r="BC2276" s="66"/>
      <c r="BD2276" s="66"/>
      <c r="BE2276" s="67"/>
      <c r="BF2276" s="67"/>
      <c r="BG2276" s="68"/>
      <c r="BI2276" s="69">
        <v>0</v>
      </c>
      <c r="BJ2276" s="70">
        <v>0</v>
      </c>
      <c r="BK2276" s="71">
        <v>0</v>
      </c>
      <c r="BL2276" s="71">
        <v>0</v>
      </c>
      <c r="BM2276" s="71">
        <v>0</v>
      </c>
      <c r="BN2276" s="72">
        <v>0</v>
      </c>
      <c r="BO2276" s="151" t="e">
        <f t="shared" si="149"/>
        <v>#DIV/0!</v>
      </c>
      <c r="BP2276" s="151" t="e">
        <f t="shared" si="150"/>
        <v>#DIV/0!</v>
      </c>
      <c r="BQ2276" s="71">
        <v>0</v>
      </c>
      <c r="BR2276" s="71">
        <v>0</v>
      </c>
      <c r="BS2276" s="71">
        <v>0</v>
      </c>
      <c r="BT2276" s="72">
        <v>0</v>
      </c>
      <c r="BU2276" s="151" t="e">
        <f t="shared" si="151"/>
        <v>#DIV/0!</v>
      </c>
      <c r="BV2276" s="151" t="e">
        <f t="shared" si="152"/>
        <v>#DIV/0!</v>
      </c>
    </row>
    <row r="2277" ht="30" customHeight="1" spans="1:74">
      <c r="A2277" s="55">
        <v>0</v>
      </c>
      <c r="B2277" s="56">
        <v>0</v>
      </c>
      <c r="C2277" s="57">
        <v>0</v>
      </c>
      <c r="D2277" s="78"/>
      <c r="E2277" s="74"/>
      <c r="F2277" s="59" t="e">
        <f>VLOOKUP(E2277,[1]库存!$B$1:$C$65536,2,FALSE)</f>
        <v>#N/A</v>
      </c>
      <c r="G2277" s="59" t="e">
        <v>#N/A</v>
      </c>
      <c r="H2277" s="74"/>
      <c r="I2277" s="74"/>
      <c r="J2277" s="102"/>
      <c r="K2277" s="61"/>
      <c r="L2277" s="62">
        <v>0</v>
      </c>
      <c r="M2277" s="63">
        <v>0</v>
      </c>
      <c r="N2277" s="64">
        <v>0</v>
      </c>
      <c r="O2277" s="62">
        <v>0</v>
      </c>
      <c r="P2277" s="65">
        <f t="shared" si="153"/>
        <v>0</v>
      </c>
      <c r="Q2277" s="66"/>
      <c r="R2277" s="66"/>
      <c r="S2277" s="66"/>
      <c r="T2277" s="66"/>
      <c r="U2277" s="66"/>
      <c r="V2277" s="66"/>
      <c r="W2277" s="66"/>
      <c r="X2277" s="66"/>
      <c r="Y2277" s="66"/>
      <c r="Z2277" s="66"/>
      <c r="AA2277" s="66"/>
      <c r="AB2277" s="66"/>
      <c r="AC2277" s="66"/>
      <c r="AD2277" s="66"/>
      <c r="AE2277" s="66"/>
      <c r="AF2277" s="66"/>
      <c r="AG2277" s="66"/>
      <c r="AH2277" s="66"/>
      <c r="AI2277" s="66"/>
      <c r="AJ2277" s="66"/>
      <c r="AK2277" s="66"/>
      <c r="AL2277" s="66"/>
      <c r="AM2277" s="66"/>
      <c r="AN2277" s="66"/>
      <c r="AO2277" s="66"/>
      <c r="AP2277" s="66"/>
      <c r="AQ2277" s="66"/>
      <c r="AR2277" s="66"/>
      <c r="AS2277" s="66"/>
      <c r="AT2277" s="66"/>
      <c r="AU2277" s="66"/>
      <c r="AV2277" s="66"/>
      <c r="AW2277" s="66"/>
      <c r="AX2277" s="66"/>
      <c r="AY2277" s="66"/>
      <c r="AZ2277" s="66"/>
      <c r="BA2277" s="66"/>
      <c r="BB2277" s="66"/>
      <c r="BC2277" s="66"/>
      <c r="BD2277" s="66"/>
      <c r="BE2277" s="67"/>
      <c r="BF2277" s="67"/>
      <c r="BG2277" s="68"/>
      <c r="BI2277" s="69">
        <v>0</v>
      </c>
      <c r="BJ2277" s="70">
        <v>0</v>
      </c>
      <c r="BK2277" s="71">
        <v>0</v>
      </c>
      <c r="BL2277" s="71">
        <v>0</v>
      </c>
      <c r="BM2277" s="71">
        <v>0</v>
      </c>
      <c r="BN2277" s="72">
        <v>0</v>
      </c>
      <c r="BO2277" s="151" t="e">
        <f t="shared" si="149"/>
        <v>#DIV/0!</v>
      </c>
      <c r="BP2277" s="151" t="e">
        <f t="shared" si="150"/>
        <v>#DIV/0!</v>
      </c>
      <c r="BQ2277" s="71">
        <v>0</v>
      </c>
      <c r="BR2277" s="71">
        <v>0</v>
      </c>
      <c r="BS2277" s="71">
        <v>0</v>
      </c>
      <c r="BT2277" s="72">
        <v>0</v>
      </c>
      <c r="BU2277" s="151" t="e">
        <f t="shared" si="151"/>
        <v>#DIV/0!</v>
      </c>
      <c r="BV2277" s="151" t="e">
        <f t="shared" si="152"/>
        <v>#DIV/0!</v>
      </c>
    </row>
    <row r="2278" ht="30" customHeight="1" spans="1:74">
      <c r="A2278" s="55" t="s">
        <v>165</v>
      </c>
      <c r="B2278" s="56" t="s">
        <v>1237</v>
      </c>
      <c r="C2278" s="57" t="s">
        <v>3226</v>
      </c>
      <c r="D2278" s="76" t="s">
        <v>3540</v>
      </c>
      <c r="E2278" s="59" t="s">
        <v>3544</v>
      </c>
      <c r="F2278" s="59" t="str">
        <f>VLOOKUP(E2278,[1]库存!$B$1:$C$65536,2,FALSE)</f>
        <v>NIO FORCE 1.F SAB LH</v>
      </c>
      <c r="G2278" s="59" t="s">
        <v>3582</v>
      </c>
      <c r="H2278" s="59" t="s">
        <v>3583</v>
      </c>
      <c r="I2278" s="59" t="s">
        <v>2603</v>
      </c>
      <c r="J2278" s="102" t="s">
        <v>65</v>
      </c>
      <c r="K2278" s="61"/>
      <c r="L2278" s="62">
        <v>0</v>
      </c>
      <c r="M2278" s="63">
        <v>1050</v>
      </c>
      <c r="N2278" s="64">
        <v>13</v>
      </c>
      <c r="O2278" s="62">
        <v>0</v>
      </c>
      <c r="P2278" s="65">
        <f t="shared" si="153"/>
        <v>0</v>
      </c>
      <c r="Q2278" s="66"/>
      <c r="R2278" s="66"/>
      <c r="S2278" s="66"/>
      <c r="T2278" s="66"/>
      <c r="U2278" s="66"/>
      <c r="V2278" s="66"/>
      <c r="W2278" s="66"/>
      <c r="X2278" s="66"/>
      <c r="Y2278" s="66"/>
      <c r="Z2278" s="66"/>
      <c r="AA2278" s="66"/>
      <c r="AB2278" s="66"/>
      <c r="AC2278" s="66"/>
      <c r="AD2278" s="66"/>
      <c r="AE2278" s="66"/>
      <c r="AF2278" s="66"/>
      <c r="AG2278" s="66"/>
      <c r="AH2278" s="66"/>
      <c r="AI2278" s="66"/>
      <c r="AJ2278" s="66"/>
      <c r="AK2278" s="66"/>
      <c r="AL2278" s="66"/>
      <c r="AM2278" s="66"/>
      <c r="AN2278" s="66"/>
      <c r="AO2278" s="66"/>
      <c r="AP2278" s="66"/>
      <c r="AQ2278" s="66"/>
      <c r="AR2278" s="66"/>
      <c r="AS2278" s="66"/>
      <c r="AT2278" s="66"/>
      <c r="AU2278" s="66"/>
      <c r="AV2278" s="66"/>
      <c r="AW2278" s="66"/>
      <c r="AX2278" s="66"/>
      <c r="AY2278" s="66"/>
      <c r="AZ2278" s="66"/>
      <c r="BA2278" s="66"/>
      <c r="BB2278" s="66"/>
      <c r="BC2278" s="66"/>
      <c r="BD2278" s="66"/>
      <c r="BE2278" s="67"/>
      <c r="BF2278" s="67"/>
      <c r="BG2278" s="68"/>
      <c r="BI2278" s="69">
        <v>0</v>
      </c>
      <c r="BJ2278" s="70">
        <v>0</v>
      </c>
      <c r="BK2278" s="71">
        <v>0</v>
      </c>
      <c r="BL2278" s="71">
        <v>0</v>
      </c>
      <c r="BM2278" s="71">
        <v>0</v>
      </c>
      <c r="BN2278" s="72">
        <v>0</v>
      </c>
      <c r="BO2278" s="151" t="e">
        <f t="shared" si="149"/>
        <v>#DIV/0!</v>
      </c>
      <c r="BP2278" s="151" t="e">
        <f t="shared" si="150"/>
        <v>#DIV/0!</v>
      </c>
      <c r="BQ2278" s="71">
        <v>0</v>
      </c>
      <c r="BR2278" s="71">
        <v>0</v>
      </c>
      <c r="BS2278" s="71">
        <v>0</v>
      </c>
      <c r="BT2278" s="72">
        <v>0</v>
      </c>
      <c r="BU2278" s="151" t="e">
        <f t="shared" si="151"/>
        <v>#DIV/0!</v>
      </c>
      <c r="BV2278" s="151" t="e">
        <f t="shared" si="152"/>
        <v>#DIV/0!</v>
      </c>
    </row>
    <row r="2279" ht="30" customHeight="1" spans="1:74">
      <c r="A2279" s="55">
        <v>0</v>
      </c>
      <c r="B2279" s="56">
        <v>0</v>
      </c>
      <c r="C2279" s="57">
        <v>0</v>
      </c>
      <c r="D2279" s="78"/>
      <c r="E2279" s="74"/>
      <c r="F2279" s="59" t="e">
        <f>VLOOKUP(E2279,[1]库存!$B$1:$C$65536,2,FALSE)</f>
        <v>#N/A</v>
      </c>
      <c r="G2279" s="59" t="e">
        <v>#N/A</v>
      </c>
      <c r="H2279" s="74"/>
      <c r="I2279" s="74"/>
      <c r="J2279" s="102"/>
      <c r="K2279" s="61"/>
      <c r="L2279" s="62">
        <v>0</v>
      </c>
      <c r="M2279" s="63">
        <v>0</v>
      </c>
      <c r="N2279" s="64">
        <v>0</v>
      </c>
      <c r="O2279" s="62">
        <v>0</v>
      </c>
      <c r="P2279" s="65">
        <f t="shared" si="153"/>
        <v>0</v>
      </c>
      <c r="Q2279" s="66"/>
      <c r="R2279" s="66"/>
      <c r="S2279" s="66"/>
      <c r="T2279" s="66"/>
      <c r="U2279" s="66"/>
      <c r="V2279" s="66"/>
      <c r="W2279" s="66"/>
      <c r="X2279" s="66"/>
      <c r="Y2279" s="66"/>
      <c r="Z2279" s="66"/>
      <c r="AA2279" s="66"/>
      <c r="AB2279" s="66"/>
      <c r="AC2279" s="66"/>
      <c r="AD2279" s="66"/>
      <c r="AE2279" s="66"/>
      <c r="AF2279" s="66"/>
      <c r="AG2279" s="66"/>
      <c r="AH2279" s="66"/>
      <c r="AI2279" s="66"/>
      <c r="AJ2279" s="66"/>
      <c r="AK2279" s="66"/>
      <c r="AL2279" s="66"/>
      <c r="AM2279" s="66"/>
      <c r="AN2279" s="66"/>
      <c r="AO2279" s="66"/>
      <c r="AP2279" s="66"/>
      <c r="AQ2279" s="66"/>
      <c r="AR2279" s="66"/>
      <c r="AS2279" s="66"/>
      <c r="AT2279" s="66"/>
      <c r="AU2279" s="66"/>
      <c r="AV2279" s="66"/>
      <c r="AW2279" s="66"/>
      <c r="AX2279" s="66"/>
      <c r="AY2279" s="66"/>
      <c r="AZ2279" s="66"/>
      <c r="BA2279" s="66"/>
      <c r="BB2279" s="66"/>
      <c r="BC2279" s="66"/>
      <c r="BD2279" s="66"/>
      <c r="BE2279" s="67"/>
      <c r="BF2279" s="67"/>
      <c r="BG2279" s="68"/>
      <c r="BI2279" s="69">
        <v>0</v>
      </c>
      <c r="BJ2279" s="70">
        <v>0</v>
      </c>
      <c r="BK2279" s="71">
        <v>0</v>
      </c>
      <c r="BL2279" s="71">
        <v>0</v>
      </c>
      <c r="BM2279" s="71">
        <v>0</v>
      </c>
      <c r="BN2279" s="72">
        <v>0</v>
      </c>
      <c r="BO2279" s="151" t="e">
        <f t="shared" si="149"/>
        <v>#DIV/0!</v>
      </c>
      <c r="BP2279" s="151" t="e">
        <f t="shared" si="150"/>
        <v>#DIV/0!</v>
      </c>
      <c r="BQ2279" s="71">
        <v>0</v>
      </c>
      <c r="BR2279" s="71">
        <v>0</v>
      </c>
      <c r="BS2279" s="71">
        <v>0</v>
      </c>
      <c r="BT2279" s="72">
        <v>0</v>
      </c>
      <c r="BU2279" s="151" t="e">
        <f t="shared" si="151"/>
        <v>#DIV/0!</v>
      </c>
      <c r="BV2279" s="151" t="e">
        <f t="shared" si="152"/>
        <v>#DIV/0!</v>
      </c>
    </row>
    <row r="2280" ht="30" customHeight="1" spans="1:74">
      <c r="A2280" s="55" t="s">
        <v>165</v>
      </c>
      <c r="B2280" s="56" t="s">
        <v>1237</v>
      </c>
      <c r="C2280" s="57" t="s">
        <v>3226</v>
      </c>
      <c r="D2280" s="76" t="s">
        <v>3540</v>
      </c>
      <c r="E2280" s="59" t="s">
        <v>3548</v>
      </c>
      <c r="F2280" s="59" t="str">
        <f>VLOOKUP(E2280,[1]库存!$B$1:$C$65536,2,FALSE)</f>
        <v>NIO FORCE 1.F SAB RH</v>
      </c>
      <c r="G2280" s="59" t="s">
        <v>3584</v>
      </c>
      <c r="H2280" s="59" t="s">
        <v>3585</v>
      </c>
      <c r="I2280" s="59" t="s">
        <v>2603</v>
      </c>
      <c r="J2280" s="80" t="s">
        <v>65</v>
      </c>
      <c r="K2280" s="61"/>
      <c r="L2280" s="62">
        <v>0</v>
      </c>
      <c r="M2280" s="63">
        <v>1050</v>
      </c>
      <c r="N2280" s="64">
        <v>13</v>
      </c>
      <c r="O2280" s="62">
        <v>0</v>
      </c>
      <c r="P2280" s="65">
        <f t="shared" si="153"/>
        <v>0</v>
      </c>
      <c r="Q2280" s="66"/>
      <c r="R2280" s="66"/>
      <c r="S2280" s="66"/>
      <c r="T2280" s="66"/>
      <c r="U2280" s="66"/>
      <c r="V2280" s="66"/>
      <c r="W2280" s="66"/>
      <c r="X2280" s="66"/>
      <c r="Y2280" s="66"/>
      <c r="Z2280" s="66"/>
      <c r="AA2280" s="66"/>
      <c r="AB2280" s="66"/>
      <c r="AC2280" s="66"/>
      <c r="AD2280" s="66"/>
      <c r="AE2280" s="66"/>
      <c r="AF2280" s="66"/>
      <c r="AG2280" s="66"/>
      <c r="AH2280" s="66"/>
      <c r="AI2280" s="66"/>
      <c r="AJ2280" s="66"/>
      <c r="AK2280" s="66"/>
      <c r="AL2280" s="66"/>
      <c r="AM2280" s="66"/>
      <c r="AN2280" s="66"/>
      <c r="AO2280" s="66"/>
      <c r="AP2280" s="66"/>
      <c r="AQ2280" s="66"/>
      <c r="AR2280" s="66"/>
      <c r="AS2280" s="66"/>
      <c r="AT2280" s="66"/>
      <c r="AU2280" s="66"/>
      <c r="AV2280" s="66"/>
      <c r="AW2280" s="66"/>
      <c r="AX2280" s="66"/>
      <c r="AY2280" s="66"/>
      <c r="AZ2280" s="66"/>
      <c r="BA2280" s="66"/>
      <c r="BB2280" s="66"/>
      <c r="BC2280" s="66"/>
      <c r="BD2280" s="66"/>
      <c r="BE2280" s="67"/>
      <c r="BF2280" s="67"/>
      <c r="BG2280" s="68"/>
      <c r="BI2280" s="69">
        <v>0</v>
      </c>
      <c r="BJ2280" s="70">
        <v>0</v>
      </c>
      <c r="BK2280" s="71">
        <v>0</v>
      </c>
      <c r="BL2280" s="71">
        <v>0</v>
      </c>
      <c r="BM2280" s="71">
        <v>0</v>
      </c>
      <c r="BN2280" s="72">
        <v>0</v>
      </c>
      <c r="BO2280" s="151" t="e">
        <f t="shared" si="149"/>
        <v>#DIV/0!</v>
      </c>
      <c r="BP2280" s="151" t="e">
        <f t="shared" si="150"/>
        <v>#DIV/0!</v>
      </c>
      <c r="BQ2280" s="71">
        <v>0</v>
      </c>
      <c r="BR2280" s="71">
        <v>0</v>
      </c>
      <c r="BS2280" s="71">
        <v>0</v>
      </c>
      <c r="BT2280" s="72">
        <v>0</v>
      </c>
      <c r="BU2280" s="151" t="e">
        <f t="shared" si="151"/>
        <v>#DIV/0!</v>
      </c>
      <c r="BV2280" s="151" t="e">
        <f t="shared" si="152"/>
        <v>#DIV/0!</v>
      </c>
    </row>
    <row r="2281" ht="30" customHeight="1" spans="1:74">
      <c r="A2281" s="55">
        <v>0</v>
      </c>
      <c r="B2281" s="56">
        <v>0</v>
      </c>
      <c r="C2281" s="57">
        <v>0</v>
      </c>
      <c r="D2281" s="78"/>
      <c r="E2281" s="74"/>
      <c r="F2281" s="59" t="e">
        <f>VLOOKUP(E2281,[1]库存!$B$1:$C$65536,2,FALSE)</f>
        <v>#N/A</v>
      </c>
      <c r="G2281" s="59" t="e">
        <v>#N/A</v>
      </c>
      <c r="H2281" s="74"/>
      <c r="I2281" s="74"/>
      <c r="J2281" s="81"/>
      <c r="K2281" s="61"/>
      <c r="L2281" s="62">
        <v>0</v>
      </c>
      <c r="M2281" s="63">
        <v>0</v>
      </c>
      <c r="N2281" s="64">
        <v>0</v>
      </c>
      <c r="O2281" s="62">
        <v>0</v>
      </c>
      <c r="P2281" s="65">
        <f t="shared" si="153"/>
        <v>0</v>
      </c>
      <c r="Q2281" s="66"/>
      <c r="R2281" s="66"/>
      <c r="S2281" s="66"/>
      <c r="T2281" s="66"/>
      <c r="U2281" s="66"/>
      <c r="V2281" s="66"/>
      <c r="W2281" s="66"/>
      <c r="X2281" s="66"/>
      <c r="Y2281" s="66"/>
      <c r="Z2281" s="66"/>
      <c r="AA2281" s="66"/>
      <c r="AB2281" s="66"/>
      <c r="AC2281" s="66"/>
      <c r="AD2281" s="66"/>
      <c r="AE2281" s="66"/>
      <c r="AF2281" s="66"/>
      <c r="AG2281" s="66"/>
      <c r="AH2281" s="66"/>
      <c r="AI2281" s="66"/>
      <c r="AJ2281" s="66"/>
      <c r="AK2281" s="66"/>
      <c r="AL2281" s="66"/>
      <c r="AM2281" s="66"/>
      <c r="AN2281" s="66"/>
      <c r="AO2281" s="66"/>
      <c r="AP2281" s="66"/>
      <c r="AQ2281" s="66"/>
      <c r="AR2281" s="66"/>
      <c r="AS2281" s="66"/>
      <c r="AT2281" s="66"/>
      <c r="AU2281" s="66"/>
      <c r="AV2281" s="66"/>
      <c r="AW2281" s="66"/>
      <c r="AX2281" s="66"/>
      <c r="AY2281" s="66"/>
      <c r="AZ2281" s="66"/>
      <c r="BA2281" s="66"/>
      <c r="BB2281" s="66"/>
      <c r="BC2281" s="66"/>
      <c r="BD2281" s="66"/>
      <c r="BE2281" s="67"/>
      <c r="BF2281" s="67"/>
      <c r="BG2281" s="68"/>
      <c r="BI2281" s="69">
        <v>0</v>
      </c>
      <c r="BJ2281" s="70">
        <v>0</v>
      </c>
      <c r="BK2281" s="71">
        <v>0</v>
      </c>
      <c r="BL2281" s="71">
        <v>0</v>
      </c>
      <c r="BM2281" s="71">
        <v>0</v>
      </c>
      <c r="BN2281" s="72">
        <v>0</v>
      </c>
      <c r="BO2281" s="151" t="e">
        <f t="shared" si="149"/>
        <v>#DIV/0!</v>
      </c>
      <c r="BP2281" s="151" t="e">
        <f t="shared" si="150"/>
        <v>#DIV/0!</v>
      </c>
      <c r="BQ2281" s="71">
        <v>0</v>
      </c>
      <c r="BR2281" s="71">
        <v>0</v>
      </c>
      <c r="BS2281" s="71">
        <v>0</v>
      </c>
      <c r="BT2281" s="72">
        <v>0</v>
      </c>
      <c r="BU2281" s="151" t="e">
        <f t="shared" si="151"/>
        <v>#DIV/0!</v>
      </c>
      <c r="BV2281" s="151" t="e">
        <f t="shared" si="152"/>
        <v>#DIV/0!</v>
      </c>
    </row>
    <row r="2282" ht="30" customHeight="1" spans="1:74">
      <c r="A2282" s="55">
        <v>0</v>
      </c>
      <c r="B2282" s="56" t="s">
        <v>1237</v>
      </c>
      <c r="C2282" s="57" t="s">
        <v>3226</v>
      </c>
      <c r="D2282" s="76" t="s">
        <v>3540</v>
      </c>
      <c r="E2282" s="59" t="s">
        <v>3586</v>
      </c>
      <c r="F2282" s="59" t="e">
        <f>VLOOKUP(E2282,[1]库存!$B$1:$C$65536,2,FALSE)</f>
        <v>#N/A</v>
      </c>
      <c r="G2282" s="59" t="e">
        <v>#N/A</v>
      </c>
      <c r="H2282" s="141" t="s">
        <v>3587</v>
      </c>
      <c r="I2282" s="59" t="s">
        <v>3588</v>
      </c>
      <c r="J2282" s="63"/>
      <c r="K2282" s="61"/>
      <c r="L2282" s="62">
        <v>2</v>
      </c>
      <c r="M2282" s="63">
        <v>900</v>
      </c>
      <c r="N2282" s="64">
        <v>15</v>
      </c>
      <c r="O2282" s="62">
        <v>2</v>
      </c>
      <c r="P2282" s="65">
        <f t="shared" si="153"/>
        <v>0</v>
      </c>
      <c r="Q2282" s="66"/>
      <c r="R2282" s="66"/>
      <c r="S2282" s="66"/>
      <c r="T2282" s="66"/>
      <c r="U2282" s="66"/>
      <c r="V2282" s="66"/>
      <c r="W2282" s="66"/>
      <c r="X2282" s="66"/>
      <c r="Y2282" s="66"/>
      <c r="Z2282" s="66"/>
      <c r="AA2282" s="66"/>
      <c r="AB2282" s="66"/>
      <c r="AC2282" s="66"/>
      <c r="AD2282" s="66"/>
      <c r="AE2282" s="66"/>
      <c r="AF2282" s="66"/>
      <c r="AG2282" s="66"/>
      <c r="AH2282" s="66"/>
      <c r="AI2282" s="66"/>
      <c r="AJ2282" s="66"/>
      <c r="AK2282" s="66"/>
      <c r="AL2282" s="66"/>
      <c r="AM2282" s="66"/>
      <c r="AN2282" s="66"/>
      <c r="AO2282" s="66"/>
      <c r="AP2282" s="66"/>
      <c r="AQ2282" s="66"/>
      <c r="AR2282" s="66"/>
      <c r="AS2282" s="66"/>
      <c r="AT2282" s="66"/>
      <c r="AU2282" s="66"/>
      <c r="AV2282" s="66"/>
      <c r="AW2282" s="66"/>
      <c r="AX2282" s="66"/>
      <c r="AY2282" s="66"/>
      <c r="AZ2282" s="66"/>
      <c r="BA2282" s="66"/>
      <c r="BB2282" s="66"/>
      <c r="BC2282" s="66"/>
      <c r="BD2282" s="66"/>
      <c r="BE2282" s="67"/>
      <c r="BF2282" s="67"/>
      <c r="BG2282" s="68"/>
      <c r="BI2282" s="69">
        <v>0</v>
      </c>
      <c r="BJ2282" s="70">
        <v>0</v>
      </c>
      <c r="BK2282" s="71">
        <v>0</v>
      </c>
      <c r="BL2282" s="71">
        <v>0</v>
      </c>
      <c r="BM2282" s="71">
        <v>0</v>
      </c>
      <c r="BN2282" s="72">
        <v>0</v>
      </c>
      <c r="BO2282" s="151" t="e">
        <f t="shared" si="149"/>
        <v>#DIV/0!</v>
      </c>
      <c r="BP2282" s="151" t="e">
        <f t="shared" si="150"/>
        <v>#DIV/0!</v>
      </c>
      <c r="BQ2282" s="71">
        <v>0</v>
      </c>
      <c r="BR2282" s="71">
        <v>0</v>
      </c>
      <c r="BS2282" s="71">
        <v>0</v>
      </c>
      <c r="BT2282" s="72">
        <v>0</v>
      </c>
      <c r="BU2282" s="151" t="e">
        <f t="shared" si="151"/>
        <v>#DIV/0!</v>
      </c>
      <c r="BV2282" s="151" t="e">
        <f t="shared" si="152"/>
        <v>#DIV/0!</v>
      </c>
    </row>
    <row r="2283" ht="30" customHeight="1" spans="1:74">
      <c r="A2283" s="55">
        <v>0</v>
      </c>
      <c r="B2283" s="56">
        <v>0</v>
      </c>
      <c r="C2283" s="57">
        <v>0</v>
      </c>
      <c r="D2283" s="78"/>
      <c r="E2283" s="74"/>
      <c r="F2283" s="59" t="e">
        <f>VLOOKUP(E2283,[1]库存!$B$1:$C$65536,2,FALSE)</f>
        <v>#N/A</v>
      </c>
      <c r="G2283" s="59" t="e">
        <v>#N/A</v>
      </c>
      <c r="H2283" s="161"/>
      <c r="I2283" s="74"/>
      <c r="J2283" s="87"/>
      <c r="K2283" s="61"/>
      <c r="L2283" s="62">
        <v>0</v>
      </c>
      <c r="M2283" s="63">
        <v>0</v>
      </c>
      <c r="N2283" s="64">
        <v>0</v>
      </c>
      <c r="O2283" s="62">
        <v>0</v>
      </c>
      <c r="P2283" s="65">
        <f t="shared" si="153"/>
        <v>0</v>
      </c>
      <c r="Q2283" s="66"/>
      <c r="R2283" s="66"/>
      <c r="S2283" s="66"/>
      <c r="T2283" s="66"/>
      <c r="U2283" s="66"/>
      <c r="V2283" s="66"/>
      <c r="W2283" s="66"/>
      <c r="X2283" s="66"/>
      <c r="Y2283" s="66"/>
      <c r="Z2283" s="66"/>
      <c r="AA2283" s="66"/>
      <c r="AB2283" s="66"/>
      <c r="AC2283" s="66"/>
      <c r="AD2283" s="66"/>
      <c r="AE2283" s="66"/>
      <c r="AF2283" s="66"/>
      <c r="AG2283" s="66"/>
      <c r="AH2283" s="66"/>
      <c r="AI2283" s="66"/>
      <c r="AJ2283" s="66"/>
      <c r="AK2283" s="66"/>
      <c r="AL2283" s="66"/>
      <c r="AM2283" s="66"/>
      <c r="AN2283" s="66"/>
      <c r="AO2283" s="66"/>
      <c r="AP2283" s="66"/>
      <c r="AQ2283" s="66"/>
      <c r="AR2283" s="66"/>
      <c r="AS2283" s="66"/>
      <c r="AT2283" s="66"/>
      <c r="AU2283" s="66"/>
      <c r="AV2283" s="66"/>
      <c r="AW2283" s="66"/>
      <c r="AX2283" s="66"/>
      <c r="AY2283" s="66"/>
      <c r="AZ2283" s="66"/>
      <c r="BA2283" s="66"/>
      <c r="BB2283" s="66"/>
      <c r="BC2283" s="66"/>
      <c r="BD2283" s="66"/>
      <c r="BE2283" s="67"/>
      <c r="BF2283" s="67"/>
      <c r="BG2283" s="68"/>
      <c r="BI2283" s="69">
        <v>0</v>
      </c>
      <c r="BJ2283" s="70">
        <v>0</v>
      </c>
      <c r="BK2283" s="71">
        <v>0</v>
      </c>
      <c r="BL2283" s="71">
        <v>0</v>
      </c>
      <c r="BM2283" s="71">
        <v>0</v>
      </c>
      <c r="BN2283" s="72">
        <v>0</v>
      </c>
      <c r="BO2283" s="151" t="e">
        <f t="shared" si="149"/>
        <v>#DIV/0!</v>
      </c>
      <c r="BP2283" s="151" t="e">
        <f t="shared" si="150"/>
        <v>#DIV/0!</v>
      </c>
      <c r="BQ2283" s="71">
        <v>0</v>
      </c>
      <c r="BR2283" s="71">
        <v>0</v>
      </c>
      <c r="BS2283" s="71">
        <v>0</v>
      </c>
      <c r="BT2283" s="72">
        <v>0</v>
      </c>
      <c r="BU2283" s="151" t="e">
        <f t="shared" si="151"/>
        <v>#DIV/0!</v>
      </c>
      <c r="BV2283" s="151" t="e">
        <f t="shared" si="152"/>
        <v>#DIV/0!</v>
      </c>
    </row>
    <row r="2284" ht="30" customHeight="1" spans="1:74">
      <c r="A2284" s="55">
        <v>0</v>
      </c>
      <c r="B2284" s="56" t="s">
        <v>1237</v>
      </c>
      <c r="C2284" s="57" t="s">
        <v>3226</v>
      </c>
      <c r="D2284" s="76" t="s">
        <v>3540</v>
      </c>
      <c r="E2284" s="59" t="s">
        <v>3589</v>
      </c>
      <c r="F2284" s="59" t="e">
        <f>VLOOKUP(E2284,[1]库存!$B$1:$C$65536,2,FALSE)</f>
        <v>#N/A</v>
      </c>
      <c r="G2284" s="59" t="e">
        <v>#N/A</v>
      </c>
      <c r="H2284" s="141" t="s">
        <v>3590</v>
      </c>
      <c r="I2284" s="59" t="s">
        <v>3588</v>
      </c>
      <c r="J2284" s="63"/>
      <c r="K2284" s="61"/>
      <c r="L2284" s="62">
        <v>2</v>
      </c>
      <c r="M2284" s="63">
        <v>900</v>
      </c>
      <c r="N2284" s="64">
        <v>15</v>
      </c>
      <c r="O2284" s="62">
        <v>2</v>
      </c>
      <c r="P2284" s="65">
        <f t="shared" si="153"/>
        <v>0</v>
      </c>
      <c r="Q2284" s="66"/>
      <c r="R2284" s="66"/>
      <c r="S2284" s="66"/>
      <c r="T2284" s="66"/>
      <c r="U2284" s="66"/>
      <c r="V2284" s="66"/>
      <c r="W2284" s="66"/>
      <c r="X2284" s="66"/>
      <c r="Y2284" s="66"/>
      <c r="Z2284" s="66"/>
      <c r="AA2284" s="66"/>
      <c r="AB2284" s="66"/>
      <c r="AC2284" s="66"/>
      <c r="AD2284" s="66"/>
      <c r="AE2284" s="66"/>
      <c r="AF2284" s="66"/>
      <c r="AG2284" s="66"/>
      <c r="AH2284" s="66"/>
      <c r="AI2284" s="66"/>
      <c r="AJ2284" s="66"/>
      <c r="AK2284" s="66"/>
      <c r="AL2284" s="66"/>
      <c r="AM2284" s="66"/>
      <c r="AN2284" s="66"/>
      <c r="AO2284" s="66"/>
      <c r="AP2284" s="66"/>
      <c r="AQ2284" s="66"/>
      <c r="AR2284" s="66"/>
      <c r="AS2284" s="66"/>
      <c r="AT2284" s="66"/>
      <c r="AU2284" s="66"/>
      <c r="AV2284" s="66"/>
      <c r="AW2284" s="66"/>
      <c r="AX2284" s="66"/>
      <c r="AY2284" s="66"/>
      <c r="AZ2284" s="66"/>
      <c r="BA2284" s="66"/>
      <c r="BB2284" s="66"/>
      <c r="BC2284" s="66"/>
      <c r="BD2284" s="66"/>
      <c r="BE2284" s="67"/>
      <c r="BF2284" s="67"/>
      <c r="BG2284" s="68"/>
      <c r="BI2284" s="69">
        <v>0</v>
      </c>
      <c r="BJ2284" s="70">
        <v>0</v>
      </c>
      <c r="BK2284" s="71">
        <v>0</v>
      </c>
      <c r="BL2284" s="71">
        <v>0</v>
      </c>
      <c r="BM2284" s="71">
        <v>0</v>
      </c>
      <c r="BN2284" s="72">
        <v>0</v>
      </c>
      <c r="BO2284" s="151" t="e">
        <f t="shared" si="149"/>
        <v>#DIV/0!</v>
      </c>
      <c r="BP2284" s="151" t="e">
        <f t="shared" si="150"/>
        <v>#DIV/0!</v>
      </c>
      <c r="BQ2284" s="71">
        <v>0</v>
      </c>
      <c r="BR2284" s="71">
        <v>0</v>
      </c>
      <c r="BS2284" s="71">
        <v>0</v>
      </c>
      <c r="BT2284" s="72">
        <v>0</v>
      </c>
      <c r="BU2284" s="151" t="e">
        <f t="shared" si="151"/>
        <v>#DIV/0!</v>
      </c>
      <c r="BV2284" s="151" t="e">
        <f t="shared" si="152"/>
        <v>#DIV/0!</v>
      </c>
    </row>
    <row r="2285" ht="30" customHeight="1" spans="1:74">
      <c r="A2285" s="55">
        <v>0</v>
      </c>
      <c r="B2285" s="56">
        <v>0</v>
      </c>
      <c r="C2285" s="57">
        <v>0</v>
      </c>
      <c r="D2285" s="78"/>
      <c r="E2285" s="74"/>
      <c r="F2285" s="59" t="e">
        <f>VLOOKUP(E2285,[1]库存!$B$1:$C$65536,2,FALSE)</f>
        <v>#N/A</v>
      </c>
      <c r="G2285" s="59" t="e">
        <v>#N/A</v>
      </c>
      <c r="H2285" s="161"/>
      <c r="I2285" s="74"/>
      <c r="J2285" s="87"/>
      <c r="K2285" s="61"/>
      <c r="L2285" s="62">
        <v>0</v>
      </c>
      <c r="M2285" s="63">
        <v>0</v>
      </c>
      <c r="N2285" s="64">
        <v>0</v>
      </c>
      <c r="O2285" s="62">
        <v>0</v>
      </c>
      <c r="P2285" s="65">
        <f t="shared" si="153"/>
        <v>0</v>
      </c>
      <c r="Q2285" s="66"/>
      <c r="R2285" s="66"/>
      <c r="S2285" s="66"/>
      <c r="T2285" s="66"/>
      <c r="U2285" s="66"/>
      <c r="V2285" s="66"/>
      <c r="W2285" s="66"/>
      <c r="X2285" s="66"/>
      <c r="Y2285" s="66"/>
      <c r="Z2285" s="66"/>
      <c r="AA2285" s="66"/>
      <c r="AB2285" s="66"/>
      <c r="AC2285" s="66"/>
      <c r="AD2285" s="66"/>
      <c r="AE2285" s="66"/>
      <c r="AF2285" s="66"/>
      <c r="AG2285" s="66"/>
      <c r="AH2285" s="66"/>
      <c r="AI2285" s="66"/>
      <c r="AJ2285" s="66"/>
      <c r="AK2285" s="66"/>
      <c r="AL2285" s="66"/>
      <c r="AM2285" s="66"/>
      <c r="AN2285" s="66"/>
      <c r="AO2285" s="66"/>
      <c r="AP2285" s="66"/>
      <c r="AQ2285" s="66"/>
      <c r="AR2285" s="66"/>
      <c r="AS2285" s="66"/>
      <c r="AT2285" s="66"/>
      <c r="AU2285" s="66"/>
      <c r="AV2285" s="66"/>
      <c r="AW2285" s="66"/>
      <c r="AX2285" s="66"/>
      <c r="AY2285" s="66"/>
      <c r="AZ2285" s="66"/>
      <c r="BA2285" s="66"/>
      <c r="BB2285" s="66"/>
      <c r="BC2285" s="66"/>
      <c r="BD2285" s="66"/>
      <c r="BE2285" s="67"/>
      <c r="BF2285" s="67"/>
      <c r="BG2285" s="68"/>
      <c r="BI2285" s="69">
        <v>0</v>
      </c>
      <c r="BJ2285" s="70">
        <v>0</v>
      </c>
      <c r="BK2285" s="71">
        <v>0</v>
      </c>
      <c r="BL2285" s="71">
        <v>0</v>
      </c>
      <c r="BM2285" s="71">
        <v>0</v>
      </c>
      <c r="BN2285" s="72">
        <v>0</v>
      </c>
      <c r="BO2285" s="151" t="e">
        <f t="shared" si="149"/>
        <v>#DIV/0!</v>
      </c>
      <c r="BP2285" s="151" t="e">
        <f t="shared" si="150"/>
        <v>#DIV/0!</v>
      </c>
      <c r="BQ2285" s="71">
        <v>0</v>
      </c>
      <c r="BR2285" s="71">
        <v>0</v>
      </c>
      <c r="BS2285" s="71">
        <v>0</v>
      </c>
      <c r="BT2285" s="72">
        <v>0</v>
      </c>
      <c r="BU2285" s="151" t="e">
        <f t="shared" si="151"/>
        <v>#DIV/0!</v>
      </c>
      <c r="BV2285" s="151" t="e">
        <f t="shared" si="152"/>
        <v>#DIV/0!</v>
      </c>
    </row>
    <row r="2286" ht="30" customHeight="1" spans="1:74">
      <c r="A2286" s="55">
        <v>0</v>
      </c>
      <c r="B2286" s="56" t="s">
        <v>1237</v>
      </c>
      <c r="C2286" s="57" t="s">
        <v>3226</v>
      </c>
      <c r="D2286" s="76" t="s">
        <v>3540</v>
      </c>
      <c r="E2286" s="59"/>
      <c r="F2286" s="59" t="e">
        <f>VLOOKUP(E2286,[1]库存!$B$1:$C$65536,2,FALSE)</f>
        <v>#N/A</v>
      </c>
      <c r="G2286" s="59" t="e">
        <v>#N/A</v>
      </c>
      <c r="H2286" s="91" t="s">
        <v>3591</v>
      </c>
      <c r="I2286" s="59" t="s">
        <v>3592</v>
      </c>
      <c r="J2286" s="63"/>
      <c r="K2286" s="61"/>
      <c r="L2286" s="62">
        <v>2</v>
      </c>
      <c r="M2286" s="63">
        <v>900</v>
      </c>
      <c r="N2286" s="64">
        <v>15</v>
      </c>
      <c r="O2286" s="62">
        <v>2</v>
      </c>
      <c r="P2286" s="65">
        <f t="shared" si="153"/>
        <v>0</v>
      </c>
      <c r="Q2286" s="66"/>
      <c r="R2286" s="66"/>
      <c r="S2286" s="66"/>
      <c r="T2286" s="66"/>
      <c r="U2286" s="66"/>
      <c r="V2286" s="66"/>
      <c r="W2286" s="66"/>
      <c r="X2286" s="66"/>
      <c r="Y2286" s="66"/>
      <c r="Z2286" s="66"/>
      <c r="AA2286" s="66"/>
      <c r="AB2286" s="66"/>
      <c r="AC2286" s="66"/>
      <c r="AD2286" s="66"/>
      <c r="AE2286" s="66"/>
      <c r="AF2286" s="66"/>
      <c r="AG2286" s="66"/>
      <c r="AH2286" s="66"/>
      <c r="AI2286" s="66"/>
      <c r="AJ2286" s="66"/>
      <c r="AK2286" s="66"/>
      <c r="AL2286" s="66"/>
      <c r="AM2286" s="66"/>
      <c r="AN2286" s="66"/>
      <c r="AO2286" s="66"/>
      <c r="AP2286" s="66"/>
      <c r="AQ2286" s="66"/>
      <c r="AR2286" s="66"/>
      <c r="AS2286" s="66"/>
      <c r="AT2286" s="66"/>
      <c r="AU2286" s="66"/>
      <c r="AV2286" s="66"/>
      <c r="AW2286" s="66"/>
      <c r="AX2286" s="66"/>
      <c r="AY2286" s="66"/>
      <c r="AZ2286" s="66"/>
      <c r="BA2286" s="66"/>
      <c r="BB2286" s="66"/>
      <c r="BC2286" s="66"/>
      <c r="BD2286" s="66"/>
      <c r="BE2286" s="67"/>
      <c r="BF2286" s="67"/>
      <c r="BG2286" s="68"/>
      <c r="BI2286" s="69">
        <v>0</v>
      </c>
      <c r="BJ2286" s="70">
        <v>0</v>
      </c>
      <c r="BK2286" s="71">
        <v>0</v>
      </c>
      <c r="BL2286" s="71">
        <v>0</v>
      </c>
      <c r="BM2286" s="71">
        <v>0</v>
      </c>
      <c r="BN2286" s="72">
        <v>0</v>
      </c>
      <c r="BO2286" s="151" t="e">
        <f t="shared" si="149"/>
        <v>#DIV/0!</v>
      </c>
      <c r="BP2286" s="151" t="e">
        <f t="shared" si="150"/>
        <v>#DIV/0!</v>
      </c>
      <c r="BQ2286" s="71">
        <v>0</v>
      </c>
      <c r="BR2286" s="71">
        <v>0</v>
      </c>
      <c r="BS2286" s="71">
        <v>0</v>
      </c>
      <c r="BT2286" s="72">
        <v>0</v>
      </c>
      <c r="BU2286" s="151" t="e">
        <f t="shared" si="151"/>
        <v>#DIV/0!</v>
      </c>
      <c r="BV2286" s="151" t="e">
        <f t="shared" si="152"/>
        <v>#DIV/0!</v>
      </c>
    </row>
    <row r="2287" ht="30" customHeight="1" spans="1:74">
      <c r="A2287" s="55">
        <v>0</v>
      </c>
      <c r="B2287" s="56">
        <v>0</v>
      </c>
      <c r="C2287" s="57">
        <v>0</v>
      </c>
      <c r="D2287" s="78"/>
      <c r="E2287" s="74"/>
      <c r="F2287" s="59" t="e">
        <f>VLOOKUP(E2287,[1]库存!$B$1:$C$65536,2,FALSE)</f>
        <v>#N/A</v>
      </c>
      <c r="G2287" s="59" t="e">
        <v>#N/A</v>
      </c>
      <c r="H2287" s="92"/>
      <c r="I2287" s="74"/>
      <c r="J2287" s="87"/>
      <c r="K2287" s="61"/>
      <c r="L2287" s="62">
        <v>0</v>
      </c>
      <c r="M2287" s="63">
        <v>0</v>
      </c>
      <c r="N2287" s="64">
        <v>0</v>
      </c>
      <c r="O2287" s="62">
        <v>0</v>
      </c>
      <c r="P2287" s="65">
        <f t="shared" si="153"/>
        <v>0</v>
      </c>
      <c r="Q2287" s="66"/>
      <c r="R2287" s="66"/>
      <c r="S2287" s="66"/>
      <c r="T2287" s="66"/>
      <c r="U2287" s="66"/>
      <c r="V2287" s="66"/>
      <c r="W2287" s="66"/>
      <c r="X2287" s="66"/>
      <c r="Y2287" s="66"/>
      <c r="Z2287" s="66"/>
      <c r="AA2287" s="66"/>
      <c r="AB2287" s="66"/>
      <c r="AC2287" s="66"/>
      <c r="AD2287" s="66"/>
      <c r="AE2287" s="66"/>
      <c r="AF2287" s="66"/>
      <c r="AG2287" s="66"/>
      <c r="AH2287" s="66"/>
      <c r="AI2287" s="66"/>
      <c r="AJ2287" s="66"/>
      <c r="AK2287" s="66"/>
      <c r="AL2287" s="66"/>
      <c r="AM2287" s="66"/>
      <c r="AN2287" s="66"/>
      <c r="AO2287" s="66"/>
      <c r="AP2287" s="66"/>
      <c r="AQ2287" s="66"/>
      <c r="AR2287" s="66"/>
      <c r="AS2287" s="66"/>
      <c r="AT2287" s="66"/>
      <c r="AU2287" s="66"/>
      <c r="AV2287" s="66"/>
      <c r="AW2287" s="66"/>
      <c r="AX2287" s="66"/>
      <c r="AY2287" s="66"/>
      <c r="AZ2287" s="66"/>
      <c r="BA2287" s="66"/>
      <c r="BB2287" s="66"/>
      <c r="BC2287" s="66"/>
      <c r="BD2287" s="66"/>
      <c r="BE2287" s="67"/>
      <c r="BF2287" s="67"/>
      <c r="BG2287" s="68"/>
      <c r="BI2287" s="69">
        <v>0</v>
      </c>
      <c r="BJ2287" s="70">
        <v>0</v>
      </c>
      <c r="BK2287" s="71">
        <v>0</v>
      </c>
      <c r="BL2287" s="71">
        <v>0</v>
      </c>
      <c r="BM2287" s="71">
        <v>0</v>
      </c>
      <c r="BN2287" s="72">
        <v>0</v>
      </c>
      <c r="BO2287" s="151" t="e">
        <f t="shared" si="149"/>
        <v>#DIV/0!</v>
      </c>
      <c r="BP2287" s="151" t="e">
        <f t="shared" si="150"/>
        <v>#DIV/0!</v>
      </c>
      <c r="BQ2287" s="71">
        <v>0</v>
      </c>
      <c r="BR2287" s="71">
        <v>0</v>
      </c>
      <c r="BS2287" s="71">
        <v>0</v>
      </c>
      <c r="BT2287" s="72">
        <v>0</v>
      </c>
      <c r="BU2287" s="151" t="e">
        <f t="shared" si="151"/>
        <v>#DIV/0!</v>
      </c>
      <c r="BV2287" s="151" t="e">
        <f t="shared" si="152"/>
        <v>#DIV/0!</v>
      </c>
    </row>
    <row r="2288" ht="30" customHeight="1" spans="1:74">
      <c r="A2288" s="55">
        <v>0</v>
      </c>
      <c r="B2288" s="56" t="s">
        <v>1237</v>
      </c>
      <c r="C2288" s="57" t="s">
        <v>3226</v>
      </c>
      <c r="D2288" s="76" t="s">
        <v>3540</v>
      </c>
      <c r="E2288" s="59"/>
      <c r="F2288" s="59" t="e">
        <f>VLOOKUP(E2288,[1]库存!$B$1:$C$65536,2,FALSE)</f>
        <v>#N/A</v>
      </c>
      <c r="G2288" s="59" t="e">
        <v>#N/A</v>
      </c>
      <c r="H2288" s="91" t="s">
        <v>3593</v>
      </c>
      <c r="I2288" s="59" t="s">
        <v>3594</v>
      </c>
      <c r="J2288" s="63"/>
      <c r="K2288" s="61"/>
      <c r="L2288" s="62">
        <v>2</v>
      </c>
      <c r="M2288" s="63">
        <v>900</v>
      </c>
      <c r="N2288" s="64">
        <v>15</v>
      </c>
      <c r="O2288" s="62">
        <v>2</v>
      </c>
      <c r="P2288" s="65">
        <f t="shared" si="153"/>
        <v>0</v>
      </c>
      <c r="Q2288" s="66"/>
      <c r="R2288" s="66"/>
      <c r="S2288" s="66"/>
      <c r="T2288" s="66"/>
      <c r="U2288" s="66"/>
      <c r="V2288" s="66"/>
      <c r="W2288" s="66"/>
      <c r="X2288" s="66"/>
      <c r="Y2288" s="66"/>
      <c r="Z2288" s="66"/>
      <c r="AA2288" s="66"/>
      <c r="AB2288" s="66"/>
      <c r="AC2288" s="66"/>
      <c r="AD2288" s="66"/>
      <c r="AE2288" s="66"/>
      <c r="AF2288" s="66"/>
      <c r="AG2288" s="66"/>
      <c r="AH2288" s="66"/>
      <c r="AI2288" s="66"/>
      <c r="AJ2288" s="66"/>
      <c r="AK2288" s="66"/>
      <c r="AL2288" s="66"/>
      <c r="AM2288" s="66"/>
      <c r="AN2288" s="66"/>
      <c r="AO2288" s="66"/>
      <c r="AP2288" s="66"/>
      <c r="AQ2288" s="66"/>
      <c r="AR2288" s="66"/>
      <c r="AS2288" s="66"/>
      <c r="AT2288" s="66"/>
      <c r="AU2288" s="66"/>
      <c r="AV2288" s="66"/>
      <c r="AW2288" s="66"/>
      <c r="AX2288" s="66"/>
      <c r="AY2288" s="66"/>
      <c r="AZ2288" s="66"/>
      <c r="BA2288" s="66"/>
      <c r="BB2288" s="66"/>
      <c r="BC2288" s="66"/>
      <c r="BD2288" s="66"/>
      <c r="BE2288" s="67"/>
      <c r="BF2288" s="67"/>
      <c r="BG2288" s="68"/>
      <c r="BI2288" s="69">
        <v>0</v>
      </c>
      <c r="BJ2288" s="70">
        <v>0</v>
      </c>
      <c r="BK2288" s="71">
        <v>0</v>
      </c>
      <c r="BL2288" s="71">
        <v>0</v>
      </c>
      <c r="BM2288" s="71">
        <v>0</v>
      </c>
      <c r="BN2288" s="72">
        <v>0</v>
      </c>
      <c r="BO2288" s="151" t="e">
        <f t="shared" si="149"/>
        <v>#DIV/0!</v>
      </c>
      <c r="BP2288" s="151" t="e">
        <f t="shared" si="150"/>
        <v>#DIV/0!</v>
      </c>
      <c r="BQ2288" s="71">
        <v>0</v>
      </c>
      <c r="BR2288" s="71">
        <v>0</v>
      </c>
      <c r="BS2288" s="71">
        <v>0</v>
      </c>
      <c r="BT2288" s="72">
        <v>0</v>
      </c>
      <c r="BU2288" s="151" t="e">
        <f t="shared" si="151"/>
        <v>#DIV/0!</v>
      </c>
      <c r="BV2288" s="151" t="e">
        <f t="shared" si="152"/>
        <v>#DIV/0!</v>
      </c>
    </row>
    <row r="2289" ht="30" customHeight="1" spans="1:74">
      <c r="A2289" s="55">
        <v>0</v>
      </c>
      <c r="B2289" s="56">
        <v>0</v>
      </c>
      <c r="C2289" s="57">
        <v>0</v>
      </c>
      <c r="D2289" s="78"/>
      <c r="E2289" s="74"/>
      <c r="F2289" s="59" t="e">
        <f>VLOOKUP(E2289,[1]库存!$B$1:$C$65536,2,FALSE)</f>
        <v>#N/A</v>
      </c>
      <c r="G2289" s="59" t="e">
        <v>#N/A</v>
      </c>
      <c r="H2289" s="92"/>
      <c r="I2289" s="74"/>
      <c r="J2289" s="87"/>
      <c r="K2289" s="61"/>
      <c r="L2289" s="62">
        <v>0</v>
      </c>
      <c r="M2289" s="63">
        <v>0</v>
      </c>
      <c r="N2289" s="64">
        <v>0</v>
      </c>
      <c r="O2289" s="62">
        <v>0</v>
      </c>
      <c r="P2289" s="65">
        <f t="shared" si="153"/>
        <v>0</v>
      </c>
      <c r="Q2289" s="66"/>
      <c r="R2289" s="66"/>
      <c r="S2289" s="66"/>
      <c r="T2289" s="66"/>
      <c r="U2289" s="66"/>
      <c r="V2289" s="66"/>
      <c r="W2289" s="66"/>
      <c r="X2289" s="66"/>
      <c r="Y2289" s="66"/>
      <c r="Z2289" s="66"/>
      <c r="AA2289" s="66"/>
      <c r="AB2289" s="66"/>
      <c r="AC2289" s="66"/>
      <c r="AD2289" s="66"/>
      <c r="AE2289" s="66"/>
      <c r="AF2289" s="66"/>
      <c r="AG2289" s="66"/>
      <c r="AH2289" s="66"/>
      <c r="AI2289" s="66"/>
      <c r="AJ2289" s="66"/>
      <c r="AK2289" s="66"/>
      <c r="AL2289" s="66"/>
      <c r="AM2289" s="66"/>
      <c r="AN2289" s="66"/>
      <c r="AO2289" s="66"/>
      <c r="AP2289" s="66"/>
      <c r="AQ2289" s="66"/>
      <c r="AR2289" s="66"/>
      <c r="AS2289" s="66"/>
      <c r="AT2289" s="66"/>
      <c r="AU2289" s="66"/>
      <c r="AV2289" s="66"/>
      <c r="AW2289" s="66"/>
      <c r="AX2289" s="66"/>
      <c r="AY2289" s="66"/>
      <c r="AZ2289" s="66"/>
      <c r="BA2289" s="66"/>
      <c r="BB2289" s="66"/>
      <c r="BC2289" s="66"/>
      <c r="BD2289" s="66"/>
      <c r="BE2289" s="67"/>
      <c r="BF2289" s="67"/>
      <c r="BG2289" s="68"/>
      <c r="BI2289" s="69">
        <v>0</v>
      </c>
      <c r="BJ2289" s="70">
        <v>0</v>
      </c>
      <c r="BK2289" s="71">
        <v>0</v>
      </c>
      <c r="BL2289" s="71">
        <v>0</v>
      </c>
      <c r="BM2289" s="71">
        <v>0</v>
      </c>
      <c r="BN2289" s="72">
        <v>0</v>
      </c>
      <c r="BO2289" s="151" t="e">
        <f t="shared" si="149"/>
        <v>#DIV/0!</v>
      </c>
      <c r="BP2289" s="151" t="e">
        <f t="shared" si="150"/>
        <v>#DIV/0!</v>
      </c>
      <c r="BQ2289" s="71">
        <v>0</v>
      </c>
      <c r="BR2289" s="71">
        <v>0</v>
      </c>
      <c r="BS2289" s="71">
        <v>0</v>
      </c>
      <c r="BT2289" s="72">
        <v>0</v>
      </c>
      <c r="BU2289" s="151" t="e">
        <f t="shared" si="151"/>
        <v>#DIV/0!</v>
      </c>
      <c r="BV2289" s="151" t="e">
        <f t="shared" si="152"/>
        <v>#DIV/0!</v>
      </c>
    </row>
    <row r="2290" ht="30" customHeight="1" spans="1:74">
      <c r="A2290" s="55">
        <v>0</v>
      </c>
      <c r="B2290" s="56">
        <v>0</v>
      </c>
      <c r="C2290" s="57">
        <v>0</v>
      </c>
      <c r="E2290" s="88"/>
      <c r="F2290" s="59" t="e">
        <f>VLOOKUP(E2290,[1]库存!$B$1:$C$65536,2,FALSE)</f>
        <v>#N/A</v>
      </c>
      <c r="G2290" s="59" t="e">
        <v>#N/A</v>
      </c>
      <c r="H2290" s="89"/>
      <c r="I2290" s="88"/>
      <c r="J2290" s="90"/>
      <c r="K2290" s="61"/>
      <c r="L2290" s="62">
        <v>0</v>
      </c>
      <c r="M2290" s="63">
        <v>0</v>
      </c>
      <c r="N2290" s="64">
        <v>0</v>
      </c>
      <c r="O2290" s="62">
        <v>0</v>
      </c>
      <c r="P2290" s="65">
        <f t="shared" si="153"/>
        <v>0</v>
      </c>
      <c r="Q2290" s="66"/>
      <c r="R2290" s="66"/>
      <c r="S2290" s="66"/>
      <c r="T2290" s="66"/>
      <c r="U2290" s="66"/>
      <c r="V2290" s="66"/>
      <c r="W2290" s="66"/>
      <c r="X2290" s="66"/>
      <c r="Y2290" s="66"/>
      <c r="Z2290" s="66"/>
      <c r="AA2290" s="66"/>
      <c r="AB2290" s="66"/>
      <c r="AC2290" s="66"/>
      <c r="AD2290" s="66"/>
      <c r="AE2290" s="66"/>
      <c r="AF2290" s="66"/>
      <c r="AG2290" s="66"/>
      <c r="AH2290" s="66"/>
      <c r="AI2290" s="66"/>
      <c r="AJ2290" s="66"/>
      <c r="AK2290" s="66"/>
      <c r="AL2290" s="66"/>
      <c r="AM2290" s="66"/>
      <c r="AN2290" s="66"/>
      <c r="AO2290" s="66"/>
      <c r="AP2290" s="66"/>
      <c r="AQ2290" s="66"/>
      <c r="AR2290" s="66"/>
      <c r="AS2290" s="66"/>
      <c r="AT2290" s="66"/>
      <c r="AU2290" s="66"/>
      <c r="AV2290" s="66"/>
      <c r="AW2290" s="66"/>
      <c r="AX2290" s="66"/>
      <c r="AY2290" s="66"/>
      <c r="AZ2290" s="66"/>
      <c r="BA2290" s="66"/>
      <c r="BB2290" s="66"/>
      <c r="BC2290" s="66"/>
      <c r="BD2290" s="66"/>
      <c r="BE2290" s="67"/>
      <c r="BF2290" s="67"/>
      <c r="BG2290" s="68"/>
      <c r="BI2290" s="69">
        <v>0</v>
      </c>
      <c r="BJ2290" s="70">
        <v>0</v>
      </c>
      <c r="BK2290" s="71">
        <v>0</v>
      </c>
      <c r="BL2290" s="71">
        <v>0</v>
      </c>
      <c r="BM2290" s="71">
        <v>0</v>
      </c>
      <c r="BN2290" s="72">
        <v>0</v>
      </c>
      <c r="BO2290" s="151" t="e">
        <f t="shared" si="149"/>
        <v>#DIV/0!</v>
      </c>
      <c r="BP2290" s="151" t="e">
        <f t="shared" si="150"/>
        <v>#DIV/0!</v>
      </c>
      <c r="BQ2290" s="71">
        <v>0</v>
      </c>
      <c r="BR2290" s="71">
        <v>0</v>
      </c>
      <c r="BS2290" s="71">
        <v>0</v>
      </c>
      <c r="BT2290" s="72">
        <v>0</v>
      </c>
      <c r="BU2290" s="151" t="e">
        <f t="shared" si="151"/>
        <v>#DIV/0!</v>
      </c>
      <c r="BV2290" s="151" t="e">
        <f t="shared" si="152"/>
        <v>#DIV/0!</v>
      </c>
    </row>
    <row r="2291" ht="30" customHeight="1" spans="1:74">
      <c r="A2291" s="55" t="s">
        <v>165</v>
      </c>
      <c r="B2291" s="56" t="s">
        <v>1237</v>
      </c>
      <c r="C2291" s="57" t="s">
        <v>3226</v>
      </c>
      <c r="D2291" s="57" t="s">
        <v>3595</v>
      </c>
      <c r="E2291" s="91" t="s">
        <v>3596</v>
      </c>
      <c r="F2291" s="91" t="str">
        <f>VLOOKUP(E2291,[1]库存!$B$1:$C$65536,2,FALSE)</f>
        <v>NIO SIRIUS SAB LH A状态</v>
      </c>
      <c r="G2291" s="91" t="s">
        <v>3597</v>
      </c>
      <c r="H2291" s="91" t="s">
        <v>3598</v>
      </c>
      <c r="I2291" s="91" t="s">
        <v>3599</v>
      </c>
      <c r="J2291" s="63"/>
      <c r="K2291" s="61"/>
      <c r="L2291" s="62">
        <v>2</v>
      </c>
      <c r="M2291" s="63">
        <v>1500</v>
      </c>
      <c r="N2291" s="64">
        <v>13</v>
      </c>
      <c r="O2291" s="62">
        <v>2</v>
      </c>
      <c r="P2291" s="65">
        <f t="shared" si="153"/>
        <v>0</v>
      </c>
      <c r="Q2291" s="66"/>
      <c r="R2291" s="66"/>
      <c r="S2291" s="66"/>
      <c r="T2291" s="66"/>
      <c r="U2291" s="66"/>
      <c r="V2291" s="66"/>
      <c r="W2291" s="66"/>
      <c r="X2291" s="66"/>
      <c r="Y2291" s="66"/>
      <c r="Z2291" s="66"/>
      <c r="AA2291" s="66"/>
      <c r="AB2291" s="66"/>
      <c r="AC2291" s="66"/>
      <c r="AD2291" s="66"/>
      <c r="AE2291" s="66"/>
      <c r="AF2291" s="66"/>
      <c r="AG2291" s="66"/>
      <c r="AH2291" s="66"/>
      <c r="AI2291" s="66"/>
      <c r="AJ2291" s="66"/>
      <c r="AK2291" s="66"/>
      <c r="AL2291" s="66"/>
      <c r="AM2291" s="66"/>
      <c r="AN2291" s="66"/>
      <c r="AO2291" s="66"/>
      <c r="AP2291" s="66"/>
      <c r="AQ2291" s="66"/>
      <c r="AR2291" s="66"/>
      <c r="AS2291" s="66"/>
      <c r="AT2291" s="66"/>
      <c r="AU2291" s="66"/>
      <c r="AV2291" s="66"/>
      <c r="AW2291" s="66"/>
      <c r="AX2291" s="66"/>
      <c r="AY2291" s="66"/>
      <c r="AZ2291" s="66"/>
      <c r="BA2291" s="66"/>
      <c r="BB2291" s="66"/>
      <c r="BC2291" s="66"/>
      <c r="BD2291" s="66"/>
      <c r="BE2291" s="67"/>
      <c r="BF2291" s="67"/>
      <c r="BG2291" s="68"/>
      <c r="BI2291" s="69">
        <v>0</v>
      </c>
      <c r="BJ2291" s="70">
        <v>0</v>
      </c>
      <c r="BK2291" s="71">
        <v>0</v>
      </c>
      <c r="BL2291" s="71">
        <v>0</v>
      </c>
      <c r="BM2291" s="71">
        <v>0</v>
      </c>
      <c r="BN2291" s="72">
        <v>0</v>
      </c>
      <c r="BO2291" s="151" t="e">
        <f t="shared" si="149"/>
        <v>#DIV/0!</v>
      </c>
      <c r="BP2291" s="151" t="e">
        <f t="shared" si="150"/>
        <v>#DIV/0!</v>
      </c>
      <c r="BQ2291" s="71">
        <v>0</v>
      </c>
      <c r="BR2291" s="71">
        <v>0</v>
      </c>
      <c r="BS2291" s="71">
        <v>0</v>
      </c>
      <c r="BT2291" s="72">
        <v>0</v>
      </c>
      <c r="BU2291" s="151" t="e">
        <f t="shared" si="151"/>
        <v>#DIV/0!</v>
      </c>
      <c r="BV2291" s="151" t="e">
        <f t="shared" si="152"/>
        <v>#DIV/0!</v>
      </c>
    </row>
    <row r="2292" ht="30" customHeight="1" spans="1:74">
      <c r="A2292" s="55">
        <v>0</v>
      </c>
      <c r="B2292" s="56">
        <v>0</v>
      </c>
      <c r="C2292" s="57">
        <v>0</v>
      </c>
      <c r="D2292" s="174"/>
      <c r="E2292" s="92"/>
      <c r="F2292" s="91" t="e">
        <f>VLOOKUP(E2292,[1]库存!$B$1:$C$65536,2,FALSE)</f>
        <v>#N/A</v>
      </c>
      <c r="G2292" s="91" t="e">
        <v>#N/A</v>
      </c>
      <c r="H2292" s="92"/>
      <c r="I2292" s="92"/>
      <c r="J2292" s="87"/>
      <c r="K2292" s="61"/>
      <c r="L2292" s="62">
        <v>0</v>
      </c>
      <c r="M2292" s="63">
        <v>0</v>
      </c>
      <c r="N2292" s="64">
        <v>0</v>
      </c>
      <c r="O2292" s="62">
        <v>0</v>
      </c>
      <c r="P2292" s="65">
        <f t="shared" si="153"/>
        <v>0</v>
      </c>
      <c r="Q2292" s="66"/>
      <c r="R2292" s="66"/>
      <c r="S2292" s="66"/>
      <c r="T2292" s="66"/>
      <c r="U2292" s="66"/>
      <c r="V2292" s="66"/>
      <c r="W2292" s="66"/>
      <c r="X2292" s="66"/>
      <c r="Y2292" s="66"/>
      <c r="Z2292" s="66"/>
      <c r="AA2292" s="66"/>
      <c r="AB2292" s="66"/>
      <c r="AC2292" s="66"/>
      <c r="AD2292" s="66"/>
      <c r="AE2292" s="66"/>
      <c r="AF2292" s="66"/>
      <c r="AG2292" s="66"/>
      <c r="AH2292" s="66"/>
      <c r="AI2292" s="66"/>
      <c r="AJ2292" s="66"/>
      <c r="AK2292" s="66"/>
      <c r="AL2292" s="66"/>
      <c r="AM2292" s="66"/>
      <c r="AN2292" s="66"/>
      <c r="AO2292" s="66"/>
      <c r="AP2292" s="66"/>
      <c r="AQ2292" s="66"/>
      <c r="AR2292" s="66"/>
      <c r="AS2292" s="66"/>
      <c r="AT2292" s="66"/>
      <c r="AU2292" s="66"/>
      <c r="AV2292" s="66"/>
      <c r="AW2292" s="66"/>
      <c r="AX2292" s="66"/>
      <c r="AY2292" s="66"/>
      <c r="AZ2292" s="66"/>
      <c r="BA2292" s="66"/>
      <c r="BB2292" s="66"/>
      <c r="BC2292" s="66"/>
      <c r="BD2292" s="66"/>
      <c r="BE2292" s="67"/>
      <c r="BF2292" s="67"/>
      <c r="BG2292" s="68"/>
      <c r="BI2292" s="69">
        <v>0</v>
      </c>
      <c r="BJ2292" s="70">
        <v>0</v>
      </c>
      <c r="BK2292" s="71">
        <v>0</v>
      </c>
      <c r="BL2292" s="71">
        <v>0</v>
      </c>
      <c r="BM2292" s="71">
        <v>0</v>
      </c>
      <c r="BN2292" s="72">
        <v>0</v>
      </c>
      <c r="BO2292" s="151" t="e">
        <f t="shared" si="149"/>
        <v>#DIV/0!</v>
      </c>
      <c r="BP2292" s="151" t="e">
        <f t="shared" si="150"/>
        <v>#DIV/0!</v>
      </c>
      <c r="BQ2292" s="71">
        <v>0</v>
      </c>
      <c r="BR2292" s="71">
        <v>0</v>
      </c>
      <c r="BS2292" s="71">
        <v>0</v>
      </c>
      <c r="BT2292" s="72">
        <v>0</v>
      </c>
      <c r="BU2292" s="151" t="e">
        <f t="shared" si="151"/>
        <v>#DIV/0!</v>
      </c>
      <c r="BV2292" s="151" t="e">
        <f t="shared" si="152"/>
        <v>#DIV/0!</v>
      </c>
    </row>
    <row r="2293" ht="30" customHeight="1" spans="1:74">
      <c r="A2293" s="55" t="s">
        <v>165</v>
      </c>
      <c r="B2293" s="56" t="s">
        <v>1237</v>
      </c>
      <c r="C2293" s="57" t="s">
        <v>3226</v>
      </c>
      <c r="D2293" s="57" t="s">
        <v>3595</v>
      </c>
      <c r="E2293" s="91" t="s">
        <v>3600</v>
      </c>
      <c r="F2293" s="91" t="str">
        <f>VLOOKUP(E2293,[1]库存!$B$1:$C$65536,2,FALSE)</f>
        <v>NIO SIRIUS SAB RH A状态</v>
      </c>
      <c r="G2293" s="91" t="s">
        <v>3601</v>
      </c>
      <c r="H2293" s="91" t="s">
        <v>3602</v>
      </c>
      <c r="I2293" s="91" t="s">
        <v>3599</v>
      </c>
      <c r="J2293" s="63"/>
      <c r="K2293" s="61"/>
      <c r="L2293" s="62">
        <v>2</v>
      </c>
      <c r="M2293" s="63">
        <v>1500</v>
      </c>
      <c r="N2293" s="64">
        <v>13</v>
      </c>
      <c r="O2293" s="62">
        <v>2</v>
      </c>
      <c r="P2293" s="65">
        <f t="shared" si="153"/>
        <v>0</v>
      </c>
      <c r="Q2293" s="66"/>
      <c r="R2293" s="66"/>
      <c r="S2293" s="66"/>
      <c r="T2293" s="66"/>
      <c r="U2293" s="66"/>
      <c r="V2293" s="66"/>
      <c r="W2293" s="66"/>
      <c r="X2293" s="66"/>
      <c r="Y2293" s="66"/>
      <c r="Z2293" s="66"/>
      <c r="AA2293" s="66"/>
      <c r="AB2293" s="66"/>
      <c r="AC2293" s="66"/>
      <c r="AD2293" s="66"/>
      <c r="AE2293" s="66"/>
      <c r="AF2293" s="66"/>
      <c r="AG2293" s="66"/>
      <c r="AH2293" s="66"/>
      <c r="AI2293" s="66"/>
      <c r="AJ2293" s="66"/>
      <c r="AK2293" s="66"/>
      <c r="AL2293" s="66"/>
      <c r="AM2293" s="66"/>
      <c r="AN2293" s="66"/>
      <c r="AO2293" s="66"/>
      <c r="AP2293" s="66"/>
      <c r="AQ2293" s="66"/>
      <c r="AR2293" s="66"/>
      <c r="AS2293" s="66"/>
      <c r="AT2293" s="66"/>
      <c r="AU2293" s="66"/>
      <c r="AV2293" s="66"/>
      <c r="AW2293" s="66"/>
      <c r="AX2293" s="66"/>
      <c r="AY2293" s="66"/>
      <c r="AZ2293" s="66"/>
      <c r="BA2293" s="66"/>
      <c r="BB2293" s="66"/>
      <c r="BC2293" s="66"/>
      <c r="BD2293" s="66"/>
      <c r="BE2293" s="67"/>
      <c r="BF2293" s="67"/>
      <c r="BG2293" s="68"/>
      <c r="BI2293" s="69">
        <v>0</v>
      </c>
      <c r="BJ2293" s="70">
        <v>0</v>
      </c>
      <c r="BK2293" s="71">
        <v>0</v>
      </c>
      <c r="BL2293" s="71">
        <v>0</v>
      </c>
      <c r="BM2293" s="71">
        <v>0</v>
      </c>
      <c r="BN2293" s="72">
        <v>0</v>
      </c>
      <c r="BO2293" s="151" t="e">
        <f t="shared" si="149"/>
        <v>#DIV/0!</v>
      </c>
      <c r="BP2293" s="151" t="e">
        <f t="shared" si="150"/>
        <v>#DIV/0!</v>
      </c>
      <c r="BQ2293" s="71">
        <v>0</v>
      </c>
      <c r="BR2293" s="71">
        <v>0</v>
      </c>
      <c r="BS2293" s="71">
        <v>0</v>
      </c>
      <c r="BT2293" s="72">
        <v>0</v>
      </c>
      <c r="BU2293" s="151" t="e">
        <f t="shared" si="151"/>
        <v>#DIV/0!</v>
      </c>
      <c r="BV2293" s="151" t="e">
        <f t="shared" si="152"/>
        <v>#DIV/0!</v>
      </c>
    </row>
    <row r="2294" ht="30" customHeight="1" spans="1:74">
      <c r="A2294" s="55">
        <v>0</v>
      </c>
      <c r="B2294" s="56">
        <v>0</v>
      </c>
      <c r="C2294" s="57">
        <v>0</v>
      </c>
      <c r="D2294" s="174"/>
      <c r="E2294" s="92"/>
      <c r="F2294" s="91" t="e">
        <f>VLOOKUP(E2294,[1]库存!$B$1:$C$65536,2,FALSE)</f>
        <v>#N/A</v>
      </c>
      <c r="G2294" s="91" t="e">
        <v>#N/A</v>
      </c>
      <c r="H2294" s="92"/>
      <c r="I2294" s="92"/>
      <c r="J2294" s="87"/>
      <c r="K2294" s="61"/>
      <c r="L2294" s="62">
        <v>0</v>
      </c>
      <c r="M2294" s="63">
        <v>0</v>
      </c>
      <c r="N2294" s="64">
        <v>0</v>
      </c>
      <c r="O2294" s="62">
        <v>0</v>
      </c>
      <c r="P2294" s="65">
        <f t="shared" si="153"/>
        <v>0</v>
      </c>
      <c r="Q2294" s="66"/>
      <c r="R2294" s="66"/>
      <c r="S2294" s="66"/>
      <c r="T2294" s="66"/>
      <c r="U2294" s="66"/>
      <c r="V2294" s="66"/>
      <c r="W2294" s="66"/>
      <c r="X2294" s="66"/>
      <c r="Y2294" s="66"/>
      <c r="Z2294" s="66"/>
      <c r="AA2294" s="66"/>
      <c r="AB2294" s="66"/>
      <c r="AC2294" s="66"/>
      <c r="AD2294" s="66"/>
      <c r="AE2294" s="66"/>
      <c r="AF2294" s="66"/>
      <c r="AG2294" s="66"/>
      <c r="AH2294" s="66"/>
      <c r="AI2294" s="66"/>
      <c r="AJ2294" s="66"/>
      <c r="AK2294" s="66"/>
      <c r="AL2294" s="66"/>
      <c r="AM2294" s="66"/>
      <c r="AN2294" s="66"/>
      <c r="AO2294" s="66"/>
      <c r="AP2294" s="66"/>
      <c r="AQ2294" s="66"/>
      <c r="AR2294" s="66"/>
      <c r="AS2294" s="66"/>
      <c r="AT2294" s="66"/>
      <c r="AU2294" s="66"/>
      <c r="AV2294" s="66"/>
      <c r="AW2294" s="66"/>
      <c r="AX2294" s="66"/>
      <c r="AY2294" s="66"/>
      <c r="AZ2294" s="66"/>
      <c r="BA2294" s="66"/>
      <c r="BB2294" s="66"/>
      <c r="BC2294" s="66"/>
      <c r="BD2294" s="66"/>
      <c r="BE2294" s="67"/>
      <c r="BF2294" s="67"/>
      <c r="BG2294" s="68"/>
      <c r="BI2294" s="69">
        <v>0</v>
      </c>
      <c r="BJ2294" s="70">
        <v>0</v>
      </c>
      <c r="BK2294" s="71">
        <v>0</v>
      </c>
      <c r="BL2294" s="71">
        <v>0</v>
      </c>
      <c r="BM2294" s="71">
        <v>0</v>
      </c>
      <c r="BN2294" s="72">
        <v>0</v>
      </c>
      <c r="BO2294" s="151" t="e">
        <f t="shared" si="149"/>
        <v>#DIV/0!</v>
      </c>
      <c r="BP2294" s="151" t="e">
        <f t="shared" si="150"/>
        <v>#DIV/0!</v>
      </c>
      <c r="BQ2294" s="71">
        <v>0</v>
      </c>
      <c r="BR2294" s="71">
        <v>0</v>
      </c>
      <c r="BS2294" s="71">
        <v>0</v>
      </c>
      <c r="BT2294" s="72">
        <v>0</v>
      </c>
      <c r="BU2294" s="151" t="e">
        <f t="shared" si="151"/>
        <v>#DIV/0!</v>
      </c>
      <c r="BV2294" s="151" t="e">
        <f t="shared" si="152"/>
        <v>#DIV/0!</v>
      </c>
    </row>
    <row r="2295" ht="30" customHeight="1" spans="1:74">
      <c r="A2295" s="55" t="s">
        <v>540</v>
      </c>
      <c r="B2295" s="56" t="s">
        <v>1237</v>
      </c>
      <c r="C2295" s="57" t="s">
        <v>3226</v>
      </c>
      <c r="D2295" s="57" t="s">
        <v>3595</v>
      </c>
      <c r="E2295" s="91" t="s">
        <v>3603</v>
      </c>
      <c r="F2295" s="91" t="str">
        <f>VLOOKUP(E2295,[1]库存!$B$1:$C$65536,2,FALSE)</f>
        <v>AUDI AU326 FSAB C-IASI LH D状态</v>
      </c>
      <c r="G2295" s="91" t="s">
        <v>3604</v>
      </c>
      <c r="H2295" s="91" t="s">
        <v>3605</v>
      </c>
      <c r="I2295" s="91" t="s">
        <v>3606</v>
      </c>
      <c r="J2295" s="63"/>
      <c r="K2295" s="61"/>
      <c r="L2295" s="62">
        <v>2</v>
      </c>
      <c r="M2295" s="63">
        <v>1000</v>
      </c>
      <c r="N2295" s="64">
        <v>14</v>
      </c>
      <c r="O2295" s="62">
        <v>2</v>
      </c>
      <c r="P2295" s="65">
        <f t="shared" si="153"/>
        <v>0</v>
      </c>
      <c r="Q2295" s="66"/>
      <c r="R2295" s="66"/>
      <c r="S2295" s="66"/>
      <c r="T2295" s="66"/>
      <c r="U2295" s="66"/>
      <c r="V2295" s="66"/>
      <c r="W2295" s="66"/>
      <c r="X2295" s="66"/>
      <c r="Y2295" s="66"/>
      <c r="Z2295" s="66"/>
      <c r="AA2295" s="66"/>
      <c r="AB2295" s="66"/>
      <c r="AC2295" s="66"/>
      <c r="AD2295" s="66"/>
      <c r="AE2295" s="66"/>
      <c r="AF2295" s="66"/>
      <c r="AG2295" s="66"/>
      <c r="AH2295" s="66"/>
      <c r="AI2295" s="66"/>
      <c r="AJ2295" s="66"/>
      <c r="AK2295" s="66"/>
      <c r="AL2295" s="66"/>
      <c r="AM2295" s="66"/>
      <c r="AN2295" s="66"/>
      <c r="AO2295" s="66"/>
      <c r="AP2295" s="66"/>
      <c r="AQ2295" s="66"/>
      <c r="AR2295" s="66"/>
      <c r="AS2295" s="66"/>
      <c r="AT2295" s="66"/>
      <c r="AU2295" s="66"/>
      <c r="AV2295" s="66"/>
      <c r="AW2295" s="66"/>
      <c r="AX2295" s="66"/>
      <c r="AY2295" s="66"/>
      <c r="AZ2295" s="66"/>
      <c r="BA2295" s="66"/>
      <c r="BB2295" s="66"/>
      <c r="BC2295" s="66"/>
      <c r="BD2295" s="66"/>
      <c r="BE2295" s="67"/>
      <c r="BF2295" s="67"/>
      <c r="BG2295" s="68"/>
      <c r="BI2295" s="69">
        <v>0</v>
      </c>
      <c r="BJ2295" s="70">
        <v>0</v>
      </c>
      <c r="BK2295" s="71">
        <v>0</v>
      </c>
      <c r="BL2295" s="71">
        <v>0</v>
      </c>
      <c r="BM2295" s="71">
        <v>0</v>
      </c>
      <c r="BN2295" s="72">
        <v>0</v>
      </c>
      <c r="BO2295" s="151" t="e">
        <f t="shared" si="149"/>
        <v>#DIV/0!</v>
      </c>
      <c r="BP2295" s="151" t="e">
        <f t="shared" si="150"/>
        <v>#DIV/0!</v>
      </c>
      <c r="BQ2295" s="71">
        <v>0</v>
      </c>
      <c r="BR2295" s="71">
        <v>0</v>
      </c>
      <c r="BS2295" s="71">
        <v>0</v>
      </c>
      <c r="BT2295" s="72">
        <v>0</v>
      </c>
      <c r="BU2295" s="151" t="e">
        <f t="shared" si="151"/>
        <v>#DIV/0!</v>
      </c>
      <c r="BV2295" s="151" t="e">
        <f t="shared" si="152"/>
        <v>#DIV/0!</v>
      </c>
    </row>
    <row r="2296" ht="30" customHeight="1" spans="1:74">
      <c r="A2296" s="55">
        <v>0</v>
      </c>
      <c r="B2296" s="56">
        <v>0</v>
      </c>
      <c r="C2296" s="57">
        <v>0</v>
      </c>
      <c r="D2296" s="275"/>
      <c r="E2296" s="154"/>
      <c r="F2296" s="91" t="e">
        <f>VLOOKUP(E2296,[1]库存!$B$1:$C$65536,2,FALSE)</f>
        <v>#N/A</v>
      </c>
      <c r="G2296" s="91" t="e">
        <v>#N/A</v>
      </c>
      <c r="H2296" s="154"/>
      <c r="I2296" s="154"/>
      <c r="J2296" s="87"/>
      <c r="K2296" s="61"/>
      <c r="L2296" s="62">
        <v>0</v>
      </c>
      <c r="M2296" s="63">
        <v>0</v>
      </c>
      <c r="N2296" s="64">
        <v>0</v>
      </c>
      <c r="O2296" s="62">
        <v>0</v>
      </c>
      <c r="P2296" s="65">
        <f t="shared" si="153"/>
        <v>0</v>
      </c>
      <c r="Q2296" s="66"/>
      <c r="R2296" s="66"/>
      <c r="S2296" s="66"/>
      <c r="T2296" s="66"/>
      <c r="U2296" s="66"/>
      <c r="V2296" s="66"/>
      <c r="W2296" s="66"/>
      <c r="X2296" s="66"/>
      <c r="Y2296" s="66"/>
      <c r="Z2296" s="66"/>
      <c r="AA2296" s="66"/>
      <c r="AB2296" s="66"/>
      <c r="AC2296" s="66"/>
      <c r="AD2296" s="66"/>
      <c r="AE2296" s="66"/>
      <c r="AF2296" s="66"/>
      <c r="AG2296" s="66"/>
      <c r="AH2296" s="66"/>
      <c r="AI2296" s="66"/>
      <c r="AJ2296" s="66"/>
      <c r="AK2296" s="66"/>
      <c r="AL2296" s="66"/>
      <c r="AM2296" s="66"/>
      <c r="AN2296" s="66"/>
      <c r="AO2296" s="66"/>
      <c r="AP2296" s="66"/>
      <c r="AQ2296" s="66"/>
      <c r="AR2296" s="66"/>
      <c r="AS2296" s="66"/>
      <c r="AT2296" s="66"/>
      <c r="AU2296" s="66"/>
      <c r="AV2296" s="66"/>
      <c r="AW2296" s="66"/>
      <c r="AX2296" s="66"/>
      <c r="AY2296" s="66"/>
      <c r="AZ2296" s="66"/>
      <c r="BA2296" s="66"/>
      <c r="BB2296" s="66"/>
      <c r="BC2296" s="66"/>
      <c r="BD2296" s="66"/>
      <c r="BE2296" s="67"/>
      <c r="BF2296" s="67"/>
      <c r="BG2296" s="68"/>
      <c r="BI2296" s="69">
        <v>0</v>
      </c>
      <c r="BJ2296" s="70">
        <v>0</v>
      </c>
      <c r="BK2296" s="71">
        <v>0</v>
      </c>
      <c r="BL2296" s="71">
        <v>0</v>
      </c>
      <c r="BM2296" s="71">
        <v>0</v>
      </c>
      <c r="BN2296" s="72">
        <v>0</v>
      </c>
      <c r="BO2296" s="151" t="e">
        <f t="shared" si="149"/>
        <v>#DIV/0!</v>
      </c>
      <c r="BP2296" s="151" t="e">
        <f t="shared" si="150"/>
        <v>#DIV/0!</v>
      </c>
      <c r="BQ2296" s="71">
        <v>0</v>
      </c>
      <c r="BR2296" s="71">
        <v>0</v>
      </c>
      <c r="BS2296" s="71">
        <v>0</v>
      </c>
      <c r="BT2296" s="72">
        <v>0</v>
      </c>
      <c r="BU2296" s="151" t="e">
        <f t="shared" si="151"/>
        <v>#DIV/0!</v>
      </c>
      <c r="BV2296" s="151" t="e">
        <f t="shared" si="152"/>
        <v>#DIV/0!</v>
      </c>
    </row>
    <row r="2297" ht="30" customHeight="1" spans="1:74">
      <c r="A2297" s="55" t="s">
        <v>540</v>
      </c>
      <c r="B2297" s="56" t="s">
        <v>1237</v>
      </c>
      <c r="C2297" s="57" t="s">
        <v>3226</v>
      </c>
      <c r="D2297" s="56" t="s">
        <v>3595</v>
      </c>
      <c r="E2297" s="91" t="s">
        <v>3607</v>
      </c>
      <c r="F2297" s="91" t="str">
        <f>VLOOKUP(E2297,[1]库存!$B$1:$C$65536,2,FALSE)</f>
        <v>AUDI AU326 FSAB C-IASI RH D状态</v>
      </c>
      <c r="G2297" s="91" t="s">
        <v>3608</v>
      </c>
      <c r="H2297" s="91" t="s">
        <v>3609</v>
      </c>
      <c r="I2297" s="91" t="s">
        <v>3606</v>
      </c>
      <c r="J2297" s="63"/>
      <c r="K2297" s="61"/>
      <c r="L2297" s="62">
        <v>0</v>
      </c>
      <c r="M2297" s="63">
        <v>1000</v>
      </c>
      <c r="N2297" s="64">
        <v>14</v>
      </c>
      <c r="O2297" s="62">
        <v>0</v>
      </c>
      <c r="P2297" s="65">
        <f t="shared" si="153"/>
        <v>0</v>
      </c>
      <c r="Q2297" s="66"/>
      <c r="R2297" s="66"/>
      <c r="S2297" s="66"/>
      <c r="T2297" s="66"/>
      <c r="U2297" s="66"/>
      <c r="V2297" s="66"/>
      <c r="W2297" s="66"/>
      <c r="X2297" s="66"/>
      <c r="Y2297" s="66"/>
      <c r="Z2297" s="66"/>
      <c r="AA2297" s="66"/>
      <c r="AB2297" s="66"/>
      <c r="AC2297" s="66"/>
      <c r="AD2297" s="66"/>
      <c r="AE2297" s="66"/>
      <c r="AF2297" s="66"/>
      <c r="AG2297" s="66"/>
      <c r="AH2297" s="66"/>
      <c r="AI2297" s="66"/>
      <c r="AJ2297" s="66"/>
      <c r="AK2297" s="66"/>
      <c r="AL2297" s="66"/>
      <c r="AM2297" s="66"/>
      <c r="AN2297" s="66"/>
      <c r="AO2297" s="66"/>
      <c r="AP2297" s="66"/>
      <c r="AQ2297" s="66"/>
      <c r="AR2297" s="66"/>
      <c r="AS2297" s="66"/>
      <c r="AT2297" s="66"/>
      <c r="AU2297" s="66"/>
      <c r="AV2297" s="66"/>
      <c r="AW2297" s="66"/>
      <c r="AX2297" s="66"/>
      <c r="AY2297" s="66"/>
      <c r="AZ2297" s="66"/>
      <c r="BA2297" s="66"/>
      <c r="BB2297" s="66"/>
      <c r="BC2297" s="66"/>
      <c r="BD2297" s="66"/>
      <c r="BE2297" s="67"/>
      <c r="BF2297" s="67"/>
      <c r="BG2297" s="68"/>
      <c r="BI2297" s="69">
        <v>0</v>
      </c>
      <c r="BJ2297" s="70">
        <v>0</v>
      </c>
      <c r="BK2297" s="71">
        <v>0</v>
      </c>
      <c r="BL2297" s="71">
        <v>0</v>
      </c>
      <c r="BM2297" s="71">
        <v>0</v>
      </c>
      <c r="BN2297" s="72">
        <v>0</v>
      </c>
      <c r="BO2297" s="151" t="e">
        <f t="shared" si="149"/>
        <v>#DIV/0!</v>
      </c>
      <c r="BP2297" s="151" t="e">
        <f t="shared" si="150"/>
        <v>#DIV/0!</v>
      </c>
      <c r="BQ2297" s="71">
        <v>0</v>
      </c>
      <c r="BR2297" s="71">
        <v>0</v>
      </c>
      <c r="BS2297" s="71">
        <v>0</v>
      </c>
      <c r="BT2297" s="72">
        <v>0</v>
      </c>
      <c r="BU2297" s="151" t="e">
        <f t="shared" si="151"/>
        <v>#DIV/0!</v>
      </c>
      <c r="BV2297" s="151" t="e">
        <f t="shared" si="152"/>
        <v>#DIV/0!</v>
      </c>
    </row>
    <row r="2298" ht="30" customHeight="1" spans="1:74">
      <c r="A2298" s="55">
        <v>0</v>
      </c>
      <c r="B2298" s="56">
        <v>0</v>
      </c>
      <c r="C2298" s="57">
        <v>0</v>
      </c>
      <c r="D2298" s="56"/>
      <c r="E2298" s="154"/>
      <c r="F2298" s="91" t="e">
        <f>VLOOKUP(E2298,[1]库存!$B$1:$C$65536,2,FALSE)</f>
        <v>#N/A</v>
      </c>
      <c r="G2298" s="91" t="e">
        <v>#N/A</v>
      </c>
      <c r="H2298" s="154"/>
      <c r="I2298" s="154"/>
      <c r="J2298" s="87"/>
      <c r="K2298" s="61"/>
      <c r="L2298" s="62">
        <v>0</v>
      </c>
      <c r="M2298" s="63">
        <v>0</v>
      </c>
      <c r="N2298" s="64">
        <v>0</v>
      </c>
      <c r="O2298" s="62">
        <v>0</v>
      </c>
      <c r="P2298" s="65">
        <f t="shared" si="153"/>
        <v>0</v>
      </c>
      <c r="Q2298" s="66"/>
      <c r="R2298" s="66"/>
      <c r="S2298" s="66"/>
      <c r="T2298" s="66"/>
      <c r="U2298" s="66"/>
      <c r="V2298" s="66"/>
      <c r="W2298" s="66"/>
      <c r="X2298" s="66"/>
      <c r="Y2298" s="66"/>
      <c r="Z2298" s="66"/>
      <c r="AA2298" s="66"/>
      <c r="AB2298" s="66"/>
      <c r="AC2298" s="66"/>
      <c r="AD2298" s="66"/>
      <c r="AE2298" s="66"/>
      <c r="AF2298" s="66"/>
      <c r="AG2298" s="66"/>
      <c r="AH2298" s="66"/>
      <c r="AI2298" s="66"/>
      <c r="AJ2298" s="66"/>
      <c r="AK2298" s="66"/>
      <c r="AL2298" s="66"/>
      <c r="AM2298" s="66"/>
      <c r="AN2298" s="66"/>
      <c r="AO2298" s="66"/>
      <c r="AP2298" s="66"/>
      <c r="AQ2298" s="66"/>
      <c r="AR2298" s="66"/>
      <c r="AS2298" s="66"/>
      <c r="AT2298" s="66"/>
      <c r="AU2298" s="66"/>
      <c r="AV2298" s="66"/>
      <c r="AW2298" s="66"/>
      <c r="AX2298" s="66"/>
      <c r="AY2298" s="66"/>
      <c r="AZ2298" s="66"/>
      <c r="BA2298" s="66"/>
      <c r="BB2298" s="66"/>
      <c r="BC2298" s="66"/>
      <c r="BD2298" s="66"/>
      <c r="BE2298" s="67"/>
      <c r="BF2298" s="67"/>
      <c r="BG2298" s="68"/>
      <c r="BI2298" s="69">
        <v>0</v>
      </c>
      <c r="BJ2298" s="70">
        <v>0</v>
      </c>
      <c r="BK2298" s="71">
        <v>0</v>
      </c>
      <c r="BL2298" s="71">
        <v>0</v>
      </c>
      <c r="BM2298" s="71">
        <v>0</v>
      </c>
      <c r="BN2298" s="72">
        <v>0</v>
      </c>
      <c r="BO2298" s="151" t="e">
        <f t="shared" si="149"/>
        <v>#DIV/0!</v>
      </c>
      <c r="BP2298" s="151" t="e">
        <f t="shared" si="150"/>
        <v>#DIV/0!</v>
      </c>
      <c r="BQ2298" s="71">
        <v>0</v>
      </c>
      <c r="BR2298" s="71">
        <v>0</v>
      </c>
      <c r="BS2298" s="71">
        <v>0</v>
      </c>
      <c r="BT2298" s="72">
        <v>0</v>
      </c>
      <c r="BU2298" s="151" t="e">
        <f t="shared" si="151"/>
        <v>#DIV/0!</v>
      </c>
      <c r="BV2298" s="151" t="e">
        <f t="shared" si="152"/>
        <v>#DIV/0!</v>
      </c>
    </row>
    <row r="2299" ht="30" customHeight="1" spans="1:74">
      <c r="A2299" s="55">
        <v>0</v>
      </c>
      <c r="B2299" s="56" t="s">
        <v>1237</v>
      </c>
      <c r="C2299" s="57" t="s">
        <v>3226</v>
      </c>
      <c r="D2299" s="76" t="s">
        <v>3595</v>
      </c>
      <c r="E2299" s="59" t="s">
        <v>3610</v>
      </c>
      <c r="F2299" s="59" t="e">
        <f>VLOOKUP(E2299,[1]库存!$B$1:$C$65536,2,FALSE)</f>
        <v>#N/A</v>
      </c>
      <c r="G2299" s="59" t="e">
        <v>#N/A</v>
      </c>
      <c r="H2299" s="59" t="s">
        <v>3611</v>
      </c>
      <c r="I2299" s="59" t="s">
        <v>3612</v>
      </c>
      <c r="J2299" s="60" t="s">
        <v>3613</v>
      </c>
      <c r="K2299" s="61"/>
      <c r="L2299" s="62">
        <v>2</v>
      </c>
      <c r="M2299" s="63">
        <v>940</v>
      </c>
      <c r="N2299" s="64">
        <v>13</v>
      </c>
      <c r="O2299" s="62">
        <v>2</v>
      </c>
      <c r="P2299" s="65">
        <f t="shared" si="153"/>
        <v>0</v>
      </c>
      <c r="Q2299" s="67"/>
      <c r="R2299" s="67"/>
      <c r="S2299" s="67"/>
      <c r="T2299" s="67"/>
      <c r="U2299" s="67"/>
      <c r="V2299" s="67"/>
      <c r="W2299" s="67"/>
      <c r="X2299" s="67"/>
      <c r="Y2299" s="67"/>
      <c r="Z2299" s="67"/>
      <c r="AA2299" s="67"/>
      <c r="AB2299" s="67"/>
      <c r="AC2299" s="67"/>
      <c r="AD2299" s="67"/>
      <c r="AE2299" s="67"/>
      <c r="AF2299" s="67"/>
      <c r="AG2299" s="67"/>
      <c r="AH2299" s="67"/>
      <c r="AI2299" s="67"/>
      <c r="AJ2299" s="67"/>
      <c r="AK2299" s="67"/>
      <c r="AL2299" s="67"/>
      <c r="AM2299" s="67"/>
      <c r="AN2299" s="67"/>
      <c r="AO2299" s="67"/>
      <c r="AP2299" s="67"/>
      <c r="AQ2299" s="67"/>
      <c r="AR2299" s="67"/>
      <c r="AS2299" s="67"/>
      <c r="AT2299" s="67"/>
      <c r="AU2299" s="67"/>
      <c r="AV2299" s="67"/>
      <c r="AW2299" s="67"/>
      <c r="AX2299" s="67"/>
      <c r="AY2299" s="67"/>
      <c r="AZ2299" s="67"/>
      <c r="BA2299" s="67"/>
      <c r="BB2299" s="67"/>
      <c r="BC2299" s="67"/>
      <c r="BD2299" s="67"/>
      <c r="BE2299" s="67"/>
      <c r="BF2299" s="67"/>
      <c r="BG2299" s="68"/>
      <c r="BI2299" s="69">
        <v>0</v>
      </c>
      <c r="BJ2299" s="70">
        <v>0</v>
      </c>
      <c r="BK2299" s="71">
        <v>0</v>
      </c>
      <c r="BL2299" s="71">
        <v>0</v>
      </c>
      <c r="BM2299" s="71">
        <v>0</v>
      </c>
      <c r="BN2299" s="72">
        <v>0</v>
      </c>
      <c r="BO2299" s="151" t="e">
        <f t="shared" si="149"/>
        <v>#DIV/0!</v>
      </c>
      <c r="BP2299" s="151" t="e">
        <f t="shared" si="150"/>
        <v>#DIV/0!</v>
      </c>
      <c r="BQ2299" s="71">
        <v>0</v>
      </c>
      <c r="BR2299" s="71">
        <v>0</v>
      </c>
      <c r="BS2299" s="71">
        <v>0</v>
      </c>
      <c r="BT2299" s="72">
        <v>0</v>
      </c>
      <c r="BU2299" s="151" t="e">
        <f t="shared" si="151"/>
        <v>#DIV/0!</v>
      </c>
      <c r="BV2299" s="151" t="e">
        <f t="shared" si="152"/>
        <v>#DIV/0!</v>
      </c>
    </row>
    <row r="2300" ht="30" customHeight="1" spans="1:74">
      <c r="A2300" s="55">
        <v>0</v>
      </c>
      <c r="B2300" s="56">
        <v>0</v>
      </c>
      <c r="C2300" s="57">
        <v>0</v>
      </c>
      <c r="D2300" s="78"/>
      <c r="E2300" s="74"/>
      <c r="F2300" s="59" t="e">
        <f>VLOOKUP(E2300,[1]库存!$B$1:$C$65536,2,FALSE)</f>
        <v>#N/A</v>
      </c>
      <c r="G2300" s="59" t="e">
        <v>#N/A</v>
      </c>
      <c r="H2300" s="74"/>
      <c r="I2300" s="74"/>
      <c r="J2300" s="75"/>
      <c r="K2300" s="61"/>
      <c r="L2300" s="62">
        <v>0</v>
      </c>
      <c r="M2300" s="63">
        <v>0</v>
      </c>
      <c r="N2300" s="64">
        <v>0</v>
      </c>
      <c r="O2300" s="62">
        <v>0</v>
      </c>
      <c r="P2300" s="65">
        <f t="shared" si="153"/>
        <v>0</v>
      </c>
      <c r="Q2300" s="67"/>
      <c r="R2300" s="67"/>
      <c r="S2300" s="67"/>
      <c r="T2300" s="67"/>
      <c r="U2300" s="67"/>
      <c r="V2300" s="67"/>
      <c r="W2300" s="67"/>
      <c r="X2300" s="67"/>
      <c r="Y2300" s="67"/>
      <c r="Z2300" s="67"/>
      <c r="AA2300" s="67"/>
      <c r="AB2300" s="67"/>
      <c r="AC2300" s="67"/>
      <c r="AD2300" s="67"/>
      <c r="AE2300" s="67"/>
      <c r="AF2300" s="67"/>
      <c r="AG2300" s="67"/>
      <c r="AH2300" s="67"/>
      <c r="AI2300" s="67"/>
      <c r="AJ2300" s="67"/>
      <c r="AK2300" s="67"/>
      <c r="AL2300" s="67"/>
      <c r="AM2300" s="67"/>
      <c r="AN2300" s="67"/>
      <c r="AO2300" s="67"/>
      <c r="AP2300" s="67"/>
      <c r="AQ2300" s="67"/>
      <c r="AR2300" s="67"/>
      <c r="AS2300" s="67"/>
      <c r="AT2300" s="67"/>
      <c r="AU2300" s="67"/>
      <c r="AV2300" s="67"/>
      <c r="AW2300" s="67"/>
      <c r="AX2300" s="67"/>
      <c r="AY2300" s="67"/>
      <c r="AZ2300" s="67"/>
      <c r="BA2300" s="67"/>
      <c r="BB2300" s="67"/>
      <c r="BC2300" s="67"/>
      <c r="BD2300" s="67"/>
      <c r="BE2300" s="67"/>
      <c r="BF2300" s="67"/>
      <c r="BG2300" s="68"/>
      <c r="BI2300" s="69">
        <v>0</v>
      </c>
      <c r="BJ2300" s="70">
        <v>0</v>
      </c>
      <c r="BK2300" s="71">
        <v>0</v>
      </c>
      <c r="BL2300" s="71">
        <v>0</v>
      </c>
      <c r="BM2300" s="71">
        <v>0</v>
      </c>
      <c r="BN2300" s="72">
        <v>0</v>
      </c>
      <c r="BO2300" s="151" t="e">
        <f t="shared" si="149"/>
        <v>#DIV/0!</v>
      </c>
      <c r="BP2300" s="151" t="e">
        <f t="shared" si="150"/>
        <v>#DIV/0!</v>
      </c>
      <c r="BQ2300" s="71">
        <v>0</v>
      </c>
      <c r="BR2300" s="71">
        <v>0</v>
      </c>
      <c r="BS2300" s="71">
        <v>0</v>
      </c>
      <c r="BT2300" s="72">
        <v>0</v>
      </c>
      <c r="BU2300" s="151" t="e">
        <f t="shared" si="151"/>
        <v>#DIV/0!</v>
      </c>
      <c r="BV2300" s="151" t="e">
        <f t="shared" si="152"/>
        <v>#DIV/0!</v>
      </c>
    </row>
    <row r="2301" ht="30" customHeight="1" spans="1:74">
      <c r="A2301" s="55">
        <v>0</v>
      </c>
      <c r="B2301" s="56" t="s">
        <v>1237</v>
      </c>
      <c r="C2301" s="57" t="s">
        <v>3226</v>
      </c>
      <c r="D2301" s="76" t="s">
        <v>3595</v>
      </c>
      <c r="E2301" s="59" t="s">
        <v>3614</v>
      </c>
      <c r="F2301" s="59" t="e">
        <f>VLOOKUP(E2301,[1]库存!$B$1:$C$65536,2,FALSE)</f>
        <v>#N/A</v>
      </c>
      <c r="G2301" s="59" t="e">
        <v>#N/A</v>
      </c>
      <c r="H2301" s="59" t="s">
        <v>3615</v>
      </c>
      <c r="I2301" s="59" t="s">
        <v>3612</v>
      </c>
      <c r="J2301" s="75"/>
      <c r="K2301" s="61"/>
      <c r="L2301" s="62">
        <v>2</v>
      </c>
      <c r="M2301" s="63">
        <v>940</v>
      </c>
      <c r="N2301" s="64">
        <v>13</v>
      </c>
      <c r="O2301" s="62">
        <v>2</v>
      </c>
      <c r="P2301" s="65">
        <f t="shared" si="153"/>
        <v>0</v>
      </c>
      <c r="Q2301" s="67"/>
      <c r="R2301" s="67"/>
      <c r="S2301" s="67"/>
      <c r="T2301" s="67"/>
      <c r="U2301" s="67"/>
      <c r="V2301" s="67"/>
      <c r="W2301" s="67"/>
      <c r="X2301" s="67"/>
      <c r="Y2301" s="67"/>
      <c r="Z2301" s="67"/>
      <c r="AA2301" s="67"/>
      <c r="AB2301" s="67"/>
      <c r="AC2301" s="67"/>
      <c r="AD2301" s="67"/>
      <c r="AE2301" s="67"/>
      <c r="AF2301" s="67"/>
      <c r="AG2301" s="67"/>
      <c r="AH2301" s="67"/>
      <c r="AI2301" s="67"/>
      <c r="AJ2301" s="67"/>
      <c r="AK2301" s="67"/>
      <c r="AL2301" s="67"/>
      <c r="AM2301" s="67"/>
      <c r="AN2301" s="67"/>
      <c r="AO2301" s="67"/>
      <c r="AP2301" s="67"/>
      <c r="AQ2301" s="67"/>
      <c r="AR2301" s="67"/>
      <c r="AS2301" s="67"/>
      <c r="AT2301" s="67"/>
      <c r="AU2301" s="67"/>
      <c r="AV2301" s="67"/>
      <c r="AW2301" s="67"/>
      <c r="AX2301" s="67"/>
      <c r="AY2301" s="67"/>
      <c r="AZ2301" s="67"/>
      <c r="BA2301" s="67"/>
      <c r="BB2301" s="67"/>
      <c r="BC2301" s="67"/>
      <c r="BD2301" s="67"/>
      <c r="BE2301" s="67"/>
      <c r="BF2301" s="67"/>
      <c r="BG2301" s="68"/>
      <c r="BI2301" s="69">
        <v>0</v>
      </c>
      <c r="BJ2301" s="70">
        <v>0</v>
      </c>
      <c r="BK2301" s="71">
        <v>0</v>
      </c>
      <c r="BL2301" s="71">
        <v>0</v>
      </c>
      <c r="BM2301" s="71">
        <v>0</v>
      </c>
      <c r="BN2301" s="72">
        <v>0</v>
      </c>
      <c r="BO2301" s="151" t="e">
        <f t="shared" si="149"/>
        <v>#DIV/0!</v>
      </c>
      <c r="BP2301" s="151" t="e">
        <f t="shared" si="150"/>
        <v>#DIV/0!</v>
      </c>
      <c r="BQ2301" s="71">
        <v>0</v>
      </c>
      <c r="BR2301" s="71">
        <v>0</v>
      </c>
      <c r="BS2301" s="71">
        <v>0</v>
      </c>
      <c r="BT2301" s="72">
        <v>0</v>
      </c>
      <c r="BU2301" s="151" t="e">
        <f t="shared" si="151"/>
        <v>#DIV/0!</v>
      </c>
      <c r="BV2301" s="151" t="e">
        <f t="shared" si="152"/>
        <v>#DIV/0!</v>
      </c>
    </row>
    <row r="2302" ht="30" customHeight="1" spans="1:74">
      <c r="A2302" s="55">
        <v>0</v>
      </c>
      <c r="B2302" s="56">
        <v>0</v>
      </c>
      <c r="C2302" s="57">
        <v>0</v>
      </c>
      <c r="D2302" s="78"/>
      <c r="E2302" s="74"/>
      <c r="F2302" s="59" t="e">
        <f>VLOOKUP(E2302,[1]库存!$B$1:$C$65536,2,FALSE)</f>
        <v>#N/A</v>
      </c>
      <c r="G2302" s="59" t="e">
        <v>#N/A</v>
      </c>
      <c r="H2302" s="74"/>
      <c r="I2302" s="74"/>
      <c r="J2302" s="75"/>
      <c r="K2302" s="61"/>
      <c r="L2302" s="62">
        <v>0</v>
      </c>
      <c r="M2302" s="63">
        <v>0</v>
      </c>
      <c r="N2302" s="64">
        <v>0</v>
      </c>
      <c r="O2302" s="62">
        <v>0</v>
      </c>
      <c r="P2302" s="65">
        <f t="shared" si="153"/>
        <v>0</v>
      </c>
      <c r="Q2302" s="67"/>
      <c r="R2302" s="67"/>
      <c r="S2302" s="67"/>
      <c r="T2302" s="67"/>
      <c r="U2302" s="67"/>
      <c r="V2302" s="67"/>
      <c r="W2302" s="67"/>
      <c r="X2302" s="67"/>
      <c r="Y2302" s="67"/>
      <c r="Z2302" s="67"/>
      <c r="AA2302" s="67"/>
      <c r="AB2302" s="67"/>
      <c r="AC2302" s="67"/>
      <c r="AD2302" s="67"/>
      <c r="AE2302" s="67"/>
      <c r="AF2302" s="67"/>
      <c r="AG2302" s="67"/>
      <c r="AH2302" s="67"/>
      <c r="AI2302" s="67"/>
      <c r="AJ2302" s="67"/>
      <c r="AK2302" s="67"/>
      <c r="AL2302" s="67"/>
      <c r="AM2302" s="67"/>
      <c r="AN2302" s="67"/>
      <c r="AO2302" s="67"/>
      <c r="AP2302" s="67"/>
      <c r="AQ2302" s="67"/>
      <c r="AR2302" s="67"/>
      <c r="AS2302" s="67"/>
      <c r="AT2302" s="67"/>
      <c r="AU2302" s="67"/>
      <c r="AV2302" s="67"/>
      <c r="AW2302" s="67"/>
      <c r="AX2302" s="67"/>
      <c r="AY2302" s="67"/>
      <c r="AZ2302" s="67"/>
      <c r="BA2302" s="67"/>
      <c r="BB2302" s="67"/>
      <c r="BC2302" s="67"/>
      <c r="BD2302" s="67"/>
      <c r="BE2302" s="67"/>
      <c r="BF2302" s="67"/>
      <c r="BG2302" s="68"/>
      <c r="BI2302" s="69">
        <v>0</v>
      </c>
      <c r="BJ2302" s="70">
        <v>0</v>
      </c>
      <c r="BK2302" s="71">
        <v>0</v>
      </c>
      <c r="BL2302" s="71">
        <v>0</v>
      </c>
      <c r="BM2302" s="71">
        <v>0</v>
      </c>
      <c r="BN2302" s="72">
        <v>0</v>
      </c>
      <c r="BO2302" s="151" t="e">
        <f t="shared" si="149"/>
        <v>#DIV/0!</v>
      </c>
      <c r="BP2302" s="151" t="e">
        <f t="shared" si="150"/>
        <v>#DIV/0!</v>
      </c>
      <c r="BQ2302" s="71">
        <v>0</v>
      </c>
      <c r="BR2302" s="71">
        <v>0</v>
      </c>
      <c r="BS2302" s="71">
        <v>0</v>
      </c>
      <c r="BT2302" s="72">
        <v>0</v>
      </c>
      <c r="BU2302" s="151" t="e">
        <f t="shared" si="151"/>
        <v>#DIV/0!</v>
      </c>
      <c r="BV2302" s="151" t="e">
        <f t="shared" si="152"/>
        <v>#DIV/0!</v>
      </c>
    </row>
    <row r="2303" ht="30" customHeight="1" spans="1:74">
      <c r="A2303" s="55">
        <v>0</v>
      </c>
      <c r="B2303" s="56" t="s">
        <v>1237</v>
      </c>
      <c r="C2303" s="57" t="s">
        <v>3226</v>
      </c>
      <c r="D2303" s="76" t="s">
        <v>3595</v>
      </c>
      <c r="E2303" s="59"/>
      <c r="F2303" s="59" t="e">
        <f>VLOOKUP(E2303,[1]库存!$B$1:$C$65536,2,FALSE)</f>
        <v>#N/A</v>
      </c>
      <c r="G2303" s="59" t="e">
        <v>#N/A</v>
      </c>
      <c r="H2303" s="59" t="s">
        <v>3616</v>
      </c>
      <c r="I2303" s="228" t="s">
        <v>3617</v>
      </c>
      <c r="J2303" s="171"/>
      <c r="K2303" s="61"/>
      <c r="L2303" s="62">
        <v>0</v>
      </c>
      <c r="M2303" s="63">
        <v>0</v>
      </c>
      <c r="N2303" s="64">
        <v>0</v>
      </c>
      <c r="O2303" s="62">
        <v>0</v>
      </c>
      <c r="P2303" s="65">
        <f t="shared" si="153"/>
        <v>0</v>
      </c>
      <c r="Q2303" s="66"/>
      <c r="R2303" s="66"/>
      <c r="S2303" s="66"/>
      <c r="T2303" s="66"/>
      <c r="U2303" s="66"/>
      <c r="V2303" s="66"/>
      <c r="W2303" s="66"/>
      <c r="X2303" s="66"/>
      <c r="Y2303" s="66"/>
      <c r="Z2303" s="66"/>
      <c r="AA2303" s="66"/>
      <c r="AB2303" s="66"/>
      <c r="AC2303" s="66"/>
      <c r="AD2303" s="66"/>
      <c r="AE2303" s="66"/>
      <c r="AF2303" s="66"/>
      <c r="AG2303" s="66"/>
      <c r="AH2303" s="66"/>
      <c r="AI2303" s="66"/>
      <c r="AJ2303" s="66"/>
      <c r="AK2303" s="66"/>
      <c r="AL2303" s="66"/>
      <c r="AM2303" s="66"/>
      <c r="AN2303" s="66"/>
      <c r="AO2303" s="66"/>
      <c r="AP2303" s="66"/>
      <c r="AQ2303" s="66"/>
      <c r="AR2303" s="66"/>
      <c r="AS2303" s="66"/>
      <c r="AT2303" s="66"/>
      <c r="AU2303" s="66"/>
      <c r="AV2303" s="66"/>
      <c r="AW2303" s="66"/>
      <c r="AX2303" s="66"/>
      <c r="AY2303" s="66"/>
      <c r="AZ2303" s="66"/>
      <c r="BA2303" s="66"/>
      <c r="BB2303" s="66"/>
      <c r="BC2303" s="66"/>
      <c r="BD2303" s="66"/>
      <c r="BE2303" s="67"/>
      <c r="BF2303" s="67"/>
      <c r="BG2303" s="68"/>
      <c r="BI2303" s="69">
        <v>0</v>
      </c>
      <c r="BJ2303" s="70">
        <v>0</v>
      </c>
      <c r="BK2303" s="71">
        <v>0</v>
      </c>
      <c r="BL2303" s="71">
        <v>0</v>
      </c>
      <c r="BM2303" s="71">
        <v>0</v>
      </c>
      <c r="BN2303" s="72">
        <v>0</v>
      </c>
      <c r="BO2303" s="151" t="e">
        <f t="shared" si="149"/>
        <v>#DIV/0!</v>
      </c>
      <c r="BP2303" s="151" t="e">
        <f t="shared" si="150"/>
        <v>#DIV/0!</v>
      </c>
      <c r="BQ2303" s="71">
        <v>0</v>
      </c>
      <c r="BR2303" s="71">
        <v>0</v>
      </c>
      <c r="BS2303" s="71">
        <v>0</v>
      </c>
      <c r="BT2303" s="72">
        <v>0</v>
      </c>
      <c r="BU2303" s="151" t="e">
        <f t="shared" si="151"/>
        <v>#DIV/0!</v>
      </c>
      <c r="BV2303" s="151" t="e">
        <f t="shared" si="152"/>
        <v>#DIV/0!</v>
      </c>
    </row>
    <row r="2304" ht="30" customHeight="1" spans="1:74">
      <c r="A2304" s="55">
        <v>0</v>
      </c>
      <c r="B2304" s="56">
        <v>0</v>
      </c>
      <c r="C2304" s="57">
        <v>0</v>
      </c>
      <c r="D2304" s="78"/>
      <c r="E2304" s="74"/>
      <c r="F2304" s="59" t="e">
        <f>VLOOKUP(E2304,[1]库存!$B$1:$C$65536,2,FALSE)</f>
        <v>#N/A</v>
      </c>
      <c r="G2304" s="59" t="e">
        <v>#N/A</v>
      </c>
      <c r="H2304" s="74"/>
      <c r="I2304" s="276">
        <v>0</v>
      </c>
      <c r="J2304" s="172"/>
      <c r="K2304" s="61"/>
      <c r="L2304" s="62">
        <v>0</v>
      </c>
      <c r="M2304" s="63">
        <v>0</v>
      </c>
      <c r="N2304" s="64">
        <v>0</v>
      </c>
      <c r="O2304" s="62">
        <v>0</v>
      </c>
      <c r="P2304" s="65">
        <f t="shared" si="153"/>
        <v>0</v>
      </c>
      <c r="Q2304" s="66"/>
      <c r="R2304" s="66"/>
      <c r="S2304" s="66"/>
      <c r="T2304" s="66"/>
      <c r="U2304" s="66"/>
      <c r="V2304" s="66"/>
      <c r="W2304" s="66"/>
      <c r="X2304" s="66"/>
      <c r="Y2304" s="66"/>
      <c r="Z2304" s="66"/>
      <c r="AA2304" s="66"/>
      <c r="AB2304" s="66"/>
      <c r="AC2304" s="66"/>
      <c r="AD2304" s="66"/>
      <c r="AE2304" s="66"/>
      <c r="AF2304" s="66"/>
      <c r="AG2304" s="66"/>
      <c r="AH2304" s="66"/>
      <c r="AI2304" s="66"/>
      <c r="AJ2304" s="66"/>
      <c r="AK2304" s="66"/>
      <c r="AL2304" s="66"/>
      <c r="AM2304" s="66"/>
      <c r="AN2304" s="66"/>
      <c r="AO2304" s="66"/>
      <c r="AP2304" s="66"/>
      <c r="AQ2304" s="66"/>
      <c r="AR2304" s="66"/>
      <c r="AS2304" s="66"/>
      <c r="AT2304" s="66"/>
      <c r="AU2304" s="66"/>
      <c r="AV2304" s="66"/>
      <c r="AW2304" s="66"/>
      <c r="AX2304" s="66"/>
      <c r="AY2304" s="66"/>
      <c r="AZ2304" s="66"/>
      <c r="BA2304" s="66"/>
      <c r="BB2304" s="66"/>
      <c r="BC2304" s="66"/>
      <c r="BD2304" s="66"/>
      <c r="BE2304" s="67"/>
      <c r="BF2304" s="67"/>
      <c r="BG2304" s="68"/>
      <c r="BI2304" s="69">
        <v>0</v>
      </c>
      <c r="BJ2304" s="70">
        <v>0</v>
      </c>
      <c r="BK2304" s="71">
        <v>0</v>
      </c>
      <c r="BL2304" s="71">
        <v>0</v>
      </c>
      <c r="BM2304" s="71">
        <v>0</v>
      </c>
      <c r="BN2304" s="72">
        <v>0</v>
      </c>
      <c r="BO2304" s="151" t="e">
        <f t="shared" si="149"/>
        <v>#DIV/0!</v>
      </c>
      <c r="BP2304" s="151" t="e">
        <f t="shared" si="150"/>
        <v>#DIV/0!</v>
      </c>
      <c r="BQ2304" s="71">
        <v>0</v>
      </c>
      <c r="BR2304" s="71">
        <v>0</v>
      </c>
      <c r="BS2304" s="71">
        <v>0</v>
      </c>
      <c r="BT2304" s="72">
        <v>0</v>
      </c>
      <c r="BU2304" s="151" t="e">
        <f t="shared" si="151"/>
        <v>#DIV/0!</v>
      </c>
      <c r="BV2304" s="151" t="e">
        <f t="shared" si="152"/>
        <v>#DIV/0!</v>
      </c>
    </row>
    <row r="2305" ht="30" customHeight="1" spans="1:74">
      <c r="A2305" s="55">
        <v>0</v>
      </c>
      <c r="B2305" s="56" t="s">
        <v>1237</v>
      </c>
      <c r="C2305" s="57" t="s">
        <v>3226</v>
      </c>
      <c r="D2305" s="76" t="s">
        <v>3595</v>
      </c>
      <c r="E2305" s="59"/>
      <c r="F2305" s="59" t="e">
        <f>VLOOKUP(E2305,[1]库存!$B$1:$C$65536,2,FALSE)</f>
        <v>#N/A</v>
      </c>
      <c r="G2305" s="59" t="e">
        <v>#N/A</v>
      </c>
      <c r="H2305" s="59" t="s">
        <v>3618</v>
      </c>
      <c r="I2305" s="228" t="s">
        <v>3619</v>
      </c>
      <c r="J2305" s="171"/>
      <c r="K2305" s="61"/>
      <c r="L2305" s="62">
        <v>0</v>
      </c>
      <c r="M2305" s="63">
        <v>0</v>
      </c>
      <c r="N2305" s="64">
        <v>0</v>
      </c>
      <c r="O2305" s="62">
        <v>0</v>
      </c>
      <c r="P2305" s="65">
        <f t="shared" si="153"/>
        <v>0</v>
      </c>
      <c r="Q2305" s="66"/>
      <c r="R2305" s="66"/>
      <c r="S2305" s="66"/>
      <c r="T2305" s="66"/>
      <c r="U2305" s="66"/>
      <c r="V2305" s="66"/>
      <c r="W2305" s="66"/>
      <c r="X2305" s="66"/>
      <c r="Y2305" s="66"/>
      <c r="Z2305" s="66"/>
      <c r="AA2305" s="66"/>
      <c r="AB2305" s="66"/>
      <c r="AC2305" s="66"/>
      <c r="AD2305" s="66"/>
      <c r="AE2305" s="66"/>
      <c r="AF2305" s="66"/>
      <c r="AG2305" s="66"/>
      <c r="AH2305" s="66"/>
      <c r="AI2305" s="66"/>
      <c r="AJ2305" s="66"/>
      <c r="AK2305" s="66"/>
      <c r="AL2305" s="66"/>
      <c r="AM2305" s="66"/>
      <c r="AN2305" s="66"/>
      <c r="AO2305" s="66"/>
      <c r="AP2305" s="66"/>
      <c r="AQ2305" s="66"/>
      <c r="AR2305" s="66"/>
      <c r="AS2305" s="66"/>
      <c r="AT2305" s="66"/>
      <c r="AU2305" s="66"/>
      <c r="AV2305" s="66"/>
      <c r="AW2305" s="66"/>
      <c r="AX2305" s="66"/>
      <c r="AY2305" s="66"/>
      <c r="AZ2305" s="66"/>
      <c r="BA2305" s="66"/>
      <c r="BB2305" s="66"/>
      <c r="BC2305" s="66"/>
      <c r="BD2305" s="66"/>
      <c r="BE2305" s="67"/>
      <c r="BF2305" s="67"/>
      <c r="BG2305" s="68"/>
      <c r="BI2305" s="69">
        <v>0</v>
      </c>
      <c r="BJ2305" s="70">
        <v>0</v>
      </c>
      <c r="BK2305" s="71">
        <v>0</v>
      </c>
      <c r="BL2305" s="71">
        <v>0</v>
      </c>
      <c r="BM2305" s="71">
        <v>0</v>
      </c>
      <c r="BN2305" s="72">
        <v>0</v>
      </c>
      <c r="BO2305" s="151" t="e">
        <f t="shared" si="149"/>
        <v>#DIV/0!</v>
      </c>
      <c r="BP2305" s="151" t="e">
        <f t="shared" si="150"/>
        <v>#DIV/0!</v>
      </c>
      <c r="BQ2305" s="71">
        <v>0</v>
      </c>
      <c r="BR2305" s="71">
        <v>0</v>
      </c>
      <c r="BS2305" s="71">
        <v>0</v>
      </c>
      <c r="BT2305" s="72">
        <v>0</v>
      </c>
      <c r="BU2305" s="151" t="e">
        <f t="shared" si="151"/>
        <v>#DIV/0!</v>
      </c>
      <c r="BV2305" s="151" t="e">
        <f t="shared" si="152"/>
        <v>#DIV/0!</v>
      </c>
    </row>
    <row r="2306" ht="30" customHeight="1" spans="1:74">
      <c r="A2306" s="55">
        <v>0</v>
      </c>
      <c r="B2306" s="56">
        <v>0</v>
      </c>
      <c r="C2306" s="57">
        <v>0</v>
      </c>
      <c r="D2306" s="78"/>
      <c r="E2306" s="74"/>
      <c r="F2306" s="59" t="e">
        <f>VLOOKUP(E2306,[1]库存!$B$1:$C$65536,2,FALSE)</f>
        <v>#N/A</v>
      </c>
      <c r="G2306" s="59" t="e">
        <v>#N/A</v>
      </c>
      <c r="H2306" s="74"/>
      <c r="I2306" s="276">
        <v>0</v>
      </c>
      <c r="J2306" s="172"/>
      <c r="K2306" s="61"/>
      <c r="L2306" s="62">
        <v>0</v>
      </c>
      <c r="M2306" s="63">
        <v>0</v>
      </c>
      <c r="N2306" s="64">
        <v>0</v>
      </c>
      <c r="O2306" s="62">
        <v>0</v>
      </c>
      <c r="P2306" s="65">
        <f t="shared" si="153"/>
        <v>0</v>
      </c>
      <c r="Q2306" s="66"/>
      <c r="R2306" s="66"/>
      <c r="S2306" s="66"/>
      <c r="T2306" s="66"/>
      <c r="U2306" s="66"/>
      <c r="V2306" s="66"/>
      <c r="W2306" s="66"/>
      <c r="X2306" s="66"/>
      <c r="Y2306" s="66"/>
      <c r="Z2306" s="66"/>
      <c r="AA2306" s="66"/>
      <c r="AB2306" s="66"/>
      <c r="AC2306" s="66"/>
      <c r="AD2306" s="66"/>
      <c r="AE2306" s="66"/>
      <c r="AF2306" s="66"/>
      <c r="AG2306" s="66"/>
      <c r="AH2306" s="66"/>
      <c r="AI2306" s="66"/>
      <c r="AJ2306" s="66"/>
      <c r="AK2306" s="66"/>
      <c r="AL2306" s="66"/>
      <c r="AM2306" s="66"/>
      <c r="AN2306" s="66"/>
      <c r="AO2306" s="66"/>
      <c r="AP2306" s="66"/>
      <c r="AQ2306" s="66"/>
      <c r="AR2306" s="66"/>
      <c r="AS2306" s="66"/>
      <c r="AT2306" s="66"/>
      <c r="AU2306" s="66"/>
      <c r="AV2306" s="66"/>
      <c r="AW2306" s="66"/>
      <c r="AX2306" s="66"/>
      <c r="AY2306" s="66"/>
      <c r="AZ2306" s="66"/>
      <c r="BA2306" s="66"/>
      <c r="BB2306" s="66"/>
      <c r="BC2306" s="66"/>
      <c r="BD2306" s="66"/>
      <c r="BE2306" s="67"/>
      <c r="BF2306" s="67"/>
      <c r="BG2306" s="68"/>
      <c r="BI2306" s="69">
        <v>0</v>
      </c>
      <c r="BJ2306" s="70">
        <v>0</v>
      </c>
      <c r="BK2306" s="71">
        <v>0</v>
      </c>
      <c r="BL2306" s="71">
        <v>0</v>
      </c>
      <c r="BM2306" s="71">
        <v>0</v>
      </c>
      <c r="BN2306" s="72">
        <v>0</v>
      </c>
      <c r="BO2306" s="151" t="e">
        <f t="shared" ref="BO2306:BO2369" si="154">(BK2306+BL2306)/BJ2306</f>
        <v>#DIV/0!</v>
      </c>
      <c r="BP2306" s="151" t="e">
        <f t="shared" ref="BP2306:BP2369" si="155">BM2306/BJ2306</f>
        <v>#DIV/0!</v>
      </c>
      <c r="BQ2306" s="71">
        <v>0</v>
      </c>
      <c r="BR2306" s="71">
        <v>0</v>
      </c>
      <c r="BS2306" s="71">
        <v>0</v>
      </c>
      <c r="BT2306" s="72">
        <v>0</v>
      </c>
      <c r="BU2306" s="151" t="e">
        <f t="shared" si="151"/>
        <v>#DIV/0!</v>
      </c>
      <c r="BV2306" s="151" t="e">
        <f t="shared" si="152"/>
        <v>#DIV/0!</v>
      </c>
    </row>
    <row r="2307" ht="30" customHeight="1" spans="1:74">
      <c r="A2307" s="55">
        <v>0</v>
      </c>
      <c r="B2307" s="56">
        <v>0</v>
      </c>
      <c r="C2307" s="57">
        <v>0</v>
      </c>
      <c r="E2307" s="88"/>
      <c r="F2307" s="59" t="e">
        <f>VLOOKUP(E2307,[1]库存!$B$1:$C$65536,2,FALSE)</f>
        <v>#N/A</v>
      </c>
      <c r="G2307" s="59" t="e">
        <v>#N/A</v>
      </c>
      <c r="H2307" s="89"/>
      <c r="I2307" s="88"/>
      <c r="J2307" s="90"/>
      <c r="K2307" s="61"/>
      <c r="L2307" s="62">
        <v>0</v>
      </c>
      <c r="M2307" s="63">
        <v>0</v>
      </c>
      <c r="N2307" s="64">
        <v>0</v>
      </c>
      <c r="O2307" s="62">
        <v>0</v>
      </c>
      <c r="P2307" s="65">
        <f t="shared" si="153"/>
        <v>0</v>
      </c>
      <c r="Q2307" s="66"/>
      <c r="R2307" s="66"/>
      <c r="S2307" s="66"/>
      <c r="T2307" s="66"/>
      <c r="U2307" s="66"/>
      <c r="V2307" s="66"/>
      <c r="W2307" s="66"/>
      <c r="X2307" s="66"/>
      <c r="Y2307" s="66"/>
      <c r="Z2307" s="66"/>
      <c r="AA2307" s="66"/>
      <c r="AB2307" s="66"/>
      <c r="AC2307" s="66"/>
      <c r="AD2307" s="66"/>
      <c r="AE2307" s="66"/>
      <c r="AF2307" s="66"/>
      <c r="AG2307" s="66"/>
      <c r="AH2307" s="66"/>
      <c r="AI2307" s="66"/>
      <c r="AJ2307" s="66"/>
      <c r="AK2307" s="66"/>
      <c r="AL2307" s="66"/>
      <c r="AM2307" s="66"/>
      <c r="AN2307" s="66"/>
      <c r="AO2307" s="66"/>
      <c r="AP2307" s="66"/>
      <c r="AQ2307" s="66"/>
      <c r="AR2307" s="66"/>
      <c r="AS2307" s="66"/>
      <c r="AT2307" s="66"/>
      <c r="AU2307" s="66"/>
      <c r="AV2307" s="66"/>
      <c r="AW2307" s="66"/>
      <c r="AX2307" s="66"/>
      <c r="AY2307" s="66"/>
      <c r="AZ2307" s="66"/>
      <c r="BA2307" s="66"/>
      <c r="BB2307" s="66"/>
      <c r="BC2307" s="66"/>
      <c r="BD2307" s="66"/>
      <c r="BE2307" s="67"/>
      <c r="BF2307" s="67"/>
      <c r="BG2307" s="68"/>
      <c r="BI2307" s="69">
        <v>0</v>
      </c>
      <c r="BJ2307" s="70">
        <v>0</v>
      </c>
      <c r="BK2307" s="71">
        <v>0</v>
      </c>
      <c r="BL2307" s="71">
        <v>0</v>
      </c>
      <c r="BM2307" s="71">
        <v>0</v>
      </c>
      <c r="BN2307" s="72">
        <v>0</v>
      </c>
      <c r="BO2307" s="151" t="e">
        <f t="shared" si="154"/>
        <v>#DIV/0!</v>
      </c>
      <c r="BP2307" s="151" t="e">
        <f t="shared" si="155"/>
        <v>#DIV/0!</v>
      </c>
      <c r="BQ2307" s="71">
        <v>0</v>
      </c>
      <c r="BR2307" s="71">
        <v>0</v>
      </c>
      <c r="BS2307" s="71">
        <v>0</v>
      </c>
      <c r="BT2307" s="72">
        <v>0</v>
      </c>
      <c r="BU2307" s="151" t="e">
        <f t="shared" si="151"/>
        <v>#DIV/0!</v>
      </c>
      <c r="BV2307" s="151" t="e">
        <f t="shared" si="152"/>
        <v>#DIV/0!</v>
      </c>
    </row>
    <row r="2308" ht="30" customHeight="1" spans="1:74">
      <c r="A2308" s="55">
        <v>0</v>
      </c>
      <c r="B2308" s="56" t="s">
        <v>1237</v>
      </c>
      <c r="C2308" s="57" t="s">
        <v>3226</v>
      </c>
      <c r="D2308" s="76" t="s">
        <v>3620</v>
      </c>
      <c r="E2308" s="91"/>
      <c r="F2308" s="91" t="e">
        <f>VLOOKUP(E2308,[1]库存!$B$1:$C$65536,2,FALSE)</f>
        <v>#N/A</v>
      </c>
      <c r="G2308" s="91" t="e">
        <v>#N/A</v>
      </c>
      <c r="H2308" s="91" t="s">
        <v>2668</v>
      </c>
      <c r="I2308" s="91" t="s">
        <v>2640</v>
      </c>
      <c r="J2308" s="165" t="s">
        <v>3621</v>
      </c>
      <c r="K2308" s="61"/>
      <c r="L2308" s="62">
        <v>2</v>
      </c>
      <c r="M2308" s="63">
        <v>1300</v>
      </c>
      <c r="N2308" s="64">
        <v>13</v>
      </c>
      <c r="O2308" s="62">
        <v>2</v>
      </c>
      <c r="P2308" s="65">
        <f t="shared" si="153"/>
        <v>0</v>
      </c>
      <c r="Q2308" s="66"/>
      <c r="R2308" s="66"/>
      <c r="S2308" s="66"/>
      <c r="T2308" s="66"/>
      <c r="U2308" s="66"/>
      <c r="V2308" s="66"/>
      <c r="W2308" s="66"/>
      <c r="X2308" s="66"/>
      <c r="Y2308" s="66"/>
      <c r="Z2308" s="66"/>
      <c r="AA2308" s="66"/>
      <c r="AB2308" s="66"/>
      <c r="AC2308" s="66"/>
      <c r="AD2308" s="66"/>
      <c r="AE2308" s="66"/>
      <c r="AF2308" s="66"/>
      <c r="AG2308" s="66"/>
      <c r="AH2308" s="66"/>
      <c r="AI2308" s="66"/>
      <c r="AJ2308" s="66"/>
      <c r="AK2308" s="66"/>
      <c r="AL2308" s="66"/>
      <c r="AM2308" s="66"/>
      <c r="AN2308" s="66"/>
      <c r="AO2308" s="66"/>
      <c r="AP2308" s="66"/>
      <c r="AQ2308" s="66"/>
      <c r="AR2308" s="66"/>
      <c r="AS2308" s="66"/>
      <c r="AT2308" s="66"/>
      <c r="AU2308" s="66"/>
      <c r="AV2308" s="66"/>
      <c r="AW2308" s="66"/>
      <c r="AX2308" s="66"/>
      <c r="AY2308" s="66"/>
      <c r="AZ2308" s="66"/>
      <c r="BA2308" s="66"/>
      <c r="BB2308" s="66"/>
      <c r="BC2308" s="66"/>
      <c r="BD2308" s="66"/>
      <c r="BF2308" s="67"/>
      <c r="BG2308" s="68"/>
      <c r="BI2308" s="69">
        <v>0</v>
      </c>
      <c r="BJ2308" s="70">
        <v>0</v>
      </c>
      <c r="BK2308" s="71">
        <v>0</v>
      </c>
      <c r="BL2308" s="71">
        <v>0</v>
      </c>
      <c r="BM2308" s="71">
        <v>0</v>
      </c>
      <c r="BN2308" s="72">
        <v>0</v>
      </c>
      <c r="BO2308" s="151" t="e">
        <f t="shared" si="154"/>
        <v>#DIV/0!</v>
      </c>
      <c r="BP2308" s="151" t="e">
        <f t="shared" si="155"/>
        <v>#DIV/0!</v>
      </c>
      <c r="BQ2308" s="71">
        <v>0</v>
      </c>
      <c r="BR2308" s="71">
        <v>0</v>
      </c>
      <c r="BS2308" s="71">
        <v>0</v>
      </c>
      <c r="BT2308" s="72">
        <v>0</v>
      </c>
      <c r="BU2308" s="151" t="e">
        <f t="shared" ref="BU2308:BU2371" si="156">(BQ2308+BR2308)/BJ2308</f>
        <v>#DIV/0!</v>
      </c>
      <c r="BV2308" s="151" t="e">
        <f t="shared" ref="BV2308:BV2371" si="157">BS2308/BJ2308</f>
        <v>#DIV/0!</v>
      </c>
    </row>
    <row r="2309" ht="30" customHeight="1" spans="1:74">
      <c r="A2309" s="55">
        <v>0</v>
      </c>
      <c r="B2309" s="56">
        <v>0</v>
      </c>
      <c r="C2309" s="57">
        <v>0</v>
      </c>
      <c r="D2309" s="78"/>
      <c r="E2309" s="92"/>
      <c r="F2309" s="91" t="e">
        <f>VLOOKUP(E2309,[1]库存!$B$1:$C$65536,2,FALSE)</f>
        <v>#N/A</v>
      </c>
      <c r="G2309" s="91" t="e">
        <v>#N/A</v>
      </c>
      <c r="H2309" s="92"/>
      <c r="I2309" s="92"/>
      <c r="J2309" s="166"/>
      <c r="K2309" s="61"/>
      <c r="L2309" s="62">
        <v>0</v>
      </c>
      <c r="M2309" s="63">
        <v>0</v>
      </c>
      <c r="N2309" s="64">
        <v>0</v>
      </c>
      <c r="O2309" s="62">
        <v>0</v>
      </c>
      <c r="P2309" s="65">
        <f t="shared" si="153"/>
        <v>0</v>
      </c>
      <c r="Q2309" s="66"/>
      <c r="R2309" s="66"/>
      <c r="S2309" s="66"/>
      <c r="T2309" s="66"/>
      <c r="U2309" s="66"/>
      <c r="V2309" s="66"/>
      <c r="W2309" s="66"/>
      <c r="X2309" s="66"/>
      <c r="Y2309" s="66"/>
      <c r="Z2309" s="66"/>
      <c r="AA2309" s="66"/>
      <c r="AB2309" s="66"/>
      <c r="AC2309" s="66"/>
      <c r="AD2309" s="66"/>
      <c r="AE2309" s="66"/>
      <c r="AF2309" s="66"/>
      <c r="AG2309" s="66"/>
      <c r="AH2309" s="66"/>
      <c r="AI2309" s="66"/>
      <c r="AJ2309" s="66"/>
      <c r="AK2309" s="66"/>
      <c r="AL2309" s="66"/>
      <c r="AM2309" s="66"/>
      <c r="AN2309" s="66"/>
      <c r="AO2309" s="66"/>
      <c r="AP2309" s="66"/>
      <c r="AQ2309" s="66"/>
      <c r="AR2309" s="66"/>
      <c r="AS2309" s="66"/>
      <c r="AT2309" s="66"/>
      <c r="AU2309" s="66"/>
      <c r="AV2309" s="66"/>
      <c r="AW2309" s="66"/>
      <c r="AX2309" s="66"/>
      <c r="AY2309" s="66"/>
      <c r="AZ2309" s="66"/>
      <c r="BA2309" s="66"/>
      <c r="BB2309" s="66"/>
      <c r="BC2309" s="66"/>
      <c r="BD2309" s="66"/>
      <c r="BE2309" s="67"/>
      <c r="BF2309" s="67"/>
      <c r="BG2309" s="68"/>
      <c r="BI2309" s="69">
        <v>0</v>
      </c>
      <c r="BJ2309" s="70">
        <v>0</v>
      </c>
      <c r="BK2309" s="71">
        <v>0</v>
      </c>
      <c r="BL2309" s="71">
        <v>0</v>
      </c>
      <c r="BM2309" s="71">
        <v>0</v>
      </c>
      <c r="BN2309" s="72">
        <v>0</v>
      </c>
      <c r="BO2309" s="151" t="e">
        <f t="shared" si="154"/>
        <v>#DIV/0!</v>
      </c>
      <c r="BP2309" s="151" t="e">
        <f t="shared" si="155"/>
        <v>#DIV/0!</v>
      </c>
      <c r="BQ2309" s="71">
        <v>0</v>
      </c>
      <c r="BR2309" s="71">
        <v>0</v>
      </c>
      <c r="BS2309" s="71">
        <v>0</v>
      </c>
      <c r="BT2309" s="72">
        <v>0</v>
      </c>
      <c r="BU2309" s="151" t="e">
        <f t="shared" si="156"/>
        <v>#DIV/0!</v>
      </c>
      <c r="BV2309" s="151" t="e">
        <f t="shared" si="157"/>
        <v>#DIV/0!</v>
      </c>
    </row>
    <row r="2310" ht="30" customHeight="1" spans="1:74">
      <c r="A2310" s="55" t="s">
        <v>165</v>
      </c>
      <c r="B2310" s="56" t="s">
        <v>1237</v>
      </c>
      <c r="C2310" s="57" t="s">
        <v>3226</v>
      </c>
      <c r="D2310" s="57" t="s">
        <v>3620</v>
      </c>
      <c r="E2310" s="91" t="s">
        <v>2677</v>
      </c>
      <c r="F2310" s="91" t="str">
        <f>VLOOKUP(E2310,[1]库存!$B$1:$C$65536,2,FALSE)</f>
        <v>M3 SAB RH B状态</v>
      </c>
      <c r="G2310" s="91" t="s">
        <v>3622</v>
      </c>
      <c r="H2310" s="91" t="s">
        <v>2669</v>
      </c>
      <c r="I2310" s="91" t="s">
        <v>2640</v>
      </c>
      <c r="J2310" s="63"/>
      <c r="K2310" s="61"/>
      <c r="L2310" s="62">
        <v>2</v>
      </c>
      <c r="M2310" s="63">
        <v>1300</v>
      </c>
      <c r="N2310" s="64">
        <v>13</v>
      </c>
      <c r="O2310" s="62">
        <v>2</v>
      </c>
      <c r="P2310" s="65">
        <f t="shared" ref="P2310:P2373" si="158">SUM(AG2310:AJ2310)</f>
        <v>0</v>
      </c>
      <c r="Q2310" s="103">
        <v>2200</v>
      </c>
      <c r="R2310" s="103"/>
      <c r="S2310" s="103">
        <v>2200</v>
      </c>
      <c r="T2310" s="103"/>
      <c r="U2310" s="103">
        <v>2200</v>
      </c>
      <c r="V2310" s="103"/>
      <c r="W2310" s="103"/>
      <c r="X2310" s="103"/>
      <c r="Y2310" s="103"/>
      <c r="Z2310" s="103"/>
      <c r="AA2310" s="103">
        <v>2000</v>
      </c>
      <c r="AB2310" s="103"/>
      <c r="AC2310" s="103">
        <v>2000</v>
      </c>
      <c r="AD2310" s="103"/>
      <c r="AE2310" s="103"/>
      <c r="AF2310" s="103"/>
      <c r="AG2310" s="103"/>
      <c r="AH2310" s="103"/>
      <c r="AI2310" s="103"/>
      <c r="AJ2310" s="103"/>
      <c r="AK2310" s="103"/>
      <c r="AL2310" s="103"/>
      <c r="AM2310" s="103"/>
      <c r="AN2310" s="103"/>
      <c r="AO2310" s="103"/>
      <c r="AP2310" s="103"/>
      <c r="AQ2310" s="103"/>
      <c r="AR2310" s="103"/>
      <c r="AS2310" s="103"/>
      <c r="AT2310" s="103"/>
      <c r="AU2310" s="103"/>
      <c r="AV2310" s="103"/>
      <c r="AW2310" s="103"/>
      <c r="AX2310" s="103"/>
      <c r="AY2310" s="103"/>
      <c r="AZ2310" s="103"/>
      <c r="BA2310" s="103"/>
      <c r="BB2310" s="103"/>
      <c r="BC2310" s="103"/>
      <c r="BD2310" s="103"/>
      <c r="BE2310" s="67"/>
      <c r="BF2310" s="67"/>
      <c r="BG2310" s="68"/>
      <c r="BI2310" s="69">
        <v>0</v>
      </c>
      <c r="BJ2310" s="70">
        <v>0</v>
      </c>
      <c r="BK2310" s="71">
        <v>0</v>
      </c>
      <c r="BL2310" s="71">
        <v>0</v>
      </c>
      <c r="BM2310" s="71">
        <v>0</v>
      </c>
      <c r="BN2310" s="72">
        <v>0</v>
      </c>
      <c r="BO2310" s="151" t="e">
        <f t="shared" si="154"/>
        <v>#DIV/0!</v>
      </c>
      <c r="BP2310" s="151" t="e">
        <f t="shared" si="155"/>
        <v>#DIV/0!</v>
      </c>
      <c r="BQ2310" s="71">
        <v>0</v>
      </c>
      <c r="BR2310" s="71">
        <v>0</v>
      </c>
      <c r="BS2310" s="71">
        <v>0</v>
      </c>
      <c r="BT2310" s="72">
        <v>0</v>
      </c>
      <c r="BU2310" s="151" t="e">
        <f t="shared" si="156"/>
        <v>#DIV/0!</v>
      </c>
      <c r="BV2310" s="151" t="e">
        <f t="shared" si="157"/>
        <v>#DIV/0!</v>
      </c>
    </row>
    <row r="2311" ht="30" customHeight="1" spans="1:74">
      <c r="A2311" s="55">
        <v>0</v>
      </c>
      <c r="B2311" s="56">
        <v>0</v>
      </c>
      <c r="C2311" s="57">
        <v>0</v>
      </c>
      <c r="D2311" s="174"/>
      <c r="E2311" s="92"/>
      <c r="F2311" s="91" t="e">
        <f>VLOOKUP(E2311,[1]库存!$B$1:$C$65536,2,FALSE)</f>
        <v>#N/A</v>
      </c>
      <c r="G2311" s="91" t="e">
        <v>#N/A</v>
      </c>
      <c r="H2311" s="92"/>
      <c r="I2311" s="92"/>
      <c r="J2311" s="87"/>
      <c r="K2311" s="61"/>
      <c r="L2311" s="62">
        <v>0</v>
      </c>
      <c r="M2311" s="63">
        <v>0</v>
      </c>
      <c r="N2311" s="64">
        <v>0</v>
      </c>
      <c r="O2311" s="62">
        <v>0</v>
      </c>
      <c r="P2311" s="65">
        <f t="shared" si="158"/>
        <v>0</v>
      </c>
      <c r="Q2311" s="66">
        <v>2008</v>
      </c>
      <c r="R2311" s="277"/>
      <c r="S2311" s="66">
        <v>2212</v>
      </c>
      <c r="T2311" s="277"/>
      <c r="U2311" s="66">
        <v>2210</v>
      </c>
      <c r="V2311" s="277"/>
      <c r="W2311" s="66"/>
      <c r="X2311" s="277"/>
      <c r="Y2311" s="66"/>
      <c r="Z2311" s="277"/>
      <c r="AA2311" s="66">
        <v>1904</v>
      </c>
      <c r="AB2311" s="277"/>
      <c r="AC2311" s="66">
        <v>2070</v>
      </c>
      <c r="AD2311" s="277"/>
      <c r="AE2311" s="66"/>
      <c r="AF2311" s="277"/>
      <c r="AG2311" s="66"/>
      <c r="AH2311" s="277"/>
      <c r="AI2311" s="66"/>
      <c r="AJ2311" s="277"/>
      <c r="AK2311" s="66"/>
      <c r="AL2311" s="277"/>
      <c r="AM2311" s="66"/>
      <c r="AN2311" s="277"/>
      <c r="AO2311" s="66"/>
      <c r="AP2311" s="277"/>
      <c r="AQ2311" s="66"/>
      <c r="AR2311" s="277"/>
      <c r="AS2311" s="66"/>
      <c r="AT2311" s="277"/>
      <c r="AU2311" s="66"/>
      <c r="AV2311" s="277"/>
      <c r="AW2311" s="66"/>
      <c r="AX2311" s="277"/>
      <c r="AY2311" s="66"/>
      <c r="AZ2311" s="277"/>
      <c r="BA2311" s="66"/>
      <c r="BB2311" s="277"/>
      <c r="BC2311" s="66"/>
      <c r="BD2311" s="277"/>
      <c r="BF2311" s="67"/>
      <c r="BG2311" s="68"/>
      <c r="BI2311" s="69">
        <v>0</v>
      </c>
      <c r="BJ2311" s="70">
        <v>0</v>
      </c>
      <c r="BK2311" s="71">
        <v>0</v>
      </c>
      <c r="BL2311" s="71">
        <v>0</v>
      </c>
      <c r="BM2311" s="71">
        <v>0</v>
      </c>
      <c r="BN2311" s="72">
        <v>0</v>
      </c>
      <c r="BO2311" s="151" t="e">
        <f t="shared" si="154"/>
        <v>#DIV/0!</v>
      </c>
      <c r="BP2311" s="151" t="e">
        <f t="shared" si="155"/>
        <v>#DIV/0!</v>
      </c>
      <c r="BQ2311" s="71">
        <v>0</v>
      </c>
      <c r="BR2311" s="71">
        <v>0</v>
      </c>
      <c r="BS2311" s="71">
        <v>0</v>
      </c>
      <c r="BT2311" s="72">
        <v>0</v>
      </c>
      <c r="BU2311" s="151" t="e">
        <f t="shared" si="156"/>
        <v>#DIV/0!</v>
      </c>
      <c r="BV2311" s="151" t="e">
        <f t="shared" si="157"/>
        <v>#DIV/0!</v>
      </c>
    </row>
    <row r="2312" ht="30" customHeight="1" spans="1:74">
      <c r="A2312" s="55">
        <v>0</v>
      </c>
      <c r="B2312" s="56" t="s">
        <v>1237</v>
      </c>
      <c r="C2312" s="57" t="s">
        <v>3226</v>
      </c>
      <c r="D2312" s="76" t="s">
        <v>3620</v>
      </c>
      <c r="E2312" s="59"/>
      <c r="F2312" s="59" t="e">
        <f>VLOOKUP(E2312,[1]库存!$B$1:$C$65536,2,FALSE)</f>
        <v>#N/A</v>
      </c>
      <c r="G2312" s="59" t="e">
        <v>#N/A</v>
      </c>
      <c r="H2312" s="59" t="s">
        <v>2671</v>
      </c>
      <c r="I2312" s="59" t="s">
        <v>2672</v>
      </c>
      <c r="J2312" s="165" t="s">
        <v>3621</v>
      </c>
      <c r="K2312" s="61"/>
      <c r="L2312" s="62">
        <v>2</v>
      </c>
      <c r="M2312" s="63">
        <v>1300</v>
      </c>
      <c r="N2312" s="64">
        <v>13</v>
      </c>
      <c r="O2312" s="62">
        <v>2</v>
      </c>
      <c r="P2312" s="65">
        <f t="shared" si="158"/>
        <v>0</v>
      </c>
      <c r="Q2312" s="66"/>
      <c r="R2312" s="66"/>
      <c r="S2312" s="66"/>
      <c r="T2312" s="66"/>
      <c r="U2312" s="66"/>
      <c r="V2312" s="66"/>
      <c r="W2312" s="66"/>
      <c r="X2312" s="66"/>
      <c r="Y2312" s="66"/>
      <c r="Z2312" s="66"/>
      <c r="AA2312" s="66"/>
      <c r="AB2312" s="66"/>
      <c r="AC2312" s="66"/>
      <c r="AD2312" s="66"/>
      <c r="AE2312" s="66"/>
      <c r="AF2312" s="66"/>
      <c r="AG2312" s="66"/>
      <c r="AH2312" s="66"/>
      <c r="AI2312" s="66"/>
      <c r="AJ2312" s="66"/>
      <c r="AK2312" s="66"/>
      <c r="AL2312" s="66"/>
      <c r="AM2312" s="66"/>
      <c r="AN2312" s="66"/>
      <c r="AO2312" s="66"/>
      <c r="AP2312" s="66"/>
      <c r="AQ2312" s="66"/>
      <c r="AR2312" s="66"/>
      <c r="AS2312" s="66"/>
      <c r="AT2312" s="66"/>
      <c r="AU2312" s="66"/>
      <c r="AV2312" s="66"/>
      <c r="AW2312" s="66"/>
      <c r="AX2312" s="66"/>
      <c r="AY2312" s="66"/>
      <c r="AZ2312" s="66"/>
      <c r="BA2312" s="66"/>
      <c r="BB2312" s="66"/>
      <c r="BC2312" s="66"/>
      <c r="BD2312" s="66"/>
      <c r="BF2312" s="67"/>
      <c r="BG2312" s="68"/>
      <c r="BI2312" s="69">
        <v>0</v>
      </c>
      <c r="BJ2312" s="70">
        <v>0</v>
      </c>
      <c r="BK2312" s="71">
        <v>0</v>
      </c>
      <c r="BL2312" s="71">
        <v>0</v>
      </c>
      <c r="BM2312" s="71">
        <v>0</v>
      </c>
      <c r="BN2312" s="72">
        <v>0</v>
      </c>
      <c r="BO2312" s="151" t="e">
        <f t="shared" si="154"/>
        <v>#DIV/0!</v>
      </c>
      <c r="BP2312" s="151" t="e">
        <f t="shared" si="155"/>
        <v>#DIV/0!</v>
      </c>
      <c r="BQ2312" s="71">
        <v>0</v>
      </c>
      <c r="BR2312" s="71">
        <v>0</v>
      </c>
      <c r="BS2312" s="71">
        <v>0</v>
      </c>
      <c r="BT2312" s="72">
        <v>0</v>
      </c>
      <c r="BU2312" s="151" t="e">
        <f t="shared" si="156"/>
        <v>#DIV/0!</v>
      </c>
      <c r="BV2312" s="151" t="e">
        <f t="shared" si="157"/>
        <v>#DIV/0!</v>
      </c>
    </row>
    <row r="2313" ht="30" customHeight="1" spans="1:74">
      <c r="A2313" s="55">
        <v>0</v>
      </c>
      <c r="B2313" s="56">
        <v>0</v>
      </c>
      <c r="C2313" s="57">
        <v>0</v>
      </c>
      <c r="D2313" s="78"/>
      <c r="E2313" s="74"/>
      <c r="F2313" s="59" t="e">
        <f>VLOOKUP(E2313,[1]库存!$B$1:$C$65536,2,FALSE)</f>
        <v>#N/A</v>
      </c>
      <c r="G2313" s="59" t="e">
        <v>#N/A</v>
      </c>
      <c r="H2313" s="74"/>
      <c r="I2313" s="74"/>
      <c r="J2313" s="166"/>
      <c r="K2313" s="61"/>
      <c r="L2313" s="62">
        <v>0</v>
      </c>
      <c r="M2313" s="63">
        <v>0</v>
      </c>
      <c r="N2313" s="64">
        <v>0</v>
      </c>
      <c r="O2313" s="62">
        <v>0</v>
      </c>
      <c r="P2313" s="65">
        <f t="shared" si="158"/>
        <v>0</v>
      </c>
      <c r="Q2313" s="66"/>
      <c r="R2313" s="66"/>
      <c r="S2313" s="66"/>
      <c r="T2313" s="66"/>
      <c r="U2313" s="66"/>
      <c r="V2313" s="66"/>
      <c r="W2313" s="66"/>
      <c r="X2313" s="66"/>
      <c r="Y2313" s="66"/>
      <c r="Z2313" s="66"/>
      <c r="AA2313" s="66"/>
      <c r="AB2313" s="66"/>
      <c r="AC2313" s="66"/>
      <c r="AD2313" s="66"/>
      <c r="AE2313" s="66"/>
      <c r="AF2313" s="66"/>
      <c r="AG2313" s="66"/>
      <c r="AH2313" s="66"/>
      <c r="AI2313" s="66"/>
      <c r="AJ2313" s="66"/>
      <c r="AK2313" s="66"/>
      <c r="AL2313" s="66"/>
      <c r="AM2313" s="66"/>
      <c r="AN2313" s="66"/>
      <c r="AO2313" s="66"/>
      <c r="AP2313" s="66"/>
      <c r="AQ2313" s="66"/>
      <c r="AR2313" s="66"/>
      <c r="AS2313" s="66"/>
      <c r="AT2313" s="66"/>
      <c r="AU2313" s="66"/>
      <c r="AV2313" s="66"/>
      <c r="AW2313" s="66"/>
      <c r="AX2313" s="66"/>
      <c r="AY2313" s="66"/>
      <c r="AZ2313" s="66"/>
      <c r="BA2313" s="66"/>
      <c r="BB2313" s="66"/>
      <c r="BC2313" s="66"/>
      <c r="BD2313" s="66"/>
      <c r="BE2313" s="67"/>
      <c r="BF2313" s="67"/>
      <c r="BG2313" s="68"/>
      <c r="BI2313" s="69">
        <v>0</v>
      </c>
      <c r="BJ2313" s="70">
        <v>0</v>
      </c>
      <c r="BK2313" s="71">
        <v>0</v>
      </c>
      <c r="BL2313" s="71">
        <v>0</v>
      </c>
      <c r="BM2313" s="71">
        <v>0</v>
      </c>
      <c r="BN2313" s="72">
        <v>0</v>
      </c>
      <c r="BO2313" s="151" t="e">
        <f t="shared" si="154"/>
        <v>#DIV/0!</v>
      </c>
      <c r="BP2313" s="151" t="e">
        <f t="shared" si="155"/>
        <v>#DIV/0!</v>
      </c>
      <c r="BQ2313" s="71">
        <v>0</v>
      </c>
      <c r="BR2313" s="71">
        <v>0</v>
      </c>
      <c r="BS2313" s="71">
        <v>0</v>
      </c>
      <c r="BT2313" s="72">
        <v>0</v>
      </c>
      <c r="BU2313" s="151" t="e">
        <f t="shared" si="156"/>
        <v>#DIV/0!</v>
      </c>
      <c r="BV2313" s="151" t="e">
        <f t="shared" si="157"/>
        <v>#DIV/0!</v>
      </c>
    </row>
    <row r="2314" ht="30" customHeight="1" spans="1:74">
      <c r="A2314" s="55" t="s">
        <v>165</v>
      </c>
      <c r="B2314" s="56" t="s">
        <v>1237</v>
      </c>
      <c r="C2314" s="57" t="s">
        <v>3226</v>
      </c>
      <c r="D2314" s="76" t="s">
        <v>3620</v>
      </c>
      <c r="E2314" s="59"/>
      <c r="F2314" s="59" t="e">
        <f>VLOOKUP(E2314,[1]库存!$B$1:$C$65536,2,FALSE)</f>
        <v>#N/A</v>
      </c>
      <c r="G2314" s="59" t="e">
        <v>#N/A</v>
      </c>
      <c r="H2314" s="59" t="s">
        <v>2673</v>
      </c>
      <c r="I2314" s="59" t="s">
        <v>2674</v>
      </c>
      <c r="J2314" s="63"/>
      <c r="K2314" s="61"/>
      <c r="L2314" s="62">
        <v>2</v>
      </c>
      <c r="M2314" s="63">
        <v>1300</v>
      </c>
      <c r="N2314" s="64">
        <v>13</v>
      </c>
      <c r="O2314" s="62">
        <v>2</v>
      </c>
      <c r="P2314" s="65">
        <f t="shared" si="158"/>
        <v>0</v>
      </c>
      <c r="Q2314" s="103"/>
      <c r="R2314" s="103"/>
      <c r="S2314" s="103"/>
      <c r="T2314" s="103"/>
      <c r="U2314" s="103"/>
      <c r="V2314" s="103"/>
      <c r="W2314" s="103"/>
      <c r="X2314" s="103"/>
      <c r="Y2314" s="103"/>
      <c r="Z2314" s="103"/>
      <c r="AA2314" s="103"/>
      <c r="AB2314" s="103"/>
      <c r="AC2314" s="103"/>
      <c r="AD2314" s="103"/>
      <c r="AE2314" s="103"/>
      <c r="AF2314" s="103"/>
      <c r="AG2314" s="103"/>
      <c r="AH2314" s="103"/>
      <c r="AI2314" s="103"/>
      <c r="AJ2314" s="103"/>
      <c r="AK2314" s="103"/>
      <c r="AL2314" s="103"/>
      <c r="AM2314" s="103"/>
      <c r="AN2314" s="103"/>
      <c r="AO2314" s="103"/>
      <c r="AP2314" s="103"/>
      <c r="AQ2314" s="103"/>
      <c r="AR2314" s="103"/>
      <c r="AS2314" s="103"/>
      <c r="AT2314" s="103"/>
      <c r="AU2314" s="103"/>
      <c r="AV2314" s="103"/>
      <c r="AW2314" s="103"/>
      <c r="AX2314" s="103"/>
      <c r="AY2314" s="103"/>
      <c r="AZ2314" s="103"/>
      <c r="BA2314" s="103"/>
      <c r="BB2314" s="103"/>
      <c r="BC2314" s="103"/>
      <c r="BD2314" s="103"/>
      <c r="BE2314" s="67"/>
      <c r="BF2314" s="67"/>
      <c r="BG2314" s="68"/>
      <c r="BI2314" s="69">
        <v>0</v>
      </c>
      <c r="BJ2314" s="70">
        <v>0</v>
      </c>
      <c r="BK2314" s="71">
        <v>0</v>
      </c>
      <c r="BL2314" s="71">
        <v>0</v>
      </c>
      <c r="BM2314" s="71">
        <v>0</v>
      </c>
      <c r="BN2314" s="72">
        <v>0</v>
      </c>
      <c r="BO2314" s="151" t="e">
        <f t="shared" si="154"/>
        <v>#DIV/0!</v>
      </c>
      <c r="BP2314" s="151" t="e">
        <f t="shared" si="155"/>
        <v>#DIV/0!</v>
      </c>
      <c r="BQ2314" s="71">
        <v>0</v>
      </c>
      <c r="BR2314" s="71">
        <v>0</v>
      </c>
      <c r="BS2314" s="71">
        <v>0</v>
      </c>
      <c r="BT2314" s="72">
        <v>0</v>
      </c>
      <c r="BU2314" s="151" t="e">
        <f t="shared" si="156"/>
        <v>#DIV/0!</v>
      </c>
      <c r="BV2314" s="151" t="e">
        <f t="shared" si="157"/>
        <v>#DIV/0!</v>
      </c>
    </row>
    <row r="2315" ht="30" customHeight="1" spans="1:74">
      <c r="A2315" s="55">
        <v>0</v>
      </c>
      <c r="B2315" s="56">
        <v>0</v>
      </c>
      <c r="C2315" s="57">
        <v>0</v>
      </c>
      <c r="D2315" s="78"/>
      <c r="E2315" s="74"/>
      <c r="F2315" s="59" t="e">
        <f>VLOOKUP(E2315,[1]库存!$B$1:$C$65536,2,FALSE)</f>
        <v>#N/A</v>
      </c>
      <c r="G2315" s="59" t="e">
        <v>#N/A</v>
      </c>
      <c r="H2315" s="74"/>
      <c r="I2315" s="74"/>
      <c r="J2315" s="87"/>
      <c r="K2315" s="61"/>
      <c r="L2315" s="62">
        <v>0</v>
      </c>
      <c r="M2315" s="63">
        <v>0</v>
      </c>
      <c r="N2315" s="64">
        <v>0</v>
      </c>
      <c r="O2315" s="62">
        <v>0</v>
      </c>
      <c r="P2315" s="65">
        <f t="shared" si="158"/>
        <v>0</v>
      </c>
      <c r="Q2315" s="66"/>
      <c r="R2315" s="277"/>
      <c r="S2315" s="66"/>
      <c r="T2315" s="277"/>
      <c r="U2315" s="66"/>
      <c r="V2315" s="277"/>
      <c r="W2315" s="66"/>
      <c r="X2315" s="277"/>
      <c r="Y2315" s="66"/>
      <c r="Z2315" s="277"/>
      <c r="AA2315" s="66"/>
      <c r="AB2315" s="277"/>
      <c r="AC2315" s="66"/>
      <c r="AD2315" s="277"/>
      <c r="AE2315" s="66"/>
      <c r="AF2315" s="277"/>
      <c r="AG2315" s="66"/>
      <c r="AH2315" s="277"/>
      <c r="AI2315" s="66"/>
      <c r="AJ2315" s="277"/>
      <c r="AK2315" s="66"/>
      <c r="AL2315" s="277"/>
      <c r="AM2315" s="66"/>
      <c r="AN2315" s="277"/>
      <c r="AO2315" s="66"/>
      <c r="AP2315" s="277"/>
      <c r="AQ2315" s="66"/>
      <c r="AR2315" s="277"/>
      <c r="AS2315" s="66"/>
      <c r="AT2315" s="277"/>
      <c r="AU2315" s="66"/>
      <c r="AV2315" s="277"/>
      <c r="AW2315" s="66"/>
      <c r="AX2315" s="277"/>
      <c r="AY2315" s="66"/>
      <c r="AZ2315" s="277"/>
      <c r="BA2315" s="66"/>
      <c r="BB2315" s="277"/>
      <c r="BC2315" s="66"/>
      <c r="BD2315" s="277"/>
      <c r="BF2315" s="67"/>
      <c r="BG2315" s="68"/>
      <c r="BI2315" s="69">
        <v>0</v>
      </c>
      <c r="BJ2315" s="70">
        <v>0</v>
      </c>
      <c r="BK2315" s="71">
        <v>0</v>
      </c>
      <c r="BL2315" s="71">
        <v>0</v>
      </c>
      <c r="BM2315" s="71">
        <v>0</v>
      </c>
      <c r="BN2315" s="72">
        <v>0</v>
      </c>
      <c r="BO2315" s="151" t="e">
        <f t="shared" si="154"/>
        <v>#DIV/0!</v>
      </c>
      <c r="BP2315" s="151" t="e">
        <f t="shared" si="155"/>
        <v>#DIV/0!</v>
      </c>
      <c r="BQ2315" s="71">
        <v>0</v>
      </c>
      <c r="BR2315" s="71">
        <v>0</v>
      </c>
      <c r="BS2315" s="71">
        <v>0</v>
      </c>
      <c r="BT2315" s="72">
        <v>0</v>
      </c>
      <c r="BU2315" s="151" t="e">
        <f t="shared" si="156"/>
        <v>#DIV/0!</v>
      </c>
      <c r="BV2315" s="151" t="e">
        <f t="shared" si="157"/>
        <v>#DIV/0!</v>
      </c>
    </row>
    <row r="2316" ht="30" customHeight="1" spans="1:74">
      <c r="A2316" s="55">
        <v>0</v>
      </c>
      <c r="B2316" s="56" t="s">
        <v>1237</v>
      </c>
      <c r="C2316" s="57" t="s">
        <v>3226</v>
      </c>
      <c r="D2316" s="76" t="s">
        <v>3620</v>
      </c>
      <c r="E2316" s="59"/>
      <c r="F2316" s="59" t="e">
        <f>VLOOKUP(E2316,[1]库存!$B$1:$C$65536,2,FALSE)</f>
        <v>#N/A</v>
      </c>
      <c r="G2316" s="59" t="e">
        <v>#N/A</v>
      </c>
      <c r="H2316" s="59" t="s">
        <v>2675</v>
      </c>
      <c r="I2316" s="59" t="s">
        <v>2666</v>
      </c>
      <c r="J2316" s="165" t="s">
        <v>3621</v>
      </c>
      <c r="K2316" s="61"/>
      <c r="L2316" s="62">
        <v>2</v>
      </c>
      <c r="M2316" s="63">
        <v>1300</v>
      </c>
      <c r="N2316" s="64">
        <v>13</v>
      </c>
      <c r="O2316" s="62">
        <v>2</v>
      </c>
      <c r="P2316" s="65">
        <f t="shared" si="158"/>
        <v>0</v>
      </c>
      <c r="Q2316" s="66"/>
      <c r="R2316" s="66"/>
      <c r="S2316" s="66"/>
      <c r="T2316" s="66"/>
      <c r="U2316" s="66"/>
      <c r="V2316" s="66"/>
      <c r="W2316" s="66"/>
      <c r="X2316" s="66"/>
      <c r="Y2316" s="66"/>
      <c r="Z2316" s="66"/>
      <c r="AA2316" s="66"/>
      <c r="AB2316" s="66"/>
      <c r="AC2316" s="66"/>
      <c r="AD2316" s="66"/>
      <c r="AE2316" s="66"/>
      <c r="AF2316" s="66"/>
      <c r="AG2316" s="66"/>
      <c r="AH2316" s="66"/>
      <c r="AI2316" s="66"/>
      <c r="AJ2316" s="66"/>
      <c r="AK2316" s="66"/>
      <c r="AL2316" s="66"/>
      <c r="AM2316" s="66"/>
      <c r="AN2316" s="66"/>
      <c r="AO2316" s="66"/>
      <c r="AP2316" s="66"/>
      <c r="AQ2316" s="66"/>
      <c r="AR2316" s="66"/>
      <c r="AS2316" s="66"/>
      <c r="AT2316" s="66"/>
      <c r="AU2316" s="66"/>
      <c r="AV2316" s="66"/>
      <c r="AW2316" s="66"/>
      <c r="AX2316" s="66"/>
      <c r="AY2316" s="66"/>
      <c r="AZ2316" s="66"/>
      <c r="BA2316" s="66"/>
      <c r="BB2316" s="66"/>
      <c r="BC2316" s="66"/>
      <c r="BD2316" s="66"/>
      <c r="BF2316" s="67"/>
      <c r="BG2316" s="68"/>
      <c r="BI2316" s="69">
        <v>0</v>
      </c>
      <c r="BJ2316" s="70">
        <v>0</v>
      </c>
      <c r="BK2316" s="71">
        <v>0</v>
      </c>
      <c r="BL2316" s="71">
        <v>0</v>
      </c>
      <c r="BM2316" s="71">
        <v>0</v>
      </c>
      <c r="BN2316" s="72">
        <v>0</v>
      </c>
      <c r="BO2316" s="151" t="e">
        <f t="shared" si="154"/>
        <v>#DIV/0!</v>
      </c>
      <c r="BP2316" s="151" t="e">
        <f t="shared" si="155"/>
        <v>#DIV/0!</v>
      </c>
      <c r="BQ2316" s="71">
        <v>0</v>
      </c>
      <c r="BR2316" s="71">
        <v>0</v>
      </c>
      <c r="BS2316" s="71">
        <v>0</v>
      </c>
      <c r="BT2316" s="72">
        <v>0</v>
      </c>
      <c r="BU2316" s="151" t="e">
        <f t="shared" si="156"/>
        <v>#DIV/0!</v>
      </c>
      <c r="BV2316" s="151" t="e">
        <f t="shared" si="157"/>
        <v>#DIV/0!</v>
      </c>
    </row>
    <row r="2317" ht="30" customHeight="1" spans="1:74">
      <c r="A2317" s="55">
        <v>0</v>
      </c>
      <c r="B2317" s="56">
        <v>0</v>
      </c>
      <c r="C2317" s="57">
        <v>0</v>
      </c>
      <c r="D2317" s="78"/>
      <c r="E2317" s="74"/>
      <c r="F2317" s="59" t="e">
        <f>VLOOKUP(E2317,[1]库存!$B$1:$C$65536,2,FALSE)</f>
        <v>#N/A</v>
      </c>
      <c r="G2317" s="59" t="e">
        <v>#N/A</v>
      </c>
      <c r="H2317" s="74"/>
      <c r="I2317" s="74"/>
      <c r="J2317" s="166"/>
      <c r="K2317" s="61"/>
      <c r="L2317" s="62">
        <v>0</v>
      </c>
      <c r="M2317" s="63">
        <v>0</v>
      </c>
      <c r="N2317" s="64">
        <v>0</v>
      </c>
      <c r="O2317" s="62">
        <v>0</v>
      </c>
      <c r="P2317" s="65">
        <f t="shared" si="158"/>
        <v>0</v>
      </c>
      <c r="Q2317" s="66"/>
      <c r="R2317" s="66"/>
      <c r="S2317" s="66"/>
      <c r="T2317" s="66"/>
      <c r="U2317" s="66"/>
      <c r="V2317" s="66"/>
      <c r="W2317" s="66"/>
      <c r="X2317" s="66"/>
      <c r="Y2317" s="66"/>
      <c r="Z2317" s="66"/>
      <c r="AA2317" s="66"/>
      <c r="AB2317" s="66"/>
      <c r="AC2317" s="66"/>
      <c r="AD2317" s="66"/>
      <c r="AE2317" s="66"/>
      <c r="AF2317" s="66"/>
      <c r="AG2317" s="66"/>
      <c r="AH2317" s="66"/>
      <c r="AI2317" s="66"/>
      <c r="AJ2317" s="66"/>
      <c r="AK2317" s="66"/>
      <c r="AL2317" s="66"/>
      <c r="AM2317" s="66"/>
      <c r="AN2317" s="66"/>
      <c r="AO2317" s="66"/>
      <c r="AP2317" s="66"/>
      <c r="AQ2317" s="66"/>
      <c r="AR2317" s="66"/>
      <c r="AS2317" s="66"/>
      <c r="AT2317" s="66"/>
      <c r="AU2317" s="66"/>
      <c r="AV2317" s="66"/>
      <c r="AW2317" s="66"/>
      <c r="AX2317" s="66"/>
      <c r="AY2317" s="66"/>
      <c r="AZ2317" s="66"/>
      <c r="BA2317" s="66"/>
      <c r="BB2317" s="66"/>
      <c r="BC2317" s="66"/>
      <c r="BD2317" s="66"/>
      <c r="BE2317" s="67"/>
      <c r="BF2317" s="67"/>
      <c r="BG2317" s="68"/>
      <c r="BI2317" s="69">
        <v>0</v>
      </c>
      <c r="BJ2317" s="70">
        <v>0</v>
      </c>
      <c r="BK2317" s="71">
        <v>0</v>
      </c>
      <c r="BL2317" s="71">
        <v>0</v>
      </c>
      <c r="BM2317" s="71">
        <v>0</v>
      </c>
      <c r="BN2317" s="72">
        <v>0</v>
      </c>
      <c r="BO2317" s="151" t="e">
        <f t="shared" si="154"/>
        <v>#DIV/0!</v>
      </c>
      <c r="BP2317" s="151" t="e">
        <f t="shared" si="155"/>
        <v>#DIV/0!</v>
      </c>
      <c r="BQ2317" s="71">
        <v>0</v>
      </c>
      <c r="BR2317" s="71">
        <v>0</v>
      </c>
      <c r="BS2317" s="71">
        <v>0</v>
      </c>
      <c r="BT2317" s="72">
        <v>0</v>
      </c>
      <c r="BU2317" s="151" t="e">
        <f t="shared" si="156"/>
        <v>#DIV/0!</v>
      </c>
      <c r="BV2317" s="151" t="e">
        <f t="shared" si="157"/>
        <v>#DIV/0!</v>
      </c>
    </row>
    <row r="2318" ht="30" customHeight="1" spans="1:74">
      <c r="A2318" s="55" t="s">
        <v>165</v>
      </c>
      <c r="B2318" s="56" t="s">
        <v>1237</v>
      </c>
      <c r="C2318" s="57" t="s">
        <v>3226</v>
      </c>
      <c r="D2318" s="76" t="s">
        <v>3620</v>
      </c>
      <c r="E2318" s="59"/>
      <c r="F2318" s="59" t="e">
        <f>VLOOKUP(E2318,[1]库存!$B$1:$C$65536,2,FALSE)</f>
        <v>#N/A</v>
      </c>
      <c r="G2318" s="59" t="e">
        <v>#N/A</v>
      </c>
      <c r="H2318" s="59" t="s">
        <v>2676</v>
      </c>
      <c r="I2318" s="59" t="s">
        <v>2677</v>
      </c>
      <c r="J2318" s="63"/>
      <c r="K2318" s="61"/>
      <c r="L2318" s="62">
        <v>2</v>
      </c>
      <c r="M2318" s="63">
        <v>1300</v>
      </c>
      <c r="N2318" s="64">
        <v>13</v>
      </c>
      <c r="O2318" s="62">
        <v>2</v>
      </c>
      <c r="P2318" s="65">
        <f t="shared" si="158"/>
        <v>0</v>
      </c>
      <c r="Q2318" s="103"/>
      <c r="R2318" s="103"/>
      <c r="S2318" s="103"/>
      <c r="T2318" s="103"/>
      <c r="U2318" s="103"/>
      <c r="V2318" s="103"/>
      <c r="W2318" s="103"/>
      <c r="X2318" s="103"/>
      <c r="Y2318" s="103"/>
      <c r="Z2318" s="103"/>
      <c r="AA2318" s="103"/>
      <c r="AB2318" s="103"/>
      <c r="AC2318" s="103"/>
      <c r="AD2318" s="103"/>
      <c r="AE2318" s="103"/>
      <c r="AF2318" s="103"/>
      <c r="AG2318" s="103"/>
      <c r="AH2318" s="103"/>
      <c r="AI2318" s="103"/>
      <c r="AJ2318" s="103"/>
      <c r="AK2318" s="103"/>
      <c r="AL2318" s="103"/>
      <c r="AM2318" s="103"/>
      <c r="AN2318" s="103"/>
      <c r="AO2318" s="103"/>
      <c r="AP2318" s="103"/>
      <c r="AQ2318" s="103"/>
      <c r="AR2318" s="103"/>
      <c r="AS2318" s="103"/>
      <c r="AT2318" s="103"/>
      <c r="AU2318" s="103"/>
      <c r="AV2318" s="103"/>
      <c r="AW2318" s="103"/>
      <c r="AX2318" s="103"/>
      <c r="AY2318" s="103"/>
      <c r="AZ2318" s="103"/>
      <c r="BA2318" s="103"/>
      <c r="BB2318" s="103"/>
      <c r="BC2318" s="103"/>
      <c r="BD2318" s="103"/>
      <c r="BE2318" s="67"/>
      <c r="BF2318" s="67"/>
      <c r="BG2318" s="68"/>
      <c r="BI2318" s="69">
        <v>0</v>
      </c>
      <c r="BJ2318" s="70">
        <v>0</v>
      </c>
      <c r="BK2318" s="71">
        <v>0</v>
      </c>
      <c r="BL2318" s="71">
        <v>0</v>
      </c>
      <c r="BM2318" s="71">
        <v>0</v>
      </c>
      <c r="BN2318" s="72">
        <v>0</v>
      </c>
      <c r="BO2318" s="151" t="e">
        <f t="shared" si="154"/>
        <v>#DIV/0!</v>
      </c>
      <c r="BP2318" s="151" t="e">
        <f t="shared" si="155"/>
        <v>#DIV/0!</v>
      </c>
      <c r="BQ2318" s="71">
        <v>0</v>
      </c>
      <c r="BR2318" s="71">
        <v>0</v>
      </c>
      <c r="BS2318" s="71">
        <v>0</v>
      </c>
      <c r="BT2318" s="72">
        <v>0</v>
      </c>
      <c r="BU2318" s="151" t="e">
        <f t="shared" si="156"/>
        <v>#DIV/0!</v>
      </c>
      <c r="BV2318" s="151" t="e">
        <f t="shared" si="157"/>
        <v>#DIV/0!</v>
      </c>
    </row>
    <row r="2319" ht="30" customHeight="1" spans="1:74">
      <c r="A2319" s="55">
        <v>0</v>
      </c>
      <c r="B2319" s="56">
        <v>0</v>
      </c>
      <c r="C2319" s="57">
        <v>0</v>
      </c>
      <c r="D2319" s="78"/>
      <c r="E2319" s="74"/>
      <c r="F2319" s="59" t="e">
        <f>VLOOKUP(E2319,[1]库存!$B$1:$C$65536,2,FALSE)</f>
        <v>#N/A</v>
      </c>
      <c r="G2319" s="59" t="e">
        <v>#N/A</v>
      </c>
      <c r="H2319" s="74"/>
      <c r="I2319" s="74"/>
      <c r="J2319" s="87"/>
      <c r="K2319" s="61"/>
      <c r="L2319" s="62">
        <v>0</v>
      </c>
      <c r="M2319" s="63">
        <v>0</v>
      </c>
      <c r="N2319" s="64">
        <v>0</v>
      </c>
      <c r="O2319" s="62">
        <v>0</v>
      </c>
      <c r="P2319" s="65">
        <f t="shared" si="158"/>
        <v>0</v>
      </c>
      <c r="Q2319" s="66"/>
      <c r="R2319" s="277"/>
      <c r="S2319" s="66"/>
      <c r="T2319" s="277"/>
      <c r="U2319" s="66"/>
      <c r="V2319" s="277"/>
      <c r="W2319" s="66"/>
      <c r="X2319" s="277"/>
      <c r="Y2319" s="66"/>
      <c r="Z2319" s="277"/>
      <c r="AA2319" s="66"/>
      <c r="AB2319" s="277"/>
      <c r="AC2319" s="66"/>
      <c r="AD2319" s="277"/>
      <c r="AE2319" s="66"/>
      <c r="AF2319" s="277"/>
      <c r="AG2319" s="66"/>
      <c r="AH2319" s="277"/>
      <c r="AI2319" s="66"/>
      <c r="AJ2319" s="277"/>
      <c r="AK2319" s="66"/>
      <c r="AL2319" s="277"/>
      <c r="AM2319" s="66"/>
      <c r="AN2319" s="277"/>
      <c r="AO2319" s="66"/>
      <c r="AP2319" s="277"/>
      <c r="AQ2319" s="66"/>
      <c r="AR2319" s="277"/>
      <c r="AS2319" s="66"/>
      <c r="AT2319" s="277"/>
      <c r="AU2319" s="66"/>
      <c r="AV2319" s="277"/>
      <c r="AW2319" s="66"/>
      <c r="AX2319" s="277"/>
      <c r="AY2319" s="66"/>
      <c r="AZ2319" s="277"/>
      <c r="BA2319" s="66"/>
      <c r="BB2319" s="277"/>
      <c r="BC2319" s="66"/>
      <c r="BD2319" s="277"/>
      <c r="BF2319" s="67"/>
      <c r="BG2319" s="68"/>
      <c r="BI2319" s="69">
        <v>0</v>
      </c>
      <c r="BJ2319" s="70">
        <v>0</v>
      </c>
      <c r="BK2319" s="71">
        <v>0</v>
      </c>
      <c r="BL2319" s="71">
        <v>0</v>
      </c>
      <c r="BM2319" s="71">
        <v>0</v>
      </c>
      <c r="BN2319" s="72">
        <v>0</v>
      </c>
      <c r="BO2319" s="151" t="e">
        <f t="shared" si="154"/>
        <v>#DIV/0!</v>
      </c>
      <c r="BP2319" s="151" t="e">
        <f t="shared" si="155"/>
        <v>#DIV/0!</v>
      </c>
      <c r="BQ2319" s="71">
        <v>0</v>
      </c>
      <c r="BR2319" s="71">
        <v>0</v>
      </c>
      <c r="BS2319" s="71">
        <v>0</v>
      </c>
      <c r="BT2319" s="72">
        <v>0</v>
      </c>
      <c r="BU2319" s="151" t="e">
        <f t="shared" si="156"/>
        <v>#DIV/0!</v>
      </c>
      <c r="BV2319" s="151" t="e">
        <f t="shared" si="157"/>
        <v>#DIV/0!</v>
      </c>
    </row>
    <row r="2320" ht="30" customHeight="1" spans="1:74">
      <c r="A2320" s="55" t="s">
        <v>165</v>
      </c>
      <c r="B2320" s="56" t="s">
        <v>1237</v>
      </c>
      <c r="C2320" s="57" t="s">
        <v>3226</v>
      </c>
      <c r="D2320" s="76" t="s">
        <v>3620</v>
      </c>
      <c r="E2320" s="59" t="s">
        <v>3623</v>
      </c>
      <c r="F2320" s="59" t="str">
        <f>VLOOKUP(E2320,[1]库存!$B$1:$C$65536,2,FALSE)</f>
        <v>TES SAB LH</v>
      </c>
      <c r="G2320" s="59" t="s">
        <v>3624</v>
      </c>
      <c r="H2320" s="59" t="s">
        <v>3625</v>
      </c>
      <c r="I2320" s="59" t="s">
        <v>3626</v>
      </c>
      <c r="J2320" s="77" t="s">
        <v>3627</v>
      </c>
      <c r="K2320" s="61"/>
      <c r="L2320" s="62">
        <v>0</v>
      </c>
      <c r="M2320" s="63">
        <v>1400</v>
      </c>
      <c r="N2320" s="64">
        <v>13</v>
      </c>
      <c r="O2320" s="62">
        <v>0</v>
      </c>
      <c r="P2320" s="65">
        <f t="shared" si="158"/>
        <v>0</v>
      </c>
      <c r="Q2320" s="66"/>
      <c r="R2320" s="66"/>
      <c r="S2320" s="66"/>
      <c r="T2320" s="66"/>
      <c r="U2320" s="66"/>
      <c r="V2320" s="66"/>
      <c r="W2320" s="66"/>
      <c r="X2320" s="66"/>
      <c r="Y2320" s="66"/>
      <c r="Z2320" s="66"/>
      <c r="AA2320" s="66"/>
      <c r="AB2320" s="66"/>
      <c r="AC2320" s="66"/>
      <c r="AD2320" s="66"/>
      <c r="AE2320" s="66"/>
      <c r="AF2320" s="66"/>
      <c r="AG2320" s="66"/>
      <c r="AH2320" s="66"/>
      <c r="AI2320" s="66"/>
      <c r="AJ2320" s="66"/>
      <c r="AK2320" s="66"/>
      <c r="AL2320" s="66"/>
      <c r="AM2320" s="66"/>
      <c r="AN2320" s="66"/>
      <c r="AO2320" s="66"/>
      <c r="AP2320" s="66"/>
      <c r="AQ2320" s="66"/>
      <c r="AR2320" s="66"/>
      <c r="AS2320" s="66"/>
      <c r="AT2320" s="66"/>
      <c r="AU2320" s="66"/>
      <c r="AV2320" s="66"/>
      <c r="AW2320" s="66"/>
      <c r="AX2320" s="66"/>
      <c r="AY2320" s="66"/>
      <c r="AZ2320" s="66"/>
      <c r="BA2320" s="66"/>
      <c r="BB2320" s="66"/>
      <c r="BC2320" s="66"/>
      <c r="BD2320" s="66"/>
      <c r="BE2320" s="67"/>
      <c r="BF2320" s="67"/>
      <c r="BG2320" s="68"/>
      <c r="BI2320" s="69">
        <v>0</v>
      </c>
      <c r="BJ2320" s="70">
        <v>0</v>
      </c>
      <c r="BK2320" s="71">
        <v>0</v>
      </c>
      <c r="BL2320" s="71">
        <v>0</v>
      </c>
      <c r="BM2320" s="71">
        <v>0</v>
      </c>
      <c r="BN2320" s="72">
        <v>0</v>
      </c>
      <c r="BO2320" s="151" t="e">
        <f t="shared" si="154"/>
        <v>#DIV/0!</v>
      </c>
      <c r="BP2320" s="151" t="e">
        <f t="shared" si="155"/>
        <v>#DIV/0!</v>
      </c>
      <c r="BQ2320" s="71">
        <v>0</v>
      </c>
      <c r="BR2320" s="71">
        <v>0</v>
      </c>
      <c r="BS2320" s="71">
        <v>0</v>
      </c>
      <c r="BT2320" s="72">
        <v>0</v>
      </c>
      <c r="BU2320" s="151" t="e">
        <f t="shared" si="156"/>
        <v>#DIV/0!</v>
      </c>
      <c r="BV2320" s="151" t="e">
        <f t="shared" si="157"/>
        <v>#DIV/0!</v>
      </c>
    </row>
    <row r="2321" ht="30" customHeight="1" spans="1:74">
      <c r="A2321" s="55">
        <v>0</v>
      </c>
      <c r="B2321" s="56">
        <v>0</v>
      </c>
      <c r="C2321" s="57">
        <v>0</v>
      </c>
      <c r="D2321" s="78"/>
      <c r="E2321" s="74"/>
      <c r="F2321" s="59" t="e">
        <f>VLOOKUP(E2321,[1]库存!$B$1:$C$65536,2,FALSE)</f>
        <v>#N/A</v>
      </c>
      <c r="G2321" s="59" t="e">
        <v>#N/A</v>
      </c>
      <c r="H2321" s="74"/>
      <c r="I2321" s="74"/>
      <c r="J2321" s="79"/>
      <c r="K2321" s="61"/>
      <c r="L2321" s="62">
        <v>0</v>
      </c>
      <c r="M2321" s="63">
        <v>0</v>
      </c>
      <c r="N2321" s="64">
        <v>0</v>
      </c>
      <c r="O2321" s="62">
        <v>0</v>
      </c>
      <c r="P2321" s="65">
        <f t="shared" si="158"/>
        <v>0</v>
      </c>
      <c r="Q2321" s="66"/>
      <c r="R2321" s="66"/>
      <c r="S2321" s="66"/>
      <c r="T2321" s="66"/>
      <c r="U2321" s="66"/>
      <c r="V2321" s="66"/>
      <c r="W2321" s="66"/>
      <c r="X2321" s="66"/>
      <c r="Y2321" s="66"/>
      <c r="Z2321" s="66"/>
      <c r="AA2321" s="66"/>
      <c r="AB2321" s="66"/>
      <c r="AC2321" s="66"/>
      <c r="AD2321" s="66"/>
      <c r="AE2321" s="66"/>
      <c r="AF2321" s="66"/>
      <c r="AG2321" s="66"/>
      <c r="AH2321" s="66"/>
      <c r="AI2321" s="66"/>
      <c r="AJ2321" s="66"/>
      <c r="AK2321" s="66"/>
      <c r="AL2321" s="66"/>
      <c r="AM2321" s="66"/>
      <c r="AN2321" s="66"/>
      <c r="AO2321" s="66"/>
      <c r="AP2321" s="66"/>
      <c r="AQ2321" s="66"/>
      <c r="AR2321" s="66"/>
      <c r="AS2321" s="66"/>
      <c r="AT2321" s="66"/>
      <c r="AU2321" s="66"/>
      <c r="AV2321" s="66"/>
      <c r="AW2321" s="66"/>
      <c r="AX2321" s="66"/>
      <c r="AY2321" s="66"/>
      <c r="AZ2321" s="66"/>
      <c r="BA2321" s="66"/>
      <c r="BB2321" s="66"/>
      <c r="BC2321" s="66"/>
      <c r="BD2321" s="66"/>
      <c r="BE2321" s="67"/>
      <c r="BF2321" s="67"/>
      <c r="BG2321" s="68"/>
      <c r="BI2321" s="69">
        <v>0</v>
      </c>
      <c r="BJ2321" s="70">
        <v>0</v>
      </c>
      <c r="BK2321" s="71">
        <v>0</v>
      </c>
      <c r="BL2321" s="71">
        <v>0</v>
      </c>
      <c r="BM2321" s="71">
        <v>0</v>
      </c>
      <c r="BN2321" s="72">
        <v>0</v>
      </c>
      <c r="BO2321" s="151" t="e">
        <f t="shared" si="154"/>
        <v>#DIV/0!</v>
      </c>
      <c r="BP2321" s="151" t="e">
        <f t="shared" si="155"/>
        <v>#DIV/0!</v>
      </c>
      <c r="BQ2321" s="71">
        <v>0</v>
      </c>
      <c r="BR2321" s="71">
        <v>0</v>
      </c>
      <c r="BS2321" s="71">
        <v>0</v>
      </c>
      <c r="BT2321" s="72">
        <v>0</v>
      </c>
      <c r="BU2321" s="151" t="e">
        <f t="shared" si="156"/>
        <v>#DIV/0!</v>
      </c>
      <c r="BV2321" s="151" t="e">
        <f t="shared" si="157"/>
        <v>#DIV/0!</v>
      </c>
    </row>
    <row r="2322" ht="30" customHeight="1" spans="1:74">
      <c r="A2322" s="55" t="s">
        <v>165</v>
      </c>
      <c r="B2322" s="56" t="s">
        <v>1237</v>
      </c>
      <c r="C2322" s="57" t="s">
        <v>3226</v>
      </c>
      <c r="D2322" s="76" t="s">
        <v>3620</v>
      </c>
      <c r="E2322" s="59" t="s">
        <v>3628</v>
      </c>
      <c r="F2322" s="59" t="str">
        <f>VLOOKUP(E2322,[1]库存!$B$1:$C$65536,2,FALSE)</f>
        <v>TES SAB RH</v>
      </c>
      <c r="G2322" s="59" t="s">
        <v>3629</v>
      </c>
      <c r="H2322" s="59" t="s">
        <v>3630</v>
      </c>
      <c r="I2322" s="59" t="s">
        <v>3626</v>
      </c>
      <c r="J2322" s="77" t="s">
        <v>3627</v>
      </c>
      <c r="K2322" s="61"/>
      <c r="L2322" s="62">
        <v>0</v>
      </c>
      <c r="M2322" s="63">
        <v>1400</v>
      </c>
      <c r="N2322" s="64">
        <v>13</v>
      </c>
      <c r="O2322" s="62">
        <v>0</v>
      </c>
      <c r="P2322" s="65">
        <f t="shared" si="158"/>
        <v>0</v>
      </c>
      <c r="Q2322" s="66"/>
      <c r="R2322" s="66"/>
      <c r="S2322" s="66"/>
      <c r="T2322" s="66"/>
      <c r="U2322" s="66"/>
      <c r="V2322" s="66"/>
      <c r="W2322" s="66"/>
      <c r="X2322" s="66"/>
      <c r="Y2322" s="66"/>
      <c r="Z2322" s="66"/>
      <c r="AA2322" s="66"/>
      <c r="AB2322" s="66"/>
      <c r="AC2322" s="66"/>
      <c r="AD2322" s="66"/>
      <c r="AE2322" s="66"/>
      <c r="AF2322" s="66"/>
      <c r="AG2322" s="66"/>
      <c r="AH2322" s="66"/>
      <c r="AI2322" s="66"/>
      <c r="AJ2322" s="66"/>
      <c r="AK2322" s="66"/>
      <c r="AL2322" s="66"/>
      <c r="AM2322" s="66"/>
      <c r="AN2322" s="66"/>
      <c r="AO2322" s="66"/>
      <c r="AP2322" s="66"/>
      <c r="AQ2322" s="66"/>
      <c r="AR2322" s="66"/>
      <c r="AS2322" s="66"/>
      <c r="AT2322" s="66"/>
      <c r="AU2322" s="66"/>
      <c r="AV2322" s="66"/>
      <c r="AW2322" s="66"/>
      <c r="AX2322" s="66"/>
      <c r="AY2322" s="66"/>
      <c r="AZ2322" s="66"/>
      <c r="BA2322" s="66"/>
      <c r="BB2322" s="66"/>
      <c r="BC2322" s="66"/>
      <c r="BD2322" s="66"/>
      <c r="BE2322" s="67"/>
      <c r="BF2322" s="67"/>
      <c r="BG2322" s="68"/>
      <c r="BI2322" s="69">
        <v>0</v>
      </c>
      <c r="BJ2322" s="70">
        <v>0</v>
      </c>
      <c r="BK2322" s="71">
        <v>0</v>
      </c>
      <c r="BL2322" s="71">
        <v>0</v>
      </c>
      <c r="BM2322" s="71">
        <v>0</v>
      </c>
      <c r="BN2322" s="72">
        <v>0</v>
      </c>
      <c r="BO2322" s="151" t="e">
        <f t="shared" si="154"/>
        <v>#DIV/0!</v>
      </c>
      <c r="BP2322" s="151" t="e">
        <f t="shared" si="155"/>
        <v>#DIV/0!</v>
      </c>
      <c r="BQ2322" s="71">
        <v>0</v>
      </c>
      <c r="BR2322" s="71">
        <v>0</v>
      </c>
      <c r="BS2322" s="71">
        <v>0</v>
      </c>
      <c r="BT2322" s="72">
        <v>0</v>
      </c>
      <c r="BU2322" s="151" t="e">
        <f t="shared" si="156"/>
        <v>#DIV/0!</v>
      </c>
      <c r="BV2322" s="151" t="e">
        <f t="shared" si="157"/>
        <v>#DIV/0!</v>
      </c>
    </row>
    <row r="2323" ht="30" customHeight="1" spans="1:74">
      <c r="A2323" s="55">
        <v>0</v>
      </c>
      <c r="B2323" s="56">
        <v>0</v>
      </c>
      <c r="C2323" s="57">
        <v>0</v>
      </c>
      <c r="D2323" s="78"/>
      <c r="E2323" s="74"/>
      <c r="F2323" s="59" t="e">
        <f>VLOOKUP(E2323,[1]库存!$B$1:$C$65536,2,FALSE)</f>
        <v>#N/A</v>
      </c>
      <c r="G2323" s="59" t="e">
        <v>#N/A</v>
      </c>
      <c r="H2323" s="74"/>
      <c r="I2323" s="74"/>
      <c r="J2323" s="79"/>
      <c r="K2323" s="61"/>
      <c r="L2323" s="62">
        <v>0</v>
      </c>
      <c r="M2323" s="63">
        <v>0</v>
      </c>
      <c r="N2323" s="64">
        <v>0</v>
      </c>
      <c r="O2323" s="62">
        <v>0</v>
      </c>
      <c r="P2323" s="65">
        <f t="shared" si="158"/>
        <v>0</v>
      </c>
      <c r="Q2323" s="66"/>
      <c r="R2323" s="66"/>
      <c r="S2323" s="66"/>
      <c r="T2323" s="66"/>
      <c r="U2323" s="66"/>
      <c r="V2323" s="66"/>
      <c r="W2323" s="66"/>
      <c r="X2323" s="66"/>
      <c r="Y2323" s="66"/>
      <c r="Z2323" s="66"/>
      <c r="AA2323" s="66"/>
      <c r="AB2323" s="66"/>
      <c r="AC2323" s="66"/>
      <c r="AD2323" s="66"/>
      <c r="AE2323" s="66"/>
      <c r="AF2323" s="66"/>
      <c r="AG2323" s="66"/>
      <c r="AH2323" s="66"/>
      <c r="AI2323" s="66"/>
      <c r="AJ2323" s="66"/>
      <c r="AK2323" s="66"/>
      <c r="AL2323" s="66"/>
      <c r="AM2323" s="66"/>
      <c r="AN2323" s="66"/>
      <c r="AO2323" s="66"/>
      <c r="AP2323" s="66"/>
      <c r="AQ2323" s="66"/>
      <c r="AR2323" s="66"/>
      <c r="AS2323" s="66"/>
      <c r="AT2323" s="66"/>
      <c r="AU2323" s="66"/>
      <c r="AV2323" s="66"/>
      <c r="AW2323" s="66"/>
      <c r="AX2323" s="66"/>
      <c r="AY2323" s="66"/>
      <c r="AZ2323" s="66"/>
      <c r="BA2323" s="66"/>
      <c r="BB2323" s="66"/>
      <c r="BC2323" s="66"/>
      <c r="BD2323" s="66"/>
      <c r="BE2323" s="67"/>
      <c r="BF2323" s="67"/>
      <c r="BG2323" s="68"/>
      <c r="BI2323" s="69">
        <v>0</v>
      </c>
      <c r="BJ2323" s="70">
        <v>0</v>
      </c>
      <c r="BK2323" s="71">
        <v>0</v>
      </c>
      <c r="BL2323" s="71">
        <v>0</v>
      </c>
      <c r="BM2323" s="71">
        <v>0</v>
      </c>
      <c r="BN2323" s="72">
        <v>0</v>
      </c>
      <c r="BO2323" s="151" t="e">
        <f t="shared" si="154"/>
        <v>#DIV/0!</v>
      </c>
      <c r="BP2323" s="151" t="e">
        <f t="shared" si="155"/>
        <v>#DIV/0!</v>
      </c>
      <c r="BQ2323" s="71">
        <v>0</v>
      </c>
      <c r="BR2323" s="71">
        <v>0</v>
      </c>
      <c r="BS2323" s="71">
        <v>0</v>
      </c>
      <c r="BT2323" s="72">
        <v>0</v>
      </c>
      <c r="BU2323" s="151" t="e">
        <f t="shared" si="156"/>
        <v>#DIV/0!</v>
      </c>
      <c r="BV2323" s="151" t="e">
        <f t="shared" si="157"/>
        <v>#DIV/0!</v>
      </c>
    </row>
    <row r="2324" ht="30" customHeight="1" spans="1:74">
      <c r="A2324" s="55">
        <v>0</v>
      </c>
      <c r="B2324" s="56" t="s">
        <v>1237</v>
      </c>
      <c r="C2324" s="57" t="s">
        <v>3341</v>
      </c>
      <c r="D2324" s="76" t="s">
        <v>3620</v>
      </c>
      <c r="E2324" s="59"/>
      <c r="F2324" s="59" t="e">
        <f>VLOOKUP(E2324,[1]库存!$B$1:$C$65536,2,FALSE)</f>
        <v>#N/A</v>
      </c>
      <c r="G2324" s="59" t="e">
        <v>#N/A</v>
      </c>
      <c r="H2324" s="59" t="s">
        <v>3631</v>
      </c>
      <c r="I2324" s="59" t="s">
        <v>3632</v>
      </c>
      <c r="J2324" s="63"/>
      <c r="K2324" s="61"/>
      <c r="L2324" s="62">
        <v>0</v>
      </c>
      <c r="M2324" s="63">
        <v>1400</v>
      </c>
      <c r="N2324" s="64">
        <v>13</v>
      </c>
      <c r="O2324" s="62">
        <v>0</v>
      </c>
      <c r="P2324" s="65">
        <f t="shared" si="158"/>
        <v>0</v>
      </c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  <c r="AA2324" s="66"/>
      <c r="AB2324" s="66"/>
      <c r="AC2324" s="66"/>
      <c r="AD2324" s="66"/>
      <c r="AE2324" s="66"/>
      <c r="AF2324" s="66"/>
      <c r="AG2324" s="66"/>
      <c r="AH2324" s="66"/>
      <c r="AI2324" s="66"/>
      <c r="AJ2324" s="66"/>
      <c r="AK2324" s="66"/>
      <c r="AL2324" s="66"/>
      <c r="AM2324" s="66"/>
      <c r="AN2324" s="66"/>
      <c r="AO2324" s="66"/>
      <c r="AP2324" s="66"/>
      <c r="AQ2324" s="66"/>
      <c r="AR2324" s="66"/>
      <c r="AS2324" s="66"/>
      <c r="AT2324" s="66"/>
      <c r="AU2324" s="66"/>
      <c r="AV2324" s="66"/>
      <c r="AW2324" s="66"/>
      <c r="AX2324" s="66"/>
      <c r="AY2324" s="66"/>
      <c r="AZ2324" s="66"/>
      <c r="BA2324" s="66"/>
      <c r="BB2324" s="66"/>
      <c r="BC2324" s="66"/>
      <c r="BD2324" s="66"/>
      <c r="BE2324" s="67"/>
      <c r="BF2324" s="67"/>
      <c r="BG2324" s="68"/>
      <c r="BI2324" s="69">
        <v>0</v>
      </c>
      <c r="BJ2324" s="70">
        <v>0</v>
      </c>
      <c r="BK2324" s="71">
        <v>0</v>
      </c>
      <c r="BL2324" s="71">
        <v>0</v>
      </c>
      <c r="BM2324" s="71">
        <v>0</v>
      </c>
      <c r="BN2324" s="72">
        <v>0</v>
      </c>
      <c r="BO2324" s="151" t="e">
        <f t="shared" si="154"/>
        <v>#DIV/0!</v>
      </c>
      <c r="BP2324" s="151" t="e">
        <f t="shared" si="155"/>
        <v>#DIV/0!</v>
      </c>
      <c r="BQ2324" s="71">
        <v>0</v>
      </c>
      <c r="BR2324" s="71">
        <v>0</v>
      </c>
      <c r="BS2324" s="71">
        <v>0</v>
      </c>
      <c r="BT2324" s="72">
        <v>0</v>
      </c>
      <c r="BU2324" s="151" t="e">
        <f t="shared" si="156"/>
        <v>#DIV/0!</v>
      </c>
      <c r="BV2324" s="151" t="e">
        <f t="shared" si="157"/>
        <v>#DIV/0!</v>
      </c>
    </row>
    <row r="2325" ht="30" customHeight="1" spans="1:74">
      <c r="A2325" s="55">
        <v>0</v>
      </c>
      <c r="B2325" s="56">
        <v>0</v>
      </c>
      <c r="C2325" s="57">
        <v>0</v>
      </c>
      <c r="D2325" s="78"/>
      <c r="E2325" s="74"/>
      <c r="F2325" s="59" t="e">
        <f>VLOOKUP(E2325,[1]库存!$B$1:$C$65536,2,FALSE)</f>
        <v>#N/A</v>
      </c>
      <c r="G2325" s="59" t="e">
        <v>#N/A</v>
      </c>
      <c r="H2325" s="74"/>
      <c r="I2325" s="74"/>
      <c r="J2325" s="87"/>
      <c r="K2325" s="61"/>
      <c r="L2325" s="62">
        <v>0</v>
      </c>
      <c r="M2325" s="63">
        <v>0</v>
      </c>
      <c r="N2325" s="64">
        <v>0</v>
      </c>
      <c r="O2325" s="62">
        <v>0</v>
      </c>
      <c r="P2325" s="65">
        <f t="shared" si="158"/>
        <v>0</v>
      </c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  <c r="AA2325" s="66"/>
      <c r="AB2325" s="66"/>
      <c r="AC2325" s="66"/>
      <c r="AD2325" s="66"/>
      <c r="AE2325" s="66"/>
      <c r="AF2325" s="66"/>
      <c r="AG2325" s="66"/>
      <c r="AH2325" s="66"/>
      <c r="AI2325" s="66"/>
      <c r="AJ2325" s="66"/>
      <c r="AK2325" s="66"/>
      <c r="AL2325" s="66"/>
      <c r="AM2325" s="66"/>
      <c r="AN2325" s="66"/>
      <c r="AO2325" s="66"/>
      <c r="AP2325" s="66"/>
      <c r="AQ2325" s="66"/>
      <c r="AR2325" s="66"/>
      <c r="AS2325" s="66"/>
      <c r="AT2325" s="66"/>
      <c r="AU2325" s="66"/>
      <c r="AV2325" s="66"/>
      <c r="AW2325" s="66"/>
      <c r="AX2325" s="66"/>
      <c r="AY2325" s="66"/>
      <c r="AZ2325" s="66"/>
      <c r="BA2325" s="66"/>
      <c r="BB2325" s="66"/>
      <c r="BC2325" s="66"/>
      <c r="BD2325" s="66"/>
      <c r="BE2325" s="67"/>
      <c r="BF2325" s="67"/>
      <c r="BG2325" s="68"/>
      <c r="BI2325" s="69">
        <v>0</v>
      </c>
      <c r="BJ2325" s="70">
        <v>0</v>
      </c>
      <c r="BK2325" s="71">
        <v>0</v>
      </c>
      <c r="BL2325" s="71">
        <v>0</v>
      </c>
      <c r="BM2325" s="71">
        <v>0</v>
      </c>
      <c r="BN2325" s="72">
        <v>0</v>
      </c>
      <c r="BO2325" s="151" t="e">
        <f t="shared" si="154"/>
        <v>#DIV/0!</v>
      </c>
      <c r="BP2325" s="151" t="e">
        <f t="shared" si="155"/>
        <v>#DIV/0!</v>
      </c>
      <c r="BQ2325" s="71">
        <v>0</v>
      </c>
      <c r="BR2325" s="71">
        <v>0</v>
      </c>
      <c r="BS2325" s="71">
        <v>0</v>
      </c>
      <c r="BT2325" s="72">
        <v>0</v>
      </c>
      <c r="BU2325" s="151" t="e">
        <f t="shared" si="156"/>
        <v>#DIV/0!</v>
      </c>
      <c r="BV2325" s="151" t="e">
        <f t="shared" si="157"/>
        <v>#DIV/0!</v>
      </c>
    </row>
    <row r="2326" ht="30" customHeight="1" spans="1:74">
      <c r="A2326" s="55">
        <v>0</v>
      </c>
      <c r="B2326" s="56" t="s">
        <v>1237</v>
      </c>
      <c r="C2326" s="57" t="s">
        <v>3341</v>
      </c>
      <c r="D2326" s="76" t="s">
        <v>3620</v>
      </c>
      <c r="E2326" s="59"/>
      <c r="F2326" s="59" t="e">
        <f>VLOOKUP(E2326,[1]库存!$B$1:$C$65536,2,FALSE)</f>
        <v>#N/A</v>
      </c>
      <c r="G2326" s="59" t="e">
        <v>#N/A</v>
      </c>
      <c r="H2326" s="59" t="s">
        <v>3631</v>
      </c>
      <c r="I2326" s="59" t="s">
        <v>3633</v>
      </c>
      <c r="J2326" s="63"/>
      <c r="K2326" s="61"/>
      <c r="L2326" s="62">
        <v>0</v>
      </c>
      <c r="M2326" s="63">
        <v>1400</v>
      </c>
      <c r="N2326" s="64">
        <v>13</v>
      </c>
      <c r="O2326" s="62">
        <v>0</v>
      </c>
      <c r="P2326" s="65">
        <f t="shared" si="158"/>
        <v>0</v>
      </c>
      <c r="Q2326" s="66"/>
      <c r="R2326" s="66"/>
      <c r="S2326" s="66"/>
      <c r="T2326" s="66"/>
      <c r="U2326" s="66"/>
      <c r="V2326" s="66"/>
      <c r="W2326" s="66"/>
      <c r="X2326" s="66"/>
      <c r="Y2326" s="66"/>
      <c r="Z2326" s="66"/>
      <c r="AA2326" s="66"/>
      <c r="AB2326" s="66"/>
      <c r="AC2326" s="66"/>
      <c r="AD2326" s="66"/>
      <c r="AE2326" s="66"/>
      <c r="AF2326" s="66"/>
      <c r="AG2326" s="66"/>
      <c r="AH2326" s="66"/>
      <c r="AI2326" s="66"/>
      <c r="AJ2326" s="66"/>
      <c r="AK2326" s="66"/>
      <c r="AL2326" s="66"/>
      <c r="AM2326" s="66"/>
      <c r="AN2326" s="66"/>
      <c r="AO2326" s="66"/>
      <c r="AP2326" s="66"/>
      <c r="AQ2326" s="66"/>
      <c r="AR2326" s="66"/>
      <c r="AS2326" s="66"/>
      <c r="AT2326" s="66"/>
      <c r="AU2326" s="66"/>
      <c r="AV2326" s="66"/>
      <c r="AW2326" s="66"/>
      <c r="AX2326" s="66"/>
      <c r="AY2326" s="66"/>
      <c r="AZ2326" s="66"/>
      <c r="BA2326" s="66"/>
      <c r="BB2326" s="66"/>
      <c r="BC2326" s="66"/>
      <c r="BD2326" s="66"/>
      <c r="BE2326" s="67"/>
      <c r="BF2326" s="67"/>
      <c r="BG2326" s="68"/>
      <c r="BI2326" s="69">
        <v>0</v>
      </c>
      <c r="BJ2326" s="70">
        <v>0</v>
      </c>
      <c r="BK2326" s="71">
        <v>0</v>
      </c>
      <c r="BL2326" s="71">
        <v>0</v>
      </c>
      <c r="BM2326" s="71">
        <v>0</v>
      </c>
      <c r="BN2326" s="72">
        <v>0</v>
      </c>
      <c r="BO2326" s="151" t="e">
        <f t="shared" si="154"/>
        <v>#DIV/0!</v>
      </c>
      <c r="BP2326" s="151" t="e">
        <f t="shared" si="155"/>
        <v>#DIV/0!</v>
      </c>
      <c r="BQ2326" s="71">
        <v>0</v>
      </c>
      <c r="BR2326" s="71">
        <v>0</v>
      </c>
      <c r="BS2326" s="71">
        <v>0</v>
      </c>
      <c r="BT2326" s="72">
        <v>0</v>
      </c>
      <c r="BU2326" s="151" t="e">
        <f t="shared" si="156"/>
        <v>#DIV/0!</v>
      </c>
      <c r="BV2326" s="151" t="e">
        <f t="shared" si="157"/>
        <v>#DIV/0!</v>
      </c>
    </row>
    <row r="2327" ht="30" customHeight="1" spans="1:74">
      <c r="A2327" s="55">
        <v>0</v>
      </c>
      <c r="B2327" s="56">
        <v>0</v>
      </c>
      <c r="C2327" s="57">
        <v>0</v>
      </c>
      <c r="D2327" s="78"/>
      <c r="E2327" s="74"/>
      <c r="F2327" s="59" t="e">
        <f>VLOOKUP(E2327,[1]库存!$B$1:$C$65536,2,FALSE)</f>
        <v>#N/A</v>
      </c>
      <c r="G2327" s="59" t="e">
        <v>#N/A</v>
      </c>
      <c r="H2327" s="74"/>
      <c r="I2327" s="74"/>
      <c r="J2327" s="87"/>
      <c r="K2327" s="61"/>
      <c r="L2327" s="62">
        <v>0</v>
      </c>
      <c r="M2327" s="63">
        <v>0</v>
      </c>
      <c r="N2327" s="64">
        <v>0</v>
      </c>
      <c r="O2327" s="62">
        <v>0</v>
      </c>
      <c r="P2327" s="65">
        <f t="shared" si="158"/>
        <v>0</v>
      </c>
      <c r="Q2327" s="66"/>
      <c r="R2327" s="66"/>
      <c r="S2327" s="66"/>
      <c r="T2327" s="66"/>
      <c r="U2327" s="66"/>
      <c r="V2327" s="66"/>
      <c r="W2327" s="66"/>
      <c r="X2327" s="66"/>
      <c r="Y2327" s="66"/>
      <c r="Z2327" s="66"/>
      <c r="AA2327" s="66"/>
      <c r="AB2327" s="66"/>
      <c r="AC2327" s="66"/>
      <c r="AD2327" s="66"/>
      <c r="AE2327" s="66"/>
      <c r="AF2327" s="66"/>
      <c r="AG2327" s="66"/>
      <c r="AH2327" s="66"/>
      <c r="AI2327" s="66"/>
      <c r="AJ2327" s="66"/>
      <c r="AK2327" s="66"/>
      <c r="AL2327" s="66"/>
      <c r="AM2327" s="66"/>
      <c r="AN2327" s="66"/>
      <c r="AO2327" s="66"/>
      <c r="AP2327" s="66"/>
      <c r="AQ2327" s="66"/>
      <c r="AR2327" s="66"/>
      <c r="AS2327" s="66"/>
      <c r="AT2327" s="66"/>
      <c r="AU2327" s="66"/>
      <c r="AV2327" s="66"/>
      <c r="AW2327" s="66"/>
      <c r="AX2327" s="66"/>
      <c r="AY2327" s="66"/>
      <c r="AZ2327" s="66"/>
      <c r="BA2327" s="66"/>
      <c r="BB2327" s="66"/>
      <c r="BC2327" s="66"/>
      <c r="BD2327" s="66"/>
      <c r="BE2327" s="67"/>
      <c r="BF2327" s="67"/>
      <c r="BG2327" s="68"/>
      <c r="BI2327" s="69">
        <v>0</v>
      </c>
      <c r="BJ2327" s="70">
        <v>0</v>
      </c>
      <c r="BK2327" s="71">
        <v>0</v>
      </c>
      <c r="BL2327" s="71">
        <v>0</v>
      </c>
      <c r="BM2327" s="71">
        <v>0</v>
      </c>
      <c r="BN2327" s="72">
        <v>0</v>
      </c>
      <c r="BO2327" s="151" t="e">
        <f t="shared" si="154"/>
        <v>#DIV/0!</v>
      </c>
      <c r="BP2327" s="151" t="e">
        <f t="shared" si="155"/>
        <v>#DIV/0!</v>
      </c>
      <c r="BQ2327" s="71">
        <v>0</v>
      </c>
      <c r="BR2327" s="71">
        <v>0</v>
      </c>
      <c r="BS2327" s="71">
        <v>0</v>
      </c>
      <c r="BT2327" s="72">
        <v>0</v>
      </c>
      <c r="BU2327" s="151" t="e">
        <f t="shared" si="156"/>
        <v>#DIV/0!</v>
      </c>
      <c r="BV2327" s="151" t="e">
        <f t="shared" si="157"/>
        <v>#DIV/0!</v>
      </c>
    </row>
    <row r="2328" ht="30" customHeight="1" spans="1:74">
      <c r="A2328" s="55">
        <v>0</v>
      </c>
      <c r="B2328" s="56" t="s">
        <v>1237</v>
      </c>
      <c r="C2328" s="57" t="s">
        <v>3341</v>
      </c>
      <c r="D2328" s="76" t="s">
        <v>3620</v>
      </c>
      <c r="E2328" s="59"/>
      <c r="F2328" s="59" t="e">
        <f>VLOOKUP(E2328,[1]库存!$B$1:$C$65536,2,FALSE)</f>
        <v>#N/A</v>
      </c>
      <c r="G2328" s="59" t="e">
        <v>#N/A</v>
      </c>
      <c r="H2328" s="59" t="s">
        <v>3634</v>
      </c>
      <c r="I2328" s="59" t="s">
        <v>3635</v>
      </c>
      <c r="J2328" s="63"/>
      <c r="K2328" s="61"/>
      <c r="L2328" s="62">
        <v>0</v>
      </c>
      <c r="M2328" s="63">
        <v>1400</v>
      </c>
      <c r="N2328" s="64">
        <v>13</v>
      </c>
      <c r="O2328" s="62">
        <v>0</v>
      </c>
      <c r="P2328" s="65">
        <f t="shared" si="158"/>
        <v>0</v>
      </c>
      <c r="Q2328" s="66"/>
      <c r="R2328" s="66"/>
      <c r="S2328" s="66"/>
      <c r="T2328" s="66"/>
      <c r="U2328" s="66"/>
      <c r="V2328" s="66"/>
      <c r="W2328" s="66"/>
      <c r="X2328" s="66"/>
      <c r="Y2328" s="66"/>
      <c r="Z2328" s="66"/>
      <c r="AA2328" s="66"/>
      <c r="AB2328" s="66"/>
      <c r="AC2328" s="66"/>
      <c r="AD2328" s="66"/>
      <c r="AE2328" s="66"/>
      <c r="AF2328" s="66"/>
      <c r="AG2328" s="66"/>
      <c r="AH2328" s="66"/>
      <c r="AI2328" s="66"/>
      <c r="AJ2328" s="66"/>
      <c r="AK2328" s="66"/>
      <c r="AL2328" s="66"/>
      <c r="AM2328" s="66"/>
      <c r="AN2328" s="66"/>
      <c r="AO2328" s="66"/>
      <c r="AP2328" s="66"/>
      <c r="AQ2328" s="66"/>
      <c r="AR2328" s="66"/>
      <c r="AS2328" s="66"/>
      <c r="AT2328" s="66"/>
      <c r="AU2328" s="66"/>
      <c r="AV2328" s="66"/>
      <c r="AW2328" s="66"/>
      <c r="AX2328" s="66"/>
      <c r="AY2328" s="66"/>
      <c r="AZ2328" s="66"/>
      <c r="BA2328" s="66"/>
      <c r="BB2328" s="66"/>
      <c r="BC2328" s="66"/>
      <c r="BD2328" s="66"/>
      <c r="BE2328" s="67"/>
      <c r="BF2328" s="67"/>
      <c r="BG2328" s="68"/>
      <c r="BI2328" s="69">
        <v>0</v>
      </c>
      <c r="BJ2328" s="70">
        <v>0</v>
      </c>
      <c r="BK2328" s="71">
        <v>0</v>
      </c>
      <c r="BL2328" s="71">
        <v>0</v>
      </c>
      <c r="BM2328" s="71">
        <v>0</v>
      </c>
      <c r="BN2328" s="72">
        <v>0</v>
      </c>
      <c r="BO2328" s="151" t="e">
        <f t="shared" si="154"/>
        <v>#DIV/0!</v>
      </c>
      <c r="BP2328" s="151" t="e">
        <f t="shared" si="155"/>
        <v>#DIV/0!</v>
      </c>
      <c r="BQ2328" s="71">
        <v>0</v>
      </c>
      <c r="BR2328" s="71">
        <v>0</v>
      </c>
      <c r="BS2328" s="71">
        <v>0</v>
      </c>
      <c r="BT2328" s="72">
        <v>0</v>
      </c>
      <c r="BU2328" s="151" t="e">
        <f t="shared" si="156"/>
        <v>#DIV/0!</v>
      </c>
      <c r="BV2328" s="151" t="e">
        <f t="shared" si="157"/>
        <v>#DIV/0!</v>
      </c>
    </row>
    <row r="2329" ht="30" customHeight="1" spans="1:74">
      <c r="A2329" s="55">
        <v>0</v>
      </c>
      <c r="B2329" s="56">
        <v>0</v>
      </c>
      <c r="C2329" s="57">
        <v>0</v>
      </c>
      <c r="D2329" s="78"/>
      <c r="E2329" s="74"/>
      <c r="F2329" s="59" t="e">
        <f>VLOOKUP(E2329,[1]库存!$B$1:$C$65536,2,FALSE)</f>
        <v>#N/A</v>
      </c>
      <c r="G2329" s="59" t="e">
        <v>#N/A</v>
      </c>
      <c r="H2329" s="74"/>
      <c r="I2329" s="74"/>
      <c r="J2329" s="87"/>
      <c r="K2329" s="61"/>
      <c r="L2329" s="62">
        <v>0</v>
      </c>
      <c r="M2329" s="63">
        <v>0</v>
      </c>
      <c r="N2329" s="64">
        <v>0</v>
      </c>
      <c r="O2329" s="62">
        <v>0</v>
      </c>
      <c r="P2329" s="65">
        <f t="shared" si="158"/>
        <v>0</v>
      </c>
      <c r="Q2329" s="66"/>
      <c r="R2329" s="66"/>
      <c r="S2329" s="66"/>
      <c r="T2329" s="66"/>
      <c r="U2329" s="66"/>
      <c r="V2329" s="66"/>
      <c r="W2329" s="66"/>
      <c r="X2329" s="66"/>
      <c r="Y2329" s="66"/>
      <c r="Z2329" s="66"/>
      <c r="AA2329" s="66"/>
      <c r="AB2329" s="66"/>
      <c r="AC2329" s="66"/>
      <c r="AD2329" s="66"/>
      <c r="AE2329" s="66"/>
      <c r="AF2329" s="66"/>
      <c r="AG2329" s="66"/>
      <c r="AH2329" s="66"/>
      <c r="AI2329" s="66"/>
      <c r="AJ2329" s="66"/>
      <c r="AK2329" s="66"/>
      <c r="AL2329" s="66"/>
      <c r="AM2329" s="66"/>
      <c r="AN2329" s="66"/>
      <c r="AO2329" s="66"/>
      <c r="AP2329" s="66"/>
      <c r="AQ2329" s="66"/>
      <c r="AR2329" s="66"/>
      <c r="AS2329" s="66"/>
      <c r="AT2329" s="66"/>
      <c r="AU2329" s="66"/>
      <c r="AV2329" s="66"/>
      <c r="AW2329" s="66"/>
      <c r="AX2329" s="66"/>
      <c r="AY2329" s="66"/>
      <c r="AZ2329" s="66"/>
      <c r="BA2329" s="66"/>
      <c r="BB2329" s="66"/>
      <c r="BC2329" s="66"/>
      <c r="BD2329" s="66"/>
      <c r="BE2329" s="67"/>
      <c r="BF2329" s="67"/>
      <c r="BG2329" s="68"/>
      <c r="BI2329" s="69">
        <v>0</v>
      </c>
      <c r="BJ2329" s="70">
        <v>0</v>
      </c>
      <c r="BK2329" s="71">
        <v>0</v>
      </c>
      <c r="BL2329" s="71">
        <v>0</v>
      </c>
      <c r="BM2329" s="71">
        <v>0</v>
      </c>
      <c r="BN2329" s="72">
        <v>0</v>
      </c>
      <c r="BO2329" s="151" t="e">
        <f t="shared" si="154"/>
        <v>#DIV/0!</v>
      </c>
      <c r="BP2329" s="151" t="e">
        <f t="shared" si="155"/>
        <v>#DIV/0!</v>
      </c>
      <c r="BQ2329" s="71">
        <v>0</v>
      </c>
      <c r="BR2329" s="71">
        <v>0</v>
      </c>
      <c r="BS2329" s="71">
        <v>0</v>
      </c>
      <c r="BT2329" s="72">
        <v>0</v>
      </c>
      <c r="BU2329" s="151" t="e">
        <f t="shared" si="156"/>
        <v>#DIV/0!</v>
      </c>
      <c r="BV2329" s="151" t="e">
        <f t="shared" si="157"/>
        <v>#DIV/0!</v>
      </c>
    </row>
    <row r="2330" ht="30" customHeight="1" spans="1:74">
      <c r="A2330" s="55">
        <v>0</v>
      </c>
      <c r="B2330" s="56" t="s">
        <v>1237</v>
      </c>
      <c r="C2330" s="57" t="s">
        <v>3341</v>
      </c>
      <c r="D2330" s="76" t="s">
        <v>3620</v>
      </c>
      <c r="E2330" s="59"/>
      <c r="F2330" s="59" t="e">
        <f>VLOOKUP(E2330,[1]库存!$B$1:$C$65536,2,FALSE)</f>
        <v>#N/A</v>
      </c>
      <c r="G2330" s="59" t="e">
        <v>#N/A</v>
      </c>
      <c r="H2330" s="59" t="s">
        <v>3634</v>
      </c>
      <c r="I2330" s="59" t="s">
        <v>3633</v>
      </c>
      <c r="J2330" s="63"/>
      <c r="K2330" s="61"/>
      <c r="L2330" s="62">
        <v>0</v>
      </c>
      <c r="M2330" s="63">
        <v>1400</v>
      </c>
      <c r="N2330" s="64">
        <v>13</v>
      </c>
      <c r="O2330" s="62">
        <v>0</v>
      </c>
      <c r="P2330" s="65">
        <f t="shared" si="158"/>
        <v>0</v>
      </c>
      <c r="Q2330" s="66"/>
      <c r="R2330" s="66"/>
      <c r="S2330" s="66"/>
      <c r="T2330" s="66"/>
      <c r="U2330" s="66"/>
      <c r="V2330" s="66"/>
      <c r="W2330" s="66"/>
      <c r="X2330" s="66"/>
      <c r="Y2330" s="66"/>
      <c r="Z2330" s="66"/>
      <c r="AA2330" s="66"/>
      <c r="AB2330" s="66"/>
      <c r="AC2330" s="66"/>
      <c r="AD2330" s="66"/>
      <c r="AE2330" s="66"/>
      <c r="AF2330" s="66"/>
      <c r="AG2330" s="66"/>
      <c r="AH2330" s="66"/>
      <c r="AI2330" s="66"/>
      <c r="AJ2330" s="66"/>
      <c r="AK2330" s="66"/>
      <c r="AL2330" s="66"/>
      <c r="AM2330" s="66"/>
      <c r="AN2330" s="66"/>
      <c r="AO2330" s="66"/>
      <c r="AP2330" s="66"/>
      <c r="AQ2330" s="66"/>
      <c r="AR2330" s="66"/>
      <c r="AS2330" s="66"/>
      <c r="AT2330" s="66"/>
      <c r="AU2330" s="66"/>
      <c r="AV2330" s="66"/>
      <c r="AW2330" s="66"/>
      <c r="AX2330" s="66"/>
      <c r="AY2330" s="66"/>
      <c r="AZ2330" s="66"/>
      <c r="BA2330" s="66"/>
      <c r="BB2330" s="66"/>
      <c r="BC2330" s="66"/>
      <c r="BD2330" s="66"/>
      <c r="BE2330" s="67"/>
      <c r="BF2330" s="67"/>
      <c r="BG2330" s="68"/>
      <c r="BI2330" s="69">
        <v>0</v>
      </c>
      <c r="BJ2330" s="70">
        <v>0</v>
      </c>
      <c r="BK2330" s="71">
        <v>0</v>
      </c>
      <c r="BL2330" s="71">
        <v>0</v>
      </c>
      <c r="BM2330" s="71">
        <v>0</v>
      </c>
      <c r="BN2330" s="72">
        <v>0</v>
      </c>
      <c r="BO2330" s="151" t="e">
        <f t="shared" si="154"/>
        <v>#DIV/0!</v>
      </c>
      <c r="BP2330" s="151" t="e">
        <f t="shared" si="155"/>
        <v>#DIV/0!</v>
      </c>
      <c r="BQ2330" s="71">
        <v>0</v>
      </c>
      <c r="BR2330" s="71">
        <v>0</v>
      </c>
      <c r="BS2330" s="71">
        <v>0</v>
      </c>
      <c r="BT2330" s="72">
        <v>0</v>
      </c>
      <c r="BU2330" s="151" t="e">
        <f t="shared" si="156"/>
        <v>#DIV/0!</v>
      </c>
      <c r="BV2330" s="151" t="e">
        <f t="shared" si="157"/>
        <v>#DIV/0!</v>
      </c>
    </row>
    <row r="2331" ht="30" customHeight="1" spans="1:74">
      <c r="A2331" s="55">
        <v>0</v>
      </c>
      <c r="B2331" s="56">
        <v>0</v>
      </c>
      <c r="C2331" s="57">
        <v>0</v>
      </c>
      <c r="D2331" s="78"/>
      <c r="E2331" s="74"/>
      <c r="F2331" s="59" t="e">
        <f>VLOOKUP(E2331,[1]库存!$B$1:$C$65536,2,FALSE)</f>
        <v>#N/A</v>
      </c>
      <c r="G2331" s="59" t="e">
        <v>#N/A</v>
      </c>
      <c r="H2331" s="74"/>
      <c r="I2331" s="74"/>
      <c r="J2331" s="87"/>
      <c r="K2331" s="61"/>
      <c r="L2331" s="62">
        <v>0</v>
      </c>
      <c r="M2331" s="63">
        <v>0</v>
      </c>
      <c r="N2331" s="64">
        <v>0</v>
      </c>
      <c r="O2331" s="62">
        <v>0</v>
      </c>
      <c r="P2331" s="65">
        <f t="shared" si="158"/>
        <v>0</v>
      </c>
      <c r="Q2331" s="66"/>
      <c r="R2331" s="66"/>
      <c r="S2331" s="66"/>
      <c r="T2331" s="66"/>
      <c r="U2331" s="66"/>
      <c r="V2331" s="66"/>
      <c r="W2331" s="66"/>
      <c r="X2331" s="66"/>
      <c r="Y2331" s="66"/>
      <c r="Z2331" s="66"/>
      <c r="AA2331" s="66"/>
      <c r="AB2331" s="66"/>
      <c r="AC2331" s="66"/>
      <c r="AD2331" s="66"/>
      <c r="AE2331" s="66"/>
      <c r="AF2331" s="66"/>
      <c r="AG2331" s="66"/>
      <c r="AH2331" s="66"/>
      <c r="AI2331" s="66"/>
      <c r="AJ2331" s="66"/>
      <c r="AK2331" s="66"/>
      <c r="AL2331" s="66"/>
      <c r="AM2331" s="66"/>
      <c r="AN2331" s="66"/>
      <c r="AO2331" s="66"/>
      <c r="AP2331" s="66"/>
      <c r="AQ2331" s="66"/>
      <c r="AR2331" s="66"/>
      <c r="AS2331" s="66"/>
      <c r="AT2331" s="66"/>
      <c r="AU2331" s="66"/>
      <c r="AV2331" s="66"/>
      <c r="AW2331" s="66"/>
      <c r="AX2331" s="66"/>
      <c r="AY2331" s="66"/>
      <c r="AZ2331" s="66"/>
      <c r="BA2331" s="66"/>
      <c r="BB2331" s="66"/>
      <c r="BC2331" s="66"/>
      <c r="BD2331" s="66"/>
      <c r="BE2331" s="67"/>
      <c r="BF2331" s="67"/>
      <c r="BG2331" s="68"/>
      <c r="BI2331" s="69">
        <v>0</v>
      </c>
      <c r="BJ2331" s="70">
        <v>0</v>
      </c>
      <c r="BK2331" s="71">
        <v>0</v>
      </c>
      <c r="BL2331" s="71">
        <v>0</v>
      </c>
      <c r="BM2331" s="71">
        <v>0</v>
      </c>
      <c r="BN2331" s="72">
        <v>0</v>
      </c>
      <c r="BO2331" s="151" t="e">
        <f t="shared" si="154"/>
        <v>#DIV/0!</v>
      </c>
      <c r="BP2331" s="151" t="e">
        <f t="shared" si="155"/>
        <v>#DIV/0!</v>
      </c>
      <c r="BQ2331" s="71">
        <v>0</v>
      </c>
      <c r="BR2331" s="71">
        <v>0</v>
      </c>
      <c r="BS2331" s="71">
        <v>0</v>
      </c>
      <c r="BT2331" s="72">
        <v>0</v>
      </c>
      <c r="BU2331" s="151" t="e">
        <f t="shared" si="156"/>
        <v>#DIV/0!</v>
      </c>
      <c r="BV2331" s="151" t="e">
        <f t="shared" si="157"/>
        <v>#DIV/0!</v>
      </c>
    </row>
    <row r="2332" ht="30" customHeight="1" spans="1:74">
      <c r="A2332" s="55">
        <v>0</v>
      </c>
      <c r="B2332" s="56" t="s">
        <v>1237</v>
      </c>
      <c r="C2332" s="57" t="s">
        <v>3341</v>
      </c>
      <c r="D2332" s="76" t="s">
        <v>3620</v>
      </c>
      <c r="E2332" s="59"/>
      <c r="F2332" s="59" t="e">
        <f>VLOOKUP(E2332,[1]库存!$B$1:$C$65536,2,FALSE)</f>
        <v>#N/A</v>
      </c>
      <c r="G2332" s="59" t="e">
        <v>#N/A</v>
      </c>
      <c r="H2332" s="59" t="s">
        <v>3636</v>
      </c>
      <c r="I2332" s="59" t="s">
        <v>3637</v>
      </c>
      <c r="J2332" s="63"/>
      <c r="K2332" s="61"/>
      <c r="L2332" s="62">
        <v>0</v>
      </c>
      <c r="M2332" s="63">
        <v>1400</v>
      </c>
      <c r="N2332" s="64">
        <v>13</v>
      </c>
      <c r="O2332" s="62">
        <v>0</v>
      </c>
      <c r="P2332" s="65">
        <f t="shared" si="158"/>
        <v>0</v>
      </c>
      <c r="Q2332" s="66"/>
      <c r="R2332" s="66"/>
      <c r="S2332" s="66"/>
      <c r="T2332" s="66"/>
      <c r="U2332" s="66"/>
      <c r="V2332" s="66"/>
      <c r="W2332" s="66"/>
      <c r="X2332" s="66"/>
      <c r="Y2332" s="66"/>
      <c r="Z2332" s="66"/>
      <c r="AA2332" s="66"/>
      <c r="AB2332" s="66"/>
      <c r="AC2332" s="66"/>
      <c r="AD2332" s="66"/>
      <c r="AE2332" s="66"/>
      <c r="AF2332" s="66"/>
      <c r="AG2332" s="66"/>
      <c r="AH2332" s="66"/>
      <c r="AI2332" s="66"/>
      <c r="AJ2332" s="66"/>
      <c r="AK2332" s="66"/>
      <c r="AL2332" s="66"/>
      <c r="AM2332" s="66"/>
      <c r="AN2332" s="66"/>
      <c r="AO2332" s="66"/>
      <c r="AP2332" s="66"/>
      <c r="AQ2332" s="66"/>
      <c r="AR2332" s="66"/>
      <c r="AS2332" s="66"/>
      <c r="AT2332" s="66"/>
      <c r="AU2332" s="66"/>
      <c r="AV2332" s="66"/>
      <c r="AW2332" s="66"/>
      <c r="AX2332" s="66"/>
      <c r="AY2332" s="66"/>
      <c r="AZ2332" s="66"/>
      <c r="BA2332" s="66"/>
      <c r="BB2332" s="66"/>
      <c r="BC2332" s="66"/>
      <c r="BD2332" s="66"/>
      <c r="BE2332" s="67"/>
      <c r="BF2332" s="67"/>
      <c r="BG2332" s="68"/>
      <c r="BI2332" s="69">
        <v>0</v>
      </c>
      <c r="BJ2332" s="70">
        <v>0</v>
      </c>
      <c r="BK2332" s="71">
        <v>0</v>
      </c>
      <c r="BL2332" s="71">
        <v>0</v>
      </c>
      <c r="BM2332" s="71">
        <v>0</v>
      </c>
      <c r="BN2332" s="72">
        <v>0</v>
      </c>
      <c r="BO2332" s="151" t="e">
        <f t="shared" si="154"/>
        <v>#DIV/0!</v>
      </c>
      <c r="BP2332" s="151" t="e">
        <f t="shared" si="155"/>
        <v>#DIV/0!</v>
      </c>
      <c r="BQ2332" s="71">
        <v>0</v>
      </c>
      <c r="BR2332" s="71">
        <v>0</v>
      </c>
      <c r="BS2332" s="71">
        <v>0</v>
      </c>
      <c r="BT2332" s="72">
        <v>0</v>
      </c>
      <c r="BU2332" s="151" t="e">
        <f t="shared" si="156"/>
        <v>#DIV/0!</v>
      </c>
      <c r="BV2332" s="151" t="e">
        <f t="shared" si="157"/>
        <v>#DIV/0!</v>
      </c>
    </row>
    <row r="2333" ht="30" customHeight="1" spans="1:74">
      <c r="A2333" s="55">
        <v>0</v>
      </c>
      <c r="B2333" s="56">
        <v>0</v>
      </c>
      <c r="C2333" s="57">
        <v>0</v>
      </c>
      <c r="D2333" s="78"/>
      <c r="E2333" s="74"/>
      <c r="F2333" s="59" t="e">
        <f>VLOOKUP(E2333,[1]库存!$B$1:$C$65536,2,FALSE)</f>
        <v>#N/A</v>
      </c>
      <c r="G2333" s="59" t="e">
        <v>#N/A</v>
      </c>
      <c r="H2333" s="74"/>
      <c r="I2333" s="74"/>
      <c r="J2333" s="87"/>
      <c r="K2333" s="61"/>
      <c r="L2333" s="62">
        <v>0</v>
      </c>
      <c r="M2333" s="63">
        <v>0</v>
      </c>
      <c r="N2333" s="64">
        <v>0</v>
      </c>
      <c r="O2333" s="62">
        <v>0</v>
      </c>
      <c r="P2333" s="65">
        <f t="shared" si="158"/>
        <v>0</v>
      </c>
      <c r="Q2333" s="66"/>
      <c r="R2333" s="66"/>
      <c r="S2333" s="66"/>
      <c r="T2333" s="66"/>
      <c r="U2333" s="66"/>
      <c r="V2333" s="66"/>
      <c r="W2333" s="66"/>
      <c r="X2333" s="66"/>
      <c r="Y2333" s="66"/>
      <c r="Z2333" s="66"/>
      <c r="AA2333" s="66"/>
      <c r="AB2333" s="66"/>
      <c r="AC2333" s="66"/>
      <c r="AD2333" s="66"/>
      <c r="AE2333" s="66"/>
      <c r="AF2333" s="66"/>
      <c r="AG2333" s="66"/>
      <c r="AH2333" s="66"/>
      <c r="AI2333" s="66"/>
      <c r="AJ2333" s="66"/>
      <c r="AK2333" s="66"/>
      <c r="AL2333" s="66"/>
      <c r="AM2333" s="66"/>
      <c r="AN2333" s="66"/>
      <c r="AO2333" s="66"/>
      <c r="AP2333" s="66"/>
      <c r="AQ2333" s="66"/>
      <c r="AR2333" s="66"/>
      <c r="AS2333" s="66"/>
      <c r="AT2333" s="66"/>
      <c r="AU2333" s="66"/>
      <c r="AV2333" s="66"/>
      <c r="AW2333" s="66"/>
      <c r="AX2333" s="66"/>
      <c r="AY2333" s="66"/>
      <c r="AZ2333" s="66"/>
      <c r="BA2333" s="66"/>
      <c r="BB2333" s="66"/>
      <c r="BC2333" s="66"/>
      <c r="BD2333" s="66"/>
      <c r="BE2333" s="67"/>
      <c r="BF2333" s="67"/>
      <c r="BG2333" s="68"/>
      <c r="BI2333" s="69">
        <v>0</v>
      </c>
      <c r="BJ2333" s="70">
        <v>0</v>
      </c>
      <c r="BK2333" s="71">
        <v>0</v>
      </c>
      <c r="BL2333" s="71">
        <v>0</v>
      </c>
      <c r="BM2333" s="71">
        <v>0</v>
      </c>
      <c r="BN2333" s="72">
        <v>0</v>
      </c>
      <c r="BO2333" s="151" t="e">
        <f t="shared" si="154"/>
        <v>#DIV/0!</v>
      </c>
      <c r="BP2333" s="151" t="e">
        <f t="shared" si="155"/>
        <v>#DIV/0!</v>
      </c>
      <c r="BQ2333" s="71">
        <v>0</v>
      </c>
      <c r="BR2333" s="71">
        <v>0</v>
      </c>
      <c r="BS2333" s="71">
        <v>0</v>
      </c>
      <c r="BT2333" s="72">
        <v>0</v>
      </c>
      <c r="BU2333" s="151" t="e">
        <f t="shared" si="156"/>
        <v>#DIV/0!</v>
      </c>
      <c r="BV2333" s="151" t="e">
        <f t="shared" si="157"/>
        <v>#DIV/0!</v>
      </c>
    </row>
    <row r="2334" ht="30" customHeight="1" spans="1:74">
      <c r="A2334" s="55">
        <v>0</v>
      </c>
      <c r="B2334" s="56" t="s">
        <v>1237</v>
      </c>
      <c r="C2334" s="57" t="s">
        <v>3341</v>
      </c>
      <c r="D2334" s="76" t="s">
        <v>3620</v>
      </c>
      <c r="E2334" s="59"/>
      <c r="F2334" s="59" t="e">
        <f>VLOOKUP(E2334,[1]库存!$B$1:$C$65536,2,FALSE)</f>
        <v>#N/A</v>
      </c>
      <c r="G2334" s="59" t="e">
        <v>#N/A</v>
      </c>
      <c r="H2334" s="59" t="s">
        <v>3636</v>
      </c>
      <c r="I2334" s="59" t="s">
        <v>3638</v>
      </c>
      <c r="J2334" s="63"/>
      <c r="K2334" s="61"/>
      <c r="L2334" s="62">
        <v>0</v>
      </c>
      <c r="M2334" s="63">
        <v>1400</v>
      </c>
      <c r="N2334" s="64">
        <v>13</v>
      </c>
      <c r="O2334" s="62">
        <v>0</v>
      </c>
      <c r="P2334" s="65">
        <f t="shared" si="158"/>
        <v>0</v>
      </c>
      <c r="Q2334" s="66"/>
      <c r="R2334" s="66"/>
      <c r="S2334" s="66"/>
      <c r="T2334" s="66"/>
      <c r="U2334" s="66"/>
      <c r="V2334" s="66"/>
      <c r="W2334" s="66"/>
      <c r="X2334" s="66"/>
      <c r="Y2334" s="66"/>
      <c r="Z2334" s="66"/>
      <c r="AA2334" s="66"/>
      <c r="AB2334" s="66"/>
      <c r="AC2334" s="66"/>
      <c r="AD2334" s="66"/>
      <c r="AE2334" s="66"/>
      <c r="AF2334" s="66"/>
      <c r="AG2334" s="66"/>
      <c r="AH2334" s="66"/>
      <c r="AI2334" s="66"/>
      <c r="AJ2334" s="66"/>
      <c r="AK2334" s="66"/>
      <c r="AL2334" s="66"/>
      <c r="AM2334" s="66"/>
      <c r="AN2334" s="66"/>
      <c r="AO2334" s="66"/>
      <c r="AP2334" s="66"/>
      <c r="AQ2334" s="66"/>
      <c r="AR2334" s="66"/>
      <c r="AS2334" s="66"/>
      <c r="AT2334" s="66"/>
      <c r="AU2334" s="66"/>
      <c r="AV2334" s="66"/>
      <c r="AW2334" s="66"/>
      <c r="AX2334" s="66"/>
      <c r="AY2334" s="66"/>
      <c r="AZ2334" s="66"/>
      <c r="BA2334" s="66"/>
      <c r="BB2334" s="66"/>
      <c r="BC2334" s="66"/>
      <c r="BD2334" s="66"/>
      <c r="BE2334" s="67"/>
      <c r="BF2334" s="67"/>
      <c r="BG2334" s="68"/>
      <c r="BI2334" s="69">
        <v>0</v>
      </c>
      <c r="BJ2334" s="70">
        <v>0</v>
      </c>
      <c r="BK2334" s="71">
        <v>0</v>
      </c>
      <c r="BL2334" s="71">
        <v>0</v>
      </c>
      <c r="BM2334" s="71">
        <v>0</v>
      </c>
      <c r="BN2334" s="72">
        <v>0</v>
      </c>
      <c r="BO2334" s="151" t="e">
        <f t="shared" si="154"/>
        <v>#DIV/0!</v>
      </c>
      <c r="BP2334" s="151" t="e">
        <f t="shared" si="155"/>
        <v>#DIV/0!</v>
      </c>
      <c r="BQ2334" s="71">
        <v>0</v>
      </c>
      <c r="BR2334" s="71">
        <v>0</v>
      </c>
      <c r="BS2334" s="71">
        <v>0</v>
      </c>
      <c r="BT2334" s="72">
        <v>0</v>
      </c>
      <c r="BU2334" s="151" t="e">
        <f t="shared" si="156"/>
        <v>#DIV/0!</v>
      </c>
      <c r="BV2334" s="151" t="e">
        <f t="shared" si="157"/>
        <v>#DIV/0!</v>
      </c>
    </row>
    <row r="2335" ht="30" customHeight="1" spans="1:74">
      <c r="A2335" s="55">
        <v>0</v>
      </c>
      <c r="B2335" s="56">
        <v>0</v>
      </c>
      <c r="C2335" s="57">
        <v>0</v>
      </c>
      <c r="D2335" s="78"/>
      <c r="E2335" s="74"/>
      <c r="F2335" s="59" t="e">
        <f>VLOOKUP(E2335,[1]库存!$B$1:$C$65536,2,FALSE)</f>
        <v>#N/A</v>
      </c>
      <c r="G2335" s="59" t="e">
        <v>#N/A</v>
      </c>
      <c r="H2335" s="74"/>
      <c r="I2335" s="74"/>
      <c r="J2335" s="87"/>
      <c r="K2335" s="61"/>
      <c r="L2335" s="62">
        <v>0</v>
      </c>
      <c r="M2335" s="63">
        <v>0</v>
      </c>
      <c r="N2335" s="64">
        <v>0</v>
      </c>
      <c r="O2335" s="62">
        <v>0</v>
      </c>
      <c r="P2335" s="65">
        <f t="shared" si="158"/>
        <v>0</v>
      </c>
      <c r="Q2335" s="66"/>
      <c r="R2335" s="66"/>
      <c r="S2335" s="66"/>
      <c r="T2335" s="66"/>
      <c r="U2335" s="66"/>
      <c r="V2335" s="66"/>
      <c r="W2335" s="66"/>
      <c r="X2335" s="66"/>
      <c r="Y2335" s="66"/>
      <c r="Z2335" s="66"/>
      <c r="AA2335" s="66"/>
      <c r="AB2335" s="66"/>
      <c r="AC2335" s="66"/>
      <c r="AD2335" s="66"/>
      <c r="AE2335" s="66"/>
      <c r="AF2335" s="66"/>
      <c r="AG2335" s="66"/>
      <c r="AH2335" s="66"/>
      <c r="AI2335" s="66"/>
      <c r="AJ2335" s="66"/>
      <c r="AK2335" s="66"/>
      <c r="AL2335" s="66"/>
      <c r="AM2335" s="66"/>
      <c r="AN2335" s="66"/>
      <c r="AO2335" s="66"/>
      <c r="AP2335" s="66"/>
      <c r="AQ2335" s="66"/>
      <c r="AR2335" s="66"/>
      <c r="AS2335" s="66"/>
      <c r="AT2335" s="66"/>
      <c r="AU2335" s="66"/>
      <c r="AV2335" s="66"/>
      <c r="AW2335" s="66"/>
      <c r="AX2335" s="66"/>
      <c r="AY2335" s="66"/>
      <c r="AZ2335" s="66"/>
      <c r="BA2335" s="66"/>
      <c r="BB2335" s="66"/>
      <c r="BC2335" s="66"/>
      <c r="BD2335" s="66"/>
      <c r="BE2335" s="67"/>
      <c r="BF2335" s="67"/>
      <c r="BG2335" s="68"/>
      <c r="BI2335" s="69">
        <v>0</v>
      </c>
      <c r="BJ2335" s="70">
        <v>0</v>
      </c>
      <c r="BK2335" s="71">
        <v>0</v>
      </c>
      <c r="BL2335" s="71">
        <v>0</v>
      </c>
      <c r="BM2335" s="71">
        <v>0</v>
      </c>
      <c r="BN2335" s="72">
        <v>0</v>
      </c>
      <c r="BO2335" s="151" t="e">
        <f t="shared" si="154"/>
        <v>#DIV/0!</v>
      </c>
      <c r="BP2335" s="151" t="e">
        <f t="shared" si="155"/>
        <v>#DIV/0!</v>
      </c>
      <c r="BQ2335" s="71">
        <v>0</v>
      </c>
      <c r="BR2335" s="71">
        <v>0</v>
      </c>
      <c r="BS2335" s="71">
        <v>0</v>
      </c>
      <c r="BT2335" s="72">
        <v>0</v>
      </c>
      <c r="BU2335" s="151" t="e">
        <f t="shared" si="156"/>
        <v>#DIV/0!</v>
      </c>
      <c r="BV2335" s="151" t="e">
        <f t="shared" si="157"/>
        <v>#DIV/0!</v>
      </c>
    </row>
    <row r="2336" ht="30" customHeight="1" spans="1:74">
      <c r="A2336" s="55">
        <v>0</v>
      </c>
      <c r="B2336" s="56">
        <v>0</v>
      </c>
      <c r="C2336" s="57">
        <v>0</v>
      </c>
      <c r="E2336" s="88"/>
      <c r="F2336" s="59" t="e">
        <f>VLOOKUP(E2336,[1]库存!$B$1:$C$65536,2,FALSE)</f>
        <v>#N/A</v>
      </c>
      <c r="G2336" s="59" t="e">
        <v>#N/A</v>
      </c>
      <c r="H2336" s="89"/>
      <c r="I2336" s="88"/>
      <c r="J2336" s="90"/>
      <c r="K2336" s="61"/>
      <c r="L2336" s="62">
        <v>0</v>
      </c>
      <c r="M2336" s="63">
        <v>0</v>
      </c>
      <c r="N2336" s="64">
        <v>0</v>
      </c>
      <c r="O2336" s="62">
        <v>0</v>
      </c>
      <c r="P2336" s="65">
        <f t="shared" si="158"/>
        <v>0</v>
      </c>
      <c r="Q2336" s="66"/>
      <c r="R2336" s="66"/>
      <c r="S2336" s="66"/>
      <c r="T2336" s="66"/>
      <c r="U2336" s="66"/>
      <c r="V2336" s="66"/>
      <c r="W2336" s="66"/>
      <c r="X2336" s="66"/>
      <c r="Y2336" s="66"/>
      <c r="Z2336" s="66"/>
      <c r="AA2336" s="66"/>
      <c r="AB2336" s="66"/>
      <c r="AC2336" s="66"/>
      <c r="AD2336" s="66"/>
      <c r="AE2336" s="66"/>
      <c r="AF2336" s="66"/>
      <c r="AG2336" s="66"/>
      <c r="AH2336" s="66"/>
      <c r="AI2336" s="66"/>
      <c r="AJ2336" s="66"/>
      <c r="AK2336" s="66"/>
      <c r="AL2336" s="66"/>
      <c r="AM2336" s="66"/>
      <c r="AN2336" s="66"/>
      <c r="AO2336" s="66"/>
      <c r="AP2336" s="66"/>
      <c r="AQ2336" s="66"/>
      <c r="AR2336" s="66"/>
      <c r="AS2336" s="66"/>
      <c r="AT2336" s="66"/>
      <c r="AU2336" s="66"/>
      <c r="AV2336" s="66"/>
      <c r="AW2336" s="66"/>
      <c r="AX2336" s="66"/>
      <c r="AY2336" s="66"/>
      <c r="AZ2336" s="66"/>
      <c r="BA2336" s="66"/>
      <c r="BB2336" s="66"/>
      <c r="BC2336" s="66"/>
      <c r="BD2336" s="66"/>
      <c r="BE2336" s="67"/>
      <c r="BF2336" s="67"/>
      <c r="BG2336" s="68"/>
      <c r="BI2336" s="69">
        <v>0</v>
      </c>
      <c r="BJ2336" s="70">
        <v>0</v>
      </c>
      <c r="BK2336" s="71">
        <v>0</v>
      </c>
      <c r="BL2336" s="71">
        <v>0</v>
      </c>
      <c r="BM2336" s="71">
        <v>0</v>
      </c>
      <c r="BN2336" s="72">
        <v>0</v>
      </c>
      <c r="BO2336" s="151" t="e">
        <f t="shared" si="154"/>
        <v>#DIV/0!</v>
      </c>
      <c r="BP2336" s="151" t="e">
        <f t="shared" si="155"/>
        <v>#DIV/0!</v>
      </c>
      <c r="BQ2336" s="71">
        <v>0</v>
      </c>
      <c r="BR2336" s="71">
        <v>0</v>
      </c>
      <c r="BS2336" s="71">
        <v>0</v>
      </c>
      <c r="BT2336" s="72">
        <v>0</v>
      </c>
      <c r="BU2336" s="151" t="e">
        <f t="shared" si="156"/>
        <v>#DIV/0!</v>
      </c>
      <c r="BV2336" s="151" t="e">
        <f t="shared" si="157"/>
        <v>#DIV/0!</v>
      </c>
    </row>
    <row r="2337" ht="30" customHeight="1" spans="1:74">
      <c r="A2337" s="55" t="s">
        <v>41</v>
      </c>
      <c r="B2337" s="56" t="s">
        <v>1237</v>
      </c>
      <c r="C2337" s="57" t="s">
        <v>3341</v>
      </c>
      <c r="D2337" s="57" t="s">
        <v>3639</v>
      </c>
      <c r="E2337" s="91" t="s">
        <v>3640</v>
      </c>
      <c r="F2337" s="91" t="str">
        <f>VLOOKUP(E2337,[1]库存!$B$1:$C$65536,2,FALSE)</f>
        <v>GEELY FX11 SAB LH</v>
      </c>
      <c r="G2337" s="91" t="s">
        <v>3641</v>
      </c>
      <c r="H2337" s="91" t="s">
        <v>3642</v>
      </c>
      <c r="I2337" s="278" t="s">
        <v>3643</v>
      </c>
      <c r="J2337" s="279"/>
      <c r="K2337" s="263"/>
      <c r="L2337" s="62">
        <v>2</v>
      </c>
      <c r="M2337" s="63">
        <v>1100</v>
      </c>
      <c r="N2337" s="64">
        <v>13</v>
      </c>
      <c r="O2337" s="62">
        <v>2</v>
      </c>
      <c r="P2337" s="65">
        <f t="shared" si="158"/>
        <v>0</v>
      </c>
      <c r="Q2337" s="103">
        <v>0</v>
      </c>
      <c r="R2337" s="66"/>
      <c r="S2337" s="103"/>
      <c r="T2337" s="66"/>
      <c r="U2337" s="103">
        <v>1800</v>
      </c>
      <c r="V2337" s="66"/>
      <c r="W2337" s="103"/>
      <c r="X2337" s="66"/>
      <c r="Y2337" s="103"/>
      <c r="Z2337" s="66"/>
      <c r="AA2337" s="103">
        <v>1700</v>
      </c>
      <c r="AB2337" s="66"/>
      <c r="AC2337" s="103">
        <v>1500</v>
      </c>
      <c r="AD2337" s="66"/>
      <c r="AE2337" s="103"/>
      <c r="AF2337" s="66"/>
      <c r="AG2337" s="103"/>
      <c r="AH2337" s="66"/>
      <c r="AI2337" s="103"/>
      <c r="AJ2337" s="66"/>
      <c r="AK2337" s="103"/>
      <c r="AL2337" s="66"/>
      <c r="AM2337" s="103"/>
      <c r="AN2337" s="66"/>
      <c r="AO2337" s="103"/>
      <c r="AP2337" s="66"/>
      <c r="AQ2337" s="103"/>
      <c r="AR2337" s="66"/>
      <c r="AS2337" s="103"/>
      <c r="AT2337" s="66"/>
      <c r="AU2337" s="103"/>
      <c r="AV2337" s="66"/>
      <c r="AW2337" s="103"/>
      <c r="AX2337" s="66"/>
      <c r="AY2337" s="103"/>
      <c r="AZ2337" s="66"/>
      <c r="BA2337" s="103"/>
      <c r="BB2337" s="66"/>
      <c r="BC2337" s="103"/>
      <c r="BD2337" s="66"/>
      <c r="BE2337" s="105"/>
      <c r="BF2337" s="67"/>
      <c r="BG2337" s="68"/>
      <c r="BI2337" s="69">
        <v>0</v>
      </c>
      <c r="BJ2337" s="70">
        <v>0</v>
      </c>
      <c r="BK2337" s="71">
        <v>0</v>
      </c>
      <c r="BL2337" s="71">
        <v>0</v>
      </c>
      <c r="BM2337" s="71">
        <v>0</v>
      </c>
      <c r="BN2337" s="72">
        <v>0</v>
      </c>
      <c r="BO2337" s="151" t="e">
        <f t="shared" si="154"/>
        <v>#DIV/0!</v>
      </c>
      <c r="BP2337" s="151" t="e">
        <f t="shared" si="155"/>
        <v>#DIV/0!</v>
      </c>
      <c r="BQ2337" s="71">
        <v>0</v>
      </c>
      <c r="BR2337" s="71">
        <v>0</v>
      </c>
      <c r="BS2337" s="71">
        <v>0</v>
      </c>
      <c r="BT2337" s="72">
        <v>0</v>
      </c>
      <c r="BU2337" s="151" t="e">
        <f t="shared" si="156"/>
        <v>#DIV/0!</v>
      </c>
      <c r="BV2337" s="151" t="e">
        <f t="shared" si="157"/>
        <v>#DIV/0!</v>
      </c>
    </row>
    <row r="2338" ht="30" customHeight="1" spans="1:74">
      <c r="A2338" s="55">
        <v>0</v>
      </c>
      <c r="B2338" s="56">
        <v>0</v>
      </c>
      <c r="C2338" s="57">
        <v>0</v>
      </c>
      <c r="D2338" s="174"/>
      <c r="E2338" s="92"/>
      <c r="F2338" s="91" t="e">
        <f>VLOOKUP(E2338,[1]库存!$B$1:$C$65536,2,FALSE)</f>
        <v>#N/A</v>
      </c>
      <c r="G2338" s="91" t="e">
        <v>#N/A</v>
      </c>
      <c r="H2338" s="92"/>
      <c r="I2338" s="224"/>
      <c r="J2338" s="279"/>
      <c r="K2338" s="263"/>
      <c r="L2338" s="62">
        <v>0</v>
      </c>
      <c r="M2338" s="63">
        <v>0</v>
      </c>
      <c r="N2338" s="64">
        <v>0</v>
      </c>
      <c r="O2338" s="62">
        <v>0</v>
      </c>
      <c r="P2338" s="65">
        <f t="shared" si="158"/>
        <v>0</v>
      </c>
      <c r="Q2338" s="66"/>
      <c r="R2338" s="66"/>
      <c r="S2338" s="66"/>
      <c r="T2338" s="66"/>
      <c r="U2338" s="66">
        <v>1805</v>
      </c>
      <c r="V2338" s="66"/>
      <c r="W2338" s="66"/>
      <c r="X2338" s="66"/>
      <c r="Y2338" s="66"/>
      <c r="Z2338" s="66"/>
      <c r="AA2338" s="66">
        <v>1614</v>
      </c>
      <c r="AB2338" s="66"/>
      <c r="AC2338" s="66" t="s">
        <v>3644</v>
      </c>
      <c r="AD2338" s="66"/>
      <c r="AE2338" s="66"/>
      <c r="AF2338" s="66"/>
      <c r="AG2338" s="66"/>
      <c r="AH2338" s="66"/>
      <c r="AI2338" s="66"/>
      <c r="AJ2338" s="66"/>
      <c r="AK2338" s="66"/>
      <c r="AL2338" s="66"/>
      <c r="AM2338" s="66"/>
      <c r="AN2338" s="66"/>
      <c r="AO2338" s="66"/>
      <c r="AP2338" s="66"/>
      <c r="AQ2338" s="66"/>
      <c r="AR2338" s="66"/>
      <c r="AS2338" s="66"/>
      <c r="AT2338" s="66"/>
      <c r="AU2338" s="66"/>
      <c r="AV2338" s="66"/>
      <c r="AW2338" s="66"/>
      <c r="AX2338" s="66"/>
      <c r="AY2338" s="66"/>
      <c r="AZ2338" s="66"/>
      <c r="BA2338" s="66"/>
      <c r="BB2338" s="66"/>
      <c r="BC2338" s="66"/>
      <c r="BD2338" s="66"/>
      <c r="BE2338" s="67"/>
      <c r="BF2338" s="67"/>
      <c r="BG2338" s="68"/>
      <c r="BI2338" s="69">
        <v>0</v>
      </c>
      <c r="BJ2338" s="70">
        <v>0</v>
      </c>
      <c r="BK2338" s="71">
        <v>0</v>
      </c>
      <c r="BL2338" s="71">
        <v>0</v>
      </c>
      <c r="BM2338" s="71">
        <v>0</v>
      </c>
      <c r="BN2338" s="72">
        <v>0</v>
      </c>
      <c r="BO2338" s="151" t="e">
        <f t="shared" si="154"/>
        <v>#DIV/0!</v>
      </c>
      <c r="BP2338" s="151" t="e">
        <f t="shared" si="155"/>
        <v>#DIV/0!</v>
      </c>
      <c r="BQ2338" s="71">
        <v>0</v>
      </c>
      <c r="BR2338" s="71">
        <v>0</v>
      </c>
      <c r="BS2338" s="71">
        <v>0</v>
      </c>
      <c r="BT2338" s="72">
        <v>0</v>
      </c>
      <c r="BU2338" s="151" t="e">
        <f t="shared" si="156"/>
        <v>#DIV/0!</v>
      </c>
      <c r="BV2338" s="151" t="e">
        <f t="shared" si="157"/>
        <v>#DIV/0!</v>
      </c>
    </row>
    <row r="2339" ht="30" customHeight="1" spans="1:74">
      <c r="A2339" s="55" t="s">
        <v>41</v>
      </c>
      <c r="B2339" s="56" t="s">
        <v>1237</v>
      </c>
      <c r="C2339" s="57" t="s">
        <v>3341</v>
      </c>
      <c r="D2339" s="57" t="s">
        <v>3639</v>
      </c>
      <c r="E2339" s="91" t="s">
        <v>3645</v>
      </c>
      <c r="F2339" s="91" t="str">
        <f>VLOOKUP(E2339,[1]库存!$B$1:$C$65536,2,FALSE)</f>
        <v>GEELY FX11 SAB RH</v>
      </c>
      <c r="G2339" s="91" t="s">
        <v>3646</v>
      </c>
      <c r="H2339" s="91" t="s">
        <v>3647</v>
      </c>
      <c r="I2339" s="278" t="s">
        <v>3643</v>
      </c>
      <c r="J2339" s="279"/>
      <c r="K2339" s="263"/>
      <c r="L2339" s="62">
        <v>2</v>
      </c>
      <c r="M2339" s="63">
        <v>1100</v>
      </c>
      <c r="N2339" s="64">
        <v>13</v>
      </c>
      <c r="O2339" s="62">
        <v>2</v>
      </c>
      <c r="P2339" s="65">
        <f t="shared" si="158"/>
        <v>0</v>
      </c>
      <c r="Q2339" s="103">
        <v>0</v>
      </c>
      <c r="R2339" s="66"/>
      <c r="S2339" s="103">
        <v>1800</v>
      </c>
      <c r="T2339" s="66"/>
      <c r="U2339" s="103"/>
      <c r="V2339" s="66"/>
      <c r="W2339" s="103"/>
      <c r="X2339" s="66"/>
      <c r="Y2339" s="103"/>
      <c r="Z2339" s="66"/>
      <c r="AA2339" s="103"/>
      <c r="AB2339" s="66"/>
      <c r="AC2339" s="103"/>
      <c r="AD2339" s="66"/>
      <c r="AE2339" s="103"/>
      <c r="AF2339" s="66"/>
      <c r="AG2339" s="103"/>
      <c r="AH2339" s="66"/>
      <c r="AI2339" s="103"/>
      <c r="AJ2339" s="66"/>
      <c r="AK2339" s="103"/>
      <c r="AL2339" s="66"/>
      <c r="AM2339" s="103"/>
      <c r="AN2339" s="66"/>
      <c r="AO2339" s="103"/>
      <c r="AP2339" s="66"/>
      <c r="AQ2339" s="103"/>
      <c r="AR2339" s="66"/>
      <c r="AS2339" s="103"/>
      <c r="AT2339" s="66"/>
      <c r="AU2339" s="103"/>
      <c r="AV2339" s="66"/>
      <c r="AW2339" s="103"/>
      <c r="AX2339" s="66"/>
      <c r="AY2339" s="103"/>
      <c r="AZ2339" s="66"/>
      <c r="BA2339" s="103"/>
      <c r="BB2339" s="66"/>
      <c r="BC2339" s="103"/>
      <c r="BD2339" s="66"/>
      <c r="BE2339" s="105"/>
      <c r="BF2339" s="67"/>
      <c r="BG2339" s="68"/>
      <c r="BI2339" s="69">
        <v>0</v>
      </c>
      <c r="BJ2339" s="70">
        <v>0</v>
      </c>
      <c r="BK2339" s="71">
        <v>0</v>
      </c>
      <c r="BL2339" s="71">
        <v>0</v>
      </c>
      <c r="BM2339" s="71">
        <v>0</v>
      </c>
      <c r="BN2339" s="72">
        <v>0</v>
      </c>
      <c r="BO2339" s="151" t="e">
        <f t="shared" si="154"/>
        <v>#DIV/0!</v>
      </c>
      <c r="BP2339" s="151" t="e">
        <f t="shared" si="155"/>
        <v>#DIV/0!</v>
      </c>
      <c r="BQ2339" s="71">
        <v>0</v>
      </c>
      <c r="BR2339" s="71">
        <v>0</v>
      </c>
      <c r="BS2339" s="71">
        <v>0</v>
      </c>
      <c r="BT2339" s="72">
        <v>0</v>
      </c>
      <c r="BU2339" s="151" t="e">
        <f t="shared" si="156"/>
        <v>#DIV/0!</v>
      </c>
      <c r="BV2339" s="151" t="e">
        <f t="shared" si="157"/>
        <v>#DIV/0!</v>
      </c>
    </row>
    <row r="2340" ht="30" customHeight="1" spans="1:74">
      <c r="A2340" s="55">
        <v>0</v>
      </c>
      <c r="B2340" s="56">
        <v>0</v>
      </c>
      <c r="C2340" s="57">
        <v>0</v>
      </c>
      <c r="D2340" s="174"/>
      <c r="E2340" s="92"/>
      <c r="F2340" s="91" t="e">
        <f>VLOOKUP(E2340,[1]库存!$B$1:$C$65536,2,FALSE)</f>
        <v>#N/A</v>
      </c>
      <c r="G2340" s="91" t="e">
        <v>#N/A</v>
      </c>
      <c r="H2340" s="92"/>
      <c r="I2340" s="224"/>
      <c r="J2340" s="279"/>
      <c r="K2340" s="263"/>
      <c r="L2340" s="62">
        <v>0</v>
      </c>
      <c r="M2340" s="63">
        <v>0</v>
      </c>
      <c r="N2340" s="64">
        <v>0</v>
      </c>
      <c r="O2340" s="62">
        <v>0</v>
      </c>
      <c r="P2340" s="65">
        <f t="shared" si="158"/>
        <v>0</v>
      </c>
      <c r="Q2340" s="66"/>
      <c r="R2340" s="66"/>
      <c r="S2340" s="66">
        <v>1825</v>
      </c>
      <c r="T2340" s="66"/>
      <c r="U2340" s="66"/>
      <c r="V2340" s="66"/>
      <c r="W2340" s="66"/>
      <c r="X2340" s="66"/>
      <c r="Y2340" s="66"/>
      <c r="Z2340" s="66"/>
      <c r="AA2340" s="66"/>
      <c r="AB2340" s="66"/>
      <c r="AC2340" s="66"/>
      <c r="AD2340" s="66"/>
      <c r="AE2340" s="66"/>
      <c r="AF2340" s="66"/>
      <c r="AG2340" s="66"/>
      <c r="AH2340" s="66"/>
      <c r="AI2340" s="66"/>
      <c r="AJ2340" s="66"/>
      <c r="AK2340" s="66"/>
      <c r="AL2340" s="66"/>
      <c r="AM2340" s="66"/>
      <c r="AN2340" s="66"/>
      <c r="AO2340" s="66"/>
      <c r="AP2340" s="66"/>
      <c r="AQ2340" s="66"/>
      <c r="AR2340" s="66"/>
      <c r="AS2340" s="66"/>
      <c r="AT2340" s="66"/>
      <c r="AU2340" s="66"/>
      <c r="AV2340" s="66"/>
      <c r="AW2340" s="66"/>
      <c r="AX2340" s="66"/>
      <c r="AY2340" s="66"/>
      <c r="AZ2340" s="66"/>
      <c r="BA2340" s="66"/>
      <c r="BB2340" s="66"/>
      <c r="BC2340" s="66"/>
      <c r="BD2340" s="66"/>
      <c r="BE2340" s="67"/>
      <c r="BF2340" s="67"/>
      <c r="BG2340" s="68"/>
      <c r="BI2340" s="69">
        <v>0</v>
      </c>
      <c r="BJ2340" s="70">
        <v>0</v>
      </c>
      <c r="BK2340" s="71">
        <v>0</v>
      </c>
      <c r="BL2340" s="71">
        <v>0</v>
      </c>
      <c r="BM2340" s="71">
        <v>0</v>
      </c>
      <c r="BN2340" s="72">
        <v>0</v>
      </c>
      <c r="BO2340" s="151" t="e">
        <f t="shared" si="154"/>
        <v>#DIV/0!</v>
      </c>
      <c r="BP2340" s="151" t="e">
        <f t="shared" si="155"/>
        <v>#DIV/0!</v>
      </c>
      <c r="BQ2340" s="71">
        <v>0</v>
      </c>
      <c r="BR2340" s="71">
        <v>0</v>
      </c>
      <c r="BS2340" s="71">
        <v>0</v>
      </c>
      <c r="BT2340" s="72">
        <v>0</v>
      </c>
      <c r="BU2340" s="151" t="e">
        <f t="shared" si="156"/>
        <v>#DIV/0!</v>
      </c>
      <c r="BV2340" s="151" t="e">
        <f t="shared" si="157"/>
        <v>#DIV/0!</v>
      </c>
    </row>
    <row r="2341" ht="38.1" customHeight="1" spans="1:74">
      <c r="A2341" s="55" t="s">
        <v>96</v>
      </c>
      <c r="B2341" s="56" t="s">
        <v>1237</v>
      </c>
      <c r="C2341" s="57" t="s">
        <v>3341</v>
      </c>
      <c r="D2341" s="76" t="s">
        <v>3639</v>
      </c>
      <c r="E2341" s="59" t="s">
        <v>3648</v>
      </c>
      <c r="F2341" s="59" t="str">
        <f>VLOOKUP(E2341,[1]库存!$B$1:$C$65536,2,FALSE)</f>
        <v>INEOS Grenadier ECE SAB LH</v>
      </c>
      <c r="G2341" s="59" t="s">
        <v>3649</v>
      </c>
      <c r="H2341" s="59" t="s">
        <v>3650</v>
      </c>
      <c r="I2341" s="280" t="s">
        <v>3651</v>
      </c>
      <c r="J2341" s="279"/>
      <c r="K2341" s="263"/>
      <c r="L2341" s="62">
        <v>2</v>
      </c>
      <c r="M2341" s="63">
        <v>1100</v>
      </c>
      <c r="N2341" s="64">
        <v>13</v>
      </c>
      <c r="O2341" s="62">
        <v>2</v>
      </c>
      <c r="P2341" s="65">
        <f t="shared" si="158"/>
        <v>0</v>
      </c>
      <c r="Q2341" s="66"/>
      <c r="R2341" s="66"/>
      <c r="S2341" s="66"/>
      <c r="T2341" s="66"/>
      <c r="U2341" s="66"/>
      <c r="V2341" s="66"/>
      <c r="W2341" s="66"/>
      <c r="X2341" s="66"/>
      <c r="Y2341" s="66"/>
      <c r="Z2341" s="66"/>
      <c r="AA2341" s="66"/>
      <c r="AB2341" s="66"/>
      <c r="AC2341" s="66"/>
      <c r="AD2341" s="66"/>
      <c r="AE2341" s="66"/>
      <c r="AF2341" s="66"/>
      <c r="AG2341" s="66"/>
      <c r="AH2341" s="66"/>
      <c r="AI2341" s="66"/>
      <c r="AJ2341" s="66"/>
      <c r="AK2341" s="66"/>
      <c r="AL2341" s="66"/>
      <c r="AM2341" s="66"/>
      <c r="AN2341" s="66"/>
      <c r="AO2341" s="66"/>
      <c r="AP2341" s="66"/>
      <c r="AQ2341" s="66"/>
      <c r="AR2341" s="66"/>
      <c r="AS2341" s="66"/>
      <c r="AT2341" s="66"/>
      <c r="AU2341" s="66"/>
      <c r="AV2341" s="66"/>
      <c r="AW2341" s="66"/>
      <c r="AX2341" s="66"/>
      <c r="AY2341" s="66"/>
      <c r="AZ2341" s="66"/>
      <c r="BA2341" s="66"/>
      <c r="BB2341" s="66"/>
      <c r="BC2341" s="66"/>
      <c r="BD2341" s="66"/>
      <c r="BE2341" s="67"/>
      <c r="BF2341" s="67"/>
      <c r="BG2341" s="68"/>
      <c r="BI2341" s="69">
        <v>0</v>
      </c>
      <c r="BJ2341" s="70">
        <v>0</v>
      </c>
      <c r="BK2341" s="71">
        <v>0</v>
      </c>
      <c r="BL2341" s="71">
        <v>0</v>
      </c>
      <c r="BM2341" s="71">
        <v>0</v>
      </c>
      <c r="BN2341" s="72">
        <v>0</v>
      </c>
      <c r="BO2341" s="151" t="e">
        <f t="shared" si="154"/>
        <v>#DIV/0!</v>
      </c>
      <c r="BP2341" s="151" t="e">
        <f t="shared" si="155"/>
        <v>#DIV/0!</v>
      </c>
      <c r="BQ2341" s="71">
        <v>0</v>
      </c>
      <c r="BR2341" s="71">
        <v>0</v>
      </c>
      <c r="BS2341" s="71">
        <v>0</v>
      </c>
      <c r="BT2341" s="72">
        <v>0</v>
      </c>
      <c r="BU2341" s="151" t="e">
        <f t="shared" si="156"/>
        <v>#DIV/0!</v>
      </c>
      <c r="BV2341" s="151" t="e">
        <f t="shared" si="157"/>
        <v>#DIV/0!</v>
      </c>
    </row>
    <row r="2342" ht="30" customHeight="1" spans="1:74">
      <c r="A2342" s="55">
        <v>0</v>
      </c>
      <c r="B2342" s="56">
        <v>0</v>
      </c>
      <c r="C2342" s="57">
        <v>0</v>
      </c>
      <c r="D2342" s="78"/>
      <c r="E2342" s="74"/>
      <c r="F2342" s="59" t="e">
        <f>VLOOKUP(E2342,[1]库存!$B$1:$C$65536,2,FALSE)</f>
        <v>#N/A</v>
      </c>
      <c r="G2342" s="59" t="e">
        <v>#N/A</v>
      </c>
      <c r="H2342" s="74"/>
      <c r="I2342" s="226"/>
      <c r="J2342" s="279"/>
      <c r="K2342" s="263"/>
      <c r="L2342" s="62">
        <v>0</v>
      </c>
      <c r="M2342" s="63">
        <v>0</v>
      </c>
      <c r="N2342" s="64">
        <v>0</v>
      </c>
      <c r="O2342" s="62">
        <v>0</v>
      </c>
      <c r="P2342" s="65">
        <f t="shared" si="158"/>
        <v>0</v>
      </c>
      <c r="Q2342" s="66"/>
      <c r="R2342" s="66"/>
      <c r="S2342" s="66"/>
      <c r="T2342" s="66"/>
      <c r="U2342" s="66"/>
      <c r="V2342" s="66"/>
      <c r="W2342" s="66"/>
      <c r="X2342" s="66"/>
      <c r="Y2342" s="66"/>
      <c r="Z2342" s="66"/>
      <c r="AA2342" s="66"/>
      <c r="AB2342" s="66"/>
      <c r="AC2342" s="66"/>
      <c r="AD2342" s="66"/>
      <c r="AE2342" s="66"/>
      <c r="AF2342" s="66"/>
      <c r="AG2342" s="66"/>
      <c r="AH2342" s="66"/>
      <c r="AI2342" s="66"/>
      <c r="AJ2342" s="66"/>
      <c r="AK2342" s="66"/>
      <c r="AL2342" s="66"/>
      <c r="AM2342" s="66"/>
      <c r="AN2342" s="66"/>
      <c r="AO2342" s="66"/>
      <c r="AP2342" s="66"/>
      <c r="AQ2342" s="66"/>
      <c r="AR2342" s="66"/>
      <c r="AS2342" s="66"/>
      <c r="AT2342" s="66"/>
      <c r="AU2342" s="66"/>
      <c r="AV2342" s="66"/>
      <c r="AW2342" s="66"/>
      <c r="AX2342" s="66"/>
      <c r="AY2342" s="66"/>
      <c r="AZ2342" s="66"/>
      <c r="BA2342" s="66"/>
      <c r="BB2342" s="66"/>
      <c r="BC2342" s="66"/>
      <c r="BD2342" s="66"/>
      <c r="BE2342" s="67"/>
      <c r="BF2342" s="67"/>
      <c r="BG2342" s="68"/>
      <c r="BI2342" s="69">
        <v>0</v>
      </c>
      <c r="BJ2342" s="70">
        <v>0</v>
      </c>
      <c r="BK2342" s="71">
        <v>0</v>
      </c>
      <c r="BL2342" s="71">
        <v>0</v>
      </c>
      <c r="BM2342" s="71">
        <v>0</v>
      </c>
      <c r="BN2342" s="72">
        <v>0</v>
      </c>
      <c r="BO2342" s="151" t="e">
        <f t="shared" si="154"/>
        <v>#DIV/0!</v>
      </c>
      <c r="BP2342" s="151" t="e">
        <f t="shared" si="155"/>
        <v>#DIV/0!</v>
      </c>
      <c r="BQ2342" s="71">
        <v>0</v>
      </c>
      <c r="BR2342" s="71">
        <v>0</v>
      </c>
      <c r="BS2342" s="71">
        <v>0</v>
      </c>
      <c r="BT2342" s="72">
        <v>0</v>
      </c>
      <c r="BU2342" s="151" t="e">
        <f t="shared" si="156"/>
        <v>#DIV/0!</v>
      </c>
      <c r="BV2342" s="151" t="e">
        <f t="shared" si="157"/>
        <v>#DIV/0!</v>
      </c>
    </row>
    <row r="2343" ht="36.95" customHeight="1" spans="1:74">
      <c r="A2343" s="55" t="s">
        <v>96</v>
      </c>
      <c r="B2343" s="56" t="s">
        <v>1237</v>
      </c>
      <c r="C2343" s="57" t="s">
        <v>3341</v>
      </c>
      <c r="D2343" s="76" t="s">
        <v>3639</v>
      </c>
      <c r="E2343" s="59" t="s">
        <v>3652</v>
      </c>
      <c r="F2343" s="59" t="str">
        <f>VLOOKUP(E2343,[1]库存!$B$1:$C$65536,2,FALSE)</f>
        <v>INEOS Grenadier ECE SAB RH</v>
      </c>
      <c r="G2343" s="59" t="s">
        <v>3653</v>
      </c>
      <c r="H2343" s="59" t="s">
        <v>3654</v>
      </c>
      <c r="I2343" s="280" t="s">
        <v>3651</v>
      </c>
      <c r="J2343" s="279"/>
      <c r="K2343" s="263"/>
      <c r="L2343" s="62">
        <v>2</v>
      </c>
      <c r="M2343" s="63">
        <v>1100</v>
      </c>
      <c r="N2343" s="64">
        <v>13</v>
      </c>
      <c r="O2343" s="62">
        <v>2</v>
      </c>
      <c r="P2343" s="65">
        <f t="shared" si="158"/>
        <v>0</v>
      </c>
      <c r="Q2343" s="66"/>
      <c r="R2343" s="66"/>
      <c r="S2343" s="66"/>
      <c r="T2343" s="66"/>
      <c r="U2343" s="66"/>
      <c r="V2343" s="66"/>
      <c r="W2343" s="66"/>
      <c r="X2343" s="66"/>
      <c r="Y2343" s="66"/>
      <c r="Z2343" s="66"/>
      <c r="AA2343" s="66"/>
      <c r="AB2343" s="66"/>
      <c r="AC2343" s="66"/>
      <c r="AD2343" s="66"/>
      <c r="AE2343" s="66"/>
      <c r="AF2343" s="66"/>
      <c r="AG2343" s="66"/>
      <c r="AH2343" s="66"/>
      <c r="AI2343" s="66"/>
      <c r="AJ2343" s="66"/>
      <c r="AK2343" s="66"/>
      <c r="AL2343" s="66"/>
      <c r="AM2343" s="66"/>
      <c r="AN2343" s="66"/>
      <c r="AO2343" s="66"/>
      <c r="AP2343" s="66"/>
      <c r="AQ2343" s="66"/>
      <c r="AR2343" s="66"/>
      <c r="AS2343" s="66"/>
      <c r="AT2343" s="66"/>
      <c r="AU2343" s="66"/>
      <c r="AV2343" s="66"/>
      <c r="AW2343" s="66"/>
      <c r="AX2343" s="66"/>
      <c r="AY2343" s="66"/>
      <c r="AZ2343" s="66"/>
      <c r="BA2343" s="66"/>
      <c r="BB2343" s="66"/>
      <c r="BC2343" s="66"/>
      <c r="BD2343" s="66"/>
      <c r="BE2343" s="67"/>
      <c r="BF2343" s="67"/>
      <c r="BG2343" s="68"/>
      <c r="BI2343" s="69">
        <v>0</v>
      </c>
      <c r="BJ2343" s="70">
        <v>0</v>
      </c>
      <c r="BK2343" s="71">
        <v>0</v>
      </c>
      <c r="BL2343" s="71">
        <v>0</v>
      </c>
      <c r="BM2343" s="71">
        <v>0</v>
      </c>
      <c r="BN2343" s="72">
        <v>0</v>
      </c>
      <c r="BO2343" s="151" t="e">
        <f t="shared" si="154"/>
        <v>#DIV/0!</v>
      </c>
      <c r="BP2343" s="151" t="e">
        <f t="shared" si="155"/>
        <v>#DIV/0!</v>
      </c>
      <c r="BQ2343" s="71">
        <v>0</v>
      </c>
      <c r="BR2343" s="71">
        <v>0</v>
      </c>
      <c r="BS2343" s="71">
        <v>0</v>
      </c>
      <c r="BT2343" s="72">
        <v>0</v>
      </c>
      <c r="BU2343" s="151" t="e">
        <f t="shared" si="156"/>
        <v>#DIV/0!</v>
      </c>
      <c r="BV2343" s="151" t="e">
        <f t="shared" si="157"/>
        <v>#DIV/0!</v>
      </c>
    </row>
    <row r="2344" ht="30" customHeight="1" spans="1:74">
      <c r="A2344" s="55">
        <v>0</v>
      </c>
      <c r="B2344" s="56">
        <v>0</v>
      </c>
      <c r="C2344" s="57">
        <v>0</v>
      </c>
      <c r="D2344" s="78"/>
      <c r="E2344" s="74"/>
      <c r="F2344" s="59" t="e">
        <f>VLOOKUP(E2344,[1]库存!$B$1:$C$65536,2,FALSE)</f>
        <v>#N/A</v>
      </c>
      <c r="G2344" s="59" t="e">
        <v>#N/A</v>
      </c>
      <c r="H2344" s="74"/>
      <c r="I2344" s="226"/>
      <c r="J2344" s="279"/>
      <c r="K2344" s="263"/>
      <c r="L2344" s="62">
        <v>0</v>
      </c>
      <c r="M2344" s="63">
        <v>0</v>
      </c>
      <c r="N2344" s="64">
        <v>0</v>
      </c>
      <c r="O2344" s="62">
        <v>0</v>
      </c>
      <c r="P2344" s="65">
        <f t="shared" si="158"/>
        <v>0</v>
      </c>
      <c r="Q2344" s="66"/>
      <c r="R2344" s="66"/>
      <c r="S2344" s="66"/>
      <c r="T2344" s="66"/>
      <c r="U2344" s="66"/>
      <c r="V2344" s="66"/>
      <c r="W2344" s="66"/>
      <c r="X2344" s="66"/>
      <c r="Y2344" s="66"/>
      <c r="Z2344" s="66"/>
      <c r="AA2344" s="66"/>
      <c r="AB2344" s="66"/>
      <c r="AC2344" s="66"/>
      <c r="AD2344" s="66"/>
      <c r="AE2344" s="66"/>
      <c r="AF2344" s="66"/>
      <c r="AG2344" s="66"/>
      <c r="AH2344" s="66"/>
      <c r="AI2344" s="66"/>
      <c r="AJ2344" s="66"/>
      <c r="AK2344" s="66"/>
      <c r="AL2344" s="66"/>
      <c r="AM2344" s="66"/>
      <c r="AN2344" s="66"/>
      <c r="AO2344" s="66"/>
      <c r="AP2344" s="66"/>
      <c r="AQ2344" s="66"/>
      <c r="AR2344" s="66"/>
      <c r="AS2344" s="66"/>
      <c r="AT2344" s="66"/>
      <c r="AU2344" s="66"/>
      <c r="AV2344" s="66"/>
      <c r="AW2344" s="66"/>
      <c r="AX2344" s="66"/>
      <c r="AY2344" s="66"/>
      <c r="AZ2344" s="66"/>
      <c r="BA2344" s="66"/>
      <c r="BB2344" s="66"/>
      <c r="BC2344" s="66"/>
      <c r="BD2344" s="66"/>
      <c r="BE2344" s="67"/>
      <c r="BF2344" s="67"/>
      <c r="BG2344" s="68"/>
      <c r="BI2344" s="69">
        <v>0</v>
      </c>
      <c r="BJ2344" s="70">
        <v>0</v>
      </c>
      <c r="BK2344" s="71">
        <v>0</v>
      </c>
      <c r="BL2344" s="71">
        <v>0</v>
      </c>
      <c r="BM2344" s="71">
        <v>0</v>
      </c>
      <c r="BN2344" s="72">
        <v>0</v>
      </c>
      <c r="BO2344" s="151" t="e">
        <f t="shared" si="154"/>
        <v>#DIV/0!</v>
      </c>
      <c r="BP2344" s="151" t="e">
        <f t="shared" si="155"/>
        <v>#DIV/0!</v>
      </c>
      <c r="BQ2344" s="71">
        <v>0</v>
      </c>
      <c r="BR2344" s="71">
        <v>0</v>
      </c>
      <c r="BS2344" s="71">
        <v>0</v>
      </c>
      <c r="BT2344" s="72">
        <v>0</v>
      </c>
      <c r="BU2344" s="151" t="e">
        <f t="shared" si="156"/>
        <v>#DIV/0!</v>
      </c>
      <c r="BV2344" s="151" t="e">
        <f t="shared" si="157"/>
        <v>#DIV/0!</v>
      </c>
    </row>
    <row r="2345" ht="38.1" customHeight="1" spans="1:74">
      <c r="A2345" s="55" t="s">
        <v>96</v>
      </c>
      <c r="B2345" s="56" t="s">
        <v>1237</v>
      </c>
      <c r="C2345" s="57" t="s">
        <v>3341</v>
      </c>
      <c r="D2345" s="76" t="s">
        <v>3639</v>
      </c>
      <c r="E2345" s="59" t="s">
        <v>3655</v>
      </c>
      <c r="F2345" s="59" t="str">
        <f>VLOOKUP(E2345,[1]库存!$B$1:$C$65536,2,FALSE)</f>
        <v>INEOS Grenadier US SAB LH A状态</v>
      </c>
      <c r="G2345" s="59" t="s">
        <v>3656</v>
      </c>
      <c r="H2345" s="59" t="s">
        <v>3657</v>
      </c>
      <c r="I2345" s="280" t="s">
        <v>3651</v>
      </c>
      <c r="J2345" s="97" t="s">
        <v>65</v>
      </c>
      <c r="K2345" s="263"/>
      <c r="L2345" s="62">
        <v>2</v>
      </c>
      <c r="M2345" s="63">
        <v>1200</v>
      </c>
      <c r="N2345" s="64">
        <v>13</v>
      </c>
      <c r="O2345" s="62">
        <v>2</v>
      </c>
      <c r="P2345" s="65">
        <f t="shared" si="158"/>
        <v>0</v>
      </c>
      <c r="Q2345" s="66"/>
      <c r="R2345" s="66"/>
      <c r="S2345" s="66"/>
      <c r="T2345" s="66"/>
      <c r="U2345" s="66"/>
      <c r="V2345" s="66"/>
      <c r="W2345" s="66"/>
      <c r="X2345" s="66"/>
      <c r="Y2345" s="66"/>
      <c r="Z2345" s="66"/>
      <c r="AA2345" s="66"/>
      <c r="AB2345" s="66"/>
      <c r="AC2345" s="66"/>
      <c r="AD2345" s="66"/>
      <c r="AE2345" s="66"/>
      <c r="AF2345" s="66"/>
      <c r="AG2345" s="66"/>
      <c r="AH2345" s="66"/>
      <c r="AI2345" s="66"/>
      <c r="AJ2345" s="66"/>
      <c r="AK2345" s="66"/>
      <c r="AL2345" s="66"/>
      <c r="AM2345" s="66"/>
      <c r="AN2345" s="66"/>
      <c r="AO2345" s="66"/>
      <c r="AP2345" s="66"/>
      <c r="AQ2345" s="66"/>
      <c r="AR2345" s="66"/>
      <c r="AS2345" s="66"/>
      <c r="AT2345" s="66"/>
      <c r="AU2345" s="66"/>
      <c r="AV2345" s="66"/>
      <c r="AW2345" s="66"/>
      <c r="AX2345" s="66"/>
      <c r="AY2345" s="66"/>
      <c r="AZ2345" s="66"/>
      <c r="BA2345" s="66"/>
      <c r="BB2345" s="66"/>
      <c r="BC2345" s="66"/>
      <c r="BD2345" s="66"/>
      <c r="BE2345" s="67"/>
      <c r="BF2345" s="67"/>
      <c r="BG2345" s="68"/>
      <c r="BI2345" s="69">
        <v>0</v>
      </c>
      <c r="BJ2345" s="70">
        <v>0</v>
      </c>
      <c r="BK2345" s="71">
        <v>0</v>
      </c>
      <c r="BL2345" s="71">
        <v>0</v>
      </c>
      <c r="BM2345" s="71">
        <v>0</v>
      </c>
      <c r="BN2345" s="72">
        <v>0</v>
      </c>
      <c r="BO2345" s="151" t="e">
        <f t="shared" si="154"/>
        <v>#DIV/0!</v>
      </c>
      <c r="BP2345" s="151" t="e">
        <f t="shared" si="155"/>
        <v>#DIV/0!</v>
      </c>
      <c r="BQ2345" s="71">
        <v>0</v>
      </c>
      <c r="BR2345" s="71">
        <v>0</v>
      </c>
      <c r="BS2345" s="71">
        <v>0</v>
      </c>
      <c r="BT2345" s="72">
        <v>0</v>
      </c>
      <c r="BU2345" s="151" t="e">
        <f t="shared" si="156"/>
        <v>#DIV/0!</v>
      </c>
      <c r="BV2345" s="151" t="e">
        <f t="shared" si="157"/>
        <v>#DIV/0!</v>
      </c>
    </row>
    <row r="2346" ht="30" customHeight="1" spans="1:74">
      <c r="A2346" s="55">
        <v>0</v>
      </c>
      <c r="B2346" s="56">
        <v>0</v>
      </c>
      <c r="C2346" s="57">
        <v>0</v>
      </c>
      <c r="D2346" s="78"/>
      <c r="E2346" s="74"/>
      <c r="F2346" s="59" t="e">
        <f>VLOOKUP(E2346,[1]库存!$B$1:$C$65536,2,FALSE)</f>
        <v>#N/A</v>
      </c>
      <c r="G2346" s="59" t="e">
        <v>#N/A</v>
      </c>
      <c r="H2346" s="74"/>
      <c r="I2346" s="226"/>
      <c r="J2346" s="98"/>
      <c r="K2346" s="263"/>
      <c r="L2346" s="62">
        <v>0</v>
      </c>
      <c r="M2346" s="63">
        <v>0</v>
      </c>
      <c r="N2346" s="64">
        <v>0</v>
      </c>
      <c r="O2346" s="62">
        <v>0</v>
      </c>
      <c r="P2346" s="65">
        <f t="shared" si="158"/>
        <v>0</v>
      </c>
      <c r="Q2346" s="66"/>
      <c r="R2346" s="66"/>
      <c r="S2346" s="66"/>
      <c r="T2346" s="66"/>
      <c r="U2346" s="66"/>
      <c r="V2346" s="66"/>
      <c r="W2346" s="66"/>
      <c r="X2346" s="66"/>
      <c r="Y2346" s="66"/>
      <c r="Z2346" s="66"/>
      <c r="AA2346" s="66"/>
      <c r="AB2346" s="66"/>
      <c r="AC2346" s="66"/>
      <c r="AD2346" s="66"/>
      <c r="AE2346" s="66"/>
      <c r="AF2346" s="66"/>
      <c r="AG2346" s="66"/>
      <c r="AH2346" s="66"/>
      <c r="AI2346" s="66"/>
      <c r="AJ2346" s="66"/>
      <c r="AK2346" s="66"/>
      <c r="AL2346" s="66"/>
      <c r="AM2346" s="66"/>
      <c r="AN2346" s="66"/>
      <c r="AO2346" s="66"/>
      <c r="AP2346" s="66"/>
      <c r="AQ2346" s="66"/>
      <c r="AR2346" s="66"/>
      <c r="AS2346" s="66"/>
      <c r="AT2346" s="66"/>
      <c r="AU2346" s="66"/>
      <c r="AV2346" s="66"/>
      <c r="AW2346" s="66"/>
      <c r="AX2346" s="66"/>
      <c r="AY2346" s="66"/>
      <c r="AZ2346" s="66"/>
      <c r="BA2346" s="66"/>
      <c r="BB2346" s="66"/>
      <c r="BC2346" s="66"/>
      <c r="BD2346" s="66"/>
      <c r="BE2346" s="67"/>
      <c r="BF2346" s="67"/>
      <c r="BG2346" s="68"/>
      <c r="BI2346" s="69">
        <v>0</v>
      </c>
      <c r="BJ2346" s="70">
        <v>0</v>
      </c>
      <c r="BK2346" s="71">
        <v>0</v>
      </c>
      <c r="BL2346" s="71">
        <v>0</v>
      </c>
      <c r="BM2346" s="71">
        <v>0</v>
      </c>
      <c r="BN2346" s="72">
        <v>0</v>
      </c>
      <c r="BO2346" s="151" t="e">
        <f t="shared" si="154"/>
        <v>#DIV/0!</v>
      </c>
      <c r="BP2346" s="151" t="e">
        <f t="shared" si="155"/>
        <v>#DIV/0!</v>
      </c>
      <c r="BQ2346" s="71">
        <v>0</v>
      </c>
      <c r="BR2346" s="71">
        <v>0</v>
      </c>
      <c r="BS2346" s="71">
        <v>0</v>
      </c>
      <c r="BT2346" s="72">
        <v>0</v>
      </c>
      <c r="BU2346" s="151" t="e">
        <f t="shared" si="156"/>
        <v>#DIV/0!</v>
      </c>
      <c r="BV2346" s="151" t="e">
        <f t="shared" si="157"/>
        <v>#DIV/0!</v>
      </c>
    </row>
    <row r="2347" ht="39" customHeight="1" spans="1:74">
      <c r="A2347" s="55" t="s">
        <v>96</v>
      </c>
      <c r="B2347" s="56" t="s">
        <v>1237</v>
      </c>
      <c r="C2347" s="57" t="s">
        <v>3341</v>
      </c>
      <c r="D2347" s="76" t="s">
        <v>3639</v>
      </c>
      <c r="E2347" s="59" t="s">
        <v>3658</v>
      </c>
      <c r="F2347" s="59" t="str">
        <f>VLOOKUP(E2347,[1]库存!$B$1:$C$65536,2,FALSE)</f>
        <v>INEOS Grenadier US SAB RH A状态</v>
      </c>
      <c r="G2347" s="59" t="s">
        <v>3659</v>
      </c>
      <c r="H2347" s="59" t="s">
        <v>3660</v>
      </c>
      <c r="I2347" s="280" t="s">
        <v>3651</v>
      </c>
      <c r="J2347" s="97" t="s">
        <v>65</v>
      </c>
      <c r="K2347" s="263"/>
      <c r="L2347" s="62">
        <v>2</v>
      </c>
      <c r="M2347" s="63">
        <v>1200</v>
      </c>
      <c r="N2347" s="64">
        <v>13</v>
      </c>
      <c r="O2347" s="62">
        <v>2</v>
      </c>
      <c r="P2347" s="65">
        <f t="shared" si="158"/>
        <v>0</v>
      </c>
      <c r="Q2347" s="66"/>
      <c r="R2347" s="66"/>
      <c r="S2347" s="66"/>
      <c r="T2347" s="66"/>
      <c r="U2347" s="66"/>
      <c r="V2347" s="66"/>
      <c r="W2347" s="66"/>
      <c r="X2347" s="66"/>
      <c r="Y2347" s="66"/>
      <c r="Z2347" s="66"/>
      <c r="AA2347" s="66"/>
      <c r="AB2347" s="66"/>
      <c r="AC2347" s="66"/>
      <c r="AD2347" s="66"/>
      <c r="AE2347" s="66"/>
      <c r="AF2347" s="66"/>
      <c r="AG2347" s="66"/>
      <c r="AH2347" s="66"/>
      <c r="AI2347" s="66"/>
      <c r="AJ2347" s="66"/>
      <c r="AK2347" s="66"/>
      <c r="AL2347" s="66"/>
      <c r="AM2347" s="66"/>
      <c r="AN2347" s="66"/>
      <c r="AO2347" s="66"/>
      <c r="AP2347" s="66"/>
      <c r="AQ2347" s="66"/>
      <c r="AR2347" s="66"/>
      <c r="AS2347" s="66"/>
      <c r="AT2347" s="66"/>
      <c r="AU2347" s="66"/>
      <c r="AV2347" s="66"/>
      <c r="AW2347" s="66"/>
      <c r="AX2347" s="66"/>
      <c r="AY2347" s="66"/>
      <c r="AZ2347" s="66"/>
      <c r="BA2347" s="66"/>
      <c r="BB2347" s="66"/>
      <c r="BC2347" s="66"/>
      <c r="BD2347" s="66"/>
      <c r="BE2347" s="67"/>
      <c r="BF2347" s="67"/>
      <c r="BG2347" s="68"/>
      <c r="BI2347" s="69">
        <v>0</v>
      </c>
      <c r="BJ2347" s="70">
        <v>0</v>
      </c>
      <c r="BK2347" s="71">
        <v>0</v>
      </c>
      <c r="BL2347" s="71">
        <v>0</v>
      </c>
      <c r="BM2347" s="71">
        <v>0</v>
      </c>
      <c r="BN2347" s="72">
        <v>0</v>
      </c>
      <c r="BO2347" s="151" t="e">
        <f t="shared" si="154"/>
        <v>#DIV/0!</v>
      </c>
      <c r="BP2347" s="151" t="e">
        <f t="shared" si="155"/>
        <v>#DIV/0!</v>
      </c>
      <c r="BQ2347" s="71">
        <v>0</v>
      </c>
      <c r="BR2347" s="71">
        <v>0</v>
      </c>
      <c r="BS2347" s="71">
        <v>0</v>
      </c>
      <c r="BT2347" s="72">
        <v>0</v>
      </c>
      <c r="BU2347" s="151" t="e">
        <f t="shared" si="156"/>
        <v>#DIV/0!</v>
      </c>
      <c r="BV2347" s="151" t="e">
        <f t="shared" si="157"/>
        <v>#DIV/0!</v>
      </c>
    </row>
    <row r="2348" ht="30" customHeight="1" spans="1:74">
      <c r="A2348" s="55">
        <v>0</v>
      </c>
      <c r="B2348" s="56">
        <v>0</v>
      </c>
      <c r="C2348" s="57">
        <v>0</v>
      </c>
      <c r="D2348" s="78"/>
      <c r="E2348" s="74"/>
      <c r="F2348" s="59" t="e">
        <f>VLOOKUP(E2348,[1]库存!$B$1:$C$65536,2,FALSE)</f>
        <v>#N/A</v>
      </c>
      <c r="G2348" s="59" t="e">
        <v>#N/A</v>
      </c>
      <c r="H2348" s="74"/>
      <c r="I2348" s="226"/>
      <c r="J2348" s="98"/>
      <c r="K2348" s="263"/>
      <c r="L2348" s="62">
        <v>0</v>
      </c>
      <c r="M2348" s="63">
        <v>0</v>
      </c>
      <c r="N2348" s="64">
        <v>0</v>
      </c>
      <c r="O2348" s="62">
        <v>0</v>
      </c>
      <c r="P2348" s="65">
        <f t="shared" si="158"/>
        <v>0</v>
      </c>
      <c r="Q2348" s="66"/>
      <c r="R2348" s="66"/>
      <c r="S2348" s="66"/>
      <c r="T2348" s="66"/>
      <c r="U2348" s="66"/>
      <c r="V2348" s="66"/>
      <c r="W2348" s="66"/>
      <c r="X2348" s="66"/>
      <c r="Y2348" s="66"/>
      <c r="Z2348" s="66"/>
      <c r="AA2348" s="66"/>
      <c r="AB2348" s="66"/>
      <c r="AC2348" s="66"/>
      <c r="AD2348" s="66"/>
      <c r="AE2348" s="66"/>
      <c r="AF2348" s="66"/>
      <c r="AG2348" s="66"/>
      <c r="AH2348" s="66"/>
      <c r="AI2348" s="66"/>
      <c r="AJ2348" s="66"/>
      <c r="AK2348" s="66"/>
      <c r="AL2348" s="66"/>
      <c r="AM2348" s="66"/>
      <c r="AN2348" s="66"/>
      <c r="AO2348" s="66"/>
      <c r="AP2348" s="66"/>
      <c r="AQ2348" s="66"/>
      <c r="AR2348" s="66"/>
      <c r="AS2348" s="66"/>
      <c r="AT2348" s="66"/>
      <c r="AU2348" s="66"/>
      <c r="AV2348" s="66"/>
      <c r="AW2348" s="66"/>
      <c r="AX2348" s="66"/>
      <c r="AY2348" s="66"/>
      <c r="AZ2348" s="66"/>
      <c r="BA2348" s="66"/>
      <c r="BB2348" s="66"/>
      <c r="BC2348" s="66"/>
      <c r="BD2348" s="66"/>
      <c r="BE2348" s="67"/>
      <c r="BF2348" s="67"/>
      <c r="BG2348" s="68"/>
      <c r="BI2348" s="69">
        <v>0</v>
      </c>
      <c r="BJ2348" s="70">
        <v>0</v>
      </c>
      <c r="BK2348" s="71">
        <v>0</v>
      </c>
      <c r="BL2348" s="71">
        <v>0</v>
      </c>
      <c r="BM2348" s="71">
        <v>0</v>
      </c>
      <c r="BN2348" s="72">
        <v>0</v>
      </c>
      <c r="BO2348" s="151" t="e">
        <f t="shared" si="154"/>
        <v>#DIV/0!</v>
      </c>
      <c r="BP2348" s="151" t="e">
        <f t="shared" si="155"/>
        <v>#DIV/0!</v>
      </c>
      <c r="BQ2348" s="71">
        <v>0</v>
      </c>
      <c r="BR2348" s="71">
        <v>0</v>
      </c>
      <c r="BS2348" s="71">
        <v>0</v>
      </c>
      <c r="BT2348" s="72">
        <v>0</v>
      </c>
      <c r="BU2348" s="151" t="e">
        <f t="shared" si="156"/>
        <v>#DIV/0!</v>
      </c>
      <c r="BV2348" s="151" t="e">
        <f t="shared" si="157"/>
        <v>#DIV/0!</v>
      </c>
    </row>
    <row r="2349" ht="30" customHeight="1" spans="1:74">
      <c r="A2349" s="55" t="s">
        <v>96</v>
      </c>
      <c r="B2349" s="56" t="s">
        <v>1237</v>
      </c>
      <c r="C2349" s="57" t="s">
        <v>3341</v>
      </c>
      <c r="D2349" s="76" t="s">
        <v>3639</v>
      </c>
      <c r="E2349" s="59" t="s">
        <v>3661</v>
      </c>
      <c r="F2349" s="59" t="str">
        <f>VLOOKUP(E2349,[1]库存!$B$1:$C$65536,2,FALSE)</f>
        <v>SMCV MIFA SAB LH</v>
      </c>
      <c r="G2349" s="59" t="s">
        <v>3662</v>
      </c>
      <c r="H2349" s="59" t="s">
        <v>3663</v>
      </c>
      <c r="I2349" s="280" t="s">
        <v>3664</v>
      </c>
      <c r="J2349" s="279"/>
      <c r="K2349" s="263"/>
      <c r="L2349" s="62">
        <v>2</v>
      </c>
      <c r="M2349" s="63">
        <v>1100</v>
      </c>
      <c r="N2349" s="64">
        <v>13</v>
      </c>
      <c r="O2349" s="62">
        <v>2</v>
      </c>
      <c r="P2349" s="65">
        <f t="shared" si="158"/>
        <v>0</v>
      </c>
      <c r="Q2349" s="66"/>
      <c r="R2349" s="66"/>
      <c r="S2349" s="66"/>
      <c r="T2349" s="66"/>
      <c r="U2349" s="66"/>
      <c r="V2349" s="66"/>
      <c r="W2349" s="66"/>
      <c r="X2349" s="66"/>
      <c r="Y2349" s="66"/>
      <c r="Z2349" s="66"/>
      <c r="AA2349" s="66"/>
      <c r="AB2349" s="66"/>
      <c r="AC2349" s="66"/>
      <c r="AD2349" s="66"/>
      <c r="AE2349" s="66"/>
      <c r="AF2349" s="66"/>
      <c r="AG2349" s="66"/>
      <c r="AH2349" s="66"/>
      <c r="AI2349" s="66"/>
      <c r="AJ2349" s="66"/>
      <c r="AK2349" s="66"/>
      <c r="AL2349" s="66"/>
      <c r="AM2349" s="66"/>
      <c r="AN2349" s="66"/>
      <c r="AO2349" s="66"/>
      <c r="AP2349" s="66"/>
      <c r="AQ2349" s="66"/>
      <c r="AR2349" s="66"/>
      <c r="AS2349" s="66"/>
      <c r="AT2349" s="66"/>
      <c r="AU2349" s="66"/>
      <c r="AV2349" s="66"/>
      <c r="AW2349" s="66"/>
      <c r="AX2349" s="66"/>
      <c r="AY2349" s="66"/>
      <c r="AZ2349" s="66"/>
      <c r="BA2349" s="66"/>
      <c r="BB2349" s="66"/>
      <c r="BC2349" s="66"/>
      <c r="BD2349" s="66"/>
      <c r="BE2349" s="67"/>
      <c r="BF2349" s="67"/>
      <c r="BG2349" s="68"/>
      <c r="BI2349" s="69">
        <v>0</v>
      </c>
      <c r="BJ2349" s="70">
        <v>0</v>
      </c>
      <c r="BK2349" s="71">
        <v>0</v>
      </c>
      <c r="BL2349" s="71">
        <v>0</v>
      </c>
      <c r="BM2349" s="71">
        <v>0</v>
      </c>
      <c r="BN2349" s="72">
        <v>0</v>
      </c>
      <c r="BO2349" s="151" t="e">
        <f t="shared" si="154"/>
        <v>#DIV/0!</v>
      </c>
      <c r="BP2349" s="151" t="e">
        <f t="shared" si="155"/>
        <v>#DIV/0!</v>
      </c>
      <c r="BQ2349" s="71">
        <v>0</v>
      </c>
      <c r="BR2349" s="71">
        <v>0</v>
      </c>
      <c r="BS2349" s="71">
        <v>0</v>
      </c>
      <c r="BT2349" s="72">
        <v>0</v>
      </c>
      <c r="BU2349" s="151" t="e">
        <f t="shared" si="156"/>
        <v>#DIV/0!</v>
      </c>
      <c r="BV2349" s="151" t="e">
        <f t="shared" si="157"/>
        <v>#DIV/0!</v>
      </c>
    </row>
    <row r="2350" ht="30" customHeight="1" spans="1:74">
      <c r="A2350" s="55">
        <v>0</v>
      </c>
      <c r="B2350" s="56">
        <v>0</v>
      </c>
      <c r="C2350" s="57">
        <v>0</v>
      </c>
      <c r="D2350" s="78"/>
      <c r="E2350" s="74"/>
      <c r="F2350" s="59" t="e">
        <f>VLOOKUP(E2350,[1]库存!$B$1:$C$65536,2,FALSE)</f>
        <v>#N/A</v>
      </c>
      <c r="G2350" s="59" t="e">
        <v>#N/A</v>
      </c>
      <c r="H2350" s="74"/>
      <c r="I2350" s="226"/>
      <c r="J2350" s="279"/>
      <c r="K2350" s="263"/>
      <c r="L2350" s="62">
        <v>0</v>
      </c>
      <c r="M2350" s="63">
        <v>0</v>
      </c>
      <c r="N2350" s="64">
        <v>0</v>
      </c>
      <c r="O2350" s="62">
        <v>0</v>
      </c>
      <c r="P2350" s="65">
        <f t="shared" si="158"/>
        <v>0</v>
      </c>
      <c r="Q2350" s="66"/>
      <c r="R2350" s="66"/>
      <c r="S2350" s="66"/>
      <c r="T2350" s="66"/>
      <c r="U2350" s="66"/>
      <c r="V2350" s="66"/>
      <c r="W2350" s="66"/>
      <c r="X2350" s="66"/>
      <c r="Y2350" s="66"/>
      <c r="Z2350" s="66"/>
      <c r="AA2350" s="66"/>
      <c r="AB2350" s="66"/>
      <c r="AC2350" s="66"/>
      <c r="AD2350" s="66"/>
      <c r="AE2350" s="66"/>
      <c r="AF2350" s="66"/>
      <c r="AG2350" s="66"/>
      <c r="AH2350" s="66"/>
      <c r="AI2350" s="66"/>
      <c r="AJ2350" s="66"/>
      <c r="AK2350" s="66"/>
      <c r="AL2350" s="66"/>
      <c r="AM2350" s="66"/>
      <c r="AN2350" s="66"/>
      <c r="AO2350" s="66"/>
      <c r="AP2350" s="66"/>
      <c r="AQ2350" s="66"/>
      <c r="AR2350" s="66"/>
      <c r="AS2350" s="66"/>
      <c r="AT2350" s="66"/>
      <c r="AU2350" s="66"/>
      <c r="AV2350" s="66"/>
      <c r="AW2350" s="66"/>
      <c r="AX2350" s="66"/>
      <c r="AY2350" s="66"/>
      <c r="AZ2350" s="66"/>
      <c r="BA2350" s="66"/>
      <c r="BB2350" s="66"/>
      <c r="BC2350" s="66"/>
      <c r="BD2350" s="66"/>
      <c r="BE2350" s="67"/>
      <c r="BF2350" s="67"/>
      <c r="BG2350" s="68"/>
      <c r="BI2350" s="69">
        <v>0</v>
      </c>
      <c r="BJ2350" s="70">
        <v>0</v>
      </c>
      <c r="BK2350" s="71">
        <v>0</v>
      </c>
      <c r="BL2350" s="71">
        <v>0</v>
      </c>
      <c r="BM2350" s="71">
        <v>0</v>
      </c>
      <c r="BN2350" s="72">
        <v>0</v>
      </c>
      <c r="BO2350" s="151" t="e">
        <f t="shared" si="154"/>
        <v>#DIV/0!</v>
      </c>
      <c r="BP2350" s="151" t="e">
        <f t="shared" si="155"/>
        <v>#DIV/0!</v>
      </c>
      <c r="BQ2350" s="71">
        <v>0</v>
      </c>
      <c r="BR2350" s="71">
        <v>0</v>
      </c>
      <c r="BS2350" s="71">
        <v>0</v>
      </c>
      <c r="BT2350" s="72">
        <v>0</v>
      </c>
      <c r="BU2350" s="151" t="e">
        <f t="shared" si="156"/>
        <v>#DIV/0!</v>
      </c>
      <c r="BV2350" s="151" t="e">
        <f t="shared" si="157"/>
        <v>#DIV/0!</v>
      </c>
    </row>
    <row r="2351" ht="30" customHeight="1" spans="1:74">
      <c r="A2351" s="55" t="s">
        <v>96</v>
      </c>
      <c r="B2351" s="56" t="s">
        <v>1237</v>
      </c>
      <c r="C2351" s="57" t="s">
        <v>3341</v>
      </c>
      <c r="D2351" s="76" t="s">
        <v>3639</v>
      </c>
      <c r="E2351" s="59" t="s">
        <v>3665</v>
      </c>
      <c r="F2351" s="59" t="str">
        <f>VLOOKUP(E2351,[1]库存!$B$1:$C$65536,2,FALSE)</f>
        <v>SMCV MIFA SAB RH</v>
      </c>
      <c r="G2351" s="59" t="s">
        <v>3666</v>
      </c>
      <c r="H2351" s="59" t="s">
        <v>3667</v>
      </c>
      <c r="I2351" s="280" t="s">
        <v>3664</v>
      </c>
      <c r="J2351" s="279"/>
      <c r="K2351" s="263"/>
      <c r="L2351" s="62">
        <v>2</v>
      </c>
      <c r="M2351" s="63">
        <v>1100</v>
      </c>
      <c r="N2351" s="64">
        <v>13</v>
      </c>
      <c r="O2351" s="62">
        <v>2</v>
      </c>
      <c r="P2351" s="65">
        <f t="shared" si="158"/>
        <v>0</v>
      </c>
      <c r="Q2351" s="66"/>
      <c r="R2351" s="66"/>
      <c r="S2351" s="66"/>
      <c r="T2351" s="66"/>
      <c r="U2351" s="66"/>
      <c r="V2351" s="66"/>
      <c r="W2351" s="66"/>
      <c r="X2351" s="66"/>
      <c r="Y2351" s="66"/>
      <c r="Z2351" s="66"/>
      <c r="AA2351" s="66"/>
      <c r="AB2351" s="66"/>
      <c r="AC2351" s="66"/>
      <c r="AD2351" s="66"/>
      <c r="AE2351" s="66"/>
      <c r="AF2351" s="66"/>
      <c r="AG2351" s="66"/>
      <c r="AH2351" s="66"/>
      <c r="AI2351" s="66"/>
      <c r="AJ2351" s="66"/>
      <c r="AK2351" s="66"/>
      <c r="AL2351" s="66"/>
      <c r="AM2351" s="66"/>
      <c r="AN2351" s="66"/>
      <c r="AO2351" s="66"/>
      <c r="AP2351" s="66"/>
      <c r="AQ2351" s="66"/>
      <c r="AR2351" s="66"/>
      <c r="AS2351" s="66"/>
      <c r="AT2351" s="66"/>
      <c r="AU2351" s="66"/>
      <c r="AV2351" s="66"/>
      <c r="AW2351" s="66"/>
      <c r="AX2351" s="66"/>
      <c r="AY2351" s="66"/>
      <c r="AZ2351" s="66"/>
      <c r="BA2351" s="66"/>
      <c r="BB2351" s="66"/>
      <c r="BC2351" s="66"/>
      <c r="BD2351" s="66"/>
      <c r="BE2351" s="67"/>
      <c r="BF2351" s="67"/>
      <c r="BG2351" s="68"/>
      <c r="BI2351" s="69">
        <v>0</v>
      </c>
      <c r="BJ2351" s="70">
        <v>0</v>
      </c>
      <c r="BK2351" s="71">
        <v>0</v>
      </c>
      <c r="BL2351" s="71">
        <v>0</v>
      </c>
      <c r="BM2351" s="71">
        <v>0</v>
      </c>
      <c r="BN2351" s="72">
        <v>0</v>
      </c>
      <c r="BO2351" s="151" t="e">
        <f t="shared" si="154"/>
        <v>#DIV/0!</v>
      </c>
      <c r="BP2351" s="151" t="e">
        <f t="shared" si="155"/>
        <v>#DIV/0!</v>
      </c>
      <c r="BQ2351" s="71">
        <v>0</v>
      </c>
      <c r="BR2351" s="71">
        <v>0</v>
      </c>
      <c r="BS2351" s="71">
        <v>0</v>
      </c>
      <c r="BT2351" s="72">
        <v>0</v>
      </c>
      <c r="BU2351" s="151" t="e">
        <f t="shared" si="156"/>
        <v>#DIV/0!</v>
      </c>
      <c r="BV2351" s="151" t="e">
        <f t="shared" si="157"/>
        <v>#DIV/0!</v>
      </c>
    </row>
    <row r="2352" ht="30" customHeight="1" spans="1:74">
      <c r="A2352" s="55">
        <v>0</v>
      </c>
      <c r="B2352" s="56">
        <v>0</v>
      </c>
      <c r="C2352" s="57">
        <v>0</v>
      </c>
      <c r="D2352" s="78"/>
      <c r="E2352" s="74"/>
      <c r="F2352" s="59" t="e">
        <f>VLOOKUP(E2352,[1]库存!$B$1:$C$65536,2,FALSE)</f>
        <v>#N/A</v>
      </c>
      <c r="G2352" s="59" t="e">
        <v>#N/A</v>
      </c>
      <c r="H2352" s="74"/>
      <c r="I2352" s="226"/>
      <c r="J2352" s="279"/>
      <c r="K2352" s="263"/>
      <c r="L2352" s="62">
        <v>0</v>
      </c>
      <c r="M2352" s="63">
        <v>0</v>
      </c>
      <c r="N2352" s="64">
        <v>0</v>
      </c>
      <c r="O2352" s="62">
        <v>0</v>
      </c>
      <c r="P2352" s="65">
        <f t="shared" si="158"/>
        <v>0</v>
      </c>
      <c r="Q2352" s="66"/>
      <c r="R2352" s="66"/>
      <c r="S2352" s="66"/>
      <c r="T2352" s="66"/>
      <c r="U2352" s="66"/>
      <c r="V2352" s="66"/>
      <c r="W2352" s="66"/>
      <c r="X2352" s="66"/>
      <c r="Y2352" s="66"/>
      <c r="Z2352" s="66"/>
      <c r="AA2352" s="66"/>
      <c r="AB2352" s="66"/>
      <c r="AC2352" s="66"/>
      <c r="AD2352" s="66"/>
      <c r="AE2352" s="66"/>
      <c r="AF2352" s="66"/>
      <c r="AG2352" s="66"/>
      <c r="AH2352" s="66"/>
      <c r="AI2352" s="66"/>
      <c r="AJ2352" s="66"/>
      <c r="AK2352" s="66"/>
      <c r="AL2352" s="66"/>
      <c r="AM2352" s="66"/>
      <c r="AN2352" s="66"/>
      <c r="AO2352" s="66"/>
      <c r="AP2352" s="66"/>
      <c r="AQ2352" s="66"/>
      <c r="AR2352" s="66"/>
      <c r="AS2352" s="66"/>
      <c r="AT2352" s="66"/>
      <c r="AU2352" s="66"/>
      <c r="AV2352" s="66"/>
      <c r="AW2352" s="66"/>
      <c r="AX2352" s="66"/>
      <c r="AY2352" s="66"/>
      <c r="AZ2352" s="66"/>
      <c r="BA2352" s="66"/>
      <c r="BB2352" s="66"/>
      <c r="BC2352" s="66"/>
      <c r="BD2352" s="66"/>
      <c r="BE2352" s="67"/>
      <c r="BF2352" s="67"/>
      <c r="BG2352" s="68"/>
      <c r="BI2352" s="69">
        <v>0</v>
      </c>
      <c r="BJ2352" s="70">
        <v>0</v>
      </c>
      <c r="BK2352" s="71">
        <v>0</v>
      </c>
      <c r="BL2352" s="71">
        <v>0</v>
      </c>
      <c r="BM2352" s="71">
        <v>0</v>
      </c>
      <c r="BN2352" s="72">
        <v>0</v>
      </c>
      <c r="BO2352" s="151" t="e">
        <f t="shared" si="154"/>
        <v>#DIV/0!</v>
      </c>
      <c r="BP2352" s="151" t="e">
        <f t="shared" si="155"/>
        <v>#DIV/0!</v>
      </c>
      <c r="BQ2352" s="71">
        <v>0</v>
      </c>
      <c r="BR2352" s="71">
        <v>0</v>
      </c>
      <c r="BS2352" s="71">
        <v>0</v>
      </c>
      <c r="BT2352" s="72">
        <v>0</v>
      </c>
      <c r="BU2352" s="151" t="e">
        <f t="shared" si="156"/>
        <v>#DIV/0!</v>
      </c>
      <c r="BV2352" s="151" t="e">
        <f t="shared" si="157"/>
        <v>#DIV/0!</v>
      </c>
    </row>
    <row r="2353" ht="30" customHeight="1" spans="1:74">
      <c r="A2353" s="55">
        <v>0</v>
      </c>
      <c r="B2353" s="56">
        <v>0</v>
      </c>
      <c r="C2353" s="57">
        <v>0</v>
      </c>
      <c r="E2353" s="88"/>
      <c r="F2353" s="59" t="e">
        <f>VLOOKUP(E2353,[1]库存!$B$1:$C$65536,2,FALSE)</f>
        <v>#N/A</v>
      </c>
      <c r="G2353" s="59" t="e">
        <v>#N/A</v>
      </c>
      <c r="H2353" s="89"/>
      <c r="I2353" s="88"/>
      <c r="J2353" s="107"/>
      <c r="K2353" s="61"/>
      <c r="L2353" s="62">
        <v>0</v>
      </c>
      <c r="M2353" s="63">
        <v>0</v>
      </c>
      <c r="N2353" s="64">
        <v>0</v>
      </c>
      <c r="O2353" s="62">
        <v>0</v>
      </c>
      <c r="P2353" s="65">
        <f t="shared" si="158"/>
        <v>0</v>
      </c>
      <c r="Q2353" s="66"/>
      <c r="R2353" s="66"/>
      <c r="S2353" s="66"/>
      <c r="T2353" s="66"/>
      <c r="U2353" s="66"/>
      <c r="V2353" s="66"/>
      <c r="W2353" s="66"/>
      <c r="X2353" s="66"/>
      <c r="Y2353" s="66"/>
      <c r="Z2353" s="66"/>
      <c r="AA2353" s="66"/>
      <c r="AB2353" s="66"/>
      <c r="AC2353" s="66"/>
      <c r="AD2353" s="66"/>
      <c r="AE2353" s="66"/>
      <c r="AF2353" s="66"/>
      <c r="AG2353" s="66"/>
      <c r="AH2353" s="66"/>
      <c r="AI2353" s="66"/>
      <c r="AJ2353" s="66"/>
      <c r="AK2353" s="66"/>
      <c r="AL2353" s="66"/>
      <c r="AM2353" s="66"/>
      <c r="AN2353" s="66"/>
      <c r="AO2353" s="66"/>
      <c r="AP2353" s="66"/>
      <c r="AQ2353" s="66"/>
      <c r="AR2353" s="66"/>
      <c r="AS2353" s="66"/>
      <c r="AT2353" s="66"/>
      <c r="AU2353" s="66"/>
      <c r="AV2353" s="66"/>
      <c r="AW2353" s="66"/>
      <c r="AX2353" s="66"/>
      <c r="AY2353" s="66"/>
      <c r="AZ2353" s="66"/>
      <c r="BA2353" s="66"/>
      <c r="BB2353" s="66"/>
      <c r="BC2353" s="66"/>
      <c r="BD2353" s="66"/>
      <c r="BE2353" s="67"/>
      <c r="BF2353" s="67"/>
      <c r="BG2353" s="68"/>
      <c r="BI2353" s="69">
        <v>0</v>
      </c>
      <c r="BJ2353" s="70">
        <v>0</v>
      </c>
      <c r="BK2353" s="71">
        <v>0</v>
      </c>
      <c r="BL2353" s="71">
        <v>0</v>
      </c>
      <c r="BM2353" s="71">
        <v>0</v>
      </c>
      <c r="BN2353" s="72">
        <v>0</v>
      </c>
      <c r="BO2353" s="151" t="e">
        <f t="shared" si="154"/>
        <v>#DIV/0!</v>
      </c>
      <c r="BP2353" s="151" t="e">
        <f t="shared" si="155"/>
        <v>#DIV/0!</v>
      </c>
      <c r="BQ2353" s="71">
        <v>0</v>
      </c>
      <c r="BR2353" s="71">
        <v>0</v>
      </c>
      <c r="BS2353" s="71">
        <v>0</v>
      </c>
      <c r="BT2353" s="72">
        <v>0</v>
      </c>
      <c r="BU2353" s="151" t="e">
        <f t="shared" si="156"/>
        <v>#DIV/0!</v>
      </c>
      <c r="BV2353" s="151" t="e">
        <f t="shared" si="157"/>
        <v>#DIV/0!</v>
      </c>
    </row>
    <row r="2354" ht="30" customHeight="1" spans="1:74">
      <c r="A2354" s="55" t="s">
        <v>410</v>
      </c>
      <c r="B2354" s="56" t="s">
        <v>1237</v>
      </c>
      <c r="C2354" s="57" t="s">
        <v>3226</v>
      </c>
      <c r="D2354" s="76" t="s">
        <v>3668</v>
      </c>
      <c r="E2354" s="59" t="s">
        <v>3669</v>
      </c>
      <c r="F2354" s="59" t="str">
        <f>VLOOKUP(E2354,[1]库存!$B$1:$C$65536,2,FALSE)</f>
        <v>HONDA TH82S1 FSAB LH C状态</v>
      </c>
      <c r="G2354" s="59" t="s">
        <v>3670</v>
      </c>
      <c r="H2354" s="59" t="s">
        <v>3671</v>
      </c>
      <c r="I2354" s="59" t="s">
        <v>3054</v>
      </c>
      <c r="J2354" s="281"/>
      <c r="K2354" s="61"/>
      <c r="L2354" s="62">
        <v>2</v>
      </c>
      <c r="M2354" s="63">
        <v>1000</v>
      </c>
      <c r="N2354" s="64">
        <v>20</v>
      </c>
      <c r="O2354" s="62">
        <v>2</v>
      </c>
      <c r="P2354" s="65">
        <f t="shared" si="158"/>
        <v>0</v>
      </c>
      <c r="Q2354" s="66"/>
      <c r="R2354" s="66"/>
      <c r="S2354" s="66"/>
      <c r="T2354" s="66"/>
      <c r="U2354" s="66"/>
      <c r="V2354" s="66"/>
      <c r="W2354" s="66"/>
      <c r="X2354" s="66"/>
      <c r="Y2354" s="66"/>
      <c r="Z2354" s="66"/>
      <c r="AA2354" s="66"/>
      <c r="AB2354" s="66"/>
      <c r="AC2354" s="66"/>
      <c r="AD2354" s="66"/>
      <c r="AE2354" s="66"/>
      <c r="AF2354" s="66"/>
      <c r="AG2354" s="66"/>
      <c r="AH2354" s="66"/>
      <c r="AI2354" s="66"/>
      <c r="AJ2354" s="66"/>
      <c r="AK2354" s="66"/>
      <c r="AL2354" s="66"/>
      <c r="AM2354" s="66"/>
      <c r="AN2354" s="66"/>
      <c r="AO2354" s="66"/>
      <c r="AP2354" s="66"/>
      <c r="AQ2354" s="66"/>
      <c r="AR2354" s="66"/>
      <c r="AS2354" s="66"/>
      <c r="AT2354" s="66"/>
      <c r="AU2354" s="66"/>
      <c r="AV2354" s="66"/>
      <c r="AW2354" s="66"/>
      <c r="AX2354" s="66"/>
      <c r="AY2354" s="66"/>
      <c r="AZ2354" s="66"/>
      <c r="BA2354" s="66"/>
      <c r="BB2354" s="66"/>
      <c r="BC2354" s="66"/>
      <c r="BD2354" s="66"/>
      <c r="BE2354" s="67"/>
      <c r="BF2354" s="67"/>
      <c r="BG2354" s="68"/>
      <c r="BI2354" s="69">
        <v>0</v>
      </c>
      <c r="BJ2354" s="70">
        <v>0</v>
      </c>
      <c r="BK2354" s="71">
        <v>0</v>
      </c>
      <c r="BL2354" s="71">
        <v>0</v>
      </c>
      <c r="BM2354" s="71">
        <v>0</v>
      </c>
      <c r="BN2354" s="72">
        <v>0</v>
      </c>
      <c r="BO2354" s="151" t="e">
        <f t="shared" si="154"/>
        <v>#DIV/0!</v>
      </c>
      <c r="BP2354" s="151" t="e">
        <f t="shared" si="155"/>
        <v>#DIV/0!</v>
      </c>
      <c r="BQ2354" s="71">
        <v>0</v>
      </c>
      <c r="BR2354" s="71">
        <v>0</v>
      </c>
      <c r="BS2354" s="71">
        <v>0</v>
      </c>
      <c r="BT2354" s="72">
        <v>0</v>
      </c>
      <c r="BU2354" s="151" t="e">
        <f t="shared" si="156"/>
        <v>#DIV/0!</v>
      </c>
      <c r="BV2354" s="151" t="e">
        <f t="shared" si="157"/>
        <v>#DIV/0!</v>
      </c>
    </row>
    <row r="2355" ht="30" customHeight="1" spans="1:74">
      <c r="A2355" s="55">
        <v>0</v>
      </c>
      <c r="B2355" s="56">
        <v>0</v>
      </c>
      <c r="C2355" s="57">
        <v>0</v>
      </c>
      <c r="D2355" s="78"/>
      <c r="E2355" s="74"/>
      <c r="F2355" s="59" t="e">
        <f>VLOOKUP(E2355,[1]库存!$B$1:$C$65536,2,FALSE)</f>
        <v>#N/A</v>
      </c>
      <c r="G2355" s="59" t="e">
        <v>#N/A</v>
      </c>
      <c r="H2355" s="74"/>
      <c r="I2355" s="74"/>
      <c r="J2355" s="281"/>
      <c r="K2355" s="61"/>
      <c r="L2355" s="62">
        <v>0</v>
      </c>
      <c r="M2355" s="63">
        <v>0</v>
      </c>
      <c r="N2355" s="64">
        <v>0</v>
      </c>
      <c r="O2355" s="62">
        <v>0</v>
      </c>
      <c r="P2355" s="65">
        <f t="shared" si="158"/>
        <v>0</v>
      </c>
      <c r="Q2355" s="66"/>
      <c r="R2355" s="66"/>
      <c r="S2355" s="66"/>
      <c r="T2355" s="66"/>
      <c r="U2355" s="66"/>
      <c r="V2355" s="66"/>
      <c r="W2355" s="66"/>
      <c r="X2355" s="66"/>
      <c r="Y2355" s="66"/>
      <c r="Z2355" s="66"/>
      <c r="AA2355" s="66"/>
      <c r="AB2355" s="66"/>
      <c r="AC2355" s="66"/>
      <c r="AD2355" s="66"/>
      <c r="AE2355" s="66"/>
      <c r="AF2355" s="66"/>
      <c r="AG2355" s="66"/>
      <c r="AH2355" s="66"/>
      <c r="AI2355" s="66"/>
      <c r="AJ2355" s="66"/>
      <c r="AK2355" s="66"/>
      <c r="AL2355" s="66"/>
      <c r="AM2355" s="66"/>
      <c r="AN2355" s="66"/>
      <c r="AO2355" s="66"/>
      <c r="AP2355" s="66"/>
      <c r="AQ2355" s="66"/>
      <c r="AR2355" s="66"/>
      <c r="AS2355" s="66"/>
      <c r="AT2355" s="66"/>
      <c r="AU2355" s="66"/>
      <c r="AV2355" s="66"/>
      <c r="AW2355" s="66"/>
      <c r="AX2355" s="66"/>
      <c r="AY2355" s="66"/>
      <c r="AZ2355" s="66"/>
      <c r="BA2355" s="66"/>
      <c r="BB2355" s="66"/>
      <c r="BC2355" s="66"/>
      <c r="BD2355" s="66"/>
      <c r="BE2355" s="67"/>
      <c r="BF2355" s="67"/>
      <c r="BG2355" s="68"/>
      <c r="BI2355" s="69">
        <v>0</v>
      </c>
      <c r="BJ2355" s="70">
        <v>0</v>
      </c>
      <c r="BK2355" s="71">
        <v>0</v>
      </c>
      <c r="BL2355" s="71">
        <v>0</v>
      </c>
      <c r="BM2355" s="71">
        <v>0</v>
      </c>
      <c r="BN2355" s="72">
        <v>0</v>
      </c>
      <c r="BO2355" s="151" t="e">
        <f t="shared" si="154"/>
        <v>#DIV/0!</v>
      </c>
      <c r="BP2355" s="151" t="e">
        <f t="shared" si="155"/>
        <v>#DIV/0!</v>
      </c>
      <c r="BQ2355" s="71">
        <v>0</v>
      </c>
      <c r="BR2355" s="71">
        <v>0</v>
      </c>
      <c r="BS2355" s="71">
        <v>0</v>
      </c>
      <c r="BT2355" s="72">
        <v>0</v>
      </c>
      <c r="BU2355" s="151" t="e">
        <f t="shared" si="156"/>
        <v>#DIV/0!</v>
      </c>
      <c r="BV2355" s="151" t="e">
        <f t="shared" si="157"/>
        <v>#DIV/0!</v>
      </c>
    </row>
    <row r="2356" ht="30" customHeight="1" spans="1:74">
      <c r="A2356" s="55" t="s">
        <v>410</v>
      </c>
      <c r="B2356" s="56" t="s">
        <v>1237</v>
      </c>
      <c r="C2356" s="57" t="s">
        <v>3226</v>
      </c>
      <c r="D2356" s="76" t="s">
        <v>3668</v>
      </c>
      <c r="E2356" s="59" t="s">
        <v>3672</v>
      </c>
      <c r="F2356" s="59" t="str">
        <f>VLOOKUP(E2356,[1]库存!$B$1:$C$65536,2,FALSE)</f>
        <v>HONDA TH82S1 FSAB RH C状态</v>
      </c>
      <c r="G2356" s="59" t="s">
        <v>3673</v>
      </c>
      <c r="H2356" s="59" t="s">
        <v>3674</v>
      </c>
      <c r="I2356" s="59" t="s">
        <v>3054</v>
      </c>
      <c r="J2356" s="281"/>
      <c r="K2356" s="61"/>
      <c r="L2356" s="62">
        <v>2</v>
      </c>
      <c r="M2356" s="63">
        <v>1000</v>
      </c>
      <c r="N2356" s="64">
        <v>20</v>
      </c>
      <c r="O2356" s="62">
        <v>2</v>
      </c>
      <c r="P2356" s="65">
        <f t="shared" si="158"/>
        <v>0</v>
      </c>
      <c r="Q2356" s="66"/>
      <c r="R2356" s="66"/>
      <c r="S2356" s="66"/>
      <c r="T2356" s="66"/>
      <c r="U2356" s="66"/>
      <c r="V2356" s="66"/>
      <c r="W2356" s="66"/>
      <c r="X2356" s="66"/>
      <c r="Y2356" s="66"/>
      <c r="Z2356" s="66"/>
      <c r="AA2356" s="66"/>
      <c r="AB2356" s="66"/>
      <c r="AC2356" s="66"/>
      <c r="AD2356" s="66"/>
      <c r="AE2356" s="66"/>
      <c r="AF2356" s="66"/>
      <c r="AG2356" s="66"/>
      <c r="AH2356" s="66"/>
      <c r="AI2356" s="66"/>
      <c r="AJ2356" s="66"/>
      <c r="AK2356" s="66"/>
      <c r="AL2356" s="66"/>
      <c r="AM2356" s="66"/>
      <c r="AN2356" s="66"/>
      <c r="AO2356" s="66"/>
      <c r="AP2356" s="66"/>
      <c r="AQ2356" s="66"/>
      <c r="AR2356" s="66"/>
      <c r="AS2356" s="66"/>
      <c r="AT2356" s="66"/>
      <c r="AU2356" s="66"/>
      <c r="AV2356" s="66"/>
      <c r="AW2356" s="66"/>
      <c r="AX2356" s="66"/>
      <c r="AY2356" s="66"/>
      <c r="AZ2356" s="66"/>
      <c r="BA2356" s="66"/>
      <c r="BB2356" s="66"/>
      <c r="BC2356" s="66"/>
      <c r="BD2356" s="66"/>
      <c r="BE2356" s="67"/>
      <c r="BF2356" s="67"/>
      <c r="BG2356" s="68"/>
      <c r="BI2356" s="69">
        <v>0</v>
      </c>
      <c r="BJ2356" s="70">
        <v>0</v>
      </c>
      <c r="BK2356" s="71">
        <v>0</v>
      </c>
      <c r="BL2356" s="71">
        <v>0</v>
      </c>
      <c r="BM2356" s="71">
        <v>0</v>
      </c>
      <c r="BN2356" s="72">
        <v>0</v>
      </c>
      <c r="BO2356" s="151" t="e">
        <f t="shared" si="154"/>
        <v>#DIV/0!</v>
      </c>
      <c r="BP2356" s="151" t="e">
        <f t="shared" si="155"/>
        <v>#DIV/0!</v>
      </c>
      <c r="BQ2356" s="71">
        <v>0</v>
      </c>
      <c r="BR2356" s="71">
        <v>0</v>
      </c>
      <c r="BS2356" s="71">
        <v>0</v>
      </c>
      <c r="BT2356" s="72">
        <v>0</v>
      </c>
      <c r="BU2356" s="151" t="e">
        <f t="shared" si="156"/>
        <v>#DIV/0!</v>
      </c>
      <c r="BV2356" s="151" t="e">
        <f t="shared" si="157"/>
        <v>#DIV/0!</v>
      </c>
    </row>
    <row r="2357" ht="30" customHeight="1" spans="1:74">
      <c r="A2357" s="55">
        <v>0</v>
      </c>
      <c r="B2357" s="56">
        <v>0</v>
      </c>
      <c r="C2357" s="57">
        <v>0</v>
      </c>
      <c r="D2357" s="78"/>
      <c r="E2357" s="74"/>
      <c r="F2357" s="59" t="e">
        <f>VLOOKUP(E2357,[1]库存!$B$1:$C$65536,2,FALSE)</f>
        <v>#N/A</v>
      </c>
      <c r="G2357" s="59" t="e">
        <v>#N/A</v>
      </c>
      <c r="H2357" s="74"/>
      <c r="I2357" s="74"/>
      <c r="J2357" s="281"/>
      <c r="K2357" s="61"/>
      <c r="L2357" s="62">
        <v>0</v>
      </c>
      <c r="M2357" s="63">
        <v>0</v>
      </c>
      <c r="N2357" s="64">
        <v>0</v>
      </c>
      <c r="O2357" s="62">
        <v>0</v>
      </c>
      <c r="P2357" s="65">
        <f t="shared" si="158"/>
        <v>0</v>
      </c>
      <c r="Q2357" s="66"/>
      <c r="R2357" s="66"/>
      <c r="S2357" s="66"/>
      <c r="T2357" s="66"/>
      <c r="U2357" s="66"/>
      <c r="V2357" s="66"/>
      <c r="W2357" s="66"/>
      <c r="X2357" s="66"/>
      <c r="Y2357" s="66"/>
      <c r="Z2357" s="66"/>
      <c r="AA2357" s="66"/>
      <c r="AB2357" s="66"/>
      <c r="AC2357" s="66"/>
      <c r="AD2357" s="66"/>
      <c r="AE2357" s="66"/>
      <c r="AF2357" s="66"/>
      <c r="AG2357" s="66"/>
      <c r="AH2357" s="66"/>
      <c r="AI2357" s="66"/>
      <c r="AJ2357" s="66"/>
      <c r="AK2357" s="66"/>
      <c r="AL2357" s="66"/>
      <c r="AM2357" s="66"/>
      <c r="AN2357" s="66"/>
      <c r="AO2357" s="66"/>
      <c r="AP2357" s="66"/>
      <c r="AQ2357" s="66"/>
      <c r="AR2357" s="66"/>
      <c r="AS2357" s="66"/>
      <c r="AT2357" s="66"/>
      <c r="AU2357" s="66"/>
      <c r="AV2357" s="66"/>
      <c r="AW2357" s="66"/>
      <c r="AX2357" s="66"/>
      <c r="AY2357" s="66"/>
      <c r="AZ2357" s="66"/>
      <c r="BA2357" s="66"/>
      <c r="BB2357" s="66"/>
      <c r="BC2357" s="66"/>
      <c r="BD2357" s="66"/>
      <c r="BE2357" s="67"/>
      <c r="BF2357" s="67"/>
      <c r="BG2357" s="68"/>
      <c r="BI2357" s="69">
        <v>0</v>
      </c>
      <c r="BJ2357" s="70">
        <v>0</v>
      </c>
      <c r="BK2357" s="71">
        <v>0</v>
      </c>
      <c r="BL2357" s="71">
        <v>0</v>
      </c>
      <c r="BM2357" s="71">
        <v>0</v>
      </c>
      <c r="BN2357" s="72">
        <v>0</v>
      </c>
      <c r="BO2357" s="151" t="e">
        <f t="shared" si="154"/>
        <v>#DIV/0!</v>
      </c>
      <c r="BP2357" s="151" t="e">
        <f t="shared" si="155"/>
        <v>#DIV/0!</v>
      </c>
      <c r="BQ2357" s="71">
        <v>0</v>
      </c>
      <c r="BR2357" s="71">
        <v>0</v>
      </c>
      <c r="BS2357" s="71">
        <v>0</v>
      </c>
      <c r="BT2357" s="72">
        <v>0</v>
      </c>
      <c r="BU2357" s="151" t="e">
        <f t="shared" si="156"/>
        <v>#DIV/0!</v>
      </c>
      <c r="BV2357" s="151" t="e">
        <f t="shared" si="157"/>
        <v>#DIV/0!</v>
      </c>
    </row>
    <row r="2358" ht="30" customHeight="1" spans="1:74">
      <c r="A2358" s="55">
        <v>0</v>
      </c>
      <c r="B2358" s="56">
        <v>0</v>
      </c>
      <c r="C2358" s="57">
        <v>0</v>
      </c>
      <c r="E2358" s="88"/>
      <c r="F2358" s="59" t="e">
        <f>VLOOKUP(E2358,[1]库存!$B$1:$C$65536,2,FALSE)</f>
        <v>#N/A</v>
      </c>
      <c r="G2358" s="59" t="e">
        <v>#N/A</v>
      </c>
      <c r="H2358" s="89"/>
      <c r="I2358" s="88"/>
      <c r="J2358" s="90"/>
      <c r="K2358" s="61"/>
      <c r="L2358" s="62">
        <v>0</v>
      </c>
      <c r="M2358" s="63">
        <v>0</v>
      </c>
      <c r="N2358" s="64">
        <v>0</v>
      </c>
      <c r="O2358" s="62">
        <v>0</v>
      </c>
      <c r="P2358" s="65">
        <f t="shared" si="158"/>
        <v>0</v>
      </c>
      <c r="Q2358" s="66"/>
      <c r="R2358" s="66"/>
      <c r="S2358" s="66"/>
      <c r="T2358" s="66"/>
      <c r="U2358" s="66"/>
      <c r="V2358" s="66"/>
      <c r="W2358" s="66"/>
      <c r="X2358" s="66"/>
      <c r="Y2358" s="66"/>
      <c r="Z2358" s="66"/>
      <c r="AA2358" s="66"/>
      <c r="AB2358" s="66"/>
      <c r="AC2358" s="66"/>
      <c r="AD2358" s="66"/>
      <c r="AE2358" s="66"/>
      <c r="AF2358" s="66"/>
      <c r="AG2358" s="66"/>
      <c r="AH2358" s="66"/>
      <c r="AI2358" s="66"/>
      <c r="AJ2358" s="66"/>
      <c r="AK2358" s="66"/>
      <c r="AL2358" s="66"/>
      <c r="AM2358" s="66"/>
      <c r="AN2358" s="66"/>
      <c r="AO2358" s="66"/>
      <c r="AP2358" s="66"/>
      <c r="AQ2358" s="66"/>
      <c r="AR2358" s="66"/>
      <c r="AS2358" s="66"/>
      <c r="AT2358" s="66"/>
      <c r="AU2358" s="66"/>
      <c r="AV2358" s="66"/>
      <c r="AW2358" s="66"/>
      <c r="AX2358" s="66"/>
      <c r="AY2358" s="66"/>
      <c r="AZ2358" s="66"/>
      <c r="BA2358" s="66"/>
      <c r="BB2358" s="66"/>
      <c r="BC2358" s="66"/>
      <c r="BD2358" s="66"/>
      <c r="BE2358" s="67"/>
      <c r="BF2358" s="67"/>
      <c r="BG2358" s="68"/>
      <c r="BI2358" s="69">
        <v>0</v>
      </c>
      <c r="BJ2358" s="70">
        <v>0</v>
      </c>
      <c r="BK2358" s="71">
        <v>0</v>
      </c>
      <c r="BL2358" s="71">
        <v>0</v>
      </c>
      <c r="BM2358" s="71">
        <v>0</v>
      </c>
      <c r="BN2358" s="72">
        <v>0</v>
      </c>
      <c r="BO2358" s="151" t="e">
        <f t="shared" si="154"/>
        <v>#DIV/0!</v>
      </c>
      <c r="BP2358" s="151" t="e">
        <f t="shared" si="155"/>
        <v>#DIV/0!</v>
      </c>
      <c r="BQ2358" s="71">
        <v>0</v>
      </c>
      <c r="BR2358" s="71">
        <v>0</v>
      </c>
      <c r="BS2358" s="71">
        <v>0</v>
      </c>
      <c r="BT2358" s="72">
        <v>0</v>
      </c>
      <c r="BU2358" s="151" t="e">
        <f t="shared" si="156"/>
        <v>#DIV/0!</v>
      </c>
      <c r="BV2358" s="151" t="e">
        <f t="shared" si="157"/>
        <v>#DIV/0!</v>
      </c>
    </row>
    <row r="2359" ht="30" customHeight="1" spans="1:74">
      <c r="A2359" s="55">
        <v>0</v>
      </c>
      <c r="B2359" s="56" t="s">
        <v>1237</v>
      </c>
      <c r="C2359" s="57" t="s">
        <v>3341</v>
      </c>
      <c r="D2359" s="59" t="s">
        <v>3675</v>
      </c>
      <c r="E2359" s="59" t="s">
        <v>3676</v>
      </c>
      <c r="F2359" s="59" t="str">
        <f>VLOOKUP(E2359,[1]库存!$B$1:$C$65536,2,FALSE)</f>
        <v>AH4EM CAB拉带 A状态</v>
      </c>
      <c r="G2359" s="59" t="s">
        <v>3677</v>
      </c>
      <c r="H2359" s="59" t="s">
        <v>3678</v>
      </c>
      <c r="I2359" s="59"/>
      <c r="J2359" s="63"/>
      <c r="K2359" s="61"/>
      <c r="L2359" s="62">
        <v>0</v>
      </c>
      <c r="M2359" s="63">
        <v>1200</v>
      </c>
      <c r="N2359" s="64">
        <v>1</v>
      </c>
      <c r="O2359" s="62">
        <v>1</v>
      </c>
      <c r="P2359" s="65">
        <f t="shared" si="158"/>
        <v>0</v>
      </c>
      <c r="Q2359" s="66"/>
      <c r="R2359" s="66"/>
      <c r="S2359" s="66"/>
      <c r="T2359" s="66"/>
      <c r="U2359" s="66"/>
      <c r="V2359" s="66"/>
      <c r="W2359" s="66"/>
      <c r="X2359" s="66"/>
      <c r="Y2359" s="66"/>
      <c r="Z2359" s="66"/>
      <c r="AA2359" s="66"/>
      <c r="AB2359" s="66"/>
      <c r="AC2359" s="66"/>
      <c r="AD2359" s="66"/>
      <c r="AE2359" s="66"/>
      <c r="AF2359" s="66"/>
      <c r="AG2359" s="66"/>
      <c r="AH2359" s="66"/>
      <c r="AI2359" s="66"/>
      <c r="AJ2359" s="66"/>
      <c r="AK2359" s="66"/>
      <c r="AL2359" s="66"/>
      <c r="AM2359" s="66"/>
      <c r="AN2359" s="66"/>
      <c r="AO2359" s="66"/>
      <c r="AP2359" s="66"/>
      <c r="AQ2359" s="66"/>
      <c r="AR2359" s="66"/>
      <c r="AS2359" s="66"/>
      <c r="AT2359" s="66"/>
      <c r="AU2359" s="66"/>
      <c r="AV2359" s="66"/>
      <c r="AW2359" s="66"/>
      <c r="AX2359" s="66"/>
      <c r="AY2359" s="66"/>
      <c r="AZ2359" s="66"/>
      <c r="BA2359" s="66"/>
      <c r="BB2359" s="66"/>
      <c r="BC2359" s="66"/>
      <c r="BD2359" s="66"/>
      <c r="BE2359" s="67"/>
      <c r="BF2359" s="67"/>
      <c r="BG2359" s="68"/>
      <c r="BI2359" s="69">
        <v>0</v>
      </c>
      <c r="BJ2359" s="70">
        <v>0</v>
      </c>
      <c r="BK2359" s="71">
        <v>0</v>
      </c>
      <c r="BL2359" s="71">
        <v>0</v>
      </c>
      <c r="BM2359" s="71">
        <v>0</v>
      </c>
      <c r="BN2359" s="72">
        <v>0</v>
      </c>
      <c r="BO2359" s="151" t="e">
        <f t="shared" si="154"/>
        <v>#DIV/0!</v>
      </c>
      <c r="BP2359" s="151" t="e">
        <f t="shared" si="155"/>
        <v>#DIV/0!</v>
      </c>
      <c r="BQ2359" s="71">
        <v>0</v>
      </c>
      <c r="BR2359" s="71">
        <v>0</v>
      </c>
      <c r="BS2359" s="71">
        <v>0</v>
      </c>
      <c r="BT2359" s="72">
        <v>0</v>
      </c>
      <c r="BU2359" s="151" t="e">
        <f t="shared" si="156"/>
        <v>#DIV/0!</v>
      </c>
      <c r="BV2359" s="151" t="e">
        <f t="shared" si="157"/>
        <v>#DIV/0!</v>
      </c>
    </row>
    <row r="2360" ht="30" customHeight="1" spans="1:74">
      <c r="A2360" s="55">
        <v>0</v>
      </c>
      <c r="B2360" s="56">
        <v>0</v>
      </c>
      <c r="C2360" s="57">
        <v>0</v>
      </c>
      <c r="D2360" s="74"/>
      <c r="E2360" s="74"/>
      <c r="F2360" s="59" t="e">
        <f>VLOOKUP(E2360,[1]库存!$B$1:$C$65536,2,FALSE)</f>
        <v>#N/A</v>
      </c>
      <c r="G2360" s="59" t="e">
        <v>#N/A</v>
      </c>
      <c r="H2360" s="74"/>
      <c r="I2360" s="74"/>
      <c r="J2360" s="87"/>
      <c r="K2360" s="61"/>
      <c r="L2360" s="62">
        <v>0</v>
      </c>
      <c r="M2360" s="63">
        <v>0</v>
      </c>
      <c r="N2360" s="64">
        <v>0</v>
      </c>
      <c r="O2360" s="62">
        <v>0</v>
      </c>
      <c r="P2360" s="65">
        <f t="shared" si="158"/>
        <v>0</v>
      </c>
      <c r="Q2360" s="66"/>
      <c r="R2360" s="66"/>
      <c r="S2360" s="66"/>
      <c r="T2360" s="66"/>
      <c r="U2360" s="66"/>
      <c r="V2360" s="66"/>
      <c r="W2360" s="66"/>
      <c r="X2360" s="66"/>
      <c r="Y2360" s="66"/>
      <c r="Z2360" s="66"/>
      <c r="AA2360" s="66"/>
      <c r="AB2360" s="66"/>
      <c r="AC2360" s="66"/>
      <c r="AD2360" s="66"/>
      <c r="AE2360" s="66"/>
      <c r="AF2360" s="66"/>
      <c r="AG2360" s="66"/>
      <c r="AH2360" s="66"/>
      <c r="AI2360" s="66"/>
      <c r="AJ2360" s="66"/>
      <c r="AK2360" s="66"/>
      <c r="AL2360" s="66"/>
      <c r="AM2360" s="66"/>
      <c r="AN2360" s="66"/>
      <c r="AO2360" s="66"/>
      <c r="AP2360" s="66"/>
      <c r="AQ2360" s="66"/>
      <c r="AR2360" s="66"/>
      <c r="AS2360" s="66"/>
      <c r="AT2360" s="66"/>
      <c r="AU2360" s="66"/>
      <c r="AV2360" s="66"/>
      <c r="AW2360" s="66"/>
      <c r="AX2360" s="66"/>
      <c r="AY2360" s="66"/>
      <c r="AZ2360" s="66"/>
      <c r="BA2360" s="66"/>
      <c r="BB2360" s="66"/>
      <c r="BC2360" s="66"/>
      <c r="BD2360" s="66"/>
      <c r="BE2360" s="67"/>
      <c r="BF2360" s="67"/>
      <c r="BG2360" s="68"/>
      <c r="BI2360" s="69">
        <v>0</v>
      </c>
      <c r="BJ2360" s="70">
        <v>0</v>
      </c>
      <c r="BK2360" s="71">
        <v>0</v>
      </c>
      <c r="BL2360" s="71">
        <v>0</v>
      </c>
      <c r="BM2360" s="71">
        <v>0</v>
      </c>
      <c r="BN2360" s="72">
        <v>0</v>
      </c>
      <c r="BO2360" s="151" t="e">
        <f t="shared" si="154"/>
        <v>#DIV/0!</v>
      </c>
      <c r="BP2360" s="151" t="e">
        <f t="shared" si="155"/>
        <v>#DIV/0!</v>
      </c>
      <c r="BQ2360" s="71">
        <v>0</v>
      </c>
      <c r="BR2360" s="71">
        <v>0</v>
      </c>
      <c r="BS2360" s="71">
        <v>0</v>
      </c>
      <c r="BT2360" s="72">
        <v>0</v>
      </c>
      <c r="BU2360" s="151" t="e">
        <f t="shared" si="156"/>
        <v>#DIV/0!</v>
      </c>
      <c r="BV2360" s="151" t="e">
        <f t="shared" si="157"/>
        <v>#DIV/0!</v>
      </c>
    </row>
    <row r="2361" ht="30" customHeight="1" spans="1:74">
      <c r="A2361" s="55">
        <v>0</v>
      </c>
      <c r="B2361" s="56" t="s">
        <v>1237</v>
      </c>
      <c r="C2361" s="57" t="s">
        <v>3341</v>
      </c>
      <c r="D2361" s="59" t="s">
        <v>3679</v>
      </c>
      <c r="E2361" s="59" t="s">
        <v>3680</v>
      </c>
      <c r="F2361" s="59" t="str">
        <f>VLOOKUP(E2361,[1]库存!$B$1:$C$65536,2,FALSE)</f>
        <v>AH4EM CAB导气袋 A状态</v>
      </c>
      <c r="G2361" s="59" t="s">
        <v>3681</v>
      </c>
      <c r="H2361" s="59" t="s">
        <v>3682</v>
      </c>
      <c r="I2361" s="59"/>
      <c r="J2361" s="63"/>
      <c r="K2361" s="61"/>
      <c r="L2361" s="62">
        <v>0</v>
      </c>
      <c r="M2361" s="63">
        <v>800</v>
      </c>
      <c r="N2361" s="64">
        <v>3</v>
      </c>
      <c r="O2361" s="62">
        <v>1</v>
      </c>
      <c r="P2361" s="65">
        <f t="shared" si="158"/>
        <v>0</v>
      </c>
      <c r="Q2361" s="66"/>
      <c r="R2361" s="66"/>
      <c r="S2361" s="66"/>
      <c r="T2361" s="66"/>
      <c r="U2361" s="66"/>
      <c r="V2361" s="66"/>
      <c r="W2361" s="66"/>
      <c r="X2361" s="66"/>
      <c r="Y2361" s="66"/>
      <c r="Z2361" s="66"/>
      <c r="AA2361" s="66"/>
      <c r="AB2361" s="66"/>
      <c r="AC2361" s="66"/>
      <c r="AD2361" s="66"/>
      <c r="AE2361" s="66"/>
      <c r="AF2361" s="66"/>
      <c r="AG2361" s="66"/>
      <c r="AH2361" s="66"/>
      <c r="AI2361" s="66"/>
      <c r="AJ2361" s="66"/>
      <c r="AK2361" s="66"/>
      <c r="AL2361" s="66"/>
      <c r="AM2361" s="66"/>
      <c r="AN2361" s="66"/>
      <c r="AO2361" s="66"/>
      <c r="AP2361" s="66"/>
      <c r="AQ2361" s="66"/>
      <c r="AR2361" s="66"/>
      <c r="AS2361" s="66"/>
      <c r="AT2361" s="66"/>
      <c r="AU2361" s="66"/>
      <c r="AV2361" s="66"/>
      <c r="AW2361" s="66"/>
      <c r="AX2361" s="66"/>
      <c r="AY2361" s="66"/>
      <c r="AZ2361" s="66"/>
      <c r="BA2361" s="66"/>
      <c r="BB2361" s="66"/>
      <c r="BC2361" s="66"/>
      <c r="BD2361" s="66"/>
      <c r="BE2361" s="67"/>
      <c r="BF2361" s="67"/>
      <c r="BG2361" s="68"/>
      <c r="BI2361" s="69">
        <v>0</v>
      </c>
      <c r="BJ2361" s="70">
        <v>0</v>
      </c>
      <c r="BK2361" s="71">
        <v>0</v>
      </c>
      <c r="BL2361" s="71">
        <v>0</v>
      </c>
      <c r="BM2361" s="71">
        <v>0</v>
      </c>
      <c r="BN2361" s="72">
        <v>0</v>
      </c>
      <c r="BO2361" s="151" t="e">
        <f t="shared" si="154"/>
        <v>#DIV/0!</v>
      </c>
      <c r="BP2361" s="151" t="e">
        <f t="shared" si="155"/>
        <v>#DIV/0!</v>
      </c>
      <c r="BQ2361" s="71">
        <v>0</v>
      </c>
      <c r="BR2361" s="71">
        <v>0</v>
      </c>
      <c r="BS2361" s="71">
        <v>0</v>
      </c>
      <c r="BT2361" s="72">
        <v>0</v>
      </c>
      <c r="BU2361" s="151" t="e">
        <f t="shared" si="156"/>
        <v>#DIV/0!</v>
      </c>
      <c r="BV2361" s="151" t="e">
        <f t="shared" si="157"/>
        <v>#DIV/0!</v>
      </c>
    </row>
    <row r="2362" ht="30" customHeight="1" spans="1:74">
      <c r="A2362" s="55">
        <v>0</v>
      </c>
      <c r="B2362" s="56">
        <v>0</v>
      </c>
      <c r="C2362" s="57">
        <v>0</v>
      </c>
      <c r="D2362" s="74"/>
      <c r="E2362" s="74"/>
      <c r="F2362" s="59" t="e">
        <f>VLOOKUP(E2362,[1]库存!$B$1:$C$65536,2,FALSE)</f>
        <v>#N/A</v>
      </c>
      <c r="G2362" s="59" t="e">
        <v>#N/A</v>
      </c>
      <c r="H2362" s="74"/>
      <c r="I2362" s="74"/>
      <c r="J2362" s="87"/>
      <c r="K2362" s="61"/>
      <c r="L2362" s="62">
        <v>0</v>
      </c>
      <c r="M2362" s="63">
        <v>0</v>
      </c>
      <c r="N2362" s="64">
        <v>0</v>
      </c>
      <c r="O2362" s="62">
        <v>0</v>
      </c>
      <c r="P2362" s="65">
        <f t="shared" si="158"/>
        <v>0</v>
      </c>
      <c r="Q2362" s="66"/>
      <c r="R2362" s="66"/>
      <c r="S2362" s="66"/>
      <c r="T2362" s="66"/>
      <c r="U2362" s="66"/>
      <c r="V2362" s="66"/>
      <c r="W2362" s="66"/>
      <c r="X2362" s="66"/>
      <c r="Y2362" s="66"/>
      <c r="Z2362" s="66"/>
      <c r="AA2362" s="66"/>
      <c r="AB2362" s="66"/>
      <c r="AC2362" s="66"/>
      <c r="AD2362" s="66"/>
      <c r="AE2362" s="66"/>
      <c r="AF2362" s="66"/>
      <c r="AG2362" s="66"/>
      <c r="AH2362" s="66"/>
      <c r="AI2362" s="66"/>
      <c r="AJ2362" s="66"/>
      <c r="AK2362" s="66"/>
      <c r="AL2362" s="66"/>
      <c r="AM2362" s="66"/>
      <c r="AN2362" s="66"/>
      <c r="AO2362" s="66"/>
      <c r="AP2362" s="66"/>
      <c r="AQ2362" s="66"/>
      <c r="AR2362" s="66"/>
      <c r="AS2362" s="66"/>
      <c r="AT2362" s="66"/>
      <c r="AU2362" s="66"/>
      <c r="AV2362" s="66"/>
      <c r="AW2362" s="66"/>
      <c r="AX2362" s="66"/>
      <c r="AY2362" s="66"/>
      <c r="AZ2362" s="66"/>
      <c r="BA2362" s="66"/>
      <c r="BB2362" s="66"/>
      <c r="BC2362" s="66"/>
      <c r="BD2362" s="66"/>
      <c r="BE2362" s="67"/>
      <c r="BF2362" s="67"/>
      <c r="BG2362" s="68"/>
      <c r="BI2362" s="69">
        <v>0</v>
      </c>
      <c r="BJ2362" s="70">
        <v>0</v>
      </c>
      <c r="BK2362" s="71">
        <v>0</v>
      </c>
      <c r="BL2362" s="71">
        <v>0</v>
      </c>
      <c r="BM2362" s="71">
        <v>0</v>
      </c>
      <c r="BN2362" s="72">
        <v>0</v>
      </c>
      <c r="BO2362" s="151" t="e">
        <f t="shared" si="154"/>
        <v>#DIV/0!</v>
      </c>
      <c r="BP2362" s="151" t="e">
        <f t="shared" si="155"/>
        <v>#DIV/0!</v>
      </c>
      <c r="BQ2362" s="71">
        <v>0</v>
      </c>
      <c r="BR2362" s="71">
        <v>0</v>
      </c>
      <c r="BS2362" s="71">
        <v>0</v>
      </c>
      <c r="BT2362" s="72">
        <v>0</v>
      </c>
      <c r="BU2362" s="151" t="e">
        <f t="shared" si="156"/>
        <v>#DIV/0!</v>
      </c>
      <c r="BV2362" s="151" t="e">
        <f t="shared" si="157"/>
        <v>#DIV/0!</v>
      </c>
    </row>
    <row r="2363" ht="30" customHeight="1" spans="1:74">
      <c r="A2363" s="55" t="s">
        <v>96</v>
      </c>
      <c r="B2363" s="56" t="s">
        <v>1237</v>
      </c>
      <c r="C2363" s="57" t="s">
        <v>3341</v>
      </c>
      <c r="D2363" s="59" t="s">
        <v>3683</v>
      </c>
      <c r="E2363" s="59" t="s">
        <v>3684</v>
      </c>
      <c r="F2363" s="59" t="str">
        <f>VLOOKUP(E2363,[1]库存!$B$1:$C$65536,2,FALSE)</f>
        <v>SAIC AH4EM CAB LH A状态</v>
      </c>
      <c r="G2363" s="59" t="s">
        <v>3685</v>
      </c>
      <c r="H2363" s="59" t="s">
        <v>3686</v>
      </c>
      <c r="I2363" s="59" t="s">
        <v>3687</v>
      </c>
      <c r="J2363" s="63"/>
      <c r="K2363" s="61"/>
      <c r="L2363" s="62">
        <v>0</v>
      </c>
      <c r="M2363" s="63">
        <v>400</v>
      </c>
      <c r="N2363" s="64">
        <v>4</v>
      </c>
      <c r="O2363" s="62">
        <v>2</v>
      </c>
      <c r="P2363" s="65">
        <f t="shared" si="158"/>
        <v>0</v>
      </c>
      <c r="Q2363" s="66"/>
      <c r="R2363" s="66"/>
      <c r="S2363" s="66"/>
      <c r="T2363" s="66"/>
      <c r="U2363" s="66"/>
      <c r="V2363" s="66"/>
      <c r="W2363" s="66"/>
      <c r="X2363" s="66"/>
      <c r="Y2363" s="66"/>
      <c r="Z2363" s="66"/>
      <c r="AA2363" s="66" t="s">
        <v>3688</v>
      </c>
      <c r="AB2363" s="66">
        <v>400</v>
      </c>
      <c r="AC2363" s="66"/>
      <c r="AD2363" s="66"/>
      <c r="AE2363" s="66"/>
      <c r="AF2363" s="66"/>
      <c r="AG2363" s="66"/>
      <c r="AH2363" s="66"/>
      <c r="AI2363" s="66"/>
      <c r="AJ2363" s="66"/>
      <c r="AK2363" s="96"/>
      <c r="AL2363" s="96"/>
      <c r="AM2363" s="96"/>
      <c r="AN2363" s="96"/>
      <c r="AO2363" s="66"/>
      <c r="AP2363" s="66"/>
      <c r="AQ2363" s="66"/>
      <c r="AR2363" s="66"/>
      <c r="AS2363" s="66"/>
      <c r="AT2363" s="66"/>
      <c r="AU2363" s="66"/>
      <c r="AV2363" s="66"/>
      <c r="AW2363" s="66"/>
      <c r="AX2363" s="66"/>
      <c r="AY2363" s="66"/>
      <c r="AZ2363" s="66"/>
      <c r="BA2363" s="66"/>
      <c r="BB2363" s="66"/>
      <c r="BC2363" s="66"/>
      <c r="BD2363" s="66"/>
      <c r="BE2363" s="67"/>
      <c r="BF2363" s="67"/>
      <c r="BG2363" s="68"/>
      <c r="BI2363" s="69">
        <v>0</v>
      </c>
      <c r="BJ2363" s="70">
        <v>0</v>
      </c>
      <c r="BK2363" s="71">
        <v>0</v>
      </c>
      <c r="BL2363" s="71">
        <v>0</v>
      </c>
      <c r="BM2363" s="71">
        <v>0</v>
      </c>
      <c r="BN2363" s="72">
        <v>0</v>
      </c>
      <c r="BO2363" s="151" t="e">
        <f t="shared" si="154"/>
        <v>#DIV/0!</v>
      </c>
      <c r="BP2363" s="151" t="e">
        <f t="shared" si="155"/>
        <v>#DIV/0!</v>
      </c>
      <c r="BQ2363" s="71">
        <v>0</v>
      </c>
      <c r="BR2363" s="71">
        <v>0</v>
      </c>
      <c r="BS2363" s="71">
        <v>0</v>
      </c>
      <c r="BT2363" s="72">
        <v>0</v>
      </c>
      <c r="BU2363" s="151" t="e">
        <f t="shared" si="156"/>
        <v>#DIV/0!</v>
      </c>
      <c r="BV2363" s="151" t="e">
        <f t="shared" si="157"/>
        <v>#DIV/0!</v>
      </c>
    </row>
    <row r="2364" ht="30" customHeight="1" spans="1:74">
      <c r="A2364" s="55">
        <v>0</v>
      </c>
      <c r="B2364" s="56">
        <v>0</v>
      </c>
      <c r="C2364" s="57">
        <v>0</v>
      </c>
      <c r="D2364" s="74"/>
      <c r="E2364" s="74"/>
      <c r="F2364" s="59" t="e">
        <f>VLOOKUP(E2364,[1]库存!$B$1:$C$65536,2,FALSE)</f>
        <v>#N/A</v>
      </c>
      <c r="G2364" s="59" t="e">
        <v>#N/A</v>
      </c>
      <c r="H2364" s="74"/>
      <c r="I2364" s="74"/>
      <c r="J2364" s="87"/>
      <c r="K2364" s="61"/>
      <c r="L2364" s="62">
        <v>0</v>
      </c>
      <c r="M2364" s="63">
        <v>0</v>
      </c>
      <c r="N2364" s="64">
        <v>0</v>
      </c>
      <c r="O2364" s="62">
        <v>0</v>
      </c>
      <c r="P2364" s="65">
        <f t="shared" si="158"/>
        <v>0</v>
      </c>
      <c r="Q2364" s="66"/>
      <c r="R2364" s="66"/>
      <c r="S2364" s="66"/>
      <c r="T2364" s="66"/>
      <c r="U2364" s="66"/>
      <c r="V2364" s="66"/>
      <c r="W2364" s="66"/>
      <c r="X2364" s="66"/>
      <c r="Y2364" s="66"/>
      <c r="Z2364" s="66"/>
      <c r="AA2364" s="66">
        <v>317</v>
      </c>
      <c r="AB2364" s="66" t="s">
        <v>3689</v>
      </c>
      <c r="AC2364" s="66"/>
      <c r="AD2364" s="66"/>
      <c r="AE2364" s="66"/>
      <c r="AF2364" s="66"/>
      <c r="AG2364" s="66"/>
      <c r="AH2364" s="66"/>
      <c r="AI2364" s="66"/>
      <c r="AJ2364" s="66"/>
      <c r="AK2364" s="66"/>
      <c r="AL2364" s="66"/>
      <c r="AM2364" s="66"/>
      <c r="AN2364" s="66"/>
      <c r="AO2364" s="66"/>
      <c r="AP2364" s="66"/>
      <c r="AQ2364" s="66"/>
      <c r="AR2364" s="66"/>
      <c r="AS2364" s="66"/>
      <c r="AT2364" s="66"/>
      <c r="AU2364" s="66"/>
      <c r="AV2364" s="66"/>
      <c r="AW2364" s="66"/>
      <c r="AX2364" s="66"/>
      <c r="AY2364" s="66"/>
      <c r="AZ2364" s="66"/>
      <c r="BA2364" s="66"/>
      <c r="BB2364" s="66"/>
      <c r="BC2364" s="66"/>
      <c r="BD2364" s="66"/>
      <c r="BE2364" s="67"/>
      <c r="BF2364" s="67"/>
      <c r="BG2364" s="68"/>
      <c r="BI2364" s="69">
        <v>0</v>
      </c>
      <c r="BJ2364" s="70">
        <v>0</v>
      </c>
      <c r="BK2364" s="71">
        <v>0</v>
      </c>
      <c r="BL2364" s="71">
        <v>0</v>
      </c>
      <c r="BM2364" s="71">
        <v>0</v>
      </c>
      <c r="BN2364" s="72">
        <v>0</v>
      </c>
      <c r="BO2364" s="151" t="e">
        <f t="shared" si="154"/>
        <v>#DIV/0!</v>
      </c>
      <c r="BP2364" s="151" t="e">
        <f t="shared" si="155"/>
        <v>#DIV/0!</v>
      </c>
      <c r="BQ2364" s="71">
        <v>0</v>
      </c>
      <c r="BR2364" s="71">
        <v>0</v>
      </c>
      <c r="BS2364" s="71">
        <v>0</v>
      </c>
      <c r="BT2364" s="72">
        <v>0</v>
      </c>
      <c r="BU2364" s="151" t="e">
        <f t="shared" si="156"/>
        <v>#DIV/0!</v>
      </c>
      <c r="BV2364" s="151" t="e">
        <f t="shared" si="157"/>
        <v>#DIV/0!</v>
      </c>
    </row>
    <row r="2365" ht="30" customHeight="1" spans="1:74">
      <c r="A2365" s="55" t="s">
        <v>96</v>
      </c>
      <c r="B2365" s="56" t="s">
        <v>1237</v>
      </c>
      <c r="C2365" s="57" t="s">
        <v>3341</v>
      </c>
      <c r="D2365" s="59" t="s">
        <v>3683</v>
      </c>
      <c r="E2365" s="59" t="s">
        <v>3690</v>
      </c>
      <c r="F2365" s="59" t="str">
        <f>VLOOKUP(E2365,[1]库存!$B$1:$C$65536,2,FALSE)</f>
        <v>SAIC AH4EM CAB RH A状态</v>
      </c>
      <c r="G2365" s="59" t="s">
        <v>3691</v>
      </c>
      <c r="H2365" s="59" t="s">
        <v>3692</v>
      </c>
      <c r="I2365" s="59" t="s">
        <v>3687</v>
      </c>
      <c r="J2365" s="63"/>
      <c r="K2365" s="61"/>
      <c r="L2365" s="62">
        <v>0</v>
      </c>
      <c r="M2365" s="63">
        <v>400</v>
      </c>
      <c r="N2365" s="64">
        <v>4</v>
      </c>
      <c r="O2365" s="62">
        <v>2</v>
      </c>
      <c r="P2365" s="65">
        <f t="shared" si="158"/>
        <v>0</v>
      </c>
      <c r="Q2365" s="66"/>
      <c r="R2365" s="66"/>
      <c r="S2365" s="66"/>
      <c r="T2365" s="66"/>
      <c r="U2365" s="66"/>
      <c r="V2365" s="66"/>
      <c r="W2365" s="66"/>
      <c r="X2365" s="66"/>
      <c r="Y2365" s="66"/>
      <c r="Z2365" s="66"/>
      <c r="AA2365" s="66"/>
      <c r="AB2365" s="66"/>
      <c r="AC2365" s="66" t="s">
        <v>3688</v>
      </c>
      <c r="AD2365" s="66">
        <v>400</v>
      </c>
      <c r="AE2365" s="66"/>
      <c r="AF2365" s="66"/>
      <c r="AG2365" s="66"/>
      <c r="AH2365" s="66"/>
      <c r="AI2365" s="96"/>
      <c r="AJ2365" s="96"/>
      <c r="AK2365" s="66"/>
      <c r="AL2365" s="66"/>
      <c r="AM2365" s="66"/>
      <c r="AN2365" s="66"/>
      <c r="AO2365" s="66"/>
      <c r="AP2365" s="66"/>
      <c r="AQ2365" s="66"/>
      <c r="AR2365" s="66"/>
      <c r="AS2365" s="66"/>
      <c r="AT2365" s="66"/>
      <c r="AU2365" s="66"/>
      <c r="AV2365" s="66"/>
      <c r="AW2365" s="66"/>
      <c r="AX2365" s="66"/>
      <c r="AY2365" s="66"/>
      <c r="AZ2365" s="66"/>
      <c r="BA2365" s="66"/>
      <c r="BB2365" s="66"/>
      <c r="BC2365" s="66"/>
      <c r="BD2365" s="66"/>
      <c r="BE2365" s="67"/>
      <c r="BF2365" s="67"/>
      <c r="BG2365" s="68"/>
      <c r="BI2365" s="69">
        <v>0</v>
      </c>
      <c r="BJ2365" s="70">
        <v>0</v>
      </c>
      <c r="BK2365" s="71">
        <v>0</v>
      </c>
      <c r="BL2365" s="71">
        <v>0</v>
      </c>
      <c r="BM2365" s="71">
        <v>0</v>
      </c>
      <c r="BN2365" s="72">
        <v>0</v>
      </c>
      <c r="BO2365" s="151" t="e">
        <f t="shared" si="154"/>
        <v>#DIV/0!</v>
      </c>
      <c r="BP2365" s="151" t="e">
        <f t="shared" si="155"/>
        <v>#DIV/0!</v>
      </c>
      <c r="BQ2365" s="71">
        <v>0</v>
      </c>
      <c r="BR2365" s="71">
        <v>0</v>
      </c>
      <c r="BS2365" s="71">
        <v>0</v>
      </c>
      <c r="BT2365" s="72">
        <v>0</v>
      </c>
      <c r="BU2365" s="151" t="e">
        <f t="shared" si="156"/>
        <v>#DIV/0!</v>
      </c>
      <c r="BV2365" s="151" t="e">
        <f t="shared" si="157"/>
        <v>#DIV/0!</v>
      </c>
    </row>
    <row r="2366" ht="30" customHeight="1" spans="1:74">
      <c r="A2366" s="55">
        <v>0</v>
      </c>
      <c r="B2366" s="56">
        <v>0</v>
      </c>
      <c r="C2366" s="57">
        <v>0</v>
      </c>
      <c r="D2366" s="74"/>
      <c r="E2366" s="74"/>
      <c r="F2366" s="59" t="e">
        <f>VLOOKUP(E2366,[1]库存!$B$1:$C$65536,2,FALSE)</f>
        <v>#N/A</v>
      </c>
      <c r="G2366" s="59" t="e">
        <v>#N/A</v>
      </c>
      <c r="H2366" s="74"/>
      <c r="I2366" s="74"/>
      <c r="J2366" s="87"/>
      <c r="K2366" s="61"/>
      <c r="L2366" s="62">
        <v>0</v>
      </c>
      <c r="M2366" s="63">
        <v>0</v>
      </c>
      <c r="N2366" s="64">
        <v>0</v>
      </c>
      <c r="O2366" s="62">
        <v>0</v>
      </c>
      <c r="P2366" s="65">
        <f t="shared" si="158"/>
        <v>0</v>
      </c>
      <c r="Q2366" s="66"/>
      <c r="R2366" s="66"/>
      <c r="S2366" s="66"/>
      <c r="T2366" s="66"/>
      <c r="U2366" s="66"/>
      <c r="V2366" s="66"/>
      <c r="W2366" s="66"/>
      <c r="X2366" s="66"/>
      <c r="Y2366" s="66"/>
      <c r="Z2366" s="66"/>
      <c r="AA2366" s="66"/>
      <c r="AB2366" s="66"/>
      <c r="AC2366" s="66">
        <v>338</v>
      </c>
      <c r="AD2366" s="66" t="s">
        <v>3693</v>
      </c>
      <c r="AE2366" s="66"/>
      <c r="AF2366" s="66"/>
      <c r="AG2366" s="66"/>
      <c r="AH2366" s="66"/>
      <c r="AI2366" s="66"/>
      <c r="AJ2366" s="66"/>
      <c r="AK2366" s="66"/>
      <c r="AL2366" s="66"/>
      <c r="AM2366" s="66"/>
      <c r="AN2366" s="66"/>
      <c r="AO2366" s="66"/>
      <c r="AP2366" s="66"/>
      <c r="AQ2366" s="66"/>
      <c r="AR2366" s="66"/>
      <c r="AS2366" s="66"/>
      <c r="AT2366" s="66"/>
      <c r="AU2366" s="66"/>
      <c r="AV2366" s="66"/>
      <c r="AW2366" s="66"/>
      <c r="AX2366" s="66"/>
      <c r="AY2366" s="66"/>
      <c r="AZ2366" s="66"/>
      <c r="BA2366" s="66"/>
      <c r="BB2366" s="66"/>
      <c r="BC2366" s="66"/>
      <c r="BD2366" s="66"/>
      <c r="BE2366" s="67"/>
      <c r="BF2366" s="67"/>
      <c r="BG2366" s="68"/>
      <c r="BI2366" s="69">
        <v>0</v>
      </c>
      <c r="BJ2366" s="70">
        <v>0</v>
      </c>
      <c r="BK2366" s="71">
        <v>0</v>
      </c>
      <c r="BL2366" s="71">
        <v>0</v>
      </c>
      <c r="BM2366" s="71">
        <v>0</v>
      </c>
      <c r="BN2366" s="72">
        <v>0</v>
      </c>
      <c r="BO2366" s="151" t="e">
        <f t="shared" si="154"/>
        <v>#DIV/0!</v>
      </c>
      <c r="BP2366" s="151" t="e">
        <f t="shared" si="155"/>
        <v>#DIV/0!</v>
      </c>
      <c r="BQ2366" s="71">
        <v>0</v>
      </c>
      <c r="BR2366" s="71">
        <v>0</v>
      </c>
      <c r="BS2366" s="71">
        <v>0</v>
      </c>
      <c r="BT2366" s="72">
        <v>0</v>
      </c>
      <c r="BU2366" s="151" t="e">
        <f t="shared" si="156"/>
        <v>#DIV/0!</v>
      </c>
      <c r="BV2366" s="151" t="e">
        <f t="shared" si="157"/>
        <v>#DIV/0!</v>
      </c>
    </row>
    <row r="2367" ht="30" customHeight="1" spans="1:74">
      <c r="A2367" s="55">
        <v>0</v>
      </c>
      <c r="B2367" s="56" t="s">
        <v>1237</v>
      </c>
      <c r="C2367" s="57" t="s">
        <v>3341</v>
      </c>
      <c r="D2367" s="59" t="s">
        <v>3227</v>
      </c>
      <c r="E2367" s="59" t="s">
        <v>3694</v>
      </c>
      <c r="F2367" s="59" t="str">
        <f>VLOOKUP(E2367,[1]库存!$B$1:$C$65536,2,FALSE)</f>
        <v>S401 CAB拉带</v>
      </c>
      <c r="G2367" s="59" t="s">
        <v>3695</v>
      </c>
      <c r="H2367" s="59" t="s">
        <v>3696</v>
      </c>
      <c r="I2367" s="59"/>
      <c r="J2367" s="63"/>
      <c r="K2367" s="61"/>
      <c r="L2367" s="62">
        <v>0</v>
      </c>
      <c r="M2367" s="63">
        <v>1200</v>
      </c>
      <c r="N2367" s="64">
        <v>1.5</v>
      </c>
      <c r="O2367" s="62">
        <v>0</v>
      </c>
      <c r="P2367" s="65">
        <f t="shared" si="158"/>
        <v>0</v>
      </c>
      <c r="Q2367" s="66"/>
      <c r="R2367" s="66"/>
      <c r="S2367" s="66"/>
      <c r="T2367" s="66"/>
      <c r="U2367" s="66"/>
      <c r="V2367" s="66"/>
      <c r="W2367" s="66"/>
      <c r="X2367" s="66"/>
      <c r="Y2367" s="66"/>
      <c r="Z2367" s="66"/>
      <c r="AA2367" s="66"/>
      <c r="AB2367" s="66"/>
      <c r="AC2367" s="66"/>
      <c r="AD2367" s="66"/>
      <c r="AE2367" s="66"/>
      <c r="AF2367" s="66"/>
      <c r="AG2367" s="66"/>
      <c r="AH2367" s="66"/>
      <c r="AI2367" s="66"/>
      <c r="AJ2367" s="66"/>
      <c r="AK2367" s="66"/>
      <c r="AL2367" s="66"/>
      <c r="AM2367" s="66"/>
      <c r="AN2367" s="66"/>
      <c r="AO2367" s="66"/>
      <c r="AP2367" s="66"/>
      <c r="AQ2367" s="66"/>
      <c r="AR2367" s="66"/>
      <c r="AS2367" s="66"/>
      <c r="AT2367" s="66"/>
      <c r="AU2367" s="66"/>
      <c r="AV2367" s="66"/>
      <c r="AW2367" s="66"/>
      <c r="AX2367" s="66"/>
      <c r="AY2367" s="66"/>
      <c r="AZ2367" s="66"/>
      <c r="BA2367" s="66"/>
      <c r="BB2367" s="66"/>
      <c r="BC2367" s="66"/>
      <c r="BD2367" s="66"/>
      <c r="BE2367" s="67"/>
      <c r="BF2367" s="67"/>
      <c r="BG2367" s="68"/>
      <c r="BI2367" s="69">
        <v>0</v>
      </c>
      <c r="BJ2367" s="70">
        <v>0</v>
      </c>
      <c r="BK2367" s="71">
        <v>0</v>
      </c>
      <c r="BL2367" s="71">
        <v>0</v>
      </c>
      <c r="BM2367" s="71">
        <v>0</v>
      </c>
      <c r="BN2367" s="72">
        <v>0</v>
      </c>
      <c r="BO2367" s="151" t="e">
        <f t="shared" si="154"/>
        <v>#DIV/0!</v>
      </c>
      <c r="BP2367" s="151" t="e">
        <f t="shared" si="155"/>
        <v>#DIV/0!</v>
      </c>
      <c r="BQ2367" s="71">
        <v>0</v>
      </c>
      <c r="BR2367" s="71">
        <v>0</v>
      </c>
      <c r="BS2367" s="71">
        <v>0</v>
      </c>
      <c r="BT2367" s="72">
        <v>0</v>
      </c>
      <c r="BU2367" s="151" t="e">
        <f t="shared" si="156"/>
        <v>#DIV/0!</v>
      </c>
      <c r="BV2367" s="151" t="e">
        <f t="shared" si="157"/>
        <v>#DIV/0!</v>
      </c>
    </row>
    <row r="2368" ht="30" customHeight="1" spans="1:74">
      <c r="A2368" s="55">
        <v>0</v>
      </c>
      <c r="B2368" s="56">
        <v>0</v>
      </c>
      <c r="C2368" s="57">
        <v>0</v>
      </c>
      <c r="D2368" s="74"/>
      <c r="E2368" s="74"/>
      <c r="F2368" s="59" t="e">
        <f>VLOOKUP(E2368,[1]库存!$B$1:$C$65536,2,FALSE)</f>
        <v>#N/A</v>
      </c>
      <c r="G2368" s="59" t="e">
        <v>#N/A</v>
      </c>
      <c r="H2368" s="74"/>
      <c r="I2368" s="74"/>
      <c r="J2368" s="87"/>
      <c r="K2368" s="61"/>
      <c r="L2368" s="62">
        <v>0</v>
      </c>
      <c r="M2368" s="63">
        <v>0</v>
      </c>
      <c r="N2368" s="64">
        <v>0</v>
      </c>
      <c r="O2368" s="62">
        <v>0</v>
      </c>
      <c r="P2368" s="65">
        <f t="shared" si="158"/>
        <v>0</v>
      </c>
      <c r="Q2368" s="66"/>
      <c r="R2368" s="66"/>
      <c r="S2368" s="66"/>
      <c r="T2368" s="66"/>
      <c r="U2368" s="66"/>
      <c r="V2368" s="66"/>
      <c r="W2368" s="66"/>
      <c r="X2368" s="66"/>
      <c r="Y2368" s="66"/>
      <c r="Z2368" s="66"/>
      <c r="AA2368" s="66"/>
      <c r="AB2368" s="66"/>
      <c r="AC2368" s="66"/>
      <c r="AD2368" s="66"/>
      <c r="AE2368" s="66"/>
      <c r="AF2368" s="66"/>
      <c r="AG2368" s="66"/>
      <c r="AH2368" s="66"/>
      <c r="AI2368" s="66"/>
      <c r="AJ2368" s="66"/>
      <c r="AK2368" s="66"/>
      <c r="AL2368" s="66"/>
      <c r="AM2368" s="66"/>
      <c r="AN2368" s="66"/>
      <c r="AO2368" s="66"/>
      <c r="AP2368" s="66"/>
      <c r="AQ2368" s="66"/>
      <c r="AR2368" s="66"/>
      <c r="AS2368" s="66"/>
      <c r="AT2368" s="66"/>
      <c r="AU2368" s="66"/>
      <c r="AV2368" s="66"/>
      <c r="AW2368" s="66"/>
      <c r="AX2368" s="66"/>
      <c r="AY2368" s="66"/>
      <c r="AZ2368" s="66"/>
      <c r="BA2368" s="66"/>
      <c r="BB2368" s="66"/>
      <c r="BC2368" s="66"/>
      <c r="BD2368" s="66"/>
      <c r="BE2368" s="67"/>
      <c r="BF2368" s="67"/>
      <c r="BG2368" s="68"/>
      <c r="BI2368" s="69">
        <v>0</v>
      </c>
      <c r="BJ2368" s="70">
        <v>0</v>
      </c>
      <c r="BK2368" s="71">
        <v>0</v>
      </c>
      <c r="BL2368" s="71">
        <v>0</v>
      </c>
      <c r="BM2368" s="71">
        <v>0</v>
      </c>
      <c r="BN2368" s="72">
        <v>0</v>
      </c>
      <c r="BO2368" s="151" t="e">
        <f t="shared" si="154"/>
        <v>#DIV/0!</v>
      </c>
      <c r="BP2368" s="151" t="e">
        <f t="shared" si="155"/>
        <v>#DIV/0!</v>
      </c>
      <c r="BQ2368" s="71">
        <v>0</v>
      </c>
      <c r="BR2368" s="71">
        <v>0</v>
      </c>
      <c r="BS2368" s="71">
        <v>0</v>
      </c>
      <c r="BT2368" s="72">
        <v>0</v>
      </c>
      <c r="BU2368" s="151" t="e">
        <f t="shared" si="156"/>
        <v>#DIV/0!</v>
      </c>
      <c r="BV2368" s="151" t="e">
        <f t="shared" si="157"/>
        <v>#DIV/0!</v>
      </c>
    </row>
    <row r="2369" ht="30" customHeight="1" spans="1:74">
      <c r="A2369" s="55">
        <v>0</v>
      </c>
      <c r="B2369" s="56" t="s">
        <v>1237</v>
      </c>
      <c r="C2369" s="57" t="s">
        <v>3341</v>
      </c>
      <c r="D2369" s="59" t="s">
        <v>3697</v>
      </c>
      <c r="E2369" s="59" t="s">
        <v>3698</v>
      </c>
      <c r="F2369" s="59" t="str">
        <f>VLOOKUP(E2369,[1]库存!$B$1:$C$65536,2,FALSE)</f>
        <v>S401 CAB导气袋</v>
      </c>
      <c r="G2369" s="59" t="s">
        <v>3699</v>
      </c>
      <c r="H2369" s="59" t="s">
        <v>3700</v>
      </c>
      <c r="I2369" s="59"/>
      <c r="J2369" s="63"/>
      <c r="K2369" s="61"/>
      <c r="L2369" s="62">
        <v>0.7</v>
      </c>
      <c r="M2369" s="63">
        <v>400</v>
      </c>
      <c r="N2369" s="64">
        <v>5</v>
      </c>
      <c r="O2369" s="62">
        <v>0.7</v>
      </c>
      <c r="P2369" s="65">
        <f t="shared" si="158"/>
        <v>0</v>
      </c>
      <c r="Q2369" s="66"/>
      <c r="R2369" s="66"/>
      <c r="S2369" s="66"/>
      <c r="T2369" s="66"/>
      <c r="U2369" s="66"/>
      <c r="V2369" s="66"/>
      <c r="W2369" s="66"/>
      <c r="X2369" s="66"/>
      <c r="Y2369" s="66"/>
      <c r="Z2369" s="66"/>
      <c r="AA2369" s="66"/>
      <c r="AB2369" s="66"/>
      <c r="AC2369" s="66"/>
      <c r="AD2369" s="66"/>
      <c r="AE2369" s="66"/>
      <c r="AF2369" s="66"/>
      <c r="AG2369" s="66"/>
      <c r="AH2369" s="66"/>
      <c r="AI2369" s="66"/>
      <c r="AJ2369" s="66"/>
      <c r="AK2369" s="66"/>
      <c r="AL2369" s="66"/>
      <c r="AM2369" s="66"/>
      <c r="AN2369" s="66"/>
      <c r="AO2369" s="66"/>
      <c r="AP2369" s="66"/>
      <c r="AQ2369" s="66"/>
      <c r="AR2369" s="66"/>
      <c r="AS2369" s="66"/>
      <c r="AT2369" s="66"/>
      <c r="AU2369" s="66"/>
      <c r="AV2369" s="66"/>
      <c r="AW2369" s="66"/>
      <c r="AX2369" s="66"/>
      <c r="AY2369" s="66"/>
      <c r="AZ2369" s="66"/>
      <c r="BA2369" s="66"/>
      <c r="BB2369" s="66"/>
      <c r="BC2369" s="66"/>
      <c r="BD2369" s="66"/>
      <c r="BE2369" s="67"/>
      <c r="BF2369" s="67"/>
      <c r="BG2369" s="68"/>
      <c r="BI2369" s="69">
        <v>0</v>
      </c>
      <c r="BJ2369" s="70">
        <v>0</v>
      </c>
      <c r="BK2369" s="71">
        <v>0</v>
      </c>
      <c r="BL2369" s="71">
        <v>0</v>
      </c>
      <c r="BM2369" s="71">
        <v>0</v>
      </c>
      <c r="BN2369" s="72">
        <v>0</v>
      </c>
      <c r="BO2369" s="151" t="e">
        <f t="shared" si="154"/>
        <v>#DIV/0!</v>
      </c>
      <c r="BP2369" s="151" t="e">
        <f t="shared" si="155"/>
        <v>#DIV/0!</v>
      </c>
      <c r="BQ2369" s="71">
        <v>0</v>
      </c>
      <c r="BR2369" s="71">
        <v>0</v>
      </c>
      <c r="BS2369" s="71">
        <v>0</v>
      </c>
      <c r="BT2369" s="72">
        <v>0</v>
      </c>
      <c r="BU2369" s="151" t="e">
        <f t="shared" si="156"/>
        <v>#DIV/0!</v>
      </c>
      <c r="BV2369" s="151" t="e">
        <f t="shared" si="157"/>
        <v>#DIV/0!</v>
      </c>
    </row>
    <row r="2370" ht="30" customHeight="1" spans="1:74">
      <c r="A2370" s="55">
        <v>0</v>
      </c>
      <c r="B2370" s="56">
        <v>0</v>
      </c>
      <c r="C2370" s="57">
        <v>0</v>
      </c>
      <c r="D2370" s="74"/>
      <c r="E2370" s="74"/>
      <c r="F2370" s="59" t="e">
        <f>VLOOKUP(E2370,[1]库存!$B$1:$C$65536,2,FALSE)</f>
        <v>#N/A</v>
      </c>
      <c r="G2370" s="59" t="e">
        <v>#N/A</v>
      </c>
      <c r="H2370" s="74"/>
      <c r="I2370" s="74"/>
      <c r="J2370" s="87"/>
      <c r="K2370" s="61"/>
      <c r="L2370" s="62">
        <v>0</v>
      </c>
      <c r="M2370" s="63">
        <v>0</v>
      </c>
      <c r="N2370" s="64">
        <v>0</v>
      </c>
      <c r="O2370" s="62">
        <v>0</v>
      </c>
      <c r="P2370" s="65">
        <f t="shared" si="158"/>
        <v>0</v>
      </c>
      <c r="Q2370" s="66"/>
      <c r="R2370" s="66"/>
      <c r="S2370" s="66"/>
      <c r="T2370" s="66"/>
      <c r="U2370" s="66"/>
      <c r="V2370" s="66"/>
      <c r="W2370" s="66"/>
      <c r="X2370" s="66"/>
      <c r="Y2370" s="66"/>
      <c r="Z2370" s="66"/>
      <c r="AA2370" s="66"/>
      <c r="AB2370" s="66"/>
      <c r="AC2370" s="66"/>
      <c r="AD2370" s="66"/>
      <c r="AE2370" s="66"/>
      <c r="AF2370" s="66"/>
      <c r="AG2370" s="66"/>
      <c r="AH2370" s="66"/>
      <c r="AI2370" s="66"/>
      <c r="AJ2370" s="66"/>
      <c r="AK2370" s="66"/>
      <c r="AL2370" s="66"/>
      <c r="AM2370" s="66"/>
      <c r="AN2370" s="66"/>
      <c r="AO2370" s="66"/>
      <c r="AP2370" s="66"/>
      <c r="AQ2370" s="66"/>
      <c r="AR2370" s="66"/>
      <c r="AS2370" s="66"/>
      <c r="AT2370" s="66"/>
      <c r="AU2370" s="66"/>
      <c r="AV2370" s="66"/>
      <c r="AW2370" s="66"/>
      <c r="AX2370" s="66"/>
      <c r="AY2370" s="66"/>
      <c r="AZ2370" s="66"/>
      <c r="BA2370" s="66"/>
      <c r="BB2370" s="66"/>
      <c r="BC2370" s="66"/>
      <c r="BD2370" s="66"/>
      <c r="BE2370" s="67"/>
      <c r="BF2370" s="67"/>
      <c r="BG2370" s="68"/>
      <c r="BI2370" s="69">
        <v>0</v>
      </c>
      <c r="BJ2370" s="70">
        <v>0</v>
      </c>
      <c r="BK2370" s="71">
        <v>0</v>
      </c>
      <c r="BL2370" s="71">
        <v>0</v>
      </c>
      <c r="BM2370" s="71">
        <v>0</v>
      </c>
      <c r="BN2370" s="72">
        <v>0</v>
      </c>
      <c r="BO2370" s="151" t="e">
        <f t="shared" ref="BO2370:BO2433" si="159">(BK2370+BL2370)/BJ2370</f>
        <v>#DIV/0!</v>
      </c>
      <c r="BP2370" s="151" t="e">
        <f t="shared" ref="BP2370:BP2433" si="160">BM2370/BJ2370</f>
        <v>#DIV/0!</v>
      </c>
      <c r="BQ2370" s="71">
        <v>0</v>
      </c>
      <c r="BR2370" s="71">
        <v>0</v>
      </c>
      <c r="BS2370" s="71">
        <v>0</v>
      </c>
      <c r="BT2370" s="72">
        <v>0</v>
      </c>
      <c r="BU2370" s="151" t="e">
        <f t="shared" si="156"/>
        <v>#DIV/0!</v>
      </c>
      <c r="BV2370" s="151" t="e">
        <f t="shared" si="157"/>
        <v>#DIV/0!</v>
      </c>
    </row>
    <row r="2371" ht="30" customHeight="1" spans="1:74">
      <c r="A2371" s="55" t="s">
        <v>41</v>
      </c>
      <c r="B2371" s="56" t="s">
        <v>1237</v>
      </c>
      <c r="C2371" s="57" t="s">
        <v>3341</v>
      </c>
      <c r="D2371" s="59" t="s">
        <v>3683</v>
      </c>
      <c r="E2371" s="59" t="s">
        <v>3701</v>
      </c>
      <c r="F2371" s="59" t="str">
        <f>VLOOKUP(E2371,[1]库存!$B$1:$C$65536,2,FALSE)</f>
        <v>S401 CAB LH</v>
      </c>
      <c r="G2371" s="59" t="s">
        <v>3702</v>
      </c>
      <c r="H2371" s="59" t="s">
        <v>3703</v>
      </c>
      <c r="I2371" s="59" t="s">
        <v>3704</v>
      </c>
      <c r="J2371" s="63"/>
      <c r="K2371" s="61"/>
      <c r="L2371" s="62">
        <v>1</v>
      </c>
      <c r="M2371" s="63">
        <v>400</v>
      </c>
      <c r="N2371" s="64">
        <v>8</v>
      </c>
      <c r="O2371" s="62">
        <v>1</v>
      </c>
      <c r="P2371" s="65">
        <f t="shared" si="158"/>
        <v>0</v>
      </c>
      <c r="Q2371" s="66"/>
      <c r="R2371" s="66"/>
      <c r="S2371" s="66"/>
      <c r="T2371" s="66"/>
      <c r="U2371" s="66"/>
      <c r="V2371" s="66"/>
      <c r="W2371" s="66"/>
      <c r="X2371" s="66"/>
      <c r="Y2371" s="66"/>
      <c r="Z2371" s="66"/>
      <c r="AA2371" s="66"/>
      <c r="AB2371" s="66"/>
      <c r="AC2371" s="66"/>
      <c r="AD2371" s="66"/>
      <c r="AE2371" s="66"/>
      <c r="AF2371" s="66"/>
      <c r="AG2371" s="66"/>
      <c r="AH2371" s="66"/>
      <c r="AI2371" s="66"/>
      <c r="AJ2371" s="66"/>
      <c r="AK2371" s="66"/>
      <c r="AL2371" s="66"/>
      <c r="AM2371" s="66"/>
      <c r="AN2371" s="66"/>
      <c r="AO2371" s="66"/>
      <c r="AP2371" s="66"/>
      <c r="AQ2371" s="66"/>
      <c r="AR2371" s="66"/>
      <c r="AS2371" s="66"/>
      <c r="AT2371" s="66"/>
      <c r="AU2371" s="66"/>
      <c r="AV2371" s="66"/>
      <c r="AW2371" s="66"/>
      <c r="AX2371" s="66"/>
      <c r="AY2371" s="66"/>
      <c r="AZ2371" s="66"/>
      <c r="BA2371" s="66"/>
      <c r="BB2371" s="66"/>
      <c r="BC2371" s="66"/>
      <c r="BD2371" s="66"/>
      <c r="BE2371" s="67"/>
      <c r="BF2371" s="67"/>
      <c r="BG2371" s="68"/>
      <c r="BI2371" s="69">
        <v>0</v>
      </c>
      <c r="BJ2371" s="70">
        <v>0</v>
      </c>
      <c r="BK2371" s="71">
        <v>0</v>
      </c>
      <c r="BL2371" s="71">
        <v>0</v>
      </c>
      <c r="BM2371" s="71">
        <v>0</v>
      </c>
      <c r="BN2371" s="72">
        <v>0</v>
      </c>
      <c r="BO2371" s="151" t="e">
        <f t="shared" si="159"/>
        <v>#DIV/0!</v>
      </c>
      <c r="BP2371" s="151" t="e">
        <f t="shared" si="160"/>
        <v>#DIV/0!</v>
      </c>
      <c r="BQ2371" s="71">
        <v>0</v>
      </c>
      <c r="BR2371" s="71">
        <v>0</v>
      </c>
      <c r="BS2371" s="71">
        <v>0</v>
      </c>
      <c r="BT2371" s="72">
        <v>0</v>
      </c>
      <c r="BU2371" s="151" t="e">
        <f t="shared" si="156"/>
        <v>#DIV/0!</v>
      </c>
      <c r="BV2371" s="151" t="e">
        <f t="shared" si="157"/>
        <v>#DIV/0!</v>
      </c>
    </row>
    <row r="2372" ht="30" customHeight="1" spans="1:74">
      <c r="A2372" s="55">
        <v>0</v>
      </c>
      <c r="B2372" s="56">
        <v>0</v>
      </c>
      <c r="C2372" s="57">
        <v>0</v>
      </c>
      <c r="D2372" s="74"/>
      <c r="E2372" s="74"/>
      <c r="F2372" s="59" t="e">
        <f>VLOOKUP(E2372,[1]库存!$B$1:$C$65536,2,FALSE)</f>
        <v>#N/A</v>
      </c>
      <c r="G2372" s="59" t="e">
        <v>#N/A</v>
      </c>
      <c r="H2372" s="74"/>
      <c r="I2372" s="74"/>
      <c r="J2372" s="87"/>
      <c r="K2372" s="61"/>
      <c r="L2372" s="62">
        <v>0</v>
      </c>
      <c r="M2372" s="63">
        <v>0</v>
      </c>
      <c r="N2372" s="64">
        <v>0</v>
      </c>
      <c r="O2372" s="62">
        <v>0</v>
      </c>
      <c r="P2372" s="65">
        <f t="shared" si="158"/>
        <v>0</v>
      </c>
      <c r="Q2372" s="66"/>
      <c r="R2372" s="66"/>
      <c r="S2372" s="66"/>
      <c r="T2372" s="66"/>
      <c r="U2372" s="66"/>
      <c r="V2372" s="66"/>
      <c r="W2372" s="66"/>
      <c r="X2372" s="66"/>
      <c r="Y2372" s="66"/>
      <c r="Z2372" s="66"/>
      <c r="AA2372" s="66"/>
      <c r="AB2372" s="66"/>
      <c r="AC2372" s="66"/>
      <c r="AD2372" s="66"/>
      <c r="AE2372" s="66"/>
      <c r="AF2372" s="66"/>
      <c r="AG2372" s="66"/>
      <c r="AH2372" s="66"/>
      <c r="AI2372" s="66"/>
      <c r="AJ2372" s="66"/>
      <c r="AK2372" s="66"/>
      <c r="AL2372" s="66"/>
      <c r="AM2372" s="66"/>
      <c r="AN2372" s="66"/>
      <c r="AO2372" s="66"/>
      <c r="AP2372" s="66"/>
      <c r="AQ2372" s="66"/>
      <c r="AR2372" s="66"/>
      <c r="AS2372" s="66"/>
      <c r="AT2372" s="66"/>
      <c r="AU2372" s="66"/>
      <c r="AV2372" s="66"/>
      <c r="AW2372" s="66"/>
      <c r="AX2372" s="66"/>
      <c r="AY2372" s="66"/>
      <c r="AZ2372" s="66"/>
      <c r="BA2372" s="66"/>
      <c r="BB2372" s="66"/>
      <c r="BC2372" s="66"/>
      <c r="BD2372" s="66"/>
      <c r="BE2372" s="67"/>
      <c r="BF2372" s="67"/>
      <c r="BG2372" s="68"/>
      <c r="BI2372" s="69">
        <v>0</v>
      </c>
      <c r="BJ2372" s="70">
        <v>0</v>
      </c>
      <c r="BK2372" s="71">
        <v>0</v>
      </c>
      <c r="BL2372" s="71">
        <v>0</v>
      </c>
      <c r="BM2372" s="71">
        <v>0</v>
      </c>
      <c r="BN2372" s="72">
        <v>0</v>
      </c>
      <c r="BO2372" s="151" t="e">
        <f t="shared" si="159"/>
        <v>#DIV/0!</v>
      </c>
      <c r="BP2372" s="151" t="e">
        <f t="shared" si="160"/>
        <v>#DIV/0!</v>
      </c>
      <c r="BQ2372" s="71">
        <v>0</v>
      </c>
      <c r="BR2372" s="71">
        <v>0</v>
      </c>
      <c r="BS2372" s="71">
        <v>0</v>
      </c>
      <c r="BT2372" s="72">
        <v>0</v>
      </c>
      <c r="BU2372" s="151" t="e">
        <f t="shared" ref="BU2372:BU2435" si="161">(BQ2372+BR2372)/BJ2372</f>
        <v>#DIV/0!</v>
      </c>
      <c r="BV2372" s="151" t="e">
        <f t="shared" ref="BV2372:BV2435" si="162">BS2372/BJ2372</f>
        <v>#DIV/0!</v>
      </c>
    </row>
    <row r="2373" ht="30" customHeight="1" spans="1:74">
      <c r="A2373" s="55" t="s">
        <v>41</v>
      </c>
      <c r="B2373" s="56" t="s">
        <v>1237</v>
      </c>
      <c r="C2373" s="57" t="s">
        <v>3341</v>
      </c>
      <c r="D2373" s="59" t="s">
        <v>3683</v>
      </c>
      <c r="E2373" s="59" t="s">
        <v>3705</v>
      </c>
      <c r="F2373" s="59" t="str">
        <f>VLOOKUP(E2373,[1]库存!$B$1:$C$65536,2,FALSE)</f>
        <v>S401 CAB RH</v>
      </c>
      <c r="G2373" s="59" t="s">
        <v>3706</v>
      </c>
      <c r="H2373" s="59" t="s">
        <v>3707</v>
      </c>
      <c r="I2373" s="59" t="s">
        <v>3704</v>
      </c>
      <c r="J2373" s="63"/>
      <c r="K2373" s="61"/>
      <c r="L2373" s="62">
        <v>1</v>
      </c>
      <c r="M2373" s="63">
        <v>400</v>
      </c>
      <c r="N2373" s="64">
        <v>8</v>
      </c>
      <c r="O2373" s="62">
        <v>1</v>
      </c>
      <c r="P2373" s="65">
        <f t="shared" si="158"/>
        <v>0</v>
      </c>
      <c r="Q2373" s="66"/>
      <c r="R2373" s="66"/>
      <c r="S2373" s="66"/>
      <c r="T2373" s="66"/>
      <c r="U2373" s="66"/>
      <c r="V2373" s="66"/>
      <c r="W2373" s="66"/>
      <c r="X2373" s="66"/>
      <c r="Y2373" s="66"/>
      <c r="Z2373" s="66"/>
      <c r="AA2373" s="66"/>
      <c r="AB2373" s="66"/>
      <c r="AC2373" s="66"/>
      <c r="AD2373" s="66"/>
      <c r="AE2373" s="66"/>
      <c r="AF2373" s="66"/>
      <c r="AG2373" s="66"/>
      <c r="AH2373" s="66"/>
      <c r="AI2373" s="66"/>
      <c r="AJ2373" s="66"/>
      <c r="AK2373" s="66"/>
      <c r="AL2373" s="66"/>
      <c r="AM2373" s="66"/>
      <c r="AN2373" s="66"/>
      <c r="AO2373" s="66"/>
      <c r="AP2373" s="66"/>
      <c r="AQ2373" s="66"/>
      <c r="AR2373" s="66"/>
      <c r="AS2373" s="66"/>
      <c r="AT2373" s="66"/>
      <c r="AU2373" s="66"/>
      <c r="AV2373" s="66"/>
      <c r="AW2373" s="66"/>
      <c r="AX2373" s="66"/>
      <c r="AY2373" s="66"/>
      <c r="AZ2373" s="66"/>
      <c r="BA2373" s="66"/>
      <c r="BB2373" s="66"/>
      <c r="BC2373" s="66"/>
      <c r="BD2373" s="66"/>
      <c r="BE2373" s="67"/>
      <c r="BF2373" s="67"/>
      <c r="BG2373" s="68"/>
      <c r="BI2373" s="69">
        <v>0</v>
      </c>
      <c r="BJ2373" s="70">
        <v>0</v>
      </c>
      <c r="BK2373" s="71">
        <v>0</v>
      </c>
      <c r="BL2373" s="71">
        <v>0</v>
      </c>
      <c r="BM2373" s="71">
        <v>0</v>
      </c>
      <c r="BN2373" s="72">
        <v>0</v>
      </c>
      <c r="BO2373" s="151" t="e">
        <f t="shared" si="159"/>
        <v>#DIV/0!</v>
      </c>
      <c r="BP2373" s="151" t="e">
        <f t="shared" si="160"/>
        <v>#DIV/0!</v>
      </c>
      <c r="BQ2373" s="71">
        <v>0</v>
      </c>
      <c r="BR2373" s="71">
        <v>0</v>
      </c>
      <c r="BS2373" s="71">
        <v>0</v>
      </c>
      <c r="BT2373" s="72">
        <v>0</v>
      </c>
      <c r="BU2373" s="151" t="e">
        <f t="shared" si="161"/>
        <v>#DIV/0!</v>
      </c>
      <c r="BV2373" s="151" t="e">
        <f t="shared" si="162"/>
        <v>#DIV/0!</v>
      </c>
    </row>
    <row r="2374" ht="30" customHeight="1" spans="1:74">
      <c r="A2374" s="55">
        <v>0</v>
      </c>
      <c r="B2374" s="56">
        <v>0</v>
      </c>
      <c r="C2374" s="57">
        <v>0</v>
      </c>
      <c r="D2374" s="74"/>
      <c r="E2374" s="74"/>
      <c r="F2374" s="59" t="e">
        <f>VLOOKUP(E2374,[1]库存!$B$1:$C$65536,2,FALSE)</f>
        <v>#N/A</v>
      </c>
      <c r="G2374" s="59" t="e">
        <v>#N/A</v>
      </c>
      <c r="H2374" s="74"/>
      <c r="I2374" s="74"/>
      <c r="J2374" s="87"/>
      <c r="K2374" s="61"/>
      <c r="L2374" s="62">
        <v>0</v>
      </c>
      <c r="M2374" s="63">
        <v>0</v>
      </c>
      <c r="N2374" s="64">
        <v>0</v>
      </c>
      <c r="O2374" s="62">
        <v>0</v>
      </c>
      <c r="P2374" s="65">
        <f t="shared" ref="P2374:P2437" si="163">SUM(AG2374:AJ2374)</f>
        <v>0</v>
      </c>
      <c r="Q2374" s="66"/>
      <c r="R2374" s="66"/>
      <c r="S2374" s="66"/>
      <c r="T2374" s="66"/>
      <c r="U2374" s="66"/>
      <c r="V2374" s="66"/>
      <c r="W2374" s="66"/>
      <c r="X2374" s="66"/>
      <c r="Y2374" s="66"/>
      <c r="Z2374" s="66"/>
      <c r="AA2374" s="66"/>
      <c r="AB2374" s="66"/>
      <c r="AC2374" s="66"/>
      <c r="AD2374" s="66"/>
      <c r="AE2374" s="66"/>
      <c r="AF2374" s="66"/>
      <c r="AG2374" s="66"/>
      <c r="AH2374" s="66"/>
      <c r="AI2374" s="66"/>
      <c r="AJ2374" s="66"/>
      <c r="AK2374" s="66"/>
      <c r="AL2374" s="66"/>
      <c r="AM2374" s="66"/>
      <c r="AN2374" s="66"/>
      <c r="AO2374" s="66"/>
      <c r="AP2374" s="66"/>
      <c r="AQ2374" s="66"/>
      <c r="AR2374" s="66"/>
      <c r="AS2374" s="66"/>
      <c r="AT2374" s="66"/>
      <c r="AU2374" s="66"/>
      <c r="AV2374" s="66"/>
      <c r="AW2374" s="66"/>
      <c r="AX2374" s="66"/>
      <c r="AY2374" s="66"/>
      <c r="AZ2374" s="66"/>
      <c r="BA2374" s="66"/>
      <c r="BB2374" s="66"/>
      <c r="BC2374" s="66"/>
      <c r="BD2374" s="66"/>
      <c r="BE2374" s="67"/>
      <c r="BF2374" s="67"/>
      <c r="BG2374" s="68"/>
      <c r="BI2374" s="69">
        <v>0</v>
      </c>
      <c r="BJ2374" s="70">
        <v>0</v>
      </c>
      <c r="BK2374" s="71">
        <v>0</v>
      </c>
      <c r="BL2374" s="71">
        <v>0</v>
      </c>
      <c r="BM2374" s="71">
        <v>0</v>
      </c>
      <c r="BN2374" s="72">
        <v>0</v>
      </c>
      <c r="BO2374" s="151" t="e">
        <f t="shared" si="159"/>
        <v>#DIV/0!</v>
      </c>
      <c r="BP2374" s="151" t="e">
        <f t="shared" si="160"/>
        <v>#DIV/0!</v>
      </c>
      <c r="BQ2374" s="71">
        <v>0</v>
      </c>
      <c r="BR2374" s="71">
        <v>0</v>
      </c>
      <c r="BS2374" s="71">
        <v>0</v>
      </c>
      <c r="BT2374" s="72">
        <v>0</v>
      </c>
      <c r="BU2374" s="151" t="e">
        <f t="shared" si="161"/>
        <v>#DIV/0!</v>
      </c>
      <c r="BV2374" s="151" t="e">
        <f t="shared" si="162"/>
        <v>#DIV/0!</v>
      </c>
    </row>
    <row r="2375" ht="30" customHeight="1" spans="1:74">
      <c r="A2375" s="55" t="s">
        <v>41</v>
      </c>
      <c r="B2375" s="56" t="s">
        <v>1237</v>
      </c>
      <c r="C2375" s="57" t="s">
        <v>3341</v>
      </c>
      <c r="D2375" s="59" t="s">
        <v>3708</v>
      </c>
      <c r="E2375" s="113" t="s">
        <v>3709</v>
      </c>
      <c r="F2375" s="59" t="str">
        <f>VLOOKUP(E2375,[1]库存!$B$1:$C$65536,2,FALSE)</f>
        <v>A06 CAB 导向布 A状态</v>
      </c>
      <c r="G2375" s="59" t="s">
        <v>3710</v>
      </c>
      <c r="H2375" s="282" t="s">
        <v>3711</v>
      </c>
      <c r="I2375" s="59">
        <v>5000009018</v>
      </c>
      <c r="J2375" s="63"/>
      <c r="K2375" s="61"/>
      <c r="L2375" s="62">
        <v>0.5</v>
      </c>
      <c r="M2375" s="63">
        <v>1200</v>
      </c>
      <c r="N2375" s="64">
        <v>2</v>
      </c>
      <c r="O2375" s="62">
        <v>0.5</v>
      </c>
      <c r="P2375" s="65">
        <f t="shared" si="163"/>
        <v>0</v>
      </c>
      <c r="Q2375" s="66"/>
      <c r="R2375" s="66"/>
      <c r="S2375" s="66"/>
      <c r="T2375" s="66"/>
      <c r="U2375" s="66"/>
      <c r="V2375" s="66"/>
      <c r="W2375" s="66"/>
      <c r="X2375" s="66"/>
      <c r="Y2375" s="66"/>
      <c r="Z2375" s="66"/>
      <c r="AA2375" s="66"/>
      <c r="AB2375" s="66"/>
      <c r="AC2375" s="66"/>
      <c r="AD2375" s="66"/>
      <c r="AE2375" s="66"/>
      <c r="AF2375" s="66"/>
      <c r="AG2375" s="66"/>
      <c r="AH2375" s="66"/>
      <c r="AI2375" s="66"/>
      <c r="AJ2375" s="66"/>
      <c r="AK2375" s="66"/>
      <c r="AL2375" s="66"/>
      <c r="AM2375" s="66"/>
      <c r="AN2375" s="66"/>
      <c r="AO2375" s="66"/>
      <c r="AP2375" s="66"/>
      <c r="AQ2375" s="66"/>
      <c r="AR2375" s="66"/>
      <c r="AS2375" s="66"/>
      <c r="AT2375" s="66"/>
      <c r="AU2375" s="66"/>
      <c r="AV2375" s="66"/>
      <c r="AW2375" s="66"/>
      <c r="AX2375" s="66"/>
      <c r="AY2375" s="66"/>
      <c r="AZ2375" s="66"/>
      <c r="BA2375" s="66"/>
      <c r="BB2375" s="66"/>
      <c r="BC2375" s="66"/>
      <c r="BD2375" s="66"/>
      <c r="BE2375" s="67"/>
      <c r="BF2375" s="67"/>
      <c r="BG2375" s="68"/>
      <c r="BI2375" s="69">
        <v>0</v>
      </c>
      <c r="BJ2375" s="70">
        <v>0</v>
      </c>
      <c r="BK2375" s="71">
        <v>0</v>
      </c>
      <c r="BL2375" s="71">
        <v>0</v>
      </c>
      <c r="BM2375" s="71">
        <v>0</v>
      </c>
      <c r="BN2375" s="72">
        <v>0</v>
      </c>
      <c r="BO2375" s="151" t="e">
        <f t="shared" si="159"/>
        <v>#DIV/0!</v>
      </c>
      <c r="BP2375" s="151" t="e">
        <f t="shared" si="160"/>
        <v>#DIV/0!</v>
      </c>
      <c r="BQ2375" s="71">
        <v>0</v>
      </c>
      <c r="BR2375" s="71">
        <v>0</v>
      </c>
      <c r="BS2375" s="71">
        <v>0</v>
      </c>
      <c r="BT2375" s="72">
        <v>0</v>
      </c>
      <c r="BU2375" s="151" t="e">
        <f t="shared" si="161"/>
        <v>#DIV/0!</v>
      </c>
      <c r="BV2375" s="151" t="e">
        <f t="shared" si="162"/>
        <v>#DIV/0!</v>
      </c>
    </row>
    <row r="2376" ht="30" customHeight="1" spans="1:74">
      <c r="A2376" s="55">
        <v>0</v>
      </c>
      <c r="B2376" s="56">
        <v>0</v>
      </c>
      <c r="C2376" s="57">
        <v>0</v>
      </c>
      <c r="D2376" s="74"/>
      <c r="E2376" s="127"/>
      <c r="F2376" s="59" t="e">
        <f>VLOOKUP(E2376,[1]库存!$B$1:$C$65536,2,FALSE)</f>
        <v>#N/A</v>
      </c>
      <c r="G2376" s="59" t="e">
        <v>#N/A</v>
      </c>
      <c r="H2376" s="283"/>
      <c r="I2376" s="74"/>
      <c r="J2376" s="87"/>
      <c r="K2376" s="61"/>
      <c r="L2376" s="62">
        <v>0</v>
      </c>
      <c r="M2376" s="63">
        <v>0</v>
      </c>
      <c r="N2376" s="64">
        <v>0</v>
      </c>
      <c r="O2376" s="62">
        <v>0</v>
      </c>
      <c r="P2376" s="65">
        <f t="shared" si="163"/>
        <v>0</v>
      </c>
      <c r="Q2376" s="66"/>
      <c r="R2376" s="66"/>
      <c r="S2376" s="66"/>
      <c r="T2376" s="66"/>
      <c r="U2376" s="66"/>
      <c r="V2376" s="66"/>
      <c r="W2376" s="66"/>
      <c r="X2376" s="66"/>
      <c r="Y2376" s="66"/>
      <c r="Z2376" s="66"/>
      <c r="AA2376" s="66"/>
      <c r="AB2376" s="66"/>
      <c r="AC2376" s="66"/>
      <c r="AD2376" s="66"/>
      <c r="AE2376" s="66"/>
      <c r="AF2376" s="66"/>
      <c r="AG2376" s="66"/>
      <c r="AH2376" s="66"/>
      <c r="AI2376" s="66"/>
      <c r="AJ2376" s="66"/>
      <c r="AK2376" s="66"/>
      <c r="AL2376" s="66"/>
      <c r="AM2376" s="66"/>
      <c r="AN2376" s="66"/>
      <c r="AO2376" s="66"/>
      <c r="AP2376" s="66"/>
      <c r="AQ2376" s="66"/>
      <c r="AR2376" s="66"/>
      <c r="AS2376" s="66"/>
      <c r="AT2376" s="66"/>
      <c r="AU2376" s="66"/>
      <c r="AV2376" s="66"/>
      <c r="AW2376" s="66"/>
      <c r="AX2376" s="66"/>
      <c r="AY2376" s="66"/>
      <c r="AZ2376" s="66"/>
      <c r="BA2376" s="66"/>
      <c r="BB2376" s="66"/>
      <c r="BC2376" s="66"/>
      <c r="BD2376" s="66"/>
      <c r="BE2376" s="67"/>
      <c r="BF2376" s="67"/>
      <c r="BG2376" s="68"/>
      <c r="BI2376" s="69">
        <v>0</v>
      </c>
      <c r="BJ2376" s="70">
        <v>0</v>
      </c>
      <c r="BK2376" s="71">
        <v>0</v>
      </c>
      <c r="BL2376" s="71">
        <v>0</v>
      </c>
      <c r="BM2376" s="71">
        <v>0</v>
      </c>
      <c r="BN2376" s="72">
        <v>0</v>
      </c>
      <c r="BO2376" s="151" t="e">
        <f t="shared" si="159"/>
        <v>#DIV/0!</v>
      </c>
      <c r="BP2376" s="151" t="e">
        <f t="shared" si="160"/>
        <v>#DIV/0!</v>
      </c>
      <c r="BQ2376" s="71">
        <v>0</v>
      </c>
      <c r="BR2376" s="71">
        <v>0</v>
      </c>
      <c r="BS2376" s="71">
        <v>0</v>
      </c>
      <c r="BT2376" s="72">
        <v>0</v>
      </c>
      <c r="BU2376" s="151" t="e">
        <f t="shared" si="161"/>
        <v>#DIV/0!</v>
      </c>
      <c r="BV2376" s="151" t="e">
        <f t="shared" si="162"/>
        <v>#DIV/0!</v>
      </c>
    </row>
    <row r="2377" ht="30" customHeight="1" spans="1:74">
      <c r="A2377" s="55">
        <v>0</v>
      </c>
      <c r="B2377" s="56" t="s">
        <v>1237</v>
      </c>
      <c r="C2377" s="57" t="s">
        <v>3341</v>
      </c>
      <c r="D2377" s="59" t="s">
        <v>3227</v>
      </c>
      <c r="E2377" s="59" t="s">
        <v>3712</v>
      </c>
      <c r="F2377" s="59" t="str">
        <f>VLOOKUP(E2377,[1]库存!$B$1:$C$65536,2,FALSE)</f>
        <v>GAC A06 CAB拉带</v>
      </c>
      <c r="G2377" s="59" t="s">
        <v>3713</v>
      </c>
      <c r="H2377" s="59" t="s">
        <v>3714</v>
      </c>
      <c r="I2377" s="59"/>
      <c r="J2377" s="63"/>
      <c r="K2377" s="61"/>
      <c r="L2377" s="62">
        <v>0</v>
      </c>
      <c r="M2377" s="63">
        <v>1200</v>
      </c>
      <c r="N2377" s="64">
        <v>1.5</v>
      </c>
      <c r="O2377" s="62">
        <v>0</v>
      </c>
      <c r="P2377" s="65">
        <f t="shared" si="163"/>
        <v>0</v>
      </c>
      <c r="Q2377" s="66"/>
      <c r="R2377" s="66"/>
      <c r="S2377" s="66"/>
      <c r="T2377" s="66"/>
      <c r="U2377" s="66"/>
      <c r="V2377" s="66"/>
      <c r="W2377" s="66"/>
      <c r="X2377" s="66"/>
      <c r="Y2377" s="66"/>
      <c r="Z2377" s="66"/>
      <c r="AA2377" s="66"/>
      <c r="AB2377" s="66"/>
      <c r="AC2377" s="66"/>
      <c r="AD2377" s="66"/>
      <c r="AE2377" s="66"/>
      <c r="AF2377" s="66"/>
      <c r="AG2377" s="66"/>
      <c r="AH2377" s="66"/>
      <c r="AI2377" s="66"/>
      <c r="AJ2377" s="66"/>
      <c r="AK2377" s="66"/>
      <c r="AL2377" s="66"/>
      <c r="AM2377" s="66"/>
      <c r="AN2377" s="66"/>
      <c r="AO2377" s="66"/>
      <c r="AP2377" s="66"/>
      <c r="AQ2377" s="66"/>
      <c r="AR2377" s="66"/>
      <c r="AS2377" s="66"/>
      <c r="AT2377" s="66"/>
      <c r="AU2377" s="66"/>
      <c r="AV2377" s="66"/>
      <c r="AW2377" s="66"/>
      <c r="AX2377" s="66"/>
      <c r="AY2377" s="66"/>
      <c r="AZ2377" s="66"/>
      <c r="BA2377" s="66"/>
      <c r="BB2377" s="66"/>
      <c r="BC2377" s="66"/>
      <c r="BD2377" s="66"/>
      <c r="BE2377" s="67"/>
      <c r="BF2377" s="67"/>
      <c r="BG2377" s="68"/>
      <c r="BI2377" s="69">
        <v>0</v>
      </c>
      <c r="BJ2377" s="70">
        <v>0</v>
      </c>
      <c r="BK2377" s="71">
        <v>0</v>
      </c>
      <c r="BL2377" s="71">
        <v>0</v>
      </c>
      <c r="BM2377" s="71">
        <v>0</v>
      </c>
      <c r="BN2377" s="72">
        <v>0</v>
      </c>
      <c r="BO2377" s="151" t="e">
        <f t="shared" si="159"/>
        <v>#DIV/0!</v>
      </c>
      <c r="BP2377" s="151" t="e">
        <f t="shared" si="160"/>
        <v>#DIV/0!</v>
      </c>
      <c r="BQ2377" s="71">
        <v>0</v>
      </c>
      <c r="BR2377" s="71">
        <v>0</v>
      </c>
      <c r="BS2377" s="71">
        <v>0</v>
      </c>
      <c r="BT2377" s="72">
        <v>0</v>
      </c>
      <c r="BU2377" s="151" t="e">
        <f t="shared" si="161"/>
        <v>#DIV/0!</v>
      </c>
      <c r="BV2377" s="151" t="e">
        <f t="shared" si="162"/>
        <v>#DIV/0!</v>
      </c>
    </row>
    <row r="2378" ht="30" customHeight="1" spans="1:74">
      <c r="A2378" s="55">
        <v>0</v>
      </c>
      <c r="B2378" s="56">
        <v>0</v>
      </c>
      <c r="C2378" s="57">
        <v>0</v>
      </c>
      <c r="D2378" s="74"/>
      <c r="E2378" s="74"/>
      <c r="F2378" s="59" t="e">
        <f>VLOOKUP(E2378,[1]库存!$B$1:$C$65536,2,FALSE)</f>
        <v>#N/A</v>
      </c>
      <c r="G2378" s="59" t="e">
        <v>#N/A</v>
      </c>
      <c r="H2378" s="74"/>
      <c r="I2378" s="74"/>
      <c r="J2378" s="87"/>
      <c r="K2378" s="61"/>
      <c r="L2378" s="62">
        <v>0</v>
      </c>
      <c r="M2378" s="63">
        <v>0</v>
      </c>
      <c r="N2378" s="64">
        <v>0</v>
      </c>
      <c r="O2378" s="62">
        <v>0</v>
      </c>
      <c r="P2378" s="65">
        <f t="shared" si="163"/>
        <v>0</v>
      </c>
      <c r="Q2378" s="66"/>
      <c r="R2378" s="66"/>
      <c r="S2378" s="66"/>
      <c r="T2378" s="66"/>
      <c r="U2378" s="66"/>
      <c r="V2378" s="66"/>
      <c r="W2378" s="66"/>
      <c r="X2378" s="66"/>
      <c r="Y2378" s="66"/>
      <c r="Z2378" s="66"/>
      <c r="AA2378" s="66"/>
      <c r="AB2378" s="66"/>
      <c r="AC2378" s="66"/>
      <c r="AD2378" s="66"/>
      <c r="AE2378" s="66"/>
      <c r="AF2378" s="66"/>
      <c r="AG2378" s="66"/>
      <c r="AH2378" s="66"/>
      <c r="AI2378" s="66"/>
      <c r="AJ2378" s="66"/>
      <c r="AK2378" s="66"/>
      <c r="AL2378" s="66"/>
      <c r="AM2378" s="66"/>
      <c r="AN2378" s="66"/>
      <c r="AO2378" s="66"/>
      <c r="AP2378" s="66"/>
      <c r="AQ2378" s="66"/>
      <c r="AR2378" s="66"/>
      <c r="AS2378" s="66"/>
      <c r="AT2378" s="66"/>
      <c r="AU2378" s="66"/>
      <c r="AV2378" s="66"/>
      <c r="AW2378" s="66"/>
      <c r="AX2378" s="66"/>
      <c r="AY2378" s="66"/>
      <c r="AZ2378" s="66"/>
      <c r="BA2378" s="66"/>
      <c r="BB2378" s="66"/>
      <c r="BC2378" s="66"/>
      <c r="BD2378" s="66"/>
      <c r="BE2378" s="67"/>
      <c r="BF2378" s="67"/>
      <c r="BG2378" s="68"/>
      <c r="BI2378" s="69">
        <v>0</v>
      </c>
      <c r="BJ2378" s="70">
        <v>0</v>
      </c>
      <c r="BK2378" s="71">
        <v>0</v>
      </c>
      <c r="BL2378" s="71">
        <v>0</v>
      </c>
      <c r="BM2378" s="71">
        <v>0</v>
      </c>
      <c r="BN2378" s="72">
        <v>0</v>
      </c>
      <c r="BO2378" s="151" t="e">
        <f t="shared" si="159"/>
        <v>#DIV/0!</v>
      </c>
      <c r="BP2378" s="151" t="e">
        <f t="shared" si="160"/>
        <v>#DIV/0!</v>
      </c>
      <c r="BQ2378" s="71">
        <v>0</v>
      </c>
      <c r="BR2378" s="71">
        <v>0</v>
      </c>
      <c r="BS2378" s="71">
        <v>0</v>
      </c>
      <c r="BT2378" s="72">
        <v>0</v>
      </c>
      <c r="BU2378" s="151" t="e">
        <f t="shared" si="161"/>
        <v>#DIV/0!</v>
      </c>
      <c r="BV2378" s="151" t="e">
        <f t="shared" si="162"/>
        <v>#DIV/0!</v>
      </c>
    </row>
    <row r="2379" ht="30" customHeight="1" spans="1:74">
      <c r="A2379" s="55">
        <v>0</v>
      </c>
      <c r="B2379" s="56" t="s">
        <v>1237</v>
      </c>
      <c r="C2379" s="57" t="s">
        <v>3341</v>
      </c>
      <c r="D2379" s="59" t="s">
        <v>3715</v>
      </c>
      <c r="E2379" s="59" t="s">
        <v>3716</v>
      </c>
      <c r="F2379" s="59" t="str">
        <f>VLOOKUP(E2379,[1]库存!$B$1:$C$65536,2,FALSE)</f>
        <v>GAC A06 CAB导气袋</v>
      </c>
      <c r="G2379" s="59" t="s">
        <v>3717</v>
      </c>
      <c r="H2379" s="59" t="s">
        <v>3718</v>
      </c>
      <c r="I2379" s="59"/>
      <c r="J2379" s="82" t="s">
        <v>745</v>
      </c>
      <c r="K2379" s="61"/>
      <c r="L2379" s="62">
        <v>0.7</v>
      </c>
      <c r="M2379" s="63">
        <v>1100</v>
      </c>
      <c r="N2379" s="64">
        <v>2</v>
      </c>
      <c r="O2379" s="62">
        <v>0.7</v>
      </c>
      <c r="P2379" s="65">
        <f t="shared" si="163"/>
        <v>0</v>
      </c>
      <c r="Q2379" s="66"/>
      <c r="R2379" s="66"/>
      <c r="S2379" s="66"/>
      <c r="T2379" s="66"/>
      <c r="U2379" s="66"/>
      <c r="V2379" s="66"/>
      <c r="W2379" s="66"/>
      <c r="X2379" s="66"/>
      <c r="Y2379" s="66"/>
      <c r="Z2379" s="66"/>
      <c r="AA2379" s="66"/>
      <c r="AB2379" s="66"/>
      <c r="AC2379" s="66"/>
      <c r="AD2379" s="66"/>
      <c r="AE2379" s="66"/>
      <c r="AF2379" s="66"/>
      <c r="AG2379" s="66"/>
      <c r="AH2379" s="66"/>
      <c r="AI2379" s="66"/>
      <c r="AJ2379" s="66"/>
      <c r="AK2379" s="66"/>
      <c r="AL2379" s="66"/>
      <c r="AM2379" s="66"/>
      <c r="AN2379" s="66"/>
      <c r="AO2379" s="66"/>
      <c r="AP2379" s="66"/>
      <c r="AQ2379" s="66"/>
      <c r="AR2379" s="66"/>
      <c r="AS2379" s="66"/>
      <c r="AT2379" s="66"/>
      <c r="AU2379" s="66"/>
      <c r="AV2379" s="66"/>
      <c r="AW2379" s="66"/>
      <c r="AX2379" s="66"/>
      <c r="AY2379" s="66"/>
      <c r="AZ2379" s="66"/>
      <c r="BA2379" s="66"/>
      <c r="BB2379" s="66"/>
      <c r="BC2379" s="66"/>
      <c r="BD2379" s="66"/>
      <c r="BE2379" s="67"/>
      <c r="BF2379" s="67"/>
      <c r="BG2379" s="68"/>
      <c r="BI2379" s="69">
        <v>0</v>
      </c>
      <c r="BJ2379" s="70">
        <v>0</v>
      </c>
      <c r="BK2379" s="71">
        <v>0</v>
      </c>
      <c r="BL2379" s="71">
        <v>0</v>
      </c>
      <c r="BM2379" s="71">
        <v>0</v>
      </c>
      <c r="BN2379" s="72">
        <v>0</v>
      </c>
      <c r="BO2379" s="151" t="e">
        <f t="shared" si="159"/>
        <v>#DIV/0!</v>
      </c>
      <c r="BP2379" s="151" t="e">
        <f t="shared" si="160"/>
        <v>#DIV/0!</v>
      </c>
      <c r="BQ2379" s="71">
        <v>0</v>
      </c>
      <c r="BR2379" s="71">
        <v>0</v>
      </c>
      <c r="BS2379" s="71">
        <v>0</v>
      </c>
      <c r="BT2379" s="72">
        <v>0</v>
      </c>
      <c r="BU2379" s="151" t="e">
        <f t="shared" si="161"/>
        <v>#DIV/0!</v>
      </c>
      <c r="BV2379" s="151" t="e">
        <f t="shared" si="162"/>
        <v>#DIV/0!</v>
      </c>
    </row>
    <row r="2380" ht="30" customHeight="1" spans="1:74">
      <c r="A2380" s="55">
        <v>0</v>
      </c>
      <c r="B2380" s="56">
        <v>0</v>
      </c>
      <c r="C2380" s="57">
        <v>0</v>
      </c>
      <c r="D2380" s="74"/>
      <c r="E2380" s="74"/>
      <c r="F2380" s="59" t="e">
        <f>VLOOKUP(E2380,[1]库存!$B$1:$C$65536,2,FALSE)</f>
        <v>#N/A</v>
      </c>
      <c r="G2380" s="59" t="e">
        <v>#N/A</v>
      </c>
      <c r="H2380" s="74"/>
      <c r="I2380" s="74"/>
      <c r="J2380" s="83"/>
      <c r="K2380" s="61"/>
      <c r="L2380" s="62">
        <v>0</v>
      </c>
      <c r="M2380" s="63">
        <v>0</v>
      </c>
      <c r="N2380" s="64">
        <v>0</v>
      </c>
      <c r="O2380" s="62">
        <v>0</v>
      </c>
      <c r="P2380" s="65">
        <f t="shared" si="163"/>
        <v>0</v>
      </c>
      <c r="Q2380" s="66"/>
      <c r="R2380" s="66"/>
      <c r="S2380" s="66"/>
      <c r="T2380" s="66"/>
      <c r="U2380" s="66"/>
      <c r="V2380" s="66"/>
      <c r="W2380" s="66"/>
      <c r="X2380" s="66"/>
      <c r="Y2380" s="66"/>
      <c r="Z2380" s="66"/>
      <c r="AA2380" s="66"/>
      <c r="AB2380" s="66"/>
      <c r="AC2380" s="66"/>
      <c r="AD2380" s="66"/>
      <c r="AE2380" s="66"/>
      <c r="AF2380" s="66"/>
      <c r="AG2380" s="66"/>
      <c r="AH2380" s="66"/>
      <c r="AI2380" s="66"/>
      <c r="AJ2380" s="66"/>
      <c r="AK2380" s="66"/>
      <c r="AL2380" s="66"/>
      <c r="AM2380" s="66"/>
      <c r="AN2380" s="66"/>
      <c r="AO2380" s="66"/>
      <c r="AP2380" s="66"/>
      <c r="AQ2380" s="66"/>
      <c r="AR2380" s="66"/>
      <c r="AS2380" s="66"/>
      <c r="AT2380" s="66"/>
      <c r="AU2380" s="66"/>
      <c r="AV2380" s="66"/>
      <c r="AW2380" s="66"/>
      <c r="AX2380" s="66"/>
      <c r="AY2380" s="66"/>
      <c r="AZ2380" s="66"/>
      <c r="BA2380" s="66"/>
      <c r="BB2380" s="66"/>
      <c r="BC2380" s="66"/>
      <c r="BD2380" s="66"/>
      <c r="BE2380" s="67"/>
      <c r="BF2380" s="67"/>
      <c r="BG2380" s="68"/>
      <c r="BI2380" s="69">
        <v>0</v>
      </c>
      <c r="BJ2380" s="70">
        <v>0</v>
      </c>
      <c r="BK2380" s="71">
        <v>0</v>
      </c>
      <c r="BL2380" s="71">
        <v>0</v>
      </c>
      <c r="BM2380" s="71">
        <v>0</v>
      </c>
      <c r="BN2380" s="72">
        <v>0</v>
      </c>
      <c r="BO2380" s="151" t="e">
        <f t="shared" si="159"/>
        <v>#DIV/0!</v>
      </c>
      <c r="BP2380" s="151" t="e">
        <f t="shared" si="160"/>
        <v>#DIV/0!</v>
      </c>
      <c r="BQ2380" s="71">
        <v>0</v>
      </c>
      <c r="BR2380" s="71">
        <v>0</v>
      </c>
      <c r="BS2380" s="71">
        <v>0</v>
      </c>
      <c r="BT2380" s="72">
        <v>0</v>
      </c>
      <c r="BU2380" s="151" t="e">
        <f t="shared" si="161"/>
        <v>#DIV/0!</v>
      </c>
      <c r="BV2380" s="151" t="e">
        <f t="shared" si="162"/>
        <v>#DIV/0!</v>
      </c>
    </row>
    <row r="2381" ht="30" customHeight="1" spans="1:74">
      <c r="A2381" s="55" t="s">
        <v>41</v>
      </c>
      <c r="B2381" s="56" t="s">
        <v>1237</v>
      </c>
      <c r="C2381" s="57" t="s">
        <v>3341</v>
      </c>
      <c r="D2381" s="59" t="s">
        <v>3683</v>
      </c>
      <c r="E2381" s="59" t="s">
        <v>3719</v>
      </c>
      <c r="F2381" s="59" t="str">
        <f>VLOOKUP(E2381,[1]库存!$B$1:$C$65536,2,FALSE)</f>
        <v>GAC A06 CAB LH</v>
      </c>
      <c r="G2381" s="59" t="s">
        <v>3720</v>
      </c>
      <c r="H2381" s="59" t="s">
        <v>3721</v>
      </c>
      <c r="I2381" s="59"/>
      <c r="J2381" s="83"/>
      <c r="K2381" s="61"/>
      <c r="L2381" s="62">
        <v>1</v>
      </c>
      <c r="M2381" s="63">
        <v>350</v>
      </c>
      <c r="N2381" s="64">
        <v>4</v>
      </c>
      <c r="O2381" s="62">
        <v>1</v>
      </c>
      <c r="P2381" s="65">
        <f t="shared" si="163"/>
        <v>0</v>
      </c>
      <c r="Q2381" s="66"/>
      <c r="R2381" s="66"/>
      <c r="S2381" s="66"/>
      <c r="T2381" s="66"/>
      <c r="U2381" s="66"/>
      <c r="V2381" s="66"/>
      <c r="W2381" s="66"/>
      <c r="X2381" s="66"/>
      <c r="Y2381" s="66"/>
      <c r="Z2381" s="66"/>
      <c r="AA2381" s="66"/>
      <c r="AB2381" s="66"/>
      <c r="AC2381" s="66"/>
      <c r="AD2381" s="66"/>
      <c r="AE2381" s="66"/>
      <c r="AF2381" s="66"/>
      <c r="AG2381" s="66"/>
      <c r="AH2381" s="66"/>
      <c r="AI2381" s="66"/>
      <c r="AJ2381" s="66"/>
      <c r="AK2381" s="66"/>
      <c r="AL2381" s="66"/>
      <c r="AM2381" s="66"/>
      <c r="AN2381" s="66"/>
      <c r="AO2381" s="66"/>
      <c r="AP2381" s="66"/>
      <c r="AQ2381" s="66"/>
      <c r="AR2381" s="66"/>
      <c r="AS2381" s="66"/>
      <c r="AT2381" s="66"/>
      <c r="AU2381" s="66"/>
      <c r="AV2381" s="66"/>
      <c r="AW2381" s="66"/>
      <c r="AX2381" s="66"/>
      <c r="AY2381" s="66"/>
      <c r="AZ2381" s="66"/>
      <c r="BA2381" s="66"/>
      <c r="BB2381" s="66"/>
      <c r="BC2381" s="66"/>
      <c r="BD2381" s="66"/>
      <c r="BE2381" s="67"/>
      <c r="BF2381" s="67"/>
      <c r="BG2381" s="68"/>
      <c r="BI2381" s="69">
        <v>0</v>
      </c>
      <c r="BJ2381" s="70">
        <v>0</v>
      </c>
      <c r="BK2381" s="71">
        <v>0</v>
      </c>
      <c r="BL2381" s="71">
        <v>0</v>
      </c>
      <c r="BM2381" s="71">
        <v>0</v>
      </c>
      <c r="BN2381" s="72">
        <v>0</v>
      </c>
      <c r="BO2381" s="151" t="e">
        <f t="shared" si="159"/>
        <v>#DIV/0!</v>
      </c>
      <c r="BP2381" s="151" t="e">
        <f t="shared" si="160"/>
        <v>#DIV/0!</v>
      </c>
      <c r="BQ2381" s="71">
        <v>0</v>
      </c>
      <c r="BR2381" s="71">
        <v>0</v>
      </c>
      <c r="BS2381" s="71">
        <v>0</v>
      </c>
      <c r="BT2381" s="72">
        <v>0</v>
      </c>
      <c r="BU2381" s="151" t="e">
        <f t="shared" si="161"/>
        <v>#DIV/0!</v>
      </c>
      <c r="BV2381" s="151" t="e">
        <f t="shared" si="162"/>
        <v>#DIV/0!</v>
      </c>
    </row>
    <row r="2382" ht="30" customHeight="1" spans="1:74">
      <c r="A2382" s="55">
        <v>0</v>
      </c>
      <c r="B2382" s="56">
        <v>0</v>
      </c>
      <c r="C2382" s="57">
        <v>0</v>
      </c>
      <c r="D2382" s="74"/>
      <c r="E2382" s="74"/>
      <c r="F2382" s="59" t="e">
        <f>VLOOKUP(E2382,[1]库存!$B$1:$C$65536,2,FALSE)</f>
        <v>#N/A</v>
      </c>
      <c r="G2382" s="59" t="e">
        <v>#N/A</v>
      </c>
      <c r="H2382" s="74"/>
      <c r="I2382" s="74"/>
      <c r="J2382" s="83"/>
      <c r="K2382" s="61"/>
      <c r="L2382" s="62">
        <v>0</v>
      </c>
      <c r="M2382" s="63">
        <v>0</v>
      </c>
      <c r="N2382" s="64">
        <v>0</v>
      </c>
      <c r="O2382" s="62">
        <v>0</v>
      </c>
      <c r="P2382" s="65">
        <f t="shared" si="163"/>
        <v>0</v>
      </c>
      <c r="Q2382" s="66"/>
      <c r="R2382" s="66"/>
      <c r="S2382" s="66"/>
      <c r="T2382" s="66"/>
      <c r="U2382" s="66"/>
      <c r="V2382" s="66"/>
      <c r="W2382" s="66"/>
      <c r="X2382" s="66"/>
      <c r="Y2382" s="66"/>
      <c r="Z2382" s="66"/>
      <c r="AA2382" s="66"/>
      <c r="AB2382" s="66"/>
      <c r="AC2382" s="66"/>
      <c r="AD2382" s="66"/>
      <c r="AE2382" s="66"/>
      <c r="AF2382" s="66"/>
      <c r="AG2382" s="66"/>
      <c r="AH2382" s="66"/>
      <c r="AI2382" s="66"/>
      <c r="AJ2382" s="66"/>
      <c r="AK2382" s="66"/>
      <c r="AL2382" s="66"/>
      <c r="AM2382" s="66"/>
      <c r="AN2382" s="66"/>
      <c r="AO2382" s="66"/>
      <c r="AP2382" s="66"/>
      <c r="AQ2382" s="66"/>
      <c r="AR2382" s="66"/>
      <c r="AS2382" s="66"/>
      <c r="AT2382" s="66"/>
      <c r="AU2382" s="66"/>
      <c r="AV2382" s="66"/>
      <c r="AW2382" s="66"/>
      <c r="AX2382" s="66"/>
      <c r="AY2382" s="66"/>
      <c r="AZ2382" s="66"/>
      <c r="BA2382" s="66"/>
      <c r="BB2382" s="66"/>
      <c r="BC2382" s="66"/>
      <c r="BD2382" s="66"/>
      <c r="BE2382" s="67"/>
      <c r="BF2382" s="67"/>
      <c r="BG2382" s="68"/>
      <c r="BI2382" s="69">
        <v>0</v>
      </c>
      <c r="BJ2382" s="70">
        <v>0</v>
      </c>
      <c r="BK2382" s="71">
        <v>0</v>
      </c>
      <c r="BL2382" s="71">
        <v>0</v>
      </c>
      <c r="BM2382" s="71">
        <v>0</v>
      </c>
      <c r="BN2382" s="72">
        <v>0</v>
      </c>
      <c r="BO2382" s="151" t="e">
        <f t="shared" si="159"/>
        <v>#DIV/0!</v>
      </c>
      <c r="BP2382" s="151" t="e">
        <f t="shared" si="160"/>
        <v>#DIV/0!</v>
      </c>
      <c r="BQ2382" s="71">
        <v>0</v>
      </c>
      <c r="BR2382" s="71">
        <v>0</v>
      </c>
      <c r="BS2382" s="71">
        <v>0</v>
      </c>
      <c r="BT2382" s="72">
        <v>0</v>
      </c>
      <c r="BU2382" s="151" t="e">
        <f t="shared" si="161"/>
        <v>#DIV/0!</v>
      </c>
      <c r="BV2382" s="151" t="e">
        <f t="shared" si="162"/>
        <v>#DIV/0!</v>
      </c>
    </row>
    <row r="2383" ht="30" customHeight="1" spans="1:74">
      <c r="A2383" s="55">
        <v>0</v>
      </c>
      <c r="B2383" s="56" t="s">
        <v>1237</v>
      </c>
      <c r="C2383" s="57" t="s">
        <v>3226</v>
      </c>
      <c r="D2383" s="59" t="s">
        <v>3227</v>
      </c>
      <c r="E2383" s="59" t="s">
        <v>3722</v>
      </c>
      <c r="F2383" s="59" t="e">
        <f>VLOOKUP(E2383,[1]库存!$B$1:$C$65536,2,FALSE)</f>
        <v>#N/A</v>
      </c>
      <c r="G2383" s="59" t="e">
        <v>#N/A</v>
      </c>
      <c r="H2383" s="59" t="s">
        <v>3723</v>
      </c>
      <c r="I2383" s="59"/>
      <c r="J2383" s="63"/>
      <c r="K2383" s="61"/>
      <c r="L2383" s="62">
        <v>0</v>
      </c>
      <c r="M2383" s="63">
        <v>800</v>
      </c>
      <c r="N2383" s="64">
        <v>1.5</v>
      </c>
      <c r="O2383" s="62">
        <v>0</v>
      </c>
      <c r="P2383" s="65">
        <f t="shared" si="163"/>
        <v>0</v>
      </c>
      <c r="Q2383" s="66"/>
      <c r="R2383" s="66"/>
      <c r="S2383" s="66"/>
      <c r="T2383" s="66"/>
      <c r="U2383" s="66"/>
      <c r="V2383" s="66"/>
      <c r="W2383" s="66"/>
      <c r="X2383" s="66"/>
      <c r="Y2383" s="66"/>
      <c r="Z2383" s="66"/>
      <c r="AA2383" s="66"/>
      <c r="AB2383" s="66"/>
      <c r="AC2383" s="66"/>
      <c r="AD2383" s="66"/>
      <c r="AE2383" s="66"/>
      <c r="AF2383" s="66"/>
      <c r="AG2383" s="66"/>
      <c r="AH2383" s="66"/>
      <c r="AI2383" s="66"/>
      <c r="AJ2383" s="66"/>
      <c r="AK2383" s="66"/>
      <c r="AL2383" s="66"/>
      <c r="AM2383" s="66"/>
      <c r="AN2383" s="66"/>
      <c r="AO2383" s="66"/>
      <c r="AP2383" s="66"/>
      <c r="AQ2383" s="66"/>
      <c r="AR2383" s="66"/>
      <c r="AS2383" s="66"/>
      <c r="AT2383" s="66"/>
      <c r="AU2383" s="66"/>
      <c r="AV2383" s="66"/>
      <c r="AW2383" s="66"/>
      <c r="AX2383" s="66"/>
      <c r="AY2383" s="66"/>
      <c r="AZ2383" s="66"/>
      <c r="BA2383" s="66"/>
      <c r="BB2383" s="66"/>
      <c r="BC2383" s="66"/>
      <c r="BD2383" s="66"/>
      <c r="BE2383" s="67"/>
      <c r="BF2383" s="67"/>
      <c r="BG2383" s="68"/>
      <c r="BI2383" s="69">
        <v>0</v>
      </c>
      <c r="BJ2383" s="70">
        <v>0</v>
      </c>
      <c r="BK2383" s="71">
        <v>0</v>
      </c>
      <c r="BL2383" s="71">
        <v>0</v>
      </c>
      <c r="BM2383" s="71">
        <v>0</v>
      </c>
      <c r="BN2383" s="72">
        <v>0</v>
      </c>
      <c r="BO2383" s="151" t="e">
        <f t="shared" si="159"/>
        <v>#DIV/0!</v>
      </c>
      <c r="BP2383" s="151" t="e">
        <f t="shared" si="160"/>
        <v>#DIV/0!</v>
      </c>
      <c r="BQ2383" s="71">
        <v>0</v>
      </c>
      <c r="BR2383" s="71">
        <v>0</v>
      </c>
      <c r="BS2383" s="71">
        <v>0</v>
      </c>
      <c r="BT2383" s="72">
        <v>0</v>
      </c>
      <c r="BU2383" s="151" t="e">
        <f t="shared" si="161"/>
        <v>#DIV/0!</v>
      </c>
      <c r="BV2383" s="151" t="e">
        <f t="shared" si="162"/>
        <v>#DIV/0!</v>
      </c>
    </row>
    <row r="2384" ht="30" customHeight="1" spans="1:74">
      <c r="A2384" s="55">
        <v>0</v>
      </c>
      <c r="B2384" s="56">
        <v>0</v>
      </c>
      <c r="C2384" s="57">
        <v>0</v>
      </c>
      <c r="D2384" s="74"/>
      <c r="E2384" s="74"/>
      <c r="F2384" s="59" t="e">
        <f>VLOOKUP(E2384,[1]库存!$B$1:$C$65536,2,FALSE)</f>
        <v>#N/A</v>
      </c>
      <c r="G2384" s="59" t="e">
        <v>#N/A</v>
      </c>
      <c r="H2384" s="74"/>
      <c r="I2384" s="74"/>
      <c r="J2384" s="87"/>
      <c r="K2384" s="61"/>
      <c r="L2384" s="62">
        <v>0</v>
      </c>
      <c r="M2384" s="63">
        <v>0</v>
      </c>
      <c r="N2384" s="64">
        <v>0</v>
      </c>
      <c r="O2384" s="62">
        <v>0</v>
      </c>
      <c r="P2384" s="65">
        <f t="shared" si="163"/>
        <v>0</v>
      </c>
      <c r="Q2384" s="66"/>
      <c r="R2384" s="66"/>
      <c r="S2384" s="66"/>
      <c r="T2384" s="66"/>
      <c r="U2384" s="66"/>
      <c r="V2384" s="66"/>
      <c r="W2384" s="66"/>
      <c r="X2384" s="66"/>
      <c r="Y2384" s="66"/>
      <c r="Z2384" s="66"/>
      <c r="AA2384" s="66"/>
      <c r="AB2384" s="66"/>
      <c r="AC2384" s="66"/>
      <c r="AD2384" s="66"/>
      <c r="AE2384" s="66"/>
      <c r="AF2384" s="66"/>
      <c r="AG2384" s="66"/>
      <c r="AH2384" s="66"/>
      <c r="AI2384" s="66"/>
      <c r="AJ2384" s="66"/>
      <c r="AK2384" s="66"/>
      <c r="AL2384" s="66"/>
      <c r="AM2384" s="66"/>
      <c r="AN2384" s="66"/>
      <c r="AO2384" s="66"/>
      <c r="AP2384" s="66"/>
      <c r="AQ2384" s="66"/>
      <c r="AR2384" s="66"/>
      <c r="AS2384" s="66"/>
      <c r="AT2384" s="66"/>
      <c r="AU2384" s="66"/>
      <c r="AV2384" s="66"/>
      <c r="AW2384" s="66"/>
      <c r="AX2384" s="66"/>
      <c r="AY2384" s="66"/>
      <c r="AZ2384" s="66"/>
      <c r="BA2384" s="66"/>
      <c r="BB2384" s="66"/>
      <c r="BC2384" s="66"/>
      <c r="BD2384" s="66"/>
      <c r="BE2384" s="67"/>
      <c r="BF2384" s="67"/>
      <c r="BG2384" s="68"/>
      <c r="BI2384" s="69">
        <v>0</v>
      </c>
      <c r="BJ2384" s="70">
        <v>0</v>
      </c>
      <c r="BK2384" s="71">
        <v>0</v>
      </c>
      <c r="BL2384" s="71">
        <v>0</v>
      </c>
      <c r="BM2384" s="71">
        <v>0</v>
      </c>
      <c r="BN2384" s="72">
        <v>0</v>
      </c>
      <c r="BO2384" s="151" t="e">
        <f t="shared" si="159"/>
        <v>#DIV/0!</v>
      </c>
      <c r="BP2384" s="151" t="e">
        <f t="shared" si="160"/>
        <v>#DIV/0!</v>
      </c>
      <c r="BQ2384" s="71">
        <v>0</v>
      </c>
      <c r="BR2384" s="71">
        <v>0</v>
      </c>
      <c r="BS2384" s="71">
        <v>0</v>
      </c>
      <c r="BT2384" s="72">
        <v>0</v>
      </c>
      <c r="BU2384" s="151" t="e">
        <f t="shared" si="161"/>
        <v>#DIV/0!</v>
      </c>
      <c r="BV2384" s="151" t="e">
        <f t="shared" si="162"/>
        <v>#DIV/0!</v>
      </c>
    </row>
    <row r="2385" ht="30" customHeight="1" spans="1:74">
      <c r="A2385" s="55">
        <v>0</v>
      </c>
      <c r="B2385" s="56" t="s">
        <v>1237</v>
      </c>
      <c r="C2385" s="57" t="s">
        <v>3226</v>
      </c>
      <c r="D2385" s="59" t="s">
        <v>3724</v>
      </c>
      <c r="E2385" s="59" t="s">
        <v>3725</v>
      </c>
      <c r="F2385" s="59" t="e">
        <f>VLOOKUP(E2385,[1]库存!$B$1:$C$65536,2,FALSE)</f>
        <v>#N/A</v>
      </c>
      <c r="G2385" s="59" t="e">
        <v>#N/A</v>
      </c>
      <c r="H2385" s="59" t="s">
        <v>3726</v>
      </c>
      <c r="I2385" s="59"/>
      <c r="J2385" s="63"/>
      <c r="K2385" s="61"/>
      <c r="L2385" s="62">
        <v>0.7</v>
      </c>
      <c r="M2385" s="63">
        <v>1000</v>
      </c>
      <c r="N2385" s="64">
        <v>2</v>
      </c>
      <c r="O2385" s="62">
        <v>0.7</v>
      </c>
      <c r="P2385" s="65">
        <f t="shared" si="163"/>
        <v>0</v>
      </c>
      <c r="Q2385" s="66"/>
      <c r="R2385" s="66"/>
      <c r="S2385" s="66"/>
      <c r="T2385" s="66"/>
      <c r="U2385" s="66"/>
      <c r="V2385" s="66"/>
      <c r="W2385" s="66"/>
      <c r="X2385" s="66"/>
      <c r="Y2385" s="66"/>
      <c r="Z2385" s="66"/>
      <c r="AA2385" s="66"/>
      <c r="AB2385" s="66"/>
      <c r="AC2385" s="66"/>
      <c r="AD2385" s="66"/>
      <c r="AE2385" s="66"/>
      <c r="AF2385" s="66"/>
      <c r="AG2385" s="66"/>
      <c r="AH2385" s="66"/>
      <c r="AI2385" s="66"/>
      <c r="AJ2385" s="66"/>
      <c r="AK2385" s="66"/>
      <c r="AL2385" s="66"/>
      <c r="AM2385" s="66"/>
      <c r="AN2385" s="66"/>
      <c r="AO2385" s="66"/>
      <c r="AP2385" s="66"/>
      <c r="AQ2385" s="66"/>
      <c r="AR2385" s="66"/>
      <c r="AS2385" s="66"/>
      <c r="AT2385" s="66"/>
      <c r="AU2385" s="66"/>
      <c r="AV2385" s="66"/>
      <c r="AW2385" s="66"/>
      <c r="AX2385" s="66"/>
      <c r="AY2385" s="66"/>
      <c r="AZ2385" s="66"/>
      <c r="BA2385" s="66"/>
      <c r="BB2385" s="66"/>
      <c r="BC2385" s="66"/>
      <c r="BD2385" s="66"/>
      <c r="BE2385" s="67"/>
      <c r="BF2385" s="67"/>
      <c r="BG2385" s="68"/>
      <c r="BI2385" s="69">
        <v>0</v>
      </c>
      <c r="BJ2385" s="70">
        <v>0</v>
      </c>
      <c r="BK2385" s="71">
        <v>0</v>
      </c>
      <c r="BL2385" s="71">
        <v>0</v>
      </c>
      <c r="BM2385" s="71">
        <v>0</v>
      </c>
      <c r="BN2385" s="72">
        <v>0</v>
      </c>
      <c r="BO2385" s="151" t="e">
        <f t="shared" si="159"/>
        <v>#DIV/0!</v>
      </c>
      <c r="BP2385" s="151" t="e">
        <f t="shared" si="160"/>
        <v>#DIV/0!</v>
      </c>
      <c r="BQ2385" s="71">
        <v>0</v>
      </c>
      <c r="BR2385" s="71">
        <v>0</v>
      </c>
      <c r="BS2385" s="71">
        <v>0</v>
      </c>
      <c r="BT2385" s="72">
        <v>0</v>
      </c>
      <c r="BU2385" s="151" t="e">
        <f t="shared" si="161"/>
        <v>#DIV/0!</v>
      </c>
      <c r="BV2385" s="151" t="e">
        <f t="shared" si="162"/>
        <v>#DIV/0!</v>
      </c>
    </row>
    <row r="2386" ht="30" customHeight="1" spans="1:74">
      <c r="A2386" s="55">
        <v>0</v>
      </c>
      <c r="B2386" s="56">
        <v>0</v>
      </c>
      <c r="C2386" s="57">
        <v>0</v>
      </c>
      <c r="D2386" s="74"/>
      <c r="E2386" s="74"/>
      <c r="F2386" s="59" t="e">
        <f>VLOOKUP(E2386,[1]库存!$B$1:$C$65536,2,FALSE)</f>
        <v>#N/A</v>
      </c>
      <c r="G2386" s="59" t="e">
        <v>#N/A</v>
      </c>
      <c r="H2386" s="74"/>
      <c r="I2386" s="74"/>
      <c r="J2386" s="87"/>
      <c r="K2386" s="61"/>
      <c r="L2386" s="62">
        <v>0</v>
      </c>
      <c r="M2386" s="63">
        <v>0</v>
      </c>
      <c r="N2386" s="64">
        <v>0</v>
      </c>
      <c r="O2386" s="62">
        <v>0</v>
      </c>
      <c r="P2386" s="65">
        <f t="shared" si="163"/>
        <v>0</v>
      </c>
      <c r="Q2386" s="66"/>
      <c r="R2386" s="66"/>
      <c r="S2386" s="66"/>
      <c r="T2386" s="66"/>
      <c r="U2386" s="66"/>
      <c r="V2386" s="66"/>
      <c r="W2386" s="66"/>
      <c r="X2386" s="66"/>
      <c r="Y2386" s="66"/>
      <c r="Z2386" s="66"/>
      <c r="AA2386" s="66"/>
      <c r="AB2386" s="66"/>
      <c r="AC2386" s="66"/>
      <c r="AD2386" s="66"/>
      <c r="AE2386" s="66"/>
      <c r="AF2386" s="66"/>
      <c r="AG2386" s="66"/>
      <c r="AH2386" s="66"/>
      <c r="AI2386" s="66"/>
      <c r="AJ2386" s="66"/>
      <c r="AK2386" s="66"/>
      <c r="AL2386" s="66"/>
      <c r="AM2386" s="66"/>
      <c r="AN2386" s="66"/>
      <c r="AO2386" s="66"/>
      <c r="AP2386" s="66"/>
      <c r="AQ2386" s="66"/>
      <c r="AR2386" s="66"/>
      <c r="AS2386" s="66"/>
      <c r="AT2386" s="66"/>
      <c r="AU2386" s="66"/>
      <c r="AV2386" s="66"/>
      <c r="AW2386" s="66"/>
      <c r="AX2386" s="66"/>
      <c r="AY2386" s="66"/>
      <c r="AZ2386" s="66"/>
      <c r="BA2386" s="66"/>
      <c r="BB2386" s="66"/>
      <c r="BC2386" s="66"/>
      <c r="BD2386" s="66"/>
      <c r="BE2386" s="67"/>
      <c r="BF2386" s="67"/>
      <c r="BG2386" s="68"/>
      <c r="BI2386" s="69">
        <v>0</v>
      </c>
      <c r="BJ2386" s="70">
        <v>0</v>
      </c>
      <c r="BK2386" s="71">
        <v>0</v>
      </c>
      <c r="BL2386" s="71">
        <v>0</v>
      </c>
      <c r="BM2386" s="71">
        <v>0</v>
      </c>
      <c r="BN2386" s="72">
        <v>0</v>
      </c>
      <c r="BO2386" s="151" t="e">
        <f t="shared" si="159"/>
        <v>#DIV/0!</v>
      </c>
      <c r="BP2386" s="151" t="e">
        <f t="shared" si="160"/>
        <v>#DIV/0!</v>
      </c>
      <c r="BQ2386" s="71">
        <v>0</v>
      </c>
      <c r="BR2386" s="71">
        <v>0</v>
      </c>
      <c r="BS2386" s="71">
        <v>0</v>
      </c>
      <c r="BT2386" s="72">
        <v>0</v>
      </c>
      <c r="BU2386" s="151" t="e">
        <f t="shared" si="161"/>
        <v>#DIV/0!</v>
      </c>
      <c r="BV2386" s="151" t="e">
        <f t="shared" si="162"/>
        <v>#DIV/0!</v>
      </c>
    </row>
    <row r="2387" ht="30" customHeight="1" spans="1:74">
      <c r="A2387" s="55">
        <v>0</v>
      </c>
      <c r="B2387" s="56" t="s">
        <v>1237</v>
      </c>
      <c r="C2387" s="57" t="s">
        <v>3226</v>
      </c>
      <c r="D2387" s="59" t="s">
        <v>3683</v>
      </c>
      <c r="E2387" s="59" t="s">
        <v>3727</v>
      </c>
      <c r="F2387" s="59" t="e">
        <f>VLOOKUP(E2387,[1]库存!$B$1:$C$65536,2,FALSE)</f>
        <v>#N/A</v>
      </c>
      <c r="G2387" s="59" t="e">
        <v>#N/A</v>
      </c>
      <c r="H2387" s="59" t="s">
        <v>3728</v>
      </c>
      <c r="I2387" s="59" t="s">
        <v>3729</v>
      </c>
      <c r="J2387" s="63"/>
      <c r="K2387" s="61"/>
      <c r="L2387" s="62">
        <v>1</v>
      </c>
      <c r="M2387" s="63">
        <v>200</v>
      </c>
      <c r="N2387" s="64">
        <v>2</v>
      </c>
      <c r="O2387" s="62">
        <v>1</v>
      </c>
      <c r="P2387" s="65">
        <f t="shared" si="163"/>
        <v>0</v>
      </c>
      <c r="Q2387" s="66"/>
      <c r="R2387" s="66"/>
      <c r="S2387" s="66"/>
      <c r="T2387" s="66"/>
      <c r="U2387" s="66"/>
      <c r="V2387" s="66"/>
      <c r="W2387" s="66"/>
      <c r="X2387" s="66"/>
      <c r="Y2387" s="66"/>
      <c r="Z2387" s="66"/>
      <c r="AA2387" s="66"/>
      <c r="AB2387" s="66"/>
      <c r="AC2387" s="66"/>
      <c r="AD2387" s="66"/>
      <c r="AE2387" s="66"/>
      <c r="AF2387" s="66"/>
      <c r="AG2387" s="66"/>
      <c r="AH2387" s="66"/>
      <c r="AI2387" s="66"/>
      <c r="AJ2387" s="66"/>
      <c r="AK2387" s="66"/>
      <c r="AL2387" s="66"/>
      <c r="AM2387" s="66"/>
      <c r="AN2387" s="66"/>
      <c r="AO2387" s="66"/>
      <c r="AP2387" s="66"/>
      <c r="AQ2387" s="66"/>
      <c r="AR2387" s="66"/>
      <c r="AS2387" s="66"/>
      <c r="AT2387" s="66"/>
      <c r="AU2387" s="66"/>
      <c r="AV2387" s="66"/>
      <c r="AW2387" s="66"/>
      <c r="AX2387" s="66"/>
      <c r="AY2387" s="66"/>
      <c r="AZ2387" s="66"/>
      <c r="BA2387" s="66"/>
      <c r="BB2387" s="66"/>
      <c r="BC2387" s="66"/>
      <c r="BD2387" s="66"/>
      <c r="BE2387" s="67"/>
      <c r="BF2387" s="67"/>
      <c r="BG2387" s="68"/>
      <c r="BI2387" s="69">
        <v>0</v>
      </c>
      <c r="BJ2387" s="70">
        <v>0</v>
      </c>
      <c r="BK2387" s="71">
        <v>0</v>
      </c>
      <c r="BL2387" s="71">
        <v>0</v>
      </c>
      <c r="BM2387" s="71">
        <v>0</v>
      </c>
      <c r="BN2387" s="72">
        <v>0</v>
      </c>
      <c r="BO2387" s="151" t="e">
        <f t="shared" si="159"/>
        <v>#DIV/0!</v>
      </c>
      <c r="BP2387" s="151" t="e">
        <f t="shared" si="160"/>
        <v>#DIV/0!</v>
      </c>
      <c r="BQ2387" s="71">
        <v>0</v>
      </c>
      <c r="BR2387" s="71">
        <v>0</v>
      </c>
      <c r="BS2387" s="71">
        <v>0</v>
      </c>
      <c r="BT2387" s="72">
        <v>0</v>
      </c>
      <c r="BU2387" s="151" t="e">
        <f t="shared" si="161"/>
        <v>#DIV/0!</v>
      </c>
      <c r="BV2387" s="151" t="e">
        <f t="shared" si="162"/>
        <v>#DIV/0!</v>
      </c>
    </row>
    <row r="2388" ht="30" customHeight="1" spans="1:74">
      <c r="A2388" s="55">
        <v>0</v>
      </c>
      <c r="B2388" s="56">
        <v>0</v>
      </c>
      <c r="C2388" s="57">
        <v>0</v>
      </c>
      <c r="D2388" s="74"/>
      <c r="E2388" s="74"/>
      <c r="F2388" s="59" t="e">
        <f>VLOOKUP(E2388,[1]库存!$B$1:$C$65536,2,FALSE)</f>
        <v>#N/A</v>
      </c>
      <c r="G2388" s="59" t="e">
        <v>#N/A</v>
      </c>
      <c r="H2388" s="74"/>
      <c r="I2388" s="74"/>
      <c r="J2388" s="87"/>
      <c r="K2388" s="61"/>
      <c r="L2388" s="62">
        <v>0</v>
      </c>
      <c r="M2388" s="63">
        <v>0</v>
      </c>
      <c r="N2388" s="64">
        <v>0</v>
      </c>
      <c r="O2388" s="62">
        <v>0</v>
      </c>
      <c r="P2388" s="65">
        <f t="shared" si="163"/>
        <v>0</v>
      </c>
      <c r="Q2388" s="66"/>
      <c r="R2388" s="66"/>
      <c r="S2388" s="66"/>
      <c r="T2388" s="66"/>
      <c r="U2388" s="66"/>
      <c r="V2388" s="66"/>
      <c r="W2388" s="66"/>
      <c r="X2388" s="66"/>
      <c r="Y2388" s="66"/>
      <c r="Z2388" s="66"/>
      <c r="AA2388" s="66"/>
      <c r="AB2388" s="66"/>
      <c r="AC2388" s="66"/>
      <c r="AD2388" s="66"/>
      <c r="AE2388" s="66"/>
      <c r="AF2388" s="66"/>
      <c r="AG2388" s="66"/>
      <c r="AH2388" s="66"/>
      <c r="AI2388" s="66"/>
      <c r="AJ2388" s="66"/>
      <c r="AK2388" s="66"/>
      <c r="AL2388" s="66"/>
      <c r="AM2388" s="66"/>
      <c r="AN2388" s="66"/>
      <c r="AO2388" s="66"/>
      <c r="AP2388" s="66"/>
      <c r="AQ2388" s="66"/>
      <c r="AR2388" s="66"/>
      <c r="AS2388" s="66"/>
      <c r="AT2388" s="66"/>
      <c r="AU2388" s="66"/>
      <c r="AV2388" s="66"/>
      <c r="AW2388" s="66"/>
      <c r="AX2388" s="66"/>
      <c r="AY2388" s="66"/>
      <c r="AZ2388" s="66"/>
      <c r="BA2388" s="66"/>
      <c r="BB2388" s="66"/>
      <c r="BC2388" s="66"/>
      <c r="BD2388" s="66"/>
      <c r="BE2388" s="67"/>
      <c r="BF2388" s="67"/>
      <c r="BG2388" s="68"/>
      <c r="BI2388" s="69">
        <v>0</v>
      </c>
      <c r="BJ2388" s="70">
        <v>0</v>
      </c>
      <c r="BK2388" s="71">
        <v>0</v>
      </c>
      <c r="BL2388" s="71">
        <v>0</v>
      </c>
      <c r="BM2388" s="71">
        <v>0</v>
      </c>
      <c r="BN2388" s="72">
        <v>0</v>
      </c>
      <c r="BO2388" s="151" t="e">
        <f t="shared" si="159"/>
        <v>#DIV/0!</v>
      </c>
      <c r="BP2388" s="151" t="e">
        <f t="shared" si="160"/>
        <v>#DIV/0!</v>
      </c>
      <c r="BQ2388" s="71">
        <v>0</v>
      </c>
      <c r="BR2388" s="71">
        <v>0</v>
      </c>
      <c r="BS2388" s="71">
        <v>0</v>
      </c>
      <c r="BT2388" s="72">
        <v>0</v>
      </c>
      <c r="BU2388" s="151" t="e">
        <f t="shared" si="161"/>
        <v>#DIV/0!</v>
      </c>
      <c r="BV2388" s="151" t="e">
        <f t="shared" si="162"/>
        <v>#DIV/0!</v>
      </c>
    </row>
    <row r="2389" ht="30" customHeight="1" spans="1:74">
      <c r="A2389" s="55">
        <v>0</v>
      </c>
      <c r="B2389" s="56" t="s">
        <v>1237</v>
      </c>
      <c r="C2389" s="57" t="s">
        <v>3226</v>
      </c>
      <c r="D2389" s="59" t="s">
        <v>3683</v>
      </c>
      <c r="E2389" s="59" t="s">
        <v>3730</v>
      </c>
      <c r="F2389" s="59" t="e">
        <f>VLOOKUP(E2389,[1]库存!$B$1:$C$65536,2,FALSE)</f>
        <v>#N/A</v>
      </c>
      <c r="G2389" s="59" t="e">
        <v>#N/A</v>
      </c>
      <c r="H2389" s="59" t="s">
        <v>3731</v>
      </c>
      <c r="I2389" s="59" t="s">
        <v>3729</v>
      </c>
      <c r="J2389" s="63"/>
      <c r="K2389" s="61"/>
      <c r="L2389" s="62">
        <v>1</v>
      </c>
      <c r="M2389" s="63">
        <v>200</v>
      </c>
      <c r="N2389" s="64">
        <v>2</v>
      </c>
      <c r="O2389" s="62">
        <v>1</v>
      </c>
      <c r="P2389" s="65">
        <f t="shared" si="163"/>
        <v>0</v>
      </c>
      <c r="Q2389" s="66"/>
      <c r="R2389" s="66"/>
      <c r="S2389" s="66"/>
      <c r="T2389" s="66"/>
      <c r="U2389" s="66"/>
      <c r="V2389" s="66"/>
      <c r="W2389" s="66"/>
      <c r="X2389" s="66"/>
      <c r="Y2389" s="66"/>
      <c r="Z2389" s="66"/>
      <c r="AA2389" s="66"/>
      <c r="AB2389" s="66"/>
      <c r="AC2389" s="66"/>
      <c r="AD2389" s="66"/>
      <c r="AE2389" s="66"/>
      <c r="AF2389" s="66"/>
      <c r="AG2389" s="66"/>
      <c r="AH2389" s="66"/>
      <c r="AI2389" s="66"/>
      <c r="AJ2389" s="66"/>
      <c r="AK2389" s="66"/>
      <c r="AL2389" s="66"/>
      <c r="AM2389" s="66"/>
      <c r="AN2389" s="66"/>
      <c r="AO2389" s="66"/>
      <c r="AP2389" s="66"/>
      <c r="AQ2389" s="66"/>
      <c r="AR2389" s="66"/>
      <c r="AS2389" s="66"/>
      <c r="AT2389" s="66"/>
      <c r="AU2389" s="66"/>
      <c r="AV2389" s="66"/>
      <c r="AW2389" s="66"/>
      <c r="AX2389" s="66"/>
      <c r="AY2389" s="66"/>
      <c r="AZ2389" s="66"/>
      <c r="BA2389" s="66"/>
      <c r="BB2389" s="66"/>
      <c r="BC2389" s="66"/>
      <c r="BD2389" s="66"/>
      <c r="BE2389" s="67"/>
      <c r="BF2389" s="67"/>
      <c r="BG2389" s="68"/>
      <c r="BI2389" s="69">
        <v>0</v>
      </c>
      <c r="BJ2389" s="70">
        <v>0</v>
      </c>
      <c r="BK2389" s="71">
        <v>0</v>
      </c>
      <c r="BL2389" s="71">
        <v>0</v>
      </c>
      <c r="BM2389" s="71">
        <v>0</v>
      </c>
      <c r="BN2389" s="72">
        <v>0</v>
      </c>
      <c r="BO2389" s="151" t="e">
        <f t="shared" si="159"/>
        <v>#DIV/0!</v>
      </c>
      <c r="BP2389" s="151" t="e">
        <f t="shared" si="160"/>
        <v>#DIV/0!</v>
      </c>
      <c r="BQ2389" s="71">
        <v>0</v>
      </c>
      <c r="BR2389" s="71">
        <v>0</v>
      </c>
      <c r="BS2389" s="71">
        <v>0</v>
      </c>
      <c r="BT2389" s="72">
        <v>0</v>
      </c>
      <c r="BU2389" s="151" t="e">
        <f t="shared" si="161"/>
        <v>#DIV/0!</v>
      </c>
      <c r="BV2389" s="151" t="e">
        <f t="shared" si="162"/>
        <v>#DIV/0!</v>
      </c>
    </row>
    <row r="2390" ht="30" customHeight="1" spans="1:74">
      <c r="A2390" s="55">
        <v>0</v>
      </c>
      <c r="B2390" s="56">
        <v>0</v>
      </c>
      <c r="C2390" s="57">
        <v>0</v>
      </c>
      <c r="D2390" s="74"/>
      <c r="E2390" s="74"/>
      <c r="F2390" s="59" t="e">
        <f>VLOOKUP(E2390,[1]库存!$B$1:$C$65536,2,FALSE)</f>
        <v>#N/A</v>
      </c>
      <c r="G2390" s="59" t="e">
        <v>#N/A</v>
      </c>
      <c r="H2390" s="74"/>
      <c r="I2390" s="74"/>
      <c r="J2390" s="87"/>
      <c r="K2390" s="61"/>
      <c r="L2390" s="62">
        <v>0</v>
      </c>
      <c r="M2390" s="63">
        <v>0</v>
      </c>
      <c r="N2390" s="64">
        <v>0</v>
      </c>
      <c r="O2390" s="62">
        <v>0</v>
      </c>
      <c r="P2390" s="65">
        <f t="shared" si="163"/>
        <v>0</v>
      </c>
      <c r="Q2390" s="66"/>
      <c r="R2390" s="66"/>
      <c r="S2390" s="66"/>
      <c r="T2390" s="66"/>
      <c r="U2390" s="66"/>
      <c r="V2390" s="66"/>
      <c r="W2390" s="66"/>
      <c r="X2390" s="66"/>
      <c r="Y2390" s="66"/>
      <c r="Z2390" s="66"/>
      <c r="AA2390" s="66"/>
      <c r="AB2390" s="66"/>
      <c r="AC2390" s="66"/>
      <c r="AD2390" s="66"/>
      <c r="AE2390" s="66"/>
      <c r="AF2390" s="66"/>
      <c r="AG2390" s="66"/>
      <c r="AH2390" s="66"/>
      <c r="AI2390" s="66"/>
      <c r="AJ2390" s="66"/>
      <c r="AK2390" s="66"/>
      <c r="AL2390" s="66"/>
      <c r="AM2390" s="66"/>
      <c r="AN2390" s="66"/>
      <c r="AO2390" s="66"/>
      <c r="AP2390" s="66"/>
      <c r="AQ2390" s="66"/>
      <c r="AR2390" s="66"/>
      <c r="AS2390" s="66"/>
      <c r="AT2390" s="66"/>
      <c r="AU2390" s="66"/>
      <c r="AV2390" s="66"/>
      <c r="AW2390" s="66"/>
      <c r="AX2390" s="66"/>
      <c r="AY2390" s="66"/>
      <c r="AZ2390" s="66"/>
      <c r="BA2390" s="66"/>
      <c r="BB2390" s="66"/>
      <c r="BC2390" s="66"/>
      <c r="BD2390" s="66"/>
      <c r="BE2390" s="67"/>
      <c r="BF2390" s="67"/>
      <c r="BG2390" s="68"/>
      <c r="BI2390" s="69">
        <v>0</v>
      </c>
      <c r="BJ2390" s="70">
        <v>0</v>
      </c>
      <c r="BK2390" s="71">
        <v>0</v>
      </c>
      <c r="BL2390" s="71">
        <v>0</v>
      </c>
      <c r="BM2390" s="71">
        <v>0</v>
      </c>
      <c r="BN2390" s="72">
        <v>0</v>
      </c>
      <c r="BO2390" s="151" t="e">
        <f t="shared" si="159"/>
        <v>#DIV/0!</v>
      </c>
      <c r="BP2390" s="151" t="e">
        <f t="shared" si="160"/>
        <v>#DIV/0!</v>
      </c>
      <c r="BQ2390" s="71">
        <v>0</v>
      </c>
      <c r="BR2390" s="71">
        <v>0</v>
      </c>
      <c r="BS2390" s="71">
        <v>0</v>
      </c>
      <c r="BT2390" s="72">
        <v>0</v>
      </c>
      <c r="BU2390" s="151" t="e">
        <f t="shared" si="161"/>
        <v>#DIV/0!</v>
      </c>
      <c r="BV2390" s="151" t="e">
        <f t="shared" si="162"/>
        <v>#DIV/0!</v>
      </c>
    </row>
    <row r="2391" ht="30" customHeight="1" spans="1:74">
      <c r="A2391" s="55">
        <v>0</v>
      </c>
      <c r="B2391" s="56" t="s">
        <v>1237</v>
      </c>
      <c r="C2391" s="57" t="s">
        <v>3226</v>
      </c>
      <c r="D2391" s="59" t="s">
        <v>3697</v>
      </c>
      <c r="E2391" s="59"/>
      <c r="F2391" s="59" t="e">
        <f>VLOOKUP(E2391,[1]库存!$B$1:$C$65536,2,FALSE)</f>
        <v>#N/A</v>
      </c>
      <c r="G2391" s="59" t="e">
        <v>#N/A</v>
      </c>
      <c r="H2391" s="59" t="s">
        <v>3732</v>
      </c>
      <c r="I2391" s="59" t="s">
        <v>3733</v>
      </c>
      <c r="J2391" s="63"/>
      <c r="K2391" s="61"/>
      <c r="L2391" s="62">
        <v>0</v>
      </c>
      <c r="M2391" s="63">
        <v>0</v>
      </c>
      <c r="N2391" s="64">
        <v>0</v>
      </c>
      <c r="O2391" s="62">
        <v>0</v>
      </c>
      <c r="P2391" s="65">
        <f t="shared" si="163"/>
        <v>0</v>
      </c>
      <c r="Q2391" s="66"/>
      <c r="R2391" s="66"/>
      <c r="S2391" s="66"/>
      <c r="T2391" s="66"/>
      <c r="U2391" s="66"/>
      <c r="V2391" s="66"/>
      <c r="W2391" s="66"/>
      <c r="X2391" s="66"/>
      <c r="Y2391" s="66"/>
      <c r="Z2391" s="66"/>
      <c r="AA2391" s="66"/>
      <c r="AB2391" s="66"/>
      <c r="AC2391" s="66"/>
      <c r="AD2391" s="66"/>
      <c r="AE2391" s="66"/>
      <c r="AF2391" s="66"/>
      <c r="AG2391" s="66"/>
      <c r="AH2391" s="66"/>
      <c r="AI2391" s="66"/>
      <c r="AJ2391" s="66"/>
      <c r="AK2391" s="66"/>
      <c r="AL2391" s="66"/>
      <c r="AM2391" s="66"/>
      <c r="AN2391" s="66"/>
      <c r="AO2391" s="66"/>
      <c r="AP2391" s="66"/>
      <c r="AQ2391" s="66"/>
      <c r="AR2391" s="66"/>
      <c r="AS2391" s="66"/>
      <c r="AT2391" s="66"/>
      <c r="AU2391" s="66"/>
      <c r="AV2391" s="66"/>
      <c r="AW2391" s="66"/>
      <c r="AX2391" s="66"/>
      <c r="AY2391" s="66"/>
      <c r="AZ2391" s="66"/>
      <c r="BA2391" s="66"/>
      <c r="BB2391" s="66"/>
      <c r="BC2391" s="66"/>
      <c r="BD2391" s="66"/>
      <c r="BE2391" s="67"/>
      <c r="BF2391" s="67"/>
      <c r="BG2391" s="68"/>
      <c r="BI2391" s="69">
        <v>0</v>
      </c>
      <c r="BJ2391" s="70">
        <v>0</v>
      </c>
      <c r="BK2391" s="71">
        <v>0</v>
      </c>
      <c r="BL2391" s="71">
        <v>0</v>
      </c>
      <c r="BM2391" s="71">
        <v>0</v>
      </c>
      <c r="BN2391" s="72">
        <v>0</v>
      </c>
      <c r="BO2391" s="151" t="e">
        <f t="shared" si="159"/>
        <v>#DIV/0!</v>
      </c>
      <c r="BP2391" s="151" t="e">
        <f t="shared" si="160"/>
        <v>#DIV/0!</v>
      </c>
      <c r="BQ2391" s="71">
        <v>0</v>
      </c>
      <c r="BR2391" s="71">
        <v>0</v>
      </c>
      <c r="BS2391" s="71">
        <v>0</v>
      </c>
      <c r="BT2391" s="72">
        <v>0</v>
      </c>
      <c r="BU2391" s="151" t="e">
        <f t="shared" si="161"/>
        <v>#DIV/0!</v>
      </c>
      <c r="BV2391" s="151" t="e">
        <f t="shared" si="162"/>
        <v>#DIV/0!</v>
      </c>
    </row>
    <row r="2392" ht="30" customHeight="1" spans="1:74">
      <c r="A2392" s="55">
        <v>0</v>
      </c>
      <c r="B2392" s="56">
        <v>0</v>
      </c>
      <c r="C2392" s="57">
        <v>0</v>
      </c>
      <c r="D2392" s="74"/>
      <c r="E2392" s="74"/>
      <c r="F2392" s="59" t="e">
        <f>VLOOKUP(E2392,[1]库存!$B$1:$C$65536,2,FALSE)</f>
        <v>#N/A</v>
      </c>
      <c r="G2392" s="59" t="e">
        <v>#N/A</v>
      </c>
      <c r="H2392" s="74"/>
      <c r="I2392" s="74"/>
      <c r="J2392" s="87"/>
      <c r="K2392" s="61"/>
      <c r="L2392" s="62">
        <v>0</v>
      </c>
      <c r="M2392" s="63">
        <v>0</v>
      </c>
      <c r="N2392" s="64">
        <v>0</v>
      </c>
      <c r="O2392" s="62">
        <v>0</v>
      </c>
      <c r="P2392" s="65">
        <f t="shared" si="163"/>
        <v>0</v>
      </c>
      <c r="Q2392" s="66"/>
      <c r="R2392" s="66"/>
      <c r="S2392" s="66"/>
      <c r="T2392" s="66"/>
      <c r="U2392" s="66"/>
      <c r="V2392" s="66"/>
      <c r="W2392" s="66"/>
      <c r="X2392" s="66"/>
      <c r="Y2392" s="66"/>
      <c r="Z2392" s="66"/>
      <c r="AA2392" s="66"/>
      <c r="AB2392" s="66"/>
      <c r="AC2392" s="66"/>
      <c r="AD2392" s="66"/>
      <c r="AE2392" s="66"/>
      <c r="AF2392" s="66"/>
      <c r="AG2392" s="66"/>
      <c r="AH2392" s="66"/>
      <c r="AI2392" s="66"/>
      <c r="AJ2392" s="66"/>
      <c r="AK2392" s="66"/>
      <c r="AL2392" s="66"/>
      <c r="AM2392" s="66"/>
      <c r="AN2392" s="66"/>
      <c r="AO2392" s="66"/>
      <c r="AP2392" s="66"/>
      <c r="AQ2392" s="66"/>
      <c r="AR2392" s="66"/>
      <c r="AS2392" s="66"/>
      <c r="AT2392" s="66"/>
      <c r="AU2392" s="66"/>
      <c r="AV2392" s="66"/>
      <c r="AW2392" s="66"/>
      <c r="AX2392" s="66"/>
      <c r="AY2392" s="66"/>
      <c r="AZ2392" s="66"/>
      <c r="BA2392" s="66"/>
      <c r="BB2392" s="66"/>
      <c r="BC2392" s="66"/>
      <c r="BD2392" s="66"/>
      <c r="BE2392" s="67"/>
      <c r="BF2392" s="67"/>
      <c r="BG2392" s="68"/>
      <c r="BI2392" s="69">
        <v>0</v>
      </c>
      <c r="BJ2392" s="70">
        <v>0</v>
      </c>
      <c r="BK2392" s="71">
        <v>0</v>
      </c>
      <c r="BL2392" s="71">
        <v>0</v>
      </c>
      <c r="BM2392" s="71">
        <v>0</v>
      </c>
      <c r="BN2392" s="72">
        <v>0</v>
      </c>
      <c r="BO2392" s="151" t="e">
        <f t="shared" si="159"/>
        <v>#DIV/0!</v>
      </c>
      <c r="BP2392" s="151" t="e">
        <f t="shared" si="160"/>
        <v>#DIV/0!</v>
      </c>
      <c r="BQ2392" s="71">
        <v>0</v>
      </c>
      <c r="BR2392" s="71">
        <v>0</v>
      </c>
      <c r="BS2392" s="71">
        <v>0</v>
      </c>
      <c r="BT2392" s="72">
        <v>0</v>
      </c>
      <c r="BU2392" s="151" t="e">
        <f t="shared" si="161"/>
        <v>#DIV/0!</v>
      </c>
      <c r="BV2392" s="151" t="e">
        <f t="shared" si="162"/>
        <v>#DIV/0!</v>
      </c>
    </row>
    <row r="2393" ht="30" customHeight="1" spans="1:74">
      <c r="A2393" s="55">
        <v>0</v>
      </c>
      <c r="B2393" s="56" t="s">
        <v>1237</v>
      </c>
      <c r="C2393" s="57" t="s">
        <v>3226</v>
      </c>
      <c r="D2393" s="59" t="s">
        <v>3683</v>
      </c>
      <c r="E2393" s="59"/>
      <c r="F2393" s="59" t="e">
        <f>VLOOKUP(E2393,[1]库存!$B$1:$C$65536,2,FALSE)</f>
        <v>#N/A</v>
      </c>
      <c r="G2393" s="59" t="e">
        <v>#N/A</v>
      </c>
      <c r="H2393" s="59" t="s">
        <v>3734</v>
      </c>
      <c r="I2393" s="59" t="s">
        <v>3735</v>
      </c>
      <c r="J2393" s="63"/>
      <c r="K2393" s="61"/>
      <c r="L2393" s="62">
        <v>0</v>
      </c>
      <c r="M2393" s="63">
        <v>0</v>
      </c>
      <c r="N2393" s="64">
        <v>0</v>
      </c>
      <c r="O2393" s="62">
        <v>0</v>
      </c>
      <c r="P2393" s="65">
        <f t="shared" si="163"/>
        <v>0</v>
      </c>
      <c r="Q2393" s="66"/>
      <c r="R2393" s="66"/>
      <c r="S2393" s="66"/>
      <c r="T2393" s="66"/>
      <c r="U2393" s="66"/>
      <c r="V2393" s="66"/>
      <c r="W2393" s="66"/>
      <c r="X2393" s="66"/>
      <c r="Y2393" s="66"/>
      <c r="Z2393" s="66"/>
      <c r="AA2393" s="66"/>
      <c r="AB2393" s="66"/>
      <c r="AC2393" s="66"/>
      <c r="AD2393" s="66"/>
      <c r="AE2393" s="66"/>
      <c r="AF2393" s="66"/>
      <c r="AG2393" s="66"/>
      <c r="AH2393" s="66"/>
      <c r="AI2393" s="66"/>
      <c r="AJ2393" s="66"/>
      <c r="AK2393" s="66"/>
      <c r="AL2393" s="66"/>
      <c r="AM2393" s="66"/>
      <c r="AN2393" s="66"/>
      <c r="AO2393" s="66"/>
      <c r="AP2393" s="66"/>
      <c r="AQ2393" s="66"/>
      <c r="AR2393" s="66"/>
      <c r="AS2393" s="66"/>
      <c r="AT2393" s="66"/>
      <c r="AU2393" s="66"/>
      <c r="AV2393" s="66"/>
      <c r="AW2393" s="66"/>
      <c r="AX2393" s="66"/>
      <c r="AY2393" s="66"/>
      <c r="AZ2393" s="66"/>
      <c r="BA2393" s="66"/>
      <c r="BB2393" s="66"/>
      <c r="BC2393" s="66"/>
      <c r="BD2393" s="66"/>
      <c r="BE2393" s="67"/>
      <c r="BF2393" s="67"/>
      <c r="BG2393" s="68"/>
      <c r="BI2393" s="69">
        <v>0</v>
      </c>
      <c r="BJ2393" s="70">
        <v>0</v>
      </c>
      <c r="BK2393" s="71">
        <v>0</v>
      </c>
      <c r="BL2393" s="71">
        <v>0</v>
      </c>
      <c r="BM2393" s="71">
        <v>0</v>
      </c>
      <c r="BN2393" s="72">
        <v>0</v>
      </c>
      <c r="BO2393" s="151" t="e">
        <f t="shared" si="159"/>
        <v>#DIV/0!</v>
      </c>
      <c r="BP2393" s="151" t="e">
        <f t="shared" si="160"/>
        <v>#DIV/0!</v>
      </c>
      <c r="BQ2393" s="71">
        <v>0</v>
      </c>
      <c r="BR2393" s="71">
        <v>0</v>
      </c>
      <c r="BS2393" s="71">
        <v>0</v>
      </c>
      <c r="BT2393" s="72">
        <v>0</v>
      </c>
      <c r="BU2393" s="151" t="e">
        <f t="shared" si="161"/>
        <v>#DIV/0!</v>
      </c>
      <c r="BV2393" s="151" t="e">
        <f t="shared" si="162"/>
        <v>#DIV/0!</v>
      </c>
    </row>
    <row r="2394" ht="30" customHeight="1" spans="1:74">
      <c r="A2394" s="55">
        <v>0</v>
      </c>
      <c r="B2394" s="56">
        <v>0</v>
      </c>
      <c r="C2394" s="57">
        <v>0</v>
      </c>
      <c r="D2394" s="74"/>
      <c r="E2394" s="74"/>
      <c r="F2394" s="59" t="e">
        <f>VLOOKUP(E2394,[1]库存!$B$1:$C$65536,2,FALSE)</f>
        <v>#N/A</v>
      </c>
      <c r="G2394" s="59" t="e">
        <v>#N/A</v>
      </c>
      <c r="H2394" s="74"/>
      <c r="I2394" s="74"/>
      <c r="J2394" s="87"/>
      <c r="K2394" s="61"/>
      <c r="L2394" s="62">
        <v>0</v>
      </c>
      <c r="M2394" s="63">
        <v>0</v>
      </c>
      <c r="N2394" s="64">
        <v>0</v>
      </c>
      <c r="O2394" s="62">
        <v>0</v>
      </c>
      <c r="P2394" s="65">
        <f t="shared" si="163"/>
        <v>0</v>
      </c>
      <c r="Q2394" s="66"/>
      <c r="R2394" s="66"/>
      <c r="S2394" s="66"/>
      <c r="T2394" s="66"/>
      <c r="U2394" s="66"/>
      <c r="V2394" s="66"/>
      <c r="W2394" s="66"/>
      <c r="X2394" s="66"/>
      <c r="Y2394" s="66"/>
      <c r="Z2394" s="66"/>
      <c r="AA2394" s="66"/>
      <c r="AB2394" s="66"/>
      <c r="AC2394" s="66"/>
      <c r="AD2394" s="66"/>
      <c r="AE2394" s="66"/>
      <c r="AF2394" s="66"/>
      <c r="AG2394" s="66"/>
      <c r="AH2394" s="66"/>
      <c r="AI2394" s="66"/>
      <c r="AJ2394" s="66"/>
      <c r="AK2394" s="66"/>
      <c r="AL2394" s="66"/>
      <c r="AM2394" s="66"/>
      <c r="AN2394" s="66"/>
      <c r="AO2394" s="66"/>
      <c r="AP2394" s="66"/>
      <c r="AQ2394" s="66"/>
      <c r="AR2394" s="66"/>
      <c r="AS2394" s="66"/>
      <c r="AT2394" s="66"/>
      <c r="AU2394" s="66"/>
      <c r="AV2394" s="66"/>
      <c r="AW2394" s="66"/>
      <c r="AX2394" s="66"/>
      <c r="AY2394" s="66"/>
      <c r="AZ2394" s="66"/>
      <c r="BA2394" s="66"/>
      <c r="BB2394" s="66"/>
      <c r="BC2394" s="66"/>
      <c r="BD2394" s="66"/>
      <c r="BE2394" s="67"/>
      <c r="BF2394" s="67"/>
      <c r="BG2394" s="68"/>
      <c r="BI2394" s="69">
        <v>0</v>
      </c>
      <c r="BJ2394" s="70">
        <v>0</v>
      </c>
      <c r="BK2394" s="71">
        <v>0</v>
      </c>
      <c r="BL2394" s="71">
        <v>0</v>
      </c>
      <c r="BM2394" s="71">
        <v>0</v>
      </c>
      <c r="BN2394" s="72">
        <v>0</v>
      </c>
      <c r="BO2394" s="151" t="e">
        <f t="shared" si="159"/>
        <v>#DIV/0!</v>
      </c>
      <c r="BP2394" s="151" t="e">
        <f t="shared" si="160"/>
        <v>#DIV/0!</v>
      </c>
      <c r="BQ2394" s="71">
        <v>0</v>
      </c>
      <c r="BR2394" s="71">
        <v>0</v>
      </c>
      <c r="BS2394" s="71">
        <v>0</v>
      </c>
      <c r="BT2394" s="72">
        <v>0</v>
      </c>
      <c r="BU2394" s="151" t="e">
        <f t="shared" si="161"/>
        <v>#DIV/0!</v>
      </c>
      <c r="BV2394" s="151" t="e">
        <f t="shared" si="162"/>
        <v>#DIV/0!</v>
      </c>
    </row>
    <row r="2395" ht="30" customHeight="1" spans="1:74">
      <c r="A2395" s="55">
        <v>0</v>
      </c>
      <c r="B2395" s="56" t="s">
        <v>1237</v>
      </c>
      <c r="C2395" s="57" t="s">
        <v>3226</v>
      </c>
      <c r="D2395" s="59" t="s">
        <v>3683</v>
      </c>
      <c r="E2395" s="59"/>
      <c r="F2395" s="59" t="e">
        <f>VLOOKUP(E2395,[1]库存!$B$1:$C$65536,2,FALSE)</f>
        <v>#N/A</v>
      </c>
      <c r="G2395" s="59" t="e">
        <v>#N/A</v>
      </c>
      <c r="H2395" s="59" t="s">
        <v>3736</v>
      </c>
      <c r="I2395" s="59" t="s">
        <v>3228</v>
      </c>
      <c r="J2395" s="63"/>
      <c r="K2395" s="61"/>
      <c r="L2395" s="62">
        <v>0</v>
      </c>
      <c r="M2395" s="63">
        <v>0</v>
      </c>
      <c r="N2395" s="64">
        <v>0</v>
      </c>
      <c r="O2395" s="62">
        <v>0</v>
      </c>
      <c r="P2395" s="65">
        <f t="shared" si="163"/>
        <v>0</v>
      </c>
      <c r="Q2395" s="66"/>
      <c r="R2395" s="66"/>
      <c r="S2395" s="66"/>
      <c r="T2395" s="66"/>
      <c r="U2395" s="66"/>
      <c r="V2395" s="66"/>
      <c r="W2395" s="66"/>
      <c r="X2395" s="66"/>
      <c r="Y2395" s="66"/>
      <c r="Z2395" s="66"/>
      <c r="AA2395" s="66"/>
      <c r="AB2395" s="66"/>
      <c r="AC2395" s="66"/>
      <c r="AD2395" s="66"/>
      <c r="AE2395" s="66"/>
      <c r="AF2395" s="66"/>
      <c r="AG2395" s="66"/>
      <c r="AH2395" s="66"/>
      <c r="AI2395" s="66"/>
      <c r="AJ2395" s="66"/>
      <c r="AK2395" s="66"/>
      <c r="AL2395" s="66"/>
      <c r="AM2395" s="66"/>
      <c r="AN2395" s="66"/>
      <c r="AO2395" s="66"/>
      <c r="AP2395" s="66"/>
      <c r="AQ2395" s="66"/>
      <c r="AR2395" s="66"/>
      <c r="AS2395" s="66"/>
      <c r="AT2395" s="66"/>
      <c r="AU2395" s="66"/>
      <c r="AV2395" s="66"/>
      <c r="AW2395" s="66"/>
      <c r="AX2395" s="66"/>
      <c r="AY2395" s="66"/>
      <c r="AZ2395" s="66"/>
      <c r="BA2395" s="66"/>
      <c r="BB2395" s="66"/>
      <c r="BC2395" s="66"/>
      <c r="BD2395" s="66"/>
      <c r="BE2395" s="67"/>
      <c r="BF2395" s="67"/>
      <c r="BG2395" s="68"/>
      <c r="BI2395" s="69">
        <v>0</v>
      </c>
      <c r="BJ2395" s="70">
        <v>0</v>
      </c>
      <c r="BK2395" s="71">
        <v>0</v>
      </c>
      <c r="BL2395" s="71">
        <v>0</v>
      </c>
      <c r="BM2395" s="71">
        <v>0</v>
      </c>
      <c r="BN2395" s="72">
        <v>0</v>
      </c>
      <c r="BO2395" s="151" t="e">
        <f t="shared" si="159"/>
        <v>#DIV/0!</v>
      </c>
      <c r="BP2395" s="151" t="e">
        <f t="shared" si="160"/>
        <v>#DIV/0!</v>
      </c>
      <c r="BQ2395" s="71">
        <v>0</v>
      </c>
      <c r="BR2395" s="71">
        <v>0</v>
      </c>
      <c r="BS2395" s="71">
        <v>0</v>
      </c>
      <c r="BT2395" s="72">
        <v>0</v>
      </c>
      <c r="BU2395" s="151" t="e">
        <f t="shared" si="161"/>
        <v>#DIV/0!</v>
      </c>
      <c r="BV2395" s="151" t="e">
        <f t="shared" si="162"/>
        <v>#DIV/0!</v>
      </c>
    </row>
    <row r="2396" ht="30" customHeight="1" spans="1:74">
      <c r="A2396" s="55">
        <v>0</v>
      </c>
      <c r="B2396" s="56">
        <v>0</v>
      </c>
      <c r="C2396" s="57">
        <v>0</v>
      </c>
      <c r="D2396" s="74"/>
      <c r="E2396" s="74"/>
      <c r="F2396" s="59" t="e">
        <f>VLOOKUP(E2396,[1]库存!$B$1:$C$65536,2,FALSE)</f>
        <v>#N/A</v>
      </c>
      <c r="G2396" s="59" t="e">
        <v>#N/A</v>
      </c>
      <c r="H2396" s="74"/>
      <c r="I2396" s="74"/>
      <c r="J2396" s="87"/>
      <c r="K2396" s="61"/>
      <c r="L2396" s="62">
        <v>0</v>
      </c>
      <c r="M2396" s="63">
        <v>0</v>
      </c>
      <c r="N2396" s="64">
        <v>0</v>
      </c>
      <c r="O2396" s="62">
        <v>0</v>
      </c>
      <c r="P2396" s="65">
        <f t="shared" si="163"/>
        <v>0</v>
      </c>
      <c r="Q2396" s="66"/>
      <c r="R2396" s="66"/>
      <c r="S2396" s="66"/>
      <c r="T2396" s="66"/>
      <c r="U2396" s="66"/>
      <c r="V2396" s="66"/>
      <c r="W2396" s="66"/>
      <c r="X2396" s="66"/>
      <c r="Y2396" s="66"/>
      <c r="Z2396" s="66"/>
      <c r="AA2396" s="66"/>
      <c r="AB2396" s="66"/>
      <c r="AC2396" s="66"/>
      <c r="AD2396" s="66"/>
      <c r="AE2396" s="66"/>
      <c r="AF2396" s="66"/>
      <c r="AG2396" s="66"/>
      <c r="AH2396" s="66"/>
      <c r="AI2396" s="66"/>
      <c r="AJ2396" s="66"/>
      <c r="AK2396" s="66"/>
      <c r="AL2396" s="66"/>
      <c r="AM2396" s="66"/>
      <c r="AN2396" s="66"/>
      <c r="AO2396" s="66"/>
      <c r="AP2396" s="66"/>
      <c r="AQ2396" s="66"/>
      <c r="AR2396" s="66"/>
      <c r="AS2396" s="66"/>
      <c r="AT2396" s="66"/>
      <c r="AU2396" s="66"/>
      <c r="AV2396" s="66"/>
      <c r="AW2396" s="66"/>
      <c r="AX2396" s="66"/>
      <c r="AY2396" s="66"/>
      <c r="AZ2396" s="66"/>
      <c r="BA2396" s="66"/>
      <c r="BB2396" s="66"/>
      <c r="BC2396" s="66"/>
      <c r="BD2396" s="66"/>
      <c r="BE2396" s="67"/>
      <c r="BF2396" s="67"/>
      <c r="BG2396" s="68"/>
      <c r="BI2396" s="69">
        <v>0</v>
      </c>
      <c r="BJ2396" s="70">
        <v>0</v>
      </c>
      <c r="BK2396" s="71">
        <v>0</v>
      </c>
      <c r="BL2396" s="71">
        <v>0</v>
      </c>
      <c r="BM2396" s="71">
        <v>0</v>
      </c>
      <c r="BN2396" s="72">
        <v>0</v>
      </c>
      <c r="BO2396" s="151" t="e">
        <f t="shared" si="159"/>
        <v>#DIV/0!</v>
      </c>
      <c r="BP2396" s="151" t="e">
        <f t="shared" si="160"/>
        <v>#DIV/0!</v>
      </c>
      <c r="BQ2396" s="71">
        <v>0</v>
      </c>
      <c r="BR2396" s="71">
        <v>0</v>
      </c>
      <c r="BS2396" s="71">
        <v>0</v>
      </c>
      <c r="BT2396" s="72">
        <v>0</v>
      </c>
      <c r="BU2396" s="151" t="e">
        <f t="shared" si="161"/>
        <v>#DIV/0!</v>
      </c>
      <c r="BV2396" s="151" t="e">
        <f t="shared" si="162"/>
        <v>#DIV/0!</v>
      </c>
    </row>
    <row r="2397" ht="30" customHeight="1" spans="1:74">
      <c r="A2397" s="55">
        <v>0</v>
      </c>
      <c r="B2397" s="56" t="s">
        <v>1237</v>
      </c>
      <c r="C2397" s="57" t="s">
        <v>3226</v>
      </c>
      <c r="D2397" s="59" t="s">
        <v>3697</v>
      </c>
      <c r="E2397" s="59" t="s">
        <v>3737</v>
      </c>
      <c r="F2397" s="59" t="str">
        <f>VLOOKUP(E2397,[1]库存!$B$1:$C$65536,2,FALSE)</f>
        <v>K256 CAB导气袋</v>
      </c>
      <c r="G2397" s="59" t="s">
        <v>3738</v>
      </c>
      <c r="H2397" s="59" t="s">
        <v>3739</v>
      </c>
      <c r="I2397" s="59"/>
      <c r="J2397" s="63"/>
      <c r="K2397" s="61"/>
      <c r="L2397" s="62">
        <v>0</v>
      </c>
      <c r="M2397" s="63">
        <v>0</v>
      </c>
      <c r="N2397" s="64">
        <v>0</v>
      </c>
      <c r="O2397" s="62">
        <v>0</v>
      </c>
      <c r="P2397" s="65">
        <f t="shared" si="163"/>
        <v>0</v>
      </c>
      <c r="Q2397" s="66"/>
      <c r="R2397" s="66"/>
      <c r="S2397" s="66"/>
      <c r="T2397" s="66"/>
      <c r="U2397" s="66"/>
      <c r="V2397" s="66"/>
      <c r="W2397" s="66"/>
      <c r="X2397" s="66"/>
      <c r="Y2397" s="66"/>
      <c r="Z2397" s="66"/>
      <c r="AA2397" s="66"/>
      <c r="AB2397" s="66"/>
      <c r="AC2397" s="66"/>
      <c r="AD2397" s="66"/>
      <c r="AE2397" s="66"/>
      <c r="AF2397" s="66"/>
      <c r="AG2397" s="66"/>
      <c r="AH2397" s="66"/>
      <c r="AI2397" s="66"/>
      <c r="AJ2397" s="66"/>
      <c r="AK2397" s="66"/>
      <c r="AL2397" s="66"/>
      <c r="AM2397" s="66"/>
      <c r="AN2397" s="66"/>
      <c r="AO2397" s="66"/>
      <c r="AP2397" s="66"/>
      <c r="AQ2397" s="66"/>
      <c r="AR2397" s="66"/>
      <c r="AS2397" s="66"/>
      <c r="AT2397" s="66"/>
      <c r="AU2397" s="66"/>
      <c r="AV2397" s="66"/>
      <c r="AW2397" s="66"/>
      <c r="AX2397" s="66"/>
      <c r="AY2397" s="66"/>
      <c r="AZ2397" s="66"/>
      <c r="BA2397" s="66"/>
      <c r="BB2397" s="66"/>
      <c r="BC2397" s="66"/>
      <c r="BD2397" s="66"/>
      <c r="BE2397" s="67"/>
      <c r="BF2397" s="67"/>
      <c r="BG2397" s="68"/>
      <c r="BI2397" s="69">
        <v>0</v>
      </c>
      <c r="BJ2397" s="70">
        <v>0</v>
      </c>
      <c r="BK2397" s="71">
        <v>0</v>
      </c>
      <c r="BL2397" s="71">
        <v>0</v>
      </c>
      <c r="BM2397" s="71">
        <v>0</v>
      </c>
      <c r="BN2397" s="72">
        <v>0</v>
      </c>
      <c r="BO2397" s="151" t="e">
        <f t="shared" si="159"/>
        <v>#DIV/0!</v>
      </c>
      <c r="BP2397" s="151" t="e">
        <f t="shared" si="160"/>
        <v>#DIV/0!</v>
      </c>
      <c r="BQ2397" s="71">
        <v>0</v>
      </c>
      <c r="BR2397" s="71">
        <v>0</v>
      </c>
      <c r="BS2397" s="71">
        <v>0</v>
      </c>
      <c r="BT2397" s="72">
        <v>0</v>
      </c>
      <c r="BU2397" s="151" t="e">
        <f t="shared" si="161"/>
        <v>#DIV/0!</v>
      </c>
      <c r="BV2397" s="151" t="e">
        <f t="shared" si="162"/>
        <v>#DIV/0!</v>
      </c>
    </row>
    <row r="2398" ht="30" customHeight="1" spans="1:74">
      <c r="A2398" s="55">
        <v>0</v>
      </c>
      <c r="B2398" s="56">
        <v>0</v>
      </c>
      <c r="C2398" s="57">
        <v>0</v>
      </c>
      <c r="D2398" s="74"/>
      <c r="E2398" s="74"/>
      <c r="F2398" s="59" t="e">
        <f>VLOOKUP(E2398,[1]库存!$B$1:$C$65536,2,FALSE)</f>
        <v>#N/A</v>
      </c>
      <c r="G2398" s="59" t="e">
        <v>#N/A</v>
      </c>
      <c r="H2398" s="74"/>
      <c r="I2398" s="74"/>
      <c r="J2398" s="87"/>
      <c r="K2398" s="61"/>
      <c r="L2398" s="62">
        <v>0</v>
      </c>
      <c r="M2398" s="63">
        <v>0</v>
      </c>
      <c r="N2398" s="64">
        <v>0</v>
      </c>
      <c r="O2398" s="62">
        <v>0</v>
      </c>
      <c r="P2398" s="65">
        <f t="shared" si="163"/>
        <v>0</v>
      </c>
      <c r="Q2398" s="66"/>
      <c r="R2398" s="66"/>
      <c r="S2398" s="66"/>
      <c r="T2398" s="66"/>
      <c r="U2398" s="66"/>
      <c r="V2398" s="66"/>
      <c r="W2398" s="66"/>
      <c r="X2398" s="66"/>
      <c r="Y2398" s="66"/>
      <c r="Z2398" s="66"/>
      <c r="AA2398" s="66"/>
      <c r="AB2398" s="66"/>
      <c r="AC2398" s="66"/>
      <c r="AD2398" s="66"/>
      <c r="AE2398" s="66"/>
      <c r="AF2398" s="66"/>
      <c r="AG2398" s="66"/>
      <c r="AH2398" s="66"/>
      <c r="AI2398" s="66"/>
      <c r="AJ2398" s="66"/>
      <c r="AK2398" s="66"/>
      <c r="AL2398" s="66"/>
      <c r="AM2398" s="66"/>
      <c r="AN2398" s="66"/>
      <c r="AO2398" s="66"/>
      <c r="AP2398" s="66"/>
      <c r="AQ2398" s="66"/>
      <c r="AR2398" s="66"/>
      <c r="AS2398" s="66"/>
      <c r="AT2398" s="66"/>
      <c r="AU2398" s="66"/>
      <c r="AV2398" s="66"/>
      <c r="AW2398" s="66"/>
      <c r="AX2398" s="66"/>
      <c r="AY2398" s="66"/>
      <c r="AZ2398" s="66"/>
      <c r="BA2398" s="66"/>
      <c r="BB2398" s="66"/>
      <c r="BC2398" s="66"/>
      <c r="BD2398" s="66"/>
      <c r="BE2398" s="67"/>
      <c r="BF2398" s="67"/>
      <c r="BG2398" s="68"/>
      <c r="BI2398" s="69">
        <v>0</v>
      </c>
      <c r="BJ2398" s="70">
        <v>0</v>
      </c>
      <c r="BK2398" s="71">
        <v>0</v>
      </c>
      <c r="BL2398" s="71">
        <v>0</v>
      </c>
      <c r="BM2398" s="71">
        <v>0</v>
      </c>
      <c r="BN2398" s="72">
        <v>0</v>
      </c>
      <c r="BO2398" s="151" t="e">
        <f t="shared" si="159"/>
        <v>#DIV/0!</v>
      </c>
      <c r="BP2398" s="151" t="e">
        <f t="shared" si="160"/>
        <v>#DIV/0!</v>
      </c>
      <c r="BQ2398" s="71">
        <v>0</v>
      </c>
      <c r="BR2398" s="71">
        <v>0</v>
      </c>
      <c r="BS2398" s="71">
        <v>0</v>
      </c>
      <c r="BT2398" s="72">
        <v>0</v>
      </c>
      <c r="BU2398" s="151" t="e">
        <f t="shared" si="161"/>
        <v>#DIV/0!</v>
      </c>
      <c r="BV2398" s="151" t="e">
        <f t="shared" si="162"/>
        <v>#DIV/0!</v>
      </c>
    </row>
    <row r="2399" ht="30" customHeight="1" spans="1:74">
      <c r="A2399" s="55">
        <v>0</v>
      </c>
      <c r="B2399" s="56" t="s">
        <v>1237</v>
      </c>
      <c r="C2399" s="57" t="s">
        <v>3226</v>
      </c>
      <c r="D2399" s="59" t="s">
        <v>3227</v>
      </c>
      <c r="E2399" s="59" t="s">
        <v>3740</v>
      </c>
      <c r="F2399" s="59" t="str">
        <f>VLOOKUP(E2399,[1]库存!$B$1:$C$65536,2,FALSE)</f>
        <v>K256 CAB拉带</v>
      </c>
      <c r="G2399" s="59" t="s">
        <v>3741</v>
      </c>
      <c r="H2399" s="59" t="s">
        <v>3742</v>
      </c>
      <c r="I2399" s="59"/>
      <c r="J2399" s="63"/>
      <c r="K2399" s="61"/>
      <c r="L2399" s="62">
        <v>0</v>
      </c>
      <c r="M2399" s="63">
        <v>1200</v>
      </c>
      <c r="N2399" s="64">
        <v>1.5</v>
      </c>
      <c r="O2399" s="62">
        <v>0</v>
      </c>
      <c r="P2399" s="65">
        <f t="shared" si="163"/>
        <v>0</v>
      </c>
      <c r="Q2399" s="66"/>
      <c r="R2399" s="66"/>
      <c r="S2399" s="66"/>
      <c r="T2399" s="66"/>
      <c r="U2399" s="66"/>
      <c r="V2399" s="66"/>
      <c r="W2399" s="66"/>
      <c r="X2399" s="66"/>
      <c r="Y2399" s="66"/>
      <c r="Z2399" s="66"/>
      <c r="AA2399" s="66"/>
      <c r="AB2399" s="66"/>
      <c r="AC2399" s="66"/>
      <c r="AD2399" s="66"/>
      <c r="AE2399" s="66"/>
      <c r="AF2399" s="66"/>
      <c r="AG2399" s="66"/>
      <c r="AH2399" s="66"/>
      <c r="AI2399" s="66"/>
      <c r="AJ2399" s="66"/>
      <c r="AK2399" s="66"/>
      <c r="AL2399" s="66"/>
      <c r="AM2399" s="66"/>
      <c r="AN2399" s="66"/>
      <c r="AO2399" s="66"/>
      <c r="AP2399" s="66"/>
      <c r="AQ2399" s="66"/>
      <c r="AR2399" s="66"/>
      <c r="AS2399" s="66"/>
      <c r="AT2399" s="66"/>
      <c r="AU2399" s="66"/>
      <c r="AV2399" s="66"/>
      <c r="AW2399" s="66"/>
      <c r="AX2399" s="66"/>
      <c r="AY2399" s="66"/>
      <c r="AZ2399" s="66"/>
      <c r="BA2399" s="66"/>
      <c r="BB2399" s="66"/>
      <c r="BC2399" s="66"/>
      <c r="BD2399" s="66"/>
      <c r="BE2399" s="67"/>
      <c r="BF2399" s="67"/>
      <c r="BG2399" s="68"/>
      <c r="BI2399" s="69">
        <v>0</v>
      </c>
      <c r="BJ2399" s="70">
        <v>0</v>
      </c>
      <c r="BK2399" s="71">
        <v>0</v>
      </c>
      <c r="BL2399" s="71">
        <v>0</v>
      </c>
      <c r="BM2399" s="71">
        <v>0</v>
      </c>
      <c r="BN2399" s="72">
        <v>0</v>
      </c>
      <c r="BO2399" s="151" t="e">
        <f t="shared" si="159"/>
        <v>#DIV/0!</v>
      </c>
      <c r="BP2399" s="151" t="e">
        <f t="shared" si="160"/>
        <v>#DIV/0!</v>
      </c>
      <c r="BQ2399" s="71">
        <v>0</v>
      </c>
      <c r="BR2399" s="71">
        <v>0</v>
      </c>
      <c r="BS2399" s="71">
        <v>0</v>
      </c>
      <c r="BT2399" s="72">
        <v>0</v>
      </c>
      <c r="BU2399" s="151" t="e">
        <f t="shared" si="161"/>
        <v>#DIV/0!</v>
      </c>
      <c r="BV2399" s="151" t="e">
        <f t="shared" si="162"/>
        <v>#DIV/0!</v>
      </c>
    </row>
    <row r="2400" ht="30" customHeight="1" spans="1:74">
      <c r="A2400" s="55">
        <v>0</v>
      </c>
      <c r="B2400" s="56">
        <v>0</v>
      </c>
      <c r="C2400" s="57">
        <v>0</v>
      </c>
      <c r="D2400" s="74"/>
      <c r="E2400" s="74"/>
      <c r="F2400" s="59" t="e">
        <f>VLOOKUP(E2400,[1]库存!$B$1:$C$65536,2,FALSE)</f>
        <v>#N/A</v>
      </c>
      <c r="G2400" s="59" t="e">
        <v>#N/A</v>
      </c>
      <c r="H2400" s="74"/>
      <c r="I2400" s="74"/>
      <c r="J2400" s="87"/>
      <c r="K2400" s="61"/>
      <c r="L2400" s="62">
        <v>0</v>
      </c>
      <c r="M2400" s="63">
        <v>0</v>
      </c>
      <c r="N2400" s="64">
        <v>0</v>
      </c>
      <c r="O2400" s="62">
        <v>0</v>
      </c>
      <c r="P2400" s="65">
        <f t="shared" si="163"/>
        <v>0</v>
      </c>
      <c r="Q2400" s="66"/>
      <c r="R2400" s="66"/>
      <c r="S2400" s="66"/>
      <c r="T2400" s="66"/>
      <c r="U2400" s="66"/>
      <c r="V2400" s="66"/>
      <c r="W2400" s="66"/>
      <c r="X2400" s="66"/>
      <c r="Y2400" s="66"/>
      <c r="Z2400" s="66"/>
      <c r="AA2400" s="66"/>
      <c r="AB2400" s="66"/>
      <c r="AC2400" s="66"/>
      <c r="AD2400" s="66"/>
      <c r="AE2400" s="66"/>
      <c r="AF2400" s="66"/>
      <c r="AG2400" s="66"/>
      <c r="AH2400" s="66"/>
      <c r="AI2400" s="66"/>
      <c r="AJ2400" s="66"/>
      <c r="AK2400" s="66"/>
      <c r="AL2400" s="66"/>
      <c r="AM2400" s="66"/>
      <c r="AN2400" s="66"/>
      <c r="AO2400" s="66"/>
      <c r="AP2400" s="66"/>
      <c r="AQ2400" s="66"/>
      <c r="AR2400" s="66"/>
      <c r="AS2400" s="66"/>
      <c r="AT2400" s="66"/>
      <c r="AU2400" s="66"/>
      <c r="AV2400" s="66"/>
      <c r="AW2400" s="66"/>
      <c r="AX2400" s="66"/>
      <c r="AY2400" s="66"/>
      <c r="AZ2400" s="66"/>
      <c r="BA2400" s="66"/>
      <c r="BB2400" s="66"/>
      <c r="BC2400" s="66"/>
      <c r="BD2400" s="66"/>
      <c r="BE2400" s="67"/>
      <c r="BF2400" s="67"/>
      <c r="BG2400" s="68"/>
      <c r="BI2400" s="69">
        <v>0</v>
      </c>
      <c r="BJ2400" s="70">
        <v>0</v>
      </c>
      <c r="BK2400" s="71">
        <v>0</v>
      </c>
      <c r="BL2400" s="71">
        <v>0</v>
      </c>
      <c r="BM2400" s="71">
        <v>0</v>
      </c>
      <c r="BN2400" s="72">
        <v>0</v>
      </c>
      <c r="BO2400" s="151" t="e">
        <f t="shared" si="159"/>
        <v>#DIV/0!</v>
      </c>
      <c r="BP2400" s="151" t="e">
        <f t="shared" si="160"/>
        <v>#DIV/0!</v>
      </c>
      <c r="BQ2400" s="71">
        <v>0</v>
      </c>
      <c r="BR2400" s="71">
        <v>0</v>
      </c>
      <c r="BS2400" s="71">
        <v>0</v>
      </c>
      <c r="BT2400" s="72">
        <v>0</v>
      </c>
      <c r="BU2400" s="151" t="e">
        <f t="shared" si="161"/>
        <v>#DIV/0!</v>
      </c>
      <c r="BV2400" s="151" t="e">
        <f t="shared" si="162"/>
        <v>#DIV/0!</v>
      </c>
    </row>
    <row r="2401" ht="30" customHeight="1" spans="1:74">
      <c r="A2401" s="55">
        <v>0</v>
      </c>
      <c r="B2401" s="56" t="s">
        <v>1237</v>
      </c>
      <c r="C2401" s="57" t="s">
        <v>3226</v>
      </c>
      <c r="D2401" s="59" t="s">
        <v>3683</v>
      </c>
      <c r="E2401" s="59" t="s">
        <v>3743</v>
      </c>
      <c r="F2401" s="59" t="str">
        <f>VLOOKUP(E2401,[1]库存!$B$1:$C$65536,2,FALSE)</f>
        <v>K256 CAB LH</v>
      </c>
      <c r="G2401" s="59" t="s">
        <v>3744</v>
      </c>
      <c r="H2401" s="59" t="s">
        <v>3745</v>
      </c>
      <c r="I2401" s="59"/>
      <c r="J2401" s="63"/>
      <c r="K2401" s="61"/>
      <c r="L2401" s="62">
        <v>1</v>
      </c>
      <c r="M2401" s="63">
        <v>120</v>
      </c>
      <c r="N2401" s="64">
        <v>3</v>
      </c>
      <c r="O2401" s="62">
        <v>1</v>
      </c>
      <c r="P2401" s="65">
        <f t="shared" si="163"/>
        <v>0</v>
      </c>
      <c r="Q2401" s="66"/>
      <c r="R2401" s="66"/>
      <c r="S2401" s="66"/>
      <c r="T2401" s="66"/>
      <c r="U2401" s="66"/>
      <c r="V2401" s="66"/>
      <c r="W2401" s="66"/>
      <c r="X2401" s="66"/>
      <c r="Y2401" s="66"/>
      <c r="Z2401" s="66"/>
      <c r="AA2401" s="66"/>
      <c r="AB2401" s="66"/>
      <c r="AC2401" s="66"/>
      <c r="AD2401" s="66"/>
      <c r="AE2401" s="66"/>
      <c r="AF2401" s="66"/>
      <c r="AG2401" s="66"/>
      <c r="AH2401" s="66"/>
      <c r="AI2401" s="66"/>
      <c r="AJ2401" s="66"/>
      <c r="AK2401" s="66"/>
      <c r="AL2401" s="66"/>
      <c r="AM2401" s="66"/>
      <c r="AN2401" s="66"/>
      <c r="AO2401" s="66"/>
      <c r="AP2401" s="66"/>
      <c r="AQ2401" s="66"/>
      <c r="AR2401" s="66"/>
      <c r="AS2401" s="66"/>
      <c r="AT2401" s="66"/>
      <c r="AU2401" s="66"/>
      <c r="AV2401" s="66"/>
      <c r="AW2401" s="66"/>
      <c r="AX2401" s="66"/>
      <c r="AY2401" s="66"/>
      <c r="AZ2401" s="66"/>
      <c r="BA2401" s="66"/>
      <c r="BB2401" s="66"/>
      <c r="BC2401" s="66"/>
      <c r="BD2401" s="66"/>
      <c r="BE2401" s="67"/>
      <c r="BF2401" s="67"/>
      <c r="BG2401" s="68"/>
      <c r="BI2401" s="69">
        <v>0</v>
      </c>
      <c r="BJ2401" s="70">
        <v>0</v>
      </c>
      <c r="BK2401" s="71">
        <v>0</v>
      </c>
      <c r="BL2401" s="71">
        <v>0</v>
      </c>
      <c r="BM2401" s="71">
        <v>0</v>
      </c>
      <c r="BN2401" s="72">
        <v>0</v>
      </c>
      <c r="BO2401" s="151" t="e">
        <f t="shared" si="159"/>
        <v>#DIV/0!</v>
      </c>
      <c r="BP2401" s="151" t="e">
        <f t="shared" si="160"/>
        <v>#DIV/0!</v>
      </c>
      <c r="BQ2401" s="71">
        <v>0</v>
      </c>
      <c r="BR2401" s="71">
        <v>0</v>
      </c>
      <c r="BS2401" s="71">
        <v>0</v>
      </c>
      <c r="BT2401" s="72">
        <v>0</v>
      </c>
      <c r="BU2401" s="151" t="e">
        <f t="shared" si="161"/>
        <v>#DIV/0!</v>
      </c>
      <c r="BV2401" s="151" t="e">
        <f t="shared" si="162"/>
        <v>#DIV/0!</v>
      </c>
    </row>
    <row r="2402" ht="30" customHeight="1" spans="1:74">
      <c r="A2402" s="55">
        <v>0</v>
      </c>
      <c r="B2402" s="56">
        <v>0</v>
      </c>
      <c r="C2402" s="57">
        <v>0</v>
      </c>
      <c r="D2402" s="74"/>
      <c r="E2402" s="74"/>
      <c r="F2402" s="59" t="e">
        <f>VLOOKUP(E2402,[1]库存!$B$1:$C$65536,2,FALSE)</f>
        <v>#N/A</v>
      </c>
      <c r="G2402" s="59" t="e">
        <v>#N/A</v>
      </c>
      <c r="H2402" s="74"/>
      <c r="I2402" s="74"/>
      <c r="J2402" s="87"/>
      <c r="K2402" s="61"/>
      <c r="L2402" s="62">
        <v>0</v>
      </c>
      <c r="M2402" s="63">
        <v>0</v>
      </c>
      <c r="N2402" s="64">
        <v>0</v>
      </c>
      <c r="O2402" s="62">
        <v>0</v>
      </c>
      <c r="P2402" s="65">
        <f t="shared" si="163"/>
        <v>0</v>
      </c>
      <c r="Q2402" s="66"/>
      <c r="R2402" s="66"/>
      <c r="S2402" s="66"/>
      <c r="T2402" s="66"/>
      <c r="U2402" s="66"/>
      <c r="V2402" s="66"/>
      <c r="W2402" s="66"/>
      <c r="X2402" s="66"/>
      <c r="Y2402" s="66"/>
      <c r="Z2402" s="66"/>
      <c r="AA2402" s="66"/>
      <c r="AB2402" s="66"/>
      <c r="AC2402" s="66"/>
      <c r="AD2402" s="66"/>
      <c r="AE2402" s="66"/>
      <c r="AF2402" s="66"/>
      <c r="AG2402" s="66"/>
      <c r="AH2402" s="66"/>
      <c r="AI2402" s="66"/>
      <c r="AJ2402" s="66"/>
      <c r="AK2402" s="66"/>
      <c r="AL2402" s="66"/>
      <c r="AM2402" s="66"/>
      <c r="AN2402" s="66"/>
      <c r="AO2402" s="66"/>
      <c r="AP2402" s="66"/>
      <c r="AQ2402" s="66"/>
      <c r="AR2402" s="66"/>
      <c r="AS2402" s="66"/>
      <c r="AT2402" s="66"/>
      <c r="AU2402" s="66"/>
      <c r="AV2402" s="66"/>
      <c r="AW2402" s="66"/>
      <c r="AX2402" s="66"/>
      <c r="AY2402" s="66"/>
      <c r="AZ2402" s="66"/>
      <c r="BA2402" s="66"/>
      <c r="BB2402" s="66"/>
      <c r="BC2402" s="66"/>
      <c r="BD2402" s="66"/>
      <c r="BE2402" s="67"/>
      <c r="BF2402" s="67"/>
      <c r="BG2402" s="68"/>
      <c r="BI2402" s="69">
        <v>0</v>
      </c>
      <c r="BJ2402" s="70">
        <v>0</v>
      </c>
      <c r="BK2402" s="71">
        <v>0</v>
      </c>
      <c r="BL2402" s="71">
        <v>0</v>
      </c>
      <c r="BM2402" s="71">
        <v>0</v>
      </c>
      <c r="BN2402" s="72">
        <v>0</v>
      </c>
      <c r="BO2402" s="151" t="e">
        <f t="shared" si="159"/>
        <v>#DIV/0!</v>
      </c>
      <c r="BP2402" s="151" t="e">
        <f t="shared" si="160"/>
        <v>#DIV/0!</v>
      </c>
      <c r="BQ2402" s="71">
        <v>0</v>
      </c>
      <c r="BR2402" s="71">
        <v>0</v>
      </c>
      <c r="BS2402" s="71">
        <v>0</v>
      </c>
      <c r="BT2402" s="72">
        <v>0</v>
      </c>
      <c r="BU2402" s="151" t="e">
        <f t="shared" si="161"/>
        <v>#DIV/0!</v>
      </c>
      <c r="BV2402" s="151" t="e">
        <f t="shared" si="162"/>
        <v>#DIV/0!</v>
      </c>
    </row>
    <row r="2403" ht="30" customHeight="1" spans="1:74">
      <c r="A2403" s="55">
        <v>0</v>
      </c>
      <c r="B2403" s="56" t="s">
        <v>1237</v>
      </c>
      <c r="C2403" s="57" t="s">
        <v>3226</v>
      </c>
      <c r="D2403" s="59" t="s">
        <v>3683</v>
      </c>
      <c r="E2403" s="59" t="s">
        <v>3746</v>
      </c>
      <c r="F2403" s="59" t="str">
        <f>VLOOKUP(E2403,[1]库存!$B$1:$C$65536,2,FALSE)</f>
        <v>K256 CAB RH</v>
      </c>
      <c r="G2403" s="59" t="s">
        <v>3747</v>
      </c>
      <c r="H2403" s="59" t="s">
        <v>3748</v>
      </c>
      <c r="I2403" s="59"/>
      <c r="J2403" s="63"/>
      <c r="K2403" s="61"/>
      <c r="L2403" s="62">
        <v>1</v>
      </c>
      <c r="M2403" s="63">
        <v>120</v>
      </c>
      <c r="N2403" s="64">
        <v>3</v>
      </c>
      <c r="O2403" s="62">
        <v>1</v>
      </c>
      <c r="P2403" s="65">
        <f t="shared" si="163"/>
        <v>0</v>
      </c>
      <c r="Q2403" s="66"/>
      <c r="R2403" s="66"/>
      <c r="S2403" s="66"/>
      <c r="T2403" s="66"/>
      <c r="U2403" s="66"/>
      <c r="V2403" s="66"/>
      <c r="W2403" s="66"/>
      <c r="X2403" s="66"/>
      <c r="Y2403" s="66"/>
      <c r="Z2403" s="66"/>
      <c r="AA2403" s="66"/>
      <c r="AB2403" s="66"/>
      <c r="AC2403" s="66"/>
      <c r="AD2403" s="66"/>
      <c r="AE2403" s="66"/>
      <c r="AF2403" s="66"/>
      <c r="AG2403" s="66"/>
      <c r="AH2403" s="66"/>
      <c r="AI2403" s="66"/>
      <c r="AJ2403" s="66"/>
      <c r="AK2403" s="66"/>
      <c r="AL2403" s="66"/>
      <c r="AM2403" s="66"/>
      <c r="AN2403" s="66"/>
      <c r="AO2403" s="66"/>
      <c r="AP2403" s="66"/>
      <c r="AQ2403" s="66"/>
      <c r="AR2403" s="66"/>
      <c r="AS2403" s="66"/>
      <c r="AT2403" s="66"/>
      <c r="AU2403" s="66"/>
      <c r="AV2403" s="66"/>
      <c r="AW2403" s="66"/>
      <c r="AX2403" s="66"/>
      <c r="AY2403" s="66"/>
      <c r="AZ2403" s="66"/>
      <c r="BA2403" s="66"/>
      <c r="BB2403" s="66"/>
      <c r="BC2403" s="66"/>
      <c r="BD2403" s="66"/>
      <c r="BE2403" s="67"/>
      <c r="BF2403" s="67"/>
      <c r="BG2403" s="68"/>
      <c r="BI2403" s="69">
        <v>0</v>
      </c>
      <c r="BJ2403" s="70">
        <v>0</v>
      </c>
      <c r="BK2403" s="71">
        <v>0</v>
      </c>
      <c r="BL2403" s="71">
        <v>0</v>
      </c>
      <c r="BM2403" s="71">
        <v>0</v>
      </c>
      <c r="BN2403" s="72">
        <v>0</v>
      </c>
      <c r="BO2403" s="151" t="e">
        <f t="shared" si="159"/>
        <v>#DIV/0!</v>
      </c>
      <c r="BP2403" s="151" t="e">
        <f t="shared" si="160"/>
        <v>#DIV/0!</v>
      </c>
      <c r="BQ2403" s="71">
        <v>0</v>
      </c>
      <c r="BR2403" s="71">
        <v>0</v>
      </c>
      <c r="BS2403" s="71">
        <v>0</v>
      </c>
      <c r="BT2403" s="72">
        <v>0</v>
      </c>
      <c r="BU2403" s="151" t="e">
        <f t="shared" si="161"/>
        <v>#DIV/0!</v>
      </c>
      <c r="BV2403" s="151" t="e">
        <f t="shared" si="162"/>
        <v>#DIV/0!</v>
      </c>
    </row>
    <row r="2404" ht="30" customHeight="1" spans="1:74">
      <c r="A2404" s="55">
        <v>0</v>
      </c>
      <c r="B2404" s="56">
        <v>0</v>
      </c>
      <c r="C2404" s="57">
        <v>0</v>
      </c>
      <c r="D2404" s="74"/>
      <c r="E2404" s="74"/>
      <c r="F2404" s="59" t="e">
        <f>VLOOKUP(E2404,[1]库存!$B$1:$C$65536,2,FALSE)</f>
        <v>#N/A</v>
      </c>
      <c r="G2404" s="59" t="e">
        <v>#N/A</v>
      </c>
      <c r="H2404" s="74"/>
      <c r="I2404" s="74"/>
      <c r="J2404" s="87"/>
      <c r="K2404" s="61"/>
      <c r="L2404" s="62">
        <v>0</v>
      </c>
      <c r="M2404" s="63">
        <v>0</v>
      </c>
      <c r="N2404" s="64">
        <v>0</v>
      </c>
      <c r="O2404" s="62">
        <v>0</v>
      </c>
      <c r="P2404" s="65">
        <f t="shared" si="163"/>
        <v>0</v>
      </c>
      <c r="Q2404" s="66"/>
      <c r="R2404" s="66"/>
      <c r="S2404" s="66"/>
      <c r="T2404" s="66"/>
      <c r="U2404" s="66"/>
      <c r="V2404" s="66"/>
      <c r="W2404" s="66"/>
      <c r="X2404" s="66"/>
      <c r="Y2404" s="66"/>
      <c r="Z2404" s="66"/>
      <c r="AA2404" s="66"/>
      <c r="AB2404" s="66"/>
      <c r="AC2404" s="66"/>
      <c r="AD2404" s="66"/>
      <c r="AE2404" s="66"/>
      <c r="AF2404" s="66"/>
      <c r="AG2404" s="66"/>
      <c r="AH2404" s="66"/>
      <c r="AI2404" s="66"/>
      <c r="AJ2404" s="66"/>
      <c r="AK2404" s="66"/>
      <c r="AL2404" s="66"/>
      <c r="AM2404" s="66"/>
      <c r="AN2404" s="66"/>
      <c r="AO2404" s="66"/>
      <c r="AP2404" s="66"/>
      <c r="AQ2404" s="66"/>
      <c r="AR2404" s="66"/>
      <c r="AS2404" s="66"/>
      <c r="AT2404" s="66"/>
      <c r="AU2404" s="66"/>
      <c r="AV2404" s="66"/>
      <c r="AW2404" s="66"/>
      <c r="AX2404" s="66"/>
      <c r="AY2404" s="66"/>
      <c r="AZ2404" s="66"/>
      <c r="BA2404" s="66"/>
      <c r="BB2404" s="66"/>
      <c r="BC2404" s="66"/>
      <c r="BD2404" s="66"/>
      <c r="BE2404" s="67"/>
      <c r="BF2404" s="67"/>
      <c r="BG2404" s="68"/>
      <c r="BI2404" s="69">
        <v>0</v>
      </c>
      <c r="BJ2404" s="70">
        <v>0</v>
      </c>
      <c r="BK2404" s="71">
        <v>0</v>
      </c>
      <c r="BL2404" s="71">
        <v>0</v>
      </c>
      <c r="BM2404" s="71">
        <v>0</v>
      </c>
      <c r="BN2404" s="72">
        <v>0</v>
      </c>
      <c r="BO2404" s="151" t="e">
        <f t="shared" si="159"/>
        <v>#DIV/0!</v>
      </c>
      <c r="BP2404" s="151" t="e">
        <f t="shared" si="160"/>
        <v>#DIV/0!</v>
      </c>
      <c r="BQ2404" s="71">
        <v>0</v>
      </c>
      <c r="BR2404" s="71">
        <v>0</v>
      </c>
      <c r="BS2404" s="71">
        <v>0</v>
      </c>
      <c r="BT2404" s="72">
        <v>0</v>
      </c>
      <c r="BU2404" s="151" t="e">
        <f t="shared" si="161"/>
        <v>#DIV/0!</v>
      </c>
      <c r="BV2404" s="151" t="e">
        <f t="shared" si="162"/>
        <v>#DIV/0!</v>
      </c>
    </row>
    <row r="2405" ht="30" customHeight="1" spans="1:74">
      <c r="A2405" s="55">
        <v>0</v>
      </c>
      <c r="B2405" s="56">
        <v>0</v>
      </c>
      <c r="C2405" s="57">
        <v>0</v>
      </c>
      <c r="E2405" s="88"/>
      <c r="F2405" s="59" t="e">
        <f>VLOOKUP(E2405,[1]库存!$B$1:$C$65536,2,FALSE)</f>
        <v>#N/A</v>
      </c>
      <c r="G2405" s="59" t="e">
        <v>#N/A</v>
      </c>
      <c r="H2405" s="89"/>
      <c r="I2405" s="88"/>
      <c r="J2405" s="90"/>
      <c r="K2405" s="61"/>
      <c r="L2405" s="62">
        <v>0</v>
      </c>
      <c r="M2405" s="63">
        <v>0</v>
      </c>
      <c r="N2405" s="64">
        <v>0</v>
      </c>
      <c r="O2405" s="62">
        <v>0</v>
      </c>
      <c r="P2405" s="65">
        <f t="shared" si="163"/>
        <v>0</v>
      </c>
      <c r="Q2405" s="66"/>
      <c r="R2405" s="66"/>
      <c r="S2405" s="66"/>
      <c r="T2405" s="66"/>
      <c r="U2405" s="66"/>
      <c r="V2405" s="66"/>
      <c r="W2405" s="66"/>
      <c r="X2405" s="66"/>
      <c r="Y2405" s="66"/>
      <c r="Z2405" s="66"/>
      <c r="AA2405" s="66"/>
      <c r="AB2405" s="66"/>
      <c r="AC2405" s="66"/>
      <c r="AD2405" s="66"/>
      <c r="AE2405" s="66"/>
      <c r="AF2405" s="66"/>
      <c r="AG2405" s="66"/>
      <c r="AH2405" s="66"/>
      <c r="AI2405" s="66"/>
      <c r="AJ2405" s="66"/>
      <c r="AK2405" s="66"/>
      <c r="AL2405" s="66"/>
      <c r="AM2405" s="66"/>
      <c r="AN2405" s="66"/>
      <c r="AO2405" s="66"/>
      <c r="AP2405" s="66"/>
      <c r="AQ2405" s="66"/>
      <c r="AR2405" s="66"/>
      <c r="AS2405" s="66"/>
      <c r="AT2405" s="66"/>
      <c r="AU2405" s="66"/>
      <c r="AV2405" s="66"/>
      <c r="AW2405" s="66"/>
      <c r="AX2405" s="66"/>
      <c r="AY2405" s="66"/>
      <c r="AZ2405" s="66"/>
      <c r="BA2405" s="66"/>
      <c r="BB2405" s="66"/>
      <c r="BC2405" s="66"/>
      <c r="BD2405" s="66"/>
      <c r="BE2405" s="67"/>
      <c r="BF2405" s="67"/>
      <c r="BG2405" s="68"/>
      <c r="BI2405" s="69">
        <v>0</v>
      </c>
      <c r="BJ2405" s="70">
        <v>0</v>
      </c>
      <c r="BK2405" s="71">
        <v>0</v>
      </c>
      <c r="BL2405" s="71">
        <v>0</v>
      </c>
      <c r="BM2405" s="71">
        <v>0</v>
      </c>
      <c r="BN2405" s="72">
        <v>0</v>
      </c>
      <c r="BO2405" s="151" t="e">
        <f t="shared" si="159"/>
        <v>#DIV/0!</v>
      </c>
      <c r="BP2405" s="151" t="e">
        <f t="shared" si="160"/>
        <v>#DIV/0!</v>
      </c>
      <c r="BQ2405" s="71">
        <v>0</v>
      </c>
      <c r="BR2405" s="71">
        <v>0</v>
      </c>
      <c r="BS2405" s="71">
        <v>0</v>
      </c>
      <c r="BT2405" s="72">
        <v>0</v>
      </c>
      <c r="BU2405" s="151" t="e">
        <f t="shared" si="161"/>
        <v>#DIV/0!</v>
      </c>
      <c r="BV2405" s="151" t="e">
        <f t="shared" si="162"/>
        <v>#DIV/0!</v>
      </c>
    </row>
    <row r="2406" ht="30" customHeight="1" spans="1:74">
      <c r="A2406" s="55">
        <v>0</v>
      </c>
      <c r="B2406" s="56" t="s">
        <v>1237</v>
      </c>
      <c r="C2406" s="57" t="s">
        <v>3226</v>
      </c>
      <c r="D2406" s="59" t="s">
        <v>3749</v>
      </c>
      <c r="E2406" s="59"/>
      <c r="F2406" s="59" t="e">
        <f>VLOOKUP(E2406,[1]库存!$B$1:$C$65536,2,FALSE)</f>
        <v>#N/A</v>
      </c>
      <c r="G2406" s="59" t="e">
        <v>#N/A</v>
      </c>
      <c r="H2406" s="59" t="s">
        <v>3750</v>
      </c>
      <c r="I2406" s="59" t="s">
        <v>3751</v>
      </c>
      <c r="J2406" s="63"/>
      <c r="K2406" s="61"/>
      <c r="L2406" s="62">
        <v>0.7</v>
      </c>
      <c r="M2406" s="63">
        <v>400</v>
      </c>
      <c r="N2406" s="64">
        <v>3.5</v>
      </c>
      <c r="O2406" s="62">
        <v>0.7</v>
      </c>
      <c r="P2406" s="65">
        <f t="shared" si="163"/>
        <v>0</v>
      </c>
      <c r="Q2406" s="66"/>
      <c r="R2406" s="66"/>
      <c r="S2406" s="66"/>
      <c r="T2406" s="66"/>
      <c r="U2406" s="66"/>
      <c r="V2406" s="66"/>
      <c r="W2406" s="66"/>
      <c r="X2406" s="66"/>
      <c r="Y2406" s="66"/>
      <c r="Z2406" s="66"/>
      <c r="AA2406" s="66"/>
      <c r="AB2406" s="66"/>
      <c r="AC2406" s="66"/>
      <c r="AD2406" s="66"/>
      <c r="AE2406" s="66"/>
      <c r="AF2406" s="66"/>
      <c r="AG2406" s="66"/>
      <c r="AH2406" s="66"/>
      <c r="AI2406" s="66"/>
      <c r="AJ2406" s="66"/>
      <c r="AK2406" s="66"/>
      <c r="AL2406" s="66"/>
      <c r="AM2406" s="66"/>
      <c r="AN2406" s="66"/>
      <c r="AO2406" s="66"/>
      <c r="AP2406" s="66"/>
      <c r="AQ2406" s="66"/>
      <c r="AR2406" s="66"/>
      <c r="AS2406" s="66"/>
      <c r="AT2406" s="66"/>
      <c r="AU2406" s="66"/>
      <c r="AV2406" s="66"/>
      <c r="AW2406" s="66"/>
      <c r="AX2406" s="66"/>
      <c r="AY2406" s="66"/>
      <c r="AZ2406" s="66"/>
      <c r="BA2406" s="66"/>
      <c r="BB2406" s="66"/>
      <c r="BC2406" s="66"/>
      <c r="BD2406" s="66"/>
      <c r="BE2406" s="67"/>
      <c r="BF2406" s="67"/>
      <c r="BG2406" s="68"/>
      <c r="BI2406" s="69">
        <v>0</v>
      </c>
      <c r="BJ2406" s="70">
        <v>0</v>
      </c>
      <c r="BK2406" s="71">
        <v>0</v>
      </c>
      <c r="BL2406" s="71">
        <v>0</v>
      </c>
      <c r="BM2406" s="71">
        <v>0</v>
      </c>
      <c r="BN2406" s="72">
        <v>0</v>
      </c>
      <c r="BO2406" s="151" t="e">
        <f t="shared" si="159"/>
        <v>#DIV/0!</v>
      </c>
      <c r="BP2406" s="151" t="e">
        <f t="shared" si="160"/>
        <v>#DIV/0!</v>
      </c>
      <c r="BQ2406" s="71">
        <v>0</v>
      </c>
      <c r="BR2406" s="71">
        <v>0</v>
      </c>
      <c r="BS2406" s="71">
        <v>0</v>
      </c>
      <c r="BT2406" s="72">
        <v>0</v>
      </c>
      <c r="BU2406" s="151" t="e">
        <f t="shared" si="161"/>
        <v>#DIV/0!</v>
      </c>
      <c r="BV2406" s="151" t="e">
        <f t="shared" si="162"/>
        <v>#DIV/0!</v>
      </c>
    </row>
    <row r="2407" ht="30" customHeight="1" spans="1:74">
      <c r="A2407" s="55">
        <v>0</v>
      </c>
      <c r="B2407" s="56">
        <v>0</v>
      </c>
      <c r="C2407" s="57">
        <v>0</v>
      </c>
      <c r="D2407" s="74"/>
      <c r="E2407" s="74"/>
      <c r="F2407" s="59" t="e">
        <f>VLOOKUP(E2407,[1]库存!$B$1:$C$65536,2,FALSE)</f>
        <v>#N/A</v>
      </c>
      <c r="G2407" s="59" t="e">
        <v>#N/A</v>
      </c>
      <c r="H2407" s="74"/>
      <c r="I2407" s="74"/>
      <c r="J2407" s="87"/>
      <c r="K2407" s="61"/>
      <c r="L2407" s="62">
        <v>0</v>
      </c>
      <c r="M2407" s="63">
        <v>0</v>
      </c>
      <c r="N2407" s="64">
        <v>0</v>
      </c>
      <c r="O2407" s="62">
        <v>0</v>
      </c>
      <c r="P2407" s="65">
        <f t="shared" si="163"/>
        <v>0</v>
      </c>
      <c r="Q2407" s="66"/>
      <c r="R2407" s="66"/>
      <c r="S2407" s="66"/>
      <c r="T2407" s="66"/>
      <c r="U2407" s="66"/>
      <c r="V2407" s="66"/>
      <c r="W2407" s="66"/>
      <c r="X2407" s="66"/>
      <c r="Y2407" s="66"/>
      <c r="Z2407" s="66"/>
      <c r="AA2407" s="66"/>
      <c r="AB2407" s="66"/>
      <c r="AC2407" s="66"/>
      <c r="AD2407" s="66"/>
      <c r="AE2407" s="66"/>
      <c r="AF2407" s="66"/>
      <c r="AG2407" s="66"/>
      <c r="AH2407" s="66"/>
      <c r="AI2407" s="66"/>
      <c r="AJ2407" s="66"/>
      <c r="AK2407" s="66"/>
      <c r="AL2407" s="66"/>
      <c r="AM2407" s="66"/>
      <c r="AN2407" s="66"/>
      <c r="AO2407" s="66"/>
      <c r="AP2407" s="66"/>
      <c r="AQ2407" s="66"/>
      <c r="AR2407" s="66"/>
      <c r="AS2407" s="66"/>
      <c r="AT2407" s="66"/>
      <c r="AU2407" s="66"/>
      <c r="AV2407" s="66"/>
      <c r="AW2407" s="66"/>
      <c r="AX2407" s="66"/>
      <c r="AY2407" s="66"/>
      <c r="AZ2407" s="66"/>
      <c r="BA2407" s="66"/>
      <c r="BB2407" s="66"/>
      <c r="BC2407" s="66"/>
      <c r="BD2407" s="66"/>
      <c r="BE2407" s="67"/>
      <c r="BF2407" s="67"/>
      <c r="BG2407" s="68"/>
      <c r="BI2407" s="69">
        <v>0</v>
      </c>
      <c r="BJ2407" s="70">
        <v>0</v>
      </c>
      <c r="BK2407" s="71">
        <v>0</v>
      </c>
      <c r="BL2407" s="71">
        <v>0</v>
      </c>
      <c r="BM2407" s="71">
        <v>0</v>
      </c>
      <c r="BN2407" s="72">
        <v>0</v>
      </c>
      <c r="BO2407" s="151" t="e">
        <f t="shared" si="159"/>
        <v>#DIV/0!</v>
      </c>
      <c r="BP2407" s="151" t="e">
        <f t="shared" si="160"/>
        <v>#DIV/0!</v>
      </c>
      <c r="BQ2407" s="71">
        <v>0</v>
      </c>
      <c r="BR2407" s="71">
        <v>0</v>
      </c>
      <c r="BS2407" s="71">
        <v>0</v>
      </c>
      <c r="BT2407" s="72">
        <v>0</v>
      </c>
      <c r="BU2407" s="151" t="e">
        <f t="shared" si="161"/>
        <v>#DIV/0!</v>
      </c>
      <c r="BV2407" s="151" t="e">
        <f t="shared" si="162"/>
        <v>#DIV/0!</v>
      </c>
    </row>
    <row r="2408" ht="30" customHeight="1" spans="1:74">
      <c r="A2408" s="55">
        <v>0</v>
      </c>
      <c r="B2408" s="56" t="s">
        <v>1237</v>
      </c>
      <c r="C2408" s="57" t="s">
        <v>3226</v>
      </c>
      <c r="D2408" s="59" t="s">
        <v>3227</v>
      </c>
      <c r="E2408" s="59"/>
      <c r="F2408" s="59" t="e">
        <f>VLOOKUP(E2408,[1]库存!$B$1:$C$65536,2,FALSE)</f>
        <v>#N/A</v>
      </c>
      <c r="G2408" s="59" t="e">
        <v>#N/A</v>
      </c>
      <c r="H2408" s="59" t="s">
        <v>3752</v>
      </c>
      <c r="I2408" s="59"/>
      <c r="J2408" s="63"/>
      <c r="K2408" s="61"/>
      <c r="L2408" s="62">
        <v>0</v>
      </c>
      <c r="M2408" s="63">
        <v>800</v>
      </c>
      <c r="N2408" s="64">
        <v>1.5</v>
      </c>
      <c r="O2408" s="62">
        <v>0</v>
      </c>
      <c r="P2408" s="65">
        <f t="shared" si="163"/>
        <v>0</v>
      </c>
      <c r="Q2408" s="66"/>
      <c r="R2408" s="66"/>
      <c r="S2408" s="66"/>
      <c r="T2408" s="66"/>
      <c r="U2408" s="66"/>
      <c r="V2408" s="66"/>
      <c r="W2408" s="66"/>
      <c r="X2408" s="66"/>
      <c r="Y2408" s="66"/>
      <c r="Z2408" s="66"/>
      <c r="AA2408" s="66"/>
      <c r="AB2408" s="66"/>
      <c r="AC2408" s="66"/>
      <c r="AD2408" s="66"/>
      <c r="AE2408" s="66"/>
      <c r="AF2408" s="66"/>
      <c r="AG2408" s="66"/>
      <c r="AH2408" s="66"/>
      <c r="AI2408" s="66"/>
      <c r="AJ2408" s="66"/>
      <c r="AK2408" s="66"/>
      <c r="AL2408" s="66"/>
      <c r="AM2408" s="66"/>
      <c r="AN2408" s="66"/>
      <c r="AO2408" s="66"/>
      <c r="AP2408" s="66"/>
      <c r="AQ2408" s="66"/>
      <c r="AR2408" s="66"/>
      <c r="AS2408" s="66"/>
      <c r="AT2408" s="66"/>
      <c r="AU2408" s="66"/>
      <c r="AV2408" s="66"/>
      <c r="AW2408" s="66"/>
      <c r="AX2408" s="66"/>
      <c r="AY2408" s="66"/>
      <c r="AZ2408" s="66"/>
      <c r="BA2408" s="66"/>
      <c r="BB2408" s="66"/>
      <c r="BC2408" s="66"/>
      <c r="BD2408" s="66"/>
      <c r="BE2408" s="67"/>
      <c r="BF2408" s="67"/>
      <c r="BG2408" s="68"/>
      <c r="BI2408" s="69">
        <v>0</v>
      </c>
      <c r="BJ2408" s="70">
        <v>0</v>
      </c>
      <c r="BK2408" s="71">
        <v>0</v>
      </c>
      <c r="BL2408" s="71">
        <v>0</v>
      </c>
      <c r="BM2408" s="71">
        <v>0</v>
      </c>
      <c r="BN2408" s="72">
        <v>0</v>
      </c>
      <c r="BO2408" s="151" t="e">
        <f t="shared" si="159"/>
        <v>#DIV/0!</v>
      </c>
      <c r="BP2408" s="151" t="e">
        <f t="shared" si="160"/>
        <v>#DIV/0!</v>
      </c>
      <c r="BQ2408" s="71">
        <v>0</v>
      </c>
      <c r="BR2408" s="71">
        <v>0</v>
      </c>
      <c r="BS2408" s="71">
        <v>0</v>
      </c>
      <c r="BT2408" s="72">
        <v>0</v>
      </c>
      <c r="BU2408" s="151" t="e">
        <f t="shared" si="161"/>
        <v>#DIV/0!</v>
      </c>
      <c r="BV2408" s="151" t="e">
        <f t="shared" si="162"/>
        <v>#DIV/0!</v>
      </c>
    </row>
    <row r="2409" ht="30" customHeight="1" spans="1:74">
      <c r="A2409" s="55">
        <v>0</v>
      </c>
      <c r="B2409" s="56">
        <v>0</v>
      </c>
      <c r="C2409" s="57">
        <v>0</v>
      </c>
      <c r="D2409" s="74"/>
      <c r="E2409" s="74"/>
      <c r="F2409" s="59" t="e">
        <f>VLOOKUP(E2409,[1]库存!$B$1:$C$65536,2,FALSE)</f>
        <v>#N/A</v>
      </c>
      <c r="G2409" s="59" t="e">
        <v>#N/A</v>
      </c>
      <c r="H2409" s="74"/>
      <c r="I2409" s="74"/>
      <c r="J2409" s="87"/>
      <c r="K2409" s="61"/>
      <c r="L2409" s="62">
        <v>0</v>
      </c>
      <c r="M2409" s="63">
        <v>0</v>
      </c>
      <c r="N2409" s="64">
        <v>0</v>
      </c>
      <c r="O2409" s="62">
        <v>0</v>
      </c>
      <c r="P2409" s="65">
        <f t="shared" si="163"/>
        <v>0</v>
      </c>
      <c r="Q2409" s="66"/>
      <c r="R2409" s="66"/>
      <c r="S2409" s="66"/>
      <c r="T2409" s="66"/>
      <c r="U2409" s="66"/>
      <c r="V2409" s="66"/>
      <c r="W2409" s="66"/>
      <c r="X2409" s="66"/>
      <c r="Y2409" s="66"/>
      <c r="Z2409" s="66"/>
      <c r="AA2409" s="66"/>
      <c r="AB2409" s="66"/>
      <c r="AC2409" s="66"/>
      <c r="AD2409" s="66"/>
      <c r="AE2409" s="66"/>
      <c r="AF2409" s="66"/>
      <c r="AG2409" s="66"/>
      <c r="AH2409" s="66"/>
      <c r="AI2409" s="66"/>
      <c r="AJ2409" s="66"/>
      <c r="AK2409" s="66"/>
      <c r="AL2409" s="66"/>
      <c r="AM2409" s="66"/>
      <c r="AN2409" s="66"/>
      <c r="AO2409" s="66"/>
      <c r="AP2409" s="66"/>
      <c r="AQ2409" s="66"/>
      <c r="AR2409" s="66"/>
      <c r="AS2409" s="66"/>
      <c r="AT2409" s="66"/>
      <c r="AU2409" s="66"/>
      <c r="AV2409" s="66"/>
      <c r="AW2409" s="66"/>
      <c r="AX2409" s="66"/>
      <c r="AY2409" s="66"/>
      <c r="AZ2409" s="66"/>
      <c r="BA2409" s="66"/>
      <c r="BB2409" s="66"/>
      <c r="BC2409" s="66"/>
      <c r="BD2409" s="66"/>
      <c r="BE2409" s="67"/>
      <c r="BF2409" s="67"/>
      <c r="BG2409" s="68"/>
      <c r="BI2409" s="69">
        <v>0</v>
      </c>
      <c r="BJ2409" s="70">
        <v>0</v>
      </c>
      <c r="BK2409" s="71">
        <v>0</v>
      </c>
      <c r="BL2409" s="71">
        <v>0</v>
      </c>
      <c r="BM2409" s="71">
        <v>0</v>
      </c>
      <c r="BN2409" s="72">
        <v>0</v>
      </c>
      <c r="BO2409" s="151" t="e">
        <f t="shared" si="159"/>
        <v>#DIV/0!</v>
      </c>
      <c r="BP2409" s="151" t="e">
        <f t="shared" si="160"/>
        <v>#DIV/0!</v>
      </c>
      <c r="BQ2409" s="71">
        <v>0</v>
      </c>
      <c r="BR2409" s="71">
        <v>0</v>
      </c>
      <c r="BS2409" s="71">
        <v>0</v>
      </c>
      <c r="BT2409" s="72">
        <v>0</v>
      </c>
      <c r="BU2409" s="151" t="e">
        <f t="shared" si="161"/>
        <v>#DIV/0!</v>
      </c>
      <c r="BV2409" s="151" t="e">
        <f t="shared" si="162"/>
        <v>#DIV/0!</v>
      </c>
    </row>
    <row r="2410" ht="30" customHeight="1" spans="1:74">
      <c r="A2410" s="55">
        <v>0</v>
      </c>
      <c r="B2410" s="56" t="s">
        <v>1237</v>
      </c>
      <c r="C2410" s="57" t="s">
        <v>3226</v>
      </c>
      <c r="D2410" s="59" t="s">
        <v>3753</v>
      </c>
      <c r="E2410" s="59"/>
      <c r="F2410" s="59" t="e">
        <f>VLOOKUP(E2410,[1]库存!$B$1:$C$65536,2,FALSE)</f>
        <v>#N/A</v>
      </c>
      <c r="G2410" s="59" t="e">
        <v>#N/A</v>
      </c>
      <c r="H2410" s="59" t="s">
        <v>3754</v>
      </c>
      <c r="I2410" s="59" t="s">
        <v>3755</v>
      </c>
      <c r="J2410" s="63"/>
      <c r="K2410" s="61"/>
      <c r="L2410" s="62">
        <v>1</v>
      </c>
      <c r="M2410" s="63">
        <v>400</v>
      </c>
      <c r="N2410" s="64">
        <v>3.5</v>
      </c>
      <c r="O2410" s="62">
        <v>1</v>
      </c>
      <c r="P2410" s="65">
        <f t="shared" si="163"/>
        <v>0</v>
      </c>
      <c r="Q2410" s="66"/>
      <c r="R2410" s="66"/>
      <c r="S2410" s="66"/>
      <c r="T2410" s="66"/>
      <c r="U2410" s="66"/>
      <c r="V2410" s="66"/>
      <c r="W2410" s="66"/>
      <c r="X2410" s="66"/>
      <c r="Y2410" s="66"/>
      <c r="Z2410" s="66"/>
      <c r="AA2410" s="66"/>
      <c r="AB2410" s="66"/>
      <c r="AC2410" s="66"/>
      <c r="AD2410" s="66"/>
      <c r="AE2410" s="66"/>
      <c r="AF2410" s="66"/>
      <c r="AG2410" s="66"/>
      <c r="AH2410" s="66"/>
      <c r="AI2410" s="66"/>
      <c r="AJ2410" s="66"/>
      <c r="AK2410" s="66"/>
      <c r="AL2410" s="66"/>
      <c r="AM2410" s="66"/>
      <c r="AN2410" s="66"/>
      <c r="AO2410" s="66"/>
      <c r="AP2410" s="66"/>
      <c r="AQ2410" s="66"/>
      <c r="AR2410" s="66"/>
      <c r="AS2410" s="66"/>
      <c r="AT2410" s="66"/>
      <c r="AU2410" s="66"/>
      <c r="AV2410" s="66"/>
      <c r="AW2410" s="66"/>
      <c r="AX2410" s="66"/>
      <c r="AY2410" s="66"/>
      <c r="AZ2410" s="66"/>
      <c r="BA2410" s="66"/>
      <c r="BB2410" s="66"/>
      <c r="BC2410" s="66"/>
      <c r="BD2410" s="66"/>
      <c r="BE2410" s="67"/>
      <c r="BF2410" s="67"/>
      <c r="BG2410" s="68"/>
      <c r="BI2410" s="69">
        <v>0</v>
      </c>
      <c r="BJ2410" s="70">
        <v>0</v>
      </c>
      <c r="BK2410" s="71">
        <v>0</v>
      </c>
      <c r="BL2410" s="71">
        <v>0</v>
      </c>
      <c r="BM2410" s="71">
        <v>0</v>
      </c>
      <c r="BN2410" s="72">
        <v>0</v>
      </c>
      <c r="BO2410" s="151" t="e">
        <f t="shared" si="159"/>
        <v>#DIV/0!</v>
      </c>
      <c r="BP2410" s="151" t="e">
        <f t="shared" si="160"/>
        <v>#DIV/0!</v>
      </c>
      <c r="BQ2410" s="71">
        <v>0</v>
      </c>
      <c r="BR2410" s="71">
        <v>0</v>
      </c>
      <c r="BS2410" s="71">
        <v>0</v>
      </c>
      <c r="BT2410" s="72">
        <v>0</v>
      </c>
      <c r="BU2410" s="151" t="e">
        <f t="shared" si="161"/>
        <v>#DIV/0!</v>
      </c>
      <c r="BV2410" s="151" t="e">
        <f t="shared" si="162"/>
        <v>#DIV/0!</v>
      </c>
    </row>
    <row r="2411" ht="30" customHeight="1" spans="1:74">
      <c r="A2411" s="55">
        <v>0</v>
      </c>
      <c r="B2411" s="56">
        <v>0</v>
      </c>
      <c r="C2411" s="57">
        <v>0</v>
      </c>
      <c r="D2411" s="74"/>
      <c r="E2411" s="74"/>
      <c r="F2411" s="59" t="e">
        <f>VLOOKUP(E2411,[1]库存!$B$1:$C$65536,2,FALSE)</f>
        <v>#N/A</v>
      </c>
      <c r="G2411" s="59" t="e">
        <v>#N/A</v>
      </c>
      <c r="H2411" s="74"/>
      <c r="I2411" s="74"/>
      <c r="J2411" s="87"/>
      <c r="K2411" s="61"/>
      <c r="L2411" s="62">
        <v>0</v>
      </c>
      <c r="M2411" s="63">
        <v>0</v>
      </c>
      <c r="N2411" s="64">
        <v>0</v>
      </c>
      <c r="O2411" s="62">
        <v>0</v>
      </c>
      <c r="P2411" s="65">
        <f t="shared" si="163"/>
        <v>0</v>
      </c>
      <c r="Q2411" s="66"/>
      <c r="R2411" s="66"/>
      <c r="S2411" s="66"/>
      <c r="T2411" s="66"/>
      <c r="U2411" s="66"/>
      <c r="V2411" s="66"/>
      <c r="W2411" s="66"/>
      <c r="X2411" s="66"/>
      <c r="Y2411" s="66"/>
      <c r="Z2411" s="66"/>
      <c r="AA2411" s="66"/>
      <c r="AB2411" s="66"/>
      <c r="AC2411" s="66"/>
      <c r="AD2411" s="66"/>
      <c r="AE2411" s="66"/>
      <c r="AF2411" s="66"/>
      <c r="AG2411" s="66"/>
      <c r="AH2411" s="66"/>
      <c r="AI2411" s="66"/>
      <c r="AJ2411" s="66"/>
      <c r="AK2411" s="66"/>
      <c r="AL2411" s="66"/>
      <c r="AM2411" s="66"/>
      <c r="AN2411" s="66"/>
      <c r="AO2411" s="66"/>
      <c r="AP2411" s="66"/>
      <c r="AQ2411" s="66"/>
      <c r="AR2411" s="66"/>
      <c r="AS2411" s="66"/>
      <c r="AT2411" s="66"/>
      <c r="AU2411" s="66"/>
      <c r="AV2411" s="66"/>
      <c r="AW2411" s="66"/>
      <c r="AX2411" s="66"/>
      <c r="AY2411" s="66"/>
      <c r="AZ2411" s="66"/>
      <c r="BA2411" s="66"/>
      <c r="BB2411" s="66"/>
      <c r="BC2411" s="66"/>
      <c r="BD2411" s="66"/>
      <c r="BE2411" s="67"/>
      <c r="BF2411" s="67"/>
      <c r="BG2411" s="68"/>
      <c r="BI2411" s="69">
        <v>0</v>
      </c>
      <c r="BJ2411" s="70">
        <v>0</v>
      </c>
      <c r="BK2411" s="71">
        <v>0</v>
      </c>
      <c r="BL2411" s="71">
        <v>0</v>
      </c>
      <c r="BM2411" s="71">
        <v>0</v>
      </c>
      <c r="BN2411" s="72">
        <v>0</v>
      </c>
      <c r="BO2411" s="151" t="e">
        <f t="shared" si="159"/>
        <v>#DIV/0!</v>
      </c>
      <c r="BP2411" s="151" t="e">
        <f t="shared" si="160"/>
        <v>#DIV/0!</v>
      </c>
      <c r="BQ2411" s="71">
        <v>0</v>
      </c>
      <c r="BR2411" s="71">
        <v>0</v>
      </c>
      <c r="BS2411" s="71">
        <v>0</v>
      </c>
      <c r="BT2411" s="72">
        <v>0</v>
      </c>
      <c r="BU2411" s="151" t="e">
        <f t="shared" si="161"/>
        <v>#DIV/0!</v>
      </c>
      <c r="BV2411" s="151" t="e">
        <f t="shared" si="162"/>
        <v>#DIV/0!</v>
      </c>
    </row>
    <row r="2412" ht="30" customHeight="1" spans="1:74">
      <c r="A2412" s="55">
        <v>0</v>
      </c>
      <c r="B2412" s="56" t="s">
        <v>1237</v>
      </c>
      <c r="C2412" s="57" t="s">
        <v>3226</v>
      </c>
      <c r="D2412" s="59" t="s">
        <v>3227</v>
      </c>
      <c r="E2412" s="59" t="s">
        <v>3756</v>
      </c>
      <c r="F2412" s="59" t="str">
        <f>VLOOKUP(E2412,[1]库存!$B$1:$C$65536,2,FALSE)</f>
        <v>C51E CAB 拉带</v>
      </c>
      <c r="G2412" s="59" t="s">
        <v>3757</v>
      </c>
      <c r="H2412" s="59" t="s">
        <v>3758</v>
      </c>
      <c r="I2412" s="59"/>
      <c r="J2412" s="63"/>
      <c r="K2412" s="61"/>
      <c r="L2412" s="62">
        <v>0</v>
      </c>
      <c r="M2412" s="63">
        <v>1200</v>
      </c>
      <c r="N2412" s="64">
        <v>1.5</v>
      </c>
      <c r="O2412" s="62">
        <v>0</v>
      </c>
      <c r="P2412" s="65">
        <f t="shared" si="163"/>
        <v>0</v>
      </c>
      <c r="Q2412" s="66"/>
      <c r="R2412" s="66"/>
      <c r="S2412" s="66"/>
      <c r="T2412" s="66"/>
      <c r="U2412" s="66"/>
      <c r="V2412" s="66"/>
      <c r="W2412" s="66"/>
      <c r="X2412" s="66"/>
      <c r="Y2412" s="66"/>
      <c r="Z2412" s="66"/>
      <c r="AA2412" s="66"/>
      <c r="AB2412" s="66"/>
      <c r="AC2412" s="66"/>
      <c r="AD2412" s="66"/>
      <c r="AE2412" s="66"/>
      <c r="AF2412" s="66"/>
      <c r="AG2412" s="66"/>
      <c r="AH2412" s="66"/>
      <c r="AI2412" s="66"/>
      <c r="AJ2412" s="66"/>
      <c r="AK2412" s="66"/>
      <c r="AL2412" s="66"/>
      <c r="AM2412" s="66"/>
      <c r="AN2412" s="66"/>
      <c r="AO2412" s="66"/>
      <c r="AP2412" s="66"/>
      <c r="AQ2412" s="66"/>
      <c r="AR2412" s="66"/>
      <c r="AS2412" s="66"/>
      <c r="AT2412" s="66"/>
      <c r="AU2412" s="66"/>
      <c r="AV2412" s="66"/>
      <c r="AW2412" s="66"/>
      <c r="AX2412" s="66"/>
      <c r="AY2412" s="66"/>
      <c r="AZ2412" s="66"/>
      <c r="BA2412" s="66"/>
      <c r="BB2412" s="66"/>
      <c r="BC2412" s="66"/>
      <c r="BD2412" s="66"/>
      <c r="BE2412" s="67"/>
      <c r="BF2412" s="67"/>
      <c r="BG2412" s="68"/>
      <c r="BI2412" s="69">
        <v>0</v>
      </c>
      <c r="BJ2412" s="70">
        <v>0</v>
      </c>
      <c r="BK2412" s="71">
        <v>0</v>
      </c>
      <c r="BL2412" s="71">
        <v>0</v>
      </c>
      <c r="BM2412" s="71">
        <v>0</v>
      </c>
      <c r="BN2412" s="72">
        <v>0</v>
      </c>
      <c r="BO2412" s="151" t="e">
        <f t="shared" si="159"/>
        <v>#DIV/0!</v>
      </c>
      <c r="BP2412" s="151" t="e">
        <f t="shared" si="160"/>
        <v>#DIV/0!</v>
      </c>
      <c r="BQ2412" s="71">
        <v>0</v>
      </c>
      <c r="BR2412" s="71">
        <v>0</v>
      </c>
      <c r="BS2412" s="71">
        <v>0</v>
      </c>
      <c r="BT2412" s="72">
        <v>0</v>
      </c>
      <c r="BU2412" s="151" t="e">
        <f t="shared" si="161"/>
        <v>#DIV/0!</v>
      </c>
      <c r="BV2412" s="151" t="e">
        <f t="shared" si="162"/>
        <v>#DIV/0!</v>
      </c>
    </row>
    <row r="2413" ht="30" customHeight="1" spans="1:74">
      <c r="A2413" s="55">
        <v>0</v>
      </c>
      <c r="B2413" s="56">
        <v>0</v>
      </c>
      <c r="C2413" s="57">
        <v>0</v>
      </c>
      <c r="D2413" s="74"/>
      <c r="E2413" s="74"/>
      <c r="F2413" s="59" t="e">
        <f>VLOOKUP(E2413,[1]库存!$B$1:$C$65536,2,FALSE)</f>
        <v>#N/A</v>
      </c>
      <c r="G2413" s="59" t="e">
        <v>#N/A</v>
      </c>
      <c r="H2413" s="74"/>
      <c r="I2413" s="74"/>
      <c r="J2413" s="87"/>
      <c r="K2413" s="61"/>
      <c r="L2413" s="62">
        <v>0</v>
      </c>
      <c r="M2413" s="63">
        <v>0</v>
      </c>
      <c r="N2413" s="64">
        <v>0</v>
      </c>
      <c r="O2413" s="62">
        <v>0</v>
      </c>
      <c r="P2413" s="65">
        <f t="shared" si="163"/>
        <v>0</v>
      </c>
      <c r="Q2413" s="66"/>
      <c r="R2413" s="66"/>
      <c r="S2413" s="66"/>
      <c r="T2413" s="66"/>
      <c r="U2413" s="66"/>
      <c r="V2413" s="66"/>
      <c r="W2413" s="66"/>
      <c r="X2413" s="66"/>
      <c r="Y2413" s="66"/>
      <c r="Z2413" s="66"/>
      <c r="AA2413" s="66"/>
      <c r="AB2413" s="66"/>
      <c r="AC2413" s="66"/>
      <c r="AD2413" s="66"/>
      <c r="AE2413" s="66"/>
      <c r="AF2413" s="66"/>
      <c r="AG2413" s="66"/>
      <c r="AH2413" s="66"/>
      <c r="AI2413" s="66"/>
      <c r="AJ2413" s="66"/>
      <c r="AK2413" s="66"/>
      <c r="AL2413" s="66"/>
      <c r="AM2413" s="66"/>
      <c r="AN2413" s="66"/>
      <c r="AO2413" s="66"/>
      <c r="AP2413" s="66"/>
      <c r="AQ2413" s="66"/>
      <c r="AR2413" s="66"/>
      <c r="AS2413" s="66"/>
      <c r="AT2413" s="66"/>
      <c r="AU2413" s="66"/>
      <c r="AV2413" s="66"/>
      <c r="AW2413" s="66"/>
      <c r="AX2413" s="66"/>
      <c r="AY2413" s="66"/>
      <c r="AZ2413" s="66"/>
      <c r="BA2413" s="66"/>
      <c r="BB2413" s="66"/>
      <c r="BC2413" s="66"/>
      <c r="BD2413" s="66"/>
      <c r="BE2413" s="67"/>
      <c r="BF2413" s="67"/>
      <c r="BG2413" s="68"/>
      <c r="BI2413" s="69">
        <v>0</v>
      </c>
      <c r="BJ2413" s="70">
        <v>0</v>
      </c>
      <c r="BK2413" s="71">
        <v>0</v>
      </c>
      <c r="BL2413" s="71">
        <v>0</v>
      </c>
      <c r="BM2413" s="71">
        <v>0</v>
      </c>
      <c r="BN2413" s="72">
        <v>0</v>
      </c>
      <c r="BO2413" s="151" t="e">
        <f t="shared" si="159"/>
        <v>#DIV/0!</v>
      </c>
      <c r="BP2413" s="151" t="e">
        <f t="shared" si="160"/>
        <v>#DIV/0!</v>
      </c>
      <c r="BQ2413" s="71">
        <v>0</v>
      </c>
      <c r="BR2413" s="71">
        <v>0</v>
      </c>
      <c r="BS2413" s="71">
        <v>0</v>
      </c>
      <c r="BT2413" s="72">
        <v>0</v>
      </c>
      <c r="BU2413" s="151" t="e">
        <f t="shared" si="161"/>
        <v>#DIV/0!</v>
      </c>
      <c r="BV2413" s="151" t="e">
        <f t="shared" si="162"/>
        <v>#DIV/0!</v>
      </c>
    </row>
    <row r="2414" ht="30" customHeight="1" spans="1:74">
      <c r="A2414" s="55">
        <v>0</v>
      </c>
      <c r="B2414" s="56" t="s">
        <v>1237</v>
      </c>
      <c r="C2414" s="57" t="s">
        <v>3226</v>
      </c>
      <c r="D2414" s="59" t="s">
        <v>3759</v>
      </c>
      <c r="E2414" s="59" t="s">
        <v>3760</v>
      </c>
      <c r="F2414" s="59" t="str">
        <f>VLOOKUP(E2414,[1]库存!$B$1:$C$65536,2,FALSE)</f>
        <v>C51E CAB导气袋</v>
      </c>
      <c r="G2414" s="59" t="s">
        <v>3761</v>
      </c>
      <c r="H2414" s="59" t="s">
        <v>3762</v>
      </c>
      <c r="I2414" s="59"/>
      <c r="J2414" s="63"/>
      <c r="K2414" s="61"/>
      <c r="L2414" s="62">
        <v>0.7</v>
      </c>
      <c r="M2414" s="63">
        <v>800</v>
      </c>
      <c r="N2414" s="64">
        <v>3</v>
      </c>
      <c r="O2414" s="62">
        <v>0.7</v>
      </c>
      <c r="P2414" s="65">
        <f t="shared" si="163"/>
        <v>0</v>
      </c>
      <c r="Q2414" s="66"/>
      <c r="R2414" s="66"/>
      <c r="S2414" s="66"/>
      <c r="T2414" s="66"/>
      <c r="U2414" s="66"/>
      <c r="V2414" s="66"/>
      <c r="W2414" s="66"/>
      <c r="X2414" s="66"/>
      <c r="Y2414" s="66"/>
      <c r="Z2414" s="66"/>
      <c r="AA2414" s="66"/>
      <c r="AB2414" s="66"/>
      <c r="AC2414" s="66"/>
      <c r="AD2414" s="66"/>
      <c r="AE2414" s="66"/>
      <c r="AF2414" s="66"/>
      <c r="AG2414" s="66"/>
      <c r="AH2414" s="66"/>
      <c r="AI2414" s="66"/>
      <c r="AJ2414" s="66"/>
      <c r="AK2414" s="66"/>
      <c r="AL2414" s="66"/>
      <c r="AM2414" s="66"/>
      <c r="AN2414" s="66"/>
      <c r="AO2414" s="66"/>
      <c r="AP2414" s="66"/>
      <c r="AQ2414" s="66"/>
      <c r="AR2414" s="66"/>
      <c r="AS2414" s="66"/>
      <c r="AT2414" s="66"/>
      <c r="AU2414" s="66"/>
      <c r="AV2414" s="66"/>
      <c r="AW2414" s="66"/>
      <c r="AX2414" s="66"/>
      <c r="AY2414" s="66"/>
      <c r="AZ2414" s="66"/>
      <c r="BA2414" s="66"/>
      <c r="BB2414" s="66"/>
      <c r="BC2414" s="66"/>
      <c r="BD2414" s="66"/>
      <c r="BE2414" s="67"/>
      <c r="BF2414" s="67"/>
      <c r="BG2414" s="68"/>
      <c r="BI2414" s="69">
        <v>0</v>
      </c>
      <c r="BJ2414" s="70">
        <v>0</v>
      </c>
      <c r="BK2414" s="71">
        <v>0</v>
      </c>
      <c r="BL2414" s="71">
        <v>0</v>
      </c>
      <c r="BM2414" s="71">
        <v>0</v>
      </c>
      <c r="BN2414" s="72">
        <v>0</v>
      </c>
      <c r="BO2414" s="151" t="e">
        <f t="shared" si="159"/>
        <v>#DIV/0!</v>
      </c>
      <c r="BP2414" s="151" t="e">
        <f t="shared" si="160"/>
        <v>#DIV/0!</v>
      </c>
      <c r="BQ2414" s="71">
        <v>0</v>
      </c>
      <c r="BR2414" s="71">
        <v>0</v>
      </c>
      <c r="BS2414" s="71">
        <v>0</v>
      </c>
      <c r="BT2414" s="72">
        <v>0</v>
      </c>
      <c r="BU2414" s="151" t="e">
        <f t="shared" si="161"/>
        <v>#DIV/0!</v>
      </c>
      <c r="BV2414" s="151" t="e">
        <f t="shared" si="162"/>
        <v>#DIV/0!</v>
      </c>
    </row>
    <row r="2415" ht="30" customHeight="1" spans="1:74">
      <c r="A2415" s="55">
        <v>0</v>
      </c>
      <c r="B2415" s="56">
        <v>0</v>
      </c>
      <c r="C2415" s="57">
        <v>0</v>
      </c>
      <c r="D2415" s="74"/>
      <c r="E2415" s="74"/>
      <c r="F2415" s="59" t="e">
        <f>VLOOKUP(E2415,[1]库存!$B$1:$C$65536,2,FALSE)</f>
        <v>#N/A</v>
      </c>
      <c r="G2415" s="59" t="e">
        <v>#N/A</v>
      </c>
      <c r="H2415" s="74"/>
      <c r="I2415" s="74"/>
      <c r="J2415" s="87"/>
      <c r="K2415" s="61"/>
      <c r="L2415" s="62">
        <v>0</v>
      </c>
      <c r="M2415" s="63">
        <v>0</v>
      </c>
      <c r="N2415" s="64">
        <v>0</v>
      </c>
      <c r="O2415" s="62">
        <v>0</v>
      </c>
      <c r="P2415" s="65">
        <f t="shared" si="163"/>
        <v>0</v>
      </c>
      <c r="Q2415" s="66"/>
      <c r="R2415" s="66"/>
      <c r="S2415" s="66"/>
      <c r="T2415" s="66"/>
      <c r="U2415" s="66"/>
      <c r="V2415" s="66"/>
      <c r="W2415" s="66"/>
      <c r="X2415" s="66"/>
      <c r="Y2415" s="66"/>
      <c r="Z2415" s="66"/>
      <c r="AA2415" s="66"/>
      <c r="AB2415" s="66"/>
      <c r="AC2415" s="66"/>
      <c r="AD2415" s="66"/>
      <c r="AE2415" s="66"/>
      <c r="AF2415" s="66"/>
      <c r="AG2415" s="66"/>
      <c r="AH2415" s="66"/>
      <c r="AI2415" s="66"/>
      <c r="AJ2415" s="66"/>
      <c r="AK2415" s="66"/>
      <c r="AL2415" s="66"/>
      <c r="AM2415" s="66"/>
      <c r="AN2415" s="66"/>
      <c r="AO2415" s="66"/>
      <c r="AP2415" s="66"/>
      <c r="AQ2415" s="66"/>
      <c r="AR2415" s="66"/>
      <c r="AS2415" s="66"/>
      <c r="AT2415" s="66"/>
      <c r="AU2415" s="66"/>
      <c r="AV2415" s="66"/>
      <c r="AW2415" s="66"/>
      <c r="AX2415" s="66"/>
      <c r="AY2415" s="66"/>
      <c r="AZ2415" s="66"/>
      <c r="BA2415" s="66"/>
      <c r="BB2415" s="66"/>
      <c r="BC2415" s="66"/>
      <c r="BD2415" s="66"/>
      <c r="BE2415" s="67"/>
      <c r="BF2415" s="67"/>
      <c r="BG2415" s="68"/>
      <c r="BI2415" s="69">
        <v>0</v>
      </c>
      <c r="BJ2415" s="70">
        <v>0</v>
      </c>
      <c r="BK2415" s="71">
        <v>0</v>
      </c>
      <c r="BL2415" s="71">
        <v>0</v>
      </c>
      <c r="BM2415" s="71">
        <v>0</v>
      </c>
      <c r="BN2415" s="72">
        <v>0</v>
      </c>
      <c r="BO2415" s="151" t="e">
        <f t="shared" si="159"/>
        <v>#DIV/0!</v>
      </c>
      <c r="BP2415" s="151" t="e">
        <f t="shared" si="160"/>
        <v>#DIV/0!</v>
      </c>
      <c r="BQ2415" s="71">
        <v>0</v>
      </c>
      <c r="BR2415" s="71">
        <v>0</v>
      </c>
      <c r="BS2415" s="71">
        <v>0</v>
      </c>
      <c r="BT2415" s="72">
        <v>0</v>
      </c>
      <c r="BU2415" s="151" t="e">
        <f t="shared" si="161"/>
        <v>#DIV/0!</v>
      </c>
      <c r="BV2415" s="151" t="e">
        <f t="shared" si="162"/>
        <v>#DIV/0!</v>
      </c>
    </row>
    <row r="2416" ht="30" customHeight="1" spans="1:74">
      <c r="A2416" s="55">
        <v>0</v>
      </c>
      <c r="B2416" s="56" t="s">
        <v>1237</v>
      </c>
      <c r="C2416" s="57" t="s">
        <v>3226</v>
      </c>
      <c r="D2416" s="59" t="s">
        <v>3753</v>
      </c>
      <c r="E2416" s="59" t="s">
        <v>3763</v>
      </c>
      <c r="F2416" s="59" t="e">
        <f>VLOOKUP(E2416,[1]库存!$B$1:$C$65536,2,FALSE)</f>
        <v>#N/A</v>
      </c>
      <c r="G2416" s="59" t="e">
        <v>#N/A</v>
      </c>
      <c r="H2416" s="59" t="s">
        <v>3764</v>
      </c>
      <c r="I2416" s="59" t="s">
        <v>3765</v>
      </c>
      <c r="J2416" s="63"/>
      <c r="K2416" s="61"/>
      <c r="L2416" s="62">
        <v>1</v>
      </c>
      <c r="M2416" s="63">
        <v>200</v>
      </c>
      <c r="N2416" s="64">
        <v>3</v>
      </c>
      <c r="O2416" s="62">
        <v>1</v>
      </c>
      <c r="P2416" s="65">
        <f t="shared" si="163"/>
        <v>0</v>
      </c>
      <c r="Q2416" s="66"/>
      <c r="R2416" s="66"/>
      <c r="S2416" s="66"/>
      <c r="T2416" s="66"/>
      <c r="U2416" s="66"/>
      <c r="V2416" s="66"/>
      <c r="W2416" s="66"/>
      <c r="X2416" s="66"/>
      <c r="Y2416" s="66"/>
      <c r="Z2416" s="66"/>
      <c r="AA2416" s="66"/>
      <c r="AB2416" s="66"/>
      <c r="AC2416" s="66"/>
      <c r="AD2416" s="66"/>
      <c r="AE2416" s="66"/>
      <c r="AF2416" s="66"/>
      <c r="AG2416" s="66"/>
      <c r="AH2416" s="66"/>
      <c r="AI2416" s="66"/>
      <c r="AJ2416" s="66"/>
      <c r="AK2416" s="66"/>
      <c r="AL2416" s="66"/>
      <c r="AM2416" s="66"/>
      <c r="AN2416" s="66"/>
      <c r="AO2416" s="66"/>
      <c r="AP2416" s="66"/>
      <c r="AQ2416" s="66"/>
      <c r="AR2416" s="66"/>
      <c r="AS2416" s="66"/>
      <c r="AT2416" s="66"/>
      <c r="AU2416" s="66"/>
      <c r="AV2416" s="66"/>
      <c r="AW2416" s="66"/>
      <c r="AX2416" s="66"/>
      <c r="AY2416" s="66"/>
      <c r="AZ2416" s="66"/>
      <c r="BA2416" s="66"/>
      <c r="BB2416" s="66"/>
      <c r="BC2416" s="66"/>
      <c r="BD2416" s="66"/>
      <c r="BE2416" s="67"/>
      <c r="BF2416" s="67"/>
      <c r="BG2416" s="68"/>
      <c r="BI2416" s="69">
        <v>0</v>
      </c>
      <c r="BJ2416" s="70">
        <v>0</v>
      </c>
      <c r="BK2416" s="71">
        <v>0</v>
      </c>
      <c r="BL2416" s="71">
        <v>0</v>
      </c>
      <c r="BM2416" s="71">
        <v>0</v>
      </c>
      <c r="BN2416" s="72">
        <v>0</v>
      </c>
      <c r="BO2416" s="151" t="e">
        <f t="shared" si="159"/>
        <v>#DIV/0!</v>
      </c>
      <c r="BP2416" s="151" t="e">
        <f t="shared" si="160"/>
        <v>#DIV/0!</v>
      </c>
      <c r="BQ2416" s="71">
        <v>0</v>
      </c>
      <c r="BR2416" s="71">
        <v>0</v>
      </c>
      <c r="BS2416" s="71">
        <v>0</v>
      </c>
      <c r="BT2416" s="72">
        <v>0</v>
      </c>
      <c r="BU2416" s="151" t="e">
        <f t="shared" si="161"/>
        <v>#DIV/0!</v>
      </c>
      <c r="BV2416" s="151" t="e">
        <f t="shared" si="162"/>
        <v>#DIV/0!</v>
      </c>
    </row>
    <row r="2417" ht="30" customHeight="1" spans="1:74">
      <c r="A2417" s="55">
        <v>0</v>
      </c>
      <c r="B2417" s="56">
        <v>0</v>
      </c>
      <c r="C2417" s="57">
        <v>0</v>
      </c>
      <c r="D2417" s="74"/>
      <c r="E2417" s="74"/>
      <c r="F2417" s="59" t="e">
        <f>VLOOKUP(E2417,[1]库存!$B$1:$C$65536,2,FALSE)</f>
        <v>#N/A</v>
      </c>
      <c r="G2417" s="59" t="e">
        <v>#N/A</v>
      </c>
      <c r="H2417" s="74"/>
      <c r="I2417" s="74"/>
      <c r="J2417" s="87"/>
      <c r="K2417" s="61"/>
      <c r="L2417" s="62">
        <v>0</v>
      </c>
      <c r="M2417" s="63">
        <v>0</v>
      </c>
      <c r="N2417" s="64">
        <v>0</v>
      </c>
      <c r="O2417" s="62">
        <v>0</v>
      </c>
      <c r="P2417" s="65">
        <f t="shared" si="163"/>
        <v>0</v>
      </c>
      <c r="Q2417" s="66"/>
      <c r="R2417" s="66"/>
      <c r="S2417" s="66"/>
      <c r="T2417" s="66"/>
      <c r="U2417" s="66"/>
      <c r="V2417" s="66"/>
      <c r="W2417" s="66"/>
      <c r="X2417" s="66"/>
      <c r="Y2417" s="66"/>
      <c r="Z2417" s="66"/>
      <c r="AA2417" s="66"/>
      <c r="AB2417" s="66"/>
      <c r="AC2417" s="66"/>
      <c r="AD2417" s="66"/>
      <c r="AE2417" s="66"/>
      <c r="AF2417" s="66"/>
      <c r="AG2417" s="66"/>
      <c r="AH2417" s="66"/>
      <c r="AI2417" s="66"/>
      <c r="AJ2417" s="66"/>
      <c r="AK2417" s="66"/>
      <c r="AL2417" s="66"/>
      <c r="AM2417" s="66"/>
      <c r="AN2417" s="66"/>
      <c r="AO2417" s="66"/>
      <c r="AP2417" s="66"/>
      <c r="AQ2417" s="66"/>
      <c r="AR2417" s="66"/>
      <c r="AS2417" s="66"/>
      <c r="AT2417" s="66"/>
      <c r="AU2417" s="66"/>
      <c r="AV2417" s="66"/>
      <c r="AW2417" s="66"/>
      <c r="AX2417" s="66"/>
      <c r="AY2417" s="66"/>
      <c r="AZ2417" s="66"/>
      <c r="BA2417" s="66"/>
      <c r="BB2417" s="66"/>
      <c r="BC2417" s="66"/>
      <c r="BD2417" s="66"/>
      <c r="BE2417" s="67"/>
      <c r="BF2417" s="67"/>
      <c r="BG2417" s="68"/>
      <c r="BI2417" s="69">
        <v>0</v>
      </c>
      <c r="BJ2417" s="70">
        <v>0</v>
      </c>
      <c r="BK2417" s="71">
        <v>0</v>
      </c>
      <c r="BL2417" s="71">
        <v>0</v>
      </c>
      <c r="BM2417" s="71">
        <v>0</v>
      </c>
      <c r="BN2417" s="72">
        <v>0</v>
      </c>
      <c r="BO2417" s="151" t="e">
        <f t="shared" si="159"/>
        <v>#DIV/0!</v>
      </c>
      <c r="BP2417" s="151" t="e">
        <f t="shared" si="160"/>
        <v>#DIV/0!</v>
      </c>
      <c r="BQ2417" s="71">
        <v>0</v>
      </c>
      <c r="BR2417" s="71">
        <v>0</v>
      </c>
      <c r="BS2417" s="71">
        <v>0</v>
      </c>
      <c r="BT2417" s="72">
        <v>0</v>
      </c>
      <c r="BU2417" s="151" t="e">
        <f t="shared" si="161"/>
        <v>#DIV/0!</v>
      </c>
      <c r="BV2417" s="151" t="e">
        <f t="shared" si="162"/>
        <v>#DIV/0!</v>
      </c>
    </row>
    <row r="2418" ht="30" customHeight="1" spans="1:74">
      <c r="A2418" s="55">
        <v>0</v>
      </c>
      <c r="B2418" s="56" t="s">
        <v>1237</v>
      </c>
      <c r="C2418" s="57" t="s">
        <v>3226</v>
      </c>
      <c r="D2418" s="59" t="s">
        <v>3753</v>
      </c>
      <c r="E2418" s="59" t="s">
        <v>3766</v>
      </c>
      <c r="F2418" s="59" t="e">
        <f>VLOOKUP(E2418,[1]库存!$B$1:$C$65536,2,FALSE)</f>
        <v>#N/A</v>
      </c>
      <c r="G2418" s="59" t="e">
        <v>#N/A</v>
      </c>
      <c r="H2418" s="59" t="s">
        <v>3767</v>
      </c>
      <c r="I2418" s="59" t="s">
        <v>3765</v>
      </c>
      <c r="J2418" s="63"/>
      <c r="K2418" s="61"/>
      <c r="L2418" s="62">
        <v>1</v>
      </c>
      <c r="M2418" s="63">
        <v>200</v>
      </c>
      <c r="N2418" s="64">
        <v>3</v>
      </c>
      <c r="O2418" s="62">
        <v>1</v>
      </c>
      <c r="P2418" s="65">
        <f t="shared" si="163"/>
        <v>0</v>
      </c>
      <c r="Q2418" s="66"/>
      <c r="R2418" s="66"/>
      <c r="S2418" s="66"/>
      <c r="T2418" s="66"/>
      <c r="U2418" s="66"/>
      <c r="V2418" s="66"/>
      <c r="W2418" s="66"/>
      <c r="X2418" s="66"/>
      <c r="Y2418" s="66"/>
      <c r="Z2418" s="66"/>
      <c r="AA2418" s="66"/>
      <c r="AB2418" s="66"/>
      <c r="AC2418" s="66"/>
      <c r="AD2418" s="66"/>
      <c r="AE2418" s="66"/>
      <c r="AF2418" s="66"/>
      <c r="AG2418" s="66"/>
      <c r="AH2418" s="66"/>
      <c r="AI2418" s="66"/>
      <c r="AJ2418" s="66"/>
      <c r="AK2418" s="66"/>
      <c r="AL2418" s="66"/>
      <c r="AM2418" s="66"/>
      <c r="AN2418" s="66"/>
      <c r="AO2418" s="66"/>
      <c r="AP2418" s="66"/>
      <c r="AQ2418" s="66"/>
      <c r="AR2418" s="66"/>
      <c r="AS2418" s="66"/>
      <c r="AT2418" s="66"/>
      <c r="AU2418" s="66"/>
      <c r="AV2418" s="66"/>
      <c r="AW2418" s="66"/>
      <c r="AX2418" s="66"/>
      <c r="AY2418" s="66"/>
      <c r="AZ2418" s="66"/>
      <c r="BA2418" s="66"/>
      <c r="BB2418" s="66"/>
      <c r="BC2418" s="66"/>
      <c r="BD2418" s="66"/>
      <c r="BE2418" s="67"/>
      <c r="BF2418" s="67"/>
      <c r="BG2418" s="68"/>
      <c r="BI2418" s="69">
        <v>0</v>
      </c>
      <c r="BJ2418" s="70">
        <v>0</v>
      </c>
      <c r="BK2418" s="71">
        <v>0</v>
      </c>
      <c r="BL2418" s="71">
        <v>0</v>
      </c>
      <c r="BM2418" s="71">
        <v>0</v>
      </c>
      <c r="BN2418" s="72">
        <v>0</v>
      </c>
      <c r="BO2418" s="151" t="e">
        <f t="shared" si="159"/>
        <v>#DIV/0!</v>
      </c>
      <c r="BP2418" s="151" t="e">
        <f t="shared" si="160"/>
        <v>#DIV/0!</v>
      </c>
      <c r="BQ2418" s="71">
        <v>0</v>
      </c>
      <c r="BR2418" s="71">
        <v>0</v>
      </c>
      <c r="BS2418" s="71">
        <v>0</v>
      </c>
      <c r="BT2418" s="72">
        <v>0</v>
      </c>
      <c r="BU2418" s="151" t="e">
        <f t="shared" si="161"/>
        <v>#DIV/0!</v>
      </c>
      <c r="BV2418" s="151" t="e">
        <f t="shared" si="162"/>
        <v>#DIV/0!</v>
      </c>
    </row>
    <row r="2419" ht="30" customHeight="1" spans="1:74">
      <c r="A2419" s="55">
        <v>0</v>
      </c>
      <c r="B2419" s="56">
        <v>0</v>
      </c>
      <c r="C2419" s="57">
        <v>0</v>
      </c>
      <c r="D2419" s="74"/>
      <c r="E2419" s="74"/>
      <c r="F2419" s="59" t="e">
        <f>VLOOKUP(E2419,[1]库存!$B$1:$C$65536,2,FALSE)</f>
        <v>#N/A</v>
      </c>
      <c r="G2419" s="59" t="e">
        <v>#N/A</v>
      </c>
      <c r="H2419" s="74"/>
      <c r="I2419" s="74"/>
      <c r="J2419" s="87"/>
      <c r="K2419" s="61"/>
      <c r="L2419" s="62">
        <v>0</v>
      </c>
      <c r="M2419" s="63">
        <v>0</v>
      </c>
      <c r="N2419" s="64">
        <v>0</v>
      </c>
      <c r="O2419" s="62">
        <v>0</v>
      </c>
      <c r="P2419" s="65">
        <f t="shared" si="163"/>
        <v>0</v>
      </c>
      <c r="Q2419" s="66"/>
      <c r="R2419" s="66"/>
      <c r="S2419" s="66"/>
      <c r="T2419" s="66"/>
      <c r="U2419" s="66"/>
      <c r="V2419" s="66"/>
      <c r="W2419" s="66"/>
      <c r="X2419" s="66"/>
      <c r="Y2419" s="66"/>
      <c r="Z2419" s="66"/>
      <c r="AA2419" s="66"/>
      <c r="AB2419" s="66"/>
      <c r="AC2419" s="66"/>
      <c r="AD2419" s="66"/>
      <c r="AE2419" s="66"/>
      <c r="AF2419" s="66"/>
      <c r="AG2419" s="66"/>
      <c r="AH2419" s="66"/>
      <c r="AI2419" s="66"/>
      <c r="AJ2419" s="66"/>
      <c r="AK2419" s="66"/>
      <c r="AL2419" s="66"/>
      <c r="AM2419" s="66"/>
      <c r="AN2419" s="66"/>
      <c r="AO2419" s="66"/>
      <c r="AP2419" s="66"/>
      <c r="AQ2419" s="66"/>
      <c r="AR2419" s="66"/>
      <c r="AS2419" s="66"/>
      <c r="AT2419" s="66"/>
      <c r="AU2419" s="66"/>
      <c r="AV2419" s="66"/>
      <c r="AW2419" s="66"/>
      <c r="AX2419" s="66"/>
      <c r="AY2419" s="66"/>
      <c r="AZ2419" s="66"/>
      <c r="BA2419" s="66"/>
      <c r="BB2419" s="66"/>
      <c r="BC2419" s="66"/>
      <c r="BD2419" s="66"/>
      <c r="BE2419" s="67"/>
      <c r="BF2419" s="67"/>
      <c r="BG2419" s="68"/>
      <c r="BI2419" s="69">
        <v>0</v>
      </c>
      <c r="BJ2419" s="70">
        <v>0</v>
      </c>
      <c r="BK2419" s="71">
        <v>0</v>
      </c>
      <c r="BL2419" s="71">
        <v>0</v>
      </c>
      <c r="BM2419" s="71">
        <v>0</v>
      </c>
      <c r="BN2419" s="72">
        <v>0</v>
      </c>
      <c r="BO2419" s="151" t="e">
        <f t="shared" si="159"/>
        <v>#DIV/0!</v>
      </c>
      <c r="BP2419" s="151" t="e">
        <f t="shared" si="160"/>
        <v>#DIV/0!</v>
      </c>
      <c r="BQ2419" s="71">
        <v>0</v>
      </c>
      <c r="BR2419" s="71">
        <v>0</v>
      </c>
      <c r="BS2419" s="71">
        <v>0</v>
      </c>
      <c r="BT2419" s="72">
        <v>0</v>
      </c>
      <c r="BU2419" s="151" t="e">
        <f t="shared" si="161"/>
        <v>#DIV/0!</v>
      </c>
      <c r="BV2419" s="151" t="e">
        <f t="shared" si="162"/>
        <v>#DIV/0!</v>
      </c>
    </row>
    <row r="2420" ht="30" customHeight="1" spans="1:74">
      <c r="A2420" s="55">
        <v>0</v>
      </c>
      <c r="B2420" s="56" t="s">
        <v>1237</v>
      </c>
      <c r="C2420" s="57" t="s">
        <v>3226</v>
      </c>
      <c r="D2420" s="59" t="s">
        <v>3768</v>
      </c>
      <c r="E2420" s="59" t="s">
        <v>3769</v>
      </c>
      <c r="F2420" s="59" t="str">
        <f>VLOOKUP(E2420,[1]库存!$B$1:$C$65536,2,FALSE)</f>
        <v>GAC A5H CAB导气袋</v>
      </c>
      <c r="G2420" s="59" t="s">
        <v>3770</v>
      </c>
      <c r="H2420" s="59" t="s">
        <v>3771</v>
      </c>
      <c r="I2420" s="59"/>
      <c r="J2420" s="63"/>
      <c r="K2420" s="61"/>
      <c r="L2420" s="62">
        <v>0.7</v>
      </c>
      <c r="M2420" s="63">
        <v>1300</v>
      </c>
      <c r="N2420" s="64">
        <v>2</v>
      </c>
      <c r="O2420" s="62">
        <v>0.7</v>
      </c>
      <c r="P2420" s="65">
        <f t="shared" si="163"/>
        <v>0</v>
      </c>
      <c r="Q2420" s="66"/>
      <c r="R2420" s="66"/>
      <c r="S2420" s="66"/>
      <c r="T2420" s="66"/>
      <c r="U2420" s="66"/>
      <c r="V2420" s="66"/>
      <c r="W2420" s="66"/>
      <c r="X2420" s="66"/>
      <c r="Y2420" s="66"/>
      <c r="Z2420" s="66"/>
      <c r="AA2420" s="66"/>
      <c r="AB2420" s="66"/>
      <c r="AC2420" s="66"/>
      <c r="AD2420" s="66"/>
      <c r="AE2420" s="66"/>
      <c r="AF2420" s="66"/>
      <c r="AG2420" s="66"/>
      <c r="AH2420" s="66"/>
      <c r="AI2420" s="66"/>
      <c r="AJ2420" s="66"/>
      <c r="AK2420" s="66"/>
      <c r="AL2420" s="66"/>
      <c r="AM2420" s="66"/>
      <c r="AN2420" s="66"/>
      <c r="AO2420" s="66"/>
      <c r="AP2420" s="66"/>
      <c r="AQ2420" s="66"/>
      <c r="AR2420" s="66"/>
      <c r="AS2420" s="66"/>
      <c r="AT2420" s="66"/>
      <c r="AU2420" s="66"/>
      <c r="AV2420" s="66"/>
      <c r="AW2420" s="66"/>
      <c r="AX2420" s="66"/>
      <c r="AY2420" s="66"/>
      <c r="AZ2420" s="66"/>
      <c r="BA2420" s="66"/>
      <c r="BB2420" s="66"/>
      <c r="BC2420" s="66"/>
      <c r="BD2420" s="66"/>
      <c r="BE2420" s="67"/>
      <c r="BF2420" s="67"/>
      <c r="BG2420" s="68"/>
      <c r="BI2420" s="69">
        <v>0</v>
      </c>
      <c r="BJ2420" s="70">
        <v>0</v>
      </c>
      <c r="BK2420" s="71">
        <v>0</v>
      </c>
      <c r="BL2420" s="71">
        <v>0</v>
      </c>
      <c r="BM2420" s="71">
        <v>0</v>
      </c>
      <c r="BN2420" s="72">
        <v>0</v>
      </c>
      <c r="BO2420" s="151" t="e">
        <f t="shared" si="159"/>
        <v>#DIV/0!</v>
      </c>
      <c r="BP2420" s="151" t="e">
        <f t="shared" si="160"/>
        <v>#DIV/0!</v>
      </c>
      <c r="BQ2420" s="71">
        <v>0</v>
      </c>
      <c r="BR2420" s="71">
        <v>0</v>
      </c>
      <c r="BS2420" s="71">
        <v>0</v>
      </c>
      <c r="BT2420" s="72">
        <v>0</v>
      </c>
      <c r="BU2420" s="151" t="e">
        <f t="shared" si="161"/>
        <v>#DIV/0!</v>
      </c>
      <c r="BV2420" s="151" t="e">
        <f t="shared" si="162"/>
        <v>#DIV/0!</v>
      </c>
    </row>
    <row r="2421" ht="30" customHeight="1" spans="1:74">
      <c r="A2421" s="55">
        <v>0</v>
      </c>
      <c r="B2421" s="56">
        <v>0</v>
      </c>
      <c r="C2421" s="57">
        <v>0</v>
      </c>
      <c r="D2421" s="74"/>
      <c r="E2421" s="74"/>
      <c r="F2421" s="59" t="e">
        <f>VLOOKUP(E2421,[1]库存!$B$1:$C$65536,2,FALSE)</f>
        <v>#N/A</v>
      </c>
      <c r="G2421" s="59" t="e">
        <v>#N/A</v>
      </c>
      <c r="H2421" s="74"/>
      <c r="I2421" s="74"/>
      <c r="J2421" s="87"/>
      <c r="K2421" s="61"/>
      <c r="L2421" s="62">
        <v>0</v>
      </c>
      <c r="M2421" s="63">
        <v>0</v>
      </c>
      <c r="N2421" s="64">
        <v>0</v>
      </c>
      <c r="O2421" s="62">
        <v>0</v>
      </c>
      <c r="P2421" s="65">
        <f t="shared" si="163"/>
        <v>0</v>
      </c>
      <c r="Q2421" s="66"/>
      <c r="R2421" s="66"/>
      <c r="S2421" s="66"/>
      <c r="T2421" s="66"/>
      <c r="U2421" s="66"/>
      <c r="V2421" s="66"/>
      <c r="W2421" s="66"/>
      <c r="X2421" s="66"/>
      <c r="Y2421" s="66"/>
      <c r="Z2421" s="66"/>
      <c r="AA2421" s="66"/>
      <c r="AB2421" s="66"/>
      <c r="AC2421" s="66"/>
      <c r="AD2421" s="66"/>
      <c r="AE2421" s="66"/>
      <c r="AF2421" s="66"/>
      <c r="AG2421" s="66"/>
      <c r="AH2421" s="66"/>
      <c r="AI2421" s="66"/>
      <c r="AJ2421" s="66"/>
      <c r="AK2421" s="66"/>
      <c r="AL2421" s="66"/>
      <c r="AM2421" s="66"/>
      <c r="AN2421" s="66"/>
      <c r="AO2421" s="66"/>
      <c r="AP2421" s="66"/>
      <c r="AQ2421" s="66"/>
      <c r="AR2421" s="66"/>
      <c r="AS2421" s="66"/>
      <c r="AT2421" s="66"/>
      <c r="AU2421" s="66"/>
      <c r="AV2421" s="66"/>
      <c r="AW2421" s="66"/>
      <c r="AX2421" s="66"/>
      <c r="AY2421" s="66"/>
      <c r="AZ2421" s="66"/>
      <c r="BA2421" s="66"/>
      <c r="BB2421" s="66"/>
      <c r="BC2421" s="66"/>
      <c r="BD2421" s="66"/>
      <c r="BE2421" s="67"/>
      <c r="BF2421" s="67"/>
      <c r="BG2421" s="68"/>
      <c r="BI2421" s="69">
        <v>0</v>
      </c>
      <c r="BJ2421" s="70">
        <v>0</v>
      </c>
      <c r="BK2421" s="71">
        <v>0</v>
      </c>
      <c r="BL2421" s="71">
        <v>0</v>
      </c>
      <c r="BM2421" s="71">
        <v>0</v>
      </c>
      <c r="BN2421" s="72">
        <v>0</v>
      </c>
      <c r="BO2421" s="151" t="e">
        <f t="shared" si="159"/>
        <v>#DIV/0!</v>
      </c>
      <c r="BP2421" s="151" t="e">
        <f t="shared" si="160"/>
        <v>#DIV/0!</v>
      </c>
      <c r="BQ2421" s="71">
        <v>0</v>
      </c>
      <c r="BR2421" s="71">
        <v>0</v>
      </c>
      <c r="BS2421" s="71">
        <v>0</v>
      </c>
      <c r="BT2421" s="72">
        <v>0</v>
      </c>
      <c r="BU2421" s="151" t="e">
        <f t="shared" si="161"/>
        <v>#DIV/0!</v>
      </c>
      <c r="BV2421" s="151" t="e">
        <f t="shared" si="162"/>
        <v>#DIV/0!</v>
      </c>
    </row>
    <row r="2422" ht="30" customHeight="1" spans="1:74">
      <c r="A2422" s="55">
        <v>0</v>
      </c>
      <c r="B2422" s="56" t="s">
        <v>1237</v>
      </c>
      <c r="C2422" s="57" t="s">
        <v>3226</v>
      </c>
      <c r="D2422" s="59" t="s">
        <v>3227</v>
      </c>
      <c r="E2422" s="59" t="s">
        <v>3772</v>
      </c>
      <c r="F2422" s="59" t="str">
        <f>VLOOKUP(E2422,[1]库存!$B$1:$C$65536,2,FALSE)</f>
        <v>GAC A5H CAB拉带</v>
      </c>
      <c r="G2422" s="59" t="s">
        <v>3773</v>
      </c>
      <c r="H2422" s="59" t="s">
        <v>3774</v>
      </c>
      <c r="I2422" s="59"/>
      <c r="J2422" s="63"/>
      <c r="K2422" s="61"/>
      <c r="L2422" s="62">
        <v>0</v>
      </c>
      <c r="M2422" s="63">
        <v>1200</v>
      </c>
      <c r="N2422" s="64">
        <v>1.5</v>
      </c>
      <c r="O2422" s="62">
        <v>0</v>
      </c>
      <c r="P2422" s="65">
        <f t="shared" si="163"/>
        <v>0</v>
      </c>
      <c r="Q2422" s="66"/>
      <c r="R2422" s="66"/>
      <c r="S2422" s="66"/>
      <c r="T2422" s="66"/>
      <c r="U2422" s="66"/>
      <c r="V2422" s="66"/>
      <c r="W2422" s="66"/>
      <c r="X2422" s="66"/>
      <c r="Y2422" s="66"/>
      <c r="Z2422" s="66"/>
      <c r="AA2422" s="66"/>
      <c r="AB2422" s="66"/>
      <c r="AC2422" s="66"/>
      <c r="AD2422" s="66"/>
      <c r="AE2422" s="66"/>
      <c r="AF2422" s="66"/>
      <c r="AG2422" s="66"/>
      <c r="AH2422" s="66"/>
      <c r="AI2422" s="66"/>
      <c r="AJ2422" s="66"/>
      <c r="AK2422" s="66"/>
      <c r="AL2422" s="66"/>
      <c r="AM2422" s="66"/>
      <c r="AN2422" s="66"/>
      <c r="AO2422" s="66"/>
      <c r="AP2422" s="66"/>
      <c r="AQ2422" s="66"/>
      <c r="AR2422" s="66"/>
      <c r="AS2422" s="66"/>
      <c r="AT2422" s="66"/>
      <c r="AU2422" s="66"/>
      <c r="AV2422" s="66"/>
      <c r="AW2422" s="66"/>
      <c r="AX2422" s="66"/>
      <c r="AY2422" s="66"/>
      <c r="AZ2422" s="66"/>
      <c r="BA2422" s="66"/>
      <c r="BB2422" s="66"/>
      <c r="BC2422" s="66"/>
      <c r="BD2422" s="66"/>
      <c r="BE2422" s="67"/>
      <c r="BF2422" s="67"/>
      <c r="BG2422" s="68"/>
      <c r="BI2422" s="69">
        <v>0</v>
      </c>
      <c r="BJ2422" s="70">
        <v>0</v>
      </c>
      <c r="BK2422" s="71">
        <v>0</v>
      </c>
      <c r="BL2422" s="71">
        <v>0</v>
      </c>
      <c r="BM2422" s="71">
        <v>0</v>
      </c>
      <c r="BN2422" s="72">
        <v>0</v>
      </c>
      <c r="BO2422" s="151" t="e">
        <f t="shared" si="159"/>
        <v>#DIV/0!</v>
      </c>
      <c r="BP2422" s="151" t="e">
        <f t="shared" si="160"/>
        <v>#DIV/0!</v>
      </c>
      <c r="BQ2422" s="71">
        <v>0</v>
      </c>
      <c r="BR2422" s="71">
        <v>0</v>
      </c>
      <c r="BS2422" s="71">
        <v>0</v>
      </c>
      <c r="BT2422" s="72">
        <v>0</v>
      </c>
      <c r="BU2422" s="151" t="e">
        <f t="shared" si="161"/>
        <v>#DIV/0!</v>
      </c>
      <c r="BV2422" s="151" t="e">
        <f t="shared" si="162"/>
        <v>#DIV/0!</v>
      </c>
    </row>
    <row r="2423" ht="30" customHeight="1" spans="1:74">
      <c r="A2423" s="55">
        <v>0</v>
      </c>
      <c r="B2423" s="56">
        <v>0</v>
      </c>
      <c r="C2423" s="57">
        <v>0</v>
      </c>
      <c r="D2423" s="74"/>
      <c r="E2423" s="74"/>
      <c r="F2423" s="59" t="e">
        <f>VLOOKUP(E2423,[1]库存!$B$1:$C$65536,2,FALSE)</f>
        <v>#N/A</v>
      </c>
      <c r="G2423" s="59" t="e">
        <v>#N/A</v>
      </c>
      <c r="H2423" s="74"/>
      <c r="I2423" s="74"/>
      <c r="J2423" s="87"/>
      <c r="K2423" s="61"/>
      <c r="L2423" s="62">
        <v>0</v>
      </c>
      <c r="M2423" s="63">
        <v>0</v>
      </c>
      <c r="N2423" s="64">
        <v>0</v>
      </c>
      <c r="O2423" s="62">
        <v>0</v>
      </c>
      <c r="P2423" s="65">
        <f t="shared" si="163"/>
        <v>0</v>
      </c>
      <c r="Q2423" s="66"/>
      <c r="R2423" s="66"/>
      <c r="S2423" s="66"/>
      <c r="T2423" s="66"/>
      <c r="U2423" s="66"/>
      <c r="V2423" s="66"/>
      <c r="W2423" s="66"/>
      <c r="X2423" s="66"/>
      <c r="Y2423" s="66"/>
      <c r="Z2423" s="66"/>
      <c r="AA2423" s="66"/>
      <c r="AB2423" s="66"/>
      <c r="AC2423" s="66"/>
      <c r="AD2423" s="66"/>
      <c r="AE2423" s="66"/>
      <c r="AF2423" s="66"/>
      <c r="AG2423" s="66"/>
      <c r="AH2423" s="66"/>
      <c r="AI2423" s="66"/>
      <c r="AJ2423" s="66"/>
      <c r="AK2423" s="66"/>
      <c r="AL2423" s="66"/>
      <c r="AM2423" s="66"/>
      <c r="AN2423" s="66"/>
      <c r="AO2423" s="66"/>
      <c r="AP2423" s="66"/>
      <c r="AQ2423" s="66"/>
      <c r="AR2423" s="66"/>
      <c r="AS2423" s="66"/>
      <c r="AT2423" s="66"/>
      <c r="AU2423" s="66"/>
      <c r="AV2423" s="66"/>
      <c r="AW2423" s="66"/>
      <c r="AX2423" s="66"/>
      <c r="AY2423" s="66"/>
      <c r="AZ2423" s="66"/>
      <c r="BA2423" s="66"/>
      <c r="BB2423" s="66"/>
      <c r="BC2423" s="66"/>
      <c r="BD2423" s="66"/>
      <c r="BE2423" s="67"/>
      <c r="BF2423" s="67"/>
      <c r="BG2423" s="68"/>
      <c r="BI2423" s="69">
        <v>0</v>
      </c>
      <c r="BJ2423" s="70">
        <v>0</v>
      </c>
      <c r="BK2423" s="71">
        <v>0</v>
      </c>
      <c r="BL2423" s="71">
        <v>0</v>
      </c>
      <c r="BM2423" s="71">
        <v>0</v>
      </c>
      <c r="BN2423" s="72">
        <v>0</v>
      </c>
      <c r="BO2423" s="151" t="e">
        <f t="shared" si="159"/>
        <v>#DIV/0!</v>
      </c>
      <c r="BP2423" s="151" t="e">
        <f t="shared" si="160"/>
        <v>#DIV/0!</v>
      </c>
      <c r="BQ2423" s="71">
        <v>0</v>
      </c>
      <c r="BR2423" s="71">
        <v>0</v>
      </c>
      <c r="BS2423" s="71">
        <v>0</v>
      </c>
      <c r="BT2423" s="72">
        <v>0</v>
      </c>
      <c r="BU2423" s="151" t="e">
        <f t="shared" si="161"/>
        <v>#DIV/0!</v>
      </c>
      <c r="BV2423" s="151" t="e">
        <f t="shared" si="162"/>
        <v>#DIV/0!</v>
      </c>
    </row>
    <row r="2424" ht="30" customHeight="1" spans="1:74">
      <c r="A2424" s="55">
        <v>0</v>
      </c>
      <c r="B2424" s="56" t="s">
        <v>1237</v>
      </c>
      <c r="C2424" s="57" t="s">
        <v>3226</v>
      </c>
      <c r="D2424" s="59" t="s">
        <v>3753</v>
      </c>
      <c r="E2424" s="59" t="s">
        <v>3775</v>
      </c>
      <c r="F2424" s="59" t="e">
        <f>VLOOKUP(E2424,[1]库存!$B$1:$C$65536,2,FALSE)</f>
        <v>#N/A</v>
      </c>
      <c r="G2424" s="59" t="e">
        <v>#N/A</v>
      </c>
      <c r="H2424" s="59" t="s">
        <v>3776</v>
      </c>
      <c r="I2424" s="59"/>
      <c r="J2424" s="63"/>
      <c r="K2424" s="61"/>
      <c r="L2424" s="62">
        <v>1</v>
      </c>
      <c r="M2424" s="63">
        <v>150</v>
      </c>
      <c r="N2424" s="64">
        <v>3</v>
      </c>
      <c r="O2424" s="62">
        <v>1</v>
      </c>
      <c r="P2424" s="65">
        <f t="shared" si="163"/>
        <v>0</v>
      </c>
      <c r="Q2424" s="66"/>
      <c r="R2424" s="66"/>
      <c r="S2424" s="66"/>
      <c r="T2424" s="66"/>
      <c r="U2424" s="66"/>
      <c r="V2424" s="66"/>
      <c r="W2424" s="66"/>
      <c r="X2424" s="66"/>
      <c r="Y2424" s="66"/>
      <c r="Z2424" s="66"/>
      <c r="AA2424" s="66"/>
      <c r="AB2424" s="66"/>
      <c r="AC2424" s="66"/>
      <c r="AD2424" s="66"/>
      <c r="AE2424" s="66"/>
      <c r="AF2424" s="66"/>
      <c r="AG2424" s="66"/>
      <c r="AH2424" s="66"/>
      <c r="AI2424" s="66"/>
      <c r="AJ2424" s="66"/>
      <c r="AK2424" s="66"/>
      <c r="AL2424" s="66"/>
      <c r="AM2424" s="66"/>
      <c r="AN2424" s="66"/>
      <c r="AO2424" s="66"/>
      <c r="AP2424" s="66"/>
      <c r="AQ2424" s="66"/>
      <c r="AR2424" s="66"/>
      <c r="AS2424" s="66"/>
      <c r="AT2424" s="66"/>
      <c r="AU2424" s="66"/>
      <c r="AV2424" s="66"/>
      <c r="AW2424" s="66"/>
      <c r="AX2424" s="66"/>
      <c r="AY2424" s="66"/>
      <c r="AZ2424" s="66"/>
      <c r="BA2424" s="66"/>
      <c r="BB2424" s="66"/>
      <c r="BC2424" s="66"/>
      <c r="BD2424" s="66"/>
      <c r="BE2424" s="67"/>
      <c r="BF2424" s="67"/>
      <c r="BG2424" s="68"/>
      <c r="BI2424" s="69">
        <v>0</v>
      </c>
      <c r="BJ2424" s="70">
        <v>0</v>
      </c>
      <c r="BK2424" s="71">
        <v>0</v>
      </c>
      <c r="BL2424" s="71">
        <v>0</v>
      </c>
      <c r="BM2424" s="71">
        <v>0</v>
      </c>
      <c r="BN2424" s="72">
        <v>0</v>
      </c>
      <c r="BO2424" s="151" t="e">
        <f t="shared" si="159"/>
        <v>#DIV/0!</v>
      </c>
      <c r="BP2424" s="151" t="e">
        <f t="shared" si="160"/>
        <v>#DIV/0!</v>
      </c>
      <c r="BQ2424" s="71">
        <v>0</v>
      </c>
      <c r="BR2424" s="71">
        <v>0</v>
      </c>
      <c r="BS2424" s="71">
        <v>0</v>
      </c>
      <c r="BT2424" s="72">
        <v>0</v>
      </c>
      <c r="BU2424" s="151" t="e">
        <f t="shared" si="161"/>
        <v>#DIV/0!</v>
      </c>
      <c r="BV2424" s="151" t="e">
        <f t="shared" si="162"/>
        <v>#DIV/0!</v>
      </c>
    </row>
    <row r="2425" ht="30" customHeight="1" spans="1:74">
      <c r="A2425" s="55">
        <v>0</v>
      </c>
      <c r="B2425" s="56">
        <v>0</v>
      </c>
      <c r="C2425" s="57">
        <v>0</v>
      </c>
      <c r="D2425" s="74"/>
      <c r="E2425" s="74"/>
      <c r="F2425" s="59" t="e">
        <f>VLOOKUP(E2425,[1]库存!$B$1:$C$65536,2,FALSE)</f>
        <v>#N/A</v>
      </c>
      <c r="G2425" s="59" t="e">
        <v>#N/A</v>
      </c>
      <c r="H2425" s="74"/>
      <c r="I2425" s="74"/>
      <c r="J2425" s="87"/>
      <c r="K2425" s="61"/>
      <c r="L2425" s="62">
        <v>0</v>
      </c>
      <c r="M2425" s="63">
        <v>0</v>
      </c>
      <c r="N2425" s="64">
        <v>0</v>
      </c>
      <c r="O2425" s="62">
        <v>0</v>
      </c>
      <c r="P2425" s="65">
        <f t="shared" si="163"/>
        <v>0</v>
      </c>
      <c r="Q2425" s="66"/>
      <c r="R2425" s="66"/>
      <c r="S2425" s="66"/>
      <c r="T2425" s="66"/>
      <c r="U2425" s="66"/>
      <c r="V2425" s="66"/>
      <c r="W2425" s="66"/>
      <c r="X2425" s="66"/>
      <c r="Y2425" s="66"/>
      <c r="Z2425" s="66"/>
      <c r="AA2425" s="66"/>
      <c r="AB2425" s="66"/>
      <c r="AC2425" s="66"/>
      <c r="AD2425" s="66"/>
      <c r="AE2425" s="66"/>
      <c r="AF2425" s="66"/>
      <c r="AG2425" s="66"/>
      <c r="AH2425" s="66"/>
      <c r="AI2425" s="66"/>
      <c r="AJ2425" s="66"/>
      <c r="AK2425" s="66"/>
      <c r="AL2425" s="66"/>
      <c r="AM2425" s="66"/>
      <c r="AN2425" s="66"/>
      <c r="AO2425" s="66"/>
      <c r="AP2425" s="66"/>
      <c r="AQ2425" s="66"/>
      <c r="AR2425" s="66"/>
      <c r="AS2425" s="66"/>
      <c r="AT2425" s="66"/>
      <c r="AU2425" s="66"/>
      <c r="AV2425" s="66"/>
      <c r="AW2425" s="66"/>
      <c r="AX2425" s="66"/>
      <c r="AY2425" s="66"/>
      <c r="AZ2425" s="66"/>
      <c r="BA2425" s="66"/>
      <c r="BB2425" s="66"/>
      <c r="BC2425" s="66"/>
      <c r="BD2425" s="66"/>
      <c r="BE2425" s="67"/>
      <c r="BF2425" s="67"/>
      <c r="BG2425" s="68"/>
      <c r="BI2425" s="69">
        <v>0</v>
      </c>
      <c r="BJ2425" s="70">
        <v>0</v>
      </c>
      <c r="BK2425" s="71">
        <v>0</v>
      </c>
      <c r="BL2425" s="71">
        <v>0</v>
      </c>
      <c r="BM2425" s="71">
        <v>0</v>
      </c>
      <c r="BN2425" s="72">
        <v>0</v>
      </c>
      <c r="BO2425" s="151" t="e">
        <f t="shared" si="159"/>
        <v>#DIV/0!</v>
      </c>
      <c r="BP2425" s="151" t="e">
        <f t="shared" si="160"/>
        <v>#DIV/0!</v>
      </c>
      <c r="BQ2425" s="71">
        <v>0</v>
      </c>
      <c r="BR2425" s="71">
        <v>0</v>
      </c>
      <c r="BS2425" s="71">
        <v>0</v>
      </c>
      <c r="BT2425" s="72">
        <v>0</v>
      </c>
      <c r="BU2425" s="151" t="e">
        <f t="shared" si="161"/>
        <v>#DIV/0!</v>
      </c>
      <c r="BV2425" s="151" t="e">
        <f t="shared" si="162"/>
        <v>#DIV/0!</v>
      </c>
    </row>
    <row r="2426" ht="30" customHeight="1" spans="1:74">
      <c r="A2426" s="55">
        <v>0</v>
      </c>
      <c r="B2426" s="56" t="s">
        <v>1237</v>
      </c>
      <c r="C2426" s="57" t="s">
        <v>3226</v>
      </c>
      <c r="D2426" s="59" t="s">
        <v>3724</v>
      </c>
      <c r="E2426" s="59"/>
      <c r="F2426" s="59" t="e">
        <f>VLOOKUP(E2426,[1]库存!$B$1:$C$65536,2,FALSE)</f>
        <v>#N/A</v>
      </c>
      <c r="G2426" s="59" t="e">
        <v>#N/A</v>
      </c>
      <c r="H2426" s="59" t="s">
        <v>3777</v>
      </c>
      <c r="I2426" s="59" t="s">
        <v>3778</v>
      </c>
      <c r="J2426" s="63"/>
      <c r="K2426" s="61"/>
      <c r="L2426" s="62">
        <v>0</v>
      </c>
      <c r="M2426" s="63">
        <v>0</v>
      </c>
      <c r="N2426" s="64">
        <v>0</v>
      </c>
      <c r="O2426" s="62">
        <v>0</v>
      </c>
      <c r="P2426" s="65">
        <f t="shared" si="163"/>
        <v>0</v>
      </c>
      <c r="Q2426" s="66"/>
      <c r="R2426" s="66"/>
      <c r="S2426" s="66"/>
      <c r="T2426" s="66"/>
      <c r="U2426" s="66"/>
      <c r="V2426" s="66"/>
      <c r="W2426" s="66"/>
      <c r="X2426" s="66"/>
      <c r="Y2426" s="66"/>
      <c r="Z2426" s="66"/>
      <c r="AA2426" s="66"/>
      <c r="AB2426" s="66"/>
      <c r="AC2426" s="66"/>
      <c r="AD2426" s="66"/>
      <c r="AE2426" s="66"/>
      <c r="AF2426" s="66"/>
      <c r="AG2426" s="66"/>
      <c r="AH2426" s="66"/>
      <c r="AI2426" s="66"/>
      <c r="AJ2426" s="66"/>
      <c r="AK2426" s="66"/>
      <c r="AL2426" s="66"/>
      <c r="AM2426" s="66"/>
      <c r="AN2426" s="66"/>
      <c r="AO2426" s="66"/>
      <c r="AP2426" s="66"/>
      <c r="AQ2426" s="66"/>
      <c r="AR2426" s="66"/>
      <c r="AS2426" s="66"/>
      <c r="AT2426" s="66"/>
      <c r="AU2426" s="66"/>
      <c r="AV2426" s="66"/>
      <c r="AW2426" s="66"/>
      <c r="AX2426" s="66"/>
      <c r="AY2426" s="66"/>
      <c r="AZ2426" s="66"/>
      <c r="BA2426" s="66"/>
      <c r="BB2426" s="66"/>
      <c r="BC2426" s="66"/>
      <c r="BD2426" s="66"/>
      <c r="BE2426" s="67"/>
      <c r="BF2426" s="67"/>
      <c r="BG2426" s="68"/>
      <c r="BI2426" s="69">
        <v>0</v>
      </c>
      <c r="BJ2426" s="70">
        <v>0</v>
      </c>
      <c r="BK2426" s="71">
        <v>0</v>
      </c>
      <c r="BL2426" s="71">
        <v>0</v>
      </c>
      <c r="BM2426" s="71">
        <v>0</v>
      </c>
      <c r="BN2426" s="72">
        <v>0</v>
      </c>
      <c r="BO2426" s="151" t="e">
        <f t="shared" si="159"/>
        <v>#DIV/0!</v>
      </c>
      <c r="BP2426" s="151" t="e">
        <f t="shared" si="160"/>
        <v>#DIV/0!</v>
      </c>
      <c r="BQ2426" s="71">
        <v>0</v>
      </c>
      <c r="BR2426" s="71">
        <v>0</v>
      </c>
      <c r="BS2426" s="71">
        <v>0</v>
      </c>
      <c r="BT2426" s="72">
        <v>0</v>
      </c>
      <c r="BU2426" s="151" t="e">
        <f t="shared" si="161"/>
        <v>#DIV/0!</v>
      </c>
      <c r="BV2426" s="151" t="e">
        <f t="shared" si="162"/>
        <v>#DIV/0!</v>
      </c>
    </row>
    <row r="2427" ht="30" customHeight="1" spans="1:74">
      <c r="A2427" s="55">
        <v>0</v>
      </c>
      <c r="B2427" s="56">
        <v>0</v>
      </c>
      <c r="C2427" s="57">
        <v>0</v>
      </c>
      <c r="D2427" s="74"/>
      <c r="E2427" s="74"/>
      <c r="F2427" s="59" t="e">
        <f>VLOOKUP(E2427,[1]库存!$B$1:$C$65536,2,FALSE)</f>
        <v>#N/A</v>
      </c>
      <c r="G2427" s="59" t="e">
        <v>#N/A</v>
      </c>
      <c r="H2427" s="74"/>
      <c r="I2427" s="74"/>
      <c r="J2427" s="87"/>
      <c r="K2427" s="61"/>
      <c r="L2427" s="62">
        <v>0</v>
      </c>
      <c r="M2427" s="63">
        <v>0</v>
      </c>
      <c r="N2427" s="64">
        <v>0</v>
      </c>
      <c r="O2427" s="62">
        <v>0</v>
      </c>
      <c r="P2427" s="65">
        <f t="shared" si="163"/>
        <v>0</v>
      </c>
      <c r="Q2427" s="66"/>
      <c r="R2427" s="66"/>
      <c r="S2427" s="66"/>
      <c r="T2427" s="66"/>
      <c r="U2427" s="66"/>
      <c r="V2427" s="66"/>
      <c r="W2427" s="66"/>
      <c r="X2427" s="66"/>
      <c r="Y2427" s="66"/>
      <c r="Z2427" s="66"/>
      <c r="AA2427" s="66"/>
      <c r="AB2427" s="66"/>
      <c r="AC2427" s="66"/>
      <c r="AD2427" s="66"/>
      <c r="AE2427" s="66"/>
      <c r="AF2427" s="66"/>
      <c r="AG2427" s="66"/>
      <c r="AH2427" s="66"/>
      <c r="AI2427" s="66"/>
      <c r="AJ2427" s="66"/>
      <c r="AK2427" s="66"/>
      <c r="AL2427" s="66"/>
      <c r="AM2427" s="66"/>
      <c r="AN2427" s="66"/>
      <c r="AO2427" s="66"/>
      <c r="AP2427" s="66"/>
      <c r="AQ2427" s="66"/>
      <c r="AR2427" s="66"/>
      <c r="AS2427" s="66"/>
      <c r="AT2427" s="66"/>
      <c r="AU2427" s="66"/>
      <c r="AV2427" s="66"/>
      <c r="AW2427" s="66"/>
      <c r="AX2427" s="66"/>
      <c r="AY2427" s="66"/>
      <c r="AZ2427" s="66"/>
      <c r="BA2427" s="66"/>
      <c r="BB2427" s="66"/>
      <c r="BC2427" s="66"/>
      <c r="BD2427" s="66"/>
      <c r="BE2427" s="67"/>
      <c r="BF2427" s="67"/>
      <c r="BG2427" s="68"/>
      <c r="BI2427" s="69">
        <v>0</v>
      </c>
      <c r="BJ2427" s="70">
        <v>0</v>
      </c>
      <c r="BK2427" s="71">
        <v>0</v>
      </c>
      <c r="BL2427" s="71">
        <v>0</v>
      </c>
      <c r="BM2427" s="71">
        <v>0</v>
      </c>
      <c r="BN2427" s="72">
        <v>0</v>
      </c>
      <c r="BO2427" s="151" t="e">
        <f t="shared" si="159"/>
        <v>#DIV/0!</v>
      </c>
      <c r="BP2427" s="151" t="e">
        <f t="shared" si="160"/>
        <v>#DIV/0!</v>
      </c>
      <c r="BQ2427" s="71">
        <v>0</v>
      </c>
      <c r="BR2427" s="71">
        <v>0</v>
      </c>
      <c r="BS2427" s="71">
        <v>0</v>
      </c>
      <c r="BT2427" s="72">
        <v>0</v>
      </c>
      <c r="BU2427" s="151" t="e">
        <f t="shared" si="161"/>
        <v>#DIV/0!</v>
      </c>
      <c r="BV2427" s="151" t="e">
        <f t="shared" si="162"/>
        <v>#DIV/0!</v>
      </c>
    </row>
    <row r="2428" ht="30" customHeight="1" spans="1:74">
      <c r="A2428" s="55">
        <v>0</v>
      </c>
      <c r="B2428" s="56" t="s">
        <v>1237</v>
      </c>
      <c r="C2428" s="57" t="s">
        <v>3226</v>
      </c>
      <c r="D2428" s="59" t="s">
        <v>3753</v>
      </c>
      <c r="E2428" s="59"/>
      <c r="F2428" s="59" t="e">
        <f>VLOOKUP(E2428,[1]库存!$B$1:$C$65536,2,FALSE)</f>
        <v>#N/A</v>
      </c>
      <c r="G2428" s="59" t="e">
        <v>#N/A</v>
      </c>
      <c r="H2428" s="59" t="s">
        <v>3779</v>
      </c>
      <c r="I2428" s="59" t="s">
        <v>3780</v>
      </c>
      <c r="J2428" s="63"/>
      <c r="K2428" s="61"/>
      <c r="L2428" s="62">
        <v>0</v>
      </c>
      <c r="M2428" s="63">
        <v>0</v>
      </c>
      <c r="N2428" s="64">
        <v>0</v>
      </c>
      <c r="O2428" s="62">
        <v>0</v>
      </c>
      <c r="P2428" s="65">
        <f t="shared" si="163"/>
        <v>0</v>
      </c>
      <c r="Q2428" s="66"/>
      <c r="R2428" s="66"/>
      <c r="S2428" s="66"/>
      <c r="T2428" s="66"/>
      <c r="U2428" s="66"/>
      <c r="V2428" s="66"/>
      <c r="W2428" s="66"/>
      <c r="X2428" s="66"/>
      <c r="Y2428" s="66"/>
      <c r="Z2428" s="66"/>
      <c r="AA2428" s="66"/>
      <c r="AB2428" s="66"/>
      <c r="AC2428" s="66"/>
      <c r="AD2428" s="66"/>
      <c r="AE2428" s="66"/>
      <c r="AF2428" s="66"/>
      <c r="AG2428" s="66"/>
      <c r="AH2428" s="66"/>
      <c r="AI2428" s="66"/>
      <c r="AJ2428" s="66"/>
      <c r="AK2428" s="66"/>
      <c r="AL2428" s="66"/>
      <c r="AM2428" s="66"/>
      <c r="AN2428" s="66"/>
      <c r="AO2428" s="66"/>
      <c r="AP2428" s="66"/>
      <c r="AQ2428" s="66"/>
      <c r="AR2428" s="66"/>
      <c r="AS2428" s="66"/>
      <c r="AT2428" s="66"/>
      <c r="AU2428" s="66"/>
      <c r="AV2428" s="66"/>
      <c r="AW2428" s="66"/>
      <c r="AX2428" s="66"/>
      <c r="AY2428" s="66"/>
      <c r="AZ2428" s="66"/>
      <c r="BA2428" s="66"/>
      <c r="BB2428" s="66"/>
      <c r="BC2428" s="66"/>
      <c r="BD2428" s="66"/>
      <c r="BE2428" s="67"/>
      <c r="BF2428" s="67"/>
      <c r="BG2428" s="68"/>
      <c r="BI2428" s="69">
        <v>0</v>
      </c>
      <c r="BJ2428" s="70">
        <v>0</v>
      </c>
      <c r="BK2428" s="71">
        <v>0</v>
      </c>
      <c r="BL2428" s="71">
        <v>0</v>
      </c>
      <c r="BM2428" s="71">
        <v>0</v>
      </c>
      <c r="BN2428" s="72">
        <v>0</v>
      </c>
      <c r="BO2428" s="151" t="e">
        <f t="shared" si="159"/>
        <v>#DIV/0!</v>
      </c>
      <c r="BP2428" s="151" t="e">
        <f t="shared" si="160"/>
        <v>#DIV/0!</v>
      </c>
      <c r="BQ2428" s="71">
        <v>0</v>
      </c>
      <c r="BR2428" s="71">
        <v>0</v>
      </c>
      <c r="BS2428" s="71">
        <v>0</v>
      </c>
      <c r="BT2428" s="72">
        <v>0</v>
      </c>
      <c r="BU2428" s="151" t="e">
        <f t="shared" si="161"/>
        <v>#DIV/0!</v>
      </c>
      <c r="BV2428" s="151" t="e">
        <f t="shared" si="162"/>
        <v>#DIV/0!</v>
      </c>
    </row>
    <row r="2429" ht="30" customHeight="1" spans="1:74">
      <c r="A2429" s="55">
        <v>0</v>
      </c>
      <c r="B2429" s="56">
        <v>0</v>
      </c>
      <c r="C2429" s="57">
        <v>0</v>
      </c>
      <c r="D2429" s="74"/>
      <c r="E2429" s="74"/>
      <c r="F2429" s="59" t="e">
        <f>VLOOKUP(E2429,[1]库存!$B$1:$C$65536,2,FALSE)</f>
        <v>#N/A</v>
      </c>
      <c r="G2429" s="59" t="e">
        <v>#N/A</v>
      </c>
      <c r="H2429" s="74"/>
      <c r="I2429" s="74"/>
      <c r="J2429" s="87"/>
      <c r="K2429" s="61"/>
      <c r="L2429" s="62">
        <v>0</v>
      </c>
      <c r="M2429" s="63">
        <v>0</v>
      </c>
      <c r="N2429" s="64">
        <v>0</v>
      </c>
      <c r="O2429" s="62">
        <v>0</v>
      </c>
      <c r="P2429" s="65">
        <f t="shared" si="163"/>
        <v>0</v>
      </c>
      <c r="Q2429" s="66"/>
      <c r="R2429" s="66"/>
      <c r="S2429" s="66"/>
      <c r="T2429" s="66"/>
      <c r="U2429" s="66"/>
      <c r="V2429" s="66"/>
      <c r="W2429" s="66"/>
      <c r="X2429" s="66"/>
      <c r="Y2429" s="66"/>
      <c r="Z2429" s="66"/>
      <c r="AA2429" s="66"/>
      <c r="AB2429" s="66"/>
      <c r="AC2429" s="66"/>
      <c r="AD2429" s="66"/>
      <c r="AE2429" s="66"/>
      <c r="AF2429" s="66"/>
      <c r="AG2429" s="66"/>
      <c r="AH2429" s="66"/>
      <c r="AI2429" s="66"/>
      <c r="AJ2429" s="66"/>
      <c r="AK2429" s="66"/>
      <c r="AL2429" s="66"/>
      <c r="AM2429" s="66"/>
      <c r="AN2429" s="66"/>
      <c r="AO2429" s="66"/>
      <c r="AP2429" s="66"/>
      <c r="AQ2429" s="66"/>
      <c r="AR2429" s="66"/>
      <c r="AS2429" s="66"/>
      <c r="AT2429" s="66"/>
      <c r="AU2429" s="66"/>
      <c r="AV2429" s="66"/>
      <c r="AW2429" s="66"/>
      <c r="AX2429" s="66"/>
      <c r="AY2429" s="66"/>
      <c r="AZ2429" s="66"/>
      <c r="BA2429" s="66"/>
      <c r="BB2429" s="66"/>
      <c r="BC2429" s="66"/>
      <c r="BD2429" s="66"/>
      <c r="BE2429" s="67"/>
      <c r="BF2429" s="67"/>
      <c r="BG2429" s="68"/>
      <c r="BI2429" s="69">
        <v>0</v>
      </c>
      <c r="BJ2429" s="70">
        <v>0</v>
      </c>
      <c r="BK2429" s="71">
        <v>0</v>
      </c>
      <c r="BL2429" s="71">
        <v>0</v>
      </c>
      <c r="BM2429" s="71">
        <v>0</v>
      </c>
      <c r="BN2429" s="72">
        <v>0</v>
      </c>
      <c r="BO2429" s="151" t="e">
        <f t="shared" si="159"/>
        <v>#DIV/0!</v>
      </c>
      <c r="BP2429" s="151" t="e">
        <f t="shared" si="160"/>
        <v>#DIV/0!</v>
      </c>
      <c r="BQ2429" s="71">
        <v>0</v>
      </c>
      <c r="BR2429" s="71">
        <v>0</v>
      </c>
      <c r="BS2429" s="71">
        <v>0</v>
      </c>
      <c r="BT2429" s="72">
        <v>0</v>
      </c>
      <c r="BU2429" s="151" t="e">
        <f t="shared" si="161"/>
        <v>#DIV/0!</v>
      </c>
      <c r="BV2429" s="151" t="e">
        <f t="shared" si="162"/>
        <v>#DIV/0!</v>
      </c>
    </row>
    <row r="2430" ht="30" customHeight="1" spans="1:74">
      <c r="A2430" s="55">
        <v>0</v>
      </c>
      <c r="B2430" s="56" t="s">
        <v>1237</v>
      </c>
      <c r="C2430" s="57" t="s">
        <v>3226</v>
      </c>
      <c r="D2430" s="59" t="s">
        <v>3753</v>
      </c>
      <c r="E2430" s="59"/>
      <c r="F2430" s="59" t="e">
        <f>VLOOKUP(E2430,[1]库存!$B$1:$C$65536,2,FALSE)</f>
        <v>#N/A</v>
      </c>
      <c r="G2430" s="59" t="e">
        <v>#N/A</v>
      </c>
      <c r="H2430" s="59" t="s">
        <v>3781</v>
      </c>
      <c r="I2430" s="59" t="s">
        <v>3782</v>
      </c>
      <c r="J2430" s="63"/>
      <c r="K2430" s="61"/>
      <c r="L2430" s="62">
        <v>0</v>
      </c>
      <c r="M2430" s="63">
        <v>0</v>
      </c>
      <c r="N2430" s="64">
        <v>0</v>
      </c>
      <c r="O2430" s="62">
        <v>0</v>
      </c>
      <c r="P2430" s="65">
        <f t="shared" si="163"/>
        <v>0</v>
      </c>
      <c r="Q2430" s="66"/>
      <c r="R2430" s="66"/>
      <c r="S2430" s="66"/>
      <c r="T2430" s="66"/>
      <c r="U2430" s="66"/>
      <c r="V2430" s="66"/>
      <c r="W2430" s="66"/>
      <c r="X2430" s="66"/>
      <c r="Y2430" s="66"/>
      <c r="Z2430" s="66"/>
      <c r="AA2430" s="66"/>
      <c r="AB2430" s="66"/>
      <c r="AC2430" s="66"/>
      <c r="AD2430" s="66"/>
      <c r="AE2430" s="66"/>
      <c r="AF2430" s="66"/>
      <c r="AG2430" s="66"/>
      <c r="AH2430" s="66"/>
      <c r="AI2430" s="66"/>
      <c r="AJ2430" s="66"/>
      <c r="AK2430" s="66"/>
      <c r="AL2430" s="66"/>
      <c r="AM2430" s="66"/>
      <c r="AN2430" s="66"/>
      <c r="AO2430" s="66"/>
      <c r="AP2430" s="66"/>
      <c r="AQ2430" s="66"/>
      <c r="AR2430" s="66"/>
      <c r="AS2430" s="66"/>
      <c r="AT2430" s="66"/>
      <c r="AU2430" s="66"/>
      <c r="AV2430" s="66"/>
      <c r="AW2430" s="66"/>
      <c r="AX2430" s="66"/>
      <c r="AY2430" s="66"/>
      <c r="AZ2430" s="66"/>
      <c r="BA2430" s="66"/>
      <c r="BB2430" s="66"/>
      <c r="BC2430" s="66"/>
      <c r="BD2430" s="66"/>
      <c r="BE2430" s="67"/>
      <c r="BF2430" s="67"/>
      <c r="BG2430" s="68"/>
      <c r="BI2430" s="69">
        <v>0</v>
      </c>
      <c r="BJ2430" s="70">
        <v>0</v>
      </c>
      <c r="BK2430" s="71">
        <v>0</v>
      </c>
      <c r="BL2430" s="71">
        <v>0</v>
      </c>
      <c r="BM2430" s="71">
        <v>0</v>
      </c>
      <c r="BN2430" s="72">
        <v>0</v>
      </c>
      <c r="BO2430" s="151" t="e">
        <f t="shared" si="159"/>
        <v>#DIV/0!</v>
      </c>
      <c r="BP2430" s="151" t="e">
        <f t="shared" si="160"/>
        <v>#DIV/0!</v>
      </c>
      <c r="BQ2430" s="71">
        <v>0</v>
      </c>
      <c r="BR2430" s="71">
        <v>0</v>
      </c>
      <c r="BS2430" s="71">
        <v>0</v>
      </c>
      <c r="BT2430" s="72">
        <v>0</v>
      </c>
      <c r="BU2430" s="151" t="e">
        <f t="shared" si="161"/>
        <v>#DIV/0!</v>
      </c>
      <c r="BV2430" s="151" t="e">
        <f t="shared" si="162"/>
        <v>#DIV/0!</v>
      </c>
    </row>
    <row r="2431" ht="30" customHeight="1" spans="1:74">
      <c r="A2431" s="55">
        <v>0</v>
      </c>
      <c r="B2431" s="56">
        <v>0</v>
      </c>
      <c r="C2431" s="57">
        <v>0</v>
      </c>
      <c r="D2431" s="74"/>
      <c r="E2431" s="74"/>
      <c r="F2431" s="59" t="e">
        <f>VLOOKUP(E2431,[1]库存!$B$1:$C$65536,2,FALSE)</f>
        <v>#N/A</v>
      </c>
      <c r="G2431" s="59" t="e">
        <v>#N/A</v>
      </c>
      <c r="H2431" s="74"/>
      <c r="I2431" s="74"/>
      <c r="J2431" s="87"/>
      <c r="K2431" s="61"/>
      <c r="L2431" s="62">
        <v>0</v>
      </c>
      <c r="M2431" s="63">
        <v>0</v>
      </c>
      <c r="N2431" s="64">
        <v>0</v>
      </c>
      <c r="O2431" s="62">
        <v>0</v>
      </c>
      <c r="P2431" s="65">
        <f t="shared" si="163"/>
        <v>0</v>
      </c>
      <c r="Q2431" s="66"/>
      <c r="R2431" s="66"/>
      <c r="S2431" s="66"/>
      <c r="T2431" s="66"/>
      <c r="U2431" s="66"/>
      <c r="V2431" s="66"/>
      <c r="W2431" s="66"/>
      <c r="X2431" s="66"/>
      <c r="Y2431" s="66"/>
      <c r="Z2431" s="66"/>
      <c r="AA2431" s="66"/>
      <c r="AB2431" s="66"/>
      <c r="AC2431" s="66"/>
      <c r="AD2431" s="66"/>
      <c r="AE2431" s="66"/>
      <c r="AF2431" s="66"/>
      <c r="AG2431" s="66"/>
      <c r="AH2431" s="66"/>
      <c r="AI2431" s="66"/>
      <c r="AJ2431" s="66"/>
      <c r="AK2431" s="66"/>
      <c r="AL2431" s="66"/>
      <c r="AM2431" s="66"/>
      <c r="AN2431" s="66"/>
      <c r="AO2431" s="66"/>
      <c r="AP2431" s="66"/>
      <c r="AQ2431" s="66"/>
      <c r="AR2431" s="66"/>
      <c r="AS2431" s="66"/>
      <c r="AT2431" s="66"/>
      <c r="AU2431" s="66"/>
      <c r="AV2431" s="66"/>
      <c r="AW2431" s="66"/>
      <c r="AX2431" s="66"/>
      <c r="AY2431" s="66"/>
      <c r="AZ2431" s="66"/>
      <c r="BA2431" s="66"/>
      <c r="BB2431" s="66"/>
      <c r="BC2431" s="66"/>
      <c r="BD2431" s="66"/>
      <c r="BE2431" s="67"/>
      <c r="BF2431" s="67"/>
      <c r="BG2431" s="68"/>
      <c r="BI2431" s="69">
        <v>0</v>
      </c>
      <c r="BJ2431" s="70">
        <v>0</v>
      </c>
      <c r="BK2431" s="71">
        <v>0</v>
      </c>
      <c r="BL2431" s="71">
        <v>0</v>
      </c>
      <c r="BM2431" s="71">
        <v>0</v>
      </c>
      <c r="BN2431" s="72">
        <v>0</v>
      </c>
      <c r="BO2431" s="151" t="e">
        <f t="shared" si="159"/>
        <v>#DIV/0!</v>
      </c>
      <c r="BP2431" s="151" t="e">
        <f t="shared" si="160"/>
        <v>#DIV/0!</v>
      </c>
      <c r="BQ2431" s="71">
        <v>0</v>
      </c>
      <c r="BR2431" s="71">
        <v>0</v>
      </c>
      <c r="BS2431" s="71">
        <v>0</v>
      </c>
      <c r="BT2431" s="72">
        <v>0</v>
      </c>
      <c r="BU2431" s="151" t="e">
        <f t="shared" si="161"/>
        <v>#DIV/0!</v>
      </c>
      <c r="BV2431" s="151" t="e">
        <f t="shared" si="162"/>
        <v>#DIV/0!</v>
      </c>
    </row>
    <row r="2432" ht="30" customHeight="1" spans="1:74">
      <c r="A2432" s="55">
        <v>0</v>
      </c>
      <c r="B2432" s="56" t="s">
        <v>1237</v>
      </c>
      <c r="C2432" s="57" t="s">
        <v>3226</v>
      </c>
      <c r="D2432" s="59" t="s">
        <v>3724</v>
      </c>
      <c r="E2432" s="59"/>
      <c r="F2432" s="59" t="e">
        <f>VLOOKUP(E2432,[1]库存!$B$1:$C$65536,2,FALSE)</f>
        <v>#N/A</v>
      </c>
      <c r="G2432" s="59" t="e">
        <v>#N/A</v>
      </c>
      <c r="H2432" s="59" t="s">
        <v>3783</v>
      </c>
      <c r="I2432" s="59" t="s">
        <v>3778</v>
      </c>
      <c r="J2432" s="63"/>
      <c r="K2432" s="61"/>
      <c r="L2432" s="62">
        <v>0</v>
      </c>
      <c r="M2432" s="63">
        <v>0</v>
      </c>
      <c r="N2432" s="64">
        <v>0</v>
      </c>
      <c r="O2432" s="62">
        <v>0</v>
      </c>
      <c r="P2432" s="65">
        <f t="shared" si="163"/>
        <v>0</v>
      </c>
      <c r="Q2432" s="66"/>
      <c r="R2432" s="66"/>
      <c r="S2432" s="66"/>
      <c r="T2432" s="66"/>
      <c r="U2432" s="66"/>
      <c r="V2432" s="66"/>
      <c r="W2432" s="66"/>
      <c r="X2432" s="66"/>
      <c r="Y2432" s="66"/>
      <c r="Z2432" s="66"/>
      <c r="AA2432" s="66"/>
      <c r="AB2432" s="66"/>
      <c r="AC2432" s="66"/>
      <c r="AD2432" s="66"/>
      <c r="AE2432" s="66"/>
      <c r="AF2432" s="66"/>
      <c r="AG2432" s="66"/>
      <c r="AH2432" s="66"/>
      <c r="AI2432" s="66"/>
      <c r="AJ2432" s="66"/>
      <c r="AK2432" s="66"/>
      <c r="AL2432" s="66"/>
      <c r="AM2432" s="66"/>
      <c r="AN2432" s="66"/>
      <c r="AO2432" s="66"/>
      <c r="AP2432" s="66"/>
      <c r="AQ2432" s="66"/>
      <c r="AR2432" s="66"/>
      <c r="AS2432" s="66"/>
      <c r="AT2432" s="66"/>
      <c r="AU2432" s="66"/>
      <c r="AV2432" s="66"/>
      <c r="AW2432" s="66"/>
      <c r="AX2432" s="66"/>
      <c r="AY2432" s="66"/>
      <c r="AZ2432" s="66"/>
      <c r="BA2432" s="66"/>
      <c r="BB2432" s="66"/>
      <c r="BC2432" s="66"/>
      <c r="BD2432" s="66"/>
      <c r="BE2432" s="67"/>
      <c r="BF2432" s="67"/>
      <c r="BG2432" s="68"/>
      <c r="BI2432" s="69">
        <v>0</v>
      </c>
      <c r="BJ2432" s="70">
        <v>0</v>
      </c>
      <c r="BK2432" s="71">
        <v>0</v>
      </c>
      <c r="BL2432" s="71">
        <v>0</v>
      </c>
      <c r="BM2432" s="71">
        <v>0</v>
      </c>
      <c r="BN2432" s="72">
        <v>0</v>
      </c>
      <c r="BO2432" s="151" t="e">
        <f t="shared" si="159"/>
        <v>#DIV/0!</v>
      </c>
      <c r="BP2432" s="151" t="e">
        <f t="shared" si="160"/>
        <v>#DIV/0!</v>
      </c>
      <c r="BQ2432" s="71">
        <v>0</v>
      </c>
      <c r="BR2432" s="71">
        <v>0</v>
      </c>
      <c r="BS2432" s="71">
        <v>0</v>
      </c>
      <c r="BT2432" s="72">
        <v>0</v>
      </c>
      <c r="BU2432" s="151" t="e">
        <f t="shared" si="161"/>
        <v>#DIV/0!</v>
      </c>
      <c r="BV2432" s="151" t="e">
        <f t="shared" si="162"/>
        <v>#DIV/0!</v>
      </c>
    </row>
    <row r="2433" ht="30" customHeight="1" spans="1:74">
      <c r="A2433" s="55">
        <v>0</v>
      </c>
      <c r="B2433" s="56">
        <v>0</v>
      </c>
      <c r="C2433" s="57">
        <v>0</v>
      </c>
      <c r="D2433" s="74"/>
      <c r="E2433" s="74"/>
      <c r="F2433" s="59" t="e">
        <f>VLOOKUP(E2433,[1]库存!$B$1:$C$65536,2,FALSE)</f>
        <v>#N/A</v>
      </c>
      <c r="G2433" s="59" t="e">
        <v>#N/A</v>
      </c>
      <c r="H2433" s="74"/>
      <c r="I2433" s="74"/>
      <c r="J2433" s="87"/>
      <c r="K2433" s="61"/>
      <c r="L2433" s="62">
        <v>0</v>
      </c>
      <c r="M2433" s="63">
        <v>0</v>
      </c>
      <c r="N2433" s="64">
        <v>0</v>
      </c>
      <c r="O2433" s="62">
        <v>0</v>
      </c>
      <c r="P2433" s="65">
        <f t="shared" si="163"/>
        <v>0</v>
      </c>
      <c r="Q2433" s="66"/>
      <c r="R2433" s="66"/>
      <c r="S2433" s="66"/>
      <c r="T2433" s="66"/>
      <c r="U2433" s="66"/>
      <c r="V2433" s="66"/>
      <c r="W2433" s="66"/>
      <c r="X2433" s="66"/>
      <c r="Y2433" s="66"/>
      <c r="Z2433" s="66"/>
      <c r="AA2433" s="66"/>
      <c r="AB2433" s="66"/>
      <c r="AC2433" s="66"/>
      <c r="AD2433" s="66"/>
      <c r="AE2433" s="66"/>
      <c r="AF2433" s="66"/>
      <c r="AG2433" s="66"/>
      <c r="AH2433" s="66"/>
      <c r="AI2433" s="66"/>
      <c r="AJ2433" s="66"/>
      <c r="AK2433" s="66"/>
      <c r="AL2433" s="66"/>
      <c r="AM2433" s="66"/>
      <c r="AN2433" s="66"/>
      <c r="AO2433" s="66"/>
      <c r="AP2433" s="66"/>
      <c r="AQ2433" s="66"/>
      <c r="AR2433" s="66"/>
      <c r="AS2433" s="66"/>
      <c r="AT2433" s="66"/>
      <c r="AU2433" s="66"/>
      <c r="AV2433" s="66"/>
      <c r="AW2433" s="66"/>
      <c r="AX2433" s="66"/>
      <c r="AY2433" s="66"/>
      <c r="AZ2433" s="66"/>
      <c r="BA2433" s="66"/>
      <c r="BB2433" s="66"/>
      <c r="BC2433" s="66"/>
      <c r="BD2433" s="66"/>
      <c r="BE2433" s="67"/>
      <c r="BF2433" s="67"/>
      <c r="BG2433" s="68"/>
      <c r="BI2433" s="69">
        <v>0</v>
      </c>
      <c r="BJ2433" s="70">
        <v>0</v>
      </c>
      <c r="BK2433" s="71">
        <v>0</v>
      </c>
      <c r="BL2433" s="71">
        <v>0</v>
      </c>
      <c r="BM2433" s="71">
        <v>0</v>
      </c>
      <c r="BN2433" s="72">
        <v>0</v>
      </c>
      <c r="BO2433" s="151" t="e">
        <f t="shared" si="159"/>
        <v>#DIV/0!</v>
      </c>
      <c r="BP2433" s="151" t="e">
        <f t="shared" si="160"/>
        <v>#DIV/0!</v>
      </c>
      <c r="BQ2433" s="71">
        <v>0</v>
      </c>
      <c r="BR2433" s="71">
        <v>0</v>
      </c>
      <c r="BS2433" s="71">
        <v>0</v>
      </c>
      <c r="BT2433" s="72">
        <v>0</v>
      </c>
      <c r="BU2433" s="151" t="e">
        <f t="shared" si="161"/>
        <v>#DIV/0!</v>
      </c>
      <c r="BV2433" s="151" t="e">
        <f t="shared" si="162"/>
        <v>#DIV/0!</v>
      </c>
    </row>
    <row r="2434" ht="30" customHeight="1" spans="1:74">
      <c r="A2434" s="55">
        <v>0</v>
      </c>
      <c r="B2434" s="56" t="s">
        <v>1237</v>
      </c>
      <c r="C2434" s="57" t="s">
        <v>3226</v>
      </c>
      <c r="D2434" s="59" t="s">
        <v>3753</v>
      </c>
      <c r="E2434" s="59"/>
      <c r="F2434" s="59" t="e">
        <f>VLOOKUP(E2434,[1]库存!$B$1:$C$65536,2,FALSE)</f>
        <v>#N/A</v>
      </c>
      <c r="G2434" s="59" t="e">
        <v>#N/A</v>
      </c>
      <c r="H2434" s="59" t="s">
        <v>3784</v>
      </c>
      <c r="I2434" s="59" t="s">
        <v>3780</v>
      </c>
      <c r="J2434" s="63"/>
      <c r="K2434" s="61"/>
      <c r="L2434" s="62">
        <v>0</v>
      </c>
      <c r="M2434" s="63">
        <v>0</v>
      </c>
      <c r="N2434" s="64">
        <v>0</v>
      </c>
      <c r="O2434" s="62">
        <v>0</v>
      </c>
      <c r="P2434" s="65">
        <f t="shared" si="163"/>
        <v>0</v>
      </c>
      <c r="Q2434" s="66"/>
      <c r="R2434" s="66"/>
      <c r="S2434" s="66"/>
      <c r="T2434" s="66"/>
      <c r="U2434" s="66"/>
      <c r="V2434" s="66"/>
      <c r="W2434" s="66"/>
      <c r="X2434" s="66"/>
      <c r="Y2434" s="66"/>
      <c r="Z2434" s="66"/>
      <c r="AA2434" s="66"/>
      <c r="AB2434" s="66"/>
      <c r="AC2434" s="66"/>
      <c r="AD2434" s="66"/>
      <c r="AE2434" s="66"/>
      <c r="AF2434" s="66"/>
      <c r="AG2434" s="66"/>
      <c r="AH2434" s="66"/>
      <c r="AI2434" s="66"/>
      <c r="AJ2434" s="66"/>
      <c r="AK2434" s="66"/>
      <c r="AL2434" s="66"/>
      <c r="AM2434" s="66"/>
      <c r="AN2434" s="66"/>
      <c r="AO2434" s="66"/>
      <c r="AP2434" s="66"/>
      <c r="AQ2434" s="66"/>
      <c r="AR2434" s="66"/>
      <c r="AS2434" s="66"/>
      <c r="AT2434" s="66"/>
      <c r="AU2434" s="66"/>
      <c r="AV2434" s="66"/>
      <c r="AW2434" s="66"/>
      <c r="AX2434" s="66"/>
      <c r="AY2434" s="66"/>
      <c r="AZ2434" s="66"/>
      <c r="BA2434" s="66"/>
      <c r="BB2434" s="66"/>
      <c r="BC2434" s="66"/>
      <c r="BD2434" s="66"/>
      <c r="BE2434" s="67"/>
      <c r="BF2434" s="67"/>
      <c r="BG2434" s="68"/>
      <c r="BI2434" s="69">
        <v>0</v>
      </c>
      <c r="BJ2434" s="70">
        <v>0</v>
      </c>
      <c r="BK2434" s="71">
        <v>0</v>
      </c>
      <c r="BL2434" s="71">
        <v>0</v>
      </c>
      <c r="BM2434" s="71">
        <v>0</v>
      </c>
      <c r="BN2434" s="72">
        <v>0</v>
      </c>
      <c r="BO2434" s="151" t="e">
        <f t="shared" ref="BO2434:BO2497" si="164">(BK2434+BL2434)/BJ2434</f>
        <v>#DIV/0!</v>
      </c>
      <c r="BP2434" s="151" t="e">
        <f t="shared" ref="BP2434:BP2497" si="165">BM2434/BJ2434</f>
        <v>#DIV/0!</v>
      </c>
      <c r="BQ2434" s="71">
        <v>0</v>
      </c>
      <c r="BR2434" s="71">
        <v>0</v>
      </c>
      <c r="BS2434" s="71">
        <v>0</v>
      </c>
      <c r="BT2434" s="72">
        <v>0</v>
      </c>
      <c r="BU2434" s="151" t="e">
        <f t="shared" si="161"/>
        <v>#DIV/0!</v>
      </c>
      <c r="BV2434" s="151" t="e">
        <f t="shared" si="162"/>
        <v>#DIV/0!</v>
      </c>
    </row>
    <row r="2435" ht="30" customHeight="1" spans="1:74">
      <c r="A2435" s="55">
        <v>0</v>
      </c>
      <c r="B2435" s="56">
        <v>0</v>
      </c>
      <c r="C2435" s="57">
        <v>0</v>
      </c>
      <c r="D2435" s="74"/>
      <c r="E2435" s="74"/>
      <c r="F2435" s="59" t="e">
        <f>VLOOKUP(E2435,[1]库存!$B$1:$C$65536,2,FALSE)</f>
        <v>#N/A</v>
      </c>
      <c r="G2435" s="59" t="e">
        <v>#N/A</v>
      </c>
      <c r="H2435" s="74"/>
      <c r="I2435" s="74"/>
      <c r="J2435" s="87"/>
      <c r="K2435" s="61"/>
      <c r="L2435" s="62">
        <v>0</v>
      </c>
      <c r="M2435" s="63">
        <v>0</v>
      </c>
      <c r="N2435" s="64">
        <v>0</v>
      </c>
      <c r="O2435" s="62">
        <v>0</v>
      </c>
      <c r="P2435" s="65">
        <f t="shared" si="163"/>
        <v>0</v>
      </c>
      <c r="Q2435" s="66"/>
      <c r="R2435" s="66"/>
      <c r="S2435" s="66"/>
      <c r="T2435" s="66"/>
      <c r="U2435" s="66"/>
      <c r="V2435" s="66"/>
      <c r="W2435" s="66"/>
      <c r="X2435" s="66"/>
      <c r="Y2435" s="66"/>
      <c r="Z2435" s="66"/>
      <c r="AA2435" s="66"/>
      <c r="AB2435" s="66"/>
      <c r="AC2435" s="66"/>
      <c r="AD2435" s="66"/>
      <c r="AE2435" s="66"/>
      <c r="AF2435" s="66"/>
      <c r="AG2435" s="66"/>
      <c r="AH2435" s="66"/>
      <c r="AI2435" s="66"/>
      <c r="AJ2435" s="66"/>
      <c r="AK2435" s="66"/>
      <c r="AL2435" s="66"/>
      <c r="AM2435" s="66"/>
      <c r="AN2435" s="66"/>
      <c r="AO2435" s="66"/>
      <c r="AP2435" s="66"/>
      <c r="AQ2435" s="66"/>
      <c r="AR2435" s="66"/>
      <c r="AS2435" s="66"/>
      <c r="AT2435" s="66"/>
      <c r="AU2435" s="66"/>
      <c r="AV2435" s="66"/>
      <c r="AW2435" s="66"/>
      <c r="AX2435" s="66"/>
      <c r="AY2435" s="66"/>
      <c r="AZ2435" s="66"/>
      <c r="BA2435" s="66"/>
      <c r="BB2435" s="66"/>
      <c r="BC2435" s="66"/>
      <c r="BD2435" s="66"/>
      <c r="BE2435" s="67"/>
      <c r="BF2435" s="67"/>
      <c r="BG2435" s="68"/>
      <c r="BI2435" s="69">
        <v>0</v>
      </c>
      <c r="BJ2435" s="70">
        <v>0</v>
      </c>
      <c r="BK2435" s="71">
        <v>0</v>
      </c>
      <c r="BL2435" s="71">
        <v>0</v>
      </c>
      <c r="BM2435" s="71">
        <v>0</v>
      </c>
      <c r="BN2435" s="72">
        <v>0</v>
      </c>
      <c r="BO2435" s="151" t="e">
        <f t="shared" si="164"/>
        <v>#DIV/0!</v>
      </c>
      <c r="BP2435" s="151" t="e">
        <f t="shared" si="165"/>
        <v>#DIV/0!</v>
      </c>
      <c r="BQ2435" s="71">
        <v>0</v>
      </c>
      <c r="BR2435" s="71">
        <v>0</v>
      </c>
      <c r="BS2435" s="71">
        <v>0</v>
      </c>
      <c r="BT2435" s="72">
        <v>0</v>
      </c>
      <c r="BU2435" s="151" t="e">
        <f t="shared" si="161"/>
        <v>#DIV/0!</v>
      </c>
      <c r="BV2435" s="151" t="e">
        <f t="shared" si="162"/>
        <v>#DIV/0!</v>
      </c>
    </row>
    <row r="2436" ht="30" customHeight="1" spans="1:74">
      <c r="A2436" s="55">
        <v>0</v>
      </c>
      <c r="B2436" s="56" t="s">
        <v>1237</v>
      </c>
      <c r="C2436" s="57" t="s">
        <v>3226</v>
      </c>
      <c r="D2436" s="59" t="s">
        <v>3753</v>
      </c>
      <c r="E2436" s="59"/>
      <c r="F2436" s="59" t="e">
        <f>VLOOKUP(E2436,[1]库存!$B$1:$C$65536,2,FALSE)</f>
        <v>#N/A</v>
      </c>
      <c r="G2436" s="59" t="e">
        <v>#N/A</v>
      </c>
      <c r="H2436" s="59" t="s">
        <v>3785</v>
      </c>
      <c r="I2436" s="59" t="s">
        <v>3782</v>
      </c>
      <c r="J2436" s="63"/>
      <c r="K2436" s="61"/>
      <c r="L2436" s="62">
        <v>0</v>
      </c>
      <c r="M2436" s="63">
        <v>0</v>
      </c>
      <c r="N2436" s="64">
        <v>0</v>
      </c>
      <c r="O2436" s="62">
        <v>0</v>
      </c>
      <c r="P2436" s="65">
        <f t="shared" si="163"/>
        <v>0</v>
      </c>
      <c r="Q2436" s="66"/>
      <c r="R2436" s="66"/>
      <c r="S2436" s="66"/>
      <c r="T2436" s="66"/>
      <c r="U2436" s="66"/>
      <c r="V2436" s="66"/>
      <c r="W2436" s="66"/>
      <c r="X2436" s="66"/>
      <c r="Y2436" s="66"/>
      <c r="Z2436" s="66"/>
      <c r="AA2436" s="66"/>
      <c r="AB2436" s="66"/>
      <c r="AC2436" s="66"/>
      <c r="AD2436" s="66"/>
      <c r="AE2436" s="66"/>
      <c r="AF2436" s="66"/>
      <c r="AG2436" s="66"/>
      <c r="AH2436" s="66"/>
      <c r="AI2436" s="66"/>
      <c r="AJ2436" s="66"/>
      <c r="AK2436" s="66"/>
      <c r="AL2436" s="66"/>
      <c r="AM2436" s="66"/>
      <c r="AN2436" s="66"/>
      <c r="AO2436" s="66"/>
      <c r="AP2436" s="66"/>
      <c r="AQ2436" s="66"/>
      <c r="AR2436" s="66"/>
      <c r="AS2436" s="66"/>
      <c r="AT2436" s="66"/>
      <c r="AU2436" s="66"/>
      <c r="AV2436" s="66"/>
      <c r="AW2436" s="66"/>
      <c r="AX2436" s="66"/>
      <c r="AY2436" s="66"/>
      <c r="AZ2436" s="66"/>
      <c r="BA2436" s="66"/>
      <c r="BB2436" s="66"/>
      <c r="BC2436" s="66"/>
      <c r="BD2436" s="66"/>
      <c r="BE2436" s="67"/>
      <c r="BF2436" s="67"/>
      <c r="BG2436" s="68"/>
      <c r="BI2436" s="69">
        <v>0</v>
      </c>
      <c r="BJ2436" s="70">
        <v>0</v>
      </c>
      <c r="BK2436" s="71">
        <v>0</v>
      </c>
      <c r="BL2436" s="71">
        <v>0</v>
      </c>
      <c r="BM2436" s="71">
        <v>0</v>
      </c>
      <c r="BN2436" s="72">
        <v>0</v>
      </c>
      <c r="BO2436" s="151" t="e">
        <f t="shared" si="164"/>
        <v>#DIV/0!</v>
      </c>
      <c r="BP2436" s="151" t="e">
        <f t="shared" si="165"/>
        <v>#DIV/0!</v>
      </c>
      <c r="BQ2436" s="71">
        <v>0</v>
      </c>
      <c r="BR2436" s="71">
        <v>0</v>
      </c>
      <c r="BS2436" s="71">
        <v>0</v>
      </c>
      <c r="BT2436" s="72">
        <v>0</v>
      </c>
      <c r="BU2436" s="151" t="e">
        <f t="shared" ref="BU2436:BU2499" si="166">(BQ2436+BR2436)/BJ2436</f>
        <v>#DIV/0!</v>
      </c>
      <c r="BV2436" s="151" t="e">
        <f t="shared" ref="BV2436:BV2499" si="167">BS2436/BJ2436</f>
        <v>#DIV/0!</v>
      </c>
    </row>
    <row r="2437" ht="30" customHeight="1" spans="1:74">
      <c r="A2437" s="55">
        <v>0</v>
      </c>
      <c r="B2437" s="56">
        <v>0</v>
      </c>
      <c r="C2437" s="57">
        <v>0</v>
      </c>
      <c r="D2437" s="74"/>
      <c r="E2437" s="74"/>
      <c r="F2437" s="59" t="e">
        <f>VLOOKUP(E2437,[1]库存!$B$1:$C$65536,2,FALSE)</f>
        <v>#N/A</v>
      </c>
      <c r="G2437" s="59" t="e">
        <v>#N/A</v>
      </c>
      <c r="H2437" s="74"/>
      <c r="I2437" s="74"/>
      <c r="J2437" s="87"/>
      <c r="K2437" s="61"/>
      <c r="L2437" s="62">
        <v>0</v>
      </c>
      <c r="M2437" s="63">
        <v>0</v>
      </c>
      <c r="N2437" s="64">
        <v>0</v>
      </c>
      <c r="O2437" s="62">
        <v>0</v>
      </c>
      <c r="P2437" s="65">
        <f t="shared" si="163"/>
        <v>0</v>
      </c>
      <c r="Q2437" s="66"/>
      <c r="R2437" s="66"/>
      <c r="S2437" s="66"/>
      <c r="T2437" s="66"/>
      <c r="U2437" s="66"/>
      <c r="V2437" s="66"/>
      <c r="W2437" s="66"/>
      <c r="X2437" s="66"/>
      <c r="Y2437" s="66"/>
      <c r="Z2437" s="66"/>
      <c r="AA2437" s="66"/>
      <c r="AB2437" s="66"/>
      <c r="AC2437" s="66"/>
      <c r="AD2437" s="66"/>
      <c r="AE2437" s="66"/>
      <c r="AF2437" s="66"/>
      <c r="AG2437" s="66"/>
      <c r="AH2437" s="66"/>
      <c r="AI2437" s="66"/>
      <c r="AJ2437" s="66"/>
      <c r="AK2437" s="66"/>
      <c r="AL2437" s="66"/>
      <c r="AM2437" s="66"/>
      <c r="AN2437" s="66"/>
      <c r="AO2437" s="66"/>
      <c r="AP2437" s="66"/>
      <c r="AQ2437" s="66"/>
      <c r="AR2437" s="66"/>
      <c r="AS2437" s="66"/>
      <c r="AT2437" s="66"/>
      <c r="AU2437" s="66"/>
      <c r="AV2437" s="66"/>
      <c r="AW2437" s="66"/>
      <c r="AX2437" s="66"/>
      <c r="AY2437" s="66"/>
      <c r="AZ2437" s="66"/>
      <c r="BA2437" s="66"/>
      <c r="BB2437" s="66"/>
      <c r="BC2437" s="66"/>
      <c r="BD2437" s="66"/>
      <c r="BE2437" s="67"/>
      <c r="BF2437" s="67"/>
      <c r="BG2437" s="68"/>
      <c r="BI2437" s="69">
        <v>0</v>
      </c>
      <c r="BJ2437" s="70">
        <v>0</v>
      </c>
      <c r="BK2437" s="71">
        <v>0</v>
      </c>
      <c r="BL2437" s="71">
        <v>0</v>
      </c>
      <c r="BM2437" s="71">
        <v>0</v>
      </c>
      <c r="BN2437" s="72">
        <v>0</v>
      </c>
      <c r="BO2437" s="151" t="e">
        <f t="shared" si="164"/>
        <v>#DIV/0!</v>
      </c>
      <c r="BP2437" s="151" t="e">
        <f t="shared" si="165"/>
        <v>#DIV/0!</v>
      </c>
      <c r="BQ2437" s="71">
        <v>0</v>
      </c>
      <c r="BR2437" s="71">
        <v>0</v>
      </c>
      <c r="BS2437" s="71">
        <v>0</v>
      </c>
      <c r="BT2437" s="72">
        <v>0</v>
      </c>
      <c r="BU2437" s="151" t="e">
        <f t="shared" si="166"/>
        <v>#DIV/0!</v>
      </c>
      <c r="BV2437" s="151" t="e">
        <f t="shared" si="167"/>
        <v>#DIV/0!</v>
      </c>
    </row>
    <row r="2438" ht="30" customHeight="1" spans="1:74">
      <c r="A2438" s="55">
        <v>0</v>
      </c>
      <c r="B2438" s="56" t="s">
        <v>1237</v>
      </c>
      <c r="C2438" s="57" t="s">
        <v>3341</v>
      </c>
      <c r="D2438" s="59" t="s">
        <v>3724</v>
      </c>
      <c r="E2438" s="59" t="s">
        <v>3786</v>
      </c>
      <c r="F2438" s="59" t="str">
        <f>VLOOKUP(E2438,[1]库存!$B$1:$C$65536,2,FALSE)</f>
        <v>NL-3RA CAB导气袋</v>
      </c>
      <c r="G2438" s="59" t="s">
        <v>3787</v>
      </c>
      <c r="H2438" s="59" t="s">
        <v>3788</v>
      </c>
      <c r="I2438" s="59"/>
      <c r="J2438" s="63"/>
      <c r="K2438" s="61"/>
      <c r="L2438" s="62">
        <v>0.7</v>
      </c>
      <c r="M2438" s="63">
        <v>1000</v>
      </c>
      <c r="N2438" s="64">
        <v>3</v>
      </c>
      <c r="O2438" s="62">
        <v>0.7</v>
      </c>
      <c r="P2438" s="65">
        <f t="shared" ref="P2438:P2501" si="168">SUM(AG2438:AJ2438)</f>
        <v>0</v>
      </c>
      <c r="Q2438" s="66"/>
      <c r="R2438" s="66"/>
      <c r="S2438" s="66"/>
      <c r="T2438" s="66"/>
      <c r="U2438" s="66"/>
      <c r="V2438" s="66"/>
      <c r="W2438" s="66"/>
      <c r="X2438" s="66"/>
      <c r="Y2438" s="66"/>
      <c r="Z2438" s="66"/>
      <c r="AA2438" s="66"/>
      <c r="AB2438" s="66"/>
      <c r="AC2438" s="66"/>
      <c r="AD2438" s="66"/>
      <c r="AE2438" s="66"/>
      <c r="AF2438" s="66"/>
      <c r="AG2438" s="66"/>
      <c r="AH2438" s="66"/>
      <c r="AI2438" s="66"/>
      <c r="AJ2438" s="66"/>
      <c r="AK2438" s="66"/>
      <c r="AL2438" s="66"/>
      <c r="AM2438" s="66"/>
      <c r="AN2438" s="66"/>
      <c r="AO2438" s="66"/>
      <c r="AP2438" s="66"/>
      <c r="AQ2438" s="66"/>
      <c r="AR2438" s="66"/>
      <c r="AS2438" s="66"/>
      <c r="AT2438" s="66"/>
      <c r="AU2438" s="66"/>
      <c r="AV2438" s="66"/>
      <c r="AW2438" s="66"/>
      <c r="AX2438" s="66"/>
      <c r="AY2438" s="66"/>
      <c r="AZ2438" s="66"/>
      <c r="BA2438" s="66"/>
      <c r="BB2438" s="66"/>
      <c r="BC2438" s="66"/>
      <c r="BD2438" s="66"/>
      <c r="BE2438" s="67"/>
      <c r="BF2438" s="67"/>
      <c r="BG2438" s="68"/>
      <c r="BI2438" s="69">
        <v>0</v>
      </c>
      <c r="BJ2438" s="70">
        <v>0</v>
      </c>
      <c r="BK2438" s="71">
        <v>0</v>
      </c>
      <c r="BL2438" s="71">
        <v>0</v>
      </c>
      <c r="BM2438" s="71">
        <v>0</v>
      </c>
      <c r="BN2438" s="72">
        <v>0</v>
      </c>
      <c r="BO2438" s="151" t="e">
        <f t="shared" si="164"/>
        <v>#DIV/0!</v>
      </c>
      <c r="BP2438" s="151" t="e">
        <f t="shared" si="165"/>
        <v>#DIV/0!</v>
      </c>
      <c r="BQ2438" s="71">
        <v>0</v>
      </c>
      <c r="BR2438" s="71">
        <v>0</v>
      </c>
      <c r="BS2438" s="71">
        <v>0</v>
      </c>
      <c r="BT2438" s="72">
        <v>0</v>
      </c>
      <c r="BU2438" s="151" t="e">
        <f t="shared" si="166"/>
        <v>#DIV/0!</v>
      </c>
      <c r="BV2438" s="151" t="e">
        <f t="shared" si="167"/>
        <v>#DIV/0!</v>
      </c>
    </row>
    <row r="2439" ht="30" customHeight="1" spans="1:74">
      <c r="A2439" s="55">
        <v>0</v>
      </c>
      <c r="B2439" s="56">
        <v>0</v>
      </c>
      <c r="C2439" s="57">
        <v>0</v>
      </c>
      <c r="D2439" s="74"/>
      <c r="E2439" s="74"/>
      <c r="F2439" s="59" t="e">
        <f>VLOOKUP(E2439,[1]库存!$B$1:$C$65536,2,FALSE)</f>
        <v>#N/A</v>
      </c>
      <c r="G2439" s="59" t="e">
        <v>#N/A</v>
      </c>
      <c r="H2439" s="74"/>
      <c r="I2439" s="74"/>
      <c r="J2439" s="87"/>
      <c r="K2439" s="61"/>
      <c r="L2439" s="62">
        <v>0</v>
      </c>
      <c r="M2439" s="63">
        <v>0</v>
      </c>
      <c r="N2439" s="64">
        <v>0</v>
      </c>
      <c r="O2439" s="62">
        <v>0</v>
      </c>
      <c r="P2439" s="65">
        <f t="shared" si="168"/>
        <v>0</v>
      </c>
      <c r="Q2439" s="66"/>
      <c r="R2439" s="66"/>
      <c r="S2439" s="66"/>
      <c r="T2439" s="66"/>
      <c r="U2439" s="66"/>
      <c r="V2439" s="66"/>
      <c r="W2439" s="66"/>
      <c r="X2439" s="66"/>
      <c r="Y2439" s="66"/>
      <c r="Z2439" s="66"/>
      <c r="AA2439" s="66"/>
      <c r="AB2439" s="66"/>
      <c r="AC2439" s="66"/>
      <c r="AD2439" s="66"/>
      <c r="AE2439" s="66"/>
      <c r="AF2439" s="66"/>
      <c r="AG2439" s="66"/>
      <c r="AH2439" s="66"/>
      <c r="AI2439" s="66"/>
      <c r="AJ2439" s="66"/>
      <c r="AK2439" s="66"/>
      <c r="AL2439" s="66"/>
      <c r="AM2439" s="66"/>
      <c r="AN2439" s="66"/>
      <c r="AO2439" s="66"/>
      <c r="AP2439" s="66"/>
      <c r="AQ2439" s="66"/>
      <c r="AR2439" s="66"/>
      <c r="AS2439" s="66"/>
      <c r="AT2439" s="66"/>
      <c r="AU2439" s="66"/>
      <c r="AV2439" s="66"/>
      <c r="AW2439" s="66"/>
      <c r="AX2439" s="66"/>
      <c r="AY2439" s="66"/>
      <c r="AZ2439" s="66"/>
      <c r="BA2439" s="66"/>
      <c r="BB2439" s="66"/>
      <c r="BC2439" s="66"/>
      <c r="BD2439" s="66"/>
      <c r="BE2439" s="67"/>
      <c r="BF2439" s="67"/>
      <c r="BG2439" s="68"/>
      <c r="BI2439" s="69">
        <v>0</v>
      </c>
      <c r="BJ2439" s="70">
        <v>0</v>
      </c>
      <c r="BK2439" s="71">
        <v>0</v>
      </c>
      <c r="BL2439" s="71">
        <v>0</v>
      </c>
      <c r="BM2439" s="71">
        <v>0</v>
      </c>
      <c r="BN2439" s="72">
        <v>0</v>
      </c>
      <c r="BO2439" s="151" t="e">
        <f t="shared" si="164"/>
        <v>#DIV/0!</v>
      </c>
      <c r="BP2439" s="151" t="e">
        <f t="shared" si="165"/>
        <v>#DIV/0!</v>
      </c>
      <c r="BQ2439" s="71">
        <v>0</v>
      </c>
      <c r="BR2439" s="71">
        <v>0</v>
      </c>
      <c r="BS2439" s="71">
        <v>0</v>
      </c>
      <c r="BT2439" s="72">
        <v>0</v>
      </c>
      <c r="BU2439" s="151" t="e">
        <f t="shared" si="166"/>
        <v>#DIV/0!</v>
      </c>
      <c r="BV2439" s="151" t="e">
        <f t="shared" si="167"/>
        <v>#DIV/0!</v>
      </c>
    </row>
    <row r="2440" ht="30" customHeight="1" spans="1:74">
      <c r="A2440" s="55">
        <v>0</v>
      </c>
      <c r="B2440" s="56" t="s">
        <v>1237</v>
      </c>
      <c r="C2440" s="57" t="s">
        <v>3341</v>
      </c>
      <c r="D2440" s="113" t="s">
        <v>3227</v>
      </c>
      <c r="E2440" s="59" t="s">
        <v>3789</v>
      </c>
      <c r="F2440" s="59" t="str">
        <f>VLOOKUP(E2440,[1]库存!$B$1:$C$65536,2,FALSE)</f>
        <v>NL-3RA CAB拉带</v>
      </c>
      <c r="G2440" s="59" t="s">
        <v>3790</v>
      </c>
      <c r="H2440" s="59" t="s">
        <v>3791</v>
      </c>
      <c r="I2440" s="59"/>
      <c r="J2440" s="63"/>
      <c r="K2440" s="61"/>
      <c r="L2440" s="62">
        <v>0</v>
      </c>
      <c r="M2440" s="63">
        <v>800</v>
      </c>
      <c r="N2440" s="64">
        <v>1.5</v>
      </c>
      <c r="O2440" s="62">
        <v>0</v>
      </c>
      <c r="P2440" s="65">
        <f t="shared" si="168"/>
        <v>0</v>
      </c>
      <c r="Q2440" s="66"/>
      <c r="R2440" s="66"/>
      <c r="S2440" s="66"/>
      <c r="T2440" s="66"/>
      <c r="U2440" s="66"/>
      <c r="V2440" s="66"/>
      <c r="W2440" s="66"/>
      <c r="X2440" s="66"/>
      <c r="Y2440" s="66"/>
      <c r="Z2440" s="66"/>
      <c r="AA2440" s="66"/>
      <c r="AB2440" s="66"/>
      <c r="AC2440" s="66"/>
      <c r="AD2440" s="66"/>
      <c r="AE2440" s="66"/>
      <c r="AF2440" s="66"/>
      <c r="AG2440" s="66"/>
      <c r="AH2440" s="66"/>
      <c r="AI2440" s="66"/>
      <c r="AJ2440" s="66"/>
      <c r="AK2440" s="66"/>
      <c r="AL2440" s="66"/>
      <c r="AM2440" s="66"/>
      <c r="AN2440" s="66"/>
      <c r="AO2440" s="66"/>
      <c r="AP2440" s="66"/>
      <c r="AQ2440" s="66"/>
      <c r="AR2440" s="66"/>
      <c r="AS2440" s="66"/>
      <c r="AT2440" s="66"/>
      <c r="AU2440" s="66"/>
      <c r="AV2440" s="66"/>
      <c r="AW2440" s="66"/>
      <c r="AX2440" s="66"/>
      <c r="AY2440" s="66"/>
      <c r="AZ2440" s="66"/>
      <c r="BA2440" s="66"/>
      <c r="BB2440" s="66"/>
      <c r="BC2440" s="66"/>
      <c r="BD2440" s="66"/>
      <c r="BE2440" s="67"/>
      <c r="BF2440" s="67"/>
      <c r="BG2440" s="68"/>
      <c r="BI2440" s="69">
        <v>0</v>
      </c>
      <c r="BJ2440" s="70">
        <v>0</v>
      </c>
      <c r="BK2440" s="71">
        <v>0</v>
      </c>
      <c r="BL2440" s="71">
        <v>0</v>
      </c>
      <c r="BM2440" s="71">
        <v>0</v>
      </c>
      <c r="BN2440" s="72">
        <v>0</v>
      </c>
      <c r="BO2440" s="151" t="e">
        <f t="shared" si="164"/>
        <v>#DIV/0!</v>
      </c>
      <c r="BP2440" s="151" t="e">
        <f t="shared" si="165"/>
        <v>#DIV/0!</v>
      </c>
      <c r="BQ2440" s="71">
        <v>0</v>
      </c>
      <c r="BR2440" s="71">
        <v>0</v>
      </c>
      <c r="BS2440" s="71">
        <v>0</v>
      </c>
      <c r="BT2440" s="72">
        <v>0</v>
      </c>
      <c r="BU2440" s="151" t="e">
        <f t="shared" si="166"/>
        <v>#DIV/0!</v>
      </c>
      <c r="BV2440" s="151" t="e">
        <f t="shared" si="167"/>
        <v>#DIV/0!</v>
      </c>
    </row>
    <row r="2441" ht="30" customHeight="1" spans="1:74">
      <c r="A2441" s="55">
        <v>0</v>
      </c>
      <c r="B2441" s="56">
        <v>0</v>
      </c>
      <c r="C2441" s="57">
        <v>0</v>
      </c>
      <c r="D2441" s="127"/>
      <c r="E2441" s="74"/>
      <c r="F2441" s="59" t="e">
        <f>VLOOKUP(E2441,[1]库存!$B$1:$C$65536,2,FALSE)</f>
        <v>#N/A</v>
      </c>
      <c r="G2441" s="59" t="e">
        <v>#N/A</v>
      </c>
      <c r="H2441" s="74"/>
      <c r="I2441" s="74"/>
      <c r="J2441" s="87"/>
      <c r="K2441" s="61"/>
      <c r="L2441" s="62">
        <v>0</v>
      </c>
      <c r="M2441" s="63">
        <v>0</v>
      </c>
      <c r="N2441" s="64">
        <v>0</v>
      </c>
      <c r="O2441" s="62">
        <v>0</v>
      </c>
      <c r="P2441" s="65">
        <f t="shared" si="168"/>
        <v>0</v>
      </c>
      <c r="Q2441" s="66"/>
      <c r="R2441" s="66"/>
      <c r="S2441" s="66"/>
      <c r="T2441" s="66"/>
      <c r="U2441" s="66"/>
      <c r="V2441" s="66"/>
      <c r="W2441" s="66"/>
      <c r="X2441" s="66"/>
      <c r="Y2441" s="66"/>
      <c r="Z2441" s="66"/>
      <c r="AA2441" s="66"/>
      <c r="AB2441" s="66"/>
      <c r="AC2441" s="66"/>
      <c r="AD2441" s="66"/>
      <c r="AE2441" s="66"/>
      <c r="AF2441" s="66"/>
      <c r="AG2441" s="66"/>
      <c r="AH2441" s="66"/>
      <c r="AI2441" s="66"/>
      <c r="AJ2441" s="66"/>
      <c r="AK2441" s="66"/>
      <c r="AL2441" s="66"/>
      <c r="AM2441" s="66"/>
      <c r="AN2441" s="66"/>
      <c r="AO2441" s="66"/>
      <c r="AP2441" s="66"/>
      <c r="AQ2441" s="66"/>
      <c r="AR2441" s="66"/>
      <c r="AS2441" s="66"/>
      <c r="AT2441" s="66"/>
      <c r="AU2441" s="66"/>
      <c r="AV2441" s="66"/>
      <c r="AW2441" s="66"/>
      <c r="AX2441" s="66"/>
      <c r="AY2441" s="66"/>
      <c r="AZ2441" s="66"/>
      <c r="BA2441" s="66"/>
      <c r="BB2441" s="66"/>
      <c r="BC2441" s="66"/>
      <c r="BD2441" s="66"/>
      <c r="BE2441" s="67"/>
      <c r="BF2441" s="67"/>
      <c r="BG2441" s="68"/>
      <c r="BI2441" s="69">
        <v>0</v>
      </c>
      <c r="BJ2441" s="70">
        <v>0</v>
      </c>
      <c r="BK2441" s="71">
        <v>0</v>
      </c>
      <c r="BL2441" s="71">
        <v>0</v>
      </c>
      <c r="BM2441" s="71">
        <v>0</v>
      </c>
      <c r="BN2441" s="72">
        <v>0</v>
      </c>
      <c r="BO2441" s="151" t="e">
        <f t="shared" si="164"/>
        <v>#DIV/0!</v>
      </c>
      <c r="BP2441" s="151" t="e">
        <f t="shared" si="165"/>
        <v>#DIV/0!</v>
      </c>
      <c r="BQ2441" s="71">
        <v>0</v>
      </c>
      <c r="BR2441" s="71">
        <v>0</v>
      </c>
      <c r="BS2441" s="71">
        <v>0</v>
      </c>
      <c r="BT2441" s="72">
        <v>0</v>
      </c>
      <c r="BU2441" s="151" t="e">
        <f t="shared" si="166"/>
        <v>#DIV/0!</v>
      </c>
      <c r="BV2441" s="151" t="e">
        <f t="shared" si="167"/>
        <v>#DIV/0!</v>
      </c>
    </row>
    <row r="2442" ht="30" customHeight="1" spans="1:74">
      <c r="A2442" s="55" t="s">
        <v>41</v>
      </c>
      <c r="B2442" s="56" t="s">
        <v>1237</v>
      </c>
      <c r="C2442" s="57" t="s">
        <v>3341</v>
      </c>
      <c r="D2442" s="59" t="s">
        <v>3753</v>
      </c>
      <c r="E2442" s="59" t="s">
        <v>3792</v>
      </c>
      <c r="F2442" s="59" t="str">
        <f>VLOOKUP(E2442,[1]库存!$B$1:$C$65536,2,FALSE)</f>
        <v>GEELY NL-3RA CAB LH</v>
      </c>
      <c r="G2442" s="59" t="s">
        <v>3793</v>
      </c>
      <c r="H2442" s="59" t="s">
        <v>3794</v>
      </c>
      <c r="I2442" s="59" t="s">
        <v>3795</v>
      </c>
      <c r="J2442" s="63"/>
      <c r="K2442" s="61"/>
      <c r="L2442" s="62">
        <v>1</v>
      </c>
      <c r="M2442" s="63">
        <v>400</v>
      </c>
      <c r="N2442" s="64">
        <v>3.5</v>
      </c>
      <c r="O2442" s="62">
        <v>1</v>
      </c>
      <c r="P2442" s="65">
        <f t="shared" si="168"/>
        <v>0</v>
      </c>
      <c r="Q2442" s="66"/>
      <c r="R2442" s="66"/>
      <c r="S2442" s="66"/>
      <c r="T2442" s="66"/>
      <c r="U2442" s="66"/>
      <c r="V2442" s="66"/>
      <c r="W2442" s="66"/>
      <c r="X2442" s="66"/>
      <c r="Y2442" s="66"/>
      <c r="Z2442" s="66"/>
      <c r="AA2442" s="66"/>
      <c r="AB2442" s="66"/>
      <c r="AC2442" s="66"/>
      <c r="AD2442" s="66"/>
      <c r="AE2442" s="66"/>
      <c r="AF2442" s="66"/>
      <c r="AG2442" s="66"/>
      <c r="AH2442" s="66"/>
      <c r="AI2442" s="66"/>
      <c r="AJ2442" s="66"/>
      <c r="AK2442" s="66"/>
      <c r="AL2442" s="66"/>
      <c r="AM2442" s="66"/>
      <c r="AN2442" s="66"/>
      <c r="AO2442" s="66"/>
      <c r="AP2442" s="66"/>
      <c r="AQ2442" s="66"/>
      <c r="AR2442" s="66"/>
      <c r="AS2442" s="66"/>
      <c r="AT2442" s="66"/>
      <c r="AU2442" s="66"/>
      <c r="AV2442" s="66"/>
      <c r="AW2442" s="66"/>
      <c r="AX2442" s="66"/>
      <c r="AY2442" s="66"/>
      <c r="AZ2442" s="66"/>
      <c r="BA2442" s="66"/>
      <c r="BB2442" s="66"/>
      <c r="BC2442" s="66"/>
      <c r="BD2442" s="66"/>
      <c r="BE2442" s="67"/>
      <c r="BF2442" s="67"/>
      <c r="BG2442" s="68"/>
      <c r="BI2442" s="69">
        <v>0</v>
      </c>
      <c r="BJ2442" s="70">
        <v>0</v>
      </c>
      <c r="BK2442" s="71">
        <v>0</v>
      </c>
      <c r="BL2442" s="71">
        <v>0</v>
      </c>
      <c r="BM2442" s="71">
        <v>0</v>
      </c>
      <c r="BN2442" s="72">
        <v>0</v>
      </c>
      <c r="BO2442" s="151" t="e">
        <f t="shared" si="164"/>
        <v>#DIV/0!</v>
      </c>
      <c r="BP2442" s="151" t="e">
        <f t="shared" si="165"/>
        <v>#DIV/0!</v>
      </c>
      <c r="BQ2442" s="71">
        <v>0</v>
      </c>
      <c r="BR2442" s="71">
        <v>0</v>
      </c>
      <c r="BS2442" s="71">
        <v>0</v>
      </c>
      <c r="BT2442" s="72">
        <v>0</v>
      </c>
      <c r="BU2442" s="151" t="e">
        <f t="shared" si="166"/>
        <v>#DIV/0!</v>
      </c>
      <c r="BV2442" s="151" t="e">
        <f t="shared" si="167"/>
        <v>#DIV/0!</v>
      </c>
    </row>
    <row r="2443" ht="30" customHeight="1" spans="1:74">
      <c r="A2443" s="55">
        <v>0</v>
      </c>
      <c r="B2443" s="56">
        <v>0</v>
      </c>
      <c r="C2443" s="57">
        <v>0</v>
      </c>
      <c r="D2443" s="74"/>
      <c r="E2443" s="74"/>
      <c r="F2443" s="59" t="e">
        <f>VLOOKUP(E2443,[1]库存!$B$1:$C$65536,2,FALSE)</f>
        <v>#N/A</v>
      </c>
      <c r="G2443" s="59" t="e">
        <v>#N/A</v>
      </c>
      <c r="H2443" s="74"/>
      <c r="I2443" s="74"/>
      <c r="J2443" s="87"/>
      <c r="K2443" s="61"/>
      <c r="L2443" s="62">
        <v>0</v>
      </c>
      <c r="M2443" s="63">
        <v>0</v>
      </c>
      <c r="N2443" s="64">
        <v>0</v>
      </c>
      <c r="O2443" s="62">
        <v>0</v>
      </c>
      <c r="P2443" s="65">
        <f t="shared" si="168"/>
        <v>0</v>
      </c>
      <c r="Q2443" s="66"/>
      <c r="R2443" s="66"/>
      <c r="S2443" s="66"/>
      <c r="T2443" s="66"/>
      <c r="U2443" s="66"/>
      <c r="V2443" s="66"/>
      <c r="W2443" s="66"/>
      <c r="X2443" s="66"/>
      <c r="Y2443" s="66"/>
      <c r="Z2443" s="66"/>
      <c r="AA2443" s="66"/>
      <c r="AB2443" s="66"/>
      <c r="AC2443" s="66"/>
      <c r="AD2443" s="66"/>
      <c r="AE2443" s="66"/>
      <c r="AF2443" s="66"/>
      <c r="AG2443" s="66"/>
      <c r="AH2443" s="66"/>
      <c r="AI2443" s="66"/>
      <c r="AJ2443" s="66"/>
      <c r="AK2443" s="66"/>
      <c r="AL2443" s="66"/>
      <c r="AM2443" s="66"/>
      <c r="AN2443" s="66"/>
      <c r="AO2443" s="66"/>
      <c r="AP2443" s="66"/>
      <c r="AQ2443" s="66"/>
      <c r="AR2443" s="66"/>
      <c r="AS2443" s="66"/>
      <c r="AT2443" s="66"/>
      <c r="AU2443" s="66"/>
      <c r="AV2443" s="66"/>
      <c r="AW2443" s="66"/>
      <c r="AX2443" s="66"/>
      <c r="AY2443" s="66"/>
      <c r="AZ2443" s="66"/>
      <c r="BA2443" s="66"/>
      <c r="BB2443" s="66"/>
      <c r="BC2443" s="66"/>
      <c r="BD2443" s="66"/>
      <c r="BE2443" s="67"/>
      <c r="BF2443" s="67"/>
      <c r="BG2443" s="68"/>
      <c r="BI2443" s="69">
        <v>0</v>
      </c>
      <c r="BJ2443" s="70">
        <v>0</v>
      </c>
      <c r="BK2443" s="71">
        <v>0</v>
      </c>
      <c r="BL2443" s="71">
        <v>0</v>
      </c>
      <c r="BM2443" s="71">
        <v>0</v>
      </c>
      <c r="BN2443" s="72">
        <v>0</v>
      </c>
      <c r="BO2443" s="151" t="e">
        <f t="shared" si="164"/>
        <v>#DIV/0!</v>
      </c>
      <c r="BP2443" s="151" t="e">
        <f t="shared" si="165"/>
        <v>#DIV/0!</v>
      </c>
      <c r="BQ2443" s="71">
        <v>0</v>
      </c>
      <c r="BR2443" s="71">
        <v>0</v>
      </c>
      <c r="BS2443" s="71">
        <v>0</v>
      </c>
      <c r="BT2443" s="72">
        <v>0</v>
      </c>
      <c r="BU2443" s="151" t="e">
        <f t="shared" si="166"/>
        <v>#DIV/0!</v>
      </c>
      <c r="BV2443" s="151" t="e">
        <f t="shared" si="167"/>
        <v>#DIV/0!</v>
      </c>
    </row>
    <row r="2444" ht="30" customHeight="1" spans="1:74">
      <c r="A2444" s="55" t="s">
        <v>41</v>
      </c>
      <c r="B2444" s="56" t="s">
        <v>1237</v>
      </c>
      <c r="C2444" s="57" t="s">
        <v>3341</v>
      </c>
      <c r="D2444" s="59" t="s">
        <v>3753</v>
      </c>
      <c r="E2444" s="59" t="s">
        <v>3796</v>
      </c>
      <c r="F2444" s="59" t="str">
        <f>VLOOKUP(E2444,[1]库存!$B$1:$C$65536,2,FALSE)</f>
        <v>GEELY NL-3RA CAB RH</v>
      </c>
      <c r="G2444" s="59" t="s">
        <v>3797</v>
      </c>
      <c r="H2444" s="59" t="s">
        <v>3798</v>
      </c>
      <c r="I2444" s="59" t="s">
        <v>3795</v>
      </c>
      <c r="J2444" s="63"/>
      <c r="K2444" s="61"/>
      <c r="L2444" s="62">
        <v>1</v>
      </c>
      <c r="M2444" s="63">
        <v>400</v>
      </c>
      <c r="N2444" s="64">
        <v>3.5</v>
      </c>
      <c r="O2444" s="62">
        <v>1</v>
      </c>
      <c r="P2444" s="65">
        <f t="shared" si="168"/>
        <v>0</v>
      </c>
      <c r="Q2444" s="66"/>
      <c r="R2444" s="66"/>
      <c r="S2444" s="66"/>
      <c r="T2444" s="66"/>
      <c r="U2444" s="66"/>
      <c r="V2444" s="66"/>
      <c r="W2444" s="66"/>
      <c r="X2444" s="66"/>
      <c r="Y2444" s="66"/>
      <c r="Z2444" s="66"/>
      <c r="AA2444" s="66"/>
      <c r="AB2444" s="66"/>
      <c r="AC2444" s="66"/>
      <c r="AD2444" s="66"/>
      <c r="AE2444" s="66"/>
      <c r="AF2444" s="66"/>
      <c r="AG2444" s="66"/>
      <c r="AH2444" s="66"/>
      <c r="AI2444" s="66"/>
      <c r="AJ2444" s="66"/>
      <c r="AK2444" s="66"/>
      <c r="AL2444" s="66"/>
      <c r="AM2444" s="66"/>
      <c r="AN2444" s="66"/>
      <c r="AO2444" s="66"/>
      <c r="AP2444" s="66"/>
      <c r="AQ2444" s="66"/>
      <c r="AR2444" s="66"/>
      <c r="AS2444" s="66"/>
      <c r="AT2444" s="66"/>
      <c r="AU2444" s="66"/>
      <c r="AV2444" s="66"/>
      <c r="AW2444" s="66"/>
      <c r="AX2444" s="66"/>
      <c r="AY2444" s="66"/>
      <c r="AZ2444" s="66"/>
      <c r="BA2444" s="66"/>
      <c r="BB2444" s="66"/>
      <c r="BC2444" s="66"/>
      <c r="BD2444" s="66"/>
      <c r="BE2444" s="67"/>
      <c r="BF2444" s="67"/>
      <c r="BG2444" s="68"/>
      <c r="BI2444" s="69">
        <v>0</v>
      </c>
      <c r="BJ2444" s="70">
        <v>0</v>
      </c>
      <c r="BK2444" s="71">
        <v>0</v>
      </c>
      <c r="BL2444" s="71">
        <v>0</v>
      </c>
      <c r="BM2444" s="71">
        <v>0</v>
      </c>
      <c r="BN2444" s="72">
        <v>0</v>
      </c>
      <c r="BO2444" s="151" t="e">
        <f t="shared" si="164"/>
        <v>#DIV/0!</v>
      </c>
      <c r="BP2444" s="151" t="e">
        <f t="shared" si="165"/>
        <v>#DIV/0!</v>
      </c>
      <c r="BQ2444" s="71">
        <v>0</v>
      </c>
      <c r="BR2444" s="71">
        <v>0</v>
      </c>
      <c r="BS2444" s="71">
        <v>0</v>
      </c>
      <c r="BT2444" s="72">
        <v>0</v>
      </c>
      <c r="BU2444" s="151" t="e">
        <f t="shared" si="166"/>
        <v>#DIV/0!</v>
      </c>
      <c r="BV2444" s="151" t="e">
        <f t="shared" si="167"/>
        <v>#DIV/0!</v>
      </c>
    </row>
    <row r="2445" ht="30" customHeight="1" spans="1:74">
      <c r="A2445" s="55">
        <v>0</v>
      </c>
      <c r="B2445" s="56">
        <v>0</v>
      </c>
      <c r="C2445" s="57">
        <v>0</v>
      </c>
      <c r="D2445" s="74"/>
      <c r="E2445" s="74"/>
      <c r="F2445" s="59" t="e">
        <f>VLOOKUP(E2445,[1]库存!$B$1:$C$65536,2,FALSE)</f>
        <v>#N/A</v>
      </c>
      <c r="G2445" s="59" t="e">
        <v>#N/A</v>
      </c>
      <c r="H2445" s="74"/>
      <c r="I2445" s="74"/>
      <c r="J2445" s="87"/>
      <c r="K2445" s="61"/>
      <c r="L2445" s="62">
        <v>0</v>
      </c>
      <c r="M2445" s="63">
        <v>0</v>
      </c>
      <c r="N2445" s="64">
        <v>0</v>
      </c>
      <c r="O2445" s="62">
        <v>0</v>
      </c>
      <c r="P2445" s="65">
        <f t="shared" si="168"/>
        <v>0</v>
      </c>
      <c r="Q2445" s="66"/>
      <c r="R2445" s="66"/>
      <c r="S2445" s="66"/>
      <c r="T2445" s="66"/>
      <c r="U2445" s="66"/>
      <c r="V2445" s="66"/>
      <c r="W2445" s="66"/>
      <c r="X2445" s="66"/>
      <c r="Y2445" s="66"/>
      <c r="Z2445" s="66"/>
      <c r="AA2445" s="66"/>
      <c r="AB2445" s="66"/>
      <c r="AC2445" s="66"/>
      <c r="AD2445" s="66"/>
      <c r="AE2445" s="66"/>
      <c r="AF2445" s="66"/>
      <c r="AG2445" s="66"/>
      <c r="AH2445" s="66"/>
      <c r="AI2445" s="66"/>
      <c r="AJ2445" s="66"/>
      <c r="AK2445" s="66"/>
      <c r="AL2445" s="66"/>
      <c r="AM2445" s="66"/>
      <c r="AN2445" s="66"/>
      <c r="AO2445" s="66"/>
      <c r="AP2445" s="66"/>
      <c r="AQ2445" s="66"/>
      <c r="AR2445" s="66"/>
      <c r="AS2445" s="66"/>
      <c r="AT2445" s="66"/>
      <c r="AU2445" s="66"/>
      <c r="AV2445" s="66"/>
      <c r="AW2445" s="66"/>
      <c r="AX2445" s="66"/>
      <c r="AY2445" s="66"/>
      <c r="AZ2445" s="66"/>
      <c r="BA2445" s="66"/>
      <c r="BB2445" s="66"/>
      <c r="BC2445" s="66"/>
      <c r="BD2445" s="66"/>
      <c r="BE2445" s="67"/>
      <c r="BF2445" s="67"/>
      <c r="BG2445" s="68"/>
      <c r="BI2445" s="69">
        <v>0</v>
      </c>
      <c r="BJ2445" s="70">
        <v>0</v>
      </c>
      <c r="BK2445" s="71">
        <v>0</v>
      </c>
      <c r="BL2445" s="71">
        <v>0</v>
      </c>
      <c r="BM2445" s="71">
        <v>0</v>
      </c>
      <c r="BN2445" s="72">
        <v>0</v>
      </c>
      <c r="BO2445" s="151" t="e">
        <f t="shared" si="164"/>
        <v>#DIV/0!</v>
      </c>
      <c r="BP2445" s="151" t="e">
        <f t="shared" si="165"/>
        <v>#DIV/0!</v>
      </c>
      <c r="BQ2445" s="71">
        <v>0</v>
      </c>
      <c r="BR2445" s="71">
        <v>0</v>
      </c>
      <c r="BS2445" s="71">
        <v>0</v>
      </c>
      <c r="BT2445" s="72">
        <v>0</v>
      </c>
      <c r="BU2445" s="151" t="e">
        <f t="shared" si="166"/>
        <v>#DIV/0!</v>
      </c>
      <c r="BV2445" s="151" t="e">
        <f t="shared" si="167"/>
        <v>#DIV/0!</v>
      </c>
    </row>
    <row r="2446" ht="30" customHeight="1" spans="1:74">
      <c r="A2446" s="55">
        <v>0</v>
      </c>
      <c r="B2446" s="56" t="s">
        <v>1237</v>
      </c>
      <c r="C2446" s="57" t="s">
        <v>3341</v>
      </c>
      <c r="D2446" s="59" t="s">
        <v>3799</v>
      </c>
      <c r="E2446" s="59" t="s">
        <v>3800</v>
      </c>
      <c r="F2446" s="59" t="str">
        <f>VLOOKUP(E2446,[1]库存!$B$1:$C$65536,2,FALSE)</f>
        <v>ZS11 CAB 拉带</v>
      </c>
      <c r="G2446" s="59" t="s">
        <v>3801</v>
      </c>
      <c r="H2446" s="59" t="s">
        <v>3802</v>
      </c>
      <c r="I2446" s="59"/>
      <c r="J2446" s="63"/>
      <c r="K2446" s="61"/>
      <c r="L2446" s="62">
        <v>0</v>
      </c>
      <c r="M2446" s="63">
        <v>1200</v>
      </c>
      <c r="N2446" s="64">
        <v>1.5</v>
      </c>
      <c r="O2446" s="62">
        <v>0</v>
      </c>
      <c r="P2446" s="65">
        <f t="shared" si="168"/>
        <v>0</v>
      </c>
      <c r="Q2446" s="66"/>
      <c r="R2446" s="66"/>
      <c r="S2446" s="66"/>
      <c r="T2446" s="66"/>
      <c r="U2446" s="66"/>
      <c r="V2446" s="66"/>
      <c r="W2446" s="66"/>
      <c r="X2446" s="66"/>
      <c r="Y2446" s="66"/>
      <c r="Z2446" s="66"/>
      <c r="AA2446" s="66"/>
      <c r="AB2446" s="66"/>
      <c r="AC2446" s="66">
        <v>640</v>
      </c>
      <c r="AD2446" s="66"/>
      <c r="AE2446" s="66"/>
      <c r="AF2446" s="66"/>
      <c r="AG2446" s="66"/>
      <c r="AH2446" s="66"/>
      <c r="AI2446" s="66"/>
      <c r="AJ2446" s="66"/>
      <c r="AK2446" s="66"/>
      <c r="AL2446" s="66"/>
      <c r="AM2446" s="66"/>
      <c r="AN2446" s="66"/>
      <c r="AO2446" s="66"/>
      <c r="AP2446" s="66"/>
      <c r="AQ2446" s="66"/>
      <c r="AR2446" s="66"/>
      <c r="AS2446" s="66"/>
      <c r="AT2446" s="66"/>
      <c r="AU2446" s="66"/>
      <c r="AV2446" s="66"/>
      <c r="AW2446" s="66"/>
      <c r="AX2446" s="66"/>
      <c r="AY2446" s="66"/>
      <c r="AZ2446" s="66"/>
      <c r="BA2446" s="66"/>
      <c r="BB2446" s="66"/>
      <c r="BC2446" s="66"/>
      <c r="BD2446" s="66"/>
      <c r="BE2446" s="67"/>
      <c r="BF2446" s="67"/>
      <c r="BG2446" s="68"/>
      <c r="BI2446" s="69">
        <v>0</v>
      </c>
      <c r="BJ2446" s="70">
        <v>0</v>
      </c>
      <c r="BK2446" s="71">
        <v>0</v>
      </c>
      <c r="BL2446" s="71">
        <v>0</v>
      </c>
      <c r="BM2446" s="71">
        <v>0</v>
      </c>
      <c r="BN2446" s="72">
        <v>0</v>
      </c>
      <c r="BO2446" s="151" t="e">
        <f t="shared" si="164"/>
        <v>#DIV/0!</v>
      </c>
      <c r="BP2446" s="151" t="e">
        <f t="shared" si="165"/>
        <v>#DIV/0!</v>
      </c>
      <c r="BQ2446" s="71">
        <v>0</v>
      </c>
      <c r="BR2446" s="71">
        <v>0</v>
      </c>
      <c r="BS2446" s="71">
        <v>0</v>
      </c>
      <c r="BT2446" s="72">
        <v>0</v>
      </c>
      <c r="BU2446" s="151" t="e">
        <f t="shared" si="166"/>
        <v>#DIV/0!</v>
      </c>
      <c r="BV2446" s="151" t="e">
        <f t="shared" si="167"/>
        <v>#DIV/0!</v>
      </c>
    </row>
    <row r="2447" ht="30" customHeight="1" spans="1:74">
      <c r="A2447" s="55">
        <v>0</v>
      </c>
      <c r="B2447" s="56">
        <v>0</v>
      </c>
      <c r="C2447" s="57">
        <v>0</v>
      </c>
      <c r="D2447" s="74"/>
      <c r="E2447" s="74"/>
      <c r="F2447" s="59" t="e">
        <f>VLOOKUP(E2447,[1]库存!$B$1:$C$65536,2,FALSE)</f>
        <v>#N/A</v>
      </c>
      <c r="G2447" s="59" t="e">
        <v>#N/A</v>
      </c>
      <c r="H2447" s="74"/>
      <c r="I2447" s="74"/>
      <c r="J2447" s="87"/>
      <c r="K2447" s="61"/>
      <c r="L2447" s="62">
        <v>0</v>
      </c>
      <c r="M2447" s="63">
        <v>0</v>
      </c>
      <c r="N2447" s="64">
        <v>0</v>
      </c>
      <c r="O2447" s="62">
        <v>0</v>
      </c>
      <c r="P2447" s="65">
        <f t="shared" si="168"/>
        <v>0</v>
      </c>
      <c r="Q2447" s="66"/>
      <c r="R2447" s="66"/>
      <c r="S2447" s="66"/>
      <c r="T2447" s="66"/>
      <c r="U2447" s="66"/>
      <c r="V2447" s="66"/>
      <c r="W2447" s="66"/>
      <c r="X2447" s="66"/>
      <c r="Y2447" s="66"/>
      <c r="Z2447" s="66"/>
      <c r="AA2447" s="66"/>
      <c r="AB2447" s="66"/>
      <c r="AC2447" s="66" t="s">
        <v>3803</v>
      </c>
      <c r="AD2447" s="66"/>
      <c r="AE2447" s="66"/>
      <c r="AF2447" s="66"/>
      <c r="AG2447" s="66"/>
      <c r="AH2447" s="66"/>
      <c r="AI2447" s="66"/>
      <c r="AJ2447" s="66"/>
      <c r="AK2447" s="66"/>
      <c r="AL2447" s="66"/>
      <c r="AM2447" s="66"/>
      <c r="AN2447" s="66"/>
      <c r="AO2447" s="66"/>
      <c r="AP2447" s="66"/>
      <c r="AQ2447" s="66"/>
      <c r="AR2447" s="66"/>
      <c r="AS2447" s="66"/>
      <c r="AT2447" s="66"/>
      <c r="AU2447" s="66"/>
      <c r="AV2447" s="66"/>
      <c r="AW2447" s="66"/>
      <c r="AX2447" s="66"/>
      <c r="AY2447" s="66"/>
      <c r="AZ2447" s="66"/>
      <c r="BA2447" s="66"/>
      <c r="BB2447" s="66"/>
      <c r="BC2447" s="66"/>
      <c r="BD2447" s="66"/>
      <c r="BE2447" s="67"/>
      <c r="BF2447" s="67"/>
      <c r="BG2447" s="68"/>
      <c r="BI2447" s="69">
        <v>0</v>
      </c>
      <c r="BJ2447" s="70">
        <v>0</v>
      </c>
      <c r="BK2447" s="71">
        <v>0</v>
      </c>
      <c r="BL2447" s="71">
        <v>0</v>
      </c>
      <c r="BM2447" s="71">
        <v>0</v>
      </c>
      <c r="BN2447" s="72">
        <v>0</v>
      </c>
      <c r="BO2447" s="151" t="e">
        <f t="shared" si="164"/>
        <v>#DIV/0!</v>
      </c>
      <c r="BP2447" s="151" t="e">
        <f t="shared" si="165"/>
        <v>#DIV/0!</v>
      </c>
      <c r="BQ2447" s="71">
        <v>0</v>
      </c>
      <c r="BR2447" s="71">
        <v>0</v>
      </c>
      <c r="BS2447" s="71">
        <v>0</v>
      </c>
      <c r="BT2447" s="72">
        <v>0</v>
      </c>
      <c r="BU2447" s="151" t="e">
        <f t="shared" si="166"/>
        <v>#DIV/0!</v>
      </c>
      <c r="BV2447" s="151" t="e">
        <f t="shared" si="167"/>
        <v>#DIV/0!</v>
      </c>
    </row>
    <row r="2448" ht="30" customHeight="1" spans="1:74">
      <c r="A2448" s="55">
        <v>0</v>
      </c>
      <c r="B2448" s="56" t="s">
        <v>1237</v>
      </c>
      <c r="C2448" s="57" t="s">
        <v>3341</v>
      </c>
      <c r="D2448" s="59" t="s">
        <v>3804</v>
      </c>
      <c r="E2448" s="59" t="s">
        <v>3805</v>
      </c>
      <c r="F2448" s="59" t="str">
        <f>VLOOKUP(E2448,[1]库存!$B$1:$C$65536,2,FALSE)</f>
        <v>ZS11 CAB 导气袋</v>
      </c>
      <c r="G2448" s="59" t="s">
        <v>3806</v>
      </c>
      <c r="H2448" s="59" t="s">
        <v>3807</v>
      </c>
      <c r="I2448" s="59"/>
      <c r="J2448" s="63"/>
      <c r="K2448" s="61"/>
      <c r="L2448" s="62">
        <v>0.7</v>
      </c>
      <c r="M2448" s="63">
        <v>1000</v>
      </c>
      <c r="N2448" s="64">
        <v>2</v>
      </c>
      <c r="O2448" s="62">
        <v>0.7</v>
      </c>
      <c r="P2448" s="65">
        <f t="shared" si="168"/>
        <v>0</v>
      </c>
      <c r="Q2448" s="66"/>
      <c r="R2448" s="66"/>
      <c r="S2448" s="66"/>
      <c r="T2448" s="66"/>
      <c r="U2448" s="66"/>
      <c r="V2448" s="66"/>
      <c r="W2448" s="66"/>
      <c r="X2448" s="66"/>
      <c r="Y2448" s="66"/>
      <c r="Z2448" s="66"/>
      <c r="AA2448" s="66"/>
      <c r="AB2448" s="66"/>
      <c r="AC2448" s="66">
        <v>640</v>
      </c>
      <c r="AD2448" s="66"/>
      <c r="AE2448" s="66"/>
      <c r="AF2448" s="66"/>
      <c r="AG2448" s="66"/>
      <c r="AH2448" s="66"/>
      <c r="AI2448" s="66"/>
      <c r="AJ2448" s="66"/>
      <c r="AK2448" s="66"/>
      <c r="AL2448" s="66"/>
      <c r="AM2448" s="66"/>
      <c r="AN2448" s="66"/>
      <c r="AO2448" s="66"/>
      <c r="AP2448" s="66"/>
      <c r="AQ2448" s="66"/>
      <c r="AR2448" s="66"/>
      <c r="AS2448" s="66"/>
      <c r="AT2448" s="66"/>
      <c r="AU2448" s="66"/>
      <c r="AV2448" s="66"/>
      <c r="AW2448" s="66"/>
      <c r="AX2448" s="66"/>
      <c r="AY2448" s="66"/>
      <c r="AZ2448" s="66"/>
      <c r="BA2448" s="66"/>
      <c r="BB2448" s="66"/>
      <c r="BC2448" s="66"/>
      <c r="BD2448" s="66"/>
      <c r="BE2448" s="67"/>
      <c r="BF2448" s="67"/>
      <c r="BG2448" s="68"/>
      <c r="BI2448" s="69">
        <v>0</v>
      </c>
      <c r="BJ2448" s="70">
        <v>0</v>
      </c>
      <c r="BK2448" s="71">
        <v>0</v>
      </c>
      <c r="BL2448" s="71">
        <v>0</v>
      </c>
      <c r="BM2448" s="71">
        <v>0</v>
      </c>
      <c r="BN2448" s="72">
        <v>0</v>
      </c>
      <c r="BO2448" s="151" t="e">
        <f t="shared" si="164"/>
        <v>#DIV/0!</v>
      </c>
      <c r="BP2448" s="151" t="e">
        <f t="shared" si="165"/>
        <v>#DIV/0!</v>
      </c>
      <c r="BQ2448" s="71">
        <v>0</v>
      </c>
      <c r="BR2448" s="71">
        <v>0</v>
      </c>
      <c r="BS2448" s="71">
        <v>0</v>
      </c>
      <c r="BT2448" s="72">
        <v>0</v>
      </c>
      <c r="BU2448" s="151" t="e">
        <f t="shared" si="166"/>
        <v>#DIV/0!</v>
      </c>
      <c r="BV2448" s="151" t="e">
        <f t="shared" si="167"/>
        <v>#DIV/0!</v>
      </c>
    </row>
    <row r="2449" ht="30" customHeight="1" spans="1:74">
      <c r="A2449" s="55">
        <v>0</v>
      </c>
      <c r="B2449" s="56">
        <v>0</v>
      </c>
      <c r="C2449" s="57">
        <v>0</v>
      </c>
      <c r="D2449" s="74"/>
      <c r="E2449" s="74"/>
      <c r="F2449" s="59" t="e">
        <f>VLOOKUP(E2449,[1]库存!$B$1:$C$65536,2,FALSE)</f>
        <v>#N/A</v>
      </c>
      <c r="G2449" s="59" t="e">
        <v>#N/A</v>
      </c>
      <c r="H2449" s="74"/>
      <c r="I2449" s="74"/>
      <c r="J2449" s="87"/>
      <c r="K2449" s="61"/>
      <c r="L2449" s="62">
        <v>0</v>
      </c>
      <c r="M2449" s="63">
        <v>0</v>
      </c>
      <c r="N2449" s="64">
        <v>0</v>
      </c>
      <c r="O2449" s="62">
        <v>0</v>
      </c>
      <c r="P2449" s="65">
        <f t="shared" si="168"/>
        <v>0</v>
      </c>
      <c r="Q2449" s="66"/>
      <c r="R2449" s="66"/>
      <c r="S2449" s="66"/>
      <c r="T2449" s="66"/>
      <c r="U2449" s="66"/>
      <c r="V2449" s="66"/>
      <c r="W2449" s="66"/>
      <c r="X2449" s="66"/>
      <c r="Y2449" s="66"/>
      <c r="Z2449" s="66"/>
      <c r="AA2449" s="66"/>
      <c r="AB2449" s="66"/>
      <c r="AC2449" s="66" t="s">
        <v>3808</v>
      </c>
      <c r="AD2449" s="66"/>
      <c r="AE2449" s="66"/>
      <c r="AF2449" s="66"/>
      <c r="AG2449" s="66"/>
      <c r="AH2449" s="66"/>
      <c r="AI2449" s="66"/>
      <c r="AJ2449" s="66"/>
      <c r="AK2449" s="66"/>
      <c r="AL2449" s="66"/>
      <c r="AM2449" s="66"/>
      <c r="AN2449" s="66"/>
      <c r="AO2449" s="66"/>
      <c r="AP2449" s="66"/>
      <c r="AQ2449" s="66"/>
      <c r="AR2449" s="66"/>
      <c r="AS2449" s="66"/>
      <c r="AT2449" s="66"/>
      <c r="AU2449" s="66"/>
      <c r="AV2449" s="66"/>
      <c r="AW2449" s="66"/>
      <c r="AX2449" s="66"/>
      <c r="AY2449" s="66"/>
      <c r="AZ2449" s="66"/>
      <c r="BA2449" s="66"/>
      <c r="BB2449" s="66"/>
      <c r="BC2449" s="66"/>
      <c r="BD2449" s="66"/>
      <c r="BE2449" s="67"/>
      <c r="BF2449" s="67"/>
      <c r="BG2449" s="68"/>
      <c r="BI2449" s="69">
        <v>0</v>
      </c>
      <c r="BJ2449" s="70">
        <v>0</v>
      </c>
      <c r="BK2449" s="71">
        <v>0</v>
      </c>
      <c r="BL2449" s="71">
        <v>0</v>
      </c>
      <c r="BM2449" s="71">
        <v>0</v>
      </c>
      <c r="BN2449" s="72">
        <v>0</v>
      </c>
      <c r="BO2449" s="151" t="e">
        <f t="shared" si="164"/>
        <v>#DIV/0!</v>
      </c>
      <c r="BP2449" s="151" t="e">
        <f t="shared" si="165"/>
        <v>#DIV/0!</v>
      </c>
      <c r="BQ2449" s="71">
        <v>0</v>
      </c>
      <c r="BR2449" s="71">
        <v>0</v>
      </c>
      <c r="BS2449" s="71">
        <v>0</v>
      </c>
      <c r="BT2449" s="72">
        <v>0</v>
      </c>
      <c r="BU2449" s="151" t="e">
        <f t="shared" si="166"/>
        <v>#DIV/0!</v>
      </c>
      <c r="BV2449" s="151" t="e">
        <f t="shared" si="167"/>
        <v>#DIV/0!</v>
      </c>
    </row>
    <row r="2450" ht="30" customHeight="1" spans="1:74">
      <c r="A2450" s="55" t="s">
        <v>96</v>
      </c>
      <c r="B2450" s="56" t="s">
        <v>1237</v>
      </c>
      <c r="C2450" s="57" t="s">
        <v>3341</v>
      </c>
      <c r="D2450" s="59" t="s">
        <v>3753</v>
      </c>
      <c r="E2450" s="59" t="s">
        <v>3809</v>
      </c>
      <c r="F2450" s="59" t="str">
        <f>VLOOKUP(E2450,[1]库存!$B$1:$C$65536,2,FALSE)</f>
        <v>SAIC ZS11 CAB</v>
      </c>
      <c r="G2450" s="59" t="s">
        <v>3810</v>
      </c>
      <c r="H2450" s="59" t="s">
        <v>3811</v>
      </c>
      <c r="I2450" s="113" t="s">
        <v>3812</v>
      </c>
      <c r="J2450" s="117"/>
      <c r="K2450" s="61"/>
      <c r="L2450" s="62">
        <v>1</v>
      </c>
      <c r="M2450" s="63">
        <v>550</v>
      </c>
      <c r="N2450" s="64">
        <v>3</v>
      </c>
      <c r="O2450" s="62">
        <v>1</v>
      </c>
      <c r="P2450" s="65">
        <f t="shared" si="168"/>
        <v>0</v>
      </c>
      <c r="Q2450" s="66"/>
      <c r="R2450" s="66"/>
      <c r="S2450" s="66"/>
      <c r="T2450" s="66"/>
      <c r="U2450" s="66"/>
      <c r="V2450" s="66"/>
      <c r="W2450" s="66"/>
      <c r="X2450" s="66"/>
      <c r="Y2450" s="66"/>
      <c r="Z2450" s="66"/>
      <c r="AA2450" s="66"/>
      <c r="AB2450" s="66"/>
      <c r="AC2450" s="66">
        <v>540</v>
      </c>
      <c r="AD2450" s="66" t="s">
        <v>3813</v>
      </c>
      <c r="AE2450" s="66"/>
      <c r="AF2450" s="66"/>
      <c r="AG2450" s="66"/>
      <c r="AH2450" s="66"/>
      <c r="AI2450" s="66"/>
      <c r="AJ2450" s="66"/>
      <c r="AK2450" s="66"/>
      <c r="AL2450" s="66"/>
      <c r="AM2450" s="66"/>
      <c r="AN2450" s="66"/>
      <c r="AO2450" s="66"/>
      <c r="AP2450" s="66"/>
      <c r="AQ2450" s="66"/>
      <c r="AR2450" s="66"/>
      <c r="AS2450" s="66"/>
      <c r="AT2450" s="66"/>
      <c r="AU2450" s="66"/>
      <c r="AV2450" s="66"/>
      <c r="AW2450" s="66"/>
      <c r="AX2450" s="66"/>
      <c r="AY2450" s="66"/>
      <c r="AZ2450" s="66"/>
      <c r="BA2450" s="66"/>
      <c r="BB2450" s="66"/>
      <c r="BC2450" s="66"/>
      <c r="BD2450" s="66"/>
      <c r="BE2450" s="67"/>
      <c r="BF2450" s="67"/>
      <c r="BG2450" s="68"/>
      <c r="BI2450" s="69">
        <v>0</v>
      </c>
      <c r="BJ2450" s="70">
        <v>0</v>
      </c>
      <c r="BK2450" s="71">
        <v>0</v>
      </c>
      <c r="BL2450" s="71">
        <v>0</v>
      </c>
      <c r="BM2450" s="71">
        <v>0</v>
      </c>
      <c r="BN2450" s="72">
        <v>0</v>
      </c>
      <c r="BO2450" s="151" t="e">
        <f t="shared" si="164"/>
        <v>#DIV/0!</v>
      </c>
      <c r="BP2450" s="151" t="e">
        <f t="shared" si="165"/>
        <v>#DIV/0!</v>
      </c>
      <c r="BQ2450" s="71">
        <v>0</v>
      </c>
      <c r="BR2450" s="71">
        <v>0</v>
      </c>
      <c r="BS2450" s="71">
        <v>0</v>
      </c>
      <c r="BT2450" s="72">
        <v>0</v>
      </c>
      <c r="BU2450" s="151" t="e">
        <f t="shared" si="166"/>
        <v>#DIV/0!</v>
      </c>
      <c r="BV2450" s="151" t="e">
        <f t="shared" si="167"/>
        <v>#DIV/0!</v>
      </c>
    </row>
    <row r="2451" ht="30" customHeight="1" spans="1:74">
      <c r="A2451" s="55">
        <v>0</v>
      </c>
      <c r="B2451" s="56">
        <v>0</v>
      </c>
      <c r="C2451" s="57">
        <v>0</v>
      </c>
      <c r="D2451" s="74"/>
      <c r="E2451" s="74"/>
      <c r="F2451" s="59" t="e">
        <f>VLOOKUP(E2451,[1]库存!$B$1:$C$65536,2,FALSE)</f>
        <v>#N/A</v>
      </c>
      <c r="G2451" s="59" t="e">
        <v>#N/A</v>
      </c>
      <c r="H2451" s="74"/>
      <c r="I2451" s="127"/>
      <c r="J2451" s="162"/>
      <c r="K2451" s="61"/>
      <c r="L2451" s="62">
        <v>0</v>
      </c>
      <c r="M2451" s="63">
        <v>0</v>
      </c>
      <c r="N2451" s="64">
        <v>0</v>
      </c>
      <c r="O2451" s="62">
        <v>0</v>
      </c>
      <c r="P2451" s="65">
        <f t="shared" si="168"/>
        <v>0</v>
      </c>
      <c r="Q2451" s="66"/>
      <c r="R2451" s="66"/>
      <c r="S2451" s="66"/>
      <c r="T2451" s="66"/>
      <c r="U2451" s="66"/>
      <c r="V2451" s="66"/>
      <c r="W2451" s="66"/>
      <c r="X2451" s="66"/>
      <c r="Y2451" s="66"/>
      <c r="Z2451" s="66"/>
      <c r="AA2451" s="66"/>
      <c r="AB2451" s="66"/>
      <c r="AC2451" s="66" t="s">
        <v>3814</v>
      </c>
      <c r="AD2451" s="66">
        <v>159</v>
      </c>
      <c r="AE2451" s="66"/>
      <c r="AF2451" s="66"/>
      <c r="AG2451" s="66"/>
      <c r="AH2451" s="66"/>
      <c r="AI2451" s="66"/>
      <c r="AJ2451" s="66"/>
      <c r="AK2451" s="66"/>
      <c r="AL2451" s="66"/>
      <c r="AM2451" s="66"/>
      <c r="AN2451" s="66"/>
      <c r="AO2451" s="66"/>
      <c r="AP2451" s="66"/>
      <c r="AQ2451" s="66"/>
      <c r="AR2451" s="66"/>
      <c r="AS2451" s="66"/>
      <c r="AT2451" s="66"/>
      <c r="AU2451" s="66"/>
      <c r="AV2451" s="66"/>
      <c r="AW2451" s="66"/>
      <c r="AX2451" s="66"/>
      <c r="AY2451" s="66"/>
      <c r="AZ2451" s="66"/>
      <c r="BA2451" s="66"/>
      <c r="BB2451" s="66"/>
      <c r="BC2451" s="66"/>
      <c r="BD2451" s="66"/>
      <c r="BE2451" s="67"/>
      <c r="BF2451" s="67"/>
      <c r="BG2451" s="68"/>
      <c r="BI2451" s="69">
        <v>0</v>
      </c>
      <c r="BJ2451" s="70">
        <v>0</v>
      </c>
      <c r="BK2451" s="71">
        <v>0</v>
      </c>
      <c r="BL2451" s="71">
        <v>0</v>
      </c>
      <c r="BM2451" s="71">
        <v>0</v>
      </c>
      <c r="BN2451" s="72">
        <v>0</v>
      </c>
      <c r="BO2451" s="151" t="e">
        <f t="shared" si="164"/>
        <v>#DIV/0!</v>
      </c>
      <c r="BP2451" s="151" t="e">
        <f t="shared" si="165"/>
        <v>#DIV/0!</v>
      </c>
      <c r="BQ2451" s="71">
        <v>0</v>
      </c>
      <c r="BR2451" s="71">
        <v>0</v>
      </c>
      <c r="BS2451" s="71">
        <v>0</v>
      </c>
      <c r="BT2451" s="72">
        <v>0</v>
      </c>
      <c r="BU2451" s="151" t="e">
        <f t="shared" si="166"/>
        <v>#DIV/0!</v>
      </c>
      <c r="BV2451" s="151" t="e">
        <f t="shared" si="167"/>
        <v>#DIV/0!</v>
      </c>
    </row>
    <row r="2452" ht="30" customHeight="1" spans="1:74">
      <c r="A2452" s="55">
        <v>0</v>
      </c>
      <c r="B2452" s="56" t="s">
        <v>1237</v>
      </c>
      <c r="C2452" s="57" t="s">
        <v>3341</v>
      </c>
      <c r="D2452" s="59" t="s">
        <v>3815</v>
      </c>
      <c r="E2452" s="59" t="s">
        <v>3816</v>
      </c>
      <c r="F2452" s="59" t="str">
        <f>VLOOKUP(E2452,[1]库存!$B$1:$C$65536,2,FALSE)</f>
        <v>IP5PM CAB导气袋</v>
      </c>
      <c r="G2452" s="59" t="s">
        <v>3817</v>
      </c>
      <c r="H2452" s="59" t="s">
        <v>3818</v>
      </c>
      <c r="I2452" s="59"/>
      <c r="J2452" s="63"/>
      <c r="K2452" s="61"/>
      <c r="L2452" s="62">
        <v>0.7</v>
      </c>
      <c r="M2452" s="63">
        <v>920</v>
      </c>
      <c r="N2452" s="64">
        <v>2</v>
      </c>
      <c r="O2452" s="62">
        <v>1</v>
      </c>
      <c r="P2452" s="65">
        <f t="shared" si="168"/>
        <v>0</v>
      </c>
      <c r="Q2452" s="66">
        <v>1600</v>
      </c>
      <c r="R2452" s="66"/>
      <c r="S2452" s="66">
        <v>1600</v>
      </c>
      <c r="T2452" s="66"/>
      <c r="U2452" s="66"/>
      <c r="V2452" s="66"/>
      <c r="W2452" s="66"/>
      <c r="X2452" s="66"/>
      <c r="Y2452" s="66"/>
      <c r="Z2452" s="66"/>
      <c r="AA2452" s="66">
        <v>1600</v>
      </c>
      <c r="AB2452" s="66"/>
      <c r="AC2452" s="66"/>
      <c r="AD2452" s="66"/>
      <c r="AE2452" s="66"/>
      <c r="AF2452" s="66"/>
      <c r="AG2452" s="66"/>
      <c r="AH2452" s="66"/>
      <c r="AI2452" s="66"/>
      <c r="AJ2452" s="66"/>
      <c r="AK2452" s="66"/>
      <c r="AL2452" s="66"/>
      <c r="AM2452" s="66"/>
      <c r="AN2452" s="66"/>
      <c r="AO2452" s="66"/>
      <c r="AP2452" s="66"/>
      <c r="AQ2452" s="66"/>
      <c r="AR2452" s="66"/>
      <c r="AS2452" s="66"/>
      <c r="AT2452" s="66"/>
      <c r="AU2452" s="66"/>
      <c r="AV2452" s="66"/>
      <c r="AW2452" s="66"/>
      <c r="AX2452" s="66"/>
      <c r="AY2452" s="66"/>
      <c r="AZ2452" s="66"/>
      <c r="BA2452" s="66"/>
      <c r="BB2452" s="66"/>
      <c r="BC2452" s="66"/>
      <c r="BD2452" s="66"/>
      <c r="BE2452" s="67"/>
      <c r="BF2452" s="67"/>
      <c r="BG2452" s="68"/>
      <c r="BI2452" s="69">
        <v>0</v>
      </c>
      <c r="BJ2452" s="70">
        <v>0</v>
      </c>
      <c r="BK2452" s="71">
        <v>0</v>
      </c>
      <c r="BL2452" s="71">
        <v>0</v>
      </c>
      <c r="BM2452" s="71">
        <v>0</v>
      </c>
      <c r="BN2452" s="72">
        <v>0</v>
      </c>
      <c r="BO2452" s="151" t="e">
        <f t="shared" si="164"/>
        <v>#DIV/0!</v>
      </c>
      <c r="BP2452" s="151" t="e">
        <f t="shared" si="165"/>
        <v>#DIV/0!</v>
      </c>
      <c r="BQ2452" s="71">
        <v>0</v>
      </c>
      <c r="BR2452" s="71">
        <v>0</v>
      </c>
      <c r="BS2452" s="71">
        <v>0</v>
      </c>
      <c r="BT2452" s="72">
        <v>0</v>
      </c>
      <c r="BU2452" s="151" t="e">
        <f t="shared" si="166"/>
        <v>#DIV/0!</v>
      </c>
      <c r="BV2452" s="151" t="e">
        <f t="shared" si="167"/>
        <v>#DIV/0!</v>
      </c>
    </row>
    <row r="2453" ht="30" customHeight="1" spans="1:74">
      <c r="A2453" s="55">
        <v>0</v>
      </c>
      <c r="B2453" s="56">
        <v>0</v>
      </c>
      <c r="C2453" s="57">
        <v>0</v>
      </c>
      <c r="D2453" s="74"/>
      <c r="E2453" s="74"/>
      <c r="F2453" s="59" t="e">
        <f>VLOOKUP(E2453,[1]库存!$B$1:$C$65536,2,FALSE)</f>
        <v>#N/A</v>
      </c>
      <c r="G2453" s="59" t="e">
        <v>#N/A</v>
      </c>
      <c r="H2453" s="74"/>
      <c r="I2453" s="74"/>
      <c r="J2453" s="87"/>
      <c r="K2453" s="61"/>
      <c r="L2453" s="62">
        <v>0</v>
      </c>
      <c r="M2453" s="63">
        <v>0</v>
      </c>
      <c r="N2453" s="64">
        <v>0</v>
      </c>
      <c r="O2453" s="62">
        <v>0</v>
      </c>
      <c r="P2453" s="65">
        <f t="shared" si="168"/>
        <v>0</v>
      </c>
      <c r="Q2453" s="66">
        <v>1600</v>
      </c>
      <c r="R2453" s="66"/>
      <c r="S2453" s="66">
        <v>1715</v>
      </c>
      <c r="T2453" s="66"/>
      <c r="U2453" s="66"/>
      <c r="V2453" s="66"/>
      <c r="W2453" s="66"/>
      <c r="X2453" s="66"/>
      <c r="Y2453" s="66"/>
      <c r="Z2453" s="66"/>
      <c r="AA2453" s="66">
        <v>1610</v>
      </c>
      <c r="AB2453" s="66"/>
      <c r="AC2453" s="66"/>
      <c r="AD2453" s="66"/>
      <c r="AE2453" s="66"/>
      <c r="AF2453" s="66"/>
      <c r="AG2453" s="66"/>
      <c r="AH2453" s="66"/>
      <c r="AI2453" s="66"/>
      <c r="AJ2453" s="66"/>
      <c r="AK2453" s="66"/>
      <c r="AL2453" s="66"/>
      <c r="AM2453" s="66"/>
      <c r="AN2453" s="66"/>
      <c r="AO2453" s="66"/>
      <c r="AP2453" s="66"/>
      <c r="AQ2453" s="66"/>
      <c r="AR2453" s="66"/>
      <c r="AS2453" s="66"/>
      <c r="AT2453" s="66"/>
      <c r="AU2453" s="66"/>
      <c r="AV2453" s="66"/>
      <c r="AW2453" s="66"/>
      <c r="AX2453" s="66"/>
      <c r="AY2453" s="66"/>
      <c r="AZ2453" s="66"/>
      <c r="BA2453" s="66"/>
      <c r="BB2453" s="66"/>
      <c r="BC2453" s="66"/>
      <c r="BD2453" s="66"/>
      <c r="BE2453" s="67"/>
      <c r="BF2453" s="67"/>
      <c r="BG2453" s="68"/>
      <c r="BI2453" s="69">
        <v>0</v>
      </c>
      <c r="BJ2453" s="70">
        <v>0</v>
      </c>
      <c r="BK2453" s="71">
        <v>0</v>
      </c>
      <c r="BL2453" s="71">
        <v>0</v>
      </c>
      <c r="BM2453" s="71">
        <v>0</v>
      </c>
      <c r="BN2453" s="72">
        <v>0</v>
      </c>
      <c r="BO2453" s="151" t="e">
        <f t="shared" si="164"/>
        <v>#DIV/0!</v>
      </c>
      <c r="BP2453" s="151" t="e">
        <f t="shared" si="165"/>
        <v>#DIV/0!</v>
      </c>
      <c r="BQ2453" s="71">
        <v>0</v>
      </c>
      <c r="BR2453" s="71">
        <v>0</v>
      </c>
      <c r="BS2453" s="71">
        <v>0</v>
      </c>
      <c r="BT2453" s="72">
        <v>0</v>
      </c>
      <c r="BU2453" s="151" t="e">
        <f t="shared" si="166"/>
        <v>#DIV/0!</v>
      </c>
      <c r="BV2453" s="151" t="e">
        <f t="shared" si="167"/>
        <v>#DIV/0!</v>
      </c>
    </row>
    <row r="2454" ht="30" customHeight="1" spans="1:74">
      <c r="A2454" s="55">
        <v>0</v>
      </c>
      <c r="B2454" s="56" t="s">
        <v>1237</v>
      </c>
      <c r="C2454" s="57" t="s">
        <v>3341</v>
      </c>
      <c r="D2454" s="59" t="s">
        <v>3819</v>
      </c>
      <c r="E2454" s="59" t="s">
        <v>3820</v>
      </c>
      <c r="F2454" s="59" t="str">
        <f>VLOOKUP(E2454,[1]库存!$B$1:$C$65536,2,FALSE)</f>
        <v>IP5PM CAB拉带</v>
      </c>
      <c r="G2454" s="59" t="s">
        <v>3821</v>
      </c>
      <c r="H2454" s="59" t="s">
        <v>3822</v>
      </c>
      <c r="I2454" s="59"/>
      <c r="J2454" s="63"/>
      <c r="K2454" s="61"/>
      <c r="L2454" s="62">
        <v>0</v>
      </c>
      <c r="M2454" s="63">
        <v>920</v>
      </c>
      <c r="N2454" s="64">
        <v>1</v>
      </c>
      <c r="O2454" s="62">
        <v>1</v>
      </c>
      <c r="P2454" s="65">
        <f t="shared" si="168"/>
        <v>0</v>
      </c>
      <c r="Q2454" s="66">
        <v>2000</v>
      </c>
      <c r="R2454" s="66"/>
      <c r="S2454" s="66">
        <v>2000</v>
      </c>
      <c r="T2454" s="66"/>
      <c r="U2454" s="66"/>
      <c r="V2454" s="66"/>
      <c r="W2454" s="66"/>
      <c r="X2454" s="66"/>
      <c r="Y2454" s="66"/>
      <c r="Z2454" s="66"/>
      <c r="AA2454" s="66">
        <v>2000</v>
      </c>
      <c r="AB2454" s="66"/>
      <c r="AC2454" s="66"/>
      <c r="AD2454" s="66"/>
      <c r="AE2454" s="66"/>
      <c r="AF2454" s="66"/>
      <c r="AG2454" s="66"/>
      <c r="AH2454" s="66"/>
      <c r="AI2454" s="66"/>
      <c r="AJ2454" s="66"/>
      <c r="AK2454" s="66"/>
      <c r="AL2454" s="66"/>
      <c r="AM2454" s="66"/>
      <c r="AN2454" s="66"/>
      <c r="AO2454" s="66"/>
      <c r="AP2454" s="66"/>
      <c r="AQ2454" s="66"/>
      <c r="AR2454" s="66"/>
      <c r="AS2454" s="66"/>
      <c r="AT2454" s="66"/>
      <c r="AU2454" s="66"/>
      <c r="AV2454" s="66"/>
      <c r="AW2454" s="66"/>
      <c r="AX2454" s="66"/>
      <c r="AY2454" s="66"/>
      <c r="AZ2454" s="66"/>
      <c r="BA2454" s="66"/>
      <c r="BB2454" s="66"/>
      <c r="BC2454" s="66"/>
      <c r="BD2454" s="66"/>
      <c r="BE2454" s="67"/>
      <c r="BF2454" s="67"/>
      <c r="BG2454" s="68"/>
      <c r="BI2454" s="69">
        <v>0</v>
      </c>
      <c r="BJ2454" s="70">
        <v>0</v>
      </c>
      <c r="BK2454" s="71">
        <v>0</v>
      </c>
      <c r="BL2454" s="71">
        <v>0</v>
      </c>
      <c r="BM2454" s="71">
        <v>0</v>
      </c>
      <c r="BN2454" s="72">
        <v>0</v>
      </c>
      <c r="BO2454" s="151" t="e">
        <f t="shared" si="164"/>
        <v>#DIV/0!</v>
      </c>
      <c r="BP2454" s="151" t="e">
        <f t="shared" si="165"/>
        <v>#DIV/0!</v>
      </c>
      <c r="BQ2454" s="71">
        <v>0</v>
      </c>
      <c r="BR2454" s="71">
        <v>0</v>
      </c>
      <c r="BS2454" s="71">
        <v>0</v>
      </c>
      <c r="BT2454" s="72">
        <v>0</v>
      </c>
      <c r="BU2454" s="151" t="e">
        <f t="shared" si="166"/>
        <v>#DIV/0!</v>
      </c>
      <c r="BV2454" s="151" t="e">
        <f t="shared" si="167"/>
        <v>#DIV/0!</v>
      </c>
    </row>
    <row r="2455" ht="30" customHeight="1" spans="1:74">
      <c r="A2455" s="55">
        <v>0</v>
      </c>
      <c r="B2455" s="56">
        <v>0</v>
      </c>
      <c r="C2455" s="57">
        <v>0</v>
      </c>
      <c r="D2455" s="74"/>
      <c r="E2455" s="74"/>
      <c r="F2455" s="59" t="e">
        <f>VLOOKUP(E2455,[1]库存!$B$1:$C$65536,2,FALSE)</f>
        <v>#N/A</v>
      </c>
      <c r="G2455" s="59" t="e">
        <v>#N/A</v>
      </c>
      <c r="H2455" s="74"/>
      <c r="I2455" s="74"/>
      <c r="J2455" s="87"/>
      <c r="K2455" s="61"/>
      <c r="L2455" s="62">
        <v>0</v>
      </c>
      <c r="M2455" s="63">
        <v>0</v>
      </c>
      <c r="N2455" s="64">
        <v>0</v>
      </c>
      <c r="O2455" s="62">
        <v>0</v>
      </c>
      <c r="P2455" s="65">
        <f t="shared" si="168"/>
        <v>0</v>
      </c>
      <c r="Q2455" s="66">
        <v>1800</v>
      </c>
      <c r="R2455" s="66"/>
      <c r="S2455" s="66">
        <v>2010</v>
      </c>
      <c r="T2455" s="66"/>
      <c r="U2455" s="66"/>
      <c r="V2455" s="66"/>
      <c r="W2455" s="66"/>
      <c r="X2455" s="66"/>
      <c r="Y2455" s="66"/>
      <c r="Z2455" s="66"/>
      <c r="AA2455" s="66">
        <v>1800</v>
      </c>
      <c r="AB2455" s="66"/>
      <c r="AC2455" s="66"/>
      <c r="AD2455" s="66"/>
      <c r="AE2455" s="66"/>
      <c r="AF2455" s="66"/>
      <c r="AG2455" s="66"/>
      <c r="AH2455" s="66"/>
      <c r="AI2455" s="66"/>
      <c r="AJ2455" s="66"/>
      <c r="AK2455" s="66"/>
      <c r="AL2455" s="66"/>
      <c r="AM2455" s="66"/>
      <c r="AN2455" s="66"/>
      <c r="AO2455" s="66"/>
      <c r="AP2455" s="66"/>
      <c r="AQ2455" s="66"/>
      <c r="AR2455" s="66"/>
      <c r="AS2455" s="66"/>
      <c r="AT2455" s="66"/>
      <c r="AU2455" s="66"/>
      <c r="AV2455" s="66"/>
      <c r="AW2455" s="66"/>
      <c r="AX2455" s="66"/>
      <c r="AY2455" s="66"/>
      <c r="AZ2455" s="66"/>
      <c r="BA2455" s="66"/>
      <c r="BB2455" s="66"/>
      <c r="BC2455" s="66"/>
      <c r="BD2455" s="66"/>
      <c r="BE2455" s="67"/>
      <c r="BF2455" s="67"/>
      <c r="BG2455" s="68"/>
      <c r="BI2455" s="69">
        <v>0</v>
      </c>
      <c r="BJ2455" s="70">
        <v>0</v>
      </c>
      <c r="BK2455" s="71">
        <v>0</v>
      </c>
      <c r="BL2455" s="71">
        <v>0</v>
      </c>
      <c r="BM2455" s="71">
        <v>0</v>
      </c>
      <c r="BN2455" s="72">
        <v>0</v>
      </c>
      <c r="BO2455" s="151" t="e">
        <f t="shared" si="164"/>
        <v>#DIV/0!</v>
      </c>
      <c r="BP2455" s="151" t="e">
        <f t="shared" si="165"/>
        <v>#DIV/0!</v>
      </c>
      <c r="BQ2455" s="71">
        <v>0</v>
      </c>
      <c r="BR2455" s="71">
        <v>0</v>
      </c>
      <c r="BS2455" s="71">
        <v>0</v>
      </c>
      <c r="BT2455" s="72">
        <v>0</v>
      </c>
      <c r="BU2455" s="151" t="e">
        <f t="shared" si="166"/>
        <v>#DIV/0!</v>
      </c>
      <c r="BV2455" s="151" t="e">
        <f t="shared" si="167"/>
        <v>#DIV/0!</v>
      </c>
    </row>
    <row r="2456" ht="30" customHeight="1" spans="1:74">
      <c r="A2456" s="55" t="s">
        <v>96</v>
      </c>
      <c r="B2456" s="56" t="s">
        <v>1237</v>
      </c>
      <c r="C2456" s="57" t="s">
        <v>3341</v>
      </c>
      <c r="D2456" s="59" t="s">
        <v>3753</v>
      </c>
      <c r="E2456" s="59" t="s">
        <v>3823</v>
      </c>
      <c r="F2456" s="59" t="str">
        <f>VLOOKUP(E2456,[1]库存!$B$1:$C$65536,2,FALSE)</f>
        <v>SAIC IP5PM CAB LH</v>
      </c>
      <c r="G2456" s="59" t="s">
        <v>3824</v>
      </c>
      <c r="H2456" s="59" t="s">
        <v>3825</v>
      </c>
      <c r="I2456" s="59" t="s">
        <v>3826</v>
      </c>
      <c r="J2456" s="63"/>
      <c r="K2456" s="61"/>
      <c r="L2456" s="62">
        <v>1</v>
      </c>
      <c r="M2456" s="63">
        <v>460</v>
      </c>
      <c r="N2456" s="64">
        <v>3</v>
      </c>
      <c r="O2456" s="62">
        <v>1</v>
      </c>
      <c r="P2456" s="65">
        <f t="shared" si="168"/>
        <v>0</v>
      </c>
      <c r="Q2456" s="66">
        <v>460</v>
      </c>
      <c r="R2456" s="66"/>
      <c r="S2456" s="66"/>
      <c r="T2456" s="66"/>
      <c r="U2456" s="66"/>
      <c r="V2456" s="66"/>
      <c r="W2456" s="66"/>
      <c r="X2456" s="66"/>
      <c r="Y2456" s="66"/>
      <c r="Z2456" s="66"/>
      <c r="AA2456" s="66"/>
      <c r="AB2456" s="66"/>
      <c r="AC2456" s="66"/>
      <c r="AD2456" s="66">
        <v>260</v>
      </c>
      <c r="AE2456" s="66"/>
      <c r="AF2456" s="66"/>
      <c r="AG2456" s="66"/>
      <c r="AH2456" s="66"/>
      <c r="AI2456" s="66"/>
      <c r="AJ2456" s="234"/>
      <c r="AK2456" s="66"/>
      <c r="AL2456" s="66"/>
      <c r="AM2456" s="66"/>
      <c r="AN2456" s="66"/>
      <c r="AO2456" s="66"/>
      <c r="AP2456" s="66"/>
      <c r="AQ2456" s="66"/>
      <c r="AR2456" s="66"/>
      <c r="AS2456" s="66"/>
      <c r="AT2456" s="66"/>
      <c r="AU2456" s="66"/>
      <c r="AV2456" s="66"/>
      <c r="AW2456" s="66"/>
      <c r="AX2456" s="66"/>
      <c r="AY2456" s="66"/>
      <c r="AZ2456" s="66"/>
      <c r="BA2456" s="66"/>
      <c r="BB2456" s="66"/>
      <c r="BC2456" s="66"/>
      <c r="BD2456" s="66"/>
      <c r="BE2456" s="67"/>
      <c r="BF2456" s="67"/>
      <c r="BG2456" s="68"/>
      <c r="BI2456" s="69">
        <v>0</v>
      </c>
      <c r="BJ2456" s="70">
        <v>0</v>
      </c>
      <c r="BK2456" s="71">
        <v>0</v>
      </c>
      <c r="BL2456" s="71">
        <v>0</v>
      </c>
      <c r="BM2456" s="71">
        <v>0</v>
      </c>
      <c r="BN2456" s="72">
        <v>0</v>
      </c>
      <c r="BO2456" s="151" t="e">
        <f t="shared" si="164"/>
        <v>#DIV/0!</v>
      </c>
      <c r="BP2456" s="151" t="e">
        <f t="shared" si="165"/>
        <v>#DIV/0!</v>
      </c>
      <c r="BQ2456" s="71">
        <v>0</v>
      </c>
      <c r="BR2456" s="71">
        <v>0</v>
      </c>
      <c r="BS2456" s="71">
        <v>0</v>
      </c>
      <c r="BT2456" s="72">
        <v>0</v>
      </c>
      <c r="BU2456" s="151" t="e">
        <f t="shared" si="166"/>
        <v>#DIV/0!</v>
      </c>
      <c r="BV2456" s="151" t="e">
        <f t="shared" si="167"/>
        <v>#DIV/0!</v>
      </c>
    </row>
    <row r="2457" ht="30" customHeight="1" spans="1:74">
      <c r="A2457" s="55">
        <v>0</v>
      </c>
      <c r="B2457" s="56">
        <v>0</v>
      </c>
      <c r="C2457" s="57">
        <v>0</v>
      </c>
      <c r="D2457" s="74"/>
      <c r="E2457" s="74"/>
      <c r="F2457" s="59" t="e">
        <f>VLOOKUP(E2457,[1]库存!$B$1:$C$65536,2,FALSE)</f>
        <v>#N/A</v>
      </c>
      <c r="G2457" s="59" t="e">
        <v>#N/A</v>
      </c>
      <c r="H2457" s="74"/>
      <c r="I2457" s="74"/>
      <c r="J2457" s="87"/>
      <c r="K2457" s="61"/>
      <c r="L2457" s="62">
        <v>0</v>
      </c>
      <c r="M2457" s="63">
        <v>0</v>
      </c>
      <c r="N2457" s="64">
        <v>0</v>
      </c>
      <c r="O2457" s="62">
        <v>0</v>
      </c>
      <c r="P2457" s="65">
        <f t="shared" si="168"/>
        <v>0</v>
      </c>
      <c r="Q2457" s="66">
        <v>460</v>
      </c>
      <c r="R2457" s="66"/>
      <c r="S2457" s="66"/>
      <c r="T2457" s="66"/>
      <c r="U2457" s="66"/>
      <c r="V2457" s="66"/>
      <c r="W2457" s="66"/>
      <c r="X2457" s="66"/>
      <c r="Y2457" s="66"/>
      <c r="Z2457" s="66"/>
      <c r="AA2457" s="66"/>
      <c r="AB2457" s="66"/>
      <c r="AC2457" s="66"/>
      <c r="AD2457" s="66">
        <v>286</v>
      </c>
      <c r="AE2457" s="66"/>
      <c r="AF2457" s="66"/>
      <c r="AG2457" s="66"/>
      <c r="AH2457" s="66"/>
      <c r="AI2457" s="66"/>
      <c r="AJ2457" s="234"/>
      <c r="AK2457" s="66"/>
      <c r="AL2457" s="66"/>
      <c r="AM2457" s="66"/>
      <c r="AN2457" s="66"/>
      <c r="AO2457" s="66"/>
      <c r="AP2457" s="66"/>
      <c r="AQ2457" s="66"/>
      <c r="AR2457" s="66"/>
      <c r="AS2457" s="66"/>
      <c r="AT2457" s="66"/>
      <c r="AU2457" s="66"/>
      <c r="AV2457" s="66"/>
      <c r="AW2457" s="66"/>
      <c r="AX2457" s="66"/>
      <c r="AY2457" s="66"/>
      <c r="AZ2457" s="66"/>
      <c r="BA2457" s="66"/>
      <c r="BB2457" s="66"/>
      <c r="BC2457" s="66"/>
      <c r="BD2457" s="66"/>
      <c r="BE2457" s="67"/>
      <c r="BF2457" s="67"/>
      <c r="BG2457" s="68"/>
      <c r="BI2457" s="69">
        <v>0</v>
      </c>
      <c r="BJ2457" s="70">
        <v>0</v>
      </c>
      <c r="BK2457" s="71">
        <v>0</v>
      </c>
      <c r="BL2457" s="71">
        <v>0</v>
      </c>
      <c r="BM2457" s="71">
        <v>0</v>
      </c>
      <c r="BN2457" s="72">
        <v>0</v>
      </c>
      <c r="BO2457" s="151" t="e">
        <f t="shared" si="164"/>
        <v>#DIV/0!</v>
      </c>
      <c r="BP2457" s="151" t="e">
        <f t="shared" si="165"/>
        <v>#DIV/0!</v>
      </c>
      <c r="BQ2457" s="71">
        <v>0</v>
      </c>
      <c r="BR2457" s="71">
        <v>0</v>
      </c>
      <c r="BS2457" s="71">
        <v>0</v>
      </c>
      <c r="BT2457" s="72">
        <v>0</v>
      </c>
      <c r="BU2457" s="151" t="e">
        <f t="shared" si="166"/>
        <v>#DIV/0!</v>
      </c>
      <c r="BV2457" s="151" t="e">
        <f t="shared" si="167"/>
        <v>#DIV/0!</v>
      </c>
    </row>
    <row r="2458" ht="30" customHeight="1" spans="1:74">
      <c r="A2458" s="55" t="s">
        <v>96</v>
      </c>
      <c r="B2458" s="56" t="s">
        <v>1237</v>
      </c>
      <c r="C2458" s="57" t="s">
        <v>3341</v>
      </c>
      <c r="D2458" s="59" t="s">
        <v>3753</v>
      </c>
      <c r="E2458" s="59" t="s">
        <v>3827</v>
      </c>
      <c r="F2458" s="59" t="str">
        <f>VLOOKUP(E2458,[1]库存!$B$1:$C$65536,2,FALSE)</f>
        <v>SAIC IP5PM CAB RH</v>
      </c>
      <c r="G2458" s="59" t="s">
        <v>3828</v>
      </c>
      <c r="H2458" s="59" t="s">
        <v>3829</v>
      </c>
      <c r="I2458" s="59" t="s">
        <v>3826</v>
      </c>
      <c r="J2458" s="63"/>
      <c r="K2458" s="61"/>
      <c r="L2458" s="62">
        <v>1</v>
      </c>
      <c r="M2458" s="63">
        <v>460</v>
      </c>
      <c r="N2458" s="64">
        <v>3</v>
      </c>
      <c r="O2458" s="62">
        <v>1</v>
      </c>
      <c r="P2458" s="65">
        <f t="shared" si="168"/>
        <v>0</v>
      </c>
      <c r="Q2458" s="66"/>
      <c r="R2458" s="66">
        <v>460</v>
      </c>
      <c r="S2458" s="66">
        <v>460</v>
      </c>
      <c r="T2458" s="66">
        <v>460</v>
      </c>
      <c r="U2458" s="66">
        <v>460</v>
      </c>
      <c r="V2458" s="66">
        <v>460</v>
      </c>
      <c r="W2458" s="66">
        <v>460</v>
      </c>
      <c r="X2458" s="66"/>
      <c r="Y2458" s="66"/>
      <c r="Z2458" s="66"/>
      <c r="AA2458" s="66">
        <v>460</v>
      </c>
      <c r="AB2458" s="66">
        <v>460</v>
      </c>
      <c r="AC2458" s="66"/>
      <c r="AD2458" s="66"/>
      <c r="AE2458" s="66"/>
      <c r="AF2458" s="66"/>
      <c r="AG2458" s="66"/>
      <c r="AH2458" s="66"/>
      <c r="AI2458" s="66"/>
      <c r="AJ2458" s="234"/>
      <c r="AK2458" s="66"/>
      <c r="AL2458" s="66"/>
      <c r="AM2458" s="66"/>
      <c r="AN2458" s="66"/>
      <c r="AO2458" s="66"/>
      <c r="AP2458" s="66"/>
      <c r="AQ2458" s="66"/>
      <c r="AR2458" s="66"/>
      <c r="AS2458" s="66"/>
      <c r="AT2458" s="66"/>
      <c r="AU2458" s="66"/>
      <c r="AV2458" s="66"/>
      <c r="AW2458" s="66"/>
      <c r="AX2458" s="66"/>
      <c r="AY2458" s="66"/>
      <c r="AZ2458" s="66"/>
      <c r="BA2458" s="66"/>
      <c r="BB2458" s="66"/>
      <c r="BC2458" s="66"/>
      <c r="BD2458" s="66"/>
      <c r="BE2458" s="67"/>
      <c r="BF2458" s="67"/>
      <c r="BG2458" s="68"/>
      <c r="BI2458" s="69">
        <v>0</v>
      </c>
      <c r="BJ2458" s="70">
        <v>0</v>
      </c>
      <c r="BK2458" s="71">
        <v>0</v>
      </c>
      <c r="BL2458" s="71">
        <v>0</v>
      </c>
      <c r="BM2458" s="71">
        <v>0</v>
      </c>
      <c r="BN2458" s="72">
        <v>0</v>
      </c>
      <c r="BO2458" s="151" t="e">
        <f t="shared" si="164"/>
        <v>#DIV/0!</v>
      </c>
      <c r="BP2458" s="151" t="e">
        <f t="shared" si="165"/>
        <v>#DIV/0!</v>
      </c>
      <c r="BQ2458" s="71">
        <v>0</v>
      </c>
      <c r="BR2458" s="71">
        <v>0</v>
      </c>
      <c r="BS2458" s="71">
        <v>0</v>
      </c>
      <c r="BT2458" s="72">
        <v>0</v>
      </c>
      <c r="BU2458" s="151" t="e">
        <f t="shared" si="166"/>
        <v>#DIV/0!</v>
      </c>
      <c r="BV2458" s="151" t="e">
        <f t="shared" si="167"/>
        <v>#DIV/0!</v>
      </c>
    </row>
    <row r="2459" ht="30" customHeight="1" spans="1:74">
      <c r="A2459" s="55">
        <v>0</v>
      </c>
      <c r="B2459" s="56">
        <v>0</v>
      </c>
      <c r="C2459" s="57">
        <v>0</v>
      </c>
      <c r="D2459" s="74"/>
      <c r="E2459" s="74"/>
      <c r="F2459" s="59" t="e">
        <f>VLOOKUP(E2459,[1]库存!$B$1:$C$65536,2,FALSE)</f>
        <v>#N/A</v>
      </c>
      <c r="G2459" s="59" t="e">
        <v>#N/A</v>
      </c>
      <c r="H2459" s="74"/>
      <c r="I2459" s="74"/>
      <c r="J2459" s="87"/>
      <c r="K2459" s="61"/>
      <c r="L2459" s="62">
        <v>0</v>
      </c>
      <c r="M2459" s="63">
        <v>0</v>
      </c>
      <c r="N2459" s="64">
        <v>0</v>
      </c>
      <c r="O2459" s="62">
        <v>0</v>
      </c>
      <c r="P2459" s="65">
        <f t="shared" si="168"/>
        <v>0</v>
      </c>
      <c r="Q2459" s="66"/>
      <c r="R2459" s="66">
        <v>399</v>
      </c>
      <c r="S2459" s="66">
        <v>493</v>
      </c>
      <c r="T2459" s="66">
        <v>475</v>
      </c>
      <c r="U2459" s="66">
        <v>466</v>
      </c>
      <c r="V2459" s="66">
        <v>483</v>
      </c>
      <c r="W2459" s="66">
        <v>458</v>
      </c>
      <c r="X2459" s="66"/>
      <c r="Y2459" s="66"/>
      <c r="Z2459" s="66"/>
      <c r="AA2459" s="66">
        <v>472</v>
      </c>
      <c r="AB2459" s="66">
        <v>476</v>
      </c>
      <c r="AC2459" s="66"/>
      <c r="AD2459" s="66"/>
      <c r="AE2459" s="66"/>
      <c r="AF2459" s="66"/>
      <c r="AG2459" s="66"/>
      <c r="AH2459" s="66"/>
      <c r="AI2459" s="66"/>
      <c r="AJ2459" s="66"/>
      <c r="AK2459" s="66"/>
      <c r="AL2459" s="66"/>
      <c r="AM2459" s="66"/>
      <c r="AN2459" s="66"/>
      <c r="AO2459" s="66"/>
      <c r="AP2459" s="66"/>
      <c r="AQ2459" s="66"/>
      <c r="AR2459" s="66"/>
      <c r="AS2459" s="66"/>
      <c r="AT2459" s="66"/>
      <c r="AU2459" s="66"/>
      <c r="AV2459" s="66"/>
      <c r="AW2459" s="66"/>
      <c r="AX2459" s="66"/>
      <c r="AY2459" s="66"/>
      <c r="AZ2459" s="66"/>
      <c r="BA2459" s="66"/>
      <c r="BB2459" s="66"/>
      <c r="BC2459" s="66"/>
      <c r="BD2459" s="66"/>
      <c r="BE2459" s="67"/>
      <c r="BF2459" s="67"/>
      <c r="BG2459" s="68"/>
      <c r="BI2459" s="69">
        <v>0</v>
      </c>
      <c r="BJ2459" s="70">
        <v>0</v>
      </c>
      <c r="BK2459" s="71">
        <v>0</v>
      </c>
      <c r="BL2459" s="71">
        <v>0</v>
      </c>
      <c r="BM2459" s="71">
        <v>0</v>
      </c>
      <c r="BN2459" s="72">
        <v>0</v>
      </c>
      <c r="BO2459" s="151" t="e">
        <f t="shared" si="164"/>
        <v>#DIV/0!</v>
      </c>
      <c r="BP2459" s="151" t="e">
        <f t="shared" si="165"/>
        <v>#DIV/0!</v>
      </c>
      <c r="BQ2459" s="71">
        <v>0</v>
      </c>
      <c r="BR2459" s="71">
        <v>0</v>
      </c>
      <c r="BS2459" s="71">
        <v>0</v>
      </c>
      <c r="BT2459" s="72">
        <v>0</v>
      </c>
      <c r="BU2459" s="151" t="e">
        <f t="shared" si="166"/>
        <v>#DIV/0!</v>
      </c>
      <c r="BV2459" s="151" t="e">
        <f t="shared" si="167"/>
        <v>#DIV/0!</v>
      </c>
    </row>
    <row r="2460" ht="30" customHeight="1" spans="1:74">
      <c r="A2460" s="55">
        <v>0</v>
      </c>
      <c r="B2460" s="56">
        <v>0</v>
      </c>
      <c r="C2460" s="57">
        <v>0</v>
      </c>
      <c r="E2460" s="88"/>
      <c r="F2460" s="59" t="e">
        <f>VLOOKUP(E2460,[1]库存!$B$1:$C$65536,2,FALSE)</f>
        <v>#N/A</v>
      </c>
      <c r="G2460" s="59" t="e">
        <v>#N/A</v>
      </c>
      <c r="H2460" s="89"/>
      <c r="I2460" s="88"/>
      <c r="J2460" s="90"/>
      <c r="K2460" s="61"/>
      <c r="L2460" s="62">
        <v>0</v>
      </c>
      <c r="M2460" s="63">
        <v>0</v>
      </c>
      <c r="N2460" s="64">
        <v>0</v>
      </c>
      <c r="O2460" s="62">
        <v>0</v>
      </c>
      <c r="P2460" s="65">
        <f t="shared" si="168"/>
        <v>0</v>
      </c>
      <c r="Q2460" s="66"/>
      <c r="R2460" s="66"/>
      <c r="S2460" s="66"/>
      <c r="T2460" s="66"/>
      <c r="U2460" s="66"/>
      <c r="V2460" s="66"/>
      <c r="W2460" s="66"/>
      <c r="X2460" s="66"/>
      <c r="Y2460" s="66"/>
      <c r="Z2460" s="66"/>
      <c r="AA2460" s="66"/>
      <c r="AB2460" s="66"/>
      <c r="AC2460" s="66"/>
      <c r="AD2460" s="66"/>
      <c r="AE2460" s="66"/>
      <c r="AF2460" s="66"/>
      <c r="AG2460" s="66"/>
      <c r="AH2460" s="66"/>
      <c r="AI2460" s="66"/>
      <c r="AJ2460" s="66"/>
      <c r="AK2460" s="66"/>
      <c r="AL2460" s="66"/>
      <c r="AM2460" s="66"/>
      <c r="AN2460" s="66"/>
      <c r="AO2460" s="66"/>
      <c r="AP2460" s="66"/>
      <c r="AQ2460" s="66"/>
      <c r="AR2460" s="66"/>
      <c r="AS2460" s="66"/>
      <c r="AT2460" s="66"/>
      <c r="AU2460" s="66"/>
      <c r="AV2460" s="66"/>
      <c r="AW2460" s="66"/>
      <c r="AX2460" s="66"/>
      <c r="AY2460" s="66"/>
      <c r="AZ2460" s="66"/>
      <c r="BA2460" s="66"/>
      <c r="BB2460" s="66"/>
      <c r="BC2460" s="66"/>
      <c r="BD2460" s="66"/>
      <c r="BE2460" s="67"/>
      <c r="BF2460" s="67"/>
      <c r="BG2460" s="68"/>
      <c r="BI2460" s="69">
        <v>0</v>
      </c>
      <c r="BJ2460" s="70">
        <v>0</v>
      </c>
      <c r="BK2460" s="71">
        <v>0</v>
      </c>
      <c r="BL2460" s="71">
        <v>0</v>
      </c>
      <c r="BM2460" s="71">
        <v>0</v>
      </c>
      <c r="BN2460" s="72">
        <v>0</v>
      </c>
      <c r="BO2460" s="151" t="e">
        <f t="shared" si="164"/>
        <v>#DIV/0!</v>
      </c>
      <c r="BP2460" s="151" t="e">
        <f t="shared" si="165"/>
        <v>#DIV/0!</v>
      </c>
      <c r="BQ2460" s="71">
        <v>0</v>
      </c>
      <c r="BR2460" s="71">
        <v>0</v>
      </c>
      <c r="BS2460" s="71">
        <v>0</v>
      </c>
      <c r="BT2460" s="72">
        <v>0</v>
      </c>
      <c r="BU2460" s="151" t="e">
        <f t="shared" si="166"/>
        <v>#DIV/0!</v>
      </c>
      <c r="BV2460" s="151" t="e">
        <f t="shared" si="167"/>
        <v>#DIV/0!</v>
      </c>
    </row>
    <row r="2461" ht="30" customHeight="1" spans="1:74">
      <c r="A2461" s="55">
        <v>0</v>
      </c>
      <c r="B2461" s="56" t="s">
        <v>1237</v>
      </c>
      <c r="C2461" s="57" t="s">
        <v>3341</v>
      </c>
      <c r="D2461" s="91" t="s">
        <v>3227</v>
      </c>
      <c r="E2461" s="91" t="s">
        <v>3830</v>
      </c>
      <c r="F2461" s="91" t="str">
        <f>VLOOKUP(E2461,[1]库存!$B$1:$C$65536,2,FALSE)</f>
        <v>E245 CAB拉带</v>
      </c>
      <c r="G2461" s="91" t="s">
        <v>3831</v>
      </c>
      <c r="H2461" s="91" t="s">
        <v>3832</v>
      </c>
      <c r="I2461" s="91"/>
      <c r="J2461" s="63"/>
      <c r="K2461" s="61"/>
      <c r="L2461" s="62">
        <v>0</v>
      </c>
      <c r="M2461" s="63">
        <v>1000</v>
      </c>
      <c r="N2461" s="64">
        <v>2</v>
      </c>
      <c r="O2461" s="62">
        <v>0</v>
      </c>
      <c r="P2461" s="65">
        <f t="shared" si="168"/>
        <v>0</v>
      </c>
      <c r="Q2461" s="66">
        <v>0</v>
      </c>
      <c r="R2461" s="66"/>
      <c r="S2461" s="66">
        <v>2000</v>
      </c>
      <c r="T2461" s="66"/>
      <c r="U2461" s="12">
        <v>0</v>
      </c>
      <c r="V2461" s="66"/>
      <c r="W2461" s="66"/>
      <c r="X2461" s="66"/>
      <c r="Y2461" s="66"/>
      <c r="Z2461" s="66"/>
      <c r="AA2461" s="66">
        <v>2000</v>
      </c>
      <c r="AB2461" s="66"/>
      <c r="AC2461" s="66">
        <v>0</v>
      </c>
      <c r="AD2461" s="66"/>
      <c r="AE2461" s="66"/>
      <c r="AF2461" s="66"/>
      <c r="AG2461" s="66"/>
      <c r="AH2461" s="66"/>
      <c r="AI2461" s="66"/>
      <c r="AJ2461" s="66"/>
      <c r="AK2461" s="66"/>
      <c r="AL2461" s="66"/>
      <c r="AM2461" s="66"/>
      <c r="AN2461" s="66"/>
      <c r="AO2461" s="66"/>
      <c r="AP2461" s="66"/>
      <c r="AQ2461" s="66"/>
      <c r="AR2461" s="66"/>
      <c r="AS2461" s="66"/>
      <c r="AT2461" s="66"/>
      <c r="AU2461" s="66"/>
      <c r="AV2461" s="66"/>
      <c r="AW2461" s="66"/>
      <c r="AX2461" s="66"/>
      <c r="AY2461" s="66"/>
      <c r="AZ2461" s="66"/>
      <c r="BA2461" s="66"/>
      <c r="BB2461" s="66"/>
      <c r="BC2461" s="66"/>
      <c r="BD2461" s="66"/>
      <c r="BE2461" s="67"/>
      <c r="BF2461" s="67"/>
      <c r="BG2461" s="68"/>
      <c r="BI2461" s="69">
        <v>0</v>
      </c>
      <c r="BJ2461" s="70">
        <v>0</v>
      </c>
      <c r="BK2461" s="71">
        <v>0</v>
      </c>
      <c r="BL2461" s="71">
        <v>0</v>
      </c>
      <c r="BM2461" s="71">
        <v>0</v>
      </c>
      <c r="BN2461" s="72">
        <v>0</v>
      </c>
      <c r="BO2461" s="151" t="e">
        <f t="shared" si="164"/>
        <v>#DIV/0!</v>
      </c>
      <c r="BP2461" s="151" t="e">
        <f t="shared" si="165"/>
        <v>#DIV/0!</v>
      </c>
      <c r="BQ2461" s="71">
        <v>0</v>
      </c>
      <c r="BR2461" s="71">
        <v>0</v>
      </c>
      <c r="BS2461" s="71">
        <v>0</v>
      </c>
      <c r="BT2461" s="72">
        <v>0</v>
      </c>
      <c r="BU2461" s="151" t="e">
        <f t="shared" si="166"/>
        <v>#DIV/0!</v>
      </c>
      <c r="BV2461" s="151" t="e">
        <f t="shared" si="167"/>
        <v>#DIV/0!</v>
      </c>
    </row>
    <row r="2462" ht="30" customHeight="1" spans="1:74">
      <c r="A2462" s="55">
        <v>0</v>
      </c>
      <c r="B2462" s="56">
        <v>0</v>
      </c>
      <c r="C2462" s="57">
        <v>0</v>
      </c>
      <c r="D2462" s="92"/>
      <c r="E2462" s="92"/>
      <c r="F2462" s="91" t="e">
        <f>VLOOKUP(E2462,[1]库存!$B$1:$C$65536,2,FALSE)</f>
        <v>#N/A</v>
      </c>
      <c r="G2462" s="91" t="e">
        <v>#N/A</v>
      </c>
      <c r="H2462" s="92"/>
      <c r="I2462" s="92"/>
      <c r="J2462" s="87"/>
      <c r="K2462" s="61"/>
      <c r="L2462" s="62">
        <v>0</v>
      </c>
      <c r="M2462" s="63">
        <v>0</v>
      </c>
      <c r="N2462" s="64">
        <v>0</v>
      </c>
      <c r="O2462" s="62">
        <v>0</v>
      </c>
      <c r="P2462" s="65">
        <f t="shared" si="168"/>
        <v>0</v>
      </c>
      <c r="Q2462" s="66"/>
      <c r="R2462" s="66"/>
      <c r="S2462" s="66">
        <v>2000</v>
      </c>
      <c r="T2462" s="66"/>
      <c r="U2462" s="66"/>
      <c r="V2462" s="66"/>
      <c r="W2462" s="103"/>
      <c r="X2462" s="66"/>
      <c r="Y2462" s="66"/>
      <c r="Z2462" s="66"/>
      <c r="AA2462" s="66">
        <v>2000</v>
      </c>
      <c r="AB2462" s="66"/>
      <c r="AC2462" s="66"/>
      <c r="AD2462" s="66"/>
      <c r="AE2462" s="66"/>
      <c r="AF2462" s="66"/>
      <c r="AG2462" s="66"/>
      <c r="AH2462" s="66"/>
      <c r="AI2462" s="66"/>
      <c r="AJ2462" s="66"/>
      <c r="AK2462" s="103"/>
      <c r="AL2462" s="66"/>
      <c r="AM2462" s="66"/>
      <c r="AN2462" s="66"/>
      <c r="AO2462" s="66"/>
      <c r="AP2462" s="66"/>
      <c r="AQ2462" s="66"/>
      <c r="AR2462" s="66"/>
      <c r="AS2462" s="66"/>
      <c r="AT2462" s="66"/>
      <c r="AU2462" s="66"/>
      <c r="AV2462" s="66"/>
      <c r="AW2462" s="66"/>
      <c r="AX2462" s="66"/>
      <c r="AY2462" s="103"/>
      <c r="AZ2462" s="66"/>
      <c r="BA2462" s="66"/>
      <c r="BB2462" s="66"/>
      <c r="BC2462" s="66"/>
      <c r="BD2462" s="66"/>
      <c r="BE2462" s="67"/>
      <c r="BF2462" s="67"/>
      <c r="BG2462" s="68"/>
      <c r="BI2462" s="69">
        <v>0</v>
      </c>
      <c r="BJ2462" s="70">
        <v>0</v>
      </c>
      <c r="BK2462" s="71">
        <v>0</v>
      </c>
      <c r="BL2462" s="71">
        <v>0</v>
      </c>
      <c r="BM2462" s="71">
        <v>0</v>
      </c>
      <c r="BN2462" s="72">
        <v>0</v>
      </c>
      <c r="BO2462" s="151" t="e">
        <f t="shared" si="164"/>
        <v>#DIV/0!</v>
      </c>
      <c r="BP2462" s="151" t="e">
        <f t="shared" si="165"/>
        <v>#DIV/0!</v>
      </c>
      <c r="BQ2462" s="71">
        <v>0</v>
      </c>
      <c r="BR2462" s="71">
        <v>0</v>
      </c>
      <c r="BS2462" s="71">
        <v>0</v>
      </c>
      <c r="BT2462" s="72">
        <v>0</v>
      </c>
      <c r="BU2462" s="151" t="e">
        <f t="shared" si="166"/>
        <v>#DIV/0!</v>
      </c>
      <c r="BV2462" s="151" t="e">
        <f t="shared" si="167"/>
        <v>#DIV/0!</v>
      </c>
    </row>
    <row r="2463" ht="30" customHeight="1" spans="1:74">
      <c r="A2463" s="55">
        <v>0</v>
      </c>
      <c r="B2463" s="56" t="s">
        <v>1237</v>
      </c>
      <c r="C2463" s="57" t="s">
        <v>3341</v>
      </c>
      <c r="D2463" s="91" t="s">
        <v>3697</v>
      </c>
      <c r="E2463" s="91" t="s">
        <v>3833</v>
      </c>
      <c r="F2463" s="91" t="str">
        <f>VLOOKUP(E2463,[1]库存!$B$1:$C$65536,2,FALSE)</f>
        <v>E245 CAB导气袋</v>
      </c>
      <c r="G2463" s="91" t="s">
        <v>3834</v>
      </c>
      <c r="H2463" s="91" t="s">
        <v>3835</v>
      </c>
      <c r="I2463" s="91"/>
      <c r="J2463" s="63"/>
      <c r="K2463" s="61"/>
      <c r="L2463" s="62">
        <v>0.7</v>
      </c>
      <c r="M2463" s="63">
        <v>1000</v>
      </c>
      <c r="N2463" s="64">
        <v>3</v>
      </c>
      <c r="O2463" s="62">
        <v>0.7</v>
      </c>
      <c r="P2463" s="65">
        <f t="shared" si="168"/>
        <v>0</v>
      </c>
      <c r="Q2463" s="66">
        <v>0</v>
      </c>
      <c r="R2463" s="66"/>
      <c r="S2463" s="66">
        <v>2000</v>
      </c>
      <c r="T2463" s="66"/>
      <c r="U2463" s="12">
        <v>0</v>
      </c>
      <c r="V2463" s="66"/>
      <c r="W2463" s="66"/>
      <c r="X2463" s="66"/>
      <c r="Y2463" s="66"/>
      <c r="Z2463" s="66"/>
      <c r="AA2463" s="66">
        <v>2000</v>
      </c>
      <c r="AB2463" s="66"/>
      <c r="AC2463" s="66">
        <v>0</v>
      </c>
      <c r="AD2463" s="66"/>
      <c r="AE2463" s="66"/>
      <c r="AF2463" s="66"/>
      <c r="AG2463" s="66"/>
      <c r="AH2463" s="66"/>
      <c r="AI2463" s="66"/>
      <c r="AJ2463" s="66"/>
      <c r="AK2463" s="66"/>
      <c r="AL2463" s="66"/>
      <c r="AM2463" s="66"/>
      <c r="AN2463" s="66"/>
      <c r="AO2463" s="66"/>
      <c r="AP2463" s="66"/>
      <c r="AQ2463" s="66"/>
      <c r="AR2463" s="66"/>
      <c r="AS2463" s="66"/>
      <c r="AT2463" s="66"/>
      <c r="AU2463" s="66"/>
      <c r="AV2463" s="66"/>
      <c r="AW2463" s="66"/>
      <c r="AX2463" s="66"/>
      <c r="AY2463" s="66"/>
      <c r="AZ2463" s="66"/>
      <c r="BA2463" s="66"/>
      <c r="BB2463" s="66"/>
      <c r="BC2463" s="66"/>
      <c r="BD2463" s="66"/>
      <c r="BE2463" s="67"/>
      <c r="BF2463" s="67"/>
      <c r="BG2463" s="68"/>
      <c r="BI2463" s="69">
        <v>0</v>
      </c>
      <c r="BJ2463" s="70">
        <v>0</v>
      </c>
      <c r="BK2463" s="71">
        <v>0</v>
      </c>
      <c r="BL2463" s="71">
        <v>0</v>
      </c>
      <c r="BM2463" s="71">
        <v>0</v>
      </c>
      <c r="BN2463" s="72">
        <v>0</v>
      </c>
      <c r="BO2463" s="151" t="e">
        <f t="shared" si="164"/>
        <v>#DIV/0!</v>
      </c>
      <c r="BP2463" s="151" t="e">
        <f t="shared" si="165"/>
        <v>#DIV/0!</v>
      </c>
      <c r="BQ2463" s="71">
        <v>0</v>
      </c>
      <c r="BR2463" s="71">
        <v>0</v>
      </c>
      <c r="BS2463" s="71">
        <v>0</v>
      </c>
      <c r="BT2463" s="72">
        <v>0</v>
      </c>
      <c r="BU2463" s="151" t="e">
        <f t="shared" si="166"/>
        <v>#DIV/0!</v>
      </c>
      <c r="BV2463" s="151" t="e">
        <f t="shared" si="167"/>
        <v>#DIV/0!</v>
      </c>
    </row>
    <row r="2464" ht="30" customHeight="1" spans="1:74">
      <c r="A2464" s="55">
        <v>0</v>
      </c>
      <c r="B2464" s="56">
        <v>0</v>
      </c>
      <c r="C2464" s="57">
        <v>0</v>
      </c>
      <c r="D2464" s="92"/>
      <c r="E2464" s="92"/>
      <c r="F2464" s="91" t="e">
        <f>VLOOKUP(E2464,[1]库存!$B$1:$C$65536,2,FALSE)</f>
        <v>#N/A</v>
      </c>
      <c r="G2464" s="91" t="e">
        <v>#N/A</v>
      </c>
      <c r="H2464" s="92"/>
      <c r="I2464" s="92"/>
      <c r="J2464" s="87"/>
      <c r="K2464" s="61"/>
      <c r="L2464" s="62">
        <v>0</v>
      </c>
      <c r="M2464" s="63">
        <v>0</v>
      </c>
      <c r="N2464" s="64">
        <v>0</v>
      </c>
      <c r="O2464" s="62">
        <v>0</v>
      </c>
      <c r="P2464" s="65">
        <f t="shared" si="168"/>
        <v>0</v>
      </c>
      <c r="Q2464" s="66"/>
      <c r="R2464" s="66"/>
      <c r="S2464" s="66">
        <v>2080</v>
      </c>
      <c r="T2464" s="66"/>
      <c r="U2464" s="66"/>
      <c r="V2464" s="66"/>
      <c r="W2464" s="103"/>
      <c r="X2464" s="66"/>
      <c r="Y2464" s="66"/>
      <c r="Z2464" s="66"/>
      <c r="AA2464" s="66">
        <v>2033</v>
      </c>
      <c r="AB2464" s="66"/>
      <c r="AC2464" s="66"/>
      <c r="AD2464" s="66"/>
      <c r="AE2464" s="66"/>
      <c r="AF2464" s="66"/>
      <c r="AG2464" s="66"/>
      <c r="AH2464" s="66"/>
      <c r="AI2464" s="66"/>
      <c r="AJ2464" s="66"/>
      <c r="AK2464" s="103"/>
      <c r="AL2464" s="66"/>
      <c r="AM2464" s="66"/>
      <c r="AN2464" s="66"/>
      <c r="AO2464" s="66"/>
      <c r="AP2464" s="66"/>
      <c r="AQ2464" s="66"/>
      <c r="AR2464" s="66"/>
      <c r="AS2464" s="66"/>
      <c r="AT2464" s="66"/>
      <c r="AU2464" s="66"/>
      <c r="AV2464" s="66"/>
      <c r="AW2464" s="66"/>
      <c r="AX2464" s="66"/>
      <c r="AY2464" s="103"/>
      <c r="AZ2464" s="66"/>
      <c r="BA2464" s="66"/>
      <c r="BB2464" s="66"/>
      <c r="BC2464" s="66"/>
      <c r="BD2464" s="66"/>
      <c r="BE2464" s="67"/>
      <c r="BF2464" s="67"/>
      <c r="BG2464" s="68"/>
      <c r="BI2464" s="69">
        <v>0</v>
      </c>
      <c r="BJ2464" s="70">
        <v>0</v>
      </c>
      <c r="BK2464" s="71">
        <v>0</v>
      </c>
      <c r="BL2464" s="71">
        <v>0</v>
      </c>
      <c r="BM2464" s="71">
        <v>0</v>
      </c>
      <c r="BN2464" s="72">
        <v>0</v>
      </c>
      <c r="BO2464" s="151" t="e">
        <f t="shared" si="164"/>
        <v>#DIV/0!</v>
      </c>
      <c r="BP2464" s="151" t="e">
        <f t="shared" si="165"/>
        <v>#DIV/0!</v>
      </c>
      <c r="BQ2464" s="71">
        <v>0</v>
      </c>
      <c r="BR2464" s="71">
        <v>0</v>
      </c>
      <c r="BS2464" s="71">
        <v>0</v>
      </c>
      <c r="BT2464" s="72">
        <v>0</v>
      </c>
      <c r="BU2464" s="151" t="e">
        <f t="shared" si="166"/>
        <v>#DIV/0!</v>
      </c>
      <c r="BV2464" s="151" t="e">
        <f t="shared" si="167"/>
        <v>#DIV/0!</v>
      </c>
    </row>
    <row r="2465" ht="30" customHeight="1" spans="1:74">
      <c r="A2465" s="55" t="s">
        <v>96</v>
      </c>
      <c r="B2465" s="56" t="s">
        <v>1237</v>
      </c>
      <c r="C2465" s="57" t="s">
        <v>3341</v>
      </c>
      <c r="D2465" s="91" t="s">
        <v>3836</v>
      </c>
      <c r="E2465" s="91" t="s">
        <v>3837</v>
      </c>
      <c r="F2465" s="91" t="str">
        <f>VLOOKUP(E2465,[1]库存!$B$1:$C$65536,2,FALSE)</f>
        <v>GEELY E245 CAB LH</v>
      </c>
      <c r="G2465" s="91" t="s">
        <v>3838</v>
      </c>
      <c r="H2465" s="91" t="s">
        <v>3839</v>
      </c>
      <c r="I2465" s="91" t="s">
        <v>3687</v>
      </c>
      <c r="J2465" s="63"/>
      <c r="K2465" s="61"/>
      <c r="L2465" s="62">
        <v>1</v>
      </c>
      <c r="M2465" s="63">
        <v>420</v>
      </c>
      <c r="N2465" s="64">
        <v>4</v>
      </c>
      <c r="O2465" s="62">
        <v>1</v>
      </c>
      <c r="P2465" s="65">
        <f t="shared" si="168"/>
        <v>0</v>
      </c>
      <c r="Q2465" s="103">
        <v>420</v>
      </c>
      <c r="R2465" s="103"/>
      <c r="S2465" s="103">
        <v>420</v>
      </c>
      <c r="T2465" s="103"/>
      <c r="U2465" s="103">
        <v>0</v>
      </c>
      <c r="V2465" s="103"/>
      <c r="W2465" s="103"/>
      <c r="X2465" s="103"/>
      <c r="Y2465" s="103"/>
      <c r="Z2465" s="103"/>
      <c r="AA2465" s="103">
        <v>420</v>
      </c>
      <c r="AB2465" s="103"/>
      <c r="AC2465" s="103">
        <v>250</v>
      </c>
      <c r="AD2465" s="103"/>
      <c r="AE2465" s="103"/>
      <c r="AF2465" s="103"/>
      <c r="AG2465" s="103"/>
      <c r="AH2465" s="103"/>
      <c r="AI2465" s="103"/>
      <c r="AJ2465" s="103"/>
      <c r="AK2465" s="103"/>
      <c r="AL2465" s="103"/>
      <c r="AM2465" s="103"/>
      <c r="AN2465" s="103"/>
      <c r="AO2465" s="103"/>
      <c r="AP2465" s="103"/>
      <c r="AQ2465" s="103"/>
      <c r="AR2465" s="103"/>
      <c r="AS2465" s="103"/>
      <c r="AT2465" s="103"/>
      <c r="AU2465" s="103"/>
      <c r="AV2465" s="103"/>
      <c r="AW2465" s="103"/>
      <c r="AX2465" s="103"/>
      <c r="AY2465" s="103"/>
      <c r="AZ2465" s="103"/>
      <c r="BA2465" s="103"/>
      <c r="BB2465" s="103"/>
      <c r="BC2465" s="103"/>
      <c r="BD2465" s="103"/>
      <c r="BE2465" s="105"/>
      <c r="BF2465" s="105"/>
      <c r="BG2465" s="68"/>
      <c r="BI2465" s="69">
        <v>0</v>
      </c>
      <c r="BJ2465" s="70">
        <v>0</v>
      </c>
      <c r="BK2465" s="71">
        <v>0</v>
      </c>
      <c r="BL2465" s="71">
        <v>0</v>
      </c>
      <c r="BM2465" s="71">
        <v>0</v>
      </c>
      <c r="BN2465" s="72">
        <v>0</v>
      </c>
      <c r="BO2465" s="151" t="e">
        <f t="shared" si="164"/>
        <v>#DIV/0!</v>
      </c>
      <c r="BP2465" s="151" t="e">
        <f t="shared" si="165"/>
        <v>#DIV/0!</v>
      </c>
      <c r="BQ2465" s="71">
        <v>0</v>
      </c>
      <c r="BR2465" s="71">
        <v>0</v>
      </c>
      <c r="BS2465" s="71">
        <v>0</v>
      </c>
      <c r="BT2465" s="72">
        <v>0</v>
      </c>
      <c r="BU2465" s="151" t="e">
        <f t="shared" si="166"/>
        <v>#DIV/0!</v>
      </c>
      <c r="BV2465" s="151" t="e">
        <f t="shared" si="167"/>
        <v>#DIV/0!</v>
      </c>
    </row>
    <row r="2466" ht="30" customHeight="1" spans="1:74">
      <c r="A2466" s="55">
        <v>0</v>
      </c>
      <c r="B2466" s="56">
        <v>0</v>
      </c>
      <c r="C2466" s="57">
        <v>0</v>
      </c>
      <c r="D2466" s="92"/>
      <c r="E2466" s="92"/>
      <c r="F2466" s="91" t="e">
        <f>VLOOKUP(E2466,[1]库存!$B$1:$C$65536,2,FALSE)</f>
        <v>#N/A</v>
      </c>
      <c r="G2466" s="91" t="e">
        <v>#N/A</v>
      </c>
      <c r="H2466" s="92"/>
      <c r="I2466" s="92"/>
      <c r="J2466" s="87"/>
      <c r="K2466" s="61"/>
      <c r="L2466" s="62">
        <v>0</v>
      </c>
      <c r="M2466" s="63">
        <v>0</v>
      </c>
      <c r="N2466" s="64">
        <v>0</v>
      </c>
      <c r="O2466" s="62">
        <v>0</v>
      </c>
      <c r="P2466" s="65">
        <f t="shared" si="168"/>
        <v>0</v>
      </c>
      <c r="Q2466" s="103">
        <v>390</v>
      </c>
      <c r="R2466" s="103"/>
      <c r="S2466" s="103">
        <v>440</v>
      </c>
      <c r="T2466" s="103"/>
      <c r="U2466" s="103"/>
      <c r="V2466" s="103"/>
      <c r="W2466" s="103"/>
      <c r="X2466" s="103"/>
      <c r="Y2466" s="103"/>
      <c r="Z2466" s="103"/>
      <c r="AA2466" s="103">
        <v>437</v>
      </c>
      <c r="AB2466" s="103"/>
      <c r="AC2466" s="103" t="s">
        <v>3840</v>
      </c>
      <c r="AD2466" s="103"/>
      <c r="AE2466" s="103"/>
      <c r="AF2466" s="103"/>
      <c r="AG2466" s="103"/>
      <c r="AH2466" s="103"/>
      <c r="AI2466" s="103"/>
      <c r="AJ2466" s="103"/>
      <c r="AK2466" s="103"/>
      <c r="AL2466" s="103"/>
      <c r="AM2466" s="103"/>
      <c r="AN2466" s="103"/>
      <c r="AO2466" s="103"/>
      <c r="AP2466" s="103"/>
      <c r="AQ2466" s="103"/>
      <c r="AR2466" s="103"/>
      <c r="AS2466" s="103"/>
      <c r="AT2466" s="103"/>
      <c r="AU2466" s="103"/>
      <c r="AV2466" s="103"/>
      <c r="AW2466" s="103"/>
      <c r="AX2466" s="103"/>
      <c r="AY2466" s="103"/>
      <c r="AZ2466" s="103"/>
      <c r="BA2466" s="103"/>
      <c r="BB2466" s="103"/>
      <c r="BC2466" s="103"/>
      <c r="BD2466" s="103"/>
      <c r="BE2466" s="67"/>
      <c r="BF2466" s="67"/>
      <c r="BG2466" s="68"/>
      <c r="BI2466" s="69">
        <v>0</v>
      </c>
      <c r="BJ2466" s="70">
        <v>0</v>
      </c>
      <c r="BK2466" s="71">
        <v>0</v>
      </c>
      <c r="BL2466" s="71">
        <v>0</v>
      </c>
      <c r="BM2466" s="71">
        <v>0</v>
      </c>
      <c r="BN2466" s="72">
        <v>0</v>
      </c>
      <c r="BO2466" s="151" t="e">
        <f t="shared" si="164"/>
        <v>#DIV/0!</v>
      </c>
      <c r="BP2466" s="151" t="e">
        <f t="shared" si="165"/>
        <v>#DIV/0!</v>
      </c>
      <c r="BQ2466" s="71">
        <v>0</v>
      </c>
      <c r="BR2466" s="71">
        <v>0</v>
      </c>
      <c r="BS2466" s="71">
        <v>0</v>
      </c>
      <c r="BT2466" s="72">
        <v>0</v>
      </c>
      <c r="BU2466" s="151" t="e">
        <f t="shared" si="166"/>
        <v>#DIV/0!</v>
      </c>
      <c r="BV2466" s="151" t="e">
        <f t="shared" si="167"/>
        <v>#DIV/0!</v>
      </c>
    </row>
    <row r="2467" ht="30" customHeight="1" spans="1:74">
      <c r="A2467" s="55">
        <v>0</v>
      </c>
      <c r="B2467" s="56" t="s">
        <v>1237</v>
      </c>
      <c r="C2467" s="57" t="s">
        <v>3341</v>
      </c>
      <c r="D2467" s="59" t="s">
        <v>3836</v>
      </c>
      <c r="E2467" s="187"/>
      <c r="F2467" s="59" t="e">
        <f>VLOOKUP(E2467,[1]库存!$B$1:$C$65536,2,FALSE)</f>
        <v>#N/A</v>
      </c>
      <c r="G2467" s="59" t="e">
        <v>#N/A</v>
      </c>
      <c r="H2467" s="59" t="s">
        <v>3841</v>
      </c>
      <c r="I2467" s="59" t="s">
        <v>3687</v>
      </c>
      <c r="J2467" s="183" t="s">
        <v>3842</v>
      </c>
      <c r="K2467" s="61"/>
      <c r="L2467" s="62">
        <v>1</v>
      </c>
      <c r="M2467" s="63">
        <v>420</v>
      </c>
      <c r="N2467" s="64">
        <v>4</v>
      </c>
      <c r="O2467" s="62">
        <v>1</v>
      </c>
      <c r="P2467" s="65">
        <f t="shared" si="168"/>
        <v>0</v>
      </c>
      <c r="Q2467" s="66"/>
      <c r="R2467" s="66"/>
      <c r="S2467" s="66"/>
      <c r="T2467" s="66"/>
      <c r="U2467" s="66"/>
      <c r="V2467" s="66"/>
      <c r="W2467" s="66"/>
      <c r="X2467" s="66"/>
      <c r="Y2467" s="66"/>
      <c r="Z2467" s="66"/>
      <c r="AA2467" s="66"/>
      <c r="AB2467" s="66"/>
      <c r="AC2467" s="66"/>
      <c r="AD2467" s="66"/>
      <c r="AE2467" s="66"/>
      <c r="AF2467" s="66"/>
      <c r="AG2467" s="66"/>
      <c r="AH2467" s="66"/>
      <c r="AI2467" s="66"/>
      <c r="AJ2467" s="66"/>
      <c r="AK2467" s="66"/>
      <c r="AL2467" s="66"/>
      <c r="AM2467" s="66"/>
      <c r="AN2467" s="66"/>
      <c r="AO2467" s="66"/>
      <c r="AP2467" s="66"/>
      <c r="AQ2467" s="66"/>
      <c r="AR2467" s="66"/>
      <c r="AS2467" s="66"/>
      <c r="AT2467" s="66"/>
      <c r="AU2467" s="66"/>
      <c r="AV2467" s="66"/>
      <c r="AW2467" s="66"/>
      <c r="AX2467" s="66"/>
      <c r="AY2467" s="66"/>
      <c r="AZ2467" s="66"/>
      <c r="BA2467" s="66"/>
      <c r="BB2467" s="66"/>
      <c r="BC2467" s="66"/>
      <c r="BD2467" s="66"/>
      <c r="BE2467" s="67"/>
      <c r="BF2467" s="67"/>
      <c r="BG2467" s="68"/>
      <c r="BI2467" s="69">
        <v>0</v>
      </c>
      <c r="BJ2467" s="70">
        <v>0</v>
      </c>
      <c r="BK2467" s="71">
        <v>0</v>
      </c>
      <c r="BL2467" s="71">
        <v>0</v>
      </c>
      <c r="BM2467" s="71">
        <v>0</v>
      </c>
      <c r="BN2467" s="72">
        <v>0</v>
      </c>
      <c r="BO2467" s="151" t="e">
        <f t="shared" si="164"/>
        <v>#DIV/0!</v>
      </c>
      <c r="BP2467" s="151" t="e">
        <f t="shared" si="165"/>
        <v>#DIV/0!</v>
      </c>
      <c r="BQ2467" s="71">
        <v>0</v>
      </c>
      <c r="BR2467" s="71">
        <v>0</v>
      </c>
      <c r="BS2467" s="71">
        <v>0</v>
      </c>
      <c r="BT2467" s="72">
        <v>0</v>
      </c>
      <c r="BU2467" s="151" t="e">
        <f t="shared" si="166"/>
        <v>#DIV/0!</v>
      </c>
      <c r="BV2467" s="151" t="e">
        <f t="shared" si="167"/>
        <v>#DIV/0!</v>
      </c>
    </row>
    <row r="2468" ht="30" customHeight="1" spans="1:74">
      <c r="A2468" s="55">
        <v>0</v>
      </c>
      <c r="B2468" s="56">
        <v>0</v>
      </c>
      <c r="C2468" s="57">
        <v>0</v>
      </c>
      <c r="D2468" s="74"/>
      <c r="E2468" s="211"/>
      <c r="F2468" s="59" t="e">
        <f>VLOOKUP(E2468,[1]库存!$B$1:$C$65536,2,FALSE)</f>
        <v>#N/A</v>
      </c>
      <c r="G2468" s="59" t="e">
        <v>#N/A</v>
      </c>
      <c r="H2468" s="74"/>
      <c r="I2468" s="74"/>
      <c r="J2468" s="184"/>
      <c r="K2468" s="61"/>
      <c r="L2468" s="62">
        <v>0</v>
      </c>
      <c r="M2468" s="63">
        <v>0</v>
      </c>
      <c r="N2468" s="64">
        <v>0</v>
      </c>
      <c r="O2468" s="62">
        <v>0</v>
      </c>
      <c r="P2468" s="65">
        <f t="shared" si="168"/>
        <v>0</v>
      </c>
      <c r="Q2468" s="66"/>
      <c r="R2468" s="66"/>
      <c r="S2468" s="66"/>
      <c r="T2468" s="66"/>
      <c r="U2468" s="66"/>
      <c r="V2468" s="66"/>
      <c r="W2468" s="66"/>
      <c r="X2468" s="66"/>
      <c r="Y2468" s="66"/>
      <c r="Z2468" s="66"/>
      <c r="AA2468" s="66"/>
      <c r="AB2468" s="66"/>
      <c r="AC2468" s="66"/>
      <c r="AD2468" s="66"/>
      <c r="AE2468" s="66"/>
      <c r="AF2468" s="66"/>
      <c r="AG2468" s="66"/>
      <c r="AH2468" s="66"/>
      <c r="AI2468" s="66"/>
      <c r="AJ2468" s="66"/>
      <c r="AK2468" s="66"/>
      <c r="AL2468" s="66"/>
      <c r="AM2468" s="66"/>
      <c r="AN2468" s="66"/>
      <c r="AO2468" s="66"/>
      <c r="AP2468" s="66"/>
      <c r="AQ2468" s="66"/>
      <c r="AR2468" s="66"/>
      <c r="AS2468" s="66"/>
      <c r="AT2468" s="66"/>
      <c r="AU2468" s="66"/>
      <c r="AV2468" s="66"/>
      <c r="AW2468" s="66"/>
      <c r="AX2468" s="66"/>
      <c r="AY2468" s="66"/>
      <c r="AZ2468" s="66"/>
      <c r="BA2468" s="66"/>
      <c r="BB2468" s="66"/>
      <c r="BC2468" s="66"/>
      <c r="BD2468" s="66"/>
      <c r="BE2468" s="67"/>
      <c r="BF2468" s="67"/>
      <c r="BG2468" s="68"/>
      <c r="BI2468" s="69">
        <v>0</v>
      </c>
      <c r="BJ2468" s="70">
        <v>0</v>
      </c>
      <c r="BK2468" s="71">
        <v>0</v>
      </c>
      <c r="BL2468" s="71">
        <v>0</v>
      </c>
      <c r="BM2468" s="71">
        <v>0</v>
      </c>
      <c r="BN2468" s="72">
        <v>0</v>
      </c>
      <c r="BO2468" s="151" t="e">
        <f t="shared" si="164"/>
        <v>#DIV/0!</v>
      </c>
      <c r="BP2468" s="151" t="e">
        <f t="shared" si="165"/>
        <v>#DIV/0!</v>
      </c>
      <c r="BQ2468" s="71">
        <v>0</v>
      </c>
      <c r="BR2468" s="71">
        <v>0</v>
      </c>
      <c r="BS2468" s="71">
        <v>0</v>
      </c>
      <c r="BT2468" s="72">
        <v>0</v>
      </c>
      <c r="BU2468" s="151" t="e">
        <f t="shared" si="166"/>
        <v>#DIV/0!</v>
      </c>
      <c r="BV2468" s="151" t="e">
        <f t="shared" si="167"/>
        <v>#DIV/0!</v>
      </c>
    </row>
    <row r="2469" ht="30" customHeight="1" spans="1:74">
      <c r="A2469" s="55">
        <v>0</v>
      </c>
      <c r="B2469" s="56" t="s">
        <v>1237</v>
      </c>
      <c r="C2469" s="57" t="s">
        <v>3341</v>
      </c>
      <c r="D2469" s="59" t="s">
        <v>3227</v>
      </c>
      <c r="E2469" s="59" t="s">
        <v>3843</v>
      </c>
      <c r="F2469" s="59" t="str">
        <f>VLOOKUP(E2469,[1]库存!$B$1:$C$65536,2,FALSE)</f>
        <v>EP22 EU CAB 拉带</v>
      </c>
      <c r="G2469" s="59" t="s">
        <v>3844</v>
      </c>
      <c r="H2469" s="59" t="s">
        <v>3845</v>
      </c>
      <c r="I2469" s="59"/>
      <c r="J2469" s="63"/>
      <c r="K2469" s="61"/>
      <c r="L2469" s="62">
        <v>0</v>
      </c>
      <c r="M2469" s="63">
        <v>1000</v>
      </c>
      <c r="N2469" s="64">
        <v>2</v>
      </c>
      <c r="O2469" s="62">
        <v>0</v>
      </c>
      <c r="P2469" s="65">
        <f t="shared" si="168"/>
        <v>0</v>
      </c>
      <c r="Q2469" s="66"/>
      <c r="R2469" s="66"/>
      <c r="S2469" s="66"/>
      <c r="T2469" s="66"/>
      <c r="U2469" s="66"/>
      <c r="V2469" s="66"/>
      <c r="W2469" s="66"/>
      <c r="X2469" s="66"/>
      <c r="Y2469" s="66"/>
      <c r="Z2469" s="66"/>
      <c r="AA2469" s="66"/>
      <c r="AB2469" s="66"/>
      <c r="AC2469" s="66"/>
      <c r="AD2469" s="66"/>
      <c r="AE2469" s="66"/>
      <c r="AF2469" s="66"/>
      <c r="AG2469" s="66"/>
      <c r="AH2469" s="66"/>
      <c r="AI2469" s="66"/>
      <c r="AJ2469" s="66"/>
      <c r="AK2469" s="66"/>
      <c r="AL2469" s="66"/>
      <c r="AM2469" s="66"/>
      <c r="AN2469" s="66"/>
      <c r="AO2469" s="66"/>
      <c r="AP2469" s="66"/>
      <c r="AQ2469" s="66"/>
      <c r="AR2469" s="66"/>
      <c r="AS2469" s="66"/>
      <c r="AT2469" s="66"/>
      <c r="AU2469" s="66"/>
      <c r="AV2469" s="66"/>
      <c r="AW2469" s="66"/>
      <c r="AX2469" s="66"/>
      <c r="AY2469" s="66"/>
      <c r="AZ2469" s="66"/>
      <c r="BA2469" s="66"/>
      <c r="BB2469" s="66"/>
      <c r="BC2469" s="66"/>
      <c r="BD2469" s="66"/>
      <c r="BE2469" s="67"/>
      <c r="BF2469" s="67"/>
      <c r="BG2469" s="68"/>
      <c r="BI2469" s="69">
        <v>0</v>
      </c>
      <c r="BJ2469" s="70">
        <v>0</v>
      </c>
      <c r="BK2469" s="71">
        <v>0</v>
      </c>
      <c r="BL2469" s="71">
        <v>0</v>
      </c>
      <c r="BM2469" s="71">
        <v>0</v>
      </c>
      <c r="BN2469" s="72">
        <v>0</v>
      </c>
      <c r="BO2469" s="151" t="e">
        <f t="shared" si="164"/>
        <v>#DIV/0!</v>
      </c>
      <c r="BP2469" s="151" t="e">
        <f t="shared" si="165"/>
        <v>#DIV/0!</v>
      </c>
      <c r="BQ2469" s="71">
        <v>0</v>
      </c>
      <c r="BR2469" s="71">
        <v>0</v>
      </c>
      <c r="BS2469" s="71">
        <v>0</v>
      </c>
      <c r="BT2469" s="72">
        <v>0</v>
      </c>
      <c r="BU2469" s="151" t="e">
        <f t="shared" si="166"/>
        <v>#DIV/0!</v>
      </c>
      <c r="BV2469" s="151" t="e">
        <f t="shared" si="167"/>
        <v>#DIV/0!</v>
      </c>
    </row>
    <row r="2470" ht="30" customHeight="1" spans="1:74">
      <c r="A2470" s="55">
        <v>0</v>
      </c>
      <c r="B2470" s="56">
        <v>0</v>
      </c>
      <c r="C2470" s="57">
        <v>0</v>
      </c>
      <c r="D2470" s="74"/>
      <c r="E2470" s="74"/>
      <c r="F2470" s="59" t="e">
        <f>VLOOKUP(E2470,[1]库存!$B$1:$C$65536,2,FALSE)</f>
        <v>#N/A</v>
      </c>
      <c r="G2470" s="59" t="e">
        <v>#N/A</v>
      </c>
      <c r="H2470" s="74"/>
      <c r="I2470" s="74"/>
      <c r="J2470" s="87"/>
      <c r="K2470" s="61"/>
      <c r="L2470" s="62">
        <v>0</v>
      </c>
      <c r="M2470" s="63">
        <v>0</v>
      </c>
      <c r="N2470" s="64">
        <v>0</v>
      </c>
      <c r="O2470" s="62">
        <v>0</v>
      </c>
      <c r="P2470" s="65">
        <f t="shared" si="168"/>
        <v>0</v>
      </c>
      <c r="Q2470" s="66"/>
      <c r="R2470" s="66"/>
      <c r="S2470" s="66"/>
      <c r="T2470" s="66"/>
      <c r="U2470" s="66"/>
      <c r="V2470" s="66"/>
      <c r="W2470" s="66"/>
      <c r="X2470" s="66"/>
      <c r="Y2470" s="66"/>
      <c r="Z2470" s="66"/>
      <c r="AA2470" s="66"/>
      <c r="AB2470" s="66"/>
      <c r="AC2470" s="66"/>
      <c r="AD2470" s="66"/>
      <c r="AE2470" s="66"/>
      <c r="AF2470" s="66"/>
      <c r="AG2470" s="66"/>
      <c r="AH2470" s="66"/>
      <c r="AI2470" s="66"/>
      <c r="AJ2470" s="66"/>
      <c r="AK2470" s="66"/>
      <c r="AL2470" s="66"/>
      <c r="AM2470" s="66"/>
      <c r="AN2470" s="66"/>
      <c r="AO2470" s="66"/>
      <c r="AP2470" s="66"/>
      <c r="AQ2470" s="66"/>
      <c r="AR2470" s="66"/>
      <c r="AS2470" s="66"/>
      <c r="AT2470" s="66"/>
      <c r="AU2470" s="66"/>
      <c r="AV2470" s="66"/>
      <c r="AW2470" s="66"/>
      <c r="AX2470" s="66"/>
      <c r="AY2470" s="66"/>
      <c r="AZ2470" s="66"/>
      <c r="BA2470" s="66"/>
      <c r="BB2470" s="66"/>
      <c r="BC2470" s="66"/>
      <c r="BD2470" s="66"/>
      <c r="BE2470" s="67"/>
      <c r="BF2470" s="67"/>
      <c r="BG2470" s="68"/>
      <c r="BI2470" s="69">
        <v>0</v>
      </c>
      <c r="BJ2470" s="70">
        <v>0</v>
      </c>
      <c r="BK2470" s="71">
        <v>0</v>
      </c>
      <c r="BL2470" s="71">
        <v>0</v>
      </c>
      <c r="BM2470" s="71">
        <v>0</v>
      </c>
      <c r="BN2470" s="72">
        <v>0</v>
      </c>
      <c r="BO2470" s="151" t="e">
        <f t="shared" si="164"/>
        <v>#DIV/0!</v>
      </c>
      <c r="BP2470" s="151" t="e">
        <f t="shared" si="165"/>
        <v>#DIV/0!</v>
      </c>
      <c r="BQ2470" s="71">
        <v>0</v>
      </c>
      <c r="BR2470" s="71">
        <v>0</v>
      </c>
      <c r="BS2470" s="71">
        <v>0</v>
      </c>
      <c r="BT2470" s="72">
        <v>0</v>
      </c>
      <c r="BU2470" s="151" t="e">
        <f t="shared" si="166"/>
        <v>#DIV/0!</v>
      </c>
      <c r="BV2470" s="151" t="e">
        <f t="shared" si="167"/>
        <v>#DIV/0!</v>
      </c>
    </row>
    <row r="2471" ht="30" customHeight="1" spans="1:74">
      <c r="A2471" s="55">
        <v>0</v>
      </c>
      <c r="B2471" s="56" t="s">
        <v>1237</v>
      </c>
      <c r="C2471" s="57" t="s">
        <v>3341</v>
      </c>
      <c r="D2471" s="59" t="s">
        <v>3697</v>
      </c>
      <c r="E2471" s="59" t="s">
        <v>3846</v>
      </c>
      <c r="F2471" s="59" t="str">
        <f>VLOOKUP(E2471,[1]库存!$B$1:$C$65536,2,FALSE)</f>
        <v>EP22 EU CAB 导气袋</v>
      </c>
      <c r="G2471" s="59" t="s">
        <v>3847</v>
      </c>
      <c r="H2471" s="59" t="s">
        <v>3848</v>
      </c>
      <c r="I2471" s="59"/>
      <c r="J2471" s="63"/>
      <c r="K2471" s="61"/>
      <c r="L2471" s="62">
        <v>0.7</v>
      </c>
      <c r="M2471" s="63">
        <v>1000</v>
      </c>
      <c r="N2471" s="64">
        <v>2</v>
      </c>
      <c r="O2471" s="62">
        <v>0.7</v>
      </c>
      <c r="P2471" s="65">
        <f t="shared" si="168"/>
        <v>0</v>
      </c>
      <c r="Q2471" s="66"/>
      <c r="R2471" s="66"/>
      <c r="S2471" s="66"/>
      <c r="T2471" s="66"/>
      <c r="U2471" s="66"/>
      <c r="V2471" s="66"/>
      <c r="W2471" s="66"/>
      <c r="X2471" s="66"/>
      <c r="Y2471" s="66"/>
      <c r="Z2471" s="66"/>
      <c r="AA2471" s="66"/>
      <c r="AB2471" s="66"/>
      <c r="AC2471" s="66"/>
      <c r="AD2471" s="66"/>
      <c r="AE2471" s="66"/>
      <c r="AF2471" s="66"/>
      <c r="AG2471" s="66"/>
      <c r="AH2471" s="66"/>
      <c r="AI2471" s="66"/>
      <c r="AJ2471" s="66"/>
      <c r="AK2471" s="66"/>
      <c r="AL2471" s="66"/>
      <c r="AM2471" s="66"/>
      <c r="AN2471" s="66"/>
      <c r="AO2471" s="66"/>
      <c r="AP2471" s="66"/>
      <c r="AQ2471" s="66"/>
      <c r="AR2471" s="66"/>
      <c r="AS2471" s="66"/>
      <c r="AT2471" s="66"/>
      <c r="AU2471" s="66"/>
      <c r="AV2471" s="66"/>
      <c r="AW2471" s="66"/>
      <c r="AX2471" s="66"/>
      <c r="AY2471" s="66"/>
      <c r="AZ2471" s="66"/>
      <c r="BA2471" s="66"/>
      <c r="BB2471" s="66"/>
      <c r="BC2471" s="66"/>
      <c r="BD2471" s="66"/>
      <c r="BE2471" s="67"/>
      <c r="BF2471" s="67"/>
      <c r="BG2471" s="68"/>
      <c r="BI2471" s="69">
        <v>0</v>
      </c>
      <c r="BJ2471" s="70">
        <v>0</v>
      </c>
      <c r="BK2471" s="71">
        <v>0</v>
      </c>
      <c r="BL2471" s="71">
        <v>0</v>
      </c>
      <c r="BM2471" s="71">
        <v>0</v>
      </c>
      <c r="BN2471" s="72">
        <v>0</v>
      </c>
      <c r="BO2471" s="151" t="e">
        <f t="shared" si="164"/>
        <v>#DIV/0!</v>
      </c>
      <c r="BP2471" s="151" t="e">
        <f t="shared" si="165"/>
        <v>#DIV/0!</v>
      </c>
      <c r="BQ2471" s="71">
        <v>0</v>
      </c>
      <c r="BR2471" s="71">
        <v>0</v>
      </c>
      <c r="BS2471" s="71">
        <v>0</v>
      </c>
      <c r="BT2471" s="72">
        <v>0</v>
      </c>
      <c r="BU2471" s="151" t="e">
        <f t="shared" si="166"/>
        <v>#DIV/0!</v>
      </c>
      <c r="BV2471" s="151" t="e">
        <f t="shared" si="167"/>
        <v>#DIV/0!</v>
      </c>
    </row>
    <row r="2472" ht="30" customHeight="1" spans="1:74">
      <c r="A2472" s="55">
        <v>0</v>
      </c>
      <c r="B2472" s="56">
        <v>0</v>
      </c>
      <c r="C2472" s="57">
        <v>0</v>
      </c>
      <c r="D2472" s="74"/>
      <c r="E2472" s="74"/>
      <c r="F2472" s="59" t="e">
        <f>VLOOKUP(E2472,[1]库存!$B$1:$C$65536,2,FALSE)</f>
        <v>#N/A</v>
      </c>
      <c r="G2472" s="59" t="e">
        <v>#N/A</v>
      </c>
      <c r="H2472" s="74"/>
      <c r="I2472" s="74"/>
      <c r="J2472" s="87"/>
      <c r="K2472" s="61"/>
      <c r="L2472" s="62">
        <v>0</v>
      </c>
      <c r="M2472" s="63">
        <v>0</v>
      </c>
      <c r="N2472" s="64">
        <v>0</v>
      </c>
      <c r="O2472" s="62">
        <v>0</v>
      </c>
      <c r="P2472" s="65">
        <f t="shared" si="168"/>
        <v>0</v>
      </c>
      <c r="Q2472" s="66"/>
      <c r="R2472" s="66"/>
      <c r="S2472" s="66"/>
      <c r="T2472" s="66"/>
      <c r="U2472" s="66"/>
      <c r="V2472" s="66"/>
      <c r="W2472" s="66"/>
      <c r="X2472" s="66"/>
      <c r="Y2472" s="66"/>
      <c r="Z2472" s="66"/>
      <c r="AA2472" s="66"/>
      <c r="AB2472" s="66"/>
      <c r="AC2472" s="66"/>
      <c r="AD2472" s="66"/>
      <c r="AE2472" s="66"/>
      <c r="AF2472" s="66"/>
      <c r="AG2472" s="66"/>
      <c r="AH2472" s="66"/>
      <c r="AI2472" s="66"/>
      <c r="AJ2472" s="66"/>
      <c r="AK2472" s="66"/>
      <c r="AL2472" s="66"/>
      <c r="AM2472" s="66"/>
      <c r="AN2472" s="66"/>
      <c r="AO2472" s="66"/>
      <c r="AP2472" s="66"/>
      <c r="AQ2472" s="66"/>
      <c r="AR2472" s="66"/>
      <c r="AS2472" s="66"/>
      <c r="AT2472" s="66"/>
      <c r="AU2472" s="66"/>
      <c r="AV2472" s="66"/>
      <c r="AW2472" s="66"/>
      <c r="AX2472" s="66"/>
      <c r="AY2472" s="66"/>
      <c r="AZ2472" s="66"/>
      <c r="BA2472" s="66"/>
      <c r="BB2472" s="66"/>
      <c r="BC2472" s="66"/>
      <c r="BD2472" s="66"/>
      <c r="BE2472" s="67"/>
      <c r="BF2472" s="67"/>
      <c r="BG2472" s="68"/>
      <c r="BI2472" s="69">
        <v>0</v>
      </c>
      <c r="BJ2472" s="70">
        <v>0</v>
      </c>
      <c r="BK2472" s="71">
        <v>0</v>
      </c>
      <c r="BL2472" s="71">
        <v>0</v>
      </c>
      <c r="BM2472" s="71">
        <v>0</v>
      </c>
      <c r="BN2472" s="72">
        <v>0</v>
      </c>
      <c r="BO2472" s="151" t="e">
        <f t="shared" si="164"/>
        <v>#DIV/0!</v>
      </c>
      <c r="BP2472" s="151" t="e">
        <f t="shared" si="165"/>
        <v>#DIV/0!</v>
      </c>
      <c r="BQ2472" s="71">
        <v>0</v>
      </c>
      <c r="BR2472" s="71">
        <v>0</v>
      </c>
      <c r="BS2472" s="71">
        <v>0</v>
      </c>
      <c r="BT2472" s="72">
        <v>0</v>
      </c>
      <c r="BU2472" s="151" t="e">
        <f t="shared" si="166"/>
        <v>#DIV/0!</v>
      </c>
      <c r="BV2472" s="151" t="e">
        <f t="shared" si="167"/>
        <v>#DIV/0!</v>
      </c>
    </row>
    <row r="2473" ht="30" customHeight="1" spans="1:74">
      <c r="A2473" s="55" t="s">
        <v>96</v>
      </c>
      <c r="B2473" s="56" t="s">
        <v>1237</v>
      </c>
      <c r="C2473" s="57" t="s">
        <v>3341</v>
      </c>
      <c r="D2473" s="59" t="s">
        <v>3836</v>
      </c>
      <c r="E2473" s="59" t="s">
        <v>3849</v>
      </c>
      <c r="F2473" s="59" t="str">
        <f>VLOOKUP(E2473,[1]库存!$B$1:$C$65536,2,FALSE)</f>
        <v>SAIC EP22 EU CAB LH</v>
      </c>
      <c r="G2473" s="59" t="s">
        <v>3850</v>
      </c>
      <c r="H2473" s="59" t="s">
        <v>3851</v>
      </c>
      <c r="I2473" s="59" t="s">
        <v>3852</v>
      </c>
      <c r="J2473" s="63"/>
      <c r="K2473" s="61"/>
      <c r="L2473" s="62">
        <v>1</v>
      </c>
      <c r="M2473" s="63">
        <v>350</v>
      </c>
      <c r="N2473" s="64">
        <v>3</v>
      </c>
      <c r="O2473" s="62">
        <v>1</v>
      </c>
      <c r="P2473" s="65">
        <f t="shared" si="168"/>
        <v>0</v>
      </c>
      <c r="Q2473" s="66"/>
      <c r="R2473" s="66"/>
      <c r="S2473" s="66"/>
      <c r="T2473" s="66"/>
      <c r="U2473" s="66"/>
      <c r="V2473" s="66"/>
      <c r="W2473" s="66"/>
      <c r="X2473" s="66"/>
      <c r="Y2473" s="66"/>
      <c r="Z2473" s="66"/>
      <c r="AA2473" s="66"/>
      <c r="AB2473" s="66"/>
      <c r="AC2473" s="66"/>
      <c r="AD2473" s="66"/>
      <c r="AE2473" s="66"/>
      <c r="AF2473" s="66"/>
      <c r="AG2473" s="66"/>
      <c r="AH2473" s="66"/>
      <c r="AI2473" s="66"/>
      <c r="AJ2473" s="66"/>
      <c r="AK2473" s="66"/>
      <c r="AL2473" s="66"/>
      <c r="AM2473" s="66"/>
      <c r="AN2473" s="66"/>
      <c r="AO2473" s="66"/>
      <c r="AP2473" s="66"/>
      <c r="AQ2473" s="66"/>
      <c r="AR2473" s="66"/>
      <c r="AS2473" s="66"/>
      <c r="AT2473" s="66"/>
      <c r="AU2473" s="66"/>
      <c r="AV2473" s="66"/>
      <c r="AW2473" s="66"/>
      <c r="AX2473" s="66"/>
      <c r="AY2473" s="66"/>
      <c r="AZ2473" s="66"/>
      <c r="BA2473" s="66"/>
      <c r="BB2473" s="66"/>
      <c r="BC2473" s="66"/>
      <c r="BD2473" s="66"/>
      <c r="BE2473" s="67"/>
      <c r="BF2473" s="67"/>
      <c r="BG2473" s="68"/>
      <c r="BI2473" s="69">
        <v>0</v>
      </c>
      <c r="BJ2473" s="70">
        <v>0</v>
      </c>
      <c r="BK2473" s="71">
        <v>0</v>
      </c>
      <c r="BL2473" s="71">
        <v>0</v>
      </c>
      <c r="BM2473" s="71">
        <v>0</v>
      </c>
      <c r="BN2473" s="72">
        <v>0</v>
      </c>
      <c r="BO2473" s="151" t="e">
        <f t="shared" si="164"/>
        <v>#DIV/0!</v>
      </c>
      <c r="BP2473" s="151" t="e">
        <f t="shared" si="165"/>
        <v>#DIV/0!</v>
      </c>
      <c r="BQ2473" s="71">
        <v>0</v>
      </c>
      <c r="BR2473" s="71">
        <v>0</v>
      </c>
      <c r="BS2473" s="71">
        <v>0</v>
      </c>
      <c r="BT2473" s="72">
        <v>0</v>
      </c>
      <c r="BU2473" s="151" t="e">
        <f t="shared" si="166"/>
        <v>#DIV/0!</v>
      </c>
      <c r="BV2473" s="151" t="e">
        <f t="shared" si="167"/>
        <v>#DIV/0!</v>
      </c>
    </row>
    <row r="2474" ht="30" customHeight="1" spans="1:74">
      <c r="A2474" s="55">
        <v>0</v>
      </c>
      <c r="B2474" s="56">
        <v>0</v>
      </c>
      <c r="C2474" s="57">
        <v>0</v>
      </c>
      <c r="D2474" s="74"/>
      <c r="E2474" s="74"/>
      <c r="F2474" s="59" t="e">
        <f>VLOOKUP(E2474,[1]库存!$B$1:$C$65536,2,FALSE)</f>
        <v>#N/A</v>
      </c>
      <c r="G2474" s="59" t="e">
        <v>#N/A</v>
      </c>
      <c r="H2474" s="74"/>
      <c r="I2474" s="74"/>
      <c r="J2474" s="87"/>
      <c r="K2474" s="61"/>
      <c r="L2474" s="62">
        <v>0</v>
      </c>
      <c r="M2474" s="63">
        <v>0</v>
      </c>
      <c r="N2474" s="64">
        <v>0</v>
      </c>
      <c r="O2474" s="62">
        <v>0</v>
      </c>
      <c r="P2474" s="65">
        <f t="shared" si="168"/>
        <v>0</v>
      </c>
      <c r="Q2474" s="66"/>
      <c r="R2474" s="66"/>
      <c r="S2474" s="66"/>
      <c r="T2474" s="66"/>
      <c r="U2474" s="66"/>
      <c r="V2474" s="66"/>
      <c r="W2474" s="66"/>
      <c r="X2474" s="66"/>
      <c r="Y2474" s="66"/>
      <c r="Z2474" s="66"/>
      <c r="AA2474" s="66"/>
      <c r="AB2474" s="66"/>
      <c r="AC2474" s="66"/>
      <c r="AD2474" s="66"/>
      <c r="AE2474" s="66"/>
      <c r="AF2474" s="66"/>
      <c r="AG2474" s="66"/>
      <c r="AH2474" s="66"/>
      <c r="AI2474" s="66"/>
      <c r="AJ2474" s="66"/>
      <c r="AK2474" s="66"/>
      <c r="AL2474" s="66"/>
      <c r="AM2474" s="66"/>
      <c r="AN2474" s="66"/>
      <c r="AO2474" s="66"/>
      <c r="AP2474" s="66"/>
      <c r="AQ2474" s="66"/>
      <c r="AR2474" s="66"/>
      <c r="AS2474" s="66"/>
      <c r="AT2474" s="66"/>
      <c r="AU2474" s="66"/>
      <c r="AV2474" s="66"/>
      <c r="AW2474" s="66"/>
      <c r="AX2474" s="66"/>
      <c r="AY2474" s="66"/>
      <c r="AZ2474" s="66"/>
      <c r="BA2474" s="66"/>
      <c r="BB2474" s="66"/>
      <c r="BC2474" s="66"/>
      <c r="BD2474" s="66"/>
      <c r="BE2474" s="67"/>
      <c r="BF2474" s="67"/>
      <c r="BG2474" s="68"/>
      <c r="BI2474" s="69">
        <v>0</v>
      </c>
      <c r="BJ2474" s="70">
        <v>0</v>
      </c>
      <c r="BK2474" s="71">
        <v>0</v>
      </c>
      <c r="BL2474" s="71">
        <v>0</v>
      </c>
      <c r="BM2474" s="71">
        <v>0</v>
      </c>
      <c r="BN2474" s="72">
        <v>0</v>
      </c>
      <c r="BO2474" s="151" t="e">
        <f t="shared" si="164"/>
        <v>#DIV/0!</v>
      </c>
      <c r="BP2474" s="151" t="e">
        <f t="shared" si="165"/>
        <v>#DIV/0!</v>
      </c>
      <c r="BQ2474" s="71">
        <v>0</v>
      </c>
      <c r="BR2474" s="71">
        <v>0</v>
      </c>
      <c r="BS2474" s="71">
        <v>0</v>
      </c>
      <c r="BT2474" s="72">
        <v>0</v>
      </c>
      <c r="BU2474" s="151" t="e">
        <f t="shared" si="166"/>
        <v>#DIV/0!</v>
      </c>
      <c r="BV2474" s="151" t="e">
        <f t="shared" si="167"/>
        <v>#DIV/0!</v>
      </c>
    </row>
    <row r="2475" ht="30" customHeight="1" spans="1:74">
      <c r="A2475" s="55">
        <v>0</v>
      </c>
      <c r="B2475" s="56" t="s">
        <v>1237</v>
      </c>
      <c r="C2475" s="57" t="s">
        <v>3341</v>
      </c>
      <c r="D2475" s="59" t="s">
        <v>3724</v>
      </c>
      <c r="E2475" s="59" t="s">
        <v>3853</v>
      </c>
      <c r="F2475" s="59" t="e">
        <f>VLOOKUP(E2475,[1]库存!$B$1:$C$65536,2,FALSE)</f>
        <v>#N/A</v>
      </c>
      <c r="G2475" s="59" t="e">
        <v>#N/A</v>
      </c>
      <c r="H2475" s="129" t="s">
        <v>3854</v>
      </c>
      <c r="I2475" s="59"/>
      <c r="J2475" s="82" t="s">
        <v>3855</v>
      </c>
      <c r="K2475" s="61"/>
      <c r="L2475" s="62">
        <v>0.7</v>
      </c>
      <c r="M2475" s="63">
        <v>1000</v>
      </c>
      <c r="N2475" s="64">
        <v>2</v>
      </c>
      <c r="O2475" s="62">
        <v>0.7</v>
      </c>
      <c r="P2475" s="65">
        <f t="shared" si="168"/>
        <v>0</v>
      </c>
      <c r="Q2475" s="66"/>
      <c r="R2475" s="66"/>
      <c r="S2475" s="66"/>
      <c r="T2475" s="66"/>
      <c r="U2475" s="66"/>
      <c r="V2475" s="66"/>
      <c r="W2475" s="66"/>
      <c r="X2475" s="66"/>
      <c r="Y2475" s="66"/>
      <c r="Z2475" s="66"/>
      <c r="AA2475" s="66"/>
      <c r="AB2475" s="66"/>
      <c r="AC2475" s="66"/>
      <c r="AD2475" s="66"/>
      <c r="AE2475" s="66"/>
      <c r="AF2475" s="66"/>
      <c r="AG2475" s="66"/>
      <c r="AH2475" s="66"/>
      <c r="AI2475" s="66"/>
      <c r="AJ2475" s="66"/>
      <c r="AK2475" s="66"/>
      <c r="AL2475" s="66"/>
      <c r="AM2475" s="66"/>
      <c r="AN2475" s="66"/>
      <c r="AO2475" s="66"/>
      <c r="AP2475" s="66"/>
      <c r="AQ2475" s="66"/>
      <c r="AR2475" s="66"/>
      <c r="AS2475" s="66"/>
      <c r="AT2475" s="66"/>
      <c r="AU2475" s="66"/>
      <c r="AV2475" s="66"/>
      <c r="AW2475" s="66"/>
      <c r="AX2475" s="66"/>
      <c r="AY2475" s="66"/>
      <c r="AZ2475" s="66"/>
      <c r="BA2475" s="66"/>
      <c r="BB2475" s="66"/>
      <c r="BC2475" s="66"/>
      <c r="BD2475" s="66"/>
      <c r="BE2475" s="67"/>
      <c r="BF2475" s="67"/>
      <c r="BG2475" s="68"/>
      <c r="BI2475" s="69">
        <v>0</v>
      </c>
      <c r="BJ2475" s="70">
        <v>0</v>
      </c>
      <c r="BK2475" s="71">
        <v>0</v>
      </c>
      <c r="BL2475" s="71">
        <v>0</v>
      </c>
      <c r="BM2475" s="71">
        <v>0</v>
      </c>
      <c r="BN2475" s="72">
        <v>0</v>
      </c>
      <c r="BO2475" s="151" t="e">
        <f t="shared" si="164"/>
        <v>#DIV/0!</v>
      </c>
      <c r="BP2475" s="151" t="e">
        <f t="shared" si="165"/>
        <v>#DIV/0!</v>
      </c>
      <c r="BQ2475" s="71">
        <v>0</v>
      </c>
      <c r="BR2475" s="71">
        <v>0</v>
      </c>
      <c r="BS2475" s="71">
        <v>0</v>
      </c>
      <c r="BT2475" s="72">
        <v>0</v>
      </c>
      <c r="BU2475" s="151" t="e">
        <f t="shared" si="166"/>
        <v>#DIV/0!</v>
      </c>
      <c r="BV2475" s="151" t="e">
        <f t="shared" si="167"/>
        <v>#DIV/0!</v>
      </c>
    </row>
    <row r="2476" ht="30" customHeight="1" spans="1:74">
      <c r="A2476" s="55">
        <v>0</v>
      </c>
      <c r="B2476" s="56">
        <v>0</v>
      </c>
      <c r="C2476" s="57">
        <v>0</v>
      </c>
      <c r="D2476" s="74"/>
      <c r="E2476" s="74"/>
      <c r="F2476" s="59" t="e">
        <f>VLOOKUP(E2476,[1]库存!$B$1:$C$65536,2,FALSE)</f>
        <v>#N/A</v>
      </c>
      <c r="G2476" s="59" t="e">
        <v>#N/A</v>
      </c>
      <c r="H2476" s="130"/>
      <c r="I2476" s="74"/>
      <c r="J2476" s="83"/>
      <c r="K2476" s="61"/>
      <c r="L2476" s="62">
        <v>0</v>
      </c>
      <c r="M2476" s="63">
        <v>0</v>
      </c>
      <c r="N2476" s="64">
        <v>0</v>
      </c>
      <c r="O2476" s="62">
        <v>0</v>
      </c>
      <c r="P2476" s="65">
        <f t="shared" si="168"/>
        <v>0</v>
      </c>
      <c r="Q2476" s="66"/>
      <c r="R2476" s="66"/>
      <c r="S2476" s="66"/>
      <c r="T2476" s="66"/>
      <c r="U2476" s="66"/>
      <c r="V2476" s="66"/>
      <c r="W2476" s="66"/>
      <c r="X2476" s="66"/>
      <c r="Y2476" s="66"/>
      <c r="Z2476" s="66"/>
      <c r="AA2476" s="66"/>
      <c r="AB2476" s="66"/>
      <c r="AC2476" s="66"/>
      <c r="AD2476" s="66"/>
      <c r="AE2476" s="66"/>
      <c r="AF2476" s="66"/>
      <c r="AG2476" s="66"/>
      <c r="AH2476" s="66"/>
      <c r="AI2476" s="66"/>
      <c r="AJ2476" s="66"/>
      <c r="AK2476" s="66"/>
      <c r="AL2476" s="66"/>
      <c r="AM2476" s="66"/>
      <c r="AN2476" s="66"/>
      <c r="AO2476" s="66"/>
      <c r="AP2476" s="66"/>
      <c r="AQ2476" s="66"/>
      <c r="AR2476" s="66"/>
      <c r="AS2476" s="66"/>
      <c r="AT2476" s="66"/>
      <c r="AU2476" s="66"/>
      <c r="AV2476" s="66"/>
      <c r="AW2476" s="66"/>
      <c r="AX2476" s="66"/>
      <c r="AY2476" s="66"/>
      <c r="AZ2476" s="66"/>
      <c r="BA2476" s="66"/>
      <c r="BB2476" s="66"/>
      <c r="BC2476" s="66"/>
      <c r="BD2476" s="66"/>
      <c r="BE2476" s="67"/>
      <c r="BF2476" s="67"/>
      <c r="BG2476" s="68"/>
      <c r="BI2476" s="69">
        <v>0</v>
      </c>
      <c r="BJ2476" s="70">
        <v>0</v>
      </c>
      <c r="BK2476" s="71">
        <v>0</v>
      </c>
      <c r="BL2476" s="71">
        <v>0</v>
      </c>
      <c r="BM2476" s="71">
        <v>0</v>
      </c>
      <c r="BN2476" s="72">
        <v>0</v>
      </c>
      <c r="BO2476" s="151" t="e">
        <f t="shared" si="164"/>
        <v>#DIV/0!</v>
      </c>
      <c r="BP2476" s="151" t="e">
        <f t="shared" si="165"/>
        <v>#DIV/0!</v>
      </c>
      <c r="BQ2476" s="71">
        <v>0</v>
      </c>
      <c r="BR2476" s="71">
        <v>0</v>
      </c>
      <c r="BS2476" s="71">
        <v>0</v>
      </c>
      <c r="BT2476" s="72">
        <v>0</v>
      </c>
      <c r="BU2476" s="151" t="e">
        <f t="shared" si="166"/>
        <v>#DIV/0!</v>
      </c>
      <c r="BV2476" s="151" t="e">
        <f t="shared" si="167"/>
        <v>#DIV/0!</v>
      </c>
    </row>
    <row r="2477" ht="30" customHeight="1" spans="1:74">
      <c r="A2477" s="55">
        <v>0</v>
      </c>
      <c r="B2477" s="56" t="s">
        <v>1237</v>
      </c>
      <c r="C2477" s="57" t="s">
        <v>3341</v>
      </c>
      <c r="D2477" s="59" t="s">
        <v>3836</v>
      </c>
      <c r="E2477" s="59" t="s">
        <v>3856</v>
      </c>
      <c r="F2477" s="59" t="e">
        <f>VLOOKUP(E2477,[1]库存!$B$1:$C$65536,2,FALSE)</f>
        <v>#N/A</v>
      </c>
      <c r="G2477" s="59" t="e">
        <v>#N/A</v>
      </c>
      <c r="H2477" s="129" t="s">
        <v>3857</v>
      </c>
      <c r="I2477" s="59"/>
      <c r="J2477" s="83"/>
      <c r="K2477" s="61"/>
      <c r="L2477" s="62">
        <v>1</v>
      </c>
      <c r="M2477" s="63">
        <v>350</v>
      </c>
      <c r="N2477" s="64">
        <v>3</v>
      </c>
      <c r="O2477" s="62">
        <v>1</v>
      </c>
      <c r="P2477" s="65">
        <f t="shared" si="168"/>
        <v>0</v>
      </c>
      <c r="Q2477" s="66"/>
      <c r="R2477" s="66"/>
      <c r="S2477" s="66"/>
      <c r="T2477" s="66"/>
      <c r="U2477" s="66"/>
      <c r="V2477" s="66"/>
      <c r="W2477" s="66"/>
      <c r="X2477" s="66"/>
      <c r="Y2477" s="66"/>
      <c r="Z2477" s="66"/>
      <c r="AA2477" s="66"/>
      <c r="AB2477" s="66"/>
      <c r="AC2477" s="66"/>
      <c r="AD2477" s="66"/>
      <c r="AE2477" s="66"/>
      <c r="AF2477" s="66"/>
      <c r="AG2477" s="66"/>
      <c r="AH2477" s="66"/>
      <c r="AI2477" s="66"/>
      <c r="AJ2477" s="66"/>
      <c r="AK2477" s="66"/>
      <c r="AL2477" s="66"/>
      <c r="AM2477" s="66"/>
      <c r="AN2477" s="66"/>
      <c r="AO2477" s="66"/>
      <c r="AP2477" s="66"/>
      <c r="AQ2477" s="66"/>
      <c r="AR2477" s="66"/>
      <c r="AS2477" s="66"/>
      <c r="AT2477" s="66"/>
      <c r="AU2477" s="66"/>
      <c r="AV2477" s="66"/>
      <c r="AW2477" s="66"/>
      <c r="AX2477" s="66"/>
      <c r="AY2477" s="66"/>
      <c r="AZ2477" s="66"/>
      <c r="BA2477" s="66"/>
      <c r="BB2477" s="66"/>
      <c r="BC2477" s="66"/>
      <c r="BD2477" s="66"/>
      <c r="BE2477" s="67"/>
      <c r="BF2477" s="67"/>
      <c r="BG2477" s="68"/>
      <c r="BI2477" s="69">
        <v>0</v>
      </c>
      <c r="BJ2477" s="70">
        <v>0</v>
      </c>
      <c r="BK2477" s="71">
        <v>0</v>
      </c>
      <c r="BL2477" s="71">
        <v>0</v>
      </c>
      <c r="BM2477" s="71">
        <v>0</v>
      </c>
      <c r="BN2477" s="72">
        <v>0</v>
      </c>
      <c r="BO2477" s="151" t="e">
        <f t="shared" si="164"/>
        <v>#DIV/0!</v>
      </c>
      <c r="BP2477" s="151" t="e">
        <f t="shared" si="165"/>
        <v>#DIV/0!</v>
      </c>
      <c r="BQ2477" s="71">
        <v>0</v>
      </c>
      <c r="BR2477" s="71">
        <v>0</v>
      </c>
      <c r="BS2477" s="71">
        <v>0</v>
      </c>
      <c r="BT2477" s="72">
        <v>0</v>
      </c>
      <c r="BU2477" s="151" t="e">
        <f t="shared" si="166"/>
        <v>#DIV/0!</v>
      </c>
      <c r="BV2477" s="151" t="e">
        <f t="shared" si="167"/>
        <v>#DIV/0!</v>
      </c>
    </row>
    <row r="2478" ht="30" customHeight="1" spans="1:74">
      <c r="A2478" s="55">
        <v>0</v>
      </c>
      <c r="B2478" s="56">
        <v>0</v>
      </c>
      <c r="C2478" s="57">
        <v>0</v>
      </c>
      <c r="D2478" s="74"/>
      <c r="E2478" s="74"/>
      <c r="F2478" s="59" t="e">
        <f>VLOOKUP(E2478,[1]库存!$B$1:$C$65536,2,FALSE)</f>
        <v>#N/A</v>
      </c>
      <c r="G2478" s="59" t="e">
        <v>#N/A</v>
      </c>
      <c r="H2478" s="130"/>
      <c r="I2478" s="74"/>
      <c r="J2478" s="83"/>
      <c r="K2478" s="61"/>
      <c r="L2478" s="62">
        <v>0</v>
      </c>
      <c r="M2478" s="63">
        <v>0</v>
      </c>
      <c r="N2478" s="64">
        <v>0</v>
      </c>
      <c r="O2478" s="62">
        <v>0</v>
      </c>
      <c r="P2478" s="65">
        <f t="shared" si="168"/>
        <v>0</v>
      </c>
      <c r="Q2478" s="66"/>
      <c r="R2478" s="66"/>
      <c r="S2478" s="66"/>
      <c r="T2478" s="66"/>
      <c r="U2478" s="66"/>
      <c r="V2478" s="66"/>
      <c r="W2478" s="66"/>
      <c r="X2478" s="66"/>
      <c r="Y2478" s="66"/>
      <c r="Z2478" s="66"/>
      <c r="AA2478" s="66"/>
      <c r="AB2478" s="66"/>
      <c r="AC2478" s="66"/>
      <c r="AD2478" s="66"/>
      <c r="AE2478" s="66"/>
      <c r="AF2478" s="66"/>
      <c r="AG2478" s="66"/>
      <c r="AH2478" s="66"/>
      <c r="AI2478" s="66"/>
      <c r="AJ2478" s="66"/>
      <c r="AK2478" s="66"/>
      <c r="AL2478" s="66"/>
      <c r="AM2478" s="66"/>
      <c r="AN2478" s="66"/>
      <c r="AO2478" s="66"/>
      <c r="AP2478" s="66"/>
      <c r="AQ2478" s="66"/>
      <c r="AR2478" s="66"/>
      <c r="AS2478" s="66"/>
      <c r="AT2478" s="66"/>
      <c r="AU2478" s="66"/>
      <c r="AV2478" s="66"/>
      <c r="AW2478" s="66"/>
      <c r="AX2478" s="66"/>
      <c r="AY2478" s="66"/>
      <c r="AZ2478" s="66"/>
      <c r="BA2478" s="66"/>
      <c r="BB2478" s="66"/>
      <c r="BC2478" s="66"/>
      <c r="BD2478" s="66"/>
      <c r="BE2478" s="67"/>
      <c r="BF2478" s="67"/>
      <c r="BG2478" s="68"/>
      <c r="BI2478" s="69">
        <v>0</v>
      </c>
      <c r="BJ2478" s="70">
        <v>0</v>
      </c>
      <c r="BK2478" s="71">
        <v>0</v>
      </c>
      <c r="BL2478" s="71">
        <v>0</v>
      </c>
      <c r="BM2478" s="71">
        <v>0</v>
      </c>
      <c r="BN2478" s="72">
        <v>0</v>
      </c>
      <c r="BO2478" s="151" t="e">
        <f t="shared" si="164"/>
        <v>#DIV/0!</v>
      </c>
      <c r="BP2478" s="151" t="e">
        <f t="shared" si="165"/>
        <v>#DIV/0!</v>
      </c>
      <c r="BQ2478" s="71">
        <v>0</v>
      </c>
      <c r="BR2478" s="71">
        <v>0</v>
      </c>
      <c r="BS2478" s="71">
        <v>0</v>
      </c>
      <c r="BT2478" s="72">
        <v>0</v>
      </c>
      <c r="BU2478" s="151" t="e">
        <f t="shared" si="166"/>
        <v>#DIV/0!</v>
      </c>
      <c r="BV2478" s="151" t="e">
        <f t="shared" si="167"/>
        <v>#DIV/0!</v>
      </c>
    </row>
    <row r="2479" ht="30" customHeight="1" spans="1:74">
      <c r="A2479" s="55">
        <v>0</v>
      </c>
      <c r="B2479" s="56" t="s">
        <v>1237</v>
      </c>
      <c r="C2479" s="57" t="s">
        <v>3341</v>
      </c>
      <c r="D2479" s="59" t="s">
        <v>3836</v>
      </c>
      <c r="E2479" s="59" t="s">
        <v>3858</v>
      </c>
      <c r="F2479" s="59" t="e">
        <f>VLOOKUP(E2479,[1]库存!$B$1:$C$65536,2,FALSE)</f>
        <v>#N/A</v>
      </c>
      <c r="G2479" s="59" t="e">
        <v>#N/A</v>
      </c>
      <c r="H2479" s="129" t="s">
        <v>3859</v>
      </c>
      <c r="I2479" s="59"/>
      <c r="J2479" s="83"/>
      <c r="K2479" s="61"/>
      <c r="L2479" s="62">
        <v>1</v>
      </c>
      <c r="M2479" s="63">
        <v>350</v>
      </c>
      <c r="N2479" s="64">
        <v>3</v>
      </c>
      <c r="O2479" s="62">
        <v>1</v>
      </c>
      <c r="P2479" s="65">
        <f t="shared" si="168"/>
        <v>0</v>
      </c>
      <c r="Q2479" s="66"/>
      <c r="R2479" s="66"/>
      <c r="S2479" s="66"/>
      <c r="T2479" s="66"/>
      <c r="U2479" s="66"/>
      <c r="V2479" s="66"/>
      <c r="W2479" s="66"/>
      <c r="X2479" s="66"/>
      <c r="Y2479" s="66"/>
      <c r="Z2479" s="66"/>
      <c r="AA2479" s="66"/>
      <c r="AB2479" s="66"/>
      <c r="AC2479" s="66"/>
      <c r="AD2479" s="66"/>
      <c r="AE2479" s="66"/>
      <c r="AF2479" s="66"/>
      <c r="AG2479" s="66"/>
      <c r="AH2479" s="66"/>
      <c r="AI2479" s="66"/>
      <c r="AJ2479" s="66"/>
      <c r="AK2479" s="66"/>
      <c r="AL2479" s="66"/>
      <c r="AM2479" s="66"/>
      <c r="AN2479" s="66"/>
      <c r="AO2479" s="66"/>
      <c r="AP2479" s="66"/>
      <c r="AQ2479" s="66"/>
      <c r="AR2479" s="66"/>
      <c r="AS2479" s="66"/>
      <c r="AT2479" s="66"/>
      <c r="AU2479" s="66"/>
      <c r="AV2479" s="66"/>
      <c r="AW2479" s="66"/>
      <c r="AX2479" s="66"/>
      <c r="AY2479" s="66"/>
      <c r="AZ2479" s="66"/>
      <c r="BA2479" s="66"/>
      <c r="BB2479" s="66"/>
      <c r="BC2479" s="66"/>
      <c r="BD2479" s="66"/>
      <c r="BE2479" s="67"/>
      <c r="BF2479" s="67"/>
      <c r="BG2479" s="68"/>
      <c r="BI2479" s="69">
        <v>0</v>
      </c>
      <c r="BJ2479" s="70">
        <v>0</v>
      </c>
      <c r="BK2479" s="71">
        <v>0</v>
      </c>
      <c r="BL2479" s="71">
        <v>0</v>
      </c>
      <c r="BM2479" s="71">
        <v>0</v>
      </c>
      <c r="BN2479" s="72">
        <v>0</v>
      </c>
      <c r="BO2479" s="151" t="e">
        <f t="shared" si="164"/>
        <v>#DIV/0!</v>
      </c>
      <c r="BP2479" s="151" t="e">
        <f t="shared" si="165"/>
        <v>#DIV/0!</v>
      </c>
      <c r="BQ2479" s="71">
        <v>0</v>
      </c>
      <c r="BR2479" s="71">
        <v>0</v>
      </c>
      <c r="BS2479" s="71">
        <v>0</v>
      </c>
      <c r="BT2479" s="72">
        <v>0</v>
      </c>
      <c r="BU2479" s="151" t="e">
        <f t="shared" si="166"/>
        <v>#DIV/0!</v>
      </c>
      <c r="BV2479" s="151" t="e">
        <f t="shared" si="167"/>
        <v>#DIV/0!</v>
      </c>
    </row>
    <row r="2480" ht="30" customHeight="1" spans="1:74">
      <c r="A2480" s="55">
        <v>0</v>
      </c>
      <c r="B2480" s="56">
        <v>0</v>
      </c>
      <c r="C2480" s="57">
        <v>0</v>
      </c>
      <c r="D2480" s="74"/>
      <c r="E2480" s="74"/>
      <c r="F2480" s="59" t="e">
        <f>VLOOKUP(E2480,[1]库存!$B$1:$C$65536,2,FALSE)</f>
        <v>#N/A</v>
      </c>
      <c r="G2480" s="59" t="e">
        <v>#N/A</v>
      </c>
      <c r="H2480" s="130"/>
      <c r="I2480" s="74"/>
      <c r="J2480" s="83"/>
      <c r="K2480" s="61"/>
      <c r="L2480" s="62">
        <v>0</v>
      </c>
      <c r="M2480" s="63">
        <v>0</v>
      </c>
      <c r="N2480" s="64">
        <v>0</v>
      </c>
      <c r="O2480" s="62">
        <v>0</v>
      </c>
      <c r="P2480" s="65">
        <f t="shared" si="168"/>
        <v>0</v>
      </c>
      <c r="Q2480" s="66"/>
      <c r="R2480" s="66"/>
      <c r="S2480" s="66"/>
      <c r="T2480" s="66"/>
      <c r="U2480" s="66"/>
      <c r="V2480" s="66"/>
      <c r="W2480" s="66"/>
      <c r="X2480" s="66"/>
      <c r="Y2480" s="66"/>
      <c r="Z2480" s="66"/>
      <c r="AA2480" s="66"/>
      <c r="AB2480" s="66"/>
      <c r="AC2480" s="66"/>
      <c r="AD2480" s="66"/>
      <c r="AE2480" s="66"/>
      <c r="AF2480" s="66"/>
      <c r="AG2480" s="66"/>
      <c r="AH2480" s="66"/>
      <c r="AI2480" s="66"/>
      <c r="AJ2480" s="66"/>
      <c r="AK2480" s="66"/>
      <c r="AL2480" s="66"/>
      <c r="AM2480" s="66"/>
      <c r="AN2480" s="66"/>
      <c r="AO2480" s="66"/>
      <c r="AP2480" s="66"/>
      <c r="AQ2480" s="66"/>
      <c r="AR2480" s="66"/>
      <c r="AS2480" s="66"/>
      <c r="AT2480" s="66"/>
      <c r="AU2480" s="66"/>
      <c r="AV2480" s="66"/>
      <c r="AW2480" s="66"/>
      <c r="AX2480" s="66"/>
      <c r="AY2480" s="66"/>
      <c r="AZ2480" s="66"/>
      <c r="BA2480" s="66"/>
      <c r="BB2480" s="66"/>
      <c r="BC2480" s="66"/>
      <c r="BD2480" s="66"/>
      <c r="BE2480" s="67"/>
      <c r="BF2480" s="67"/>
      <c r="BG2480" s="68"/>
      <c r="BI2480" s="69">
        <v>0</v>
      </c>
      <c r="BJ2480" s="70">
        <v>0</v>
      </c>
      <c r="BK2480" s="71">
        <v>0</v>
      </c>
      <c r="BL2480" s="71">
        <v>0</v>
      </c>
      <c r="BM2480" s="71">
        <v>0</v>
      </c>
      <c r="BN2480" s="72">
        <v>0</v>
      </c>
      <c r="BO2480" s="151" t="e">
        <f t="shared" si="164"/>
        <v>#DIV/0!</v>
      </c>
      <c r="BP2480" s="151" t="e">
        <f t="shared" si="165"/>
        <v>#DIV/0!</v>
      </c>
      <c r="BQ2480" s="71">
        <v>0</v>
      </c>
      <c r="BR2480" s="71">
        <v>0</v>
      </c>
      <c r="BS2480" s="71">
        <v>0</v>
      </c>
      <c r="BT2480" s="72">
        <v>0</v>
      </c>
      <c r="BU2480" s="151" t="e">
        <f t="shared" si="166"/>
        <v>#DIV/0!</v>
      </c>
      <c r="BV2480" s="151" t="e">
        <f t="shared" si="167"/>
        <v>#DIV/0!</v>
      </c>
    </row>
    <row r="2481" ht="30" customHeight="1" spans="1:74">
      <c r="A2481" s="55">
        <v>0</v>
      </c>
      <c r="B2481" s="56" t="s">
        <v>1237</v>
      </c>
      <c r="C2481" s="57" t="s">
        <v>3341</v>
      </c>
      <c r="D2481" s="59" t="s">
        <v>3724</v>
      </c>
      <c r="E2481" s="59"/>
      <c r="F2481" s="59" t="e">
        <f>VLOOKUP(E2481,[1]库存!$B$1:$C$65536,2,FALSE)</f>
        <v>#N/A</v>
      </c>
      <c r="G2481" s="59" t="e">
        <v>#N/A</v>
      </c>
      <c r="H2481" s="59" t="s">
        <v>3788</v>
      </c>
      <c r="I2481" s="59"/>
      <c r="J2481" s="63"/>
      <c r="K2481" s="61"/>
      <c r="L2481" s="62">
        <v>0.7</v>
      </c>
      <c r="M2481" s="63">
        <v>1000</v>
      </c>
      <c r="N2481" s="64">
        <v>3</v>
      </c>
      <c r="O2481" s="62">
        <v>0.7</v>
      </c>
      <c r="P2481" s="65">
        <f t="shared" si="168"/>
        <v>0</v>
      </c>
      <c r="Q2481" s="66"/>
      <c r="R2481" s="66"/>
      <c r="S2481" s="66"/>
      <c r="T2481" s="66"/>
      <c r="U2481" s="66"/>
      <c r="V2481" s="66"/>
      <c r="W2481" s="66"/>
      <c r="X2481" s="66"/>
      <c r="Y2481" s="66"/>
      <c r="Z2481" s="66"/>
      <c r="AA2481" s="66"/>
      <c r="AB2481" s="66"/>
      <c r="AC2481" s="66"/>
      <c r="AD2481" s="66"/>
      <c r="AE2481" s="66"/>
      <c r="AF2481" s="66"/>
      <c r="AG2481" s="66"/>
      <c r="AH2481" s="66"/>
      <c r="AI2481" s="66"/>
      <c r="AJ2481" s="66"/>
      <c r="AK2481" s="66"/>
      <c r="AL2481" s="66"/>
      <c r="AM2481" s="66"/>
      <c r="AN2481" s="66"/>
      <c r="AO2481" s="66"/>
      <c r="AP2481" s="66"/>
      <c r="AQ2481" s="66"/>
      <c r="AR2481" s="66"/>
      <c r="AS2481" s="66"/>
      <c r="AT2481" s="66"/>
      <c r="AU2481" s="66"/>
      <c r="AV2481" s="66"/>
      <c r="AW2481" s="66"/>
      <c r="AX2481" s="66"/>
      <c r="AY2481" s="66"/>
      <c r="AZ2481" s="66"/>
      <c r="BA2481" s="66"/>
      <c r="BB2481" s="66"/>
      <c r="BC2481" s="66"/>
      <c r="BD2481" s="66"/>
      <c r="BE2481" s="67"/>
      <c r="BF2481" s="67"/>
      <c r="BG2481" s="68"/>
      <c r="BI2481" s="69">
        <v>0</v>
      </c>
      <c r="BJ2481" s="70">
        <v>0</v>
      </c>
      <c r="BK2481" s="71">
        <v>0</v>
      </c>
      <c r="BL2481" s="71">
        <v>0</v>
      </c>
      <c r="BM2481" s="71">
        <v>0</v>
      </c>
      <c r="BN2481" s="72">
        <v>0</v>
      </c>
      <c r="BO2481" s="151" t="e">
        <f t="shared" si="164"/>
        <v>#DIV/0!</v>
      </c>
      <c r="BP2481" s="151" t="e">
        <f t="shared" si="165"/>
        <v>#DIV/0!</v>
      </c>
      <c r="BQ2481" s="71">
        <v>0</v>
      </c>
      <c r="BR2481" s="71">
        <v>0</v>
      </c>
      <c r="BS2481" s="71">
        <v>0</v>
      </c>
      <c r="BT2481" s="72">
        <v>0</v>
      </c>
      <c r="BU2481" s="151" t="e">
        <f t="shared" si="166"/>
        <v>#DIV/0!</v>
      </c>
      <c r="BV2481" s="151" t="e">
        <f t="shared" si="167"/>
        <v>#DIV/0!</v>
      </c>
    </row>
    <row r="2482" ht="30" customHeight="1" spans="1:74">
      <c r="A2482" s="55">
        <v>0</v>
      </c>
      <c r="B2482" s="56">
        <v>0</v>
      </c>
      <c r="C2482" s="57">
        <v>0</v>
      </c>
      <c r="D2482" s="74"/>
      <c r="E2482" s="74"/>
      <c r="F2482" s="59" t="e">
        <f>VLOOKUP(E2482,[1]库存!$B$1:$C$65536,2,FALSE)</f>
        <v>#N/A</v>
      </c>
      <c r="G2482" s="59" t="e">
        <v>#N/A</v>
      </c>
      <c r="H2482" s="74"/>
      <c r="I2482" s="74"/>
      <c r="J2482" s="87"/>
      <c r="K2482" s="61"/>
      <c r="L2482" s="62">
        <v>0</v>
      </c>
      <c r="M2482" s="63">
        <v>0</v>
      </c>
      <c r="N2482" s="64">
        <v>0</v>
      </c>
      <c r="O2482" s="62">
        <v>0</v>
      </c>
      <c r="P2482" s="65">
        <f t="shared" si="168"/>
        <v>0</v>
      </c>
      <c r="Q2482" s="66"/>
      <c r="R2482" s="66"/>
      <c r="S2482" s="66"/>
      <c r="T2482" s="66"/>
      <c r="U2482" s="66"/>
      <c r="V2482" s="66"/>
      <c r="W2482" s="66"/>
      <c r="X2482" s="66"/>
      <c r="Y2482" s="66"/>
      <c r="Z2482" s="66"/>
      <c r="AA2482" s="66"/>
      <c r="AB2482" s="66"/>
      <c r="AC2482" s="66"/>
      <c r="AD2482" s="66"/>
      <c r="AE2482" s="66"/>
      <c r="AF2482" s="66"/>
      <c r="AG2482" s="66"/>
      <c r="AH2482" s="66"/>
      <c r="AI2482" s="66"/>
      <c r="AJ2482" s="66"/>
      <c r="AK2482" s="66"/>
      <c r="AL2482" s="66"/>
      <c r="AM2482" s="66"/>
      <c r="AN2482" s="66"/>
      <c r="AO2482" s="66"/>
      <c r="AP2482" s="66"/>
      <c r="AQ2482" s="66"/>
      <c r="AR2482" s="66"/>
      <c r="AS2482" s="66"/>
      <c r="AT2482" s="66"/>
      <c r="AU2482" s="66"/>
      <c r="AV2482" s="66"/>
      <c r="AW2482" s="66"/>
      <c r="AX2482" s="66"/>
      <c r="AY2482" s="66"/>
      <c r="AZ2482" s="66"/>
      <c r="BA2482" s="66"/>
      <c r="BB2482" s="66"/>
      <c r="BC2482" s="66"/>
      <c r="BD2482" s="66"/>
      <c r="BE2482" s="67"/>
      <c r="BF2482" s="67"/>
      <c r="BG2482" s="68"/>
      <c r="BI2482" s="69">
        <v>0</v>
      </c>
      <c r="BJ2482" s="70">
        <v>0</v>
      </c>
      <c r="BK2482" s="71">
        <v>0</v>
      </c>
      <c r="BL2482" s="71">
        <v>0</v>
      </c>
      <c r="BM2482" s="71">
        <v>0</v>
      </c>
      <c r="BN2482" s="72">
        <v>0</v>
      </c>
      <c r="BO2482" s="151" t="e">
        <f t="shared" si="164"/>
        <v>#DIV/0!</v>
      </c>
      <c r="BP2482" s="151" t="e">
        <f t="shared" si="165"/>
        <v>#DIV/0!</v>
      </c>
      <c r="BQ2482" s="71">
        <v>0</v>
      </c>
      <c r="BR2482" s="71">
        <v>0</v>
      </c>
      <c r="BS2482" s="71">
        <v>0</v>
      </c>
      <c r="BT2482" s="72">
        <v>0</v>
      </c>
      <c r="BU2482" s="151" t="e">
        <f t="shared" si="166"/>
        <v>#DIV/0!</v>
      </c>
      <c r="BV2482" s="151" t="e">
        <f t="shared" si="167"/>
        <v>#DIV/0!</v>
      </c>
    </row>
    <row r="2483" ht="30" customHeight="1" spans="1:74">
      <c r="A2483" s="55">
        <v>0</v>
      </c>
      <c r="B2483" s="56" t="s">
        <v>1237</v>
      </c>
      <c r="C2483" s="57" t="s">
        <v>3341</v>
      </c>
      <c r="D2483" s="59" t="s">
        <v>3759</v>
      </c>
      <c r="E2483" s="59"/>
      <c r="F2483" s="59" t="e">
        <f>VLOOKUP(E2483,[1]库存!$B$1:$C$65536,2,FALSE)</f>
        <v>#N/A</v>
      </c>
      <c r="G2483" s="59" t="e">
        <v>#N/A</v>
      </c>
      <c r="H2483" s="59" t="s">
        <v>3791</v>
      </c>
      <c r="I2483" s="59"/>
      <c r="J2483" s="63"/>
      <c r="K2483" s="61"/>
      <c r="L2483" s="62">
        <v>0</v>
      </c>
      <c r="M2483" s="63">
        <v>800</v>
      </c>
      <c r="N2483" s="64">
        <v>1.5</v>
      </c>
      <c r="O2483" s="62">
        <v>0</v>
      </c>
      <c r="P2483" s="65">
        <f t="shared" si="168"/>
        <v>0</v>
      </c>
      <c r="Q2483" s="66"/>
      <c r="R2483" s="66"/>
      <c r="S2483" s="66"/>
      <c r="T2483" s="66"/>
      <c r="U2483" s="66"/>
      <c r="V2483" s="66"/>
      <c r="W2483" s="66"/>
      <c r="X2483" s="66"/>
      <c r="Y2483" s="66"/>
      <c r="Z2483" s="66"/>
      <c r="AA2483" s="66"/>
      <c r="AB2483" s="66"/>
      <c r="AC2483" s="66"/>
      <c r="AD2483" s="66"/>
      <c r="AE2483" s="66"/>
      <c r="AF2483" s="66"/>
      <c r="AG2483" s="66"/>
      <c r="AH2483" s="66"/>
      <c r="AI2483" s="66"/>
      <c r="AJ2483" s="66"/>
      <c r="AK2483" s="66"/>
      <c r="AL2483" s="66"/>
      <c r="AM2483" s="66"/>
      <c r="AN2483" s="66"/>
      <c r="AO2483" s="66"/>
      <c r="AP2483" s="66"/>
      <c r="AQ2483" s="66"/>
      <c r="AR2483" s="66"/>
      <c r="AS2483" s="66"/>
      <c r="AT2483" s="66"/>
      <c r="AU2483" s="66"/>
      <c r="AV2483" s="66"/>
      <c r="AW2483" s="66"/>
      <c r="AX2483" s="66"/>
      <c r="AY2483" s="66"/>
      <c r="AZ2483" s="66"/>
      <c r="BA2483" s="66"/>
      <c r="BB2483" s="66"/>
      <c r="BC2483" s="66"/>
      <c r="BD2483" s="66"/>
      <c r="BE2483" s="67"/>
      <c r="BF2483" s="67"/>
      <c r="BG2483" s="68"/>
      <c r="BI2483" s="69">
        <v>0</v>
      </c>
      <c r="BJ2483" s="70">
        <v>0</v>
      </c>
      <c r="BK2483" s="71">
        <v>0</v>
      </c>
      <c r="BL2483" s="71">
        <v>0</v>
      </c>
      <c r="BM2483" s="71">
        <v>0</v>
      </c>
      <c r="BN2483" s="72">
        <v>0</v>
      </c>
      <c r="BO2483" s="151" t="e">
        <f t="shared" si="164"/>
        <v>#DIV/0!</v>
      </c>
      <c r="BP2483" s="151" t="e">
        <f t="shared" si="165"/>
        <v>#DIV/0!</v>
      </c>
      <c r="BQ2483" s="71">
        <v>0</v>
      </c>
      <c r="BR2483" s="71">
        <v>0</v>
      </c>
      <c r="BS2483" s="71">
        <v>0</v>
      </c>
      <c r="BT2483" s="72">
        <v>0</v>
      </c>
      <c r="BU2483" s="151" t="e">
        <f t="shared" si="166"/>
        <v>#DIV/0!</v>
      </c>
      <c r="BV2483" s="151" t="e">
        <f t="shared" si="167"/>
        <v>#DIV/0!</v>
      </c>
    </row>
    <row r="2484" ht="30" customHeight="1" spans="1:74">
      <c r="A2484" s="55">
        <v>0</v>
      </c>
      <c r="B2484" s="56">
        <v>0</v>
      </c>
      <c r="C2484" s="57">
        <v>0</v>
      </c>
      <c r="D2484" s="74"/>
      <c r="E2484" s="74"/>
      <c r="F2484" s="59" t="e">
        <f>VLOOKUP(E2484,[1]库存!$B$1:$C$65536,2,FALSE)</f>
        <v>#N/A</v>
      </c>
      <c r="G2484" s="59" t="e">
        <v>#N/A</v>
      </c>
      <c r="H2484" s="74"/>
      <c r="I2484" s="74"/>
      <c r="J2484" s="87"/>
      <c r="K2484" s="61"/>
      <c r="L2484" s="62">
        <v>0</v>
      </c>
      <c r="M2484" s="63">
        <v>0</v>
      </c>
      <c r="N2484" s="64">
        <v>0</v>
      </c>
      <c r="O2484" s="62">
        <v>0</v>
      </c>
      <c r="P2484" s="65">
        <f t="shared" si="168"/>
        <v>0</v>
      </c>
      <c r="Q2484" s="66"/>
      <c r="R2484" s="66"/>
      <c r="S2484" s="66"/>
      <c r="T2484" s="66"/>
      <c r="U2484" s="66"/>
      <c r="V2484" s="66"/>
      <c r="W2484" s="66"/>
      <c r="X2484" s="66"/>
      <c r="Y2484" s="66"/>
      <c r="Z2484" s="66"/>
      <c r="AA2484" s="66"/>
      <c r="AB2484" s="66"/>
      <c r="AC2484" s="66"/>
      <c r="AD2484" s="66"/>
      <c r="AE2484" s="66"/>
      <c r="AF2484" s="66"/>
      <c r="AG2484" s="66"/>
      <c r="AH2484" s="66"/>
      <c r="AI2484" s="66"/>
      <c r="AJ2484" s="66"/>
      <c r="AK2484" s="66"/>
      <c r="AL2484" s="66"/>
      <c r="AM2484" s="66"/>
      <c r="AN2484" s="66"/>
      <c r="AO2484" s="66"/>
      <c r="AP2484" s="66"/>
      <c r="AQ2484" s="66"/>
      <c r="AR2484" s="66"/>
      <c r="AS2484" s="66"/>
      <c r="AT2484" s="66"/>
      <c r="AU2484" s="66"/>
      <c r="AV2484" s="66"/>
      <c r="AW2484" s="66"/>
      <c r="AX2484" s="66"/>
      <c r="AY2484" s="66"/>
      <c r="AZ2484" s="66"/>
      <c r="BA2484" s="66"/>
      <c r="BB2484" s="66"/>
      <c r="BC2484" s="66"/>
      <c r="BD2484" s="66"/>
      <c r="BE2484" s="67"/>
      <c r="BF2484" s="67"/>
      <c r="BG2484" s="68"/>
      <c r="BI2484" s="69">
        <v>0</v>
      </c>
      <c r="BJ2484" s="70">
        <v>0</v>
      </c>
      <c r="BK2484" s="71">
        <v>0</v>
      </c>
      <c r="BL2484" s="71">
        <v>0</v>
      </c>
      <c r="BM2484" s="71">
        <v>0</v>
      </c>
      <c r="BN2484" s="72">
        <v>0</v>
      </c>
      <c r="BO2484" s="151" t="e">
        <f t="shared" si="164"/>
        <v>#DIV/0!</v>
      </c>
      <c r="BP2484" s="151" t="e">
        <f t="shared" si="165"/>
        <v>#DIV/0!</v>
      </c>
      <c r="BQ2484" s="71">
        <v>0</v>
      </c>
      <c r="BR2484" s="71">
        <v>0</v>
      </c>
      <c r="BS2484" s="71">
        <v>0</v>
      </c>
      <c r="BT2484" s="72">
        <v>0</v>
      </c>
      <c r="BU2484" s="151" t="e">
        <f t="shared" si="166"/>
        <v>#DIV/0!</v>
      </c>
      <c r="BV2484" s="151" t="e">
        <f t="shared" si="167"/>
        <v>#DIV/0!</v>
      </c>
    </row>
    <row r="2485" ht="30" customHeight="1" spans="1:74">
      <c r="A2485" s="55">
        <v>0</v>
      </c>
      <c r="B2485" s="56" t="s">
        <v>1237</v>
      </c>
      <c r="C2485" s="57" t="s">
        <v>3341</v>
      </c>
      <c r="D2485" s="59" t="s">
        <v>3836</v>
      </c>
      <c r="E2485" s="59"/>
      <c r="F2485" s="59" t="e">
        <f>VLOOKUP(E2485,[1]库存!$B$1:$C$65536,2,FALSE)</f>
        <v>#N/A</v>
      </c>
      <c r="G2485" s="59" t="e">
        <v>#N/A</v>
      </c>
      <c r="H2485" s="59" t="s">
        <v>3794</v>
      </c>
      <c r="I2485" s="59" t="s">
        <v>3795</v>
      </c>
      <c r="J2485" s="240" t="s">
        <v>3860</v>
      </c>
      <c r="K2485" s="61"/>
      <c r="L2485" s="62">
        <v>1</v>
      </c>
      <c r="M2485" s="63">
        <v>400</v>
      </c>
      <c r="N2485" s="64">
        <v>3</v>
      </c>
      <c r="O2485" s="62">
        <v>1</v>
      </c>
      <c r="P2485" s="65">
        <f t="shared" si="168"/>
        <v>0</v>
      </c>
      <c r="Q2485" s="66"/>
      <c r="R2485" s="66"/>
      <c r="S2485" s="66"/>
      <c r="T2485" s="66"/>
      <c r="U2485" s="66"/>
      <c r="V2485" s="66"/>
      <c r="W2485" s="66"/>
      <c r="X2485" s="66"/>
      <c r="Y2485" s="66"/>
      <c r="Z2485" s="66"/>
      <c r="AA2485" s="66"/>
      <c r="AB2485" s="66"/>
      <c r="AC2485" s="66"/>
      <c r="AD2485" s="66"/>
      <c r="AE2485" s="66"/>
      <c r="AF2485" s="66"/>
      <c r="AG2485" s="66"/>
      <c r="AH2485" s="66"/>
      <c r="AI2485" s="66"/>
      <c r="AJ2485" s="66"/>
      <c r="AK2485" s="66"/>
      <c r="AL2485" s="66"/>
      <c r="AM2485" s="66"/>
      <c r="AN2485" s="66"/>
      <c r="AO2485" s="66"/>
      <c r="AP2485" s="66"/>
      <c r="AQ2485" s="66"/>
      <c r="AR2485" s="66"/>
      <c r="AS2485" s="66"/>
      <c r="AT2485" s="66"/>
      <c r="AU2485" s="66"/>
      <c r="AV2485" s="66"/>
      <c r="AW2485" s="66"/>
      <c r="AX2485" s="66"/>
      <c r="AY2485" s="66"/>
      <c r="AZ2485" s="66"/>
      <c r="BA2485" s="66"/>
      <c r="BB2485" s="66"/>
      <c r="BC2485" s="66"/>
      <c r="BD2485" s="66"/>
      <c r="BE2485" s="67"/>
      <c r="BF2485" s="67"/>
      <c r="BG2485" s="68"/>
      <c r="BI2485" s="69">
        <v>0</v>
      </c>
      <c r="BJ2485" s="70">
        <v>0</v>
      </c>
      <c r="BK2485" s="71">
        <v>0</v>
      </c>
      <c r="BL2485" s="71">
        <v>0</v>
      </c>
      <c r="BM2485" s="71">
        <v>0</v>
      </c>
      <c r="BN2485" s="72">
        <v>0</v>
      </c>
      <c r="BO2485" s="151" t="e">
        <f t="shared" si="164"/>
        <v>#DIV/0!</v>
      </c>
      <c r="BP2485" s="151" t="e">
        <f t="shared" si="165"/>
        <v>#DIV/0!</v>
      </c>
      <c r="BQ2485" s="71">
        <v>0</v>
      </c>
      <c r="BR2485" s="71">
        <v>0</v>
      </c>
      <c r="BS2485" s="71">
        <v>0</v>
      </c>
      <c r="BT2485" s="72">
        <v>0</v>
      </c>
      <c r="BU2485" s="151" t="e">
        <f t="shared" si="166"/>
        <v>#DIV/0!</v>
      </c>
      <c r="BV2485" s="151" t="e">
        <f t="shared" si="167"/>
        <v>#DIV/0!</v>
      </c>
    </row>
    <row r="2486" ht="30" customHeight="1" spans="1:74">
      <c r="A2486" s="55">
        <v>0</v>
      </c>
      <c r="B2486" s="56">
        <v>0</v>
      </c>
      <c r="C2486" s="57">
        <v>0</v>
      </c>
      <c r="D2486" s="74"/>
      <c r="E2486" s="74"/>
      <c r="F2486" s="59" t="e">
        <f>VLOOKUP(E2486,[1]库存!$B$1:$C$65536,2,FALSE)</f>
        <v>#N/A</v>
      </c>
      <c r="G2486" s="59" t="e">
        <v>#N/A</v>
      </c>
      <c r="H2486" s="74"/>
      <c r="I2486" s="74"/>
      <c r="J2486" s="241"/>
      <c r="K2486" s="61"/>
      <c r="L2486" s="62">
        <v>0</v>
      </c>
      <c r="M2486" s="63">
        <v>0</v>
      </c>
      <c r="N2486" s="64">
        <v>0</v>
      </c>
      <c r="O2486" s="62">
        <v>0</v>
      </c>
      <c r="P2486" s="65">
        <f t="shared" si="168"/>
        <v>0</v>
      </c>
      <c r="Q2486" s="66"/>
      <c r="R2486" s="66"/>
      <c r="S2486" s="66"/>
      <c r="T2486" s="66"/>
      <c r="U2486" s="66"/>
      <c r="V2486" s="66"/>
      <c r="W2486" s="66"/>
      <c r="X2486" s="66"/>
      <c r="Y2486" s="66"/>
      <c r="Z2486" s="66"/>
      <c r="AA2486" s="66"/>
      <c r="AB2486" s="66"/>
      <c r="AC2486" s="66"/>
      <c r="AD2486" s="66"/>
      <c r="AE2486" s="66"/>
      <c r="AF2486" s="66"/>
      <c r="AG2486" s="66"/>
      <c r="AH2486" s="66"/>
      <c r="AI2486" s="66"/>
      <c r="AJ2486" s="66"/>
      <c r="AK2486" s="66"/>
      <c r="AL2486" s="66"/>
      <c r="AM2486" s="66"/>
      <c r="AN2486" s="66"/>
      <c r="AO2486" s="66"/>
      <c r="AP2486" s="66"/>
      <c r="AQ2486" s="66"/>
      <c r="AR2486" s="66"/>
      <c r="AS2486" s="66"/>
      <c r="AT2486" s="66"/>
      <c r="AU2486" s="66"/>
      <c r="AV2486" s="66"/>
      <c r="AW2486" s="66"/>
      <c r="AX2486" s="66"/>
      <c r="AY2486" s="66"/>
      <c r="AZ2486" s="66"/>
      <c r="BA2486" s="66"/>
      <c r="BB2486" s="66"/>
      <c r="BC2486" s="66"/>
      <c r="BD2486" s="66"/>
      <c r="BE2486" s="67"/>
      <c r="BF2486" s="67"/>
      <c r="BG2486" s="68"/>
      <c r="BI2486" s="69">
        <v>0</v>
      </c>
      <c r="BJ2486" s="70">
        <v>0</v>
      </c>
      <c r="BK2486" s="71">
        <v>0</v>
      </c>
      <c r="BL2486" s="71">
        <v>0</v>
      </c>
      <c r="BM2486" s="71">
        <v>0</v>
      </c>
      <c r="BN2486" s="72">
        <v>0</v>
      </c>
      <c r="BO2486" s="151" t="e">
        <f t="shared" si="164"/>
        <v>#DIV/0!</v>
      </c>
      <c r="BP2486" s="151" t="e">
        <f t="shared" si="165"/>
        <v>#DIV/0!</v>
      </c>
      <c r="BQ2486" s="71">
        <v>0</v>
      </c>
      <c r="BR2486" s="71">
        <v>0</v>
      </c>
      <c r="BS2486" s="71">
        <v>0</v>
      </c>
      <c r="BT2486" s="72">
        <v>0</v>
      </c>
      <c r="BU2486" s="151" t="e">
        <f t="shared" si="166"/>
        <v>#DIV/0!</v>
      </c>
      <c r="BV2486" s="151" t="e">
        <f t="shared" si="167"/>
        <v>#DIV/0!</v>
      </c>
    </row>
    <row r="2487" ht="30" customHeight="1" spans="1:74">
      <c r="A2487" s="55">
        <v>0</v>
      </c>
      <c r="B2487" s="56" t="s">
        <v>1237</v>
      </c>
      <c r="C2487" s="57" t="s">
        <v>3341</v>
      </c>
      <c r="D2487" s="59" t="s">
        <v>3836</v>
      </c>
      <c r="E2487" s="59"/>
      <c r="F2487" s="59" t="e">
        <f>VLOOKUP(E2487,[1]库存!$B$1:$C$65536,2,FALSE)</f>
        <v>#N/A</v>
      </c>
      <c r="G2487" s="59" t="e">
        <v>#N/A</v>
      </c>
      <c r="H2487" s="59" t="s">
        <v>3798</v>
      </c>
      <c r="I2487" s="59" t="s">
        <v>3795</v>
      </c>
      <c r="J2487" s="240" t="s">
        <v>3860</v>
      </c>
      <c r="K2487" s="61"/>
      <c r="L2487" s="62">
        <v>1</v>
      </c>
      <c r="M2487" s="63">
        <v>400</v>
      </c>
      <c r="N2487" s="64">
        <v>3</v>
      </c>
      <c r="O2487" s="62">
        <v>1</v>
      </c>
      <c r="P2487" s="65">
        <f t="shared" si="168"/>
        <v>0</v>
      </c>
      <c r="Q2487" s="66"/>
      <c r="R2487" s="66"/>
      <c r="S2487" s="66"/>
      <c r="T2487" s="66"/>
      <c r="U2487" s="66"/>
      <c r="V2487" s="66"/>
      <c r="W2487" s="66"/>
      <c r="X2487" s="66"/>
      <c r="Y2487" s="66"/>
      <c r="Z2487" s="66"/>
      <c r="AA2487" s="66"/>
      <c r="AB2487" s="66"/>
      <c r="AC2487" s="66"/>
      <c r="AD2487" s="66"/>
      <c r="AE2487" s="66"/>
      <c r="AF2487" s="66"/>
      <c r="AG2487" s="66"/>
      <c r="AH2487" s="66"/>
      <c r="AI2487" s="66"/>
      <c r="AJ2487" s="66"/>
      <c r="AK2487" s="66"/>
      <c r="AL2487" s="66"/>
      <c r="AM2487" s="66"/>
      <c r="AN2487" s="66"/>
      <c r="AO2487" s="66"/>
      <c r="AP2487" s="66"/>
      <c r="AQ2487" s="66"/>
      <c r="AR2487" s="66"/>
      <c r="AS2487" s="66"/>
      <c r="AT2487" s="66"/>
      <c r="AU2487" s="66"/>
      <c r="AV2487" s="66"/>
      <c r="AW2487" s="66"/>
      <c r="AX2487" s="66"/>
      <c r="AY2487" s="66"/>
      <c r="AZ2487" s="66"/>
      <c r="BA2487" s="66"/>
      <c r="BB2487" s="66"/>
      <c r="BC2487" s="66"/>
      <c r="BD2487" s="66"/>
      <c r="BE2487" s="67"/>
      <c r="BF2487" s="67"/>
      <c r="BG2487" s="68"/>
      <c r="BI2487" s="69">
        <v>0</v>
      </c>
      <c r="BJ2487" s="70">
        <v>0</v>
      </c>
      <c r="BK2487" s="71">
        <v>0</v>
      </c>
      <c r="BL2487" s="71">
        <v>0</v>
      </c>
      <c r="BM2487" s="71">
        <v>0</v>
      </c>
      <c r="BN2487" s="72">
        <v>0</v>
      </c>
      <c r="BO2487" s="151" t="e">
        <f t="shared" si="164"/>
        <v>#DIV/0!</v>
      </c>
      <c r="BP2487" s="151" t="e">
        <f t="shared" si="165"/>
        <v>#DIV/0!</v>
      </c>
      <c r="BQ2487" s="71">
        <v>0</v>
      </c>
      <c r="BR2487" s="71">
        <v>0</v>
      </c>
      <c r="BS2487" s="71">
        <v>0</v>
      </c>
      <c r="BT2487" s="72">
        <v>0</v>
      </c>
      <c r="BU2487" s="151" t="e">
        <f t="shared" si="166"/>
        <v>#DIV/0!</v>
      </c>
      <c r="BV2487" s="151" t="e">
        <f t="shared" si="167"/>
        <v>#DIV/0!</v>
      </c>
    </row>
    <row r="2488" ht="30" customHeight="1" spans="1:74">
      <c r="A2488" s="55">
        <v>0</v>
      </c>
      <c r="B2488" s="56">
        <v>0</v>
      </c>
      <c r="C2488" s="57">
        <v>0</v>
      </c>
      <c r="D2488" s="74"/>
      <c r="E2488" s="74"/>
      <c r="F2488" s="59" t="e">
        <f>VLOOKUP(E2488,[1]库存!$B$1:$C$65536,2,FALSE)</f>
        <v>#N/A</v>
      </c>
      <c r="G2488" s="59" t="e">
        <v>#N/A</v>
      </c>
      <c r="H2488" s="74"/>
      <c r="I2488" s="74"/>
      <c r="J2488" s="241"/>
      <c r="K2488" s="61"/>
      <c r="L2488" s="62">
        <v>0</v>
      </c>
      <c r="M2488" s="63">
        <v>0</v>
      </c>
      <c r="N2488" s="64">
        <v>0</v>
      </c>
      <c r="O2488" s="62">
        <v>0</v>
      </c>
      <c r="P2488" s="65">
        <f t="shared" si="168"/>
        <v>0</v>
      </c>
      <c r="Q2488" s="66"/>
      <c r="R2488" s="66"/>
      <c r="S2488" s="66"/>
      <c r="T2488" s="66"/>
      <c r="U2488" s="66"/>
      <c r="V2488" s="66"/>
      <c r="W2488" s="66"/>
      <c r="X2488" s="66"/>
      <c r="Y2488" s="66"/>
      <c r="Z2488" s="66"/>
      <c r="AA2488" s="66"/>
      <c r="AB2488" s="66"/>
      <c r="AC2488" s="66"/>
      <c r="AD2488" s="66"/>
      <c r="AE2488" s="66"/>
      <c r="AF2488" s="66"/>
      <c r="AG2488" s="66"/>
      <c r="AH2488" s="66"/>
      <c r="AI2488" s="66"/>
      <c r="AJ2488" s="66"/>
      <c r="AK2488" s="66"/>
      <c r="AL2488" s="66"/>
      <c r="AM2488" s="66"/>
      <c r="AN2488" s="66"/>
      <c r="AO2488" s="66"/>
      <c r="AP2488" s="66"/>
      <c r="AQ2488" s="66"/>
      <c r="AR2488" s="66"/>
      <c r="AS2488" s="66"/>
      <c r="AT2488" s="66"/>
      <c r="AU2488" s="66"/>
      <c r="AV2488" s="66"/>
      <c r="AW2488" s="66"/>
      <c r="AX2488" s="66"/>
      <c r="AY2488" s="66"/>
      <c r="AZ2488" s="66"/>
      <c r="BA2488" s="66"/>
      <c r="BB2488" s="66"/>
      <c r="BC2488" s="66"/>
      <c r="BD2488" s="66"/>
      <c r="BE2488" s="67"/>
      <c r="BF2488" s="67"/>
      <c r="BG2488" s="68"/>
      <c r="BI2488" s="69">
        <v>0</v>
      </c>
      <c r="BJ2488" s="70">
        <v>0</v>
      </c>
      <c r="BK2488" s="71">
        <v>0</v>
      </c>
      <c r="BL2488" s="71">
        <v>0</v>
      </c>
      <c r="BM2488" s="71">
        <v>0</v>
      </c>
      <c r="BN2488" s="72">
        <v>0</v>
      </c>
      <c r="BO2488" s="151" t="e">
        <f t="shared" si="164"/>
        <v>#DIV/0!</v>
      </c>
      <c r="BP2488" s="151" t="e">
        <f t="shared" si="165"/>
        <v>#DIV/0!</v>
      </c>
      <c r="BQ2488" s="71">
        <v>0</v>
      </c>
      <c r="BR2488" s="71">
        <v>0</v>
      </c>
      <c r="BS2488" s="71">
        <v>0</v>
      </c>
      <c r="BT2488" s="72">
        <v>0</v>
      </c>
      <c r="BU2488" s="151" t="e">
        <f t="shared" si="166"/>
        <v>#DIV/0!</v>
      </c>
      <c r="BV2488" s="151" t="e">
        <f t="shared" si="167"/>
        <v>#DIV/0!</v>
      </c>
    </row>
    <row r="2489" ht="30" customHeight="1" spans="1:74">
      <c r="A2489" s="55">
        <v>0</v>
      </c>
      <c r="B2489" s="56" t="s">
        <v>1237</v>
      </c>
      <c r="C2489" s="57" t="s">
        <v>3341</v>
      </c>
      <c r="D2489" s="59" t="s">
        <v>3836</v>
      </c>
      <c r="E2489" s="59"/>
      <c r="F2489" s="59" t="e">
        <f>VLOOKUP(E2489,[1]库存!$B$1:$C$65536,2,FALSE)</f>
        <v>#N/A</v>
      </c>
      <c r="G2489" s="59" t="e">
        <v>#N/A</v>
      </c>
      <c r="H2489" s="59" t="s">
        <v>3861</v>
      </c>
      <c r="I2489" s="59" t="s">
        <v>3862</v>
      </c>
      <c r="J2489" s="240" t="s">
        <v>3863</v>
      </c>
      <c r="K2489" s="61"/>
      <c r="L2489" s="62">
        <v>1</v>
      </c>
      <c r="M2489" s="63">
        <v>500</v>
      </c>
      <c r="N2489" s="64">
        <v>4</v>
      </c>
      <c r="O2489" s="62">
        <v>1</v>
      </c>
      <c r="P2489" s="65">
        <f t="shared" si="168"/>
        <v>0</v>
      </c>
      <c r="Q2489" s="66"/>
      <c r="R2489" s="66"/>
      <c r="S2489" s="66"/>
      <c r="T2489" s="66"/>
      <c r="U2489" s="66"/>
      <c r="V2489" s="66"/>
      <c r="W2489" s="66"/>
      <c r="X2489" s="66"/>
      <c r="Y2489" s="66"/>
      <c r="Z2489" s="66"/>
      <c r="AA2489" s="66"/>
      <c r="AB2489" s="66"/>
      <c r="AC2489" s="66"/>
      <c r="AD2489" s="66"/>
      <c r="AE2489" s="66"/>
      <c r="AF2489" s="66"/>
      <c r="AG2489" s="66"/>
      <c r="AH2489" s="66"/>
      <c r="AI2489" s="66"/>
      <c r="AJ2489" s="66"/>
      <c r="AK2489" s="66"/>
      <c r="AL2489" s="66"/>
      <c r="AM2489" s="66"/>
      <c r="AN2489" s="66"/>
      <c r="AO2489" s="66"/>
      <c r="AP2489" s="66"/>
      <c r="AQ2489" s="66"/>
      <c r="AR2489" s="66"/>
      <c r="AS2489" s="66"/>
      <c r="AT2489" s="66"/>
      <c r="AU2489" s="66"/>
      <c r="AV2489" s="66"/>
      <c r="AW2489" s="66"/>
      <c r="AX2489" s="66"/>
      <c r="AY2489" s="66"/>
      <c r="AZ2489" s="66"/>
      <c r="BA2489" s="66"/>
      <c r="BB2489" s="66"/>
      <c r="BC2489" s="66"/>
      <c r="BD2489" s="66"/>
      <c r="BE2489" s="67"/>
      <c r="BF2489" s="67"/>
      <c r="BG2489" s="68"/>
      <c r="BI2489" s="69">
        <v>0</v>
      </c>
      <c r="BJ2489" s="70">
        <v>0</v>
      </c>
      <c r="BK2489" s="71">
        <v>0</v>
      </c>
      <c r="BL2489" s="71">
        <v>0</v>
      </c>
      <c r="BM2489" s="71">
        <v>0</v>
      </c>
      <c r="BN2489" s="72">
        <v>0</v>
      </c>
      <c r="BO2489" s="151" t="e">
        <f t="shared" si="164"/>
        <v>#DIV/0!</v>
      </c>
      <c r="BP2489" s="151" t="e">
        <f t="shared" si="165"/>
        <v>#DIV/0!</v>
      </c>
      <c r="BQ2489" s="71">
        <v>0</v>
      </c>
      <c r="BR2489" s="71">
        <v>0</v>
      </c>
      <c r="BS2489" s="71">
        <v>0</v>
      </c>
      <c r="BT2489" s="72">
        <v>0</v>
      </c>
      <c r="BU2489" s="151" t="e">
        <f t="shared" si="166"/>
        <v>#DIV/0!</v>
      </c>
      <c r="BV2489" s="151" t="e">
        <f t="shared" si="167"/>
        <v>#DIV/0!</v>
      </c>
    </row>
    <row r="2490" ht="30" customHeight="1" spans="1:74">
      <c r="A2490" s="55">
        <v>0</v>
      </c>
      <c r="B2490" s="56">
        <v>0</v>
      </c>
      <c r="C2490" s="57">
        <v>0</v>
      </c>
      <c r="D2490" s="74"/>
      <c r="E2490" s="74"/>
      <c r="F2490" s="59" t="e">
        <f>VLOOKUP(E2490,[1]库存!$B$1:$C$65536,2,FALSE)</f>
        <v>#N/A</v>
      </c>
      <c r="G2490" s="59" t="e">
        <v>#N/A</v>
      </c>
      <c r="H2490" s="74"/>
      <c r="I2490" s="74"/>
      <c r="J2490" s="241"/>
      <c r="K2490" s="61"/>
      <c r="L2490" s="62">
        <v>0</v>
      </c>
      <c r="M2490" s="63">
        <v>0</v>
      </c>
      <c r="N2490" s="64">
        <v>0</v>
      </c>
      <c r="O2490" s="62">
        <v>0</v>
      </c>
      <c r="P2490" s="65">
        <f t="shared" si="168"/>
        <v>0</v>
      </c>
      <c r="Q2490" s="66"/>
      <c r="R2490" s="66"/>
      <c r="S2490" s="66"/>
      <c r="T2490" s="66"/>
      <c r="U2490" s="66"/>
      <c r="V2490" s="66"/>
      <c r="W2490" s="66"/>
      <c r="X2490" s="66"/>
      <c r="Y2490" s="66"/>
      <c r="Z2490" s="66"/>
      <c r="AA2490" s="66"/>
      <c r="AB2490" s="66"/>
      <c r="AC2490" s="66"/>
      <c r="AD2490" s="66"/>
      <c r="AE2490" s="66"/>
      <c r="AF2490" s="66"/>
      <c r="AG2490" s="66"/>
      <c r="AH2490" s="66"/>
      <c r="AI2490" s="66"/>
      <c r="AJ2490" s="66"/>
      <c r="AK2490" s="66"/>
      <c r="AL2490" s="66"/>
      <c r="AM2490" s="66"/>
      <c r="AN2490" s="66"/>
      <c r="AO2490" s="66"/>
      <c r="AP2490" s="66"/>
      <c r="AQ2490" s="66"/>
      <c r="AR2490" s="66"/>
      <c r="AS2490" s="66"/>
      <c r="AT2490" s="66"/>
      <c r="AU2490" s="66"/>
      <c r="AV2490" s="66"/>
      <c r="AW2490" s="66"/>
      <c r="AX2490" s="66"/>
      <c r="AY2490" s="66"/>
      <c r="AZ2490" s="66"/>
      <c r="BA2490" s="66"/>
      <c r="BB2490" s="66"/>
      <c r="BC2490" s="66"/>
      <c r="BD2490" s="66"/>
      <c r="BE2490" s="67"/>
      <c r="BF2490" s="67"/>
      <c r="BG2490" s="68"/>
      <c r="BI2490" s="69">
        <v>0</v>
      </c>
      <c r="BJ2490" s="70">
        <v>0</v>
      </c>
      <c r="BK2490" s="71">
        <v>0</v>
      </c>
      <c r="BL2490" s="71">
        <v>0</v>
      </c>
      <c r="BM2490" s="71">
        <v>0</v>
      </c>
      <c r="BN2490" s="72">
        <v>0</v>
      </c>
      <c r="BO2490" s="151" t="e">
        <f t="shared" si="164"/>
        <v>#DIV/0!</v>
      </c>
      <c r="BP2490" s="151" t="e">
        <f t="shared" si="165"/>
        <v>#DIV/0!</v>
      </c>
      <c r="BQ2490" s="71">
        <v>0</v>
      </c>
      <c r="BR2490" s="71">
        <v>0</v>
      </c>
      <c r="BS2490" s="71">
        <v>0</v>
      </c>
      <c r="BT2490" s="72">
        <v>0</v>
      </c>
      <c r="BU2490" s="151" t="e">
        <f t="shared" si="166"/>
        <v>#DIV/0!</v>
      </c>
      <c r="BV2490" s="151" t="e">
        <f t="shared" si="167"/>
        <v>#DIV/0!</v>
      </c>
    </row>
    <row r="2491" ht="30" customHeight="1" spans="1:74">
      <c r="A2491" s="55">
        <v>0</v>
      </c>
      <c r="B2491" s="56">
        <v>0</v>
      </c>
      <c r="C2491" s="57">
        <v>0</v>
      </c>
      <c r="D2491" s="88"/>
      <c r="E2491" s="88"/>
      <c r="F2491" s="59" t="e">
        <f>VLOOKUP(E2491,[1]库存!$B$1:$C$65536,2,FALSE)</f>
        <v>#N/A</v>
      </c>
      <c r="G2491" s="59" t="e">
        <v>#N/A</v>
      </c>
      <c r="H2491" s="89"/>
      <c r="I2491" s="88"/>
      <c r="J2491" s="90"/>
      <c r="K2491" s="61"/>
      <c r="L2491" s="62">
        <v>0</v>
      </c>
      <c r="M2491" s="63">
        <v>0</v>
      </c>
      <c r="N2491" s="64">
        <v>0</v>
      </c>
      <c r="O2491" s="62">
        <v>0</v>
      </c>
      <c r="P2491" s="65">
        <f t="shared" si="168"/>
        <v>0</v>
      </c>
      <c r="Q2491" s="66"/>
      <c r="R2491" s="66"/>
      <c r="S2491" s="66"/>
      <c r="T2491" s="66"/>
      <c r="U2491" s="66"/>
      <c r="V2491" s="66"/>
      <c r="W2491" s="66"/>
      <c r="X2491" s="66"/>
      <c r="Y2491" s="66"/>
      <c r="Z2491" s="66"/>
      <c r="AA2491" s="66"/>
      <c r="AB2491" s="66"/>
      <c r="AC2491" s="66"/>
      <c r="AD2491" s="66"/>
      <c r="AE2491" s="66"/>
      <c r="AF2491" s="66"/>
      <c r="AG2491" s="66"/>
      <c r="AH2491" s="66"/>
      <c r="AI2491" s="66"/>
      <c r="AJ2491" s="66"/>
      <c r="AK2491" s="66"/>
      <c r="AL2491" s="66"/>
      <c r="AM2491" s="66"/>
      <c r="AN2491" s="66"/>
      <c r="AO2491" s="66"/>
      <c r="AP2491" s="66"/>
      <c r="AQ2491" s="66"/>
      <c r="AR2491" s="66"/>
      <c r="AS2491" s="66"/>
      <c r="AT2491" s="66"/>
      <c r="AU2491" s="66"/>
      <c r="AV2491" s="66"/>
      <c r="AW2491" s="66"/>
      <c r="AX2491" s="66"/>
      <c r="AY2491" s="66"/>
      <c r="AZ2491" s="66"/>
      <c r="BA2491" s="66"/>
      <c r="BB2491" s="66"/>
      <c r="BC2491" s="66"/>
      <c r="BD2491" s="66"/>
      <c r="BE2491" s="67"/>
      <c r="BF2491" s="67"/>
      <c r="BG2491" s="68"/>
      <c r="BI2491" s="69">
        <v>0</v>
      </c>
      <c r="BJ2491" s="70">
        <v>0</v>
      </c>
      <c r="BK2491" s="71">
        <v>0</v>
      </c>
      <c r="BL2491" s="71">
        <v>0</v>
      </c>
      <c r="BM2491" s="71">
        <v>0</v>
      </c>
      <c r="BN2491" s="72">
        <v>0</v>
      </c>
      <c r="BO2491" s="151" t="e">
        <f t="shared" si="164"/>
        <v>#DIV/0!</v>
      </c>
      <c r="BP2491" s="151" t="e">
        <f t="shared" si="165"/>
        <v>#DIV/0!</v>
      </c>
      <c r="BQ2491" s="71">
        <v>0</v>
      </c>
      <c r="BR2491" s="71">
        <v>0</v>
      </c>
      <c r="BS2491" s="71">
        <v>0</v>
      </c>
      <c r="BT2491" s="72">
        <v>0</v>
      </c>
      <c r="BU2491" s="151" t="e">
        <f t="shared" si="166"/>
        <v>#DIV/0!</v>
      </c>
      <c r="BV2491" s="151" t="e">
        <f t="shared" si="167"/>
        <v>#DIV/0!</v>
      </c>
    </row>
    <row r="2492" ht="30" customHeight="1" spans="1:74">
      <c r="A2492" s="55">
        <v>0</v>
      </c>
      <c r="B2492" s="56" t="s">
        <v>1237</v>
      </c>
      <c r="C2492" s="57" t="s">
        <v>3341</v>
      </c>
      <c r="D2492" s="59" t="s">
        <v>3724</v>
      </c>
      <c r="E2492" s="59" t="s">
        <v>3864</v>
      </c>
      <c r="F2492" s="59" t="str">
        <f>VLOOKUP(E2492,[1]库存!$B$1:$C$65536,2,FALSE)</f>
        <v>CN202S CAB导气袋</v>
      </c>
      <c r="G2492" s="59" t="s">
        <v>3865</v>
      </c>
      <c r="H2492" s="59" t="s">
        <v>3866</v>
      </c>
      <c r="I2492" s="59" t="s">
        <v>3867</v>
      </c>
      <c r="J2492" s="63"/>
      <c r="K2492" s="61"/>
      <c r="L2492" s="62">
        <v>0.7</v>
      </c>
      <c r="M2492" s="63">
        <v>1300</v>
      </c>
      <c r="N2492" s="64">
        <v>3</v>
      </c>
      <c r="O2492" s="62">
        <v>0.7</v>
      </c>
      <c r="P2492" s="65">
        <f t="shared" si="168"/>
        <v>0</v>
      </c>
      <c r="Q2492" s="66">
        <v>0</v>
      </c>
      <c r="R2492" s="66"/>
      <c r="S2492" s="66">
        <v>0</v>
      </c>
      <c r="T2492" s="66"/>
      <c r="U2492" s="66">
        <v>1500</v>
      </c>
      <c r="V2492" s="66"/>
      <c r="W2492" s="66"/>
      <c r="X2492" s="66"/>
      <c r="Y2492" s="66"/>
      <c r="Z2492" s="66"/>
      <c r="AA2492" s="66"/>
      <c r="AB2492" s="66"/>
      <c r="AC2492" s="66"/>
      <c r="AD2492" s="66"/>
      <c r="AE2492" s="66"/>
      <c r="AF2492" s="66"/>
      <c r="AG2492" s="66"/>
      <c r="AH2492" s="66"/>
      <c r="AI2492" s="66"/>
      <c r="AJ2492" s="66"/>
      <c r="AK2492" s="66"/>
      <c r="AL2492" s="66"/>
      <c r="AM2492" s="66"/>
      <c r="AN2492" s="66"/>
      <c r="AO2492" s="66"/>
      <c r="AP2492" s="66"/>
      <c r="AQ2492" s="66"/>
      <c r="AR2492" s="66"/>
      <c r="AS2492" s="66"/>
      <c r="AT2492" s="66"/>
      <c r="AU2492" s="66"/>
      <c r="AV2492" s="66"/>
      <c r="AW2492" s="66"/>
      <c r="AX2492" s="66"/>
      <c r="AY2492" s="66"/>
      <c r="AZ2492" s="66"/>
      <c r="BA2492" s="66"/>
      <c r="BB2492" s="66"/>
      <c r="BC2492" s="66"/>
      <c r="BD2492" s="66"/>
      <c r="BE2492" s="67"/>
      <c r="BF2492" s="67"/>
      <c r="BG2492" s="68"/>
      <c r="BI2492" s="69">
        <v>0</v>
      </c>
      <c r="BJ2492" s="70">
        <v>0</v>
      </c>
      <c r="BK2492" s="71">
        <v>0</v>
      </c>
      <c r="BL2492" s="71">
        <v>0</v>
      </c>
      <c r="BM2492" s="71">
        <v>0</v>
      </c>
      <c r="BN2492" s="72">
        <v>0</v>
      </c>
      <c r="BO2492" s="151" t="e">
        <f t="shared" si="164"/>
        <v>#DIV/0!</v>
      </c>
      <c r="BP2492" s="151" t="e">
        <f t="shared" si="165"/>
        <v>#DIV/0!</v>
      </c>
      <c r="BQ2492" s="71">
        <v>0</v>
      </c>
      <c r="BR2492" s="71">
        <v>0</v>
      </c>
      <c r="BS2492" s="71">
        <v>0</v>
      </c>
      <c r="BT2492" s="72">
        <v>0</v>
      </c>
      <c r="BU2492" s="151" t="e">
        <f t="shared" si="166"/>
        <v>#DIV/0!</v>
      </c>
      <c r="BV2492" s="151" t="e">
        <f t="shared" si="167"/>
        <v>#DIV/0!</v>
      </c>
    </row>
    <row r="2493" ht="30" customHeight="1" spans="1:74">
      <c r="A2493" s="55">
        <v>0</v>
      </c>
      <c r="B2493" s="56">
        <v>0</v>
      </c>
      <c r="C2493" s="57">
        <v>0</v>
      </c>
      <c r="D2493" s="74"/>
      <c r="E2493" s="74"/>
      <c r="F2493" s="59" t="e">
        <f>VLOOKUP(E2493,[1]库存!$B$1:$C$65536,2,FALSE)</f>
        <v>#N/A</v>
      </c>
      <c r="G2493" s="59" t="e">
        <v>#N/A</v>
      </c>
      <c r="H2493" s="74"/>
      <c r="I2493" s="74"/>
      <c r="J2493" s="87"/>
      <c r="K2493" s="61"/>
      <c r="L2493" s="62">
        <v>0</v>
      </c>
      <c r="M2493" s="63">
        <v>0</v>
      </c>
      <c r="N2493" s="64">
        <v>0</v>
      </c>
      <c r="O2493" s="62">
        <v>0</v>
      </c>
      <c r="P2493" s="65">
        <f t="shared" si="168"/>
        <v>0</v>
      </c>
      <c r="Q2493" s="66"/>
      <c r="R2493" s="66"/>
      <c r="S2493" s="66"/>
      <c r="T2493" s="66"/>
      <c r="U2493" s="66">
        <v>1410</v>
      </c>
      <c r="V2493" s="66"/>
      <c r="W2493" s="66"/>
      <c r="X2493" s="66"/>
      <c r="Y2493" s="66"/>
      <c r="Z2493" s="66"/>
      <c r="AA2493" s="66"/>
      <c r="AB2493" s="66"/>
      <c r="AC2493" s="66"/>
      <c r="AD2493" s="66"/>
      <c r="AE2493" s="66"/>
      <c r="AF2493" s="66"/>
      <c r="AG2493" s="66"/>
      <c r="AH2493" s="66"/>
      <c r="AI2493" s="66"/>
      <c r="AJ2493" s="66"/>
      <c r="AK2493" s="66"/>
      <c r="AL2493" s="66"/>
      <c r="AM2493" s="66"/>
      <c r="AN2493" s="66"/>
      <c r="AO2493" s="66"/>
      <c r="AP2493" s="66"/>
      <c r="AQ2493" s="66"/>
      <c r="AR2493" s="66"/>
      <c r="AS2493" s="66"/>
      <c r="AT2493" s="66"/>
      <c r="AU2493" s="66"/>
      <c r="AV2493" s="66"/>
      <c r="AW2493" s="66"/>
      <c r="AX2493" s="66"/>
      <c r="AY2493" s="66"/>
      <c r="AZ2493" s="66"/>
      <c r="BA2493" s="66"/>
      <c r="BB2493" s="66"/>
      <c r="BC2493" s="66"/>
      <c r="BD2493" s="66"/>
      <c r="BE2493" s="67"/>
      <c r="BF2493" s="67"/>
      <c r="BG2493" s="68"/>
      <c r="BI2493" s="69">
        <v>0</v>
      </c>
      <c r="BJ2493" s="70">
        <v>0</v>
      </c>
      <c r="BK2493" s="71">
        <v>0</v>
      </c>
      <c r="BL2493" s="71">
        <v>0</v>
      </c>
      <c r="BM2493" s="71">
        <v>0</v>
      </c>
      <c r="BN2493" s="72">
        <v>0</v>
      </c>
      <c r="BO2493" s="151" t="e">
        <f t="shared" si="164"/>
        <v>#DIV/0!</v>
      </c>
      <c r="BP2493" s="151" t="e">
        <f t="shared" si="165"/>
        <v>#DIV/0!</v>
      </c>
      <c r="BQ2493" s="71">
        <v>0</v>
      </c>
      <c r="BR2493" s="71">
        <v>0</v>
      </c>
      <c r="BS2493" s="71">
        <v>0</v>
      </c>
      <c r="BT2493" s="72">
        <v>0</v>
      </c>
      <c r="BU2493" s="151" t="e">
        <f t="shared" si="166"/>
        <v>#DIV/0!</v>
      </c>
      <c r="BV2493" s="151" t="e">
        <f t="shared" si="167"/>
        <v>#DIV/0!</v>
      </c>
    </row>
    <row r="2494" ht="30" customHeight="1" spans="1:74">
      <c r="A2494" s="55">
        <v>0</v>
      </c>
      <c r="B2494" s="56" t="s">
        <v>1237</v>
      </c>
      <c r="C2494" s="57" t="s">
        <v>3341</v>
      </c>
      <c r="D2494" s="59" t="s">
        <v>3227</v>
      </c>
      <c r="E2494" s="59" t="s">
        <v>3868</v>
      </c>
      <c r="F2494" s="59" t="str">
        <f>VLOOKUP(E2494,[1]库存!$B$1:$C$65536,2,FALSE)</f>
        <v>CN202S CAB LH拉带</v>
      </c>
      <c r="G2494" s="59" t="s">
        <v>3869</v>
      </c>
      <c r="H2494" s="59" t="s">
        <v>3870</v>
      </c>
      <c r="I2494" s="59" t="s">
        <v>3871</v>
      </c>
      <c r="J2494" s="63"/>
      <c r="K2494" s="61"/>
      <c r="L2494" s="62">
        <v>0</v>
      </c>
      <c r="M2494" s="63">
        <v>1300</v>
      </c>
      <c r="N2494" s="64">
        <v>3</v>
      </c>
      <c r="O2494" s="62">
        <v>0</v>
      </c>
      <c r="P2494" s="65">
        <f t="shared" si="168"/>
        <v>0</v>
      </c>
      <c r="Q2494" s="66">
        <v>0</v>
      </c>
      <c r="R2494" s="66"/>
      <c r="S2494" s="66"/>
      <c r="T2494" s="66"/>
      <c r="U2494" s="66"/>
      <c r="V2494" s="66"/>
      <c r="W2494" s="66"/>
      <c r="X2494" s="66"/>
      <c r="Y2494" s="66"/>
      <c r="Z2494" s="66"/>
      <c r="AA2494" s="66"/>
      <c r="AB2494" s="66"/>
      <c r="AC2494" s="66"/>
      <c r="AD2494" s="66"/>
      <c r="AE2494" s="66"/>
      <c r="AF2494" s="66"/>
      <c r="AG2494" s="66"/>
      <c r="AH2494" s="66"/>
      <c r="AI2494" s="66"/>
      <c r="AJ2494" s="66"/>
      <c r="AK2494" s="66"/>
      <c r="AL2494" s="66"/>
      <c r="AM2494" s="66"/>
      <c r="AN2494" s="66"/>
      <c r="AO2494" s="66"/>
      <c r="AP2494" s="66"/>
      <c r="AQ2494" s="66"/>
      <c r="AR2494" s="66"/>
      <c r="AS2494" s="66"/>
      <c r="AT2494" s="66"/>
      <c r="AU2494" s="66"/>
      <c r="AV2494" s="66"/>
      <c r="AW2494" s="66"/>
      <c r="AX2494" s="66"/>
      <c r="AY2494" s="66"/>
      <c r="AZ2494" s="66"/>
      <c r="BA2494" s="66"/>
      <c r="BB2494" s="66"/>
      <c r="BC2494" s="66"/>
      <c r="BD2494" s="66"/>
      <c r="BE2494" s="67"/>
      <c r="BF2494" s="67"/>
      <c r="BG2494" s="68"/>
      <c r="BI2494" s="69">
        <v>0</v>
      </c>
      <c r="BJ2494" s="70">
        <v>0</v>
      </c>
      <c r="BK2494" s="71">
        <v>0</v>
      </c>
      <c r="BL2494" s="71">
        <v>0</v>
      </c>
      <c r="BM2494" s="71">
        <v>0</v>
      </c>
      <c r="BN2494" s="72">
        <v>0</v>
      </c>
      <c r="BO2494" s="151" t="e">
        <f t="shared" si="164"/>
        <v>#DIV/0!</v>
      </c>
      <c r="BP2494" s="151" t="e">
        <f t="shared" si="165"/>
        <v>#DIV/0!</v>
      </c>
      <c r="BQ2494" s="71">
        <v>0</v>
      </c>
      <c r="BR2494" s="71">
        <v>0</v>
      </c>
      <c r="BS2494" s="71">
        <v>0</v>
      </c>
      <c r="BT2494" s="72">
        <v>0</v>
      </c>
      <c r="BU2494" s="151" t="e">
        <f t="shared" si="166"/>
        <v>#DIV/0!</v>
      </c>
      <c r="BV2494" s="151" t="e">
        <f t="shared" si="167"/>
        <v>#DIV/0!</v>
      </c>
    </row>
    <row r="2495" ht="30" customHeight="1" spans="1:74">
      <c r="A2495" s="55">
        <v>0</v>
      </c>
      <c r="B2495" s="56">
        <v>0</v>
      </c>
      <c r="C2495" s="57">
        <v>0</v>
      </c>
      <c r="D2495" s="74"/>
      <c r="E2495" s="74"/>
      <c r="F2495" s="59" t="e">
        <f>VLOOKUP(E2495,[1]库存!$B$1:$C$65536,2,FALSE)</f>
        <v>#N/A</v>
      </c>
      <c r="G2495" s="59" t="e">
        <v>#N/A</v>
      </c>
      <c r="H2495" s="74"/>
      <c r="I2495" s="74"/>
      <c r="J2495" s="87"/>
      <c r="K2495" s="61"/>
      <c r="L2495" s="62">
        <v>0</v>
      </c>
      <c r="M2495" s="63">
        <v>0</v>
      </c>
      <c r="N2495" s="64">
        <v>0</v>
      </c>
      <c r="O2495" s="62">
        <v>0</v>
      </c>
      <c r="P2495" s="65">
        <f t="shared" si="168"/>
        <v>0</v>
      </c>
      <c r="Q2495" s="66"/>
      <c r="R2495" s="66"/>
      <c r="S2495" s="66"/>
      <c r="T2495" s="66"/>
      <c r="U2495" s="66"/>
      <c r="V2495" s="66"/>
      <c r="W2495" s="66"/>
      <c r="X2495" s="66"/>
      <c r="Y2495" s="66"/>
      <c r="Z2495" s="66"/>
      <c r="AA2495" s="66"/>
      <c r="AB2495" s="66"/>
      <c r="AC2495" s="66"/>
      <c r="AD2495" s="66"/>
      <c r="AE2495" s="66"/>
      <c r="AF2495" s="66"/>
      <c r="AG2495" s="66"/>
      <c r="AH2495" s="66"/>
      <c r="AI2495" s="66"/>
      <c r="AJ2495" s="66"/>
      <c r="AK2495" s="66"/>
      <c r="AL2495" s="66"/>
      <c r="AM2495" s="66"/>
      <c r="AN2495" s="66"/>
      <c r="AO2495" s="66"/>
      <c r="AP2495" s="66"/>
      <c r="AQ2495" s="66"/>
      <c r="AR2495" s="66"/>
      <c r="AS2495" s="66"/>
      <c r="AT2495" s="66"/>
      <c r="AU2495" s="66"/>
      <c r="AV2495" s="66"/>
      <c r="AW2495" s="66"/>
      <c r="AX2495" s="66"/>
      <c r="AY2495" s="66"/>
      <c r="AZ2495" s="66"/>
      <c r="BA2495" s="66"/>
      <c r="BB2495" s="66"/>
      <c r="BC2495" s="66"/>
      <c r="BD2495" s="66"/>
      <c r="BE2495" s="67"/>
      <c r="BF2495" s="67"/>
      <c r="BG2495" s="68"/>
      <c r="BI2495" s="69">
        <v>0</v>
      </c>
      <c r="BJ2495" s="70">
        <v>0</v>
      </c>
      <c r="BK2495" s="71">
        <v>0</v>
      </c>
      <c r="BL2495" s="71">
        <v>0</v>
      </c>
      <c r="BM2495" s="71">
        <v>0</v>
      </c>
      <c r="BN2495" s="72">
        <v>0</v>
      </c>
      <c r="BO2495" s="151" t="e">
        <f t="shared" si="164"/>
        <v>#DIV/0!</v>
      </c>
      <c r="BP2495" s="151" t="e">
        <f t="shared" si="165"/>
        <v>#DIV/0!</v>
      </c>
      <c r="BQ2495" s="71">
        <v>0</v>
      </c>
      <c r="BR2495" s="71">
        <v>0</v>
      </c>
      <c r="BS2495" s="71">
        <v>0</v>
      </c>
      <c r="BT2495" s="72">
        <v>0</v>
      </c>
      <c r="BU2495" s="151" t="e">
        <f t="shared" si="166"/>
        <v>#DIV/0!</v>
      </c>
      <c r="BV2495" s="151" t="e">
        <f t="shared" si="167"/>
        <v>#DIV/0!</v>
      </c>
    </row>
    <row r="2496" ht="30" customHeight="1" spans="1:74">
      <c r="A2496" s="55" t="s">
        <v>96</v>
      </c>
      <c r="B2496" s="56" t="s">
        <v>1237</v>
      </c>
      <c r="C2496" s="57" t="s">
        <v>3341</v>
      </c>
      <c r="D2496" s="59" t="s">
        <v>3872</v>
      </c>
      <c r="E2496" s="59" t="s">
        <v>3873</v>
      </c>
      <c r="F2496" s="59" t="str">
        <f>VLOOKUP(E2496,[1]库存!$B$1:$C$65536,2,FALSE)</f>
        <v>CN202S CAB LH</v>
      </c>
      <c r="G2496" s="59" t="s">
        <v>3874</v>
      </c>
      <c r="H2496" s="59" t="s">
        <v>3875</v>
      </c>
      <c r="I2496" s="59" t="s">
        <v>3876</v>
      </c>
      <c r="J2496" s="63"/>
      <c r="K2496" s="61"/>
      <c r="L2496" s="62">
        <v>1</v>
      </c>
      <c r="M2496" s="63">
        <v>450</v>
      </c>
      <c r="N2496" s="64">
        <v>4</v>
      </c>
      <c r="O2496" s="62">
        <v>1</v>
      </c>
      <c r="P2496" s="65">
        <f t="shared" si="168"/>
        <v>0</v>
      </c>
      <c r="Q2496" s="66">
        <v>450</v>
      </c>
      <c r="R2496" s="66"/>
      <c r="S2496" s="66"/>
      <c r="T2496" s="66"/>
      <c r="U2496" s="66"/>
      <c r="V2496" s="66"/>
      <c r="W2496" s="66"/>
      <c r="X2496" s="66"/>
      <c r="Y2496" s="66"/>
      <c r="Z2496" s="66"/>
      <c r="AA2496" s="66"/>
      <c r="AB2496" s="66"/>
      <c r="AC2496" s="66" t="s">
        <v>3877</v>
      </c>
      <c r="AD2496" s="66"/>
      <c r="AE2496" s="66"/>
      <c r="AF2496" s="66"/>
      <c r="AG2496" s="66"/>
      <c r="AH2496" s="66"/>
      <c r="AI2496" s="66"/>
      <c r="AJ2496" s="66"/>
      <c r="AK2496" s="66"/>
      <c r="AL2496" s="66"/>
      <c r="AM2496" s="66"/>
      <c r="AN2496" s="66"/>
      <c r="AO2496" s="66"/>
      <c r="AP2496" s="66"/>
      <c r="AQ2496" s="66"/>
      <c r="AR2496" s="66"/>
      <c r="AS2496" s="66"/>
      <c r="AT2496" s="66"/>
      <c r="AU2496" s="66"/>
      <c r="AV2496" s="66"/>
      <c r="AW2496" s="66"/>
      <c r="AX2496" s="66"/>
      <c r="AY2496" s="66"/>
      <c r="AZ2496" s="66"/>
      <c r="BA2496" s="66"/>
      <c r="BB2496" s="66"/>
      <c r="BC2496" s="66"/>
      <c r="BD2496" s="66"/>
      <c r="BE2496" s="67"/>
      <c r="BF2496" s="67"/>
      <c r="BG2496" s="68"/>
      <c r="BI2496" s="69">
        <v>0</v>
      </c>
      <c r="BJ2496" s="70">
        <v>0</v>
      </c>
      <c r="BK2496" s="71">
        <v>0</v>
      </c>
      <c r="BL2496" s="71">
        <v>0</v>
      </c>
      <c r="BM2496" s="71">
        <v>0</v>
      </c>
      <c r="BN2496" s="72">
        <v>0</v>
      </c>
      <c r="BO2496" s="151" t="e">
        <f t="shared" si="164"/>
        <v>#DIV/0!</v>
      </c>
      <c r="BP2496" s="151" t="e">
        <f t="shared" si="165"/>
        <v>#DIV/0!</v>
      </c>
      <c r="BQ2496" s="71">
        <v>0</v>
      </c>
      <c r="BR2496" s="71">
        <v>0</v>
      </c>
      <c r="BS2496" s="71">
        <v>0</v>
      </c>
      <c r="BT2496" s="72">
        <v>0</v>
      </c>
      <c r="BU2496" s="151" t="e">
        <f t="shared" si="166"/>
        <v>#DIV/0!</v>
      </c>
      <c r="BV2496" s="151" t="e">
        <f t="shared" si="167"/>
        <v>#DIV/0!</v>
      </c>
    </row>
    <row r="2497" ht="30" customHeight="1" spans="1:75 16331:16349">
      <c r="A2497" s="55">
        <v>0</v>
      </c>
      <c r="B2497" s="56">
        <v>0</v>
      </c>
      <c r="C2497" s="57">
        <v>0</v>
      </c>
      <c r="D2497" s="74"/>
      <c r="E2497" s="74"/>
      <c r="F2497" s="59" t="e">
        <f>VLOOKUP(E2497,[1]库存!$B$1:$C$65536,2,FALSE)</f>
        <v>#N/A</v>
      </c>
      <c r="G2497" s="59" t="e">
        <v>#N/A</v>
      </c>
      <c r="H2497" s="74"/>
      <c r="I2497" s="74"/>
      <c r="J2497" s="87"/>
      <c r="K2497" s="61"/>
      <c r="L2497" s="62">
        <v>0</v>
      </c>
      <c r="M2497" s="63">
        <v>0</v>
      </c>
      <c r="N2497" s="64">
        <v>0</v>
      </c>
      <c r="O2497" s="62">
        <v>0</v>
      </c>
      <c r="P2497" s="65">
        <f t="shared" si="168"/>
        <v>0</v>
      </c>
      <c r="Q2497" s="66">
        <v>460</v>
      </c>
      <c r="R2497" s="66"/>
      <c r="S2497" s="66"/>
      <c r="T2497" s="66"/>
      <c r="U2497" s="66"/>
      <c r="V2497" s="66"/>
      <c r="W2497" s="66"/>
      <c r="X2497" s="66"/>
      <c r="Y2497" s="66"/>
      <c r="Z2497" s="66"/>
      <c r="AA2497" s="66"/>
      <c r="AB2497" s="66"/>
      <c r="AC2497" s="66">
        <v>134</v>
      </c>
      <c r="AD2497" s="66"/>
      <c r="AE2497" s="66"/>
      <c r="AF2497" s="66"/>
      <c r="AG2497" s="66"/>
      <c r="AH2497" s="66"/>
      <c r="AI2497" s="66"/>
      <c r="AJ2497" s="66"/>
      <c r="AK2497" s="66"/>
      <c r="AL2497" s="66"/>
      <c r="AM2497" s="66"/>
      <c r="AN2497" s="66"/>
      <c r="AO2497" s="66"/>
      <c r="AP2497" s="66"/>
      <c r="AQ2497" s="66"/>
      <c r="AR2497" s="66"/>
      <c r="AS2497" s="66"/>
      <c r="AT2497" s="66"/>
      <c r="AU2497" s="66"/>
      <c r="AV2497" s="66"/>
      <c r="AW2497" s="66"/>
      <c r="AX2497" s="66"/>
      <c r="AY2497" s="66"/>
      <c r="AZ2497" s="66"/>
      <c r="BA2497" s="66"/>
      <c r="BB2497" s="66"/>
      <c r="BC2497" s="66"/>
      <c r="BD2497" s="66"/>
      <c r="BE2497" s="67"/>
      <c r="BF2497" s="67"/>
      <c r="BG2497" s="68"/>
      <c r="BI2497" s="69">
        <v>0</v>
      </c>
      <c r="BJ2497" s="70">
        <v>0</v>
      </c>
      <c r="BK2497" s="71">
        <v>0</v>
      </c>
      <c r="BL2497" s="71">
        <v>0</v>
      </c>
      <c r="BM2497" s="71">
        <v>0</v>
      </c>
      <c r="BN2497" s="72">
        <v>0</v>
      </c>
      <c r="BO2497" s="151" t="e">
        <f t="shared" si="164"/>
        <v>#DIV/0!</v>
      </c>
      <c r="BP2497" s="151" t="e">
        <f t="shared" si="165"/>
        <v>#DIV/0!</v>
      </c>
      <c r="BQ2497" s="71">
        <v>0</v>
      </c>
      <c r="BR2497" s="71">
        <v>0</v>
      </c>
      <c r="BS2497" s="71">
        <v>0</v>
      </c>
      <c r="BT2497" s="72">
        <v>0</v>
      </c>
      <c r="BU2497" s="151" t="e">
        <f t="shared" si="166"/>
        <v>#DIV/0!</v>
      </c>
      <c r="BV2497" s="151" t="e">
        <f t="shared" si="167"/>
        <v>#DIV/0!</v>
      </c>
    </row>
    <row r="2498" ht="30" customHeight="1" spans="1:75 16331:16349">
      <c r="A2498" s="55">
        <v>0</v>
      </c>
      <c r="B2498" s="56" t="s">
        <v>1237</v>
      </c>
      <c r="C2498" s="57" t="s">
        <v>3341</v>
      </c>
      <c r="D2498" s="59" t="s">
        <v>3227</v>
      </c>
      <c r="E2498" s="59" t="s">
        <v>3878</v>
      </c>
      <c r="F2498" s="59" t="str">
        <f>VLOOKUP(E2498,[1]库存!$B$1:$C$65536,2,FALSE)</f>
        <v>CN202S CAB RH拉带</v>
      </c>
      <c r="G2498" s="59" t="s">
        <v>3879</v>
      </c>
      <c r="H2498" s="59" t="s">
        <v>3880</v>
      </c>
      <c r="I2498" s="59" t="s">
        <v>3871</v>
      </c>
      <c r="J2498" s="63"/>
      <c r="K2498" s="61"/>
      <c r="L2498" s="62">
        <v>0</v>
      </c>
      <c r="M2498" s="63">
        <v>1300</v>
      </c>
      <c r="N2498" s="64">
        <v>3</v>
      </c>
      <c r="O2498" s="62">
        <v>0</v>
      </c>
      <c r="P2498" s="65">
        <f t="shared" si="168"/>
        <v>0</v>
      </c>
      <c r="Q2498" s="66"/>
      <c r="R2498" s="66"/>
      <c r="S2498" s="66">
        <v>0</v>
      </c>
      <c r="T2498" s="66"/>
      <c r="U2498" s="66"/>
      <c r="V2498" s="66"/>
      <c r="W2498" s="66"/>
      <c r="X2498" s="66"/>
      <c r="Y2498" s="66"/>
      <c r="Z2498" s="66"/>
      <c r="AA2498" s="66"/>
      <c r="AB2498" s="66"/>
      <c r="AC2498" s="66"/>
      <c r="AD2498" s="66"/>
      <c r="AE2498" s="66"/>
      <c r="AF2498" s="66"/>
      <c r="AG2498" s="66"/>
      <c r="AH2498" s="66"/>
      <c r="AI2498" s="66"/>
      <c r="AJ2498" s="66"/>
      <c r="AK2498" s="66"/>
      <c r="AL2498" s="66"/>
      <c r="AM2498" s="66"/>
      <c r="AN2498" s="66"/>
      <c r="AO2498" s="66"/>
      <c r="AP2498" s="66"/>
      <c r="AQ2498" s="66"/>
      <c r="AR2498" s="66"/>
      <c r="AS2498" s="66"/>
      <c r="AT2498" s="66"/>
      <c r="AU2498" s="66"/>
      <c r="AV2498" s="66"/>
      <c r="AW2498" s="66"/>
      <c r="AX2498" s="66"/>
      <c r="AY2498" s="66"/>
      <c r="AZ2498" s="66"/>
      <c r="BA2498" s="66"/>
      <c r="BB2498" s="66"/>
      <c r="BC2498" s="66"/>
      <c r="BD2498" s="66"/>
      <c r="BE2498" s="67"/>
      <c r="BF2498" s="67"/>
      <c r="BG2498" s="68"/>
      <c r="BI2498" s="69">
        <v>0</v>
      </c>
      <c r="BJ2498" s="70">
        <v>0</v>
      </c>
      <c r="BK2498" s="71">
        <v>0</v>
      </c>
      <c r="BL2498" s="71">
        <v>0</v>
      </c>
      <c r="BM2498" s="71">
        <v>0</v>
      </c>
      <c r="BN2498" s="72">
        <v>0</v>
      </c>
      <c r="BO2498" s="151" t="e">
        <f t="shared" ref="BO2498:BO2561" si="169">(BK2498+BL2498)/BJ2498</f>
        <v>#DIV/0!</v>
      </c>
      <c r="BP2498" s="151" t="e">
        <f t="shared" ref="BP2498:BP2561" si="170">BM2498/BJ2498</f>
        <v>#DIV/0!</v>
      </c>
      <c r="BQ2498" s="71">
        <v>0</v>
      </c>
      <c r="BR2498" s="71">
        <v>0</v>
      </c>
      <c r="BS2498" s="71">
        <v>0</v>
      </c>
      <c r="BT2498" s="72">
        <v>0</v>
      </c>
      <c r="BU2498" s="151" t="e">
        <f t="shared" si="166"/>
        <v>#DIV/0!</v>
      </c>
      <c r="BV2498" s="151" t="e">
        <f t="shared" si="167"/>
        <v>#DIV/0!</v>
      </c>
    </row>
    <row r="2499" ht="30" customHeight="1" spans="1:75 16331:16349">
      <c r="A2499" s="55">
        <v>0</v>
      </c>
      <c r="B2499" s="56">
        <v>0</v>
      </c>
      <c r="C2499" s="57">
        <v>0</v>
      </c>
      <c r="D2499" s="74"/>
      <c r="E2499" s="74"/>
      <c r="F2499" s="59" t="e">
        <f>VLOOKUP(E2499,[1]库存!$B$1:$C$65536,2,FALSE)</f>
        <v>#N/A</v>
      </c>
      <c r="G2499" s="59" t="e">
        <v>#N/A</v>
      </c>
      <c r="H2499" s="74"/>
      <c r="I2499" s="74"/>
      <c r="J2499" s="87"/>
      <c r="K2499" s="61"/>
      <c r="L2499" s="62">
        <v>0</v>
      </c>
      <c r="M2499" s="63">
        <v>0</v>
      </c>
      <c r="N2499" s="64">
        <v>0</v>
      </c>
      <c r="O2499" s="62">
        <v>0</v>
      </c>
      <c r="P2499" s="65">
        <f t="shared" si="168"/>
        <v>0</v>
      </c>
      <c r="Q2499" s="66"/>
      <c r="R2499" s="66"/>
      <c r="S2499" s="66"/>
      <c r="T2499" s="66"/>
      <c r="U2499" s="66"/>
      <c r="V2499" s="66"/>
      <c r="W2499" s="66"/>
      <c r="X2499" s="66"/>
      <c r="Y2499" s="66"/>
      <c r="Z2499" s="66"/>
      <c r="AA2499" s="66"/>
      <c r="AB2499" s="66"/>
      <c r="AC2499" s="66"/>
      <c r="AD2499" s="66"/>
      <c r="AE2499" s="66"/>
      <c r="AF2499" s="66"/>
      <c r="AG2499" s="66"/>
      <c r="AH2499" s="66"/>
      <c r="AI2499" s="66"/>
      <c r="AJ2499" s="66"/>
      <c r="AK2499" s="66"/>
      <c r="AL2499" s="66"/>
      <c r="AM2499" s="66"/>
      <c r="AN2499" s="66"/>
      <c r="AO2499" s="66"/>
      <c r="AP2499" s="66"/>
      <c r="AQ2499" s="66"/>
      <c r="AR2499" s="66"/>
      <c r="AS2499" s="66"/>
      <c r="AT2499" s="66"/>
      <c r="AU2499" s="66"/>
      <c r="AV2499" s="66"/>
      <c r="AW2499" s="66"/>
      <c r="AX2499" s="66"/>
      <c r="AY2499" s="66"/>
      <c r="AZ2499" s="66"/>
      <c r="BA2499" s="66"/>
      <c r="BB2499" s="66"/>
      <c r="BC2499" s="66"/>
      <c r="BD2499" s="66"/>
      <c r="BE2499" s="67"/>
      <c r="BF2499" s="67"/>
      <c r="BG2499" s="68"/>
      <c r="BI2499" s="69">
        <v>0</v>
      </c>
      <c r="BJ2499" s="70">
        <v>0</v>
      </c>
      <c r="BK2499" s="71">
        <v>0</v>
      </c>
      <c r="BL2499" s="71">
        <v>0</v>
      </c>
      <c r="BM2499" s="71">
        <v>0</v>
      </c>
      <c r="BN2499" s="72">
        <v>0</v>
      </c>
      <c r="BO2499" s="151" t="e">
        <f t="shared" si="169"/>
        <v>#DIV/0!</v>
      </c>
      <c r="BP2499" s="151" t="e">
        <f t="shared" si="170"/>
        <v>#DIV/0!</v>
      </c>
      <c r="BQ2499" s="71">
        <v>0</v>
      </c>
      <c r="BR2499" s="71">
        <v>0</v>
      </c>
      <c r="BS2499" s="71">
        <v>0</v>
      </c>
      <c r="BT2499" s="72">
        <v>0</v>
      </c>
      <c r="BU2499" s="151" t="e">
        <f t="shared" si="166"/>
        <v>#DIV/0!</v>
      </c>
      <c r="BV2499" s="151" t="e">
        <f t="shared" si="167"/>
        <v>#DIV/0!</v>
      </c>
    </row>
    <row r="2500" ht="30" customHeight="1" spans="1:75 16331:16349">
      <c r="A2500" s="55" t="s">
        <v>96</v>
      </c>
      <c r="B2500" s="56" t="s">
        <v>1237</v>
      </c>
      <c r="C2500" s="57" t="s">
        <v>3341</v>
      </c>
      <c r="D2500" s="59" t="s">
        <v>3872</v>
      </c>
      <c r="E2500" s="59" t="s">
        <v>3881</v>
      </c>
      <c r="F2500" s="59" t="str">
        <f>VLOOKUP(E2500,[1]库存!$B$1:$C$65536,2,FALSE)</f>
        <v>CN202S CAB RH</v>
      </c>
      <c r="G2500" s="59" t="s">
        <v>3882</v>
      </c>
      <c r="H2500" s="59" t="s">
        <v>3883</v>
      </c>
      <c r="I2500" s="59" t="s">
        <v>3876</v>
      </c>
      <c r="J2500" s="63"/>
      <c r="K2500" s="61"/>
      <c r="L2500" s="62">
        <v>1</v>
      </c>
      <c r="M2500" s="63">
        <v>450</v>
      </c>
      <c r="N2500" s="64">
        <v>4</v>
      </c>
      <c r="O2500" s="62">
        <v>1</v>
      </c>
      <c r="P2500" s="65">
        <f t="shared" si="168"/>
        <v>0</v>
      </c>
      <c r="Q2500" s="66"/>
      <c r="R2500" s="66"/>
      <c r="S2500" s="66">
        <v>500</v>
      </c>
      <c r="T2500" s="66"/>
      <c r="U2500" s="66">
        <v>500</v>
      </c>
      <c r="V2500" s="66"/>
      <c r="W2500" s="66"/>
      <c r="X2500" s="66"/>
      <c r="Y2500" s="66"/>
      <c r="Z2500" s="66"/>
      <c r="AA2500" s="66"/>
      <c r="AB2500" s="66"/>
      <c r="AC2500" s="66"/>
      <c r="AD2500" s="66"/>
      <c r="AE2500" s="66"/>
      <c r="AF2500" s="66"/>
      <c r="AG2500" s="66"/>
      <c r="AH2500" s="66"/>
      <c r="AI2500" s="66"/>
      <c r="AJ2500" s="66"/>
      <c r="AK2500" s="66"/>
      <c r="AL2500" s="66"/>
      <c r="AM2500" s="66"/>
      <c r="AN2500" s="66"/>
      <c r="AO2500" s="66"/>
      <c r="AP2500" s="66"/>
      <c r="AQ2500" s="66"/>
      <c r="AR2500" s="66"/>
      <c r="AS2500" s="66"/>
      <c r="AT2500" s="66"/>
      <c r="AU2500" s="66"/>
      <c r="AV2500" s="66"/>
      <c r="AW2500" s="66"/>
      <c r="AX2500" s="66"/>
      <c r="AY2500" s="66"/>
      <c r="AZ2500" s="66"/>
      <c r="BA2500" s="66"/>
      <c r="BB2500" s="66"/>
      <c r="BC2500" s="66"/>
      <c r="BD2500" s="66"/>
      <c r="BE2500" s="67"/>
      <c r="BF2500" s="67"/>
      <c r="BG2500" s="68"/>
      <c r="BI2500" s="69">
        <v>0</v>
      </c>
      <c r="BJ2500" s="70">
        <v>0</v>
      </c>
      <c r="BK2500" s="71">
        <v>0</v>
      </c>
      <c r="BL2500" s="71">
        <v>0</v>
      </c>
      <c r="BM2500" s="71">
        <v>0</v>
      </c>
      <c r="BN2500" s="72">
        <v>0</v>
      </c>
      <c r="BO2500" s="151" t="e">
        <f t="shared" si="169"/>
        <v>#DIV/0!</v>
      </c>
      <c r="BP2500" s="151" t="e">
        <f t="shared" si="170"/>
        <v>#DIV/0!</v>
      </c>
      <c r="BQ2500" s="71">
        <v>0</v>
      </c>
      <c r="BR2500" s="71">
        <v>0</v>
      </c>
      <c r="BS2500" s="71">
        <v>0</v>
      </c>
      <c r="BT2500" s="72">
        <v>0</v>
      </c>
      <c r="BU2500" s="151" t="e">
        <f t="shared" ref="BU2500:BU2563" si="171">(BQ2500+BR2500)/BJ2500</f>
        <v>#DIV/0!</v>
      </c>
      <c r="BV2500" s="151" t="e">
        <f t="shared" ref="BV2500:BV2563" si="172">BS2500/BJ2500</f>
        <v>#DIV/0!</v>
      </c>
    </row>
    <row r="2501" ht="30" customHeight="1" spans="1:75 16331:16349">
      <c r="A2501" s="55">
        <v>0</v>
      </c>
      <c r="B2501" s="56">
        <v>0</v>
      </c>
      <c r="C2501" s="57">
        <v>0</v>
      </c>
      <c r="D2501" s="74"/>
      <c r="E2501" s="74"/>
      <c r="F2501" s="59" t="e">
        <f>VLOOKUP(E2501,[1]库存!$B$1:$C$65536,2,FALSE)</f>
        <v>#N/A</v>
      </c>
      <c r="G2501" s="59" t="e">
        <v>#N/A</v>
      </c>
      <c r="H2501" s="74"/>
      <c r="I2501" s="74"/>
      <c r="J2501" s="87"/>
      <c r="K2501" s="61"/>
      <c r="L2501" s="62">
        <v>0</v>
      </c>
      <c r="M2501" s="63">
        <v>0</v>
      </c>
      <c r="N2501" s="64">
        <v>0</v>
      </c>
      <c r="O2501" s="62">
        <v>0</v>
      </c>
      <c r="P2501" s="65">
        <f t="shared" si="168"/>
        <v>0</v>
      </c>
      <c r="Q2501" s="66"/>
      <c r="R2501" s="66"/>
      <c r="S2501" s="66">
        <v>500</v>
      </c>
      <c r="T2501" s="66"/>
      <c r="U2501" s="66">
        <v>528</v>
      </c>
      <c r="V2501" s="66"/>
      <c r="W2501" s="66"/>
      <c r="X2501" s="66"/>
      <c r="Y2501" s="66"/>
      <c r="Z2501" s="66"/>
      <c r="AA2501" s="66"/>
      <c r="AB2501" s="66"/>
      <c r="AC2501" s="66"/>
      <c r="AD2501" s="66"/>
      <c r="AE2501" s="66"/>
      <c r="AF2501" s="66"/>
      <c r="AG2501" s="66"/>
      <c r="AH2501" s="66"/>
      <c r="AI2501" s="66"/>
      <c r="AJ2501" s="66"/>
      <c r="AK2501" s="66"/>
      <c r="AL2501" s="66"/>
      <c r="AM2501" s="66"/>
      <c r="AN2501" s="66"/>
      <c r="AO2501" s="66"/>
      <c r="AP2501" s="66"/>
      <c r="AQ2501" s="66"/>
      <c r="AR2501" s="66"/>
      <c r="AS2501" s="66"/>
      <c r="AT2501" s="66"/>
      <c r="AU2501" s="66"/>
      <c r="AV2501" s="66"/>
      <c r="AW2501" s="66"/>
      <c r="AX2501" s="66"/>
      <c r="AY2501" s="66"/>
      <c r="AZ2501" s="66"/>
      <c r="BA2501" s="66"/>
      <c r="BB2501" s="66"/>
      <c r="BC2501" s="66"/>
      <c r="BD2501" s="66"/>
      <c r="BE2501" s="67"/>
      <c r="BF2501" s="67"/>
      <c r="BG2501" s="68"/>
      <c r="BI2501" s="69">
        <v>0</v>
      </c>
      <c r="BJ2501" s="70">
        <v>0</v>
      </c>
      <c r="BK2501" s="71">
        <v>0</v>
      </c>
      <c r="BL2501" s="71">
        <v>0</v>
      </c>
      <c r="BM2501" s="71">
        <v>0</v>
      </c>
      <c r="BN2501" s="72">
        <v>0</v>
      </c>
      <c r="BO2501" s="151" t="e">
        <f t="shared" si="169"/>
        <v>#DIV/0!</v>
      </c>
      <c r="BP2501" s="151" t="e">
        <f t="shared" si="170"/>
        <v>#DIV/0!</v>
      </c>
      <c r="BQ2501" s="71">
        <v>0</v>
      </c>
      <c r="BR2501" s="71">
        <v>0</v>
      </c>
      <c r="BS2501" s="71">
        <v>0</v>
      </c>
      <c r="BT2501" s="72">
        <v>0</v>
      </c>
      <c r="BU2501" s="151" t="e">
        <f t="shared" si="171"/>
        <v>#DIV/0!</v>
      </c>
      <c r="BV2501" s="151" t="e">
        <f t="shared" si="172"/>
        <v>#DIV/0!</v>
      </c>
    </row>
    <row r="2502" ht="30" customHeight="1" spans="1:75 16331:16349">
      <c r="A2502" s="55" t="s">
        <v>96</v>
      </c>
      <c r="B2502" s="56" t="s">
        <v>1237</v>
      </c>
      <c r="C2502" s="57" t="s">
        <v>3341</v>
      </c>
      <c r="D2502" s="59" t="s">
        <v>3872</v>
      </c>
      <c r="E2502" s="59" t="s">
        <v>3823</v>
      </c>
      <c r="F2502" s="59" t="str">
        <f>VLOOKUP(E2502,[1]库存!$B$1:$C$65536,2,FALSE)</f>
        <v>SAIC IP5PM CAB LH</v>
      </c>
      <c r="G2502" s="59" t="s">
        <v>3824</v>
      </c>
      <c r="H2502" s="59" t="s">
        <v>3825</v>
      </c>
      <c r="I2502" s="59" t="s">
        <v>3826</v>
      </c>
      <c r="J2502" s="268" t="s">
        <v>3884</v>
      </c>
      <c r="K2502" s="61"/>
      <c r="L2502" s="62">
        <v>1</v>
      </c>
      <c r="M2502" s="63">
        <v>460</v>
      </c>
      <c r="N2502" s="64">
        <v>3</v>
      </c>
      <c r="O2502" s="62">
        <v>1</v>
      </c>
      <c r="P2502" s="65">
        <f t="shared" ref="P2502:P2565" si="173">SUM(AG2502:AJ2502)</f>
        <v>0</v>
      </c>
      <c r="Q2502" s="66"/>
      <c r="R2502" s="66"/>
      <c r="S2502" s="66"/>
      <c r="T2502" s="66"/>
      <c r="U2502" s="66"/>
      <c r="V2502" s="66"/>
      <c r="W2502" s="66"/>
      <c r="X2502" s="66"/>
      <c r="Y2502" s="66"/>
      <c r="Z2502" s="66"/>
      <c r="AA2502" s="66"/>
      <c r="AB2502" s="66"/>
      <c r="AC2502" s="66"/>
      <c r="AD2502" s="66"/>
      <c r="AE2502" s="66"/>
      <c r="AF2502" s="66"/>
      <c r="AG2502" s="66"/>
      <c r="AH2502" s="66"/>
      <c r="AI2502" s="66"/>
      <c r="AJ2502" s="66"/>
      <c r="AK2502" s="66"/>
      <c r="AL2502" s="66"/>
      <c r="AM2502" s="66"/>
      <c r="AN2502" s="66"/>
      <c r="AO2502" s="66"/>
      <c r="AP2502" s="66"/>
      <c r="AQ2502" s="66"/>
      <c r="AR2502" s="66"/>
      <c r="AS2502" s="66"/>
      <c r="AT2502" s="66"/>
      <c r="AU2502" s="66"/>
      <c r="AV2502" s="66"/>
      <c r="AW2502" s="66"/>
      <c r="AX2502" s="66"/>
      <c r="AY2502" s="66"/>
      <c r="AZ2502" s="66"/>
      <c r="BA2502" s="66"/>
      <c r="BB2502" s="66"/>
      <c r="BC2502" s="66"/>
      <c r="BD2502" s="66"/>
      <c r="BE2502" s="67"/>
      <c r="BF2502" s="67"/>
      <c r="BG2502" s="68"/>
      <c r="BI2502" s="69">
        <v>0</v>
      </c>
      <c r="BJ2502" s="70">
        <v>0</v>
      </c>
      <c r="BK2502" s="71">
        <v>0</v>
      </c>
      <c r="BL2502" s="71">
        <v>0</v>
      </c>
      <c r="BM2502" s="71">
        <v>0</v>
      </c>
      <c r="BN2502" s="72">
        <v>0</v>
      </c>
      <c r="BO2502" s="151" t="e">
        <f t="shared" si="169"/>
        <v>#DIV/0!</v>
      </c>
      <c r="BP2502" s="151" t="e">
        <f t="shared" si="170"/>
        <v>#DIV/0!</v>
      </c>
      <c r="BQ2502" s="71">
        <v>0</v>
      </c>
      <c r="BR2502" s="71">
        <v>0</v>
      </c>
      <c r="BS2502" s="71">
        <v>0</v>
      </c>
      <c r="BT2502" s="72">
        <v>0</v>
      </c>
      <c r="BU2502" s="151" t="e">
        <f t="shared" si="171"/>
        <v>#DIV/0!</v>
      </c>
      <c r="BV2502" s="151" t="e">
        <f t="shared" si="172"/>
        <v>#DIV/0!</v>
      </c>
    </row>
    <row r="2503" ht="30" customHeight="1" spans="1:75 16331:16349">
      <c r="A2503" s="55">
        <v>0</v>
      </c>
      <c r="B2503" s="56">
        <v>0</v>
      </c>
      <c r="C2503" s="57">
        <v>0</v>
      </c>
      <c r="D2503" s="74"/>
      <c r="E2503" s="74"/>
      <c r="F2503" s="59" t="e">
        <f>VLOOKUP(E2503,[1]库存!$B$1:$C$65536,2,FALSE)</f>
        <v>#N/A</v>
      </c>
      <c r="G2503" s="59" t="e">
        <v>#N/A</v>
      </c>
      <c r="H2503" s="74"/>
      <c r="I2503" s="74"/>
      <c r="J2503" s="270"/>
      <c r="K2503" s="61"/>
      <c r="L2503" s="62">
        <v>0</v>
      </c>
      <c r="M2503" s="63">
        <v>0</v>
      </c>
      <c r="N2503" s="64">
        <v>0</v>
      </c>
      <c r="O2503" s="62">
        <v>0</v>
      </c>
      <c r="P2503" s="65">
        <f t="shared" si="173"/>
        <v>0</v>
      </c>
      <c r="Q2503" s="66"/>
      <c r="R2503" s="66"/>
      <c r="S2503" s="66"/>
      <c r="T2503" s="66"/>
      <c r="U2503" s="66"/>
      <c r="V2503" s="66"/>
      <c r="W2503" s="66"/>
      <c r="X2503" s="66"/>
      <c r="Y2503" s="66"/>
      <c r="Z2503" s="66"/>
      <c r="AA2503" s="66"/>
      <c r="AB2503" s="66"/>
      <c r="AC2503" s="66"/>
      <c r="AD2503" s="66"/>
      <c r="AE2503" s="66"/>
      <c r="AF2503" s="66"/>
      <c r="AG2503" s="66"/>
      <c r="AH2503" s="66"/>
      <c r="AI2503" s="66"/>
      <c r="AJ2503" s="66"/>
      <c r="AK2503" s="66"/>
      <c r="AL2503" s="66"/>
      <c r="AM2503" s="66"/>
      <c r="AN2503" s="66"/>
      <c r="AO2503" s="66"/>
      <c r="AP2503" s="66"/>
      <c r="AQ2503" s="66"/>
      <c r="AR2503" s="66"/>
      <c r="AS2503" s="66"/>
      <c r="AT2503" s="66"/>
      <c r="AU2503" s="66"/>
      <c r="AV2503" s="66"/>
      <c r="AW2503" s="66"/>
      <c r="AX2503" s="66"/>
      <c r="AY2503" s="66"/>
      <c r="AZ2503" s="66"/>
      <c r="BA2503" s="66"/>
      <c r="BB2503" s="66"/>
      <c r="BC2503" s="66"/>
      <c r="BD2503" s="66"/>
      <c r="BE2503" s="67"/>
      <c r="BF2503" s="67"/>
      <c r="BG2503" s="68"/>
      <c r="BI2503" s="69">
        <v>0</v>
      </c>
      <c r="BJ2503" s="70">
        <v>0</v>
      </c>
      <c r="BK2503" s="71">
        <v>0</v>
      </c>
      <c r="BL2503" s="71">
        <v>0</v>
      </c>
      <c r="BM2503" s="71">
        <v>0</v>
      </c>
      <c r="BN2503" s="72">
        <v>0</v>
      </c>
      <c r="BO2503" s="151" t="e">
        <f t="shared" si="169"/>
        <v>#DIV/0!</v>
      </c>
      <c r="BP2503" s="151" t="e">
        <f t="shared" si="170"/>
        <v>#DIV/0!</v>
      </c>
      <c r="BQ2503" s="71">
        <v>0</v>
      </c>
      <c r="BR2503" s="71">
        <v>0</v>
      </c>
      <c r="BS2503" s="71">
        <v>0</v>
      </c>
      <c r="BT2503" s="72">
        <v>0</v>
      </c>
      <c r="BU2503" s="151" t="e">
        <f t="shared" si="171"/>
        <v>#DIV/0!</v>
      </c>
      <c r="BV2503" s="151" t="e">
        <f t="shared" si="172"/>
        <v>#DIV/0!</v>
      </c>
    </row>
    <row r="2504" ht="30" customHeight="1" spans="1:75 16331:16349">
      <c r="A2504" s="55" t="s">
        <v>96</v>
      </c>
      <c r="B2504" s="56" t="s">
        <v>1237</v>
      </c>
      <c r="C2504" s="57" t="s">
        <v>3341</v>
      </c>
      <c r="D2504" s="59" t="s">
        <v>3872</v>
      </c>
      <c r="E2504" s="59" t="s">
        <v>3827</v>
      </c>
      <c r="F2504" s="59" t="str">
        <f>VLOOKUP(E2504,[1]库存!$B$1:$C$65536,2,FALSE)</f>
        <v>SAIC IP5PM CAB RH</v>
      </c>
      <c r="G2504" s="59" t="s">
        <v>3828</v>
      </c>
      <c r="H2504" s="59" t="s">
        <v>3829</v>
      </c>
      <c r="I2504" s="59" t="s">
        <v>3826</v>
      </c>
      <c r="J2504" s="268" t="s">
        <v>3884</v>
      </c>
      <c r="K2504" s="61"/>
      <c r="L2504" s="62">
        <v>1</v>
      </c>
      <c r="M2504" s="63">
        <v>460</v>
      </c>
      <c r="N2504" s="64">
        <v>3</v>
      </c>
      <c r="O2504" s="62">
        <v>1</v>
      </c>
      <c r="P2504" s="65">
        <f t="shared" si="173"/>
        <v>0</v>
      </c>
      <c r="Q2504" s="66"/>
      <c r="R2504" s="66"/>
      <c r="S2504" s="66"/>
      <c r="T2504" s="66"/>
      <c r="U2504" s="66"/>
      <c r="V2504" s="66"/>
      <c r="W2504" s="66"/>
      <c r="X2504" s="66"/>
      <c r="Y2504" s="66"/>
      <c r="Z2504" s="66"/>
      <c r="AA2504" s="66"/>
      <c r="AB2504" s="66"/>
      <c r="AC2504" s="66"/>
      <c r="AD2504" s="66"/>
      <c r="AE2504" s="66"/>
      <c r="AF2504" s="66"/>
      <c r="AG2504" s="66"/>
      <c r="AH2504" s="66"/>
      <c r="AI2504" s="66"/>
      <c r="AJ2504" s="66"/>
      <c r="AK2504" s="66"/>
      <c r="AL2504" s="66"/>
      <c r="AM2504" s="66"/>
      <c r="AN2504" s="66"/>
      <c r="AO2504" s="66"/>
      <c r="AP2504" s="66"/>
      <c r="AQ2504" s="66"/>
      <c r="AR2504" s="66"/>
      <c r="AS2504" s="66"/>
      <c r="AT2504" s="66"/>
      <c r="AU2504" s="66"/>
      <c r="AV2504" s="66"/>
      <c r="AW2504" s="66"/>
      <c r="AX2504" s="66"/>
      <c r="AY2504" s="66"/>
      <c r="AZ2504" s="66"/>
      <c r="BA2504" s="66"/>
      <c r="BB2504" s="66"/>
      <c r="BC2504" s="66"/>
      <c r="BD2504" s="66"/>
      <c r="BE2504" s="67"/>
      <c r="BF2504" s="67"/>
      <c r="BG2504" s="68"/>
      <c r="BI2504" s="69">
        <v>0</v>
      </c>
      <c r="BJ2504" s="70">
        <v>0</v>
      </c>
      <c r="BK2504" s="71">
        <v>0</v>
      </c>
      <c r="BL2504" s="71">
        <v>0</v>
      </c>
      <c r="BM2504" s="71">
        <v>0</v>
      </c>
      <c r="BN2504" s="72">
        <v>0</v>
      </c>
      <c r="BO2504" s="151" t="e">
        <f t="shared" si="169"/>
        <v>#DIV/0!</v>
      </c>
      <c r="BP2504" s="151" t="e">
        <f t="shared" si="170"/>
        <v>#DIV/0!</v>
      </c>
      <c r="BQ2504" s="71">
        <v>0</v>
      </c>
      <c r="BR2504" s="71">
        <v>0</v>
      </c>
      <c r="BS2504" s="71">
        <v>0</v>
      </c>
      <c r="BT2504" s="72">
        <v>0</v>
      </c>
      <c r="BU2504" s="151" t="e">
        <f t="shared" si="171"/>
        <v>#DIV/0!</v>
      </c>
      <c r="BV2504" s="151" t="e">
        <f t="shared" si="172"/>
        <v>#DIV/0!</v>
      </c>
    </row>
    <row r="2505" ht="30" customHeight="1" spans="1:75 16331:16349">
      <c r="A2505" s="55">
        <v>0</v>
      </c>
      <c r="B2505" s="56">
        <v>0</v>
      </c>
      <c r="C2505" s="57">
        <v>0</v>
      </c>
      <c r="D2505" s="74"/>
      <c r="E2505" s="74"/>
      <c r="F2505" s="59" t="e">
        <f>VLOOKUP(E2505,[1]库存!$B$1:$C$65536,2,FALSE)</f>
        <v>#N/A</v>
      </c>
      <c r="G2505" s="59" t="e">
        <v>#N/A</v>
      </c>
      <c r="H2505" s="74"/>
      <c r="I2505" s="74"/>
      <c r="J2505" s="270"/>
      <c r="K2505" s="61"/>
      <c r="L2505" s="62">
        <v>0</v>
      </c>
      <c r="M2505" s="63">
        <v>0</v>
      </c>
      <c r="N2505" s="64">
        <v>0</v>
      </c>
      <c r="O2505" s="62">
        <v>0</v>
      </c>
      <c r="P2505" s="65">
        <f t="shared" si="173"/>
        <v>0</v>
      </c>
      <c r="Q2505" s="66"/>
      <c r="R2505" s="66"/>
      <c r="S2505" s="66"/>
      <c r="T2505" s="66"/>
      <c r="U2505" s="66"/>
      <c r="V2505" s="66"/>
      <c r="W2505" s="66"/>
      <c r="X2505" s="66"/>
      <c r="Y2505" s="66"/>
      <c r="Z2505" s="66"/>
      <c r="AA2505" s="66"/>
      <c r="AB2505" s="66"/>
      <c r="AC2505" s="66"/>
      <c r="AD2505" s="66"/>
      <c r="AE2505" s="66"/>
      <c r="AF2505" s="66"/>
      <c r="AG2505" s="66"/>
      <c r="AH2505" s="66"/>
      <c r="AI2505" s="66"/>
      <c r="AJ2505" s="66"/>
      <c r="AK2505" s="66"/>
      <c r="AL2505" s="66"/>
      <c r="AM2505" s="66"/>
      <c r="AN2505" s="66"/>
      <c r="AO2505" s="66"/>
      <c r="AP2505" s="66"/>
      <c r="AQ2505" s="66"/>
      <c r="AR2505" s="66"/>
      <c r="AS2505" s="66"/>
      <c r="AT2505" s="66"/>
      <c r="AU2505" s="66"/>
      <c r="AV2505" s="66"/>
      <c r="AW2505" s="66"/>
      <c r="AX2505" s="66"/>
      <c r="AY2505" s="66"/>
      <c r="AZ2505" s="66"/>
      <c r="BA2505" s="66"/>
      <c r="BB2505" s="66"/>
      <c r="BC2505" s="66"/>
      <c r="BD2505" s="66"/>
      <c r="BE2505" s="67"/>
      <c r="BF2505" s="67"/>
      <c r="BG2505" s="68"/>
      <c r="BI2505" s="69">
        <v>0</v>
      </c>
      <c r="BJ2505" s="70">
        <v>0</v>
      </c>
      <c r="BK2505" s="71">
        <v>0</v>
      </c>
      <c r="BL2505" s="71">
        <v>0</v>
      </c>
      <c r="BM2505" s="71">
        <v>0</v>
      </c>
      <c r="BN2505" s="72">
        <v>0</v>
      </c>
      <c r="BO2505" s="151" t="e">
        <f t="shared" si="169"/>
        <v>#DIV/0!</v>
      </c>
      <c r="BP2505" s="151" t="e">
        <f t="shared" si="170"/>
        <v>#DIV/0!</v>
      </c>
      <c r="BQ2505" s="71">
        <v>0</v>
      </c>
      <c r="BR2505" s="71">
        <v>0</v>
      </c>
      <c r="BS2505" s="71">
        <v>0</v>
      </c>
      <c r="BT2505" s="72">
        <v>0</v>
      </c>
      <c r="BU2505" s="151" t="e">
        <f t="shared" si="171"/>
        <v>#DIV/0!</v>
      </c>
      <c r="BV2505" s="151" t="e">
        <f t="shared" si="172"/>
        <v>#DIV/0!</v>
      </c>
    </row>
    <row r="2506" ht="30" customHeight="1" spans="1:75 16331:16349">
      <c r="A2506" s="55">
        <v>0</v>
      </c>
      <c r="B2506" s="56" t="s">
        <v>1237</v>
      </c>
      <c r="C2506" s="57" t="s">
        <v>3341</v>
      </c>
      <c r="D2506" s="59" t="s">
        <v>3715</v>
      </c>
      <c r="E2506" s="59" t="s">
        <v>3885</v>
      </c>
      <c r="F2506" s="59" t="str">
        <f>VLOOKUP(E2506,[1]库存!$B$1:$C$65536,2,FALSE)</f>
        <v>S301 CAB 导气袋</v>
      </c>
      <c r="G2506" s="59" t="s">
        <v>3886</v>
      </c>
      <c r="H2506" s="59" t="s">
        <v>3887</v>
      </c>
      <c r="I2506" s="59"/>
      <c r="J2506" s="63"/>
      <c r="K2506" s="61"/>
      <c r="L2506" s="62">
        <v>0.7</v>
      </c>
      <c r="M2506" s="63">
        <v>1000</v>
      </c>
      <c r="N2506" s="64">
        <v>3</v>
      </c>
      <c r="O2506" s="62">
        <v>0.7</v>
      </c>
      <c r="P2506" s="65">
        <f t="shared" si="173"/>
        <v>0</v>
      </c>
      <c r="Q2506" s="66"/>
      <c r="R2506" s="66"/>
      <c r="S2506" s="66"/>
      <c r="T2506" s="66"/>
      <c r="U2506" s="66"/>
      <c r="V2506" s="66"/>
      <c r="W2506" s="66"/>
      <c r="X2506" s="66"/>
      <c r="Y2506" s="66"/>
      <c r="Z2506" s="66"/>
      <c r="AA2506" s="66"/>
      <c r="AB2506" s="66"/>
      <c r="AC2506" s="66"/>
      <c r="AD2506" s="66"/>
      <c r="AE2506" s="66"/>
      <c r="AF2506" s="66"/>
      <c r="AG2506" s="66"/>
      <c r="AH2506" s="66"/>
      <c r="AI2506" s="66"/>
      <c r="AJ2506" s="66"/>
      <c r="AK2506" s="66"/>
      <c r="AL2506" s="66"/>
      <c r="AM2506" s="66"/>
      <c r="AN2506" s="66"/>
      <c r="AO2506" s="66"/>
      <c r="AP2506" s="66"/>
      <c r="AQ2506" s="66"/>
      <c r="AR2506" s="66"/>
      <c r="AS2506" s="66"/>
      <c r="AT2506" s="66"/>
      <c r="AU2506" s="66"/>
      <c r="AV2506" s="66"/>
      <c r="AW2506" s="66"/>
      <c r="AX2506" s="66"/>
      <c r="AY2506" s="66"/>
      <c r="AZ2506" s="66"/>
      <c r="BA2506" s="66"/>
      <c r="BB2506" s="66"/>
      <c r="BC2506" s="66"/>
      <c r="BD2506" s="66"/>
      <c r="BE2506" s="67"/>
      <c r="BF2506" s="67"/>
      <c r="BG2506" s="68"/>
      <c r="BI2506" s="69">
        <v>0</v>
      </c>
      <c r="BJ2506" s="70">
        <v>0</v>
      </c>
      <c r="BK2506" s="71">
        <v>0</v>
      </c>
      <c r="BL2506" s="71">
        <v>0</v>
      </c>
      <c r="BM2506" s="71">
        <v>0</v>
      </c>
      <c r="BN2506" s="72">
        <v>0</v>
      </c>
      <c r="BO2506" s="151" t="e">
        <f t="shared" si="169"/>
        <v>#DIV/0!</v>
      </c>
      <c r="BP2506" s="151" t="e">
        <f t="shared" si="170"/>
        <v>#DIV/0!</v>
      </c>
      <c r="BQ2506" s="71">
        <v>0</v>
      </c>
      <c r="BR2506" s="71">
        <v>0</v>
      </c>
      <c r="BS2506" s="71">
        <v>0</v>
      </c>
      <c r="BT2506" s="72">
        <v>0</v>
      </c>
      <c r="BU2506" s="151" t="e">
        <f t="shared" si="171"/>
        <v>#DIV/0!</v>
      </c>
      <c r="BV2506" s="151" t="e">
        <f t="shared" si="172"/>
        <v>#DIV/0!</v>
      </c>
    </row>
    <row r="2507" ht="30" customHeight="1" spans="1:75 16331:16349">
      <c r="A2507" s="55">
        <v>0</v>
      </c>
      <c r="B2507" s="56">
        <v>0</v>
      </c>
      <c r="C2507" s="57" t="s">
        <v>3226</v>
      </c>
      <c r="D2507" s="74"/>
      <c r="E2507" s="74"/>
      <c r="F2507" s="59" t="e">
        <f>VLOOKUP(E2507,[1]库存!$B$1:$C$65536,2,FALSE)</f>
        <v>#N/A</v>
      </c>
      <c r="G2507" s="59" t="e">
        <v>#N/A</v>
      </c>
      <c r="H2507" s="74"/>
      <c r="I2507" s="74"/>
      <c r="J2507" s="87"/>
      <c r="K2507" s="61"/>
      <c r="L2507" s="62">
        <v>0</v>
      </c>
      <c r="M2507" s="63">
        <v>0</v>
      </c>
      <c r="N2507" s="64">
        <v>0</v>
      </c>
      <c r="O2507" s="62">
        <v>0</v>
      </c>
      <c r="P2507" s="65">
        <f t="shared" si="173"/>
        <v>0</v>
      </c>
      <c r="Q2507" s="66"/>
      <c r="R2507" s="66"/>
      <c r="S2507" s="66"/>
      <c r="T2507" s="66"/>
      <c r="U2507" s="66"/>
      <c r="V2507" s="66"/>
      <c r="W2507" s="66"/>
      <c r="X2507" s="66"/>
      <c r="Y2507" s="66"/>
      <c r="Z2507" s="66"/>
      <c r="AA2507" s="66"/>
      <c r="AB2507" s="66"/>
      <c r="AC2507" s="66"/>
      <c r="AD2507" s="66"/>
      <c r="AE2507" s="66"/>
      <c r="AF2507" s="66"/>
      <c r="AG2507" s="66"/>
      <c r="AH2507" s="66"/>
      <c r="AI2507" s="66"/>
      <c r="AJ2507" s="66"/>
      <c r="AK2507" s="66"/>
      <c r="AL2507" s="66"/>
      <c r="AM2507" s="66"/>
      <c r="AN2507" s="66"/>
      <c r="AO2507" s="66"/>
      <c r="AP2507" s="66"/>
      <c r="AQ2507" s="66"/>
      <c r="AR2507" s="66"/>
      <c r="AS2507" s="66"/>
      <c r="AT2507" s="66"/>
      <c r="AU2507" s="66"/>
      <c r="AV2507" s="66"/>
      <c r="AW2507" s="66"/>
      <c r="AX2507" s="66"/>
      <c r="AY2507" s="66"/>
      <c r="AZ2507" s="66"/>
      <c r="BA2507" s="66"/>
      <c r="BB2507" s="66"/>
      <c r="BC2507" s="66"/>
      <c r="BD2507" s="66"/>
      <c r="BE2507" s="67"/>
      <c r="BF2507" s="67"/>
      <c r="BG2507" s="68"/>
      <c r="BI2507" s="69">
        <v>0</v>
      </c>
      <c r="BJ2507" s="70">
        <v>0</v>
      </c>
      <c r="BK2507" s="71">
        <v>0</v>
      </c>
      <c r="BL2507" s="71">
        <v>0</v>
      </c>
      <c r="BM2507" s="71">
        <v>0</v>
      </c>
      <c r="BN2507" s="72">
        <v>0</v>
      </c>
      <c r="BO2507" s="151" t="e">
        <f t="shared" si="169"/>
        <v>#DIV/0!</v>
      </c>
      <c r="BP2507" s="151" t="e">
        <f t="shared" si="170"/>
        <v>#DIV/0!</v>
      </c>
      <c r="BQ2507" s="71">
        <v>0</v>
      </c>
      <c r="BR2507" s="71">
        <v>0</v>
      </c>
      <c r="BS2507" s="71">
        <v>0</v>
      </c>
      <c r="BT2507" s="72">
        <v>0</v>
      </c>
      <c r="BU2507" s="151" t="e">
        <f t="shared" si="171"/>
        <v>#DIV/0!</v>
      </c>
      <c r="BV2507" s="151" t="e">
        <f t="shared" si="172"/>
        <v>#DIV/0!</v>
      </c>
    </row>
    <row r="2508" ht="30" customHeight="1" spans="1:75 16331:16349">
      <c r="A2508" s="55">
        <v>0</v>
      </c>
      <c r="B2508" s="56" t="s">
        <v>1237</v>
      </c>
      <c r="C2508" s="57" t="s">
        <v>3341</v>
      </c>
      <c r="D2508" s="59" t="s">
        <v>3227</v>
      </c>
      <c r="E2508" s="59" t="s">
        <v>3888</v>
      </c>
      <c r="F2508" s="59" t="str">
        <f>VLOOKUP(E2508,[1]库存!$B$1:$C$65536,2,FALSE)</f>
        <v>S301 CAB 拉带</v>
      </c>
      <c r="G2508" s="59" t="s">
        <v>3889</v>
      </c>
      <c r="H2508" s="59" t="s">
        <v>3890</v>
      </c>
      <c r="I2508" s="59"/>
      <c r="J2508" s="63"/>
      <c r="K2508" s="61"/>
      <c r="L2508" s="62">
        <v>0</v>
      </c>
      <c r="M2508" s="63">
        <v>1200</v>
      </c>
      <c r="N2508" s="64">
        <v>1.5</v>
      </c>
      <c r="O2508" s="62">
        <v>0</v>
      </c>
      <c r="P2508" s="65">
        <f t="shared" si="173"/>
        <v>0</v>
      </c>
      <c r="Q2508" s="66"/>
      <c r="R2508" s="66"/>
      <c r="S2508" s="66"/>
      <c r="T2508" s="66"/>
      <c r="U2508" s="66"/>
      <c r="V2508" s="66"/>
      <c r="W2508" s="66"/>
      <c r="X2508" s="66"/>
      <c r="Y2508" s="66"/>
      <c r="Z2508" s="66"/>
      <c r="AA2508" s="66"/>
      <c r="AB2508" s="66"/>
      <c r="AC2508" s="66"/>
      <c r="AD2508" s="66"/>
      <c r="AE2508" s="66"/>
      <c r="AF2508" s="66"/>
      <c r="AG2508" s="66"/>
      <c r="AH2508" s="66"/>
      <c r="AI2508" s="66"/>
      <c r="AJ2508" s="66"/>
      <c r="AK2508" s="66"/>
      <c r="AL2508" s="66"/>
      <c r="AM2508" s="66"/>
      <c r="AN2508" s="66"/>
      <c r="AO2508" s="66"/>
      <c r="AP2508" s="66"/>
      <c r="AQ2508" s="66"/>
      <c r="AR2508" s="66"/>
      <c r="AS2508" s="66"/>
      <c r="AT2508" s="66"/>
      <c r="AU2508" s="66"/>
      <c r="AV2508" s="66"/>
      <c r="AW2508" s="66"/>
      <c r="AX2508" s="66"/>
      <c r="AY2508" s="66"/>
      <c r="AZ2508" s="66"/>
      <c r="BA2508" s="66"/>
      <c r="BB2508" s="66"/>
      <c r="BC2508" s="66"/>
      <c r="BD2508" s="66"/>
      <c r="BE2508" s="67"/>
      <c r="BF2508" s="67"/>
      <c r="BG2508" s="68"/>
      <c r="BI2508" s="69">
        <v>0</v>
      </c>
      <c r="BJ2508" s="70">
        <v>0</v>
      </c>
      <c r="BK2508" s="71">
        <v>0</v>
      </c>
      <c r="BL2508" s="71">
        <v>0</v>
      </c>
      <c r="BM2508" s="71">
        <v>0</v>
      </c>
      <c r="BN2508" s="72">
        <v>0</v>
      </c>
      <c r="BO2508" s="151" t="e">
        <f t="shared" si="169"/>
        <v>#DIV/0!</v>
      </c>
      <c r="BP2508" s="151" t="e">
        <f t="shared" si="170"/>
        <v>#DIV/0!</v>
      </c>
      <c r="BQ2508" s="71">
        <v>0</v>
      </c>
      <c r="BR2508" s="71">
        <v>0</v>
      </c>
      <c r="BS2508" s="71">
        <v>0</v>
      </c>
      <c r="BT2508" s="72">
        <v>0</v>
      </c>
      <c r="BU2508" s="151" t="e">
        <f t="shared" si="171"/>
        <v>#DIV/0!</v>
      </c>
      <c r="BV2508" s="151" t="e">
        <f t="shared" si="172"/>
        <v>#DIV/0!</v>
      </c>
    </row>
    <row r="2509" ht="30" customHeight="1" spans="1:75 16331:16349">
      <c r="A2509" s="55">
        <v>0</v>
      </c>
      <c r="B2509" s="56">
        <v>0</v>
      </c>
      <c r="C2509" s="57">
        <v>0</v>
      </c>
      <c r="D2509" s="74"/>
      <c r="E2509" s="74"/>
      <c r="F2509" s="59" t="e">
        <f>VLOOKUP(E2509,[1]库存!$B$1:$C$65536,2,FALSE)</f>
        <v>#N/A</v>
      </c>
      <c r="G2509" s="59" t="e">
        <v>#N/A</v>
      </c>
      <c r="H2509" s="74"/>
      <c r="I2509" s="74"/>
      <c r="J2509" s="87"/>
      <c r="K2509" s="61"/>
      <c r="L2509" s="62">
        <v>0</v>
      </c>
      <c r="M2509" s="63">
        <v>0</v>
      </c>
      <c r="N2509" s="64">
        <v>0</v>
      </c>
      <c r="O2509" s="62">
        <v>0</v>
      </c>
      <c r="P2509" s="65">
        <f t="shared" si="173"/>
        <v>0</v>
      </c>
      <c r="Q2509" s="66"/>
      <c r="R2509" s="66"/>
      <c r="S2509" s="66"/>
      <c r="T2509" s="66"/>
      <c r="U2509" s="66"/>
      <c r="V2509" s="66"/>
      <c r="W2509" s="66"/>
      <c r="X2509" s="66"/>
      <c r="Y2509" s="66"/>
      <c r="Z2509" s="66"/>
      <c r="AA2509" s="66"/>
      <c r="AB2509" s="66"/>
      <c r="AC2509" s="66"/>
      <c r="AD2509" s="66"/>
      <c r="AE2509" s="66"/>
      <c r="AF2509" s="66"/>
      <c r="AG2509" s="66"/>
      <c r="AH2509" s="66"/>
      <c r="AI2509" s="66"/>
      <c r="AJ2509" s="66"/>
      <c r="AK2509" s="66"/>
      <c r="AL2509" s="66"/>
      <c r="AM2509" s="66"/>
      <c r="AN2509" s="66"/>
      <c r="AO2509" s="66"/>
      <c r="AP2509" s="66"/>
      <c r="AQ2509" s="66"/>
      <c r="AR2509" s="66"/>
      <c r="AS2509" s="66"/>
      <c r="AT2509" s="66"/>
      <c r="AU2509" s="66"/>
      <c r="AV2509" s="66"/>
      <c r="AW2509" s="66"/>
      <c r="AX2509" s="66"/>
      <c r="AY2509" s="66"/>
      <c r="AZ2509" s="66"/>
      <c r="BA2509" s="66"/>
      <c r="BB2509" s="66"/>
      <c r="BC2509" s="66"/>
      <c r="BD2509" s="66"/>
      <c r="BE2509" s="67"/>
      <c r="BF2509" s="67"/>
      <c r="BG2509" s="68"/>
      <c r="BI2509" s="69">
        <v>0</v>
      </c>
      <c r="BJ2509" s="70">
        <v>0</v>
      </c>
      <c r="BK2509" s="71">
        <v>0</v>
      </c>
      <c r="BL2509" s="71">
        <v>0</v>
      </c>
      <c r="BM2509" s="71">
        <v>0</v>
      </c>
      <c r="BN2509" s="72">
        <v>0</v>
      </c>
      <c r="BO2509" s="151" t="e">
        <f t="shared" si="169"/>
        <v>#DIV/0!</v>
      </c>
      <c r="BP2509" s="151" t="e">
        <f t="shared" si="170"/>
        <v>#DIV/0!</v>
      </c>
      <c r="BQ2509" s="71">
        <v>0</v>
      </c>
      <c r="BR2509" s="71">
        <v>0</v>
      </c>
      <c r="BS2509" s="71">
        <v>0</v>
      </c>
      <c r="BT2509" s="72">
        <v>0</v>
      </c>
      <c r="BU2509" s="151" t="e">
        <f t="shared" si="171"/>
        <v>#DIV/0!</v>
      </c>
      <c r="BV2509" s="151" t="e">
        <f t="shared" si="172"/>
        <v>#DIV/0!</v>
      </c>
    </row>
    <row r="2510" ht="30" customHeight="1" spans="1:75 16331:16349">
      <c r="A2510" s="55" t="s">
        <v>41</v>
      </c>
      <c r="B2510" s="56" t="s">
        <v>1237</v>
      </c>
      <c r="C2510" s="57" t="s">
        <v>3341</v>
      </c>
      <c r="D2510" s="59" t="s">
        <v>3872</v>
      </c>
      <c r="E2510" s="59" t="s">
        <v>3891</v>
      </c>
      <c r="F2510" s="59" t="str">
        <f>VLOOKUP(E2510,[1]库存!$B$1:$C$65536,2,FALSE)</f>
        <v>S301 CAB</v>
      </c>
      <c r="G2510" s="59" t="s">
        <v>3892</v>
      </c>
      <c r="H2510" s="59" t="s">
        <v>3893</v>
      </c>
      <c r="I2510" s="59" t="s">
        <v>3862</v>
      </c>
      <c r="J2510" s="63"/>
      <c r="K2510" s="61"/>
      <c r="L2510" s="62">
        <v>1</v>
      </c>
      <c r="M2510" s="63">
        <v>500</v>
      </c>
      <c r="N2510" s="64">
        <v>4</v>
      </c>
      <c r="O2510" s="62">
        <v>1</v>
      </c>
      <c r="P2510" s="65">
        <f t="shared" si="173"/>
        <v>0</v>
      </c>
      <c r="Q2510" s="66"/>
      <c r="R2510" s="66"/>
      <c r="S2510" s="66"/>
      <c r="T2510" s="66"/>
      <c r="U2510" s="66"/>
      <c r="V2510" s="66"/>
      <c r="W2510" s="66"/>
      <c r="X2510" s="66"/>
      <c r="Y2510" s="66"/>
      <c r="Z2510" s="66"/>
      <c r="AA2510" s="66"/>
      <c r="AB2510" s="66"/>
      <c r="AC2510" s="66"/>
      <c r="AD2510" s="66"/>
      <c r="AE2510" s="66"/>
      <c r="AF2510" s="66"/>
      <c r="AG2510" s="66"/>
      <c r="AH2510" s="66"/>
      <c r="AI2510" s="66"/>
      <c r="AJ2510" s="66"/>
      <c r="AK2510" s="66"/>
      <c r="AL2510" s="66"/>
      <c r="AM2510" s="66"/>
      <c r="AN2510" s="66"/>
      <c r="AO2510" s="66"/>
      <c r="AP2510" s="66"/>
      <c r="AQ2510" s="66"/>
      <c r="AR2510" s="66"/>
      <c r="AS2510" s="66"/>
      <c r="AT2510" s="66"/>
      <c r="AU2510" s="66"/>
      <c r="AV2510" s="66"/>
      <c r="AW2510" s="66"/>
      <c r="AX2510" s="66"/>
      <c r="AY2510" s="66"/>
      <c r="AZ2510" s="66"/>
      <c r="BA2510" s="66"/>
      <c r="BB2510" s="66"/>
      <c r="BC2510" s="66"/>
      <c r="BD2510" s="66"/>
      <c r="BE2510" s="67"/>
      <c r="BF2510" s="67"/>
      <c r="BG2510" s="68"/>
      <c r="BI2510" s="69">
        <v>0</v>
      </c>
      <c r="BJ2510" s="70">
        <v>0</v>
      </c>
      <c r="BK2510" s="71">
        <v>0</v>
      </c>
      <c r="BL2510" s="71">
        <v>0</v>
      </c>
      <c r="BM2510" s="71">
        <v>0</v>
      </c>
      <c r="BN2510" s="72">
        <v>0</v>
      </c>
      <c r="BO2510" s="151" t="e">
        <f t="shared" si="169"/>
        <v>#DIV/0!</v>
      </c>
      <c r="BP2510" s="151" t="e">
        <f t="shared" si="170"/>
        <v>#DIV/0!</v>
      </c>
      <c r="BQ2510" s="71">
        <v>0</v>
      </c>
      <c r="BR2510" s="71">
        <v>0</v>
      </c>
      <c r="BS2510" s="71">
        <v>0</v>
      </c>
      <c r="BT2510" s="72">
        <v>0</v>
      </c>
      <c r="BU2510" s="151" t="e">
        <f t="shared" si="171"/>
        <v>#DIV/0!</v>
      </c>
      <c r="BV2510" s="151" t="e">
        <f t="shared" si="172"/>
        <v>#DIV/0!</v>
      </c>
    </row>
    <row r="2511" ht="30" customHeight="1" spans="1:75 16331:16349">
      <c r="A2511" s="55">
        <v>0</v>
      </c>
      <c r="B2511" s="56">
        <v>0</v>
      </c>
      <c r="C2511" s="57">
        <v>0</v>
      </c>
      <c r="D2511" s="74"/>
      <c r="E2511" s="74"/>
      <c r="F2511" s="59" t="e">
        <f>VLOOKUP(E2511,[1]库存!$B$1:$C$65536,2,FALSE)</f>
        <v>#N/A</v>
      </c>
      <c r="G2511" s="59" t="e">
        <v>#N/A</v>
      </c>
      <c r="H2511" s="74"/>
      <c r="I2511" s="74"/>
      <c r="J2511" s="87"/>
      <c r="K2511" s="61"/>
      <c r="L2511" s="62">
        <v>0</v>
      </c>
      <c r="M2511" s="63">
        <v>0</v>
      </c>
      <c r="N2511" s="64">
        <v>0</v>
      </c>
      <c r="O2511" s="62">
        <v>0</v>
      </c>
      <c r="P2511" s="65">
        <f t="shared" si="173"/>
        <v>0</v>
      </c>
      <c r="Q2511" s="66"/>
      <c r="R2511" s="66"/>
      <c r="S2511" s="66"/>
      <c r="T2511" s="66"/>
      <c r="U2511" s="66"/>
      <c r="V2511" s="66"/>
      <c r="W2511" s="66"/>
      <c r="X2511" s="66"/>
      <c r="Y2511" s="66"/>
      <c r="Z2511" s="66"/>
      <c r="AA2511" s="66"/>
      <c r="AB2511" s="66"/>
      <c r="AC2511" s="66"/>
      <c r="AD2511" s="66"/>
      <c r="AE2511" s="66"/>
      <c r="AF2511" s="66"/>
      <c r="AG2511" s="66"/>
      <c r="AH2511" s="66"/>
      <c r="AI2511" s="66"/>
      <c r="AJ2511" s="66"/>
      <c r="AK2511" s="66"/>
      <c r="AL2511" s="66"/>
      <c r="AM2511" s="66"/>
      <c r="AN2511" s="66"/>
      <c r="AO2511" s="66"/>
      <c r="AP2511" s="66"/>
      <c r="AQ2511" s="66"/>
      <c r="AR2511" s="66"/>
      <c r="AS2511" s="66"/>
      <c r="AT2511" s="66"/>
      <c r="AU2511" s="66"/>
      <c r="AV2511" s="66"/>
      <c r="AW2511" s="66"/>
      <c r="AX2511" s="66"/>
      <c r="AY2511" s="66"/>
      <c r="AZ2511" s="66"/>
      <c r="BA2511" s="66"/>
      <c r="BB2511" s="66"/>
      <c r="BC2511" s="66"/>
      <c r="BD2511" s="66"/>
      <c r="BE2511" s="67"/>
      <c r="BF2511" s="67"/>
      <c r="BG2511" s="68"/>
      <c r="BI2511" s="69">
        <v>0</v>
      </c>
      <c r="BJ2511" s="70">
        <v>0</v>
      </c>
      <c r="BK2511" s="71">
        <v>0</v>
      </c>
      <c r="BL2511" s="71">
        <v>0</v>
      </c>
      <c r="BM2511" s="71">
        <v>0</v>
      </c>
      <c r="BN2511" s="72">
        <v>0</v>
      </c>
      <c r="BO2511" s="151" t="e">
        <f t="shared" si="169"/>
        <v>#DIV/0!</v>
      </c>
      <c r="BP2511" s="151" t="e">
        <f t="shared" si="170"/>
        <v>#DIV/0!</v>
      </c>
      <c r="BQ2511" s="71">
        <v>0</v>
      </c>
      <c r="BR2511" s="71">
        <v>0</v>
      </c>
      <c r="BS2511" s="71">
        <v>0</v>
      </c>
      <c r="BT2511" s="72">
        <v>0</v>
      </c>
      <c r="BU2511" s="151" t="e">
        <f t="shared" si="171"/>
        <v>#DIV/0!</v>
      </c>
      <c r="BV2511" s="151" t="e">
        <f t="shared" si="172"/>
        <v>#DIV/0!</v>
      </c>
    </row>
    <row r="2512" s="1" customFormat="1" ht="30" customHeight="1" spans="1:75 16331:16349">
      <c r="A2512" s="55">
        <v>0</v>
      </c>
      <c r="B2512" s="111" t="s">
        <v>1237</v>
      </c>
      <c r="C2512" s="57" t="s">
        <v>3341</v>
      </c>
      <c r="D2512" s="113" t="s">
        <v>3227</v>
      </c>
      <c r="E2512" s="284" t="s">
        <v>3894</v>
      </c>
      <c r="F2512" s="113" t="e">
        <f>VLOOKUP(E2512,[1]库存!$B$1:$C$65536,2,FALSE)</f>
        <v>#N/A</v>
      </c>
      <c r="G2512" s="113" t="e">
        <v>#N/A</v>
      </c>
      <c r="H2512" s="113" t="s">
        <v>3895</v>
      </c>
      <c r="I2512" s="113"/>
      <c r="J2512" s="117"/>
      <c r="K2512" s="115"/>
      <c r="L2512" s="116">
        <v>0</v>
      </c>
      <c r="M2512" s="117">
        <v>1000</v>
      </c>
      <c r="N2512" s="64">
        <v>1.5</v>
      </c>
      <c r="O2512" s="62">
        <v>0</v>
      </c>
      <c r="P2512" s="65">
        <f t="shared" si="173"/>
        <v>0</v>
      </c>
      <c r="Q2512" s="67"/>
      <c r="R2512" s="67"/>
      <c r="S2512" s="67"/>
      <c r="T2512" s="67"/>
      <c r="U2512" s="67"/>
      <c r="V2512" s="67"/>
      <c r="W2512" s="67"/>
      <c r="X2512" s="67"/>
      <c r="Y2512" s="67"/>
      <c r="Z2512" s="67"/>
      <c r="AA2512" s="67"/>
      <c r="AB2512" s="67"/>
      <c r="AC2512" s="67"/>
      <c r="AD2512" s="67"/>
      <c r="AE2512" s="67"/>
      <c r="AF2512" s="67"/>
      <c r="AG2512" s="67"/>
      <c r="AH2512" s="67"/>
      <c r="AI2512" s="67"/>
      <c r="AJ2512" s="67"/>
      <c r="AK2512" s="67"/>
      <c r="AL2512" s="67"/>
      <c r="AM2512" s="67"/>
      <c r="AN2512" s="67"/>
      <c r="AO2512" s="67"/>
      <c r="AP2512" s="67"/>
      <c r="AQ2512" s="67"/>
      <c r="AR2512" s="67"/>
      <c r="AS2512" s="67"/>
      <c r="AT2512" s="67"/>
      <c r="AU2512" s="67"/>
      <c r="AV2512" s="67"/>
      <c r="AW2512" s="67"/>
      <c r="AX2512" s="67"/>
      <c r="AY2512" s="67"/>
      <c r="AZ2512" s="67"/>
      <c r="BA2512" s="67"/>
      <c r="BB2512" s="67"/>
      <c r="BC2512" s="67"/>
      <c r="BD2512" s="67"/>
      <c r="BE2512" s="67"/>
      <c r="BF2512" s="67"/>
      <c r="BG2512" s="118"/>
      <c r="BH2512" s="119"/>
      <c r="BI2512" s="120">
        <v>0</v>
      </c>
      <c r="BJ2512" s="121">
        <v>0</v>
      </c>
      <c r="BK2512" s="122">
        <v>0</v>
      </c>
      <c r="BL2512" s="122">
        <v>0</v>
      </c>
      <c r="BM2512" s="122">
        <v>0</v>
      </c>
      <c r="BN2512" s="123">
        <v>0</v>
      </c>
      <c r="BO2512" s="204" t="e">
        <f t="shared" si="169"/>
        <v>#DIV/0!</v>
      </c>
      <c r="BP2512" s="204" t="e">
        <f t="shared" si="170"/>
        <v>#DIV/0!</v>
      </c>
      <c r="BQ2512" s="122">
        <v>0</v>
      </c>
      <c r="BR2512" s="122">
        <v>0</v>
      </c>
      <c r="BS2512" s="122">
        <v>0</v>
      </c>
      <c r="BT2512" s="123">
        <v>0</v>
      </c>
      <c r="BU2512" s="204" t="e">
        <f t="shared" si="171"/>
        <v>#DIV/0!</v>
      </c>
      <c r="BV2512" s="204" t="e">
        <f t="shared" si="172"/>
        <v>#DIV/0!</v>
      </c>
      <c r="BW2512" s="125"/>
      <c r="XDC2512" s="126"/>
      <c r="XDD2512" s="126"/>
      <c r="XDE2512" s="126"/>
      <c r="XDF2512" s="126"/>
      <c r="XDG2512" s="126"/>
      <c r="XDH2512" s="126"/>
      <c r="XDI2512" s="126"/>
      <c r="XDJ2512" s="126"/>
      <c r="XDK2512" s="126"/>
      <c r="XDL2512" s="126"/>
      <c r="XDM2512" s="126"/>
      <c r="XDN2512" s="126"/>
      <c r="XDO2512" s="126"/>
      <c r="XDP2512" s="126"/>
      <c r="XDQ2512" s="126"/>
      <c r="XDR2512" s="126"/>
      <c r="XDS2512" s="126"/>
      <c r="XDT2512" s="126"/>
      <c r="XDU2512" s="126"/>
    </row>
    <row r="2513" s="1" customFormat="1" ht="30" customHeight="1" spans="1:75 16331:16349">
      <c r="A2513" s="55">
        <v>0</v>
      </c>
      <c r="B2513" s="111">
        <v>0</v>
      </c>
      <c r="C2513" s="57">
        <v>0</v>
      </c>
      <c r="D2513" s="127"/>
      <c r="E2513" s="285"/>
      <c r="F2513" s="113" t="e">
        <f>VLOOKUP(E2513,[1]库存!$B$1:$C$65536,2,FALSE)</f>
        <v>#N/A</v>
      </c>
      <c r="G2513" s="113" t="e">
        <v>#N/A</v>
      </c>
      <c r="H2513" s="127"/>
      <c r="I2513" s="127"/>
      <c r="J2513" s="162"/>
      <c r="K2513" s="115"/>
      <c r="L2513" s="116">
        <v>0</v>
      </c>
      <c r="M2513" s="117">
        <v>0</v>
      </c>
      <c r="N2513" s="64">
        <v>0</v>
      </c>
      <c r="O2513" s="62">
        <v>0</v>
      </c>
      <c r="P2513" s="65">
        <f t="shared" si="173"/>
        <v>0</v>
      </c>
      <c r="Q2513" s="67"/>
      <c r="R2513" s="67"/>
      <c r="S2513" s="67"/>
      <c r="T2513" s="67"/>
      <c r="U2513" s="67"/>
      <c r="V2513" s="67"/>
      <c r="W2513" s="67"/>
      <c r="X2513" s="67"/>
      <c r="Y2513" s="67"/>
      <c r="Z2513" s="67"/>
      <c r="AA2513" s="67"/>
      <c r="AB2513" s="67"/>
      <c r="AC2513" s="67"/>
      <c r="AD2513" s="67"/>
      <c r="AE2513" s="67"/>
      <c r="AF2513" s="67"/>
      <c r="AG2513" s="67"/>
      <c r="AH2513" s="67"/>
      <c r="AI2513" s="67"/>
      <c r="AJ2513" s="67"/>
      <c r="AK2513" s="67"/>
      <c r="AL2513" s="67"/>
      <c r="AM2513" s="67"/>
      <c r="AN2513" s="67"/>
      <c r="AO2513" s="67"/>
      <c r="AP2513" s="67"/>
      <c r="AQ2513" s="67"/>
      <c r="AR2513" s="67"/>
      <c r="AS2513" s="67"/>
      <c r="AT2513" s="67"/>
      <c r="AU2513" s="67"/>
      <c r="AV2513" s="67"/>
      <c r="AW2513" s="67"/>
      <c r="AX2513" s="67"/>
      <c r="AY2513" s="67"/>
      <c r="AZ2513" s="67"/>
      <c r="BA2513" s="67"/>
      <c r="BB2513" s="67"/>
      <c r="BC2513" s="67"/>
      <c r="BD2513" s="67"/>
      <c r="BE2513" s="67"/>
      <c r="BF2513" s="67"/>
      <c r="BG2513" s="118"/>
      <c r="BH2513" s="119"/>
      <c r="BI2513" s="120">
        <v>0</v>
      </c>
      <c r="BJ2513" s="121">
        <v>0</v>
      </c>
      <c r="BK2513" s="122">
        <v>0</v>
      </c>
      <c r="BL2513" s="122">
        <v>0</v>
      </c>
      <c r="BM2513" s="122">
        <v>0</v>
      </c>
      <c r="BN2513" s="123">
        <v>0</v>
      </c>
      <c r="BO2513" s="204" t="e">
        <f t="shared" si="169"/>
        <v>#DIV/0!</v>
      </c>
      <c r="BP2513" s="204" t="e">
        <f t="shared" si="170"/>
        <v>#DIV/0!</v>
      </c>
      <c r="BQ2513" s="122">
        <v>0</v>
      </c>
      <c r="BR2513" s="122">
        <v>0</v>
      </c>
      <c r="BS2513" s="122">
        <v>0</v>
      </c>
      <c r="BT2513" s="123">
        <v>0</v>
      </c>
      <c r="BU2513" s="204" t="e">
        <f t="shared" si="171"/>
        <v>#DIV/0!</v>
      </c>
      <c r="BV2513" s="204" t="e">
        <f t="shared" si="172"/>
        <v>#DIV/0!</v>
      </c>
      <c r="BW2513" s="125"/>
      <c r="XDC2513" s="126"/>
      <c r="XDD2513" s="126"/>
      <c r="XDE2513" s="126"/>
      <c r="XDF2513" s="126"/>
      <c r="XDG2513" s="126"/>
      <c r="XDH2513" s="126"/>
      <c r="XDI2513" s="126"/>
      <c r="XDJ2513" s="126"/>
      <c r="XDK2513" s="126"/>
      <c r="XDL2513" s="126"/>
      <c r="XDM2513" s="126"/>
      <c r="XDN2513" s="126"/>
      <c r="XDO2513" s="126"/>
      <c r="XDP2513" s="126"/>
      <c r="XDQ2513" s="126"/>
      <c r="XDR2513" s="126"/>
      <c r="XDS2513" s="126"/>
      <c r="XDT2513" s="126"/>
      <c r="XDU2513" s="126"/>
    </row>
    <row r="2514" s="1" customFormat="1" ht="30" customHeight="1" spans="1:75 16331:16349">
      <c r="A2514" s="55">
        <v>0</v>
      </c>
      <c r="B2514" s="111" t="s">
        <v>1237</v>
      </c>
      <c r="C2514" s="57" t="s">
        <v>3341</v>
      </c>
      <c r="D2514" s="113" t="s">
        <v>3697</v>
      </c>
      <c r="E2514" s="113" t="s">
        <v>3896</v>
      </c>
      <c r="F2514" s="113" t="e">
        <f>VLOOKUP(E2514,[1]库存!$B$1:$C$65536,2,FALSE)</f>
        <v>#N/A</v>
      </c>
      <c r="G2514" s="113" t="e">
        <v>#N/A</v>
      </c>
      <c r="H2514" s="113" t="s">
        <v>3897</v>
      </c>
      <c r="I2514" s="113"/>
      <c r="J2514" s="117"/>
      <c r="K2514" s="115"/>
      <c r="L2514" s="116">
        <v>0.7</v>
      </c>
      <c r="M2514" s="117">
        <v>1000</v>
      </c>
      <c r="N2514" s="64">
        <v>2</v>
      </c>
      <c r="O2514" s="62">
        <v>0.7</v>
      </c>
      <c r="P2514" s="65">
        <f t="shared" si="173"/>
        <v>0</v>
      </c>
      <c r="Q2514" s="67"/>
      <c r="R2514" s="67"/>
      <c r="S2514" s="67"/>
      <c r="T2514" s="67"/>
      <c r="U2514" s="67"/>
      <c r="V2514" s="67"/>
      <c r="W2514" s="67"/>
      <c r="X2514" s="67"/>
      <c r="Y2514" s="67"/>
      <c r="Z2514" s="67"/>
      <c r="AA2514" s="67"/>
      <c r="AB2514" s="67"/>
      <c r="AC2514" s="67"/>
      <c r="AD2514" s="67"/>
      <c r="AE2514" s="67"/>
      <c r="AF2514" s="67"/>
      <c r="AG2514" s="67"/>
      <c r="AH2514" s="67"/>
      <c r="AI2514" s="67"/>
      <c r="AJ2514" s="67"/>
      <c r="AK2514" s="67"/>
      <c r="AL2514" s="67"/>
      <c r="AM2514" s="67"/>
      <c r="AN2514" s="67"/>
      <c r="AO2514" s="67"/>
      <c r="AP2514" s="67"/>
      <c r="AQ2514" s="67"/>
      <c r="AR2514" s="67"/>
      <c r="AS2514" s="67"/>
      <c r="AT2514" s="67"/>
      <c r="AU2514" s="67"/>
      <c r="AV2514" s="67"/>
      <c r="AW2514" s="67"/>
      <c r="AX2514" s="67"/>
      <c r="AY2514" s="67"/>
      <c r="AZ2514" s="67"/>
      <c r="BA2514" s="67"/>
      <c r="BB2514" s="67"/>
      <c r="BC2514" s="67"/>
      <c r="BD2514" s="67"/>
      <c r="BE2514" s="67"/>
      <c r="BF2514" s="67"/>
      <c r="BG2514" s="118"/>
      <c r="BH2514" s="119"/>
      <c r="BI2514" s="120">
        <v>0</v>
      </c>
      <c r="BJ2514" s="121">
        <v>0</v>
      </c>
      <c r="BK2514" s="122">
        <v>0</v>
      </c>
      <c r="BL2514" s="122">
        <v>0</v>
      </c>
      <c r="BM2514" s="122">
        <v>0</v>
      </c>
      <c r="BN2514" s="123">
        <v>0</v>
      </c>
      <c r="BO2514" s="204" t="e">
        <f t="shared" si="169"/>
        <v>#DIV/0!</v>
      </c>
      <c r="BP2514" s="204" t="e">
        <f t="shared" si="170"/>
        <v>#DIV/0!</v>
      </c>
      <c r="BQ2514" s="122">
        <v>0</v>
      </c>
      <c r="BR2514" s="122">
        <v>0</v>
      </c>
      <c r="BS2514" s="122">
        <v>0</v>
      </c>
      <c r="BT2514" s="123">
        <v>0</v>
      </c>
      <c r="BU2514" s="204" t="e">
        <f t="shared" si="171"/>
        <v>#DIV/0!</v>
      </c>
      <c r="BV2514" s="204" t="e">
        <f t="shared" si="172"/>
        <v>#DIV/0!</v>
      </c>
      <c r="BW2514" s="125"/>
      <c r="XDC2514" s="126"/>
      <c r="XDD2514" s="126"/>
      <c r="XDE2514" s="126"/>
      <c r="XDF2514" s="126"/>
      <c r="XDG2514" s="126"/>
      <c r="XDH2514" s="126"/>
      <c r="XDI2514" s="126"/>
      <c r="XDJ2514" s="126"/>
      <c r="XDK2514" s="126"/>
      <c r="XDL2514" s="126"/>
      <c r="XDM2514" s="126"/>
      <c r="XDN2514" s="126"/>
      <c r="XDO2514" s="126"/>
      <c r="XDP2514" s="126"/>
      <c r="XDQ2514" s="126"/>
      <c r="XDR2514" s="126"/>
      <c r="XDS2514" s="126"/>
      <c r="XDT2514" s="126"/>
      <c r="XDU2514" s="126"/>
    </row>
    <row r="2515" s="1" customFormat="1" ht="30" customHeight="1" spans="1:75 16331:16349">
      <c r="A2515" s="55">
        <v>0</v>
      </c>
      <c r="B2515" s="111">
        <v>0</v>
      </c>
      <c r="C2515" s="57">
        <v>0</v>
      </c>
      <c r="D2515" s="127"/>
      <c r="E2515" s="127"/>
      <c r="F2515" s="113" t="e">
        <f>VLOOKUP(E2515,[1]库存!$B$1:$C$65536,2,FALSE)</f>
        <v>#N/A</v>
      </c>
      <c r="G2515" s="113" t="e">
        <v>#N/A</v>
      </c>
      <c r="H2515" s="127"/>
      <c r="I2515" s="127"/>
      <c r="J2515" s="162"/>
      <c r="K2515" s="115"/>
      <c r="L2515" s="116">
        <v>0</v>
      </c>
      <c r="M2515" s="117">
        <v>0</v>
      </c>
      <c r="N2515" s="64">
        <v>0</v>
      </c>
      <c r="O2515" s="62">
        <v>0</v>
      </c>
      <c r="P2515" s="65">
        <f t="shared" si="173"/>
        <v>0</v>
      </c>
      <c r="Q2515" s="67"/>
      <c r="R2515" s="67"/>
      <c r="S2515" s="67"/>
      <c r="T2515" s="67"/>
      <c r="U2515" s="67"/>
      <c r="V2515" s="67"/>
      <c r="W2515" s="67"/>
      <c r="X2515" s="67"/>
      <c r="Y2515" s="67"/>
      <c r="Z2515" s="67"/>
      <c r="AA2515" s="67"/>
      <c r="AB2515" s="67"/>
      <c r="AC2515" s="67"/>
      <c r="AD2515" s="67"/>
      <c r="AE2515" s="67"/>
      <c r="AF2515" s="67"/>
      <c r="AG2515" s="67"/>
      <c r="AH2515" s="67"/>
      <c r="AI2515" s="67"/>
      <c r="AJ2515" s="67"/>
      <c r="AK2515" s="67"/>
      <c r="AL2515" s="67"/>
      <c r="AM2515" s="67"/>
      <c r="AN2515" s="67"/>
      <c r="AO2515" s="67"/>
      <c r="AP2515" s="67"/>
      <c r="AQ2515" s="67"/>
      <c r="AR2515" s="67"/>
      <c r="AS2515" s="67"/>
      <c r="AT2515" s="67"/>
      <c r="AU2515" s="67"/>
      <c r="AV2515" s="67"/>
      <c r="AW2515" s="67"/>
      <c r="AX2515" s="67"/>
      <c r="AY2515" s="67"/>
      <c r="AZ2515" s="67"/>
      <c r="BA2515" s="67"/>
      <c r="BB2515" s="67"/>
      <c r="BC2515" s="67"/>
      <c r="BD2515" s="67"/>
      <c r="BE2515" s="67"/>
      <c r="BF2515" s="67"/>
      <c r="BG2515" s="118"/>
      <c r="BH2515" s="119"/>
      <c r="BI2515" s="120">
        <v>0</v>
      </c>
      <c r="BJ2515" s="121">
        <v>0</v>
      </c>
      <c r="BK2515" s="122">
        <v>0</v>
      </c>
      <c r="BL2515" s="122">
        <v>0</v>
      </c>
      <c r="BM2515" s="122">
        <v>0</v>
      </c>
      <c r="BN2515" s="123">
        <v>0</v>
      </c>
      <c r="BO2515" s="204" t="e">
        <f t="shared" si="169"/>
        <v>#DIV/0!</v>
      </c>
      <c r="BP2515" s="204" t="e">
        <f t="shared" si="170"/>
        <v>#DIV/0!</v>
      </c>
      <c r="BQ2515" s="122">
        <v>0</v>
      </c>
      <c r="BR2515" s="122">
        <v>0</v>
      </c>
      <c r="BS2515" s="122">
        <v>0</v>
      </c>
      <c r="BT2515" s="123">
        <v>0</v>
      </c>
      <c r="BU2515" s="204" t="e">
        <f t="shared" si="171"/>
        <v>#DIV/0!</v>
      </c>
      <c r="BV2515" s="204" t="e">
        <f t="shared" si="172"/>
        <v>#DIV/0!</v>
      </c>
      <c r="BW2515" s="125"/>
      <c r="XDC2515" s="126"/>
      <c r="XDD2515" s="126"/>
      <c r="XDE2515" s="126"/>
      <c r="XDF2515" s="126"/>
      <c r="XDG2515" s="126"/>
      <c r="XDH2515" s="126"/>
      <c r="XDI2515" s="126"/>
      <c r="XDJ2515" s="126"/>
      <c r="XDK2515" s="126"/>
      <c r="XDL2515" s="126"/>
      <c r="XDM2515" s="126"/>
      <c r="XDN2515" s="126"/>
      <c r="XDO2515" s="126"/>
      <c r="XDP2515" s="126"/>
      <c r="XDQ2515" s="126"/>
      <c r="XDR2515" s="126"/>
      <c r="XDS2515" s="126"/>
      <c r="XDT2515" s="126"/>
      <c r="XDU2515" s="126"/>
    </row>
    <row r="2516" s="1" customFormat="1" ht="30" customHeight="1" spans="1:75 16331:16349">
      <c r="A2516" s="55">
        <v>0</v>
      </c>
      <c r="B2516" s="111" t="s">
        <v>1237</v>
      </c>
      <c r="C2516" s="57" t="s">
        <v>3341</v>
      </c>
      <c r="D2516" s="113" t="s">
        <v>3872</v>
      </c>
      <c r="E2516" s="113" t="s">
        <v>3898</v>
      </c>
      <c r="F2516" s="113" t="e">
        <f>VLOOKUP(E2516,[1]库存!$B$1:$C$65536,2,FALSE)</f>
        <v>#N/A</v>
      </c>
      <c r="G2516" s="113" t="e">
        <v>#N/A</v>
      </c>
      <c r="H2516" s="113" t="s">
        <v>3899</v>
      </c>
      <c r="I2516" s="113" t="s">
        <v>3900</v>
      </c>
      <c r="J2516" s="117"/>
      <c r="K2516" s="115"/>
      <c r="L2516" s="116">
        <v>1</v>
      </c>
      <c r="M2516" s="117">
        <v>350</v>
      </c>
      <c r="N2516" s="64">
        <v>4</v>
      </c>
      <c r="O2516" s="62">
        <v>1</v>
      </c>
      <c r="P2516" s="65">
        <f t="shared" si="173"/>
        <v>0</v>
      </c>
      <c r="Q2516" s="67"/>
      <c r="R2516" s="105"/>
      <c r="S2516" s="67"/>
      <c r="T2516" s="105"/>
      <c r="U2516" s="67"/>
      <c r="V2516" s="105"/>
      <c r="W2516" s="67"/>
      <c r="X2516" s="105"/>
      <c r="Y2516" s="67"/>
      <c r="Z2516" s="105"/>
      <c r="AA2516" s="67"/>
      <c r="AB2516" s="105"/>
      <c r="AC2516" s="67"/>
      <c r="AD2516" s="105"/>
      <c r="AE2516" s="67"/>
      <c r="AF2516" s="105"/>
      <c r="AG2516" s="67"/>
      <c r="AH2516" s="105"/>
      <c r="AI2516" s="67"/>
      <c r="AJ2516" s="105"/>
      <c r="AK2516" s="67"/>
      <c r="AL2516" s="105"/>
      <c r="AM2516" s="67"/>
      <c r="AN2516" s="105"/>
      <c r="AO2516" s="67"/>
      <c r="AP2516" s="105"/>
      <c r="AQ2516" s="67"/>
      <c r="AR2516" s="105"/>
      <c r="AS2516" s="67"/>
      <c r="AT2516" s="105"/>
      <c r="AU2516" s="67"/>
      <c r="AV2516" s="105"/>
      <c r="AW2516" s="67"/>
      <c r="AX2516" s="105"/>
      <c r="AY2516" s="67"/>
      <c r="AZ2516" s="105"/>
      <c r="BA2516" s="67"/>
      <c r="BB2516" s="105"/>
      <c r="BC2516" s="67"/>
      <c r="BD2516" s="105"/>
      <c r="BE2516" s="105"/>
      <c r="BF2516" s="105"/>
      <c r="BG2516" s="118"/>
      <c r="BH2516" s="119"/>
      <c r="BI2516" s="120">
        <v>0</v>
      </c>
      <c r="BJ2516" s="121">
        <v>0</v>
      </c>
      <c r="BK2516" s="122">
        <v>0</v>
      </c>
      <c r="BL2516" s="122">
        <v>0</v>
      </c>
      <c r="BM2516" s="122">
        <v>0</v>
      </c>
      <c r="BN2516" s="123">
        <v>0</v>
      </c>
      <c r="BO2516" s="204" t="e">
        <f t="shared" si="169"/>
        <v>#DIV/0!</v>
      </c>
      <c r="BP2516" s="204" t="e">
        <f t="shared" si="170"/>
        <v>#DIV/0!</v>
      </c>
      <c r="BQ2516" s="122">
        <v>0</v>
      </c>
      <c r="BR2516" s="122">
        <v>0</v>
      </c>
      <c r="BS2516" s="122">
        <v>0</v>
      </c>
      <c r="BT2516" s="123">
        <v>0</v>
      </c>
      <c r="BU2516" s="204" t="e">
        <f t="shared" si="171"/>
        <v>#DIV/0!</v>
      </c>
      <c r="BV2516" s="204" t="e">
        <f t="shared" si="172"/>
        <v>#DIV/0!</v>
      </c>
      <c r="BW2516" s="125"/>
      <c r="XDC2516" s="126"/>
      <c r="XDD2516" s="126"/>
      <c r="XDE2516" s="126"/>
      <c r="XDF2516" s="126"/>
      <c r="XDG2516" s="126"/>
      <c r="XDH2516" s="126"/>
      <c r="XDI2516" s="126"/>
      <c r="XDJ2516" s="126"/>
      <c r="XDK2516" s="126"/>
      <c r="XDL2516" s="126"/>
      <c r="XDM2516" s="126"/>
      <c r="XDN2516" s="126"/>
      <c r="XDO2516" s="126"/>
      <c r="XDP2516" s="126"/>
      <c r="XDQ2516" s="126"/>
      <c r="XDR2516" s="126"/>
      <c r="XDS2516" s="126"/>
      <c r="XDT2516" s="126"/>
      <c r="XDU2516" s="126"/>
    </row>
    <row r="2517" s="1" customFormat="1" ht="30" customHeight="1" spans="1:75 16331:16349">
      <c r="A2517" s="55">
        <v>0</v>
      </c>
      <c r="B2517" s="111">
        <v>0</v>
      </c>
      <c r="C2517" s="57">
        <v>0</v>
      </c>
      <c r="D2517" s="127"/>
      <c r="E2517" s="127"/>
      <c r="F2517" s="113" t="e">
        <f>VLOOKUP(E2517,[1]库存!$B$1:$C$65536,2,FALSE)</f>
        <v>#N/A</v>
      </c>
      <c r="G2517" s="113" t="e">
        <v>#N/A</v>
      </c>
      <c r="H2517" s="127"/>
      <c r="I2517" s="127"/>
      <c r="J2517" s="162"/>
      <c r="K2517" s="115"/>
      <c r="L2517" s="116">
        <v>0</v>
      </c>
      <c r="M2517" s="117">
        <v>0</v>
      </c>
      <c r="N2517" s="64">
        <v>0</v>
      </c>
      <c r="O2517" s="62">
        <v>0</v>
      </c>
      <c r="P2517" s="65">
        <f t="shared" si="173"/>
        <v>0</v>
      </c>
      <c r="Q2517" s="67"/>
      <c r="R2517" s="67"/>
      <c r="S2517" s="67"/>
      <c r="T2517" s="67"/>
      <c r="U2517" s="67"/>
      <c r="V2517" s="67"/>
      <c r="W2517" s="67"/>
      <c r="X2517" s="67"/>
      <c r="Y2517" s="67"/>
      <c r="Z2517" s="67"/>
      <c r="AA2517" s="67"/>
      <c r="AB2517" s="67"/>
      <c r="AC2517" s="67"/>
      <c r="AD2517" s="67"/>
      <c r="AE2517" s="67"/>
      <c r="AF2517" s="67"/>
      <c r="AG2517" s="67"/>
      <c r="AH2517" s="67"/>
      <c r="AI2517" s="67"/>
      <c r="AJ2517" s="67"/>
      <c r="AK2517" s="67"/>
      <c r="AL2517" s="67"/>
      <c r="AM2517" s="67"/>
      <c r="AN2517" s="67"/>
      <c r="AO2517" s="67"/>
      <c r="AP2517" s="67"/>
      <c r="AQ2517" s="67"/>
      <c r="AR2517" s="67"/>
      <c r="AS2517" s="67"/>
      <c r="AT2517" s="67"/>
      <c r="AU2517" s="67"/>
      <c r="AV2517" s="67"/>
      <c r="AW2517" s="67"/>
      <c r="AX2517" s="67"/>
      <c r="AY2517" s="67"/>
      <c r="AZ2517" s="67"/>
      <c r="BA2517" s="67"/>
      <c r="BB2517" s="67"/>
      <c r="BC2517" s="67"/>
      <c r="BD2517" s="67"/>
      <c r="BE2517" s="67"/>
      <c r="BF2517" s="67"/>
      <c r="BG2517" s="118"/>
      <c r="BH2517" s="119"/>
      <c r="BI2517" s="120">
        <v>0</v>
      </c>
      <c r="BJ2517" s="121">
        <v>0</v>
      </c>
      <c r="BK2517" s="122">
        <v>0</v>
      </c>
      <c r="BL2517" s="122">
        <v>0</v>
      </c>
      <c r="BM2517" s="122">
        <v>0</v>
      </c>
      <c r="BN2517" s="123">
        <v>0</v>
      </c>
      <c r="BO2517" s="204" t="e">
        <f t="shared" si="169"/>
        <v>#DIV/0!</v>
      </c>
      <c r="BP2517" s="204" t="e">
        <f t="shared" si="170"/>
        <v>#DIV/0!</v>
      </c>
      <c r="BQ2517" s="122">
        <v>0</v>
      </c>
      <c r="BR2517" s="122">
        <v>0</v>
      </c>
      <c r="BS2517" s="122">
        <v>0</v>
      </c>
      <c r="BT2517" s="123">
        <v>0</v>
      </c>
      <c r="BU2517" s="204" t="e">
        <f t="shared" si="171"/>
        <v>#DIV/0!</v>
      </c>
      <c r="BV2517" s="204" t="e">
        <f t="shared" si="172"/>
        <v>#DIV/0!</v>
      </c>
      <c r="BW2517" s="125"/>
      <c r="XDC2517" s="126"/>
      <c r="XDD2517" s="126"/>
      <c r="XDE2517" s="126"/>
      <c r="XDF2517" s="126"/>
      <c r="XDG2517" s="126"/>
      <c r="XDH2517" s="126"/>
      <c r="XDI2517" s="126"/>
      <c r="XDJ2517" s="126"/>
      <c r="XDK2517" s="126"/>
      <c r="XDL2517" s="126"/>
      <c r="XDM2517" s="126"/>
      <c r="XDN2517" s="126"/>
      <c r="XDO2517" s="126"/>
      <c r="XDP2517" s="126"/>
      <c r="XDQ2517" s="126"/>
      <c r="XDR2517" s="126"/>
      <c r="XDS2517" s="126"/>
      <c r="XDT2517" s="126"/>
      <c r="XDU2517" s="126"/>
    </row>
    <row r="2518" s="1" customFormat="1" ht="30" customHeight="1" spans="1:75 16331:16349">
      <c r="A2518" s="55">
        <v>0</v>
      </c>
      <c r="B2518" s="111" t="s">
        <v>1237</v>
      </c>
      <c r="C2518" s="57" t="s">
        <v>3341</v>
      </c>
      <c r="D2518" s="113" t="s">
        <v>3872</v>
      </c>
      <c r="E2518" s="113" t="s">
        <v>3901</v>
      </c>
      <c r="F2518" s="113" t="e">
        <f>VLOOKUP(E2518,[1]库存!$B$1:$C$65536,2,FALSE)</f>
        <v>#N/A</v>
      </c>
      <c r="G2518" s="113" t="e">
        <v>#N/A</v>
      </c>
      <c r="H2518" s="113" t="s">
        <v>3902</v>
      </c>
      <c r="I2518" s="113" t="s">
        <v>3900</v>
      </c>
      <c r="J2518" s="117"/>
      <c r="K2518" s="115"/>
      <c r="L2518" s="116">
        <v>1</v>
      </c>
      <c r="M2518" s="117">
        <v>350</v>
      </c>
      <c r="N2518" s="64">
        <v>4</v>
      </c>
      <c r="O2518" s="62">
        <v>1</v>
      </c>
      <c r="P2518" s="65">
        <f t="shared" si="173"/>
        <v>0</v>
      </c>
      <c r="Q2518" s="67"/>
      <c r="R2518" s="105"/>
      <c r="S2518" s="67"/>
      <c r="T2518" s="105"/>
      <c r="U2518" s="67"/>
      <c r="V2518" s="105"/>
      <c r="W2518" s="67"/>
      <c r="X2518" s="105"/>
      <c r="Y2518" s="67"/>
      <c r="Z2518" s="105"/>
      <c r="AA2518" s="67"/>
      <c r="AB2518" s="105"/>
      <c r="AC2518" s="67"/>
      <c r="AD2518" s="105"/>
      <c r="AE2518" s="67"/>
      <c r="AF2518" s="105"/>
      <c r="AG2518" s="67"/>
      <c r="AH2518" s="105"/>
      <c r="AI2518" s="67"/>
      <c r="AJ2518" s="105"/>
      <c r="AK2518" s="67"/>
      <c r="AL2518" s="105"/>
      <c r="AM2518" s="67"/>
      <c r="AN2518" s="105"/>
      <c r="AO2518" s="67"/>
      <c r="AP2518" s="105"/>
      <c r="AQ2518" s="67"/>
      <c r="AR2518" s="105"/>
      <c r="AS2518" s="67"/>
      <c r="AT2518" s="105"/>
      <c r="AU2518" s="67"/>
      <c r="AV2518" s="105"/>
      <c r="AW2518" s="67"/>
      <c r="AX2518" s="105"/>
      <c r="AY2518" s="67"/>
      <c r="AZ2518" s="105"/>
      <c r="BA2518" s="67"/>
      <c r="BB2518" s="105"/>
      <c r="BC2518" s="67"/>
      <c r="BD2518" s="105"/>
      <c r="BE2518" s="105"/>
      <c r="BF2518" s="105"/>
      <c r="BG2518" s="118"/>
      <c r="BH2518" s="119"/>
      <c r="BI2518" s="120">
        <v>0</v>
      </c>
      <c r="BJ2518" s="121">
        <v>0</v>
      </c>
      <c r="BK2518" s="122">
        <v>0</v>
      </c>
      <c r="BL2518" s="122">
        <v>0</v>
      </c>
      <c r="BM2518" s="122">
        <v>0</v>
      </c>
      <c r="BN2518" s="123">
        <v>0</v>
      </c>
      <c r="BO2518" s="204" t="e">
        <f t="shared" si="169"/>
        <v>#DIV/0!</v>
      </c>
      <c r="BP2518" s="204" t="e">
        <f t="shared" si="170"/>
        <v>#DIV/0!</v>
      </c>
      <c r="BQ2518" s="122">
        <v>0</v>
      </c>
      <c r="BR2518" s="122">
        <v>0</v>
      </c>
      <c r="BS2518" s="122">
        <v>0</v>
      </c>
      <c r="BT2518" s="123">
        <v>0</v>
      </c>
      <c r="BU2518" s="204" t="e">
        <f t="shared" si="171"/>
        <v>#DIV/0!</v>
      </c>
      <c r="BV2518" s="204" t="e">
        <f t="shared" si="172"/>
        <v>#DIV/0!</v>
      </c>
      <c r="BW2518" s="125"/>
      <c r="XDC2518" s="126"/>
      <c r="XDD2518" s="126"/>
      <c r="XDE2518" s="126"/>
      <c r="XDF2518" s="126"/>
      <c r="XDG2518" s="126"/>
      <c r="XDH2518" s="126"/>
      <c r="XDI2518" s="126"/>
      <c r="XDJ2518" s="126"/>
      <c r="XDK2518" s="126"/>
      <c r="XDL2518" s="126"/>
      <c r="XDM2518" s="126"/>
      <c r="XDN2518" s="126"/>
      <c r="XDO2518" s="126"/>
      <c r="XDP2518" s="126"/>
      <c r="XDQ2518" s="126"/>
      <c r="XDR2518" s="126"/>
      <c r="XDS2518" s="126"/>
      <c r="XDT2518" s="126"/>
      <c r="XDU2518" s="126"/>
    </row>
    <row r="2519" s="1" customFormat="1" ht="30" customHeight="1" spans="1:75 16331:16349">
      <c r="A2519" s="55">
        <v>0</v>
      </c>
      <c r="B2519" s="111">
        <v>0</v>
      </c>
      <c r="C2519" s="57">
        <v>0</v>
      </c>
      <c r="D2519" s="127"/>
      <c r="E2519" s="127"/>
      <c r="F2519" s="113" t="e">
        <f>VLOOKUP(E2519,[1]库存!$B$1:$C$65536,2,FALSE)</f>
        <v>#N/A</v>
      </c>
      <c r="G2519" s="113" t="e">
        <v>#N/A</v>
      </c>
      <c r="H2519" s="127"/>
      <c r="I2519" s="127"/>
      <c r="J2519" s="162"/>
      <c r="K2519" s="115"/>
      <c r="L2519" s="116">
        <v>0</v>
      </c>
      <c r="M2519" s="117">
        <v>0</v>
      </c>
      <c r="N2519" s="64">
        <v>0</v>
      </c>
      <c r="O2519" s="62">
        <v>0</v>
      </c>
      <c r="P2519" s="65">
        <f t="shared" si="173"/>
        <v>0</v>
      </c>
      <c r="Q2519" s="67"/>
      <c r="R2519" s="67"/>
      <c r="S2519" s="67"/>
      <c r="T2519" s="67"/>
      <c r="U2519" s="67"/>
      <c r="V2519" s="67"/>
      <c r="W2519" s="67"/>
      <c r="X2519" s="67"/>
      <c r="Y2519" s="67"/>
      <c r="Z2519" s="67"/>
      <c r="AA2519" s="67"/>
      <c r="AB2519" s="67"/>
      <c r="AC2519" s="67"/>
      <c r="AD2519" s="67"/>
      <c r="AE2519" s="67"/>
      <c r="AF2519" s="67"/>
      <c r="AG2519" s="67"/>
      <c r="AH2519" s="67"/>
      <c r="AI2519" s="67"/>
      <c r="AJ2519" s="67"/>
      <c r="AK2519" s="67"/>
      <c r="AL2519" s="67"/>
      <c r="AM2519" s="67"/>
      <c r="AN2519" s="67"/>
      <c r="AO2519" s="67"/>
      <c r="AP2519" s="67"/>
      <c r="AQ2519" s="67"/>
      <c r="AR2519" s="67"/>
      <c r="AS2519" s="67"/>
      <c r="AT2519" s="67"/>
      <c r="AU2519" s="67"/>
      <c r="AV2519" s="67"/>
      <c r="AW2519" s="67"/>
      <c r="AX2519" s="67"/>
      <c r="AY2519" s="67"/>
      <c r="AZ2519" s="67"/>
      <c r="BA2519" s="67"/>
      <c r="BB2519" s="67"/>
      <c r="BC2519" s="67"/>
      <c r="BD2519" s="67"/>
      <c r="BE2519" s="67"/>
      <c r="BF2519" s="67"/>
      <c r="BG2519" s="118"/>
      <c r="BH2519" s="119"/>
      <c r="BI2519" s="120">
        <v>0</v>
      </c>
      <c r="BJ2519" s="121">
        <v>0</v>
      </c>
      <c r="BK2519" s="122">
        <v>0</v>
      </c>
      <c r="BL2519" s="122">
        <v>0</v>
      </c>
      <c r="BM2519" s="122">
        <v>0</v>
      </c>
      <c r="BN2519" s="123">
        <v>0</v>
      </c>
      <c r="BO2519" s="204" t="e">
        <f t="shared" si="169"/>
        <v>#DIV/0!</v>
      </c>
      <c r="BP2519" s="204" t="e">
        <f t="shared" si="170"/>
        <v>#DIV/0!</v>
      </c>
      <c r="BQ2519" s="122">
        <v>0</v>
      </c>
      <c r="BR2519" s="122">
        <v>0</v>
      </c>
      <c r="BS2519" s="122">
        <v>0</v>
      </c>
      <c r="BT2519" s="123">
        <v>0</v>
      </c>
      <c r="BU2519" s="204" t="e">
        <f t="shared" si="171"/>
        <v>#DIV/0!</v>
      </c>
      <c r="BV2519" s="204" t="e">
        <f t="shared" si="172"/>
        <v>#DIV/0!</v>
      </c>
      <c r="BW2519" s="125"/>
      <c r="XDC2519" s="126"/>
      <c r="XDD2519" s="126"/>
      <c r="XDE2519" s="126"/>
      <c r="XDF2519" s="126"/>
      <c r="XDG2519" s="126"/>
      <c r="XDH2519" s="126"/>
      <c r="XDI2519" s="126"/>
      <c r="XDJ2519" s="126"/>
      <c r="XDK2519" s="126"/>
      <c r="XDL2519" s="126"/>
      <c r="XDM2519" s="126"/>
      <c r="XDN2519" s="126"/>
      <c r="XDO2519" s="126"/>
      <c r="XDP2519" s="126"/>
      <c r="XDQ2519" s="126"/>
      <c r="XDR2519" s="126"/>
      <c r="XDS2519" s="126"/>
      <c r="XDT2519" s="126"/>
      <c r="XDU2519" s="126"/>
    </row>
    <row r="2520" ht="30" customHeight="1" spans="1:75 16331:16349">
      <c r="A2520" s="55">
        <v>0</v>
      </c>
      <c r="B2520" s="56" t="s">
        <v>1237</v>
      </c>
      <c r="C2520" s="57" t="s">
        <v>3341</v>
      </c>
      <c r="D2520" s="59" t="s">
        <v>3227</v>
      </c>
      <c r="E2520" s="286" t="s">
        <v>3903</v>
      </c>
      <c r="F2520" s="59" t="str">
        <f>VLOOKUP(E2520,[1]库存!$B$1:$C$65536,2,FALSE)</f>
        <v>AS23 CAB C状态拉带</v>
      </c>
      <c r="G2520" s="59" t="s">
        <v>3904</v>
      </c>
      <c r="H2520" s="59" t="s">
        <v>3905</v>
      </c>
      <c r="I2520" s="59"/>
      <c r="J2520" s="117"/>
      <c r="K2520" s="61"/>
      <c r="L2520" s="62">
        <v>0</v>
      </c>
      <c r="M2520" s="63">
        <v>1000</v>
      </c>
      <c r="N2520" s="64">
        <v>1.5</v>
      </c>
      <c r="O2520" s="62">
        <v>0</v>
      </c>
      <c r="P2520" s="65">
        <f t="shared" si="173"/>
        <v>0</v>
      </c>
      <c r="Q2520" s="66"/>
      <c r="R2520" s="66"/>
      <c r="S2520" s="66"/>
      <c r="T2520" s="66"/>
      <c r="U2520" s="66"/>
      <c r="V2520" s="66"/>
      <c r="W2520" s="66"/>
      <c r="X2520" s="66"/>
      <c r="Y2520" s="66"/>
      <c r="Z2520" s="66"/>
      <c r="AA2520" s="66"/>
      <c r="AB2520" s="66"/>
      <c r="AC2520" s="66"/>
      <c r="AD2520" s="66"/>
      <c r="AE2520" s="66"/>
      <c r="AF2520" s="66"/>
      <c r="AG2520" s="66"/>
      <c r="AH2520" s="66"/>
      <c r="AI2520" s="66"/>
      <c r="AJ2520" s="66"/>
      <c r="AK2520" s="66"/>
      <c r="AL2520" s="66"/>
      <c r="AM2520" s="66"/>
      <c r="AN2520" s="66"/>
      <c r="AO2520" s="66"/>
      <c r="AP2520" s="66"/>
      <c r="AQ2520" s="66"/>
      <c r="AR2520" s="66"/>
      <c r="AS2520" s="66"/>
      <c r="AT2520" s="66"/>
      <c r="AU2520" s="66"/>
      <c r="AV2520" s="66"/>
      <c r="AW2520" s="66"/>
      <c r="AX2520" s="66"/>
      <c r="AY2520" s="66"/>
      <c r="AZ2520" s="66"/>
      <c r="BA2520" s="66"/>
      <c r="BB2520" s="66"/>
      <c r="BC2520" s="66"/>
      <c r="BD2520" s="66"/>
      <c r="BE2520" s="67"/>
      <c r="BF2520" s="67"/>
      <c r="BG2520" s="68"/>
      <c r="BI2520" s="69">
        <v>0</v>
      </c>
      <c r="BJ2520" s="70">
        <v>0</v>
      </c>
      <c r="BK2520" s="71">
        <v>0</v>
      </c>
      <c r="BL2520" s="71">
        <v>0</v>
      </c>
      <c r="BM2520" s="71">
        <v>0</v>
      </c>
      <c r="BN2520" s="72">
        <v>0</v>
      </c>
      <c r="BO2520" s="151" t="e">
        <f t="shared" si="169"/>
        <v>#DIV/0!</v>
      </c>
      <c r="BP2520" s="151" t="e">
        <f t="shared" si="170"/>
        <v>#DIV/0!</v>
      </c>
      <c r="BQ2520" s="71">
        <v>0</v>
      </c>
      <c r="BR2520" s="71">
        <v>0</v>
      </c>
      <c r="BS2520" s="71">
        <v>0</v>
      </c>
      <c r="BT2520" s="72">
        <v>0</v>
      </c>
      <c r="BU2520" s="151" t="e">
        <f t="shared" si="171"/>
        <v>#DIV/0!</v>
      </c>
      <c r="BV2520" s="151" t="e">
        <f t="shared" si="172"/>
        <v>#DIV/0!</v>
      </c>
    </row>
    <row r="2521" ht="30" customHeight="1" spans="1:75 16331:16349">
      <c r="A2521" s="55">
        <v>0</v>
      </c>
      <c r="B2521" s="56">
        <v>0</v>
      </c>
      <c r="C2521" s="57">
        <v>0</v>
      </c>
      <c r="D2521" s="74"/>
      <c r="E2521" s="287"/>
      <c r="F2521" s="59" t="e">
        <f>VLOOKUP(E2521,[1]库存!$B$1:$C$65536,2,FALSE)</f>
        <v>#N/A</v>
      </c>
      <c r="G2521" s="59" t="e">
        <v>#N/A</v>
      </c>
      <c r="H2521" s="74"/>
      <c r="I2521" s="74"/>
      <c r="J2521" s="162"/>
      <c r="K2521" s="61"/>
      <c r="L2521" s="62">
        <v>0</v>
      </c>
      <c r="M2521" s="63">
        <v>0</v>
      </c>
      <c r="N2521" s="64">
        <v>0</v>
      </c>
      <c r="O2521" s="62">
        <v>0</v>
      </c>
      <c r="P2521" s="65">
        <f t="shared" si="173"/>
        <v>0</v>
      </c>
      <c r="Q2521" s="66"/>
      <c r="R2521" s="66"/>
      <c r="S2521" s="66"/>
      <c r="T2521" s="66"/>
      <c r="U2521" s="66"/>
      <c r="V2521" s="66"/>
      <c r="W2521" s="66"/>
      <c r="X2521" s="66"/>
      <c r="Y2521" s="66"/>
      <c r="Z2521" s="66"/>
      <c r="AA2521" s="66"/>
      <c r="AB2521" s="66"/>
      <c r="AC2521" s="66"/>
      <c r="AD2521" s="66"/>
      <c r="AE2521" s="66"/>
      <c r="AF2521" s="66"/>
      <c r="AG2521" s="66"/>
      <c r="AH2521" s="66"/>
      <c r="AI2521" s="66"/>
      <c r="AJ2521" s="66"/>
      <c r="AK2521" s="66"/>
      <c r="AL2521" s="66"/>
      <c r="AM2521" s="66"/>
      <c r="AN2521" s="66"/>
      <c r="AO2521" s="66"/>
      <c r="AP2521" s="66"/>
      <c r="AQ2521" s="66"/>
      <c r="AR2521" s="66"/>
      <c r="AS2521" s="66"/>
      <c r="AT2521" s="66"/>
      <c r="AU2521" s="66"/>
      <c r="AV2521" s="66"/>
      <c r="AW2521" s="66"/>
      <c r="AX2521" s="66"/>
      <c r="AY2521" s="66"/>
      <c r="AZ2521" s="66"/>
      <c r="BA2521" s="66"/>
      <c r="BB2521" s="66"/>
      <c r="BC2521" s="66"/>
      <c r="BD2521" s="66"/>
      <c r="BE2521" s="67"/>
      <c r="BF2521" s="67"/>
      <c r="BG2521" s="68"/>
      <c r="BI2521" s="69">
        <v>0</v>
      </c>
      <c r="BJ2521" s="70">
        <v>0</v>
      </c>
      <c r="BK2521" s="71">
        <v>0</v>
      </c>
      <c r="BL2521" s="71">
        <v>0</v>
      </c>
      <c r="BM2521" s="71">
        <v>0</v>
      </c>
      <c r="BN2521" s="72">
        <v>0</v>
      </c>
      <c r="BO2521" s="151" t="e">
        <f t="shared" si="169"/>
        <v>#DIV/0!</v>
      </c>
      <c r="BP2521" s="151" t="e">
        <f t="shared" si="170"/>
        <v>#DIV/0!</v>
      </c>
      <c r="BQ2521" s="71">
        <v>0</v>
      </c>
      <c r="BR2521" s="71">
        <v>0</v>
      </c>
      <c r="BS2521" s="71">
        <v>0</v>
      </c>
      <c r="BT2521" s="72">
        <v>0</v>
      </c>
      <c r="BU2521" s="151" t="e">
        <f t="shared" si="171"/>
        <v>#DIV/0!</v>
      </c>
      <c r="BV2521" s="151" t="e">
        <f t="shared" si="172"/>
        <v>#DIV/0!</v>
      </c>
    </row>
    <row r="2522" ht="30" customHeight="1" spans="1:75 16331:16349">
      <c r="A2522" s="55">
        <v>0</v>
      </c>
      <c r="B2522" s="56" t="s">
        <v>1237</v>
      </c>
      <c r="C2522" s="57" t="s">
        <v>3341</v>
      </c>
      <c r="D2522" s="59" t="s">
        <v>3697</v>
      </c>
      <c r="E2522" s="59" t="s">
        <v>3906</v>
      </c>
      <c r="F2522" s="59" t="str">
        <f>VLOOKUP(E2522,[1]库存!$B$1:$C$65536,2,FALSE)</f>
        <v>AS23 CAB C状态导气袋</v>
      </c>
      <c r="G2522" s="59" t="s">
        <v>3907</v>
      </c>
      <c r="H2522" s="59" t="s">
        <v>3908</v>
      </c>
      <c r="I2522" s="59"/>
      <c r="J2522" s="117"/>
      <c r="K2522" s="61"/>
      <c r="L2522" s="62">
        <v>0.7</v>
      </c>
      <c r="M2522" s="63">
        <v>1000</v>
      </c>
      <c r="N2522" s="64">
        <v>2</v>
      </c>
      <c r="O2522" s="62">
        <v>0.7</v>
      </c>
      <c r="P2522" s="65">
        <f t="shared" si="173"/>
        <v>0</v>
      </c>
      <c r="Q2522" s="66"/>
      <c r="R2522" s="66"/>
      <c r="S2522" s="66"/>
      <c r="T2522" s="66"/>
      <c r="U2522" s="66"/>
      <c r="V2522" s="66"/>
      <c r="W2522" s="66"/>
      <c r="X2522" s="66"/>
      <c r="Y2522" s="66"/>
      <c r="Z2522" s="66"/>
      <c r="AA2522" s="66"/>
      <c r="AB2522" s="66"/>
      <c r="AC2522" s="66"/>
      <c r="AD2522" s="66"/>
      <c r="AE2522" s="66"/>
      <c r="AF2522" s="66"/>
      <c r="AG2522" s="66"/>
      <c r="AH2522" s="66"/>
      <c r="AI2522" s="66"/>
      <c r="AJ2522" s="66"/>
      <c r="AK2522" s="66"/>
      <c r="AL2522" s="66"/>
      <c r="AM2522" s="66"/>
      <c r="AN2522" s="66"/>
      <c r="AO2522" s="66"/>
      <c r="AP2522" s="66"/>
      <c r="AQ2522" s="66"/>
      <c r="AR2522" s="66"/>
      <c r="AS2522" s="66"/>
      <c r="AT2522" s="66"/>
      <c r="AU2522" s="66"/>
      <c r="AV2522" s="66"/>
      <c r="AW2522" s="66"/>
      <c r="AX2522" s="66"/>
      <c r="AY2522" s="66"/>
      <c r="AZ2522" s="66"/>
      <c r="BA2522" s="66"/>
      <c r="BB2522" s="66"/>
      <c r="BC2522" s="66"/>
      <c r="BD2522" s="66"/>
      <c r="BE2522" s="67"/>
      <c r="BF2522" s="67"/>
      <c r="BG2522" s="68"/>
      <c r="BI2522" s="69">
        <v>0</v>
      </c>
      <c r="BJ2522" s="70">
        <v>0</v>
      </c>
      <c r="BK2522" s="71">
        <v>0</v>
      </c>
      <c r="BL2522" s="71">
        <v>0</v>
      </c>
      <c r="BM2522" s="71">
        <v>0</v>
      </c>
      <c r="BN2522" s="72">
        <v>0</v>
      </c>
      <c r="BO2522" s="151" t="e">
        <f t="shared" si="169"/>
        <v>#DIV/0!</v>
      </c>
      <c r="BP2522" s="151" t="e">
        <f t="shared" si="170"/>
        <v>#DIV/0!</v>
      </c>
      <c r="BQ2522" s="71">
        <v>0</v>
      </c>
      <c r="BR2522" s="71">
        <v>0</v>
      </c>
      <c r="BS2522" s="71">
        <v>0</v>
      </c>
      <c r="BT2522" s="72">
        <v>0</v>
      </c>
      <c r="BU2522" s="151" t="e">
        <f t="shared" si="171"/>
        <v>#DIV/0!</v>
      </c>
      <c r="BV2522" s="151" t="e">
        <f t="shared" si="172"/>
        <v>#DIV/0!</v>
      </c>
    </row>
    <row r="2523" ht="30" customHeight="1" spans="1:75 16331:16349">
      <c r="A2523" s="55">
        <v>0</v>
      </c>
      <c r="B2523" s="56">
        <v>0</v>
      </c>
      <c r="C2523" s="57">
        <v>0</v>
      </c>
      <c r="D2523" s="74"/>
      <c r="E2523" s="74"/>
      <c r="F2523" s="59" t="e">
        <f>VLOOKUP(E2523,[1]库存!$B$1:$C$65536,2,FALSE)</f>
        <v>#N/A</v>
      </c>
      <c r="G2523" s="59" t="e">
        <v>#N/A</v>
      </c>
      <c r="H2523" s="74"/>
      <c r="I2523" s="74"/>
      <c r="J2523" s="162"/>
      <c r="K2523" s="61"/>
      <c r="L2523" s="62">
        <v>0</v>
      </c>
      <c r="M2523" s="63">
        <v>0</v>
      </c>
      <c r="N2523" s="64">
        <v>0</v>
      </c>
      <c r="O2523" s="62">
        <v>0</v>
      </c>
      <c r="P2523" s="65">
        <f t="shared" si="173"/>
        <v>0</v>
      </c>
      <c r="Q2523" s="66"/>
      <c r="R2523" s="66"/>
      <c r="S2523" s="66"/>
      <c r="T2523" s="66"/>
      <c r="U2523" s="66"/>
      <c r="V2523" s="66"/>
      <c r="W2523" s="66"/>
      <c r="X2523" s="66"/>
      <c r="Y2523" s="66"/>
      <c r="Z2523" s="66"/>
      <c r="AA2523" s="66"/>
      <c r="AB2523" s="66"/>
      <c r="AC2523" s="66"/>
      <c r="AD2523" s="66"/>
      <c r="AE2523" s="66"/>
      <c r="AF2523" s="66"/>
      <c r="AG2523" s="66"/>
      <c r="AH2523" s="66"/>
      <c r="AI2523" s="66"/>
      <c r="AJ2523" s="66"/>
      <c r="AK2523" s="66"/>
      <c r="AL2523" s="66"/>
      <c r="AM2523" s="66"/>
      <c r="AN2523" s="66"/>
      <c r="AO2523" s="66"/>
      <c r="AP2523" s="66"/>
      <c r="AQ2523" s="66"/>
      <c r="AR2523" s="66"/>
      <c r="AS2523" s="66"/>
      <c r="AT2523" s="66"/>
      <c r="AU2523" s="66"/>
      <c r="AV2523" s="66"/>
      <c r="AW2523" s="66"/>
      <c r="AX2523" s="66"/>
      <c r="AY2523" s="66"/>
      <c r="AZ2523" s="66"/>
      <c r="BA2523" s="66"/>
      <c r="BB2523" s="66"/>
      <c r="BC2523" s="66"/>
      <c r="BD2523" s="66"/>
      <c r="BE2523" s="67"/>
      <c r="BF2523" s="67"/>
      <c r="BG2523" s="68"/>
      <c r="BI2523" s="69">
        <v>0</v>
      </c>
      <c r="BJ2523" s="70">
        <v>0</v>
      </c>
      <c r="BK2523" s="71">
        <v>0</v>
      </c>
      <c r="BL2523" s="71">
        <v>0</v>
      </c>
      <c r="BM2523" s="71">
        <v>0</v>
      </c>
      <c r="BN2523" s="72">
        <v>0</v>
      </c>
      <c r="BO2523" s="151" t="e">
        <f t="shared" si="169"/>
        <v>#DIV/0!</v>
      </c>
      <c r="BP2523" s="151" t="e">
        <f t="shared" si="170"/>
        <v>#DIV/0!</v>
      </c>
      <c r="BQ2523" s="71">
        <v>0</v>
      </c>
      <c r="BR2523" s="71">
        <v>0</v>
      </c>
      <c r="BS2523" s="71">
        <v>0</v>
      </c>
      <c r="BT2523" s="72">
        <v>0</v>
      </c>
      <c r="BU2523" s="151" t="e">
        <f t="shared" si="171"/>
        <v>#DIV/0!</v>
      </c>
      <c r="BV2523" s="151" t="e">
        <f t="shared" si="172"/>
        <v>#DIV/0!</v>
      </c>
    </row>
    <row r="2524" ht="30" customHeight="1" spans="1:75 16331:16349">
      <c r="A2524" s="55" t="s">
        <v>96</v>
      </c>
      <c r="B2524" s="56" t="s">
        <v>1237</v>
      </c>
      <c r="C2524" s="57" t="s">
        <v>3341</v>
      </c>
      <c r="D2524" s="59" t="s">
        <v>3872</v>
      </c>
      <c r="E2524" s="59" t="s">
        <v>3909</v>
      </c>
      <c r="F2524" s="59" t="str">
        <f>VLOOKUP(E2524,[1]库存!$B$1:$C$65536,2,FALSE)</f>
        <v>SAIC AS23 CAB LH C状态</v>
      </c>
      <c r="G2524" s="59" t="s">
        <v>3910</v>
      </c>
      <c r="H2524" s="59" t="s">
        <v>3911</v>
      </c>
      <c r="I2524" s="59" t="s">
        <v>3900</v>
      </c>
      <c r="J2524" s="117"/>
      <c r="K2524" s="61"/>
      <c r="L2524" s="62">
        <v>1</v>
      </c>
      <c r="M2524" s="63">
        <v>350</v>
      </c>
      <c r="N2524" s="64">
        <v>4</v>
      </c>
      <c r="O2524" s="62">
        <v>1</v>
      </c>
      <c r="P2524" s="65">
        <f t="shared" si="173"/>
        <v>0</v>
      </c>
      <c r="Q2524" s="66"/>
      <c r="R2524" s="103"/>
      <c r="S2524" s="66"/>
      <c r="T2524" s="103"/>
      <c r="U2524" s="66"/>
      <c r="V2524" s="103"/>
      <c r="W2524" s="66"/>
      <c r="X2524" s="103"/>
      <c r="Y2524" s="66"/>
      <c r="Z2524" s="103"/>
      <c r="AA2524" s="66"/>
      <c r="AB2524" s="103"/>
      <c r="AC2524" s="66"/>
      <c r="AD2524" s="103"/>
      <c r="AE2524" s="66"/>
      <c r="AF2524" s="103"/>
      <c r="AG2524" s="66"/>
      <c r="AH2524" s="103"/>
      <c r="AI2524" s="66"/>
      <c r="AJ2524" s="103"/>
      <c r="AK2524" s="66"/>
      <c r="AL2524" s="103"/>
      <c r="AM2524" s="66"/>
      <c r="AN2524" s="103"/>
      <c r="AO2524" s="66"/>
      <c r="AP2524" s="103"/>
      <c r="AQ2524" s="66"/>
      <c r="AR2524" s="103"/>
      <c r="AS2524" s="66"/>
      <c r="AT2524" s="103"/>
      <c r="AU2524" s="66"/>
      <c r="AV2524" s="103"/>
      <c r="AW2524" s="66"/>
      <c r="AX2524" s="103"/>
      <c r="AY2524" s="66"/>
      <c r="AZ2524" s="103"/>
      <c r="BA2524" s="66"/>
      <c r="BB2524" s="103"/>
      <c r="BC2524" s="66"/>
      <c r="BD2524" s="103"/>
      <c r="BE2524" s="105"/>
      <c r="BF2524" s="105"/>
      <c r="BG2524" s="68"/>
      <c r="BI2524" s="69">
        <v>0</v>
      </c>
      <c r="BJ2524" s="70">
        <v>0</v>
      </c>
      <c r="BK2524" s="71">
        <v>0</v>
      </c>
      <c r="BL2524" s="71">
        <v>0</v>
      </c>
      <c r="BM2524" s="71">
        <v>0</v>
      </c>
      <c r="BN2524" s="72">
        <v>0</v>
      </c>
      <c r="BO2524" s="151" t="e">
        <f t="shared" si="169"/>
        <v>#DIV/0!</v>
      </c>
      <c r="BP2524" s="151" t="e">
        <f t="shared" si="170"/>
        <v>#DIV/0!</v>
      </c>
      <c r="BQ2524" s="71">
        <v>0</v>
      </c>
      <c r="BR2524" s="71">
        <v>0</v>
      </c>
      <c r="BS2524" s="71">
        <v>0</v>
      </c>
      <c r="BT2524" s="72">
        <v>0</v>
      </c>
      <c r="BU2524" s="151" t="e">
        <f t="shared" si="171"/>
        <v>#DIV/0!</v>
      </c>
      <c r="BV2524" s="151" t="e">
        <f t="shared" si="172"/>
        <v>#DIV/0!</v>
      </c>
    </row>
    <row r="2525" ht="30" customHeight="1" spans="1:75 16331:16349">
      <c r="A2525" s="55">
        <v>0</v>
      </c>
      <c r="B2525" s="56">
        <v>0</v>
      </c>
      <c r="C2525" s="57">
        <v>0</v>
      </c>
      <c r="D2525" s="74"/>
      <c r="E2525" s="74"/>
      <c r="F2525" s="59" t="e">
        <f>VLOOKUP(E2525,[1]库存!$B$1:$C$65536,2,FALSE)</f>
        <v>#N/A</v>
      </c>
      <c r="G2525" s="59" t="e">
        <v>#N/A</v>
      </c>
      <c r="H2525" s="74"/>
      <c r="I2525" s="74"/>
      <c r="J2525" s="162"/>
      <c r="K2525" s="61"/>
      <c r="L2525" s="62">
        <v>0</v>
      </c>
      <c r="M2525" s="63">
        <v>0</v>
      </c>
      <c r="N2525" s="64">
        <v>0</v>
      </c>
      <c r="O2525" s="62">
        <v>0</v>
      </c>
      <c r="P2525" s="65">
        <f t="shared" si="173"/>
        <v>0</v>
      </c>
      <c r="Q2525" s="66"/>
      <c r="R2525" s="66"/>
      <c r="S2525" s="66"/>
      <c r="T2525" s="66"/>
      <c r="U2525" s="66"/>
      <c r="V2525" s="66"/>
      <c r="W2525" s="66"/>
      <c r="X2525" s="66"/>
      <c r="Y2525" s="66"/>
      <c r="Z2525" s="66"/>
      <c r="AA2525" s="66"/>
      <c r="AB2525" s="66"/>
      <c r="AC2525" s="66"/>
      <c r="AD2525" s="66"/>
      <c r="AE2525" s="66"/>
      <c r="AF2525" s="66"/>
      <c r="AG2525" s="66"/>
      <c r="AH2525" s="66"/>
      <c r="AI2525" s="66"/>
      <c r="AJ2525" s="66"/>
      <c r="AK2525" s="66"/>
      <c r="AL2525" s="66"/>
      <c r="AM2525" s="66"/>
      <c r="AN2525" s="66"/>
      <c r="AO2525" s="66"/>
      <c r="AP2525" s="66"/>
      <c r="AQ2525" s="66"/>
      <c r="AR2525" s="66"/>
      <c r="AS2525" s="66"/>
      <c r="AT2525" s="66"/>
      <c r="AU2525" s="66"/>
      <c r="AV2525" s="66"/>
      <c r="AW2525" s="66"/>
      <c r="AX2525" s="66"/>
      <c r="AY2525" s="66"/>
      <c r="AZ2525" s="66"/>
      <c r="BA2525" s="66"/>
      <c r="BB2525" s="66"/>
      <c r="BC2525" s="66"/>
      <c r="BD2525" s="66"/>
      <c r="BE2525" s="67"/>
      <c r="BF2525" s="67"/>
      <c r="BG2525" s="68"/>
      <c r="BI2525" s="69">
        <v>0</v>
      </c>
      <c r="BJ2525" s="70">
        <v>0</v>
      </c>
      <c r="BK2525" s="71">
        <v>0</v>
      </c>
      <c r="BL2525" s="71">
        <v>0</v>
      </c>
      <c r="BM2525" s="71">
        <v>0</v>
      </c>
      <c r="BN2525" s="72">
        <v>0</v>
      </c>
      <c r="BO2525" s="151" t="e">
        <f t="shared" si="169"/>
        <v>#DIV/0!</v>
      </c>
      <c r="BP2525" s="151" t="e">
        <f t="shared" si="170"/>
        <v>#DIV/0!</v>
      </c>
      <c r="BQ2525" s="71">
        <v>0</v>
      </c>
      <c r="BR2525" s="71">
        <v>0</v>
      </c>
      <c r="BS2525" s="71">
        <v>0</v>
      </c>
      <c r="BT2525" s="72">
        <v>0</v>
      </c>
      <c r="BU2525" s="151" t="e">
        <f t="shared" si="171"/>
        <v>#DIV/0!</v>
      </c>
      <c r="BV2525" s="151" t="e">
        <f t="shared" si="172"/>
        <v>#DIV/0!</v>
      </c>
    </row>
    <row r="2526" ht="30" customHeight="1" spans="1:75 16331:16349">
      <c r="A2526" s="55" t="s">
        <v>96</v>
      </c>
      <c r="B2526" s="56" t="s">
        <v>1237</v>
      </c>
      <c r="C2526" s="57" t="s">
        <v>3341</v>
      </c>
      <c r="D2526" s="59" t="s">
        <v>3872</v>
      </c>
      <c r="E2526" s="59" t="s">
        <v>3912</v>
      </c>
      <c r="F2526" s="59" t="str">
        <f>VLOOKUP(E2526,[1]库存!$B$1:$C$65536,2,FALSE)</f>
        <v>SAIC AS23 CAB RH C状态</v>
      </c>
      <c r="G2526" s="59" t="s">
        <v>3913</v>
      </c>
      <c r="H2526" s="59" t="s">
        <v>3914</v>
      </c>
      <c r="I2526" s="59" t="s">
        <v>3900</v>
      </c>
      <c r="J2526" s="117"/>
      <c r="K2526" s="61"/>
      <c r="L2526" s="62">
        <v>1</v>
      </c>
      <c r="M2526" s="63">
        <v>350</v>
      </c>
      <c r="N2526" s="64">
        <v>4</v>
      </c>
      <c r="O2526" s="62">
        <v>1</v>
      </c>
      <c r="P2526" s="65">
        <f t="shared" si="173"/>
        <v>0</v>
      </c>
      <c r="Q2526" s="66"/>
      <c r="R2526" s="103"/>
      <c r="S2526" s="66"/>
      <c r="T2526" s="103"/>
      <c r="U2526" s="66"/>
      <c r="V2526" s="103"/>
      <c r="W2526" s="66"/>
      <c r="X2526" s="103"/>
      <c r="Y2526" s="66"/>
      <c r="Z2526" s="103"/>
      <c r="AA2526" s="66"/>
      <c r="AB2526" s="103"/>
      <c r="AC2526" s="66"/>
      <c r="AD2526" s="103"/>
      <c r="AE2526" s="66"/>
      <c r="AF2526" s="103"/>
      <c r="AG2526" s="66"/>
      <c r="AH2526" s="103"/>
      <c r="AI2526" s="66"/>
      <c r="AJ2526" s="103"/>
      <c r="AK2526" s="66"/>
      <c r="AL2526" s="103"/>
      <c r="AM2526" s="66"/>
      <c r="AN2526" s="103"/>
      <c r="AO2526" s="66"/>
      <c r="AP2526" s="103"/>
      <c r="AQ2526" s="66"/>
      <c r="AR2526" s="103"/>
      <c r="AS2526" s="66"/>
      <c r="AT2526" s="103"/>
      <c r="AU2526" s="66"/>
      <c r="AV2526" s="103"/>
      <c r="AW2526" s="66"/>
      <c r="AX2526" s="103"/>
      <c r="AY2526" s="66"/>
      <c r="AZ2526" s="103"/>
      <c r="BA2526" s="66"/>
      <c r="BB2526" s="103"/>
      <c r="BC2526" s="66"/>
      <c r="BD2526" s="103"/>
      <c r="BE2526" s="105"/>
      <c r="BF2526" s="105"/>
      <c r="BG2526" s="68"/>
      <c r="BI2526" s="69">
        <v>0</v>
      </c>
      <c r="BJ2526" s="70">
        <v>0</v>
      </c>
      <c r="BK2526" s="71">
        <v>0</v>
      </c>
      <c r="BL2526" s="71">
        <v>0</v>
      </c>
      <c r="BM2526" s="71">
        <v>0</v>
      </c>
      <c r="BN2526" s="72">
        <v>0</v>
      </c>
      <c r="BO2526" s="151" t="e">
        <f t="shared" si="169"/>
        <v>#DIV/0!</v>
      </c>
      <c r="BP2526" s="151" t="e">
        <f t="shared" si="170"/>
        <v>#DIV/0!</v>
      </c>
      <c r="BQ2526" s="71">
        <v>0</v>
      </c>
      <c r="BR2526" s="71">
        <v>0</v>
      </c>
      <c r="BS2526" s="71">
        <v>0</v>
      </c>
      <c r="BT2526" s="72">
        <v>0</v>
      </c>
      <c r="BU2526" s="151" t="e">
        <f t="shared" si="171"/>
        <v>#DIV/0!</v>
      </c>
      <c r="BV2526" s="151" t="e">
        <f t="shared" si="172"/>
        <v>#DIV/0!</v>
      </c>
    </row>
    <row r="2527" ht="30" customHeight="1" spans="1:75 16331:16349">
      <c r="A2527" s="55">
        <v>0</v>
      </c>
      <c r="B2527" s="56">
        <v>0</v>
      </c>
      <c r="C2527" s="57">
        <v>0</v>
      </c>
      <c r="D2527" s="74"/>
      <c r="E2527" s="74"/>
      <c r="F2527" s="59" t="e">
        <f>VLOOKUP(E2527,[1]库存!$B$1:$C$65536,2,FALSE)</f>
        <v>#N/A</v>
      </c>
      <c r="G2527" s="59" t="e">
        <v>#N/A</v>
      </c>
      <c r="H2527" s="74"/>
      <c r="I2527" s="74"/>
      <c r="J2527" s="162"/>
      <c r="K2527" s="61"/>
      <c r="L2527" s="62">
        <v>0</v>
      </c>
      <c r="M2527" s="63">
        <v>0</v>
      </c>
      <c r="N2527" s="64">
        <v>0</v>
      </c>
      <c r="O2527" s="62">
        <v>0</v>
      </c>
      <c r="P2527" s="65">
        <f t="shared" si="173"/>
        <v>0</v>
      </c>
      <c r="Q2527" s="66"/>
      <c r="R2527" s="66"/>
      <c r="S2527" s="66"/>
      <c r="T2527" s="66"/>
      <c r="U2527" s="66"/>
      <c r="V2527" s="66"/>
      <c r="W2527" s="66"/>
      <c r="X2527" s="66"/>
      <c r="Y2527" s="66"/>
      <c r="Z2527" s="66"/>
      <c r="AA2527" s="66"/>
      <c r="AB2527" s="66"/>
      <c r="AC2527" s="66"/>
      <c r="AD2527" s="66"/>
      <c r="AE2527" s="66"/>
      <c r="AF2527" s="66"/>
      <c r="AG2527" s="66"/>
      <c r="AH2527" s="66"/>
      <c r="AI2527" s="66"/>
      <c r="AJ2527" s="66"/>
      <c r="AK2527" s="66"/>
      <c r="AL2527" s="66"/>
      <c r="AM2527" s="66"/>
      <c r="AN2527" s="66"/>
      <c r="AO2527" s="66"/>
      <c r="AP2527" s="66"/>
      <c r="AQ2527" s="66"/>
      <c r="AR2527" s="66"/>
      <c r="AS2527" s="66"/>
      <c r="AT2527" s="66"/>
      <c r="AU2527" s="66"/>
      <c r="AV2527" s="66"/>
      <c r="AW2527" s="66"/>
      <c r="AX2527" s="66"/>
      <c r="AY2527" s="66"/>
      <c r="AZ2527" s="66"/>
      <c r="BA2527" s="66"/>
      <c r="BB2527" s="66"/>
      <c r="BC2527" s="66"/>
      <c r="BD2527" s="66"/>
      <c r="BE2527" s="67"/>
      <c r="BF2527" s="67"/>
      <c r="BG2527" s="68"/>
      <c r="BI2527" s="69">
        <v>0</v>
      </c>
      <c r="BJ2527" s="70">
        <v>0</v>
      </c>
      <c r="BK2527" s="71">
        <v>0</v>
      </c>
      <c r="BL2527" s="71">
        <v>0</v>
      </c>
      <c r="BM2527" s="71">
        <v>0</v>
      </c>
      <c r="BN2527" s="72">
        <v>0</v>
      </c>
      <c r="BO2527" s="151" t="e">
        <f t="shared" si="169"/>
        <v>#DIV/0!</v>
      </c>
      <c r="BP2527" s="151" t="e">
        <f t="shared" si="170"/>
        <v>#DIV/0!</v>
      </c>
      <c r="BQ2527" s="71">
        <v>0</v>
      </c>
      <c r="BR2527" s="71">
        <v>0</v>
      </c>
      <c r="BS2527" s="71">
        <v>0</v>
      </c>
      <c r="BT2527" s="72">
        <v>0</v>
      </c>
      <c r="BU2527" s="151" t="e">
        <f t="shared" si="171"/>
        <v>#DIV/0!</v>
      </c>
      <c r="BV2527" s="151" t="e">
        <f t="shared" si="172"/>
        <v>#DIV/0!</v>
      </c>
    </row>
    <row r="2528" ht="30" customHeight="1" spans="1:75 16331:16349">
      <c r="A2528" s="55">
        <v>0</v>
      </c>
      <c r="B2528" s="56" t="s">
        <v>1237</v>
      </c>
      <c r="C2528" s="57" t="s">
        <v>3341</v>
      </c>
      <c r="D2528" s="59" t="s">
        <v>3715</v>
      </c>
      <c r="E2528" s="59" t="s">
        <v>3915</v>
      </c>
      <c r="F2528" s="59" t="str">
        <f>VLOOKUP(E2528,[1]库存!$B$1:$C$65536,2,FALSE)</f>
        <v>ZS11E CAB导气袋</v>
      </c>
      <c r="G2528" s="59" t="s">
        <v>3916</v>
      </c>
      <c r="H2528" s="59" t="s">
        <v>3917</v>
      </c>
      <c r="I2528" s="59"/>
      <c r="J2528" s="63"/>
      <c r="K2528" s="61"/>
      <c r="L2528" s="62">
        <v>0.7</v>
      </c>
      <c r="M2528" s="63">
        <v>1000</v>
      </c>
      <c r="N2528" s="64">
        <v>2</v>
      </c>
      <c r="O2528" s="62">
        <v>0.7</v>
      </c>
      <c r="P2528" s="65">
        <f t="shared" si="173"/>
        <v>0</v>
      </c>
      <c r="Q2528" s="103"/>
      <c r="R2528" s="66"/>
      <c r="S2528" s="103"/>
      <c r="T2528" s="66"/>
      <c r="U2528" s="103"/>
      <c r="V2528" s="66"/>
      <c r="W2528" s="103"/>
      <c r="X2528" s="66"/>
      <c r="Y2528" s="103"/>
      <c r="Z2528" s="66"/>
      <c r="AA2528" s="103"/>
      <c r="AB2528" s="66"/>
      <c r="AC2528" s="103"/>
      <c r="AD2528" s="66"/>
      <c r="AE2528" s="103"/>
      <c r="AF2528" s="66"/>
      <c r="AG2528" s="103"/>
      <c r="AH2528" s="66"/>
      <c r="AI2528" s="103"/>
      <c r="AJ2528" s="66"/>
      <c r="AK2528" s="103"/>
      <c r="AL2528" s="66"/>
      <c r="AM2528" s="103"/>
      <c r="AN2528" s="66"/>
      <c r="AO2528" s="103"/>
      <c r="AP2528" s="66"/>
      <c r="AQ2528" s="103"/>
      <c r="AR2528" s="66"/>
      <c r="AS2528" s="103"/>
      <c r="AT2528" s="66"/>
      <c r="AU2528" s="103"/>
      <c r="AV2528" s="66"/>
      <c r="AW2528" s="103"/>
      <c r="AX2528" s="66"/>
      <c r="AY2528" s="103"/>
      <c r="AZ2528" s="66"/>
      <c r="BA2528" s="103"/>
      <c r="BB2528" s="66"/>
      <c r="BC2528" s="103"/>
      <c r="BD2528" s="66"/>
      <c r="BE2528" s="105"/>
      <c r="BF2528" s="67"/>
      <c r="BG2528" s="68"/>
      <c r="BI2528" s="69">
        <v>0</v>
      </c>
      <c r="BJ2528" s="70">
        <v>0</v>
      </c>
      <c r="BK2528" s="71">
        <v>0</v>
      </c>
      <c r="BL2528" s="71">
        <v>0</v>
      </c>
      <c r="BM2528" s="71">
        <v>0</v>
      </c>
      <c r="BN2528" s="72">
        <v>0</v>
      </c>
      <c r="BO2528" s="151" t="e">
        <f t="shared" si="169"/>
        <v>#DIV/0!</v>
      </c>
      <c r="BP2528" s="151" t="e">
        <f t="shared" si="170"/>
        <v>#DIV/0!</v>
      </c>
      <c r="BQ2528" s="71">
        <v>0</v>
      </c>
      <c r="BR2528" s="71">
        <v>0</v>
      </c>
      <c r="BS2528" s="71">
        <v>0</v>
      </c>
      <c r="BT2528" s="72">
        <v>0</v>
      </c>
      <c r="BU2528" s="151" t="e">
        <f t="shared" si="171"/>
        <v>#DIV/0!</v>
      </c>
      <c r="BV2528" s="151" t="e">
        <f t="shared" si="172"/>
        <v>#DIV/0!</v>
      </c>
    </row>
    <row r="2529" ht="30" customHeight="1" spans="1:74">
      <c r="A2529" s="55">
        <v>0</v>
      </c>
      <c r="B2529" s="56">
        <v>0</v>
      </c>
      <c r="C2529" s="57">
        <v>0</v>
      </c>
      <c r="D2529" s="74"/>
      <c r="E2529" s="74"/>
      <c r="F2529" s="59" t="e">
        <f>VLOOKUP(E2529,[1]库存!$B$1:$C$65536,2,FALSE)</f>
        <v>#N/A</v>
      </c>
      <c r="G2529" s="59" t="e">
        <v>#N/A</v>
      </c>
      <c r="H2529" s="74"/>
      <c r="I2529" s="74"/>
      <c r="J2529" s="87"/>
      <c r="K2529" s="61"/>
      <c r="L2529" s="62">
        <v>0</v>
      </c>
      <c r="M2529" s="63">
        <v>0</v>
      </c>
      <c r="N2529" s="64">
        <v>0</v>
      </c>
      <c r="O2529" s="62">
        <v>0</v>
      </c>
      <c r="P2529" s="65">
        <f t="shared" si="173"/>
        <v>0</v>
      </c>
      <c r="Q2529" s="103"/>
      <c r="R2529" s="66"/>
      <c r="S2529" s="103"/>
      <c r="T2529" s="66"/>
      <c r="U2529" s="103"/>
      <c r="V2529" s="66"/>
      <c r="W2529" s="103"/>
      <c r="X2529" s="66"/>
      <c r="Y2529" s="103"/>
      <c r="Z2529" s="66"/>
      <c r="AA2529" s="103"/>
      <c r="AB2529" s="66"/>
      <c r="AC2529" s="103"/>
      <c r="AD2529" s="66"/>
      <c r="AE2529" s="103"/>
      <c r="AF2529" s="66"/>
      <c r="AG2529" s="103"/>
      <c r="AH2529" s="66"/>
      <c r="AI2529" s="103"/>
      <c r="AJ2529" s="66"/>
      <c r="AK2529" s="103"/>
      <c r="AL2529" s="66"/>
      <c r="AM2529" s="103"/>
      <c r="AN2529" s="66"/>
      <c r="AO2529" s="103"/>
      <c r="AP2529" s="66"/>
      <c r="AQ2529" s="103"/>
      <c r="AR2529" s="66"/>
      <c r="AS2529" s="103"/>
      <c r="AT2529" s="66"/>
      <c r="AU2529" s="103"/>
      <c r="AV2529" s="66"/>
      <c r="AW2529" s="103"/>
      <c r="AX2529" s="66"/>
      <c r="AY2529" s="103"/>
      <c r="AZ2529" s="66"/>
      <c r="BA2529" s="103"/>
      <c r="BB2529" s="66"/>
      <c r="BC2529" s="103"/>
      <c r="BD2529" s="66"/>
      <c r="BE2529" s="105"/>
      <c r="BF2529" s="67"/>
      <c r="BG2529" s="68"/>
      <c r="BI2529" s="69">
        <v>0</v>
      </c>
      <c r="BJ2529" s="70">
        <v>0</v>
      </c>
      <c r="BK2529" s="71">
        <v>0</v>
      </c>
      <c r="BL2529" s="71">
        <v>0</v>
      </c>
      <c r="BM2529" s="71">
        <v>0</v>
      </c>
      <c r="BN2529" s="72">
        <v>0</v>
      </c>
      <c r="BO2529" s="151" t="e">
        <f t="shared" si="169"/>
        <v>#DIV/0!</v>
      </c>
      <c r="BP2529" s="151" t="e">
        <f t="shared" si="170"/>
        <v>#DIV/0!</v>
      </c>
      <c r="BQ2529" s="71">
        <v>0</v>
      </c>
      <c r="BR2529" s="71">
        <v>0</v>
      </c>
      <c r="BS2529" s="71">
        <v>0</v>
      </c>
      <c r="BT2529" s="72">
        <v>0</v>
      </c>
      <c r="BU2529" s="151" t="e">
        <f t="shared" si="171"/>
        <v>#DIV/0!</v>
      </c>
      <c r="BV2529" s="151" t="e">
        <f t="shared" si="172"/>
        <v>#DIV/0!</v>
      </c>
    </row>
    <row r="2530" ht="30" customHeight="1" spans="1:74">
      <c r="A2530" s="55">
        <v>0</v>
      </c>
      <c r="B2530" s="56" t="s">
        <v>1237</v>
      </c>
      <c r="C2530" s="57" t="s">
        <v>3341</v>
      </c>
      <c r="D2530" s="59" t="s">
        <v>3227</v>
      </c>
      <c r="E2530" s="59" t="s">
        <v>3918</v>
      </c>
      <c r="F2530" s="59" t="str">
        <f>VLOOKUP(E2530,[1]库存!$B$1:$C$65536,2,FALSE)</f>
        <v>ZS11E CAB拉带</v>
      </c>
      <c r="G2530" s="59" t="s">
        <v>3919</v>
      </c>
      <c r="H2530" s="59" t="s">
        <v>3920</v>
      </c>
      <c r="I2530" s="59"/>
      <c r="J2530" s="63"/>
      <c r="K2530" s="61"/>
      <c r="L2530" s="62">
        <v>0</v>
      </c>
      <c r="M2530" s="63">
        <v>1200</v>
      </c>
      <c r="N2530" s="64">
        <v>1.5</v>
      </c>
      <c r="O2530" s="62">
        <v>0</v>
      </c>
      <c r="P2530" s="65">
        <f t="shared" si="173"/>
        <v>0</v>
      </c>
      <c r="Q2530" s="103"/>
      <c r="R2530" s="66"/>
      <c r="S2530" s="103"/>
      <c r="T2530" s="66"/>
      <c r="U2530" s="103"/>
      <c r="V2530" s="66"/>
      <c r="W2530" s="103"/>
      <c r="X2530" s="66"/>
      <c r="Y2530" s="103"/>
      <c r="Z2530" s="66"/>
      <c r="AA2530" s="103"/>
      <c r="AB2530" s="66"/>
      <c r="AC2530" s="103"/>
      <c r="AD2530" s="66"/>
      <c r="AE2530" s="103"/>
      <c r="AF2530" s="66"/>
      <c r="AG2530" s="103"/>
      <c r="AH2530" s="66"/>
      <c r="AI2530" s="103"/>
      <c r="AJ2530" s="66"/>
      <c r="AK2530" s="103"/>
      <c r="AL2530" s="66"/>
      <c r="AM2530" s="103"/>
      <c r="AN2530" s="66"/>
      <c r="AO2530" s="103"/>
      <c r="AP2530" s="66"/>
      <c r="AQ2530" s="103"/>
      <c r="AR2530" s="66"/>
      <c r="AS2530" s="103"/>
      <c r="AT2530" s="66"/>
      <c r="AU2530" s="103"/>
      <c r="AV2530" s="66"/>
      <c r="AW2530" s="103"/>
      <c r="AX2530" s="66"/>
      <c r="AY2530" s="103"/>
      <c r="AZ2530" s="66"/>
      <c r="BA2530" s="103"/>
      <c r="BB2530" s="66"/>
      <c r="BC2530" s="103"/>
      <c r="BD2530" s="66"/>
      <c r="BE2530" s="105"/>
      <c r="BF2530" s="67"/>
      <c r="BG2530" s="68"/>
      <c r="BI2530" s="69">
        <v>0</v>
      </c>
      <c r="BJ2530" s="70">
        <v>0</v>
      </c>
      <c r="BK2530" s="71">
        <v>0</v>
      </c>
      <c r="BL2530" s="71">
        <v>0</v>
      </c>
      <c r="BM2530" s="71">
        <v>0</v>
      </c>
      <c r="BN2530" s="72">
        <v>0</v>
      </c>
      <c r="BO2530" s="151" t="e">
        <f t="shared" si="169"/>
        <v>#DIV/0!</v>
      </c>
      <c r="BP2530" s="151" t="e">
        <f t="shared" si="170"/>
        <v>#DIV/0!</v>
      </c>
      <c r="BQ2530" s="71">
        <v>0</v>
      </c>
      <c r="BR2530" s="71">
        <v>0</v>
      </c>
      <c r="BS2530" s="71">
        <v>0</v>
      </c>
      <c r="BT2530" s="72">
        <v>0</v>
      </c>
      <c r="BU2530" s="151" t="e">
        <f t="shared" si="171"/>
        <v>#DIV/0!</v>
      </c>
      <c r="BV2530" s="151" t="e">
        <f t="shared" si="172"/>
        <v>#DIV/0!</v>
      </c>
    </row>
    <row r="2531" ht="30" customHeight="1" spans="1:74">
      <c r="A2531" s="55">
        <v>0</v>
      </c>
      <c r="B2531" s="56">
        <v>0</v>
      </c>
      <c r="C2531" s="57">
        <v>0</v>
      </c>
      <c r="D2531" s="74"/>
      <c r="E2531" s="74"/>
      <c r="F2531" s="59" t="e">
        <f>VLOOKUP(E2531,[1]库存!$B$1:$C$65536,2,FALSE)</f>
        <v>#N/A</v>
      </c>
      <c r="G2531" s="59" t="e">
        <v>#N/A</v>
      </c>
      <c r="H2531" s="74"/>
      <c r="I2531" s="74"/>
      <c r="J2531" s="87"/>
      <c r="K2531" s="61"/>
      <c r="L2531" s="62">
        <v>0</v>
      </c>
      <c r="M2531" s="63">
        <v>0</v>
      </c>
      <c r="N2531" s="64">
        <v>0</v>
      </c>
      <c r="O2531" s="62">
        <v>0</v>
      </c>
      <c r="P2531" s="65">
        <f t="shared" si="173"/>
        <v>0</v>
      </c>
      <c r="Q2531" s="66"/>
      <c r="R2531" s="66"/>
      <c r="S2531" s="66"/>
      <c r="T2531" s="66"/>
      <c r="U2531" s="66"/>
      <c r="V2531" s="66"/>
      <c r="W2531" s="66"/>
      <c r="X2531" s="66"/>
      <c r="Y2531" s="66"/>
      <c r="Z2531" s="66"/>
      <c r="AA2531" s="66"/>
      <c r="AB2531" s="66"/>
      <c r="AC2531" s="66"/>
      <c r="AD2531" s="66"/>
      <c r="AE2531" s="66"/>
      <c r="AF2531" s="66"/>
      <c r="AG2531" s="66"/>
      <c r="AH2531" s="66"/>
      <c r="AI2531" s="66"/>
      <c r="AJ2531" s="66"/>
      <c r="AK2531" s="66"/>
      <c r="AL2531" s="66"/>
      <c r="AM2531" s="66"/>
      <c r="AN2531" s="66"/>
      <c r="AO2531" s="66"/>
      <c r="AP2531" s="66"/>
      <c r="AQ2531" s="66"/>
      <c r="AR2531" s="66"/>
      <c r="AS2531" s="66"/>
      <c r="AT2531" s="66"/>
      <c r="AU2531" s="66"/>
      <c r="AV2531" s="66"/>
      <c r="AW2531" s="66"/>
      <c r="AX2531" s="66"/>
      <c r="AY2531" s="66"/>
      <c r="AZ2531" s="66"/>
      <c r="BA2531" s="66"/>
      <c r="BB2531" s="66"/>
      <c r="BC2531" s="66"/>
      <c r="BD2531" s="66"/>
      <c r="BE2531" s="67"/>
      <c r="BF2531" s="67"/>
      <c r="BG2531" s="68"/>
      <c r="BI2531" s="69">
        <v>0</v>
      </c>
      <c r="BJ2531" s="70">
        <v>0</v>
      </c>
      <c r="BK2531" s="71">
        <v>0</v>
      </c>
      <c r="BL2531" s="71">
        <v>0</v>
      </c>
      <c r="BM2531" s="71">
        <v>0</v>
      </c>
      <c r="BN2531" s="72">
        <v>0</v>
      </c>
      <c r="BO2531" s="151" t="e">
        <f t="shared" si="169"/>
        <v>#DIV/0!</v>
      </c>
      <c r="BP2531" s="151" t="e">
        <f t="shared" si="170"/>
        <v>#DIV/0!</v>
      </c>
      <c r="BQ2531" s="71">
        <v>0</v>
      </c>
      <c r="BR2531" s="71">
        <v>0</v>
      </c>
      <c r="BS2531" s="71">
        <v>0</v>
      </c>
      <c r="BT2531" s="72">
        <v>0</v>
      </c>
      <c r="BU2531" s="151" t="e">
        <f t="shared" si="171"/>
        <v>#DIV/0!</v>
      </c>
      <c r="BV2531" s="151" t="e">
        <f t="shared" si="172"/>
        <v>#DIV/0!</v>
      </c>
    </row>
    <row r="2532" ht="30" customHeight="1" spans="1:74">
      <c r="A2532" s="55" t="s">
        <v>96</v>
      </c>
      <c r="B2532" s="56" t="s">
        <v>1237</v>
      </c>
      <c r="C2532" s="57" t="s">
        <v>3341</v>
      </c>
      <c r="D2532" s="59" t="s">
        <v>3872</v>
      </c>
      <c r="E2532" s="59" t="s">
        <v>3921</v>
      </c>
      <c r="F2532" s="59" t="str">
        <f>VLOOKUP(E2532,[1]库存!$B$1:$C$65536,2,FALSE)</f>
        <v>SAIC ZS11E CAB</v>
      </c>
      <c r="G2532" s="59" t="s">
        <v>3922</v>
      </c>
      <c r="H2532" s="59" t="s">
        <v>3923</v>
      </c>
      <c r="I2532" s="59" t="s">
        <v>3924</v>
      </c>
      <c r="J2532" s="63"/>
      <c r="K2532" s="61"/>
      <c r="L2532" s="62">
        <v>1</v>
      </c>
      <c r="M2532" s="63">
        <v>500</v>
      </c>
      <c r="N2532" s="64">
        <v>2</v>
      </c>
      <c r="O2532" s="62">
        <v>1</v>
      </c>
      <c r="P2532" s="65">
        <f t="shared" si="173"/>
        <v>0</v>
      </c>
      <c r="Q2532" s="66"/>
      <c r="R2532" s="66"/>
      <c r="S2532" s="66"/>
      <c r="T2532" s="66"/>
      <c r="U2532" s="66"/>
      <c r="V2532" s="66"/>
      <c r="W2532" s="66"/>
      <c r="X2532" s="66"/>
      <c r="Y2532" s="66"/>
      <c r="Z2532" s="66"/>
      <c r="AA2532" s="66"/>
      <c r="AB2532" s="66"/>
      <c r="AC2532" s="66"/>
      <c r="AD2532" s="66"/>
      <c r="AE2532" s="66"/>
      <c r="AF2532" s="66"/>
      <c r="AG2532" s="66"/>
      <c r="AH2532" s="66"/>
      <c r="AI2532" s="66"/>
      <c r="AJ2532" s="66"/>
      <c r="AK2532" s="66"/>
      <c r="AL2532" s="66"/>
      <c r="AM2532" s="66"/>
      <c r="AN2532" s="66"/>
      <c r="AO2532" s="66"/>
      <c r="AP2532" s="66"/>
      <c r="AQ2532" s="66"/>
      <c r="AR2532" s="66"/>
      <c r="AS2532" s="66"/>
      <c r="AT2532" s="66"/>
      <c r="AU2532" s="66"/>
      <c r="AV2532" s="66"/>
      <c r="AW2532" s="66"/>
      <c r="AX2532" s="66"/>
      <c r="AY2532" s="66"/>
      <c r="AZ2532" s="66"/>
      <c r="BA2532" s="66"/>
      <c r="BB2532" s="66"/>
      <c r="BC2532" s="66"/>
      <c r="BD2532" s="66"/>
      <c r="BE2532" s="67"/>
      <c r="BF2532" s="67"/>
      <c r="BG2532" s="68"/>
      <c r="BI2532" s="69">
        <v>0</v>
      </c>
      <c r="BJ2532" s="70">
        <v>0</v>
      </c>
      <c r="BK2532" s="71">
        <v>0</v>
      </c>
      <c r="BL2532" s="71">
        <v>0</v>
      </c>
      <c r="BM2532" s="71">
        <v>0</v>
      </c>
      <c r="BN2532" s="72">
        <v>0</v>
      </c>
      <c r="BO2532" s="151" t="e">
        <f t="shared" si="169"/>
        <v>#DIV/0!</v>
      </c>
      <c r="BP2532" s="151" t="e">
        <f t="shared" si="170"/>
        <v>#DIV/0!</v>
      </c>
      <c r="BQ2532" s="71">
        <v>0</v>
      </c>
      <c r="BR2532" s="71">
        <v>0</v>
      </c>
      <c r="BS2532" s="71">
        <v>0</v>
      </c>
      <c r="BT2532" s="72">
        <v>0</v>
      </c>
      <c r="BU2532" s="151" t="e">
        <f t="shared" si="171"/>
        <v>#DIV/0!</v>
      </c>
      <c r="BV2532" s="151" t="e">
        <f t="shared" si="172"/>
        <v>#DIV/0!</v>
      </c>
    </row>
    <row r="2533" ht="30" customHeight="1" spans="1:74">
      <c r="A2533" s="55">
        <v>0</v>
      </c>
      <c r="B2533" s="56">
        <v>0</v>
      </c>
      <c r="C2533" s="57">
        <v>0</v>
      </c>
      <c r="D2533" s="74"/>
      <c r="E2533" s="74"/>
      <c r="F2533" s="59" t="e">
        <f>VLOOKUP(E2533,[1]库存!$B$1:$C$65536,2,FALSE)</f>
        <v>#N/A</v>
      </c>
      <c r="G2533" s="59" t="e">
        <v>#N/A</v>
      </c>
      <c r="H2533" s="74"/>
      <c r="I2533" s="74"/>
      <c r="J2533" s="87"/>
      <c r="K2533" s="61"/>
      <c r="L2533" s="62">
        <v>0</v>
      </c>
      <c r="M2533" s="63">
        <v>0</v>
      </c>
      <c r="N2533" s="64">
        <v>0</v>
      </c>
      <c r="O2533" s="62">
        <v>0</v>
      </c>
      <c r="P2533" s="65">
        <f t="shared" si="173"/>
        <v>0</v>
      </c>
      <c r="Q2533" s="66"/>
      <c r="R2533" s="66"/>
      <c r="S2533" s="66"/>
      <c r="T2533" s="66"/>
      <c r="U2533" s="66"/>
      <c r="V2533" s="66"/>
      <c r="W2533" s="66"/>
      <c r="X2533" s="66"/>
      <c r="Y2533" s="66"/>
      <c r="Z2533" s="66"/>
      <c r="AA2533" s="66"/>
      <c r="AB2533" s="66"/>
      <c r="AC2533" s="66"/>
      <c r="AD2533" s="66"/>
      <c r="AE2533" s="66"/>
      <c r="AF2533" s="66"/>
      <c r="AG2533" s="66"/>
      <c r="AH2533" s="66"/>
      <c r="AI2533" s="66"/>
      <c r="AJ2533" s="66"/>
      <c r="AK2533" s="66"/>
      <c r="AL2533" s="66"/>
      <c r="AM2533" s="66"/>
      <c r="AN2533" s="66"/>
      <c r="AO2533" s="66"/>
      <c r="AP2533" s="66"/>
      <c r="AQ2533" s="66"/>
      <c r="AR2533" s="66"/>
      <c r="AS2533" s="66"/>
      <c r="AT2533" s="66"/>
      <c r="AU2533" s="66"/>
      <c r="AV2533" s="66"/>
      <c r="AW2533" s="66"/>
      <c r="AX2533" s="66"/>
      <c r="AY2533" s="66"/>
      <c r="AZ2533" s="66"/>
      <c r="BA2533" s="66"/>
      <c r="BB2533" s="66"/>
      <c r="BC2533" s="66"/>
      <c r="BD2533" s="66"/>
      <c r="BE2533" s="67"/>
      <c r="BF2533" s="67"/>
      <c r="BG2533" s="68"/>
      <c r="BI2533" s="69">
        <v>0</v>
      </c>
      <c r="BJ2533" s="70">
        <v>0</v>
      </c>
      <c r="BK2533" s="71">
        <v>0</v>
      </c>
      <c r="BL2533" s="71">
        <v>0</v>
      </c>
      <c r="BM2533" s="71">
        <v>0</v>
      </c>
      <c r="BN2533" s="72">
        <v>0</v>
      </c>
      <c r="BO2533" s="151" t="e">
        <f t="shared" si="169"/>
        <v>#DIV/0!</v>
      </c>
      <c r="BP2533" s="151" t="e">
        <f t="shared" si="170"/>
        <v>#DIV/0!</v>
      </c>
      <c r="BQ2533" s="71">
        <v>0</v>
      </c>
      <c r="BR2533" s="71">
        <v>0</v>
      </c>
      <c r="BS2533" s="71">
        <v>0</v>
      </c>
      <c r="BT2533" s="72">
        <v>0</v>
      </c>
      <c r="BU2533" s="151" t="e">
        <f t="shared" si="171"/>
        <v>#DIV/0!</v>
      </c>
      <c r="BV2533" s="151" t="e">
        <f t="shared" si="172"/>
        <v>#DIV/0!</v>
      </c>
    </row>
    <row r="2534" ht="30" customHeight="1" spans="1:74">
      <c r="A2534" s="55">
        <v>0</v>
      </c>
      <c r="B2534" s="56" t="s">
        <v>1237</v>
      </c>
      <c r="C2534" s="57" t="s">
        <v>3226</v>
      </c>
      <c r="D2534" s="59" t="s">
        <v>3227</v>
      </c>
      <c r="E2534" s="59"/>
      <c r="F2534" s="59" t="e">
        <f>VLOOKUP(E2534,[1]库存!$B$1:$C$65536,2,FALSE)</f>
        <v>#N/A</v>
      </c>
      <c r="G2534" s="59" t="e">
        <v>#N/A</v>
      </c>
      <c r="H2534" s="59" t="s">
        <v>3714</v>
      </c>
      <c r="I2534" s="59"/>
      <c r="J2534" s="183" t="s">
        <v>3925</v>
      </c>
      <c r="K2534" s="61"/>
      <c r="L2534" s="62">
        <v>0</v>
      </c>
      <c r="M2534" s="63">
        <v>1200</v>
      </c>
      <c r="N2534" s="64">
        <v>1.5</v>
      </c>
      <c r="O2534" s="62">
        <v>0</v>
      </c>
      <c r="P2534" s="65">
        <f t="shared" si="173"/>
        <v>0</v>
      </c>
      <c r="Q2534" s="66"/>
      <c r="R2534" s="66"/>
      <c r="S2534" s="66"/>
      <c r="T2534" s="66"/>
      <c r="U2534" s="66"/>
      <c r="V2534" s="66"/>
      <c r="W2534" s="66"/>
      <c r="X2534" s="66"/>
      <c r="Y2534" s="66"/>
      <c r="Z2534" s="66"/>
      <c r="AA2534" s="66"/>
      <c r="AB2534" s="66"/>
      <c r="AC2534" s="66"/>
      <c r="AD2534" s="66"/>
      <c r="AE2534" s="66"/>
      <c r="AF2534" s="66"/>
      <c r="AG2534" s="66"/>
      <c r="AH2534" s="66"/>
      <c r="AI2534" s="66"/>
      <c r="AJ2534" s="66"/>
      <c r="AK2534" s="66"/>
      <c r="AL2534" s="66"/>
      <c r="AM2534" s="66"/>
      <c r="AN2534" s="66"/>
      <c r="AO2534" s="66"/>
      <c r="AP2534" s="66"/>
      <c r="AQ2534" s="66"/>
      <c r="AR2534" s="66"/>
      <c r="AS2534" s="66"/>
      <c r="AT2534" s="66"/>
      <c r="AU2534" s="66"/>
      <c r="AV2534" s="66"/>
      <c r="AW2534" s="66"/>
      <c r="AX2534" s="66"/>
      <c r="AY2534" s="66"/>
      <c r="AZ2534" s="66"/>
      <c r="BA2534" s="66"/>
      <c r="BB2534" s="66"/>
      <c r="BC2534" s="66"/>
      <c r="BD2534" s="66"/>
      <c r="BE2534" s="67"/>
      <c r="BF2534" s="67"/>
      <c r="BG2534" s="68"/>
      <c r="BI2534" s="69">
        <v>0</v>
      </c>
      <c r="BJ2534" s="70">
        <v>0</v>
      </c>
      <c r="BK2534" s="71">
        <v>0</v>
      </c>
      <c r="BL2534" s="71">
        <v>0</v>
      </c>
      <c r="BM2534" s="71">
        <v>0</v>
      </c>
      <c r="BN2534" s="72">
        <v>0</v>
      </c>
      <c r="BO2534" s="151" t="e">
        <f t="shared" si="169"/>
        <v>#DIV/0!</v>
      </c>
      <c r="BP2534" s="151" t="e">
        <f t="shared" si="170"/>
        <v>#DIV/0!</v>
      </c>
      <c r="BQ2534" s="71">
        <v>0</v>
      </c>
      <c r="BR2534" s="71">
        <v>0</v>
      </c>
      <c r="BS2534" s="71">
        <v>0</v>
      </c>
      <c r="BT2534" s="72">
        <v>0</v>
      </c>
      <c r="BU2534" s="151" t="e">
        <f t="shared" si="171"/>
        <v>#DIV/0!</v>
      </c>
      <c r="BV2534" s="151" t="e">
        <f t="shared" si="172"/>
        <v>#DIV/0!</v>
      </c>
    </row>
    <row r="2535" ht="30" customHeight="1" spans="1:74">
      <c r="A2535" s="55">
        <v>0</v>
      </c>
      <c r="B2535" s="56">
        <v>0</v>
      </c>
      <c r="C2535" s="57" t="s">
        <v>3226</v>
      </c>
      <c r="D2535" s="74"/>
      <c r="E2535" s="74"/>
      <c r="F2535" s="59" t="e">
        <f>VLOOKUP(E2535,[1]库存!$B$1:$C$65536,2,FALSE)</f>
        <v>#N/A</v>
      </c>
      <c r="G2535" s="59" t="e">
        <v>#N/A</v>
      </c>
      <c r="H2535" s="74"/>
      <c r="I2535" s="74"/>
      <c r="J2535" s="184"/>
      <c r="K2535" s="61"/>
      <c r="L2535" s="62">
        <v>0</v>
      </c>
      <c r="M2535" s="63">
        <v>0</v>
      </c>
      <c r="N2535" s="64">
        <v>0</v>
      </c>
      <c r="O2535" s="62">
        <v>0</v>
      </c>
      <c r="P2535" s="65">
        <f t="shared" si="173"/>
        <v>0</v>
      </c>
      <c r="Q2535" s="66"/>
      <c r="R2535" s="66"/>
      <c r="S2535" s="66"/>
      <c r="T2535" s="66"/>
      <c r="U2535" s="66"/>
      <c r="V2535" s="66"/>
      <c r="W2535" s="66"/>
      <c r="X2535" s="66"/>
      <c r="Y2535" s="66"/>
      <c r="Z2535" s="66"/>
      <c r="AA2535" s="66"/>
      <c r="AB2535" s="66"/>
      <c r="AC2535" s="66"/>
      <c r="AD2535" s="66"/>
      <c r="AE2535" s="66"/>
      <c r="AF2535" s="66"/>
      <c r="AG2535" s="66"/>
      <c r="AH2535" s="66"/>
      <c r="AI2535" s="66"/>
      <c r="AJ2535" s="66"/>
      <c r="AK2535" s="66"/>
      <c r="AL2535" s="66"/>
      <c r="AM2535" s="66"/>
      <c r="AN2535" s="66"/>
      <c r="AO2535" s="66"/>
      <c r="AP2535" s="66"/>
      <c r="AQ2535" s="66"/>
      <c r="AR2535" s="66"/>
      <c r="AS2535" s="66"/>
      <c r="AT2535" s="66"/>
      <c r="AU2535" s="66"/>
      <c r="AV2535" s="66"/>
      <c r="AW2535" s="66"/>
      <c r="AX2535" s="66"/>
      <c r="AY2535" s="66"/>
      <c r="AZ2535" s="66"/>
      <c r="BA2535" s="66"/>
      <c r="BB2535" s="66"/>
      <c r="BC2535" s="66"/>
      <c r="BD2535" s="66"/>
      <c r="BE2535" s="67"/>
      <c r="BF2535" s="67"/>
      <c r="BG2535" s="68"/>
      <c r="BI2535" s="69">
        <v>0</v>
      </c>
      <c r="BJ2535" s="70">
        <v>0</v>
      </c>
      <c r="BK2535" s="71">
        <v>0</v>
      </c>
      <c r="BL2535" s="71">
        <v>0</v>
      </c>
      <c r="BM2535" s="71">
        <v>0</v>
      </c>
      <c r="BN2535" s="72">
        <v>0</v>
      </c>
      <c r="BO2535" s="151" t="e">
        <f t="shared" si="169"/>
        <v>#DIV/0!</v>
      </c>
      <c r="BP2535" s="151" t="e">
        <f t="shared" si="170"/>
        <v>#DIV/0!</v>
      </c>
      <c r="BQ2535" s="71">
        <v>0</v>
      </c>
      <c r="BR2535" s="71">
        <v>0</v>
      </c>
      <c r="BS2535" s="71">
        <v>0</v>
      </c>
      <c r="BT2535" s="72">
        <v>0</v>
      </c>
      <c r="BU2535" s="151" t="e">
        <f t="shared" si="171"/>
        <v>#DIV/0!</v>
      </c>
      <c r="BV2535" s="151" t="e">
        <f t="shared" si="172"/>
        <v>#DIV/0!</v>
      </c>
    </row>
    <row r="2536" ht="30" customHeight="1" spans="1:74">
      <c r="A2536" s="55">
        <v>0</v>
      </c>
      <c r="B2536" s="56" t="s">
        <v>1237</v>
      </c>
      <c r="C2536" s="57" t="s">
        <v>3226</v>
      </c>
      <c r="D2536" s="59" t="s">
        <v>3759</v>
      </c>
      <c r="E2536" s="59"/>
      <c r="F2536" s="59" t="e">
        <f>VLOOKUP(E2536,[1]库存!$B$1:$C$65536,2,FALSE)</f>
        <v>#N/A</v>
      </c>
      <c r="G2536" s="59" t="e">
        <v>#N/A</v>
      </c>
      <c r="H2536" s="59" t="s">
        <v>3718</v>
      </c>
      <c r="I2536" s="59"/>
      <c r="J2536" s="183" t="s">
        <v>3925</v>
      </c>
      <c r="K2536" s="61"/>
      <c r="L2536" s="62">
        <v>0.7</v>
      </c>
      <c r="M2536" s="63">
        <v>1100</v>
      </c>
      <c r="N2536" s="64">
        <v>2</v>
      </c>
      <c r="O2536" s="62">
        <v>0.7</v>
      </c>
      <c r="P2536" s="65">
        <f t="shared" si="173"/>
        <v>0</v>
      </c>
      <c r="Q2536" s="66"/>
      <c r="R2536" s="66"/>
      <c r="S2536" s="66"/>
      <c r="T2536" s="66"/>
      <c r="U2536" s="66"/>
      <c r="V2536" s="66"/>
      <c r="W2536" s="66"/>
      <c r="X2536" s="66"/>
      <c r="Y2536" s="66"/>
      <c r="Z2536" s="66"/>
      <c r="AA2536" s="66"/>
      <c r="AB2536" s="66"/>
      <c r="AC2536" s="66"/>
      <c r="AD2536" s="66"/>
      <c r="AE2536" s="66"/>
      <c r="AF2536" s="66"/>
      <c r="AG2536" s="66"/>
      <c r="AH2536" s="66"/>
      <c r="AI2536" s="66"/>
      <c r="AJ2536" s="66"/>
      <c r="AK2536" s="66"/>
      <c r="AL2536" s="66"/>
      <c r="AM2536" s="66"/>
      <c r="AN2536" s="66"/>
      <c r="AO2536" s="66"/>
      <c r="AP2536" s="66"/>
      <c r="AQ2536" s="66"/>
      <c r="AR2536" s="66"/>
      <c r="AS2536" s="66"/>
      <c r="AT2536" s="66"/>
      <c r="AU2536" s="66"/>
      <c r="AV2536" s="66"/>
      <c r="AW2536" s="66"/>
      <c r="AX2536" s="66"/>
      <c r="AY2536" s="66"/>
      <c r="AZ2536" s="66"/>
      <c r="BA2536" s="66"/>
      <c r="BB2536" s="66"/>
      <c r="BC2536" s="66"/>
      <c r="BD2536" s="66"/>
      <c r="BE2536" s="67"/>
      <c r="BF2536" s="67"/>
      <c r="BG2536" s="68"/>
      <c r="BI2536" s="69">
        <v>0</v>
      </c>
      <c r="BJ2536" s="70">
        <v>0</v>
      </c>
      <c r="BK2536" s="71">
        <v>0</v>
      </c>
      <c r="BL2536" s="71">
        <v>0</v>
      </c>
      <c r="BM2536" s="71">
        <v>0</v>
      </c>
      <c r="BN2536" s="72">
        <v>0</v>
      </c>
      <c r="BO2536" s="151" t="e">
        <f t="shared" si="169"/>
        <v>#DIV/0!</v>
      </c>
      <c r="BP2536" s="151" t="e">
        <f t="shared" si="170"/>
        <v>#DIV/0!</v>
      </c>
      <c r="BQ2536" s="71">
        <v>0</v>
      </c>
      <c r="BR2536" s="71">
        <v>0</v>
      </c>
      <c r="BS2536" s="71">
        <v>0</v>
      </c>
      <c r="BT2536" s="72">
        <v>0</v>
      </c>
      <c r="BU2536" s="151" t="e">
        <f t="shared" si="171"/>
        <v>#DIV/0!</v>
      </c>
      <c r="BV2536" s="151" t="e">
        <f t="shared" si="172"/>
        <v>#DIV/0!</v>
      </c>
    </row>
    <row r="2537" ht="30" customHeight="1" spans="1:74">
      <c r="A2537" s="55">
        <v>0</v>
      </c>
      <c r="B2537" s="56">
        <v>0</v>
      </c>
      <c r="C2537" s="57" t="s">
        <v>3226</v>
      </c>
      <c r="D2537" s="74"/>
      <c r="E2537" s="74"/>
      <c r="F2537" s="59" t="e">
        <f>VLOOKUP(E2537,[1]库存!$B$1:$C$65536,2,FALSE)</f>
        <v>#N/A</v>
      </c>
      <c r="G2537" s="59" t="e">
        <v>#N/A</v>
      </c>
      <c r="H2537" s="74"/>
      <c r="I2537" s="74"/>
      <c r="J2537" s="184"/>
      <c r="K2537" s="61"/>
      <c r="L2537" s="62">
        <v>0</v>
      </c>
      <c r="M2537" s="63">
        <v>0</v>
      </c>
      <c r="N2537" s="64">
        <v>0</v>
      </c>
      <c r="O2537" s="62">
        <v>0</v>
      </c>
      <c r="P2537" s="65">
        <f t="shared" si="173"/>
        <v>0</v>
      </c>
      <c r="Q2537" s="66"/>
      <c r="R2537" s="66"/>
      <c r="S2537" s="66"/>
      <c r="T2537" s="66"/>
      <c r="U2537" s="66"/>
      <c r="V2537" s="66"/>
      <c r="W2537" s="66"/>
      <c r="X2537" s="66"/>
      <c r="Y2537" s="66"/>
      <c r="Z2537" s="66"/>
      <c r="AA2537" s="66"/>
      <c r="AB2537" s="66"/>
      <c r="AC2537" s="66"/>
      <c r="AD2537" s="66"/>
      <c r="AE2537" s="66"/>
      <c r="AF2537" s="66"/>
      <c r="AG2537" s="66"/>
      <c r="AH2537" s="66"/>
      <c r="AI2537" s="66"/>
      <c r="AJ2537" s="66"/>
      <c r="AK2537" s="66"/>
      <c r="AL2537" s="66"/>
      <c r="AM2537" s="66"/>
      <c r="AN2537" s="66"/>
      <c r="AO2537" s="66"/>
      <c r="AP2537" s="66"/>
      <c r="AQ2537" s="66"/>
      <c r="AR2537" s="66"/>
      <c r="AS2537" s="66"/>
      <c r="AT2537" s="66"/>
      <c r="AU2537" s="66"/>
      <c r="AV2537" s="66"/>
      <c r="AW2537" s="66"/>
      <c r="AX2537" s="66"/>
      <c r="AY2537" s="66"/>
      <c r="AZ2537" s="66"/>
      <c r="BA2537" s="66"/>
      <c r="BB2537" s="66"/>
      <c r="BC2537" s="66"/>
      <c r="BD2537" s="66"/>
      <c r="BE2537" s="67"/>
      <c r="BF2537" s="67"/>
      <c r="BG2537" s="68"/>
      <c r="BI2537" s="69">
        <v>0</v>
      </c>
      <c r="BJ2537" s="70">
        <v>0</v>
      </c>
      <c r="BK2537" s="71">
        <v>0</v>
      </c>
      <c r="BL2537" s="71">
        <v>0</v>
      </c>
      <c r="BM2537" s="71">
        <v>0</v>
      </c>
      <c r="BN2537" s="72">
        <v>0</v>
      </c>
      <c r="BO2537" s="151" t="e">
        <f t="shared" si="169"/>
        <v>#DIV/0!</v>
      </c>
      <c r="BP2537" s="151" t="e">
        <f t="shared" si="170"/>
        <v>#DIV/0!</v>
      </c>
      <c r="BQ2537" s="71">
        <v>0</v>
      </c>
      <c r="BR2537" s="71">
        <v>0</v>
      </c>
      <c r="BS2537" s="71">
        <v>0</v>
      </c>
      <c r="BT2537" s="72">
        <v>0</v>
      </c>
      <c r="BU2537" s="151" t="e">
        <f t="shared" si="171"/>
        <v>#DIV/0!</v>
      </c>
      <c r="BV2537" s="151" t="e">
        <f t="shared" si="172"/>
        <v>#DIV/0!</v>
      </c>
    </row>
    <row r="2538" ht="30" customHeight="1" spans="1:74">
      <c r="A2538" s="55" t="s">
        <v>41</v>
      </c>
      <c r="B2538" s="56" t="s">
        <v>1237</v>
      </c>
      <c r="C2538" s="57" t="s">
        <v>3341</v>
      </c>
      <c r="D2538" s="59" t="s">
        <v>3872</v>
      </c>
      <c r="E2538" s="59" t="s">
        <v>3719</v>
      </c>
      <c r="F2538" s="59" t="str">
        <f>VLOOKUP(E2538,[1]库存!$B$1:$C$65536,2,FALSE)</f>
        <v>GAC A06 CAB LH</v>
      </c>
      <c r="G2538" s="59" t="s">
        <v>3720</v>
      </c>
      <c r="H2538" s="59" t="s">
        <v>3721</v>
      </c>
      <c r="I2538" s="59"/>
      <c r="J2538" s="183" t="s">
        <v>3925</v>
      </c>
      <c r="K2538" s="61"/>
      <c r="L2538" s="62">
        <v>1</v>
      </c>
      <c r="M2538" s="63">
        <v>350</v>
      </c>
      <c r="N2538" s="64">
        <v>1</v>
      </c>
      <c r="O2538" s="62">
        <v>1</v>
      </c>
      <c r="P2538" s="65">
        <f t="shared" si="173"/>
        <v>0</v>
      </c>
      <c r="Q2538" s="66"/>
      <c r="R2538" s="66"/>
      <c r="S2538" s="66"/>
      <c r="T2538" s="66"/>
      <c r="U2538" s="66"/>
      <c r="V2538" s="66"/>
      <c r="W2538" s="66"/>
      <c r="X2538" s="66"/>
      <c r="Y2538" s="66"/>
      <c r="Z2538" s="66"/>
      <c r="AA2538" s="66"/>
      <c r="AB2538" s="66"/>
      <c r="AC2538" s="66"/>
      <c r="AD2538" s="66"/>
      <c r="AE2538" s="66"/>
      <c r="AF2538" s="66"/>
      <c r="AG2538" s="66"/>
      <c r="AH2538" s="66"/>
      <c r="AI2538" s="66"/>
      <c r="AJ2538" s="66"/>
      <c r="AK2538" s="66"/>
      <c r="AL2538" s="66"/>
      <c r="AM2538" s="66"/>
      <c r="AN2538" s="66"/>
      <c r="AO2538" s="66"/>
      <c r="AP2538" s="66"/>
      <c r="AQ2538" s="66"/>
      <c r="AR2538" s="66"/>
      <c r="AS2538" s="66"/>
      <c r="AT2538" s="66"/>
      <c r="AU2538" s="66"/>
      <c r="AV2538" s="66"/>
      <c r="AW2538" s="66"/>
      <c r="AX2538" s="66"/>
      <c r="AY2538" s="66"/>
      <c r="AZ2538" s="66"/>
      <c r="BA2538" s="66"/>
      <c r="BB2538" s="66"/>
      <c r="BC2538" s="66"/>
      <c r="BD2538" s="66"/>
      <c r="BE2538" s="67"/>
      <c r="BF2538" s="67"/>
      <c r="BG2538" s="68"/>
      <c r="BI2538" s="69">
        <v>0</v>
      </c>
      <c r="BJ2538" s="70">
        <v>0</v>
      </c>
      <c r="BK2538" s="71">
        <v>0</v>
      </c>
      <c r="BL2538" s="71">
        <v>0</v>
      </c>
      <c r="BM2538" s="71">
        <v>0</v>
      </c>
      <c r="BN2538" s="72">
        <v>0</v>
      </c>
      <c r="BO2538" s="151" t="e">
        <f t="shared" si="169"/>
        <v>#DIV/0!</v>
      </c>
      <c r="BP2538" s="151" t="e">
        <f t="shared" si="170"/>
        <v>#DIV/0!</v>
      </c>
      <c r="BQ2538" s="71">
        <v>0</v>
      </c>
      <c r="BR2538" s="71">
        <v>0</v>
      </c>
      <c r="BS2538" s="71">
        <v>0</v>
      </c>
      <c r="BT2538" s="72">
        <v>0</v>
      </c>
      <c r="BU2538" s="151" t="e">
        <f t="shared" si="171"/>
        <v>#DIV/0!</v>
      </c>
      <c r="BV2538" s="151" t="e">
        <f t="shared" si="172"/>
        <v>#DIV/0!</v>
      </c>
    </row>
    <row r="2539" ht="30" customHeight="1" spans="1:74">
      <c r="A2539" s="55">
        <v>0</v>
      </c>
      <c r="B2539" s="56">
        <v>0</v>
      </c>
      <c r="C2539" s="57">
        <v>0</v>
      </c>
      <c r="D2539" s="74"/>
      <c r="E2539" s="74"/>
      <c r="F2539" s="59" t="e">
        <f>VLOOKUP(E2539,[1]库存!$B$1:$C$65536,2,FALSE)</f>
        <v>#N/A</v>
      </c>
      <c r="G2539" s="59" t="e">
        <v>#N/A</v>
      </c>
      <c r="H2539" s="74"/>
      <c r="I2539" s="74"/>
      <c r="J2539" s="184"/>
      <c r="K2539" s="61"/>
      <c r="L2539" s="62">
        <v>0</v>
      </c>
      <c r="M2539" s="63">
        <v>0</v>
      </c>
      <c r="N2539" s="64">
        <v>0</v>
      </c>
      <c r="O2539" s="62">
        <v>0</v>
      </c>
      <c r="P2539" s="65">
        <f t="shared" si="173"/>
        <v>0</v>
      </c>
      <c r="Q2539" s="66"/>
      <c r="R2539" s="66"/>
      <c r="S2539" s="66"/>
      <c r="T2539" s="66"/>
      <c r="U2539" s="66"/>
      <c r="V2539" s="66"/>
      <c r="W2539" s="66"/>
      <c r="X2539" s="66"/>
      <c r="Y2539" s="66"/>
      <c r="Z2539" s="66"/>
      <c r="AA2539" s="66"/>
      <c r="AB2539" s="66"/>
      <c r="AC2539" s="66"/>
      <c r="AD2539" s="66"/>
      <c r="AE2539" s="66"/>
      <c r="AF2539" s="66"/>
      <c r="AG2539" s="66"/>
      <c r="AH2539" s="66"/>
      <c r="AI2539" s="66"/>
      <c r="AJ2539" s="66"/>
      <c r="AK2539" s="66"/>
      <c r="AL2539" s="66"/>
      <c r="AM2539" s="66"/>
      <c r="AN2539" s="66"/>
      <c r="AO2539" s="66"/>
      <c r="AP2539" s="66"/>
      <c r="AQ2539" s="66"/>
      <c r="AR2539" s="66"/>
      <c r="AS2539" s="66"/>
      <c r="AT2539" s="66"/>
      <c r="AU2539" s="66"/>
      <c r="AV2539" s="66"/>
      <c r="AW2539" s="66"/>
      <c r="AX2539" s="66"/>
      <c r="AY2539" s="66"/>
      <c r="AZ2539" s="66"/>
      <c r="BA2539" s="66"/>
      <c r="BB2539" s="66"/>
      <c r="BC2539" s="66"/>
      <c r="BD2539" s="66"/>
      <c r="BE2539" s="67"/>
      <c r="BF2539" s="67"/>
      <c r="BG2539" s="68"/>
      <c r="BI2539" s="69">
        <v>0</v>
      </c>
      <c r="BJ2539" s="70">
        <v>0</v>
      </c>
      <c r="BK2539" s="71">
        <v>0</v>
      </c>
      <c r="BL2539" s="71">
        <v>0</v>
      </c>
      <c r="BM2539" s="71">
        <v>0</v>
      </c>
      <c r="BN2539" s="72">
        <v>0</v>
      </c>
      <c r="BO2539" s="151" t="e">
        <f t="shared" si="169"/>
        <v>#DIV/0!</v>
      </c>
      <c r="BP2539" s="151" t="e">
        <f t="shared" si="170"/>
        <v>#DIV/0!</v>
      </c>
      <c r="BQ2539" s="71">
        <v>0</v>
      </c>
      <c r="BR2539" s="71">
        <v>0</v>
      </c>
      <c r="BS2539" s="71">
        <v>0</v>
      </c>
      <c r="BT2539" s="72">
        <v>0</v>
      </c>
      <c r="BU2539" s="151" t="e">
        <f t="shared" si="171"/>
        <v>#DIV/0!</v>
      </c>
      <c r="BV2539" s="151" t="e">
        <f t="shared" si="172"/>
        <v>#DIV/0!</v>
      </c>
    </row>
    <row r="2540" ht="30" customHeight="1" spans="1:74">
      <c r="A2540" s="55">
        <v>0</v>
      </c>
      <c r="B2540" s="56">
        <v>0</v>
      </c>
      <c r="C2540" s="57"/>
      <c r="E2540" s="88"/>
      <c r="F2540" s="59" t="e">
        <f>VLOOKUP(E2540,[1]库存!$B$1:$C$65536,2,FALSE)</f>
        <v>#N/A</v>
      </c>
      <c r="G2540" s="59" t="e">
        <v>#N/A</v>
      </c>
      <c r="H2540" s="89"/>
      <c r="I2540" s="88"/>
      <c r="J2540" s="90"/>
      <c r="K2540" s="61"/>
      <c r="L2540" s="62">
        <v>0</v>
      </c>
      <c r="M2540" s="63">
        <v>0</v>
      </c>
      <c r="N2540" s="64">
        <v>0</v>
      </c>
      <c r="O2540" s="62">
        <v>0</v>
      </c>
      <c r="P2540" s="65">
        <f t="shared" si="173"/>
        <v>0</v>
      </c>
      <c r="Q2540" s="66"/>
      <c r="R2540" s="66"/>
      <c r="S2540" s="66"/>
      <c r="T2540" s="66"/>
      <c r="U2540" s="66"/>
      <c r="V2540" s="66"/>
      <c r="W2540" s="66"/>
      <c r="X2540" s="66"/>
      <c r="Y2540" s="66"/>
      <c r="Z2540" s="66"/>
      <c r="AA2540" s="66"/>
      <c r="AB2540" s="66"/>
      <c r="AC2540" s="66"/>
      <c r="AD2540" s="66"/>
      <c r="AE2540" s="66"/>
      <c r="AF2540" s="66"/>
      <c r="AG2540" s="66"/>
      <c r="AH2540" s="66"/>
      <c r="AI2540" s="66"/>
      <c r="AJ2540" s="66"/>
      <c r="AK2540" s="66"/>
      <c r="AL2540" s="66"/>
      <c r="AM2540" s="66"/>
      <c r="AN2540" s="66"/>
      <c r="AO2540" s="66"/>
      <c r="AP2540" s="66"/>
      <c r="AQ2540" s="66"/>
      <c r="AR2540" s="66"/>
      <c r="AS2540" s="66"/>
      <c r="AT2540" s="66"/>
      <c r="AU2540" s="66"/>
      <c r="AV2540" s="66"/>
      <c r="AW2540" s="66"/>
      <c r="AX2540" s="66"/>
      <c r="AY2540" s="66"/>
      <c r="AZ2540" s="66"/>
      <c r="BA2540" s="66"/>
      <c r="BB2540" s="66"/>
      <c r="BC2540" s="66"/>
      <c r="BD2540" s="66"/>
      <c r="BE2540" s="67"/>
      <c r="BF2540" s="67"/>
      <c r="BG2540" s="68"/>
      <c r="BI2540" s="69">
        <v>0</v>
      </c>
      <c r="BJ2540" s="70">
        <v>0</v>
      </c>
      <c r="BK2540" s="71">
        <v>0</v>
      </c>
      <c r="BL2540" s="71">
        <v>0</v>
      </c>
      <c r="BM2540" s="71">
        <v>0</v>
      </c>
      <c r="BN2540" s="72">
        <v>0</v>
      </c>
      <c r="BO2540" s="151" t="e">
        <f t="shared" si="169"/>
        <v>#DIV/0!</v>
      </c>
      <c r="BP2540" s="151" t="e">
        <f t="shared" si="170"/>
        <v>#DIV/0!</v>
      </c>
      <c r="BQ2540" s="71">
        <v>0</v>
      </c>
      <c r="BR2540" s="71">
        <v>0</v>
      </c>
      <c r="BS2540" s="71">
        <v>0</v>
      </c>
      <c r="BT2540" s="72">
        <v>0</v>
      </c>
      <c r="BU2540" s="151" t="e">
        <f t="shared" si="171"/>
        <v>#DIV/0!</v>
      </c>
      <c r="BV2540" s="151" t="e">
        <f t="shared" si="172"/>
        <v>#DIV/0!</v>
      </c>
    </row>
    <row r="2541" ht="30" customHeight="1" spans="1:74">
      <c r="A2541" s="55">
        <v>0</v>
      </c>
      <c r="B2541" s="56" t="s">
        <v>1237</v>
      </c>
      <c r="C2541" s="57" t="s">
        <v>3341</v>
      </c>
      <c r="D2541" s="59" t="s">
        <v>3759</v>
      </c>
      <c r="E2541" s="59" t="s">
        <v>3926</v>
      </c>
      <c r="F2541" s="59" t="str">
        <f>VLOOKUP(E2541,[1]库存!$B$1:$C$65536,2,FALSE)</f>
        <v>SMCV SK81 CAB导气袋</v>
      </c>
      <c r="G2541" s="59" t="s">
        <v>3927</v>
      </c>
      <c r="H2541" s="59" t="s">
        <v>3928</v>
      </c>
      <c r="I2541" s="59"/>
      <c r="J2541" s="63"/>
      <c r="K2541" s="61"/>
      <c r="L2541" s="62">
        <v>0.7</v>
      </c>
      <c r="M2541" s="63">
        <v>1300</v>
      </c>
      <c r="N2541" s="64">
        <v>2</v>
      </c>
      <c r="O2541" s="62">
        <v>0.7</v>
      </c>
      <c r="P2541" s="65">
        <f t="shared" si="173"/>
        <v>0</v>
      </c>
      <c r="Q2541" s="66"/>
      <c r="R2541" s="66"/>
      <c r="S2541" s="66"/>
      <c r="T2541" s="66"/>
      <c r="U2541" s="66"/>
      <c r="V2541" s="66"/>
      <c r="W2541" s="66"/>
      <c r="X2541" s="66"/>
      <c r="Y2541" s="66"/>
      <c r="Z2541" s="66"/>
      <c r="AA2541" s="66"/>
      <c r="AB2541" s="66"/>
      <c r="AC2541" s="66"/>
      <c r="AD2541" s="66"/>
      <c r="AE2541" s="66"/>
      <c r="AF2541" s="66"/>
      <c r="AG2541" s="66"/>
      <c r="AH2541" s="66"/>
      <c r="AI2541" s="66"/>
      <c r="AJ2541" s="66"/>
      <c r="AK2541" s="66"/>
      <c r="AL2541" s="66"/>
      <c r="AM2541" s="66"/>
      <c r="AN2541" s="66"/>
      <c r="AO2541" s="66"/>
      <c r="AP2541" s="66"/>
      <c r="AQ2541" s="66"/>
      <c r="AR2541" s="66"/>
      <c r="AS2541" s="66"/>
      <c r="AT2541" s="66"/>
      <c r="AU2541" s="66"/>
      <c r="AV2541" s="66"/>
      <c r="AW2541" s="66"/>
      <c r="AX2541" s="66"/>
      <c r="AY2541" s="66"/>
      <c r="AZ2541" s="66"/>
      <c r="BA2541" s="66"/>
      <c r="BB2541" s="66"/>
      <c r="BC2541" s="66"/>
      <c r="BD2541" s="66"/>
      <c r="BE2541" s="67"/>
      <c r="BF2541" s="67"/>
      <c r="BG2541" s="68"/>
      <c r="BI2541" s="69">
        <v>0</v>
      </c>
      <c r="BJ2541" s="70">
        <v>0</v>
      </c>
      <c r="BK2541" s="71">
        <v>0</v>
      </c>
      <c r="BL2541" s="71">
        <v>0</v>
      </c>
      <c r="BM2541" s="71">
        <v>0</v>
      </c>
      <c r="BN2541" s="72">
        <v>0</v>
      </c>
      <c r="BO2541" s="151" t="e">
        <f t="shared" si="169"/>
        <v>#DIV/0!</v>
      </c>
      <c r="BP2541" s="151" t="e">
        <f t="shared" si="170"/>
        <v>#DIV/0!</v>
      </c>
      <c r="BQ2541" s="71">
        <v>0</v>
      </c>
      <c r="BR2541" s="71">
        <v>0</v>
      </c>
      <c r="BS2541" s="71">
        <v>0</v>
      </c>
      <c r="BT2541" s="72">
        <v>0</v>
      </c>
      <c r="BU2541" s="151" t="e">
        <f t="shared" si="171"/>
        <v>#DIV/0!</v>
      </c>
      <c r="BV2541" s="151" t="e">
        <f t="shared" si="172"/>
        <v>#DIV/0!</v>
      </c>
    </row>
    <row r="2542" ht="30" customHeight="1" spans="1:74">
      <c r="A2542" s="55">
        <v>0</v>
      </c>
      <c r="B2542" s="56">
        <v>0</v>
      </c>
      <c r="C2542" s="57">
        <v>0</v>
      </c>
      <c r="D2542" s="74"/>
      <c r="E2542" s="74"/>
      <c r="F2542" s="59" t="e">
        <f>VLOOKUP(E2542,[1]库存!$B$1:$C$65536,2,FALSE)</f>
        <v>#N/A</v>
      </c>
      <c r="G2542" s="59" t="e">
        <v>#N/A</v>
      </c>
      <c r="H2542" s="74"/>
      <c r="I2542" s="74"/>
      <c r="J2542" s="87"/>
      <c r="K2542" s="61"/>
      <c r="L2542" s="62">
        <v>0</v>
      </c>
      <c r="M2542" s="63">
        <v>0</v>
      </c>
      <c r="N2542" s="64">
        <v>0</v>
      </c>
      <c r="O2542" s="62">
        <v>0</v>
      </c>
      <c r="P2542" s="65">
        <f t="shared" si="173"/>
        <v>0</v>
      </c>
      <c r="Q2542" s="66"/>
      <c r="R2542" s="66"/>
      <c r="S2542" s="66"/>
      <c r="T2542" s="66"/>
      <c r="U2542" s="66"/>
      <c r="V2542" s="66"/>
      <c r="W2542" s="66"/>
      <c r="X2542" s="66"/>
      <c r="Y2542" s="66"/>
      <c r="Z2542" s="66"/>
      <c r="AA2542" s="66"/>
      <c r="AB2542" s="66"/>
      <c r="AC2542" s="66"/>
      <c r="AD2542" s="66"/>
      <c r="AE2542" s="66"/>
      <c r="AF2542" s="66"/>
      <c r="AG2542" s="66"/>
      <c r="AH2542" s="66"/>
      <c r="AI2542" s="66"/>
      <c r="AJ2542" s="66"/>
      <c r="AK2542" s="66"/>
      <c r="AL2542" s="66"/>
      <c r="AM2542" s="66"/>
      <c r="AN2542" s="66"/>
      <c r="AO2542" s="66"/>
      <c r="AP2542" s="66"/>
      <c r="AQ2542" s="66"/>
      <c r="AR2542" s="66"/>
      <c r="AS2542" s="66"/>
      <c r="AT2542" s="66"/>
      <c r="AU2542" s="66"/>
      <c r="AV2542" s="66"/>
      <c r="AW2542" s="66"/>
      <c r="AX2542" s="66"/>
      <c r="AY2542" s="66"/>
      <c r="AZ2542" s="66"/>
      <c r="BA2542" s="66"/>
      <c r="BB2542" s="66"/>
      <c r="BC2542" s="66"/>
      <c r="BD2542" s="66"/>
      <c r="BE2542" s="67"/>
      <c r="BF2542" s="67"/>
      <c r="BG2542" s="68"/>
      <c r="BI2542" s="69">
        <v>0</v>
      </c>
      <c r="BJ2542" s="70">
        <v>0</v>
      </c>
      <c r="BK2542" s="71">
        <v>0</v>
      </c>
      <c r="BL2542" s="71">
        <v>0</v>
      </c>
      <c r="BM2542" s="71">
        <v>0</v>
      </c>
      <c r="BN2542" s="72">
        <v>0</v>
      </c>
      <c r="BO2542" s="151" t="e">
        <f t="shared" si="169"/>
        <v>#DIV/0!</v>
      </c>
      <c r="BP2542" s="151" t="e">
        <f t="shared" si="170"/>
        <v>#DIV/0!</v>
      </c>
      <c r="BQ2542" s="71">
        <v>0</v>
      </c>
      <c r="BR2542" s="71">
        <v>0</v>
      </c>
      <c r="BS2542" s="71">
        <v>0</v>
      </c>
      <c r="BT2542" s="72">
        <v>0</v>
      </c>
      <c r="BU2542" s="151" t="e">
        <f t="shared" si="171"/>
        <v>#DIV/0!</v>
      </c>
      <c r="BV2542" s="151" t="e">
        <f t="shared" si="172"/>
        <v>#DIV/0!</v>
      </c>
    </row>
    <row r="2543" ht="30" customHeight="1" spans="1:74">
      <c r="A2543" s="55">
        <v>0</v>
      </c>
      <c r="B2543" s="56" t="s">
        <v>1237</v>
      </c>
      <c r="C2543" s="57" t="s">
        <v>3341</v>
      </c>
      <c r="D2543" s="59" t="s">
        <v>3227</v>
      </c>
      <c r="E2543" s="59" t="s">
        <v>3929</v>
      </c>
      <c r="F2543" s="59" t="str">
        <f>VLOOKUP(E2543,[1]库存!$B$1:$C$65536,2,FALSE)</f>
        <v>SK81 CAB拉带</v>
      </c>
      <c r="G2543" s="59" t="s">
        <v>3930</v>
      </c>
      <c r="H2543" s="59" t="s">
        <v>3931</v>
      </c>
      <c r="I2543" s="59"/>
      <c r="J2543" s="63"/>
      <c r="K2543" s="61"/>
      <c r="L2543" s="62">
        <v>0</v>
      </c>
      <c r="M2543" s="63">
        <v>1200</v>
      </c>
      <c r="N2543" s="64">
        <v>1.5</v>
      </c>
      <c r="O2543" s="62">
        <v>0</v>
      </c>
      <c r="P2543" s="65">
        <f t="shared" si="173"/>
        <v>0</v>
      </c>
      <c r="Q2543" s="66"/>
      <c r="R2543" s="66"/>
      <c r="S2543" s="66"/>
      <c r="T2543" s="66"/>
      <c r="U2543" s="66"/>
      <c r="V2543" s="66"/>
      <c r="W2543" s="66"/>
      <c r="X2543" s="66"/>
      <c r="Y2543" s="66"/>
      <c r="Z2543" s="66"/>
      <c r="AA2543" s="66"/>
      <c r="AB2543" s="66"/>
      <c r="AC2543" s="66"/>
      <c r="AD2543" s="66"/>
      <c r="AE2543" s="66"/>
      <c r="AF2543" s="66"/>
      <c r="AG2543" s="66"/>
      <c r="AH2543" s="66"/>
      <c r="AI2543" s="66"/>
      <c r="AJ2543" s="66"/>
      <c r="AK2543" s="66"/>
      <c r="AL2543" s="66"/>
      <c r="AM2543" s="66"/>
      <c r="AN2543" s="66"/>
      <c r="AO2543" s="66"/>
      <c r="AP2543" s="66"/>
      <c r="AQ2543" s="66"/>
      <c r="AR2543" s="66"/>
      <c r="AS2543" s="66"/>
      <c r="AT2543" s="66"/>
      <c r="AU2543" s="66"/>
      <c r="AV2543" s="66"/>
      <c r="AW2543" s="66"/>
      <c r="AX2543" s="66"/>
      <c r="AY2543" s="66"/>
      <c r="AZ2543" s="66"/>
      <c r="BA2543" s="66"/>
      <c r="BB2543" s="66"/>
      <c r="BC2543" s="66"/>
      <c r="BD2543" s="66"/>
      <c r="BE2543" s="67"/>
      <c r="BF2543" s="67"/>
      <c r="BG2543" s="68"/>
      <c r="BI2543" s="69">
        <v>0</v>
      </c>
      <c r="BJ2543" s="70">
        <v>0</v>
      </c>
      <c r="BK2543" s="71">
        <v>0</v>
      </c>
      <c r="BL2543" s="71">
        <v>0</v>
      </c>
      <c r="BM2543" s="71">
        <v>0</v>
      </c>
      <c r="BN2543" s="72">
        <v>0</v>
      </c>
      <c r="BO2543" s="151" t="e">
        <f t="shared" si="169"/>
        <v>#DIV/0!</v>
      </c>
      <c r="BP2543" s="151" t="e">
        <f t="shared" si="170"/>
        <v>#DIV/0!</v>
      </c>
      <c r="BQ2543" s="71">
        <v>0</v>
      </c>
      <c r="BR2543" s="71">
        <v>0</v>
      </c>
      <c r="BS2543" s="71">
        <v>0</v>
      </c>
      <c r="BT2543" s="72">
        <v>0</v>
      </c>
      <c r="BU2543" s="151" t="e">
        <f t="shared" si="171"/>
        <v>#DIV/0!</v>
      </c>
      <c r="BV2543" s="151" t="e">
        <f t="shared" si="172"/>
        <v>#DIV/0!</v>
      </c>
    </row>
    <row r="2544" ht="30" customHeight="1" spans="1:74">
      <c r="A2544" s="55">
        <v>0</v>
      </c>
      <c r="B2544" s="56">
        <v>0</v>
      </c>
      <c r="C2544" s="57">
        <v>0</v>
      </c>
      <c r="D2544" s="74"/>
      <c r="E2544" s="74"/>
      <c r="F2544" s="59" t="e">
        <f>VLOOKUP(E2544,[1]库存!$B$1:$C$65536,2,FALSE)</f>
        <v>#N/A</v>
      </c>
      <c r="G2544" s="59" t="e">
        <v>#N/A</v>
      </c>
      <c r="H2544" s="74"/>
      <c r="I2544" s="74"/>
      <c r="J2544" s="87"/>
      <c r="K2544" s="61"/>
      <c r="L2544" s="62">
        <v>0</v>
      </c>
      <c r="M2544" s="63">
        <v>0</v>
      </c>
      <c r="N2544" s="64">
        <v>0</v>
      </c>
      <c r="O2544" s="62">
        <v>0</v>
      </c>
      <c r="P2544" s="65">
        <f t="shared" si="173"/>
        <v>0</v>
      </c>
      <c r="Q2544" s="66"/>
      <c r="R2544" s="66"/>
      <c r="S2544" s="66"/>
      <c r="T2544" s="66"/>
      <c r="U2544" s="66"/>
      <c r="V2544" s="66"/>
      <c r="W2544" s="66"/>
      <c r="X2544" s="66"/>
      <c r="Y2544" s="66"/>
      <c r="Z2544" s="66"/>
      <c r="AA2544" s="66"/>
      <c r="AB2544" s="66"/>
      <c r="AC2544" s="66"/>
      <c r="AD2544" s="66"/>
      <c r="AE2544" s="66"/>
      <c r="AF2544" s="66"/>
      <c r="AG2544" s="66"/>
      <c r="AH2544" s="66"/>
      <c r="AI2544" s="66"/>
      <c r="AJ2544" s="66"/>
      <c r="AK2544" s="66"/>
      <c r="AL2544" s="66"/>
      <c r="AM2544" s="66"/>
      <c r="AN2544" s="66"/>
      <c r="AO2544" s="66"/>
      <c r="AP2544" s="66"/>
      <c r="AQ2544" s="66"/>
      <c r="AR2544" s="66"/>
      <c r="AS2544" s="66"/>
      <c r="AT2544" s="66"/>
      <c r="AU2544" s="66"/>
      <c r="AV2544" s="66"/>
      <c r="AW2544" s="66"/>
      <c r="AX2544" s="66"/>
      <c r="AY2544" s="66"/>
      <c r="AZ2544" s="66"/>
      <c r="BA2544" s="66"/>
      <c r="BB2544" s="66"/>
      <c r="BC2544" s="66"/>
      <c r="BD2544" s="66"/>
      <c r="BE2544" s="67"/>
      <c r="BF2544" s="67"/>
      <c r="BG2544" s="68"/>
      <c r="BI2544" s="69">
        <v>0</v>
      </c>
      <c r="BJ2544" s="70">
        <v>0</v>
      </c>
      <c r="BK2544" s="71">
        <v>0</v>
      </c>
      <c r="BL2544" s="71">
        <v>0</v>
      </c>
      <c r="BM2544" s="71">
        <v>0</v>
      </c>
      <c r="BN2544" s="72">
        <v>0</v>
      </c>
      <c r="BO2544" s="151" t="e">
        <f t="shared" si="169"/>
        <v>#DIV/0!</v>
      </c>
      <c r="BP2544" s="151" t="e">
        <f t="shared" si="170"/>
        <v>#DIV/0!</v>
      </c>
      <c r="BQ2544" s="71">
        <v>0</v>
      </c>
      <c r="BR2544" s="71">
        <v>0</v>
      </c>
      <c r="BS2544" s="71">
        <v>0</v>
      </c>
      <c r="BT2544" s="72">
        <v>0</v>
      </c>
      <c r="BU2544" s="151" t="e">
        <f t="shared" si="171"/>
        <v>#DIV/0!</v>
      </c>
      <c r="BV2544" s="151" t="e">
        <f t="shared" si="172"/>
        <v>#DIV/0!</v>
      </c>
    </row>
    <row r="2545" ht="30" customHeight="1" spans="1:74">
      <c r="A2545" s="55" t="s">
        <v>96</v>
      </c>
      <c r="B2545" s="56" t="s">
        <v>1237</v>
      </c>
      <c r="C2545" s="57" t="s">
        <v>3341</v>
      </c>
      <c r="D2545" s="59" t="s">
        <v>3932</v>
      </c>
      <c r="E2545" s="59" t="s">
        <v>3933</v>
      </c>
      <c r="F2545" s="59" t="str">
        <f>VLOOKUP(E2545,[1]库存!$B$1:$C$65536,2,FALSE)</f>
        <v>SK81 CAB LH</v>
      </c>
      <c r="G2545" s="59" t="s">
        <v>3934</v>
      </c>
      <c r="H2545" s="59" t="s">
        <v>3935</v>
      </c>
      <c r="I2545" s="59" t="s">
        <v>3936</v>
      </c>
      <c r="J2545" s="63"/>
      <c r="K2545" s="61"/>
      <c r="L2545" s="62">
        <v>1</v>
      </c>
      <c r="M2545" s="63">
        <v>350</v>
      </c>
      <c r="N2545" s="64">
        <v>4</v>
      </c>
      <c r="O2545" s="62">
        <v>1</v>
      </c>
      <c r="P2545" s="65">
        <f t="shared" si="173"/>
        <v>0</v>
      </c>
      <c r="Q2545" s="103"/>
      <c r="R2545" s="66"/>
      <c r="S2545" s="103"/>
      <c r="T2545" s="66"/>
      <c r="U2545" s="103"/>
      <c r="V2545" s="66"/>
      <c r="W2545" s="103"/>
      <c r="X2545" s="66"/>
      <c r="Y2545" s="103"/>
      <c r="Z2545" s="66"/>
      <c r="AA2545" s="103"/>
      <c r="AB2545" s="66"/>
      <c r="AC2545" s="103"/>
      <c r="AD2545" s="66"/>
      <c r="AE2545" s="103"/>
      <c r="AF2545" s="66"/>
      <c r="AG2545" s="103"/>
      <c r="AH2545" s="66"/>
      <c r="AI2545" s="103"/>
      <c r="AJ2545" s="66"/>
      <c r="AK2545" s="103"/>
      <c r="AL2545" s="66"/>
      <c r="AM2545" s="103"/>
      <c r="AN2545" s="66"/>
      <c r="AO2545" s="103"/>
      <c r="AP2545" s="66"/>
      <c r="AQ2545" s="103"/>
      <c r="AR2545" s="66"/>
      <c r="AS2545" s="103"/>
      <c r="AT2545" s="66"/>
      <c r="AU2545" s="103"/>
      <c r="AV2545" s="66"/>
      <c r="AW2545" s="103"/>
      <c r="AX2545" s="66"/>
      <c r="AY2545" s="103"/>
      <c r="AZ2545" s="66"/>
      <c r="BA2545" s="103"/>
      <c r="BB2545" s="66"/>
      <c r="BC2545" s="103"/>
      <c r="BD2545" s="66"/>
      <c r="BE2545" s="105"/>
      <c r="BF2545" s="67"/>
      <c r="BG2545" s="68"/>
      <c r="BI2545" s="69">
        <v>0</v>
      </c>
      <c r="BJ2545" s="70">
        <v>0</v>
      </c>
      <c r="BK2545" s="71">
        <v>0</v>
      </c>
      <c r="BL2545" s="71">
        <v>0</v>
      </c>
      <c r="BM2545" s="71">
        <v>0</v>
      </c>
      <c r="BN2545" s="72">
        <v>0</v>
      </c>
      <c r="BO2545" s="151" t="e">
        <f t="shared" si="169"/>
        <v>#DIV/0!</v>
      </c>
      <c r="BP2545" s="151" t="e">
        <f t="shared" si="170"/>
        <v>#DIV/0!</v>
      </c>
      <c r="BQ2545" s="71">
        <v>0</v>
      </c>
      <c r="BR2545" s="71">
        <v>0</v>
      </c>
      <c r="BS2545" s="71">
        <v>0</v>
      </c>
      <c r="BT2545" s="72">
        <v>0</v>
      </c>
      <c r="BU2545" s="151" t="e">
        <f t="shared" si="171"/>
        <v>#DIV/0!</v>
      </c>
      <c r="BV2545" s="151" t="e">
        <f t="shared" si="172"/>
        <v>#DIV/0!</v>
      </c>
    </row>
    <row r="2546" ht="30" customHeight="1" spans="1:74">
      <c r="A2546" s="55">
        <v>0</v>
      </c>
      <c r="B2546" s="56">
        <v>0</v>
      </c>
      <c r="C2546" s="57">
        <v>0</v>
      </c>
      <c r="D2546" s="74"/>
      <c r="E2546" s="74"/>
      <c r="F2546" s="59" t="e">
        <f>VLOOKUP(E2546,[1]库存!$B$1:$C$65536,2,FALSE)</f>
        <v>#N/A</v>
      </c>
      <c r="G2546" s="59" t="e">
        <v>#N/A</v>
      </c>
      <c r="H2546" s="74"/>
      <c r="I2546" s="74"/>
      <c r="J2546" s="87"/>
      <c r="K2546" s="61"/>
      <c r="L2546" s="62">
        <v>0</v>
      </c>
      <c r="M2546" s="63">
        <v>0</v>
      </c>
      <c r="N2546" s="64">
        <v>0</v>
      </c>
      <c r="O2546" s="62">
        <v>0</v>
      </c>
      <c r="P2546" s="65">
        <f t="shared" si="173"/>
        <v>0</v>
      </c>
      <c r="Q2546" s="66"/>
      <c r="R2546" s="66"/>
      <c r="S2546" s="66"/>
      <c r="T2546" s="66"/>
      <c r="U2546" s="66"/>
      <c r="V2546" s="66"/>
      <c r="W2546" s="66"/>
      <c r="X2546" s="66"/>
      <c r="Y2546" s="66"/>
      <c r="Z2546" s="66"/>
      <c r="AA2546" s="66"/>
      <c r="AB2546" s="66"/>
      <c r="AC2546" s="66"/>
      <c r="AD2546" s="66"/>
      <c r="AE2546" s="66"/>
      <c r="AF2546" s="66"/>
      <c r="AG2546" s="66"/>
      <c r="AH2546" s="66"/>
      <c r="AI2546" s="66"/>
      <c r="AJ2546" s="66"/>
      <c r="AK2546" s="66"/>
      <c r="AL2546" s="66"/>
      <c r="AM2546" s="66"/>
      <c r="AN2546" s="66"/>
      <c r="AO2546" s="66"/>
      <c r="AP2546" s="66"/>
      <c r="AQ2546" s="66"/>
      <c r="AR2546" s="66"/>
      <c r="AS2546" s="66"/>
      <c r="AT2546" s="66"/>
      <c r="AU2546" s="66"/>
      <c r="AV2546" s="66"/>
      <c r="AW2546" s="66"/>
      <c r="AX2546" s="66"/>
      <c r="AY2546" s="66"/>
      <c r="AZ2546" s="66"/>
      <c r="BA2546" s="66"/>
      <c r="BB2546" s="66"/>
      <c r="BC2546" s="66"/>
      <c r="BD2546" s="66"/>
      <c r="BE2546" s="67"/>
      <c r="BF2546" s="67"/>
      <c r="BG2546" s="68"/>
      <c r="BI2546" s="69">
        <v>0</v>
      </c>
      <c r="BJ2546" s="70">
        <v>0</v>
      </c>
      <c r="BK2546" s="71">
        <v>0</v>
      </c>
      <c r="BL2546" s="71">
        <v>0</v>
      </c>
      <c r="BM2546" s="71">
        <v>0</v>
      </c>
      <c r="BN2546" s="72">
        <v>0</v>
      </c>
      <c r="BO2546" s="151" t="e">
        <f t="shared" si="169"/>
        <v>#DIV/0!</v>
      </c>
      <c r="BP2546" s="151" t="e">
        <f t="shared" si="170"/>
        <v>#DIV/0!</v>
      </c>
      <c r="BQ2546" s="71">
        <v>0</v>
      </c>
      <c r="BR2546" s="71">
        <v>0</v>
      </c>
      <c r="BS2546" s="71">
        <v>0</v>
      </c>
      <c r="BT2546" s="72">
        <v>0</v>
      </c>
      <c r="BU2546" s="151" t="e">
        <f t="shared" si="171"/>
        <v>#DIV/0!</v>
      </c>
      <c r="BV2546" s="151" t="e">
        <f t="shared" si="172"/>
        <v>#DIV/0!</v>
      </c>
    </row>
    <row r="2547" ht="30" customHeight="1" spans="1:74">
      <c r="A2547" s="55" t="s">
        <v>96</v>
      </c>
      <c r="B2547" s="56" t="s">
        <v>1237</v>
      </c>
      <c r="C2547" s="57" t="s">
        <v>3341</v>
      </c>
      <c r="D2547" s="59" t="s">
        <v>3932</v>
      </c>
      <c r="E2547" s="59" t="s">
        <v>3937</v>
      </c>
      <c r="F2547" s="59" t="str">
        <f>VLOOKUP(E2547,[1]库存!$B$1:$C$65536,2,FALSE)</f>
        <v>SK81 CAB RH</v>
      </c>
      <c r="G2547" s="59" t="s">
        <v>3938</v>
      </c>
      <c r="H2547" s="59" t="s">
        <v>3939</v>
      </c>
      <c r="I2547" s="59" t="s">
        <v>3936</v>
      </c>
      <c r="J2547" s="63"/>
      <c r="K2547" s="61"/>
      <c r="L2547" s="62">
        <v>1</v>
      </c>
      <c r="M2547" s="63">
        <v>350</v>
      </c>
      <c r="N2547" s="64">
        <v>4</v>
      </c>
      <c r="O2547" s="62">
        <v>1</v>
      </c>
      <c r="P2547" s="65">
        <f t="shared" si="173"/>
        <v>0</v>
      </c>
      <c r="Q2547" s="103"/>
      <c r="R2547" s="66"/>
      <c r="S2547" s="103"/>
      <c r="T2547" s="66"/>
      <c r="U2547" s="103"/>
      <c r="V2547" s="66"/>
      <c r="W2547" s="103"/>
      <c r="X2547" s="66"/>
      <c r="Y2547" s="103"/>
      <c r="Z2547" s="66"/>
      <c r="AA2547" s="103"/>
      <c r="AB2547" s="66"/>
      <c r="AC2547" s="103"/>
      <c r="AD2547" s="66"/>
      <c r="AE2547" s="103"/>
      <c r="AF2547" s="66"/>
      <c r="AG2547" s="103"/>
      <c r="AH2547" s="66"/>
      <c r="AI2547" s="103"/>
      <c r="AJ2547" s="66"/>
      <c r="AK2547" s="103"/>
      <c r="AL2547" s="66"/>
      <c r="AM2547" s="103"/>
      <c r="AN2547" s="66"/>
      <c r="AO2547" s="103"/>
      <c r="AP2547" s="66"/>
      <c r="AQ2547" s="103"/>
      <c r="AR2547" s="66"/>
      <c r="AS2547" s="103"/>
      <c r="AT2547" s="66"/>
      <c r="AU2547" s="103"/>
      <c r="AV2547" s="66"/>
      <c r="AW2547" s="103"/>
      <c r="AX2547" s="66"/>
      <c r="AY2547" s="103"/>
      <c r="AZ2547" s="66"/>
      <c r="BA2547" s="103"/>
      <c r="BB2547" s="66"/>
      <c r="BC2547" s="103"/>
      <c r="BD2547" s="66"/>
      <c r="BE2547" s="105"/>
      <c r="BF2547" s="67"/>
      <c r="BG2547" s="68"/>
      <c r="BI2547" s="69">
        <v>0</v>
      </c>
      <c r="BJ2547" s="70">
        <v>0</v>
      </c>
      <c r="BK2547" s="71">
        <v>0</v>
      </c>
      <c r="BL2547" s="71">
        <v>0</v>
      </c>
      <c r="BM2547" s="71">
        <v>0</v>
      </c>
      <c r="BN2547" s="72">
        <v>0</v>
      </c>
      <c r="BO2547" s="151" t="e">
        <f t="shared" si="169"/>
        <v>#DIV/0!</v>
      </c>
      <c r="BP2547" s="151" t="e">
        <f t="shared" si="170"/>
        <v>#DIV/0!</v>
      </c>
      <c r="BQ2547" s="71">
        <v>0</v>
      </c>
      <c r="BR2547" s="71">
        <v>0</v>
      </c>
      <c r="BS2547" s="71">
        <v>0</v>
      </c>
      <c r="BT2547" s="72">
        <v>0</v>
      </c>
      <c r="BU2547" s="151" t="e">
        <f t="shared" si="171"/>
        <v>#DIV/0!</v>
      </c>
      <c r="BV2547" s="151" t="e">
        <f t="shared" si="172"/>
        <v>#DIV/0!</v>
      </c>
    </row>
    <row r="2548" ht="30" customHeight="1" spans="1:74">
      <c r="A2548" s="55">
        <v>0</v>
      </c>
      <c r="B2548" s="56">
        <v>0</v>
      </c>
      <c r="C2548" s="57">
        <v>0</v>
      </c>
      <c r="D2548" s="74"/>
      <c r="E2548" s="74"/>
      <c r="F2548" s="59" t="e">
        <f>VLOOKUP(E2548,[1]库存!$B$1:$C$65536,2,FALSE)</f>
        <v>#N/A</v>
      </c>
      <c r="G2548" s="59" t="e">
        <v>#N/A</v>
      </c>
      <c r="H2548" s="74"/>
      <c r="I2548" s="74"/>
      <c r="J2548" s="87"/>
      <c r="K2548" s="61"/>
      <c r="L2548" s="62">
        <v>0</v>
      </c>
      <c r="M2548" s="63">
        <v>0</v>
      </c>
      <c r="N2548" s="64">
        <v>0</v>
      </c>
      <c r="O2548" s="62">
        <v>0</v>
      </c>
      <c r="P2548" s="65">
        <f t="shared" si="173"/>
        <v>0</v>
      </c>
      <c r="Q2548" s="66"/>
      <c r="R2548" s="66"/>
      <c r="S2548" s="66"/>
      <c r="T2548" s="66"/>
      <c r="U2548" s="66"/>
      <c r="V2548" s="66"/>
      <c r="W2548" s="66"/>
      <c r="X2548" s="66"/>
      <c r="Y2548" s="66"/>
      <c r="Z2548" s="66"/>
      <c r="AA2548" s="66"/>
      <c r="AB2548" s="66"/>
      <c r="AC2548" s="66"/>
      <c r="AD2548" s="66"/>
      <c r="AE2548" s="66"/>
      <c r="AF2548" s="66"/>
      <c r="AG2548" s="66"/>
      <c r="AH2548" s="66"/>
      <c r="AI2548" s="66"/>
      <c r="AJ2548" s="66"/>
      <c r="AK2548" s="66"/>
      <c r="AL2548" s="66"/>
      <c r="AM2548" s="66"/>
      <c r="AN2548" s="66"/>
      <c r="AO2548" s="66"/>
      <c r="AP2548" s="66"/>
      <c r="AQ2548" s="66"/>
      <c r="AR2548" s="66"/>
      <c r="AS2548" s="66"/>
      <c r="AT2548" s="66"/>
      <c r="AU2548" s="66"/>
      <c r="AV2548" s="66"/>
      <c r="AW2548" s="66"/>
      <c r="AX2548" s="66"/>
      <c r="AY2548" s="66"/>
      <c r="AZ2548" s="66"/>
      <c r="BA2548" s="66"/>
      <c r="BB2548" s="66"/>
      <c r="BC2548" s="66"/>
      <c r="BD2548" s="66"/>
      <c r="BE2548" s="67"/>
      <c r="BF2548" s="67"/>
      <c r="BG2548" s="68"/>
      <c r="BI2548" s="69">
        <v>0</v>
      </c>
      <c r="BJ2548" s="70">
        <v>0</v>
      </c>
      <c r="BK2548" s="71">
        <v>0</v>
      </c>
      <c r="BL2548" s="71">
        <v>0</v>
      </c>
      <c r="BM2548" s="71">
        <v>0</v>
      </c>
      <c r="BN2548" s="72">
        <v>0</v>
      </c>
      <c r="BO2548" s="151" t="e">
        <f t="shared" si="169"/>
        <v>#DIV/0!</v>
      </c>
      <c r="BP2548" s="151" t="e">
        <f t="shared" si="170"/>
        <v>#DIV/0!</v>
      </c>
      <c r="BQ2548" s="71">
        <v>0</v>
      </c>
      <c r="BR2548" s="71">
        <v>0</v>
      </c>
      <c r="BS2548" s="71">
        <v>0</v>
      </c>
      <c r="BT2548" s="72">
        <v>0</v>
      </c>
      <c r="BU2548" s="151" t="e">
        <f t="shared" si="171"/>
        <v>#DIV/0!</v>
      </c>
      <c r="BV2548" s="151" t="e">
        <f t="shared" si="172"/>
        <v>#DIV/0!</v>
      </c>
    </row>
    <row r="2549" ht="30" customHeight="1" spans="1:74">
      <c r="A2549" s="55">
        <v>0</v>
      </c>
      <c r="B2549" s="56" t="s">
        <v>1237</v>
      </c>
      <c r="C2549" s="57" t="s">
        <v>3226</v>
      </c>
      <c r="D2549" s="59" t="s">
        <v>3759</v>
      </c>
      <c r="E2549" s="59" t="s">
        <v>3940</v>
      </c>
      <c r="F2549" s="59" t="str">
        <f>VLOOKUP(E2549,[1]库存!$B$1:$C$65536,2,FALSE)</f>
        <v>EP22 CAB导气袋</v>
      </c>
      <c r="G2549" s="59" t="s">
        <v>3941</v>
      </c>
      <c r="H2549" s="59" t="s">
        <v>3942</v>
      </c>
      <c r="I2549" s="59"/>
      <c r="J2549" s="63"/>
      <c r="K2549" s="61"/>
      <c r="L2549" s="62">
        <v>0.7</v>
      </c>
      <c r="M2549" s="63">
        <v>1000</v>
      </c>
      <c r="N2549" s="64">
        <v>2</v>
      </c>
      <c r="O2549" s="62">
        <v>0.7</v>
      </c>
      <c r="P2549" s="65">
        <f t="shared" si="173"/>
        <v>0</v>
      </c>
      <c r="Q2549" s="66"/>
      <c r="R2549" s="66"/>
      <c r="S2549" s="66"/>
      <c r="T2549" s="66"/>
      <c r="U2549" s="66"/>
      <c r="V2549" s="66"/>
      <c r="W2549" s="66"/>
      <c r="X2549" s="66"/>
      <c r="Y2549" s="66"/>
      <c r="Z2549" s="66"/>
      <c r="AA2549" s="66"/>
      <c r="AB2549" s="66"/>
      <c r="AC2549" s="66"/>
      <c r="AD2549" s="66"/>
      <c r="AE2549" s="66"/>
      <c r="AF2549" s="66"/>
      <c r="AG2549" s="66"/>
      <c r="AH2549" s="66"/>
      <c r="AI2549" s="66"/>
      <c r="AJ2549" s="66"/>
      <c r="AK2549" s="66"/>
      <c r="AL2549" s="66"/>
      <c r="AM2549" s="66"/>
      <c r="AN2549" s="66"/>
      <c r="AO2549" s="66"/>
      <c r="AP2549" s="66"/>
      <c r="AQ2549" s="66"/>
      <c r="AR2549" s="66"/>
      <c r="AS2549" s="66"/>
      <c r="AT2549" s="66"/>
      <c r="AU2549" s="66"/>
      <c r="AV2549" s="66"/>
      <c r="AW2549" s="66"/>
      <c r="AX2549" s="66"/>
      <c r="AY2549" s="66"/>
      <c r="AZ2549" s="66"/>
      <c r="BA2549" s="66"/>
      <c r="BB2549" s="66"/>
      <c r="BC2549" s="66"/>
      <c r="BD2549" s="66"/>
      <c r="BE2549" s="67"/>
      <c r="BF2549" s="67"/>
      <c r="BG2549" s="68"/>
      <c r="BI2549" s="69">
        <v>0</v>
      </c>
      <c r="BJ2549" s="70">
        <v>0</v>
      </c>
      <c r="BK2549" s="71">
        <v>0</v>
      </c>
      <c r="BL2549" s="71">
        <v>0</v>
      </c>
      <c r="BM2549" s="71">
        <v>0</v>
      </c>
      <c r="BN2549" s="72">
        <v>0</v>
      </c>
      <c r="BO2549" s="151" t="e">
        <f t="shared" si="169"/>
        <v>#DIV/0!</v>
      </c>
      <c r="BP2549" s="151" t="e">
        <f t="shared" si="170"/>
        <v>#DIV/0!</v>
      </c>
      <c r="BQ2549" s="71">
        <v>0</v>
      </c>
      <c r="BR2549" s="71">
        <v>0</v>
      </c>
      <c r="BS2549" s="71">
        <v>0</v>
      </c>
      <c r="BT2549" s="72">
        <v>0</v>
      </c>
      <c r="BU2549" s="151" t="e">
        <f t="shared" si="171"/>
        <v>#DIV/0!</v>
      </c>
      <c r="BV2549" s="151" t="e">
        <f t="shared" si="172"/>
        <v>#DIV/0!</v>
      </c>
    </row>
    <row r="2550" ht="30" customHeight="1" spans="1:74">
      <c r="A2550" s="55">
        <v>0</v>
      </c>
      <c r="B2550" s="56">
        <v>0</v>
      </c>
      <c r="C2550" s="57" t="s">
        <v>3226</v>
      </c>
      <c r="D2550" s="74"/>
      <c r="E2550" s="74"/>
      <c r="F2550" s="59" t="e">
        <f>VLOOKUP(E2550,[1]库存!$B$1:$C$65536,2,FALSE)</f>
        <v>#N/A</v>
      </c>
      <c r="G2550" s="59" t="e">
        <v>#N/A</v>
      </c>
      <c r="H2550" s="74"/>
      <c r="I2550" s="74"/>
      <c r="J2550" s="87"/>
      <c r="K2550" s="61"/>
      <c r="L2550" s="62">
        <v>0</v>
      </c>
      <c r="M2550" s="63">
        <v>0</v>
      </c>
      <c r="N2550" s="64">
        <v>0</v>
      </c>
      <c r="O2550" s="62">
        <v>0</v>
      </c>
      <c r="P2550" s="65">
        <f t="shared" si="173"/>
        <v>0</v>
      </c>
      <c r="Q2550" s="66"/>
      <c r="R2550" s="66"/>
      <c r="S2550" s="66"/>
      <c r="T2550" s="66"/>
      <c r="U2550" s="66"/>
      <c r="V2550" s="66"/>
      <c r="W2550" s="66"/>
      <c r="X2550" s="66"/>
      <c r="Y2550" s="66"/>
      <c r="Z2550" s="66"/>
      <c r="AA2550" s="66"/>
      <c r="AB2550" s="66"/>
      <c r="AC2550" s="66"/>
      <c r="AD2550" s="66"/>
      <c r="AE2550" s="66"/>
      <c r="AF2550" s="66"/>
      <c r="AG2550" s="66"/>
      <c r="AH2550" s="66"/>
      <c r="AI2550" s="66"/>
      <c r="AJ2550" s="66"/>
      <c r="AK2550" s="66"/>
      <c r="AL2550" s="66"/>
      <c r="AM2550" s="66"/>
      <c r="AN2550" s="66"/>
      <c r="AO2550" s="66"/>
      <c r="AP2550" s="66"/>
      <c r="AQ2550" s="66"/>
      <c r="AR2550" s="66"/>
      <c r="AS2550" s="66"/>
      <c r="AT2550" s="66"/>
      <c r="AU2550" s="66"/>
      <c r="AV2550" s="66"/>
      <c r="AW2550" s="66"/>
      <c r="AX2550" s="66"/>
      <c r="AY2550" s="66"/>
      <c r="AZ2550" s="66"/>
      <c r="BA2550" s="66"/>
      <c r="BB2550" s="66"/>
      <c r="BC2550" s="66"/>
      <c r="BD2550" s="66"/>
      <c r="BE2550" s="67"/>
      <c r="BF2550" s="67"/>
      <c r="BG2550" s="68"/>
      <c r="BI2550" s="69">
        <v>0</v>
      </c>
      <c r="BJ2550" s="70">
        <v>0</v>
      </c>
      <c r="BK2550" s="71">
        <v>0</v>
      </c>
      <c r="BL2550" s="71">
        <v>0</v>
      </c>
      <c r="BM2550" s="71">
        <v>0</v>
      </c>
      <c r="BN2550" s="72">
        <v>0</v>
      </c>
      <c r="BO2550" s="151" t="e">
        <f t="shared" si="169"/>
        <v>#DIV/0!</v>
      </c>
      <c r="BP2550" s="151" t="e">
        <f t="shared" si="170"/>
        <v>#DIV/0!</v>
      </c>
      <c r="BQ2550" s="71">
        <v>0</v>
      </c>
      <c r="BR2550" s="71">
        <v>0</v>
      </c>
      <c r="BS2550" s="71">
        <v>0</v>
      </c>
      <c r="BT2550" s="72">
        <v>0</v>
      </c>
      <c r="BU2550" s="151" t="e">
        <f t="shared" si="171"/>
        <v>#DIV/0!</v>
      </c>
      <c r="BV2550" s="151" t="e">
        <f t="shared" si="172"/>
        <v>#DIV/0!</v>
      </c>
    </row>
    <row r="2551" ht="30" customHeight="1" spans="1:74">
      <c r="A2551" s="55">
        <v>0</v>
      </c>
      <c r="B2551" s="56" t="s">
        <v>1237</v>
      </c>
      <c r="C2551" s="57" t="s">
        <v>3226</v>
      </c>
      <c r="D2551" s="59" t="s">
        <v>3227</v>
      </c>
      <c r="E2551" s="59" t="s">
        <v>3943</v>
      </c>
      <c r="F2551" s="59" t="str">
        <f>VLOOKUP(E2551,[1]库存!$B$1:$C$65536,2,FALSE)</f>
        <v>EP22 CAB拉带</v>
      </c>
      <c r="G2551" s="59" t="s">
        <v>3944</v>
      </c>
      <c r="H2551" s="59" t="s">
        <v>3945</v>
      </c>
      <c r="I2551" s="113" t="s">
        <v>3946</v>
      </c>
      <c r="J2551" s="117"/>
      <c r="K2551" s="61"/>
      <c r="L2551" s="62">
        <v>0</v>
      </c>
      <c r="M2551" s="63">
        <v>1200</v>
      </c>
      <c r="N2551" s="64">
        <v>1.5</v>
      </c>
      <c r="O2551" s="62">
        <v>0</v>
      </c>
      <c r="P2551" s="65">
        <f t="shared" si="173"/>
        <v>0</v>
      </c>
      <c r="Q2551" s="66"/>
      <c r="R2551" s="66"/>
      <c r="S2551" s="66"/>
      <c r="T2551" s="66"/>
      <c r="U2551" s="66"/>
      <c r="V2551" s="66"/>
      <c r="W2551" s="66"/>
      <c r="X2551" s="66"/>
      <c r="Y2551" s="66"/>
      <c r="Z2551" s="66"/>
      <c r="AA2551" s="66"/>
      <c r="AB2551" s="66"/>
      <c r="AC2551" s="66"/>
      <c r="AD2551" s="66"/>
      <c r="AE2551" s="66"/>
      <c r="AF2551" s="66"/>
      <c r="AG2551" s="66"/>
      <c r="AH2551" s="66"/>
      <c r="AI2551" s="66"/>
      <c r="AJ2551" s="66"/>
      <c r="AK2551" s="66"/>
      <c r="AL2551" s="66"/>
      <c r="AM2551" s="66"/>
      <c r="AN2551" s="66"/>
      <c r="AO2551" s="66"/>
      <c r="AP2551" s="66"/>
      <c r="AQ2551" s="66"/>
      <c r="AR2551" s="66"/>
      <c r="AS2551" s="66"/>
      <c r="AT2551" s="66"/>
      <c r="AU2551" s="66"/>
      <c r="AV2551" s="66"/>
      <c r="AW2551" s="66"/>
      <c r="AX2551" s="66"/>
      <c r="AY2551" s="66"/>
      <c r="AZ2551" s="66"/>
      <c r="BA2551" s="66"/>
      <c r="BB2551" s="66"/>
      <c r="BC2551" s="66"/>
      <c r="BD2551" s="66"/>
      <c r="BE2551" s="67"/>
      <c r="BF2551" s="67"/>
      <c r="BG2551" s="68"/>
      <c r="BI2551" s="69">
        <v>0</v>
      </c>
      <c r="BJ2551" s="70">
        <v>0</v>
      </c>
      <c r="BK2551" s="71">
        <v>0</v>
      </c>
      <c r="BL2551" s="71">
        <v>0</v>
      </c>
      <c r="BM2551" s="71">
        <v>0</v>
      </c>
      <c r="BN2551" s="72">
        <v>0</v>
      </c>
      <c r="BO2551" s="151" t="e">
        <f t="shared" si="169"/>
        <v>#DIV/0!</v>
      </c>
      <c r="BP2551" s="151" t="e">
        <f t="shared" si="170"/>
        <v>#DIV/0!</v>
      </c>
      <c r="BQ2551" s="71">
        <v>0</v>
      </c>
      <c r="BR2551" s="71">
        <v>0</v>
      </c>
      <c r="BS2551" s="71">
        <v>0</v>
      </c>
      <c r="BT2551" s="72">
        <v>0</v>
      </c>
      <c r="BU2551" s="151" t="e">
        <f t="shared" si="171"/>
        <v>#DIV/0!</v>
      </c>
      <c r="BV2551" s="151" t="e">
        <f t="shared" si="172"/>
        <v>#DIV/0!</v>
      </c>
    </row>
    <row r="2552" ht="30" customHeight="1" spans="1:74">
      <c r="A2552" s="55">
        <v>0</v>
      </c>
      <c r="B2552" s="56">
        <v>0</v>
      </c>
      <c r="C2552" s="57" t="s">
        <v>3226</v>
      </c>
      <c r="D2552" s="74"/>
      <c r="E2552" s="74"/>
      <c r="F2552" s="59" t="e">
        <f>VLOOKUP(E2552,[1]库存!$B$1:$C$65536,2,FALSE)</f>
        <v>#N/A</v>
      </c>
      <c r="G2552" s="59" t="e">
        <v>#N/A</v>
      </c>
      <c r="H2552" s="74"/>
      <c r="I2552" s="127"/>
      <c r="J2552" s="162"/>
      <c r="K2552" s="61"/>
      <c r="L2552" s="62">
        <v>0</v>
      </c>
      <c r="M2552" s="63">
        <v>0</v>
      </c>
      <c r="N2552" s="64">
        <v>0</v>
      </c>
      <c r="O2552" s="62">
        <v>0</v>
      </c>
      <c r="P2552" s="65">
        <f t="shared" si="173"/>
        <v>0</v>
      </c>
      <c r="Q2552" s="66"/>
      <c r="R2552" s="66"/>
      <c r="S2552" s="66"/>
      <c r="T2552" s="66"/>
      <c r="U2552" s="66"/>
      <c r="V2552" s="66"/>
      <c r="W2552" s="66"/>
      <c r="X2552" s="66"/>
      <c r="Y2552" s="66"/>
      <c r="Z2552" s="66"/>
      <c r="AA2552" s="66"/>
      <c r="AB2552" s="66"/>
      <c r="AC2552" s="66"/>
      <c r="AD2552" s="66"/>
      <c r="AE2552" s="66"/>
      <c r="AF2552" s="66"/>
      <c r="AG2552" s="66"/>
      <c r="AH2552" s="66"/>
      <c r="AI2552" s="66"/>
      <c r="AJ2552" s="66"/>
      <c r="AK2552" s="66"/>
      <c r="AL2552" s="66"/>
      <c r="AM2552" s="66"/>
      <c r="AN2552" s="66"/>
      <c r="AO2552" s="66"/>
      <c r="AP2552" s="66"/>
      <c r="AQ2552" s="66"/>
      <c r="AR2552" s="66"/>
      <c r="AS2552" s="66"/>
      <c r="AT2552" s="66"/>
      <c r="AU2552" s="66"/>
      <c r="AV2552" s="66"/>
      <c r="AW2552" s="66"/>
      <c r="AX2552" s="66"/>
      <c r="AY2552" s="66"/>
      <c r="AZ2552" s="66"/>
      <c r="BA2552" s="66"/>
      <c r="BB2552" s="66"/>
      <c r="BC2552" s="66"/>
      <c r="BD2552" s="66"/>
      <c r="BE2552" s="67"/>
      <c r="BF2552" s="67"/>
      <c r="BG2552" s="68"/>
      <c r="BI2552" s="69">
        <v>0</v>
      </c>
      <c r="BJ2552" s="70">
        <v>0</v>
      </c>
      <c r="BK2552" s="71">
        <v>0</v>
      </c>
      <c r="BL2552" s="71">
        <v>0</v>
      </c>
      <c r="BM2552" s="71">
        <v>0</v>
      </c>
      <c r="BN2552" s="72">
        <v>0</v>
      </c>
      <c r="BO2552" s="151" t="e">
        <f t="shared" si="169"/>
        <v>#DIV/0!</v>
      </c>
      <c r="BP2552" s="151" t="e">
        <f t="shared" si="170"/>
        <v>#DIV/0!</v>
      </c>
      <c r="BQ2552" s="71">
        <v>0</v>
      </c>
      <c r="BR2552" s="71">
        <v>0</v>
      </c>
      <c r="BS2552" s="71">
        <v>0</v>
      </c>
      <c r="BT2552" s="72">
        <v>0</v>
      </c>
      <c r="BU2552" s="151" t="e">
        <f t="shared" si="171"/>
        <v>#DIV/0!</v>
      </c>
      <c r="BV2552" s="151" t="e">
        <f t="shared" si="172"/>
        <v>#DIV/0!</v>
      </c>
    </row>
    <row r="2553" ht="30" customHeight="1" spans="1:74">
      <c r="A2553" s="55">
        <v>0</v>
      </c>
      <c r="B2553" s="56" t="s">
        <v>1237</v>
      </c>
      <c r="C2553" s="57" t="s">
        <v>1238</v>
      </c>
      <c r="D2553" s="59" t="s">
        <v>3932</v>
      </c>
      <c r="E2553" s="59" t="s">
        <v>3947</v>
      </c>
      <c r="F2553" s="59" t="str">
        <f>VLOOKUP(E2553,[1]库存!$B$1:$C$65536,2,FALSE)</f>
        <v>EP22 CAB LH</v>
      </c>
      <c r="G2553" s="59" t="s">
        <v>3948</v>
      </c>
      <c r="H2553" s="196" t="s">
        <v>3949</v>
      </c>
      <c r="I2553" s="59"/>
      <c r="J2553" s="63"/>
      <c r="K2553" s="61"/>
      <c r="L2553" s="62">
        <v>1</v>
      </c>
      <c r="M2553" s="63">
        <v>250</v>
      </c>
      <c r="N2553" s="64">
        <v>2</v>
      </c>
      <c r="O2553" s="62">
        <v>1</v>
      </c>
      <c r="P2553" s="65">
        <f t="shared" si="173"/>
        <v>0</v>
      </c>
      <c r="Q2553" s="66"/>
      <c r="R2553" s="66"/>
      <c r="S2553" s="66"/>
      <c r="T2553" s="66"/>
      <c r="U2553" s="66"/>
      <c r="V2553" s="66"/>
      <c r="W2553" s="66"/>
      <c r="X2553" s="66"/>
      <c r="Y2553" s="66"/>
      <c r="Z2553" s="66"/>
      <c r="AA2553" s="66"/>
      <c r="AB2553" s="66"/>
      <c r="AC2553" s="66"/>
      <c r="AD2553" s="66"/>
      <c r="AE2553" s="66"/>
      <c r="AF2553" s="66"/>
      <c r="AG2553" s="66"/>
      <c r="AH2553" s="66"/>
      <c r="AI2553" s="66"/>
      <c r="AJ2553" s="66"/>
      <c r="AK2553" s="66"/>
      <c r="AL2553" s="66"/>
      <c r="AM2553" s="66"/>
      <c r="AN2553" s="66"/>
      <c r="AO2553" s="66"/>
      <c r="AP2553" s="66"/>
      <c r="AQ2553" s="66"/>
      <c r="AR2553" s="66"/>
      <c r="AS2553" s="66"/>
      <c r="AT2553" s="66"/>
      <c r="AU2553" s="66"/>
      <c r="AV2553" s="66"/>
      <c r="AW2553" s="66"/>
      <c r="AX2553" s="66"/>
      <c r="AY2553" s="66"/>
      <c r="AZ2553" s="66"/>
      <c r="BA2553" s="66"/>
      <c r="BB2553" s="66"/>
      <c r="BC2553" s="66"/>
      <c r="BD2553" s="66"/>
      <c r="BE2553" s="67"/>
      <c r="BF2553" s="67"/>
      <c r="BG2553" s="68"/>
      <c r="BI2553" s="69">
        <v>0</v>
      </c>
      <c r="BJ2553" s="70">
        <v>0</v>
      </c>
      <c r="BK2553" s="71">
        <v>0</v>
      </c>
      <c r="BL2553" s="71">
        <v>0</v>
      </c>
      <c r="BM2553" s="71">
        <v>0</v>
      </c>
      <c r="BN2553" s="72">
        <v>0</v>
      </c>
      <c r="BO2553" s="151" t="e">
        <f t="shared" si="169"/>
        <v>#DIV/0!</v>
      </c>
      <c r="BP2553" s="151" t="e">
        <f t="shared" si="170"/>
        <v>#DIV/0!</v>
      </c>
      <c r="BQ2553" s="71">
        <v>0</v>
      </c>
      <c r="BR2553" s="71">
        <v>0</v>
      </c>
      <c r="BS2553" s="71">
        <v>0</v>
      </c>
      <c r="BT2553" s="72">
        <v>0</v>
      </c>
      <c r="BU2553" s="151" t="e">
        <f t="shared" si="171"/>
        <v>#DIV/0!</v>
      </c>
      <c r="BV2553" s="151" t="e">
        <f t="shared" si="172"/>
        <v>#DIV/0!</v>
      </c>
    </row>
    <row r="2554" ht="30" customHeight="1" spans="1:74">
      <c r="A2554" s="55">
        <v>0</v>
      </c>
      <c r="B2554" s="56">
        <v>0</v>
      </c>
      <c r="C2554" s="57" t="s">
        <v>1238</v>
      </c>
      <c r="D2554" s="74"/>
      <c r="E2554" s="74"/>
      <c r="F2554" s="59" t="e">
        <f>VLOOKUP(E2554,[1]库存!$B$1:$C$65536,2,FALSE)</f>
        <v>#N/A</v>
      </c>
      <c r="G2554" s="59" t="e">
        <v>#N/A</v>
      </c>
      <c r="H2554" s="99"/>
      <c r="I2554" s="74"/>
      <c r="J2554" s="87"/>
      <c r="K2554" s="61"/>
      <c r="L2554" s="62">
        <v>0</v>
      </c>
      <c r="M2554" s="63">
        <v>0</v>
      </c>
      <c r="N2554" s="64">
        <v>0</v>
      </c>
      <c r="O2554" s="62">
        <v>0</v>
      </c>
      <c r="P2554" s="65">
        <f t="shared" si="173"/>
        <v>0</v>
      </c>
      <c r="Q2554" s="66"/>
      <c r="R2554" s="66"/>
      <c r="S2554" s="66"/>
      <c r="T2554" s="66"/>
      <c r="U2554" s="66"/>
      <c r="V2554" s="66"/>
      <c r="W2554" s="66"/>
      <c r="X2554" s="66"/>
      <c r="Y2554" s="66"/>
      <c r="Z2554" s="66"/>
      <c r="AA2554" s="66"/>
      <c r="AB2554" s="66"/>
      <c r="AC2554" s="66"/>
      <c r="AD2554" s="66"/>
      <c r="AE2554" s="66"/>
      <c r="AF2554" s="66"/>
      <c r="AG2554" s="66"/>
      <c r="AH2554" s="66"/>
      <c r="AI2554" s="66"/>
      <c r="AJ2554" s="66"/>
      <c r="AK2554" s="66"/>
      <c r="AL2554" s="66"/>
      <c r="AM2554" s="66"/>
      <c r="AN2554" s="66"/>
      <c r="AO2554" s="66"/>
      <c r="AP2554" s="66"/>
      <c r="AQ2554" s="66"/>
      <c r="AR2554" s="66"/>
      <c r="AS2554" s="66"/>
      <c r="AT2554" s="66"/>
      <c r="AU2554" s="66"/>
      <c r="AV2554" s="66"/>
      <c r="AW2554" s="66"/>
      <c r="AX2554" s="66"/>
      <c r="AY2554" s="66"/>
      <c r="AZ2554" s="66"/>
      <c r="BA2554" s="66"/>
      <c r="BB2554" s="66"/>
      <c r="BC2554" s="66"/>
      <c r="BD2554" s="66"/>
      <c r="BE2554" s="67"/>
      <c r="BF2554" s="67"/>
      <c r="BG2554" s="68"/>
      <c r="BI2554" s="69">
        <v>0</v>
      </c>
      <c r="BJ2554" s="70">
        <v>0</v>
      </c>
      <c r="BK2554" s="71">
        <v>0</v>
      </c>
      <c r="BL2554" s="71">
        <v>0</v>
      </c>
      <c r="BM2554" s="71">
        <v>0</v>
      </c>
      <c r="BN2554" s="72">
        <v>0</v>
      </c>
      <c r="BO2554" s="151" t="e">
        <f t="shared" si="169"/>
        <v>#DIV/0!</v>
      </c>
      <c r="BP2554" s="151" t="e">
        <f t="shared" si="170"/>
        <v>#DIV/0!</v>
      </c>
      <c r="BQ2554" s="71">
        <v>0</v>
      </c>
      <c r="BR2554" s="71">
        <v>0</v>
      </c>
      <c r="BS2554" s="71">
        <v>0</v>
      </c>
      <c r="BT2554" s="72">
        <v>0</v>
      </c>
      <c r="BU2554" s="151" t="e">
        <f t="shared" si="171"/>
        <v>#DIV/0!</v>
      </c>
      <c r="BV2554" s="151" t="e">
        <f t="shared" si="172"/>
        <v>#DIV/0!</v>
      </c>
    </row>
    <row r="2555" ht="30" customHeight="1" spans="1:74">
      <c r="A2555" s="55">
        <v>0</v>
      </c>
      <c r="B2555" s="56" t="s">
        <v>1237</v>
      </c>
      <c r="C2555" s="57" t="s">
        <v>3341</v>
      </c>
      <c r="D2555" s="59" t="s">
        <v>3749</v>
      </c>
      <c r="E2555" s="59" t="s">
        <v>3950</v>
      </c>
      <c r="F2555" s="59" t="str">
        <f>VLOOKUP(E2555,[1]库存!$B$1:$C$65536,2,FALSE)</f>
        <v>NL-3 CAB
新状态导气袋</v>
      </c>
      <c r="G2555" s="59" t="s">
        <v>3951</v>
      </c>
      <c r="H2555" s="196" t="s">
        <v>3952</v>
      </c>
      <c r="I2555" s="59" t="s">
        <v>3751</v>
      </c>
      <c r="J2555" s="63"/>
      <c r="K2555" s="61"/>
      <c r="L2555" s="62">
        <v>0.7</v>
      </c>
      <c r="M2555" s="63">
        <v>400</v>
      </c>
      <c r="N2555" s="64">
        <v>3.5</v>
      </c>
      <c r="O2555" s="62">
        <v>0.7</v>
      </c>
      <c r="P2555" s="65">
        <f t="shared" si="173"/>
        <v>0</v>
      </c>
      <c r="Q2555" s="66"/>
      <c r="R2555" s="66"/>
      <c r="S2555" s="66"/>
      <c r="T2555" s="66"/>
      <c r="U2555" s="66"/>
      <c r="V2555" s="66"/>
      <c r="W2555" s="66"/>
      <c r="X2555" s="66"/>
      <c r="Y2555" s="66"/>
      <c r="Z2555" s="66"/>
      <c r="AA2555" s="66"/>
      <c r="AB2555" s="66"/>
      <c r="AC2555" s="66"/>
      <c r="AD2555" s="66"/>
      <c r="AE2555" s="66"/>
      <c r="AF2555" s="66"/>
      <c r="AG2555" s="66"/>
      <c r="AH2555" s="66"/>
      <c r="AI2555" s="66"/>
      <c r="AJ2555" s="66"/>
      <c r="AK2555" s="66"/>
      <c r="AL2555" s="66"/>
      <c r="AM2555" s="66"/>
      <c r="AN2555" s="66"/>
      <c r="AO2555" s="66"/>
      <c r="AP2555" s="66"/>
      <c r="AQ2555" s="66"/>
      <c r="AR2555" s="66"/>
      <c r="AS2555" s="66"/>
      <c r="AT2555" s="66"/>
      <c r="AU2555" s="66"/>
      <c r="AV2555" s="66"/>
      <c r="AW2555" s="66"/>
      <c r="AX2555" s="66"/>
      <c r="AY2555" s="66"/>
      <c r="AZ2555" s="66"/>
      <c r="BA2555" s="66"/>
      <c r="BB2555" s="66"/>
      <c r="BC2555" s="66"/>
      <c r="BD2555" s="66"/>
      <c r="BE2555" s="67"/>
      <c r="BF2555" s="67"/>
      <c r="BG2555" s="68"/>
      <c r="BI2555" s="69">
        <v>0</v>
      </c>
      <c r="BJ2555" s="70">
        <v>0</v>
      </c>
      <c r="BK2555" s="71">
        <v>0</v>
      </c>
      <c r="BL2555" s="71">
        <v>0</v>
      </c>
      <c r="BM2555" s="71">
        <v>0</v>
      </c>
      <c r="BN2555" s="72">
        <v>0</v>
      </c>
      <c r="BO2555" s="151" t="e">
        <f t="shared" si="169"/>
        <v>#DIV/0!</v>
      </c>
      <c r="BP2555" s="151" t="e">
        <f t="shared" si="170"/>
        <v>#DIV/0!</v>
      </c>
      <c r="BQ2555" s="71">
        <v>0</v>
      </c>
      <c r="BR2555" s="71">
        <v>0</v>
      </c>
      <c r="BS2555" s="71">
        <v>0</v>
      </c>
      <c r="BT2555" s="72">
        <v>0</v>
      </c>
      <c r="BU2555" s="151" t="e">
        <f t="shared" si="171"/>
        <v>#DIV/0!</v>
      </c>
      <c r="BV2555" s="151" t="e">
        <f t="shared" si="172"/>
        <v>#DIV/0!</v>
      </c>
    </row>
    <row r="2556" ht="30" customHeight="1" spans="1:74">
      <c r="A2556" s="55">
        <v>0</v>
      </c>
      <c r="B2556" s="56">
        <v>0</v>
      </c>
      <c r="C2556" s="57">
        <v>0</v>
      </c>
      <c r="D2556" s="74"/>
      <c r="E2556" s="74"/>
      <c r="F2556" s="59" t="e">
        <f>VLOOKUP(E2556,[1]库存!$B$1:$C$65536,2,FALSE)</f>
        <v>#N/A</v>
      </c>
      <c r="G2556" s="59" t="e">
        <v>#N/A</v>
      </c>
      <c r="H2556" s="99"/>
      <c r="I2556" s="74"/>
      <c r="J2556" s="87"/>
      <c r="K2556" s="61"/>
      <c r="L2556" s="62">
        <v>0</v>
      </c>
      <c r="M2556" s="63">
        <v>0</v>
      </c>
      <c r="N2556" s="64">
        <v>0</v>
      </c>
      <c r="O2556" s="62">
        <v>0</v>
      </c>
      <c r="P2556" s="65">
        <f t="shared" si="173"/>
        <v>0</v>
      </c>
      <c r="Q2556" s="66"/>
      <c r="R2556" s="66"/>
      <c r="S2556" s="66"/>
      <c r="T2556" s="66"/>
      <c r="U2556" s="66"/>
      <c r="V2556" s="66"/>
      <c r="W2556" s="66"/>
      <c r="X2556" s="66"/>
      <c r="Y2556" s="66"/>
      <c r="Z2556" s="66"/>
      <c r="AA2556" s="66"/>
      <c r="AB2556" s="66"/>
      <c r="AC2556" s="66"/>
      <c r="AD2556" s="66"/>
      <c r="AE2556" s="66"/>
      <c r="AF2556" s="66"/>
      <c r="AG2556" s="66"/>
      <c r="AH2556" s="66"/>
      <c r="AI2556" s="66"/>
      <c r="AJ2556" s="66"/>
      <c r="AK2556" s="66"/>
      <c r="AL2556" s="66"/>
      <c r="AM2556" s="66"/>
      <c r="AN2556" s="66"/>
      <c r="AO2556" s="66"/>
      <c r="AP2556" s="66"/>
      <c r="AQ2556" s="66"/>
      <c r="AR2556" s="66"/>
      <c r="AS2556" s="66"/>
      <c r="AT2556" s="66"/>
      <c r="AU2556" s="66"/>
      <c r="AV2556" s="66"/>
      <c r="AW2556" s="66"/>
      <c r="AX2556" s="66"/>
      <c r="AY2556" s="66"/>
      <c r="AZ2556" s="66"/>
      <c r="BA2556" s="66"/>
      <c r="BB2556" s="66"/>
      <c r="BC2556" s="66"/>
      <c r="BD2556" s="66"/>
      <c r="BE2556" s="67"/>
      <c r="BF2556" s="67"/>
      <c r="BG2556" s="68"/>
      <c r="BI2556" s="69">
        <v>0</v>
      </c>
      <c r="BJ2556" s="70">
        <v>0</v>
      </c>
      <c r="BK2556" s="71">
        <v>0</v>
      </c>
      <c r="BL2556" s="71">
        <v>0</v>
      </c>
      <c r="BM2556" s="71">
        <v>0</v>
      </c>
      <c r="BN2556" s="72">
        <v>0</v>
      </c>
      <c r="BO2556" s="151" t="e">
        <f t="shared" si="169"/>
        <v>#DIV/0!</v>
      </c>
      <c r="BP2556" s="151" t="e">
        <f t="shared" si="170"/>
        <v>#DIV/0!</v>
      </c>
      <c r="BQ2556" s="71">
        <v>0</v>
      </c>
      <c r="BR2556" s="71">
        <v>0</v>
      </c>
      <c r="BS2556" s="71">
        <v>0</v>
      </c>
      <c r="BT2556" s="72">
        <v>0</v>
      </c>
      <c r="BU2556" s="151" t="e">
        <f t="shared" si="171"/>
        <v>#DIV/0!</v>
      </c>
      <c r="BV2556" s="151" t="e">
        <f t="shared" si="172"/>
        <v>#DIV/0!</v>
      </c>
    </row>
    <row r="2557" ht="30" customHeight="1" spans="1:74">
      <c r="A2557" s="55">
        <v>0</v>
      </c>
      <c r="B2557" s="56" t="s">
        <v>1237</v>
      </c>
      <c r="C2557" s="57" t="s">
        <v>3341</v>
      </c>
      <c r="D2557" s="59" t="s">
        <v>3227</v>
      </c>
      <c r="E2557" s="59" t="s">
        <v>3759</v>
      </c>
      <c r="F2557" s="59" t="str">
        <f>VLOOKUP(E2557,[1]库存!$B$1:$C$65536,2,FALSE)</f>
        <v>NL-3 CAB拉带</v>
      </c>
      <c r="G2557" s="59" t="s">
        <v>3953</v>
      </c>
      <c r="H2557" s="196" t="s">
        <v>3954</v>
      </c>
      <c r="I2557" s="59"/>
      <c r="J2557" s="63"/>
      <c r="K2557" s="61"/>
      <c r="L2557" s="62">
        <v>0</v>
      </c>
      <c r="M2557" s="63">
        <v>800</v>
      </c>
      <c r="N2557" s="64">
        <v>1.5</v>
      </c>
      <c r="O2557" s="62">
        <v>0</v>
      </c>
      <c r="P2557" s="65">
        <f t="shared" si="173"/>
        <v>0</v>
      </c>
      <c r="Q2557" s="66"/>
      <c r="R2557" s="66"/>
      <c r="S2557" s="66"/>
      <c r="T2557" s="66"/>
      <c r="U2557" s="66"/>
      <c r="V2557" s="66"/>
      <c r="W2557" s="66"/>
      <c r="X2557" s="66"/>
      <c r="Y2557" s="66"/>
      <c r="Z2557" s="66"/>
      <c r="AA2557" s="66"/>
      <c r="AB2557" s="66"/>
      <c r="AC2557" s="66"/>
      <c r="AD2557" s="66"/>
      <c r="AE2557" s="66"/>
      <c r="AF2557" s="66"/>
      <c r="AG2557" s="66"/>
      <c r="AH2557" s="66"/>
      <c r="AI2557" s="66"/>
      <c r="AJ2557" s="66"/>
      <c r="AK2557" s="66"/>
      <c r="AL2557" s="66"/>
      <c r="AM2557" s="66"/>
      <c r="AN2557" s="66"/>
      <c r="AO2557" s="66"/>
      <c r="AP2557" s="66"/>
      <c r="AQ2557" s="66"/>
      <c r="AR2557" s="66"/>
      <c r="AS2557" s="66"/>
      <c r="AT2557" s="66"/>
      <c r="AU2557" s="66"/>
      <c r="AV2557" s="66"/>
      <c r="AW2557" s="66"/>
      <c r="AX2557" s="66"/>
      <c r="AY2557" s="66"/>
      <c r="AZ2557" s="66"/>
      <c r="BA2557" s="66"/>
      <c r="BB2557" s="66"/>
      <c r="BC2557" s="66"/>
      <c r="BD2557" s="66"/>
      <c r="BE2557" s="67"/>
      <c r="BF2557" s="67"/>
      <c r="BG2557" s="68"/>
      <c r="BI2557" s="69">
        <v>0</v>
      </c>
      <c r="BJ2557" s="70">
        <v>0</v>
      </c>
      <c r="BK2557" s="71">
        <v>0</v>
      </c>
      <c r="BL2557" s="71">
        <v>0</v>
      </c>
      <c r="BM2557" s="71">
        <v>0</v>
      </c>
      <c r="BN2557" s="72">
        <v>0</v>
      </c>
      <c r="BO2557" s="151" t="e">
        <f t="shared" si="169"/>
        <v>#DIV/0!</v>
      </c>
      <c r="BP2557" s="151" t="e">
        <f t="shared" si="170"/>
        <v>#DIV/0!</v>
      </c>
      <c r="BQ2557" s="71">
        <v>0</v>
      </c>
      <c r="BR2557" s="71">
        <v>0</v>
      </c>
      <c r="BS2557" s="71">
        <v>0</v>
      </c>
      <c r="BT2557" s="72">
        <v>0</v>
      </c>
      <c r="BU2557" s="151" t="e">
        <f t="shared" si="171"/>
        <v>#DIV/0!</v>
      </c>
      <c r="BV2557" s="151" t="e">
        <f t="shared" si="172"/>
        <v>#DIV/0!</v>
      </c>
    </row>
    <row r="2558" ht="30" customHeight="1" spans="1:74">
      <c r="A2558" s="55">
        <v>0</v>
      </c>
      <c r="B2558" s="56">
        <v>0</v>
      </c>
      <c r="C2558" s="57">
        <v>0</v>
      </c>
      <c r="D2558" s="74"/>
      <c r="E2558" s="74"/>
      <c r="F2558" s="59" t="e">
        <f>VLOOKUP(E2558,[1]库存!$B$1:$C$65536,2,FALSE)</f>
        <v>#N/A</v>
      </c>
      <c r="G2558" s="59" t="e">
        <v>#N/A</v>
      </c>
      <c r="H2558" s="99"/>
      <c r="I2558" s="74"/>
      <c r="J2558" s="87"/>
      <c r="K2558" s="61"/>
      <c r="L2558" s="62">
        <v>0</v>
      </c>
      <c r="M2558" s="63">
        <v>0</v>
      </c>
      <c r="N2558" s="64">
        <v>0</v>
      </c>
      <c r="O2558" s="62">
        <v>0</v>
      </c>
      <c r="P2558" s="65">
        <f t="shared" si="173"/>
        <v>0</v>
      </c>
      <c r="Q2558" s="66"/>
      <c r="R2558" s="66"/>
      <c r="S2558" s="66"/>
      <c r="T2558" s="66"/>
      <c r="U2558" s="66"/>
      <c r="V2558" s="66"/>
      <c r="W2558" s="66"/>
      <c r="X2558" s="66"/>
      <c r="Y2558" s="66"/>
      <c r="Z2558" s="66"/>
      <c r="AA2558" s="66"/>
      <c r="AB2558" s="66"/>
      <c r="AC2558" s="66"/>
      <c r="AD2558" s="66"/>
      <c r="AE2558" s="66"/>
      <c r="AF2558" s="66"/>
      <c r="AG2558" s="66"/>
      <c r="AH2558" s="66"/>
      <c r="AI2558" s="66"/>
      <c r="AJ2558" s="66"/>
      <c r="AK2558" s="66"/>
      <c r="AL2558" s="66"/>
      <c r="AM2558" s="66"/>
      <c r="AN2558" s="66"/>
      <c r="AO2558" s="66"/>
      <c r="AP2558" s="66"/>
      <c r="AQ2558" s="66"/>
      <c r="AR2558" s="66"/>
      <c r="AS2558" s="66"/>
      <c r="AT2558" s="66"/>
      <c r="AU2558" s="66"/>
      <c r="AV2558" s="66"/>
      <c r="AW2558" s="66"/>
      <c r="AX2558" s="66"/>
      <c r="AY2558" s="66"/>
      <c r="AZ2558" s="66"/>
      <c r="BA2558" s="66"/>
      <c r="BB2558" s="66"/>
      <c r="BC2558" s="66"/>
      <c r="BD2558" s="66"/>
      <c r="BE2558" s="67"/>
      <c r="BF2558" s="67"/>
      <c r="BG2558" s="68"/>
      <c r="BI2558" s="69">
        <v>0</v>
      </c>
      <c r="BJ2558" s="70">
        <v>0</v>
      </c>
      <c r="BK2558" s="71">
        <v>0</v>
      </c>
      <c r="BL2558" s="71">
        <v>0</v>
      </c>
      <c r="BM2558" s="71">
        <v>0</v>
      </c>
      <c r="BN2558" s="72">
        <v>0</v>
      </c>
      <c r="BO2558" s="151" t="e">
        <f t="shared" si="169"/>
        <v>#DIV/0!</v>
      </c>
      <c r="BP2558" s="151" t="e">
        <f t="shared" si="170"/>
        <v>#DIV/0!</v>
      </c>
      <c r="BQ2558" s="71">
        <v>0</v>
      </c>
      <c r="BR2558" s="71">
        <v>0</v>
      </c>
      <c r="BS2558" s="71">
        <v>0</v>
      </c>
      <c r="BT2558" s="72">
        <v>0</v>
      </c>
      <c r="BU2558" s="151" t="e">
        <f t="shared" si="171"/>
        <v>#DIV/0!</v>
      </c>
      <c r="BV2558" s="151" t="e">
        <f t="shared" si="172"/>
        <v>#DIV/0!</v>
      </c>
    </row>
    <row r="2559" ht="30" customHeight="1" spans="1:74">
      <c r="A2559" s="55" t="s">
        <v>41</v>
      </c>
      <c r="B2559" s="56" t="s">
        <v>1237</v>
      </c>
      <c r="C2559" s="57" t="s">
        <v>3341</v>
      </c>
      <c r="D2559" s="59" t="s">
        <v>3932</v>
      </c>
      <c r="E2559" s="59" t="s">
        <v>3955</v>
      </c>
      <c r="F2559" s="59" t="str">
        <f>VLOOKUP(E2559,[1]库存!$B$1:$C$65536,2,FALSE)</f>
        <v>NL-3 CAB LH</v>
      </c>
      <c r="G2559" s="59" t="s">
        <v>3956</v>
      </c>
      <c r="H2559" s="59" t="s">
        <v>3957</v>
      </c>
      <c r="I2559" s="59" t="s">
        <v>3755</v>
      </c>
      <c r="J2559" s="63"/>
      <c r="K2559" s="61"/>
      <c r="L2559" s="62">
        <v>1</v>
      </c>
      <c r="M2559" s="63">
        <v>400</v>
      </c>
      <c r="N2559" s="64">
        <v>3.5</v>
      </c>
      <c r="O2559" s="62">
        <v>1</v>
      </c>
      <c r="P2559" s="65">
        <f t="shared" si="173"/>
        <v>0</v>
      </c>
      <c r="Q2559" s="66"/>
      <c r="R2559" s="66"/>
      <c r="S2559" s="66"/>
      <c r="T2559" s="66"/>
      <c r="U2559" s="66"/>
      <c r="V2559" s="66"/>
      <c r="W2559" s="66"/>
      <c r="X2559" s="66"/>
      <c r="Y2559" s="66"/>
      <c r="Z2559" s="66"/>
      <c r="AA2559" s="66"/>
      <c r="AB2559" s="66"/>
      <c r="AC2559" s="66"/>
      <c r="AD2559" s="66"/>
      <c r="AE2559" s="66"/>
      <c r="AF2559" s="66"/>
      <c r="AG2559" s="66"/>
      <c r="AH2559" s="66"/>
      <c r="AI2559" s="66"/>
      <c r="AJ2559" s="66"/>
      <c r="AK2559" s="66"/>
      <c r="AL2559" s="66"/>
      <c r="AM2559" s="66"/>
      <c r="AN2559" s="66"/>
      <c r="AO2559" s="66"/>
      <c r="AP2559" s="66"/>
      <c r="AQ2559" s="66"/>
      <c r="AR2559" s="66"/>
      <c r="AS2559" s="66"/>
      <c r="AT2559" s="66"/>
      <c r="AU2559" s="66"/>
      <c r="AV2559" s="66"/>
      <c r="AW2559" s="66"/>
      <c r="AX2559" s="66"/>
      <c r="AY2559" s="66"/>
      <c r="AZ2559" s="66"/>
      <c r="BA2559" s="66"/>
      <c r="BB2559" s="66"/>
      <c r="BC2559" s="66"/>
      <c r="BD2559" s="66"/>
      <c r="BE2559" s="67"/>
      <c r="BF2559" s="67"/>
      <c r="BG2559" s="68"/>
      <c r="BI2559" s="69">
        <v>0</v>
      </c>
      <c r="BJ2559" s="70">
        <v>0</v>
      </c>
      <c r="BK2559" s="71">
        <v>0</v>
      </c>
      <c r="BL2559" s="71">
        <v>0</v>
      </c>
      <c r="BM2559" s="71">
        <v>0</v>
      </c>
      <c r="BN2559" s="72">
        <v>0</v>
      </c>
      <c r="BO2559" s="151" t="e">
        <f t="shared" si="169"/>
        <v>#DIV/0!</v>
      </c>
      <c r="BP2559" s="151" t="e">
        <f t="shared" si="170"/>
        <v>#DIV/0!</v>
      </c>
      <c r="BQ2559" s="71">
        <v>0</v>
      </c>
      <c r="BR2559" s="71">
        <v>0</v>
      </c>
      <c r="BS2559" s="71">
        <v>0</v>
      </c>
      <c r="BT2559" s="72">
        <v>0</v>
      </c>
      <c r="BU2559" s="151" t="e">
        <f t="shared" si="171"/>
        <v>#DIV/0!</v>
      </c>
      <c r="BV2559" s="151" t="e">
        <f t="shared" si="172"/>
        <v>#DIV/0!</v>
      </c>
    </row>
    <row r="2560" ht="30" customHeight="1" spans="1:74">
      <c r="A2560" s="55">
        <v>0</v>
      </c>
      <c r="B2560" s="56">
        <v>0</v>
      </c>
      <c r="C2560" s="57">
        <v>0</v>
      </c>
      <c r="D2560" s="74"/>
      <c r="E2560" s="74"/>
      <c r="F2560" s="59" t="e">
        <f>VLOOKUP(E2560,[1]库存!$B$1:$C$65536,2,FALSE)</f>
        <v>#N/A</v>
      </c>
      <c r="G2560" s="59" t="e">
        <v>#N/A</v>
      </c>
      <c r="H2560" s="74"/>
      <c r="I2560" s="74"/>
      <c r="J2560" s="87"/>
      <c r="K2560" s="61"/>
      <c r="L2560" s="62">
        <v>0</v>
      </c>
      <c r="M2560" s="63">
        <v>0</v>
      </c>
      <c r="N2560" s="64">
        <v>0</v>
      </c>
      <c r="O2560" s="62">
        <v>0</v>
      </c>
      <c r="P2560" s="65">
        <f t="shared" si="173"/>
        <v>0</v>
      </c>
      <c r="Q2560" s="66"/>
      <c r="R2560" s="66"/>
      <c r="S2560" s="66"/>
      <c r="T2560" s="66"/>
      <c r="U2560" s="66"/>
      <c r="V2560" s="66"/>
      <c r="W2560" s="66"/>
      <c r="X2560" s="66"/>
      <c r="Y2560" s="66"/>
      <c r="Z2560" s="66"/>
      <c r="AA2560" s="66"/>
      <c r="AB2560" s="66"/>
      <c r="AC2560" s="66"/>
      <c r="AD2560" s="66"/>
      <c r="AE2560" s="66"/>
      <c r="AF2560" s="66"/>
      <c r="AG2560" s="66"/>
      <c r="AH2560" s="66"/>
      <c r="AI2560" s="66"/>
      <c r="AJ2560" s="66"/>
      <c r="AK2560" s="66"/>
      <c r="AL2560" s="66"/>
      <c r="AM2560" s="66"/>
      <c r="AN2560" s="66"/>
      <c r="AO2560" s="66"/>
      <c r="AP2560" s="66"/>
      <c r="AQ2560" s="66"/>
      <c r="AR2560" s="66"/>
      <c r="AS2560" s="66"/>
      <c r="AT2560" s="66"/>
      <c r="AU2560" s="66"/>
      <c r="AV2560" s="66"/>
      <c r="AW2560" s="66"/>
      <c r="AX2560" s="66"/>
      <c r="AY2560" s="66"/>
      <c r="AZ2560" s="66"/>
      <c r="BA2560" s="66"/>
      <c r="BB2560" s="66"/>
      <c r="BC2560" s="66"/>
      <c r="BD2560" s="66"/>
      <c r="BE2560" s="67"/>
      <c r="BF2560" s="67"/>
      <c r="BG2560" s="68"/>
      <c r="BI2560" s="69">
        <v>0</v>
      </c>
      <c r="BJ2560" s="70">
        <v>0</v>
      </c>
      <c r="BK2560" s="71">
        <v>0</v>
      </c>
      <c r="BL2560" s="71">
        <v>0</v>
      </c>
      <c r="BM2560" s="71">
        <v>0</v>
      </c>
      <c r="BN2560" s="72">
        <v>0</v>
      </c>
      <c r="BO2560" s="151" t="e">
        <f t="shared" si="169"/>
        <v>#DIV/0!</v>
      </c>
      <c r="BP2560" s="151" t="e">
        <f t="shared" si="170"/>
        <v>#DIV/0!</v>
      </c>
      <c r="BQ2560" s="71">
        <v>0</v>
      </c>
      <c r="BR2560" s="71">
        <v>0</v>
      </c>
      <c r="BS2560" s="71">
        <v>0</v>
      </c>
      <c r="BT2560" s="72">
        <v>0</v>
      </c>
      <c r="BU2560" s="151" t="e">
        <f t="shared" si="171"/>
        <v>#DIV/0!</v>
      </c>
      <c r="BV2560" s="151" t="e">
        <f t="shared" si="172"/>
        <v>#DIV/0!</v>
      </c>
    </row>
    <row r="2561" ht="30" customHeight="1" spans="1:74">
      <c r="A2561" s="55">
        <v>0</v>
      </c>
      <c r="B2561" s="56" t="s">
        <v>1237</v>
      </c>
      <c r="C2561" s="57" t="s">
        <v>3226</v>
      </c>
      <c r="D2561" s="113" t="s">
        <v>3227</v>
      </c>
      <c r="E2561" s="284" t="s">
        <v>3894</v>
      </c>
      <c r="F2561" s="59" t="e">
        <f>VLOOKUP(E2561,[1]库存!$B$1:$C$65536,2,FALSE)</f>
        <v>#N/A</v>
      </c>
      <c r="G2561" s="59" t="e">
        <v>#N/A</v>
      </c>
      <c r="H2561" s="113" t="s">
        <v>3895</v>
      </c>
      <c r="I2561" s="113"/>
      <c r="J2561" s="117"/>
      <c r="K2561" s="61"/>
      <c r="L2561" s="62">
        <v>0</v>
      </c>
      <c r="M2561" s="63">
        <v>1000</v>
      </c>
      <c r="N2561" s="64">
        <v>1.5</v>
      </c>
      <c r="O2561" s="62">
        <v>0</v>
      </c>
      <c r="P2561" s="65">
        <f t="shared" si="173"/>
        <v>0</v>
      </c>
      <c r="Q2561" s="66"/>
      <c r="R2561" s="66"/>
      <c r="S2561" s="66"/>
      <c r="T2561" s="66"/>
      <c r="U2561" s="66"/>
      <c r="V2561" s="66"/>
      <c r="W2561" s="66"/>
      <c r="X2561" s="66"/>
      <c r="Y2561" s="66"/>
      <c r="Z2561" s="66"/>
      <c r="AA2561" s="66"/>
      <c r="AB2561" s="66"/>
      <c r="AC2561" s="66"/>
      <c r="AD2561" s="66"/>
      <c r="AE2561" s="66"/>
      <c r="AF2561" s="66"/>
      <c r="AG2561" s="66"/>
      <c r="AH2561" s="66"/>
      <c r="AI2561" s="66"/>
      <c r="AJ2561" s="66"/>
      <c r="AK2561" s="66"/>
      <c r="AL2561" s="66"/>
      <c r="AM2561" s="66"/>
      <c r="AN2561" s="66"/>
      <c r="AO2561" s="66"/>
      <c r="AP2561" s="66"/>
      <c r="AQ2561" s="66"/>
      <c r="AR2561" s="66"/>
      <c r="AS2561" s="66"/>
      <c r="AT2561" s="66"/>
      <c r="AU2561" s="66"/>
      <c r="AV2561" s="66"/>
      <c r="AW2561" s="66"/>
      <c r="AX2561" s="66"/>
      <c r="AY2561" s="66"/>
      <c r="AZ2561" s="66"/>
      <c r="BA2561" s="66"/>
      <c r="BB2561" s="66"/>
      <c r="BC2561" s="66"/>
      <c r="BD2561" s="66"/>
      <c r="BE2561" s="67"/>
      <c r="BF2561" s="67"/>
      <c r="BG2561" s="68"/>
      <c r="BI2561" s="69">
        <v>0</v>
      </c>
      <c r="BJ2561" s="70">
        <v>0</v>
      </c>
      <c r="BK2561" s="71">
        <v>0</v>
      </c>
      <c r="BL2561" s="71">
        <v>0</v>
      </c>
      <c r="BM2561" s="71">
        <v>0</v>
      </c>
      <c r="BN2561" s="72">
        <v>0</v>
      </c>
      <c r="BO2561" s="151" t="e">
        <f t="shared" si="169"/>
        <v>#DIV/0!</v>
      </c>
      <c r="BP2561" s="151" t="e">
        <f t="shared" si="170"/>
        <v>#DIV/0!</v>
      </c>
      <c r="BQ2561" s="71">
        <v>0</v>
      </c>
      <c r="BR2561" s="71">
        <v>0</v>
      </c>
      <c r="BS2561" s="71">
        <v>0</v>
      </c>
      <c r="BT2561" s="72">
        <v>0</v>
      </c>
      <c r="BU2561" s="151" t="e">
        <f t="shared" si="171"/>
        <v>#DIV/0!</v>
      </c>
      <c r="BV2561" s="151" t="e">
        <f t="shared" si="172"/>
        <v>#DIV/0!</v>
      </c>
    </row>
    <row r="2562" ht="30" customHeight="1" spans="1:74">
      <c r="A2562" s="55">
        <v>0</v>
      </c>
      <c r="B2562" s="56">
        <v>0</v>
      </c>
      <c r="C2562" s="57" t="s">
        <v>3226</v>
      </c>
      <c r="D2562" s="127"/>
      <c r="E2562" s="285"/>
      <c r="F2562" s="59" t="e">
        <f>VLOOKUP(E2562,[1]库存!$B$1:$C$65536,2,FALSE)</f>
        <v>#N/A</v>
      </c>
      <c r="G2562" s="59" t="e">
        <v>#N/A</v>
      </c>
      <c r="H2562" s="127"/>
      <c r="I2562" s="127"/>
      <c r="J2562" s="162"/>
      <c r="K2562" s="61"/>
      <c r="L2562" s="62">
        <v>0</v>
      </c>
      <c r="M2562" s="63">
        <v>0</v>
      </c>
      <c r="N2562" s="64">
        <v>0</v>
      </c>
      <c r="O2562" s="62">
        <v>0</v>
      </c>
      <c r="P2562" s="65">
        <f t="shared" si="173"/>
        <v>0</v>
      </c>
      <c r="Q2562" s="66"/>
      <c r="R2562" s="66"/>
      <c r="S2562" s="66"/>
      <c r="T2562" s="66"/>
      <c r="U2562" s="66"/>
      <c r="V2562" s="66"/>
      <c r="W2562" s="66"/>
      <c r="X2562" s="66"/>
      <c r="Y2562" s="66"/>
      <c r="Z2562" s="66"/>
      <c r="AA2562" s="66"/>
      <c r="AB2562" s="66"/>
      <c r="AC2562" s="66"/>
      <c r="AD2562" s="66"/>
      <c r="AE2562" s="66"/>
      <c r="AF2562" s="66"/>
      <c r="AG2562" s="66"/>
      <c r="AH2562" s="66"/>
      <c r="AI2562" s="66"/>
      <c r="AJ2562" s="66"/>
      <c r="AK2562" s="66"/>
      <c r="AL2562" s="66"/>
      <c r="AM2562" s="66"/>
      <c r="AN2562" s="66"/>
      <c r="AO2562" s="66"/>
      <c r="AP2562" s="66"/>
      <c r="AQ2562" s="66"/>
      <c r="AR2562" s="66"/>
      <c r="AS2562" s="66"/>
      <c r="AT2562" s="66"/>
      <c r="AU2562" s="66"/>
      <c r="AV2562" s="66"/>
      <c r="AW2562" s="66"/>
      <c r="AX2562" s="66"/>
      <c r="AY2562" s="66"/>
      <c r="AZ2562" s="66"/>
      <c r="BA2562" s="66"/>
      <c r="BB2562" s="66"/>
      <c r="BC2562" s="66"/>
      <c r="BD2562" s="66"/>
      <c r="BE2562" s="67"/>
      <c r="BF2562" s="67"/>
      <c r="BG2562" s="68"/>
      <c r="BI2562" s="69">
        <v>0</v>
      </c>
      <c r="BJ2562" s="70">
        <v>0</v>
      </c>
      <c r="BK2562" s="71">
        <v>0</v>
      </c>
      <c r="BL2562" s="71">
        <v>0</v>
      </c>
      <c r="BM2562" s="71">
        <v>0</v>
      </c>
      <c r="BN2562" s="72">
        <v>0</v>
      </c>
      <c r="BO2562" s="151" t="e">
        <f t="shared" ref="BO2562:BO2625" si="174">(BK2562+BL2562)/BJ2562</f>
        <v>#DIV/0!</v>
      </c>
      <c r="BP2562" s="151" t="e">
        <f t="shared" ref="BP2562:BP2625" si="175">BM2562/BJ2562</f>
        <v>#DIV/0!</v>
      </c>
      <c r="BQ2562" s="71">
        <v>0</v>
      </c>
      <c r="BR2562" s="71">
        <v>0</v>
      </c>
      <c r="BS2562" s="71">
        <v>0</v>
      </c>
      <c r="BT2562" s="72">
        <v>0</v>
      </c>
      <c r="BU2562" s="151" t="e">
        <f t="shared" si="171"/>
        <v>#DIV/0!</v>
      </c>
      <c r="BV2562" s="151" t="e">
        <f t="shared" si="172"/>
        <v>#DIV/0!</v>
      </c>
    </row>
    <row r="2563" ht="30" customHeight="1" spans="1:74">
      <c r="A2563" s="55">
        <v>0</v>
      </c>
      <c r="B2563" s="56" t="s">
        <v>1237</v>
      </c>
      <c r="C2563" s="57" t="s">
        <v>3226</v>
      </c>
      <c r="D2563" s="113" t="s">
        <v>3697</v>
      </c>
      <c r="E2563" s="113" t="s">
        <v>3896</v>
      </c>
      <c r="F2563" s="59" t="e">
        <f>VLOOKUP(E2563,[1]库存!$B$1:$C$65536,2,FALSE)</f>
        <v>#N/A</v>
      </c>
      <c r="G2563" s="59" t="e">
        <v>#N/A</v>
      </c>
      <c r="H2563" s="113" t="s">
        <v>3897</v>
      </c>
      <c r="I2563" s="113"/>
      <c r="J2563" s="117"/>
      <c r="K2563" s="61"/>
      <c r="L2563" s="62">
        <v>0.7</v>
      </c>
      <c r="M2563" s="63">
        <v>1000</v>
      </c>
      <c r="N2563" s="64">
        <v>2</v>
      </c>
      <c r="O2563" s="62">
        <v>0.7</v>
      </c>
      <c r="P2563" s="65">
        <f t="shared" si="173"/>
        <v>0</v>
      </c>
      <c r="Q2563" s="66"/>
      <c r="R2563" s="66"/>
      <c r="S2563" s="66"/>
      <c r="T2563" s="66"/>
      <c r="U2563" s="66"/>
      <c r="V2563" s="66"/>
      <c r="W2563" s="66"/>
      <c r="X2563" s="66"/>
      <c r="Y2563" s="66"/>
      <c r="Z2563" s="66"/>
      <c r="AA2563" s="66"/>
      <c r="AB2563" s="66"/>
      <c r="AC2563" s="66"/>
      <c r="AD2563" s="66"/>
      <c r="AE2563" s="66"/>
      <c r="AF2563" s="66"/>
      <c r="AG2563" s="66"/>
      <c r="AH2563" s="66"/>
      <c r="AI2563" s="66"/>
      <c r="AJ2563" s="66"/>
      <c r="AK2563" s="66"/>
      <c r="AL2563" s="66"/>
      <c r="AM2563" s="66"/>
      <c r="AN2563" s="66"/>
      <c r="AO2563" s="66"/>
      <c r="AP2563" s="66"/>
      <c r="AQ2563" s="66"/>
      <c r="AR2563" s="66"/>
      <c r="AS2563" s="66"/>
      <c r="AT2563" s="66"/>
      <c r="AU2563" s="66"/>
      <c r="AV2563" s="66"/>
      <c r="AW2563" s="66"/>
      <c r="AX2563" s="66"/>
      <c r="AY2563" s="66"/>
      <c r="AZ2563" s="66"/>
      <c r="BA2563" s="66"/>
      <c r="BB2563" s="66"/>
      <c r="BC2563" s="66"/>
      <c r="BD2563" s="66"/>
      <c r="BE2563" s="67"/>
      <c r="BF2563" s="67"/>
      <c r="BG2563" s="68"/>
      <c r="BI2563" s="69">
        <v>0</v>
      </c>
      <c r="BJ2563" s="70">
        <v>0</v>
      </c>
      <c r="BK2563" s="71">
        <v>0</v>
      </c>
      <c r="BL2563" s="71">
        <v>0</v>
      </c>
      <c r="BM2563" s="71">
        <v>0</v>
      </c>
      <c r="BN2563" s="72">
        <v>0</v>
      </c>
      <c r="BO2563" s="151" t="e">
        <f t="shared" si="174"/>
        <v>#DIV/0!</v>
      </c>
      <c r="BP2563" s="151" t="e">
        <f t="shared" si="175"/>
        <v>#DIV/0!</v>
      </c>
      <c r="BQ2563" s="71">
        <v>0</v>
      </c>
      <c r="BR2563" s="71">
        <v>0</v>
      </c>
      <c r="BS2563" s="71">
        <v>0</v>
      </c>
      <c r="BT2563" s="72">
        <v>0</v>
      </c>
      <c r="BU2563" s="151" t="e">
        <f t="shared" si="171"/>
        <v>#DIV/0!</v>
      </c>
      <c r="BV2563" s="151" t="e">
        <f t="shared" si="172"/>
        <v>#DIV/0!</v>
      </c>
    </row>
    <row r="2564" ht="30" customHeight="1" spans="1:74">
      <c r="A2564" s="55">
        <v>0</v>
      </c>
      <c r="B2564" s="56">
        <v>0</v>
      </c>
      <c r="C2564" s="57" t="s">
        <v>3226</v>
      </c>
      <c r="D2564" s="127"/>
      <c r="E2564" s="127"/>
      <c r="F2564" s="59" t="e">
        <f>VLOOKUP(E2564,[1]库存!$B$1:$C$65536,2,FALSE)</f>
        <v>#N/A</v>
      </c>
      <c r="G2564" s="59" t="e">
        <v>#N/A</v>
      </c>
      <c r="H2564" s="127"/>
      <c r="I2564" s="127"/>
      <c r="J2564" s="162"/>
      <c r="K2564" s="61"/>
      <c r="L2564" s="62">
        <v>0</v>
      </c>
      <c r="M2564" s="63">
        <v>0</v>
      </c>
      <c r="N2564" s="64">
        <v>0</v>
      </c>
      <c r="O2564" s="62">
        <v>0</v>
      </c>
      <c r="P2564" s="65">
        <f t="shared" si="173"/>
        <v>0</v>
      </c>
      <c r="Q2564" s="66"/>
      <c r="R2564" s="66"/>
      <c r="S2564" s="66"/>
      <c r="T2564" s="66"/>
      <c r="U2564" s="66"/>
      <c r="V2564" s="66"/>
      <c r="W2564" s="66"/>
      <c r="X2564" s="66"/>
      <c r="Y2564" s="66"/>
      <c r="Z2564" s="66"/>
      <c r="AA2564" s="66"/>
      <c r="AB2564" s="66"/>
      <c r="AC2564" s="66"/>
      <c r="AD2564" s="66"/>
      <c r="AE2564" s="66"/>
      <c r="AF2564" s="66"/>
      <c r="AG2564" s="66"/>
      <c r="AH2564" s="66"/>
      <c r="AI2564" s="66"/>
      <c r="AJ2564" s="66"/>
      <c r="AK2564" s="66"/>
      <c r="AL2564" s="66"/>
      <c r="AM2564" s="66"/>
      <c r="AN2564" s="66"/>
      <c r="AO2564" s="66"/>
      <c r="AP2564" s="66"/>
      <c r="AQ2564" s="66"/>
      <c r="AR2564" s="66"/>
      <c r="AS2564" s="66"/>
      <c r="AT2564" s="66"/>
      <c r="AU2564" s="66"/>
      <c r="AV2564" s="66"/>
      <c r="AW2564" s="66"/>
      <c r="AX2564" s="66"/>
      <c r="AY2564" s="66"/>
      <c r="AZ2564" s="66"/>
      <c r="BA2564" s="66"/>
      <c r="BB2564" s="66"/>
      <c r="BC2564" s="66"/>
      <c r="BD2564" s="66"/>
      <c r="BE2564" s="67"/>
      <c r="BF2564" s="67"/>
      <c r="BG2564" s="68"/>
      <c r="BI2564" s="69">
        <v>0</v>
      </c>
      <c r="BJ2564" s="70">
        <v>0</v>
      </c>
      <c r="BK2564" s="71">
        <v>0</v>
      </c>
      <c r="BL2564" s="71">
        <v>0</v>
      </c>
      <c r="BM2564" s="71">
        <v>0</v>
      </c>
      <c r="BN2564" s="72">
        <v>0</v>
      </c>
      <c r="BO2564" s="151" t="e">
        <f t="shared" si="174"/>
        <v>#DIV/0!</v>
      </c>
      <c r="BP2564" s="151" t="e">
        <f t="shared" si="175"/>
        <v>#DIV/0!</v>
      </c>
      <c r="BQ2564" s="71">
        <v>0</v>
      </c>
      <c r="BR2564" s="71">
        <v>0</v>
      </c>
      <c r="BS2564" s="71">
        <v>0</v>
      </c>
      <c r="BT2564" s="72">
        <v>0</v>
      </c>
      <c r="BU2564" s="151" t="e">
        <f t="shared" ref="BU2564:BU2627" si="176">(BQ2564+BR2564)/BJ2564</f>
        <v>#DIV/0!</v>
      </c>
      <c r="BV2564" s="151" t="e">
        <f t="shared" ref="BV2564:BV2627" si="177">BS2564/BJ2564</f>
        <v>#DIV/0!</v>
      </c>
    </row>
    <row r="2565" ht="30" customHeight="1" spans="1:74">
      <c r="A2565" s="55">
        <v>0</v>
      </c>
      <c r="B2565" s="56" t="s">
        <v>1237</v>
      </c>
      <c r="C2565" s="57" t="s">
        <v>1238</v>
      </c>
      <c r="D2565" s="113" t="s">
        <v>3932</v>
      </c>
      <c r="E2565" s="113"/>
      <c r="F2565" s="59" t="e">
        <f>VLOOKUP(E2565,[1]库存!$B$1:$C$65536,2,FALSE)</f>
        <v>#N/A</v>
      </c>
      <c r="G2565" s="59" t="e">
        <v>#N/A</v>
      </c>
      <c r="H2565" s="113" t="s">
        <v>3899</v>
      </c>
      <c r="I2565" s="113" t="s">
        <v>3900</v>
      </c>
      <c r="J2565" s="240" t="s">
        <v>3958</v>
      </c>
      <c r="K2565" s="61"/>
      <c r="L2565" s="62">
        <v>1</v>
      </c>
      <c r="M2565" s="63">
        <v>350</v>
      </c>
      <c r="N2565" s="64">
        <v>4</v>
      </c>
      <c r="O2565" s="62">
        <v>1</v>
      </c>
      <c r="P2565" s="65">
        <f t="shared" si="173"/>
        <v>0</v>
      </c>
      <c r="Q2565" s="103"/>
      <c r="R2565" s="103"/>
      <c r="S2565" s="103"/>
      <c r="T2565" s="103"/>
      <c r="U2565" s="103"/>
      <c r="V2565" s="103"/>
      <c r="W2565" s="103"/>
      <c r="X2565" s="103"/>
      <c r="Y2565" s="103"/>
      <c r="Z2565" s="103"/>
      <c r="AA2565" s="103"/>
      <c r="AB2565" s="103"/>
      <c r="AC2565" s="103"/>
      <c r="AD2565" s="103"/>
      <c r="AE2565" s="103"/>
      <c r="AF2565" s="103"/>
      <c r="AG2565" s="103"/>
      <c r="AH2565" s="103"/>
      <c r="AI2565" s="103"/>
      <c r="AJ2565" s="103"/>
      <c r="AK2565" s="103"/>
      <c r="AL2565" s="103"/>
      <c r="AM2565" s="103"/>
      <c r="AN2565" s="103"/>
      <c r="AO2565" s="103"/>
      <c r="AP2565" s="103"/>
      <c r="AQ2565" s="103"/>
      <c r="AR2565" s="103"/>
      <c r="AS2565" s="103"/>
      <c r="AT2565" s="103"/>
      <c r="AU2565" s="103"/>
      <c r="AV2565" s="103"/>
      <c r="AW2565" s="103"/>
      <c r="AX2565" s="103"/>
      <c r="AY2565" s="103"/>
      <c r="AZ2565" s="103"/>
      <c r="BA2565" s="103"/>
      <c r="BB2565" s="103"/>
      <c r="BC2565" s="103"/>
      <c r="BD2565" s="103"/>
      <c r="BE2565" s="105"/>
      <c r="BF2565" s="105"/>
      <c r="BG2565" s="68"/>
      <c r="BI2565" s="69">
        <v>0</v>
      </c>
      <c r="BJ2565" s="70">
        <v>0</v>
      </c>
      <c r="BK2565" s="71">
        <v>0</v>
      </c>
      <c r="BL2565" s="71">
        <v>0</v>
      </c>
      <c r="BM2565" s="71">
        <v>0</v>
      </c>
      <c r="BN2565" s="72">
        <v>0</v>
      </c>
      <c r="BO2565" s="151" t="e">
        <f t="shared" si="174"/>
        <v>#DIV/0!</v>
      </c>
      <c r="BP2565" s="151" t="e">
        <f t="shared" si="175"/>
        <v>#DIV/0!</v>
      </c>
      <c r="BQ2565" s="71">
        <v>0</v>
      </c>
      <c r="BR2565" s="71">
        <v>0</v>
      </c>
      <c r="BS2565" s="71">
        <v>0</v>
      </c>
      <c r="BT2565" s="72">
        <v>0</v>
      </c>
      <c r="BU2565" s="151" t="e">
        <f t="shared" si="176"/>
        <v>#DIV/0!</v>
      </c>
      <c r="BV2565" s="151" t="e">
        <f t="shared" si="177"/>
        <v>#DIV/0!</v>
      </c>
    </row>
    <row r="2566" ht="30" customHeight="1" spans="1:74">
      <c r="A2566" s="55">
        <v>0</v>
      </c>
      <c r="B2566" s="56">
        <v>0</v>
      </c>
      <c r="C2566" s="57" t="s">
        <v>1238</v>
      </c>
      <c r="D2566" s="127"/>
      <c r="E2566" s="127"/>
      <c r="F2566" s="59" t="e">
        <f>VLOOKUP(E2566,[1]库存!$B$1:$C$65536,2,FALSE)</f>
        <v>#N/A</v>
      </c>
      <c r="G2566" s="59" t="e">
        <v>#N/A</v>
      </c>
      <c r="H2566" s="127"/>
      <c r="I2566" s="127"/>
      <c r="J2566" s="241"/>
      <c r="K2566" s="61"/>
      <c r="L2566" s="62">
        <v>0</v>
      </c>
      <c r="M2566" s="63">
        <v>0</v>
      </c>
      <c r="N2566" s="64">
        <v>0</v>
      </c>
      <c r="O2566" s="62">
        <v>0</v>
      </c>
      <c r="P2566" s="65">
        <f t="shared" ref="P2566:P2629" si="178">SUM(AG2566:AJ2566)</f>
        <v>0</v>
      </c>
      <c r="Q2566" s="66"/>
      <c r="R2566" s="66"/>
      <c r="S2566" s="66"/>
      <c r="T2566" s="66"/>
      <c r="U2566" s="66"/>
      <c r="V2566" s="66"/>
      <c r="W2566" s="66"/>
      <c r="X2566" s="66"/>
      <c r="Y2566" s="66"/>
      <c r="Z2566" s="66"/>
      <c r="AA2566" s="66"/>
      <c r="AB2566" s="66"/>
      <c r="AC2566" s="66"/>
      <c r="AD2566" s="66"/>
      <c r="AE2566" s="66"/>
      <c r="AF2566" s="66"/>
      <c r="AG2566" s="66"/>
      <c r="AH2566" s="66"/>
      <c r="AI2566" s="66"/>
      <c r="AJ2566" s="66"/>
      <c r="AK2566" s="66"/>
      <c r="AL2566" s="66"/>
      <c r="AM2566" s="66"/>
      <c r="AN2566" s="66"/>
      <c r="AO2566" s="66"/>
      <c r="AP2566" s="66"/>
      <c r="AQ2566" s="66"/>
      <c r="AR2566" s="66"/>
      <c r="AS2566" s="66"/>
      <c r="AT2566" s="66"/>
      <c r="AU2566" s="66"/>
      <c r="AV2566" s="66"/>
      <c r="AW2566" s="66"/>
      <c r="AX2566" s="66"/>
      <c r="AY2566" s="66"/>
      <c r="AZ2566" s="66"/>
      <c r="BA2566" s="66"/>
      <c r="BB2566" s="66"/>
      <c r="BC2566" s="66"/>
      <c r="BD2566" s="66"/>
      <c r="BE2566" s="67"/>
      <c r="BF2566" s="67"/>
      <c r="BG2566" s="68"/>
      <c r="BI2566" s="69">
        <v>0</v>
      </c>
      <c r="BJ2566" s="70">
        <v>0</v>
      </c>
      <c r="BK2566" s="71">
        <v>0</v>
      </c>
      <c r="BL2566" s="71">
        <v>0</v>
      </c>
      <c r="BM2566" s="71">
        <v>0</v>
      </c>
      <c r="BN2566" s="72">
        <v>0</v>
      </c>
      <c r="BO2566" s="151" t="e">
        <f t="shared" si="174"/>
        <v>#DIV/0!</v>
      </c>
      <c r="BP2566" s="151" t="e">
        <f t="shared" si="175"/>
        <v>#DIV/0!</v>
      </c>
      <c r="BQ2566" s="71">
        <v>0</v>
      </c>
      <c r="BR2566" s="71">
        <v>0</v>
      </c>
      <c r="BS2566" s="71">
        <v>0</v>
      </c>
      <c r="BT2566" s="72">
        <v>0</v>
      </c>
      <c r="BU2566" s="151" t="e">
        <f t="shared" si="176"/>
        <v>#DIV/0!</v>
      </c>
      <c r="BV2566" s="151" t="e">
        <f t="shared" si="177"/>
        <v>#DIV/0!</v>
      </c>
    </row>
    <row r="2567" ht="30" customHeight="1" spans="1:74">
      <c r="A2567" s="55">
        <v>0</v>
      </c>
      <c r="B2567" s="56" t="s">
        <v>1237</v>
      </c>
      <c r="C2567" s="57" t="s">
        <v>1238</v>
      </c>
      <c r="D2567" s="113" t="s">
        <v>3932</v>
      </c>
      <c r="E2567" s="113"/>
      <c r="F2567" s="59" t="e">
        <f>VLOOKUP(E2567,[1]库存!$B$1:$C$65536,2,FALSE)</f>
        <v>#N/A</v>
      </c>
      <c r="G2567" s="59" t="e">
        <v>#N/A</v>
      </c>
      <c r="H2567" s="113" t="s">
        <v>3902</v>
      </c>
      <c r="I2567" s="113" t="s">
        <v>3900</v>
      </c>
      <c r="J2567" s="240" t="s">
        <v>3958</v>
      </c>
      <c r="K2567" s="61"/>
      <c r="L2567" s="62">
        <v>1</v>
      </c>
      <c r="M2567" s="63">
        <v>350</v>
      </c>
      <c r="N2567" s="64">
        <v>4</v>
      </c>
      <c r="O2567" s="62">
        <v>1</v>
      </c>
      <c r="P2567" s="65">
        <f t="shared" si="178"/>
        <v>0</v>
      </c>
      <c r="Q2567" s="103"/>
      <c r="R2567" s="103"/>
      <c r="S2567" s="103"/>
      <c r="T2567" s="103"/>
      <c r="U2567" s="103"/>
      <c r="V2567" s="103"/>
      <c r="W2567" s="103"/>
      <c r="X2567" s="103"/>
      <c r="Y2567" s="103"/>
      <c r="Z2567" s="103"/>
      <c r="AA2567" s="103"/>
      <c r="AB2567" s="103"/>
      <c r="AC2567" s="103"/>
      <c r="AD2567" s="103"/>
      <c r="AE2567" s="103"/>
      <c r="AF2567" s="103"/>
      <c r="AG2567" s="103"/>
      <c r="AH2567" s="103"/>
      <c r="AI2567" s="103"/>
      <c r="AJ2567" s="103"/>
      <c r="AK2567" s="103"/>
      <c r="AL2567" s="103"/>
      <c r="AM2567" s="103"/>
      <c r="AN2567" s="103"/>
      <c r="AO2567" s="103"/>
      <c r="AP2567" s="103"/>
      <c r="AQ2567" s="103"/>
      <c r="AR2567" s="103"/>
      <c r="AS2567" s="103"/>
      <c r="AT2567" s="103"/>
      <c r="AU2567" s="103"/>
      <c r="AV2567" s="103"/>
      <c r="AW2567" s="103"/>
      <c r="AX2567" s="103"/>
      <c r="AY2567" s="103"/>
      <c r="AZ2567" s="103"/>
      <c r="BA2567" s="103"/>
      <c r="BB2567" s="103"/>
      <c r="BC2567" s="103"/>
      <c r="BD2567" s="103"/>
      <c r="BE2567" s="105"/>
      <c r="BF2567" s="105"/>
      <c r="BG2567" s="68"/>
      <c r="BI2567" s="69">
        <v>0</v>
      </c>
      <c r="BJ2567" s="70">
        <v>0</v>
      </c>
      <c r="BK2567" s="71">
        <v>0</v>
      </c>
      <c r="BL2567" s="71">
        <v>0</v>
      </c>
      <c r="BM2567" s="71">
        <v>0</v>
      </c>
      <c r="BN2567" s="72">
        <v>0</v>
      </c>
      <c r="BO2567" s="151" t="e">
        <f t="shared" si="174"/>
        <v>#DIV/0!</v>
      </c>
      <c r="BP2567" s="151" t="e">
        <f t="shared" si="175"/>
        <v>#DIV/0!</v>
      </c>
      <c r="BQ2567" s="71">
        <v>0</v>
      </c>
      <c r="BR2567" s="71">
        <v>0</v>
      </c>
      <c r="BS2567" s="71">
        <v>0</v>
      </c>
      <c r="BT2567" s="72">
        <v>0</v>
      </c>
      <c r="BU2567" s="151" t="e">
        <f t="shared" si="176"/>
        <v>#DIV/0!</v>
      </c>
      <c r="BV2567" s="151" t="e">
        <f t="shared" si="177"/>
        <v>#DIV/0!</v>
      </c>
    </row>
    <row r="2568" ht="30" customHeight="1" spans="1:74">
      <c r="A2568" s="55">
        <v>0</v>
      </c>
      <c r="B2568" s="56">
        <v>0</v>
      </c>
      <c r="C2568" s="57" t="s">
        <v>1238</v>
      </c>
      <c r="D2568" s="127"/>
      <c r="E2568" s="127"/>
      <c r="F2568" s="59" t="e">
        <f>VLOOKUP(E2568,[1]库存!$B$1:$C$65536,2,FALSE)</f>
        <v>#N/A</v>
      </c>
      <c r="G2568" s="59" t="e">
        <v>#N/A</v>
      </c>
      <c r="H2568" s="127"/>
      <c r="I2568" s="127"/>
      <c r="J2568" s="241"/>
      <c r="K2568" s="61"/>
      <c r="L2568" s="62">
        <v>0</v>
      </c>
      <c r="M2568" s="63">
        <v>0</v>
      </c>
      <c r="N2568" s="64">
        <v>0</v>
      </c>
      <c r="O2568" s="62">
        <v>0</v>
      </c>
      <c r="P2568" s="65">
        <f t="shared" si="178"/>
        <v>0</v>
      </c>
      <c r="Q2568" s="66"/>
      <c r="R2568" s="66"/>
      <c r="S2568" s="66"/>
      <c r="T2568" s="66"/>
      <c r="U2568" s="66"/>
      <c r="V2568" s="66"/>
      <c r="W2568" s="66"/>
      <c r="X2568" s="66"/>
      <c r="Y2568" s="66"/>
      <c r="Z2568" s="66"/>
      <c r="AA2568" s="66"/>
      <c r="AB2568" s="66"/>
      <c r="AC2568" s="66"/>
      <c r="AD2568" s="66"/>
      <c r="AE2568" s="66"/>
      <c r="AF2568" s="66"/>
      <c r="AG2568" s="66"/>
      <c r="AH2568" s="66"/>
      <c r="AI2568" s="66"/>
      <c r="AJ2568" s="66"/>
      <c r="AK2568" s="66"/>
      <c r="AL2568" s="66"/>
      <c r="AM2568" s="66"/>
      <c r="AN2568" s="66"/>
      <c r="AO2568" s="66"/>
      <c r="AP2568" s="66"/>
      <c r="AQ2568" s="66"/>
      <c r="AR2568" s="66"/>
      <c r="AS2568" s="66"/>
      <c r="AT2568" s="66"/>
      <c r="AU2568" s="66"/>
      <c r="AV2568" s="66"/>
      <c r="AW2568" s="66"/>
      <c r="AX2568" s="66"/>
      <c r="AY2568" s="66"/>
      <c r="AZ2568" s="66"/>
      <c r="BA2568" s="66"/>
      <c r="BB2568" s="66"/>
      <c r="BC2568" s="66"/>
      <c r="BD2568" s="66"/>
      <c r="BE2568" s="67"/>
      <c r="BF2568" s="67"/>
      <c r="BG2568" s="68"/>
      <c r="BI2568" s="69">
        <v>0</v>
      </c>
      <c r="BJ2568" s="70">
        <v>0</v>
      </c>
      <c r="BK2568" s="71">
        <v>0</v>
      </c>
      <c r="BL2568" s="71">
        <v>0</v>
      </c>
      <c r="BM2568" s="71">
        <v>0</v>
      </c>
      <c r="BN2568" s="72">
        <v>0</v>
      </c>
      <c r="BO2568" s="151" t="e">
        <f t="shared" si="174"/>
        <v>#DIV/0!</v>
      </c>
      <c r="BP2568" s="151" t="e">
        <f t="shared" si="175"/>
        <v>#DIV/0!</v>
      </c>
      <c r="BQ2568" s="71">
        <v>0</v>
      </c>
      <c r="BR2568" s="71">
        <v>0</v>
      </c>
      <c r="BS2568" s="71">
        <v>0</v>
      </c>
      <c r="BT2568" s="72">
        <v>0</v>
      </c>
      <c r="BU2568" s="151" t="e">
        <f t="shared" si="176"/>
        <v>#DIV/0!</v>
      </c>
      <c r="BV2568" s="151" t="e">
        <f t="shared" si="177"/>
        <v>#DIV/0!</v>
      </c>
    </row>
    <row r="2569" ht="30" customHeight="1" spans="1:74">
      <c r="A2569" s="55">
        <v>0</v>
      </c>
      <c r="B2569" s="56" t="s">
        <v>1237</v>
      </c>
      <c r="C2569" s="57" t="s">
        <v>3341</v>
      </c>
      <c r="D2569" s="59" t="s">
        <v>3227</v>
      </c>
      <c r="E2569" s="286" t="s">
        <v>3903</v>
      </c>
      <c r="F2569" s="59" t="str">
        <f>VLOOKUP(E2569,[1]库存!$B$1:$C$65536,2,FALSE)</f>
        <v>AS23 CAB C状态拉带</v>
      </c>
      <c r="G2569" s="59" t="s">
        <v>3904</v>
      </c>
      <c r="H2569" s="59" t="s">
        <v>3905</v>
      </c>
      <c r="I2569" s="59"/>
      <c r="J2569" s="117"/>
      <c r="K2569" s="61"/>
      <c r="L2569" s="62">
        <v>0</v>
      </c>
      <c r="M2569" s="63">
        <v>1000</v>
      </c>
      <c r="N2569" s="64">
        <v>1.5</v>
      </c>
      <c r="O2569" s="62">
        <v>0</v>
      </c>
      <c r="P2569" s="65">
        <f t="shared" si="178"/>
        <v>0</v>
      </c>
      <c r="Q2569" s="66"/>
      <c r="R2569" s="66"/>
      <c r="S2569" s="66"/>
      <c r="T2569" s="66"/>
      <c r="U2569" s="66"/>
      <c r="V2569" s="66"/>
      <c r="W2569" s="66"/>
      <c r="X2569" s="66"/>
      <c r="Y2569" s="66"/>
      <c r="Z2569" s="66"/>
      <c r="AA2569" s="66"/>
      <c r="AB2569" s="66"/>
      <c r="AC2569" s="66"/>
      <c r="AD2569" s="66"/>
      <c r="AE2569" s="66"/>
      <c r="AF2569" s="66"/>
      <c r="AG2569" s="66"/>
      <c r="AH2569" s="66"/>
      <c r="AI2569" s="66"/>
      <c r="AJ2569" s="66"/>
      <c r="AK2569" s="66"/>
      <c r="AL2569" s="66"/>
      <c r="AM2569" s="66"/>
      <c r="AN2569" s="66"/>
      <c r="AO2569" s="66"/>
      <c r="AP2569" s="66"/>
      <c r="AQ2569" s="66"/>
      <c r="AR2569" s="66"/>
      <c r="AS2569" s="66"/>
      <c r="AT2569" s="66"/>
      <c r="AU2569" s="66"/>
      <c r="AV2569" s="66"/>
      <c r="AW2569" s="66"/>
      <c r="AX2569" s="66"/>
      <c r="AY2569" s="66"/>
      <c r="AZ2569" s="66"/>
      <c r="BA2569" s="66"/>
      <c r="BB2569" s="66"/>
      <c r="BC2569" s="66"/>
      <c r="BD2569" s="66"/>
      <c r="BE2569" s="67"/>
      <c r="BF2569" s="67"/>
      <c r="BG2569" s="68"/>
      <c r="BI2569" s="69">
        <v>0</v>
      </c>
      <c r="BJ2569" s="70">
        <v>0</v>
      </c>
      <c r="BK2569" s="71">
        <v>0</v>
      </c>
      <c r="BL2569" s="71">
        <v>0</v>
      </c>
      <c r="BM2569" s="71">
        <v>0</v>
      </c>
      <c r="BN2569" s="72">
        <v>0</v>
      </c>
      <c r="BO2569" s="151" t="e">
        <f t="shared" si="174"/>
        <v>#DIV/0!</v>
      </c>
      <c r="BP2569" s="151" t="e">
        <f t="shared" si="175"/>
        <v>#DIV/0!</v>
      </c>
      <c r="BQ2569" s="71">
        <v>0</v>
      </c>
      <c r="BR2569" s="71">
        <v>0</v>
      </c>
      <c r="BS2569" s="71">
        <v>0</v>
      </c>
      <c r="BT2569" s="72">
        <v>0</v>
      </c>
      <c r="BU2569" s="151" t="e">
        <f t="shared" si="176"/>
        <v>#DIV/0!</v>
      </c>
      <c r="BV2569" s="151" t="e">
        <f t="shared" si="177"/>
        <v>#DIV/0!</v>
      </c>
    </row>
    <row r="2570" ht="30" customHeight="1" spans="1:74">
      <c r="A2570" s="55">
        <v>0</v>
      </c>
      <c r="B2570" s="56">
        <v>0</v>
      </c>
      <c r="C2570" s="57">
        <v>0</v>
      </c>
      <c r="D2570" s="74"/>
      <c r="E2570" s="287"/>
      <c r="F2570" s="59" t="e">
        <f>VLOOKUP(E2570,[1]库存!$B$1:$C$65536,2,FALSE)</f>
        <v>#N/A</v>
      </c>
      <c r="G2570" s="59" t="e">
        <v>#N/A</v>
      </c>
      <c r="H2570" s="74"/>
      <c r="I2570" s="74"/>
      <c r="J2570" s="162"/>
      <c r="K2570" s="61"/>
      <c r="L2570" s="62">
        <v>0</v>
      </c>
      <c r="M2570" s="63">
        <v>0</v>
      </c>
      <c r="N2570" s="64">
        <v>0</v>
      </c>
      <c r="O2570" s="62">
        <v>0</v>
      </c>
      <c r="P2570" s="65">
        <f t="shared" si="178"/>
        <v>0</v>
      </c>
      <c r="Q2570" s="66"/>
      <c r="R2570" s="66"/>
      <c r="S2570" s="66"/>
      <c r="T2570" s="66"/>
      <c r="U2570" s="66"/>
      <c r="V2570" s="66"/>
      <c r="W2570" s="66"/>
      <c r="X2570" s="66"/>
      <c r="Y2570" s="66"/>
      <c r="Z2570" s="66"/>
      <c r="AA2570" s="66"/>
      <c r="AB2570" s="66"/>
      <c r="AC2570" s="66"/>
      <c r="AD2570" s="66"/>
      <c r="AE2570" s="66"/>
      <c r="AF2570" s="66"/>
      <c r="AG2570" s="66"/>
      <c r="AH2570" s="66"/>
      <c r="AI2570" s="66"/>
      <c r="AJ2570" s="66"/>
      <c r="AK2570" s="66"/>
      <c r="AL2570" s="66"/>
      <c r="AM2570" s="66"/>
      <c r="AN2570" s="66"/>
      <c r="AO2570" s="66"/>
      <c r="AP2570" s="66"/>
      <c r="AQ2570" s="66"/>
      <c r="AR2570" s="66"/>
      <c r="AS2570" s="66"/>
      <c r="AT2570" s="66"/>
      <c r="AU2570" s="66"/>
      <c r="AV2570" s="66"/>
      <c r="AW2570" s="66"/>
      <c r="AX2570" s="66"/>
      <c r="AY2570" s="66"/>
      <c r="AZ2570" s="66"/>
      <c r="BA2570" s="66"/>
      <c r="BB2570" s="66"/>
      <c r="BC2570" s="66"/>
      <c r="BD2570" s="66"/>
      <c r="BE2570" s="67"/>
      <c r="BF2570" s="67"/>
      <c r="BG2570" s="68"/>
      <c r="BI2570" s="69">
        <v>0</v>
      </c>
      <c r="BJ2570" s="70">
        <v>0</v>
      </c>
      <c r="BK2570" s="71">
        <v>0</v>
      </c>
      <c r="BL2570" s="71">
        <v>0</v>
      </c>
      <c r="BM2570" s="71">
        <v>0</v>
      </c>
      <c r="BN2570" s="72">
        <v>0</v>
      </c>
      <c r="BO2570" s="151" t="e">
        <f t="shared" si="174"/>
        <v>#DIV/0!</v>
      </c>
      <c r="BP2570" s="151" t="e">
        <f t="shared" si="175"/>
        <v>#DIV/0!</v>
      </c>
      <c r="BQ2570" s="71">
        <v>0</v>
      </c>
      <c r="BR2570" s="71">
        <v>0</v>
      </c>
      <c r="BS2570" s="71">
        <v>0</v>
      </c>
      <c r="BT2570" s="72">
        <v>0</v>
      </c>
      <c r="BU2570" s="151" t="e">
        <f t="shared" si="176"/>
        <v>#DIV/0!</v>
      </c>
      <c r="BV2570" s="151" t="e">
        <f t="shared" si="177"/>
        <v>#DIV/0!</v>
      </c>
    </row>
    <row r="2571" ht="30" customHeight="1" spans="1:74">
      <c r="A2571" s="55">
        <v>0</v>
      </c>
      <c r="B2571" s="56" t="s">
        <v>1237</v>
      </c>
      <c r="C2571" s="57" t="s">
        <v>3341</v>
      </c>
      <c r="D2571" s="59" t="s">
        <v>3697</v>
      </c>
      <c r="E2571" s="59" t="s">
        <v>3906</v>
      </c>
      <c r="F2571" s="59" t="str">
        <f>VLOOKUP(E2571,[1]库存!$B$1:$C$65536,2,FALSE)</f>
        <v>AS23 CAB C状态导气袋</v>
      </c>
      <c r="G2571" s="59" t="s">
        <v>3907</v>
      </c>
      <c r="H2571" s="59" t="s">
        <v>3908</v>
      </c>
      <c r="I2571" s="59"/>
      <c r="J2571" s="117"/>
      <c r="K2571" s="61"/>
      <c r="L2571" s="62">
        <v>0.7</v>
      </c>
      <c r="M2571" s="63">
        <v>1000</v>
      </c>
      <c r="N2571" s="64">
        <v>2</v>
      </c>
      <c r="O2571" s="62">
        <v>0.7</v>
      </c>
      <c r="P2571" s="65">
        <f t="shared" si="178"/>
        <v>0</v>
      </c>
      <c r="Q2571" s="66"/>
      <c r="R2571" s="66"/>
      <c r="S2571" s="66"/>
      <c r="T2571" s="66"/>
      <c r="U2571" s="66"/>
      <c r="V2571" s="66"/>
      <c r="W2571" s="66"/>
      <c r="X2571" s="66"/>
      <c r="Y2571" s="66"/>
      <c r="Z2571" s="66"/>
      <c r="AA2571" s="66"/>
      <c r="AB2571" s="66"/>
      <c r="AC2571" s="66"/>
      <c r="AD2571" s="66"/>
      <c r="AE2571" s="66"/>
      <c r="AF2571" s="66"/>
      <c r="AG2571" s="66"/>
      <c r="AH2571" s="66"/>
      <c r="AI2571" s="66"/>
      <c r="AJ2571" s="66"/>
      <c r="AK2571" s="66"/>
      <c r="AL2571" s="66"/>
      <c r="AM2571" s="66"/>
      <c r="AN2571" s="66"/>
      <c r="AO2571" s="66"/>
      <c r="AP2571" s="66"/>
      <c r="AQ2571" s="66"/>
      <c r="AR2571" s="66"/>
      <c r="AS2571" s="66"/>
      <c r="AT2571" s="66"/>
      <c r="AU2571" s="66"/>
      <c r="AV2571" s="66"/>
      <c r="AW2571" s="66"/>
      <c r="AX2571" s="66"/>
      <c r="AY2571" s="66"/>
      <c r="AZ2571" s="66"/>
      <c r="BA2571" s="66"/>
      <c r="BB2571" s="66"/>
      <c r="BC2571" s="66"/>
      <c r="BD2571" s="66"/>
      <c r="BE2571" s="67"/>
      <c r="BF2571" s="67"/>
      <c r="BG2571" s="68"/>
      <c r="BI2571" s="69">
        <v>0</v>
      </c>
      <c r="BJ2571" s="70">
        <v>0</v>
      </c>
      <c r="BK2571" s="71">
        <v>0</v>
      </c>
      <c r="BL2571" s="71">
        <v>0</v>
      </c>
      <c r="BM2571" s="71">
        <v>0</v>
      </c>
      <c r="BN2571" s="72">
        <v>0</v>
      </c>
      <c r="BO2571" s="151" t="e">
        <f t="shared" si="174"/>
        <v>#DIV/0!</v>
      </c>
      <c r="BP2571" s="151" t="e">
        <f t="shared" si="175"/>
        <v>#DIV/0!</v>
      </c>
      <c r="BQ2571" s="71">
        <v>0</v>
      </c>
      <c r="BR2571" s="71">
        <v>0</v>
      </c>
      <c r="BS2571" s="71">
        <v>0</v>
      </c>
      <c r="BT2571" s="72">
        <v>0</v>
      </c>
      <c r="BU2571" s="151" t="e">
        <f t="shared" si="176"/>
        <v>#DIV/0!</v>
      </c>
      <c r="BV2571" s="151" t="e">
        <f t="shared" si="177"/>
        <v>#DIV/0!</v>
      </c>
    </row>
    <row r="2572" ht="30" customHeight="1" spans="1:74">
      <c r="A2572" s="55">
        <v>0</v>
      </c>
      <c r="B2572" s="56">
        <v>0</v>
      </c>
      <c r="C2572" s="57">
        <v>0</v>
      </c>
      <c r="D2572" s="74"/>
      <c r="E2572" s="74"/>
      <c r="F2572" s="59" t="e">
        <f>VLOOKUP(E2572,[1]库存!$B$1:$C$65536,2,FALSE)</f>
        <v>#N/A</v>
      </c>
      <c r="G2572" s="59" t="e">
        <v>#N/A</v>
      </c>
      <c r="H2572" s="74"/>
      <c r="I2572" s="74"/>
      <c r="J2572" s="162"/>
      <c r="K2572" s="61"/>
      <c r="L2572" s="62">
        <v>0</v>
      </c>
      <c r="M2572" s="63">
        <v>0</v>
      </c>
      <c r="N2572" s="64">
        <v>0</v>
      </c>
      <c r="O2572" s="62">
        <v>0</v>
      </c>
      <c r="P2572" s="65">
        <f t="shared" si="178"/>
        <v>0</v>
      </c>
      <c r="Q2572" s="66"/>
      <c r="R2572" s="66"/>
      <c r="S2572" s="66"/>
      <c r="T2572" s="66"/>
      <c r="U2572" s="66"/>
      <c r="V2572" s="66"/>
      <c r="W2572" s="66"/>
      <c r="X2572" s="66"/>
      <c r="Y2572" s="66"/>
      <c r="Z2572" s="66"/>
      <c r="AA2572" s="66"/>
      <c r="AB2572" s="66"/>
      <c r="AC2572" s="66"/>
      <c r="AD2572" s="66"/>
      <c r="AE2572" s="66"/>
      <c r="AF2572" s="66"/>
      <c r="AG2572" s="66"/>
      <c r="AH2572" s="66"/>
      <c r="AI2572" s="66"/>
      <c r="AJ2572" s="66"/>
      <c r="AK2572" s="66"/>
      <c r="AL2572" s="66"/>
      <c r="AM2572" s="66"/>
      <c r="AN2572" s="66"/>
      <c r="AO2572" s="66"/>
      <c r="AP2572" s="66"/>
      <c r="AQ2572" s="66"/>
      <c r="AR2572" s="66"/>
      <c r="AS2572" s="66"/>
      <c r="AT2572" s="66"/>
      <c r="AU2572" s="66"/>
      <c r="AV2572" s="66"/>
      <c r="AW2572" s="66"/>
      <c r="AX2572" s="66"/>
      <c r="AY2572" s="66"/>
      <c r="AZ2572" s="66"/>
      <c r="BA2572" s="66"/>
      <c r="BB2572" s="66"/>
      <c r="BC2572" s="66"/>
      <c r="BD2572" s="66"/>
      <c r="BE2572" s="67"/>
      <c r="BF2572" s="67"/>
      <c r="BG2572" s="68"/>
      <c r="BI2572" s="69">
        <v>0</v>
      </c>
      <c r="BJ2572" s="70">
        <v>0</v>
      </c>
      <c r="BK2572" s="71">
        <v>0</v>
      </c>
      <c r="BL2572" s="71">
        <v>0</v>
      </c>
      <c r="BM2572" s="71">
        <v>0</v>
      </c>
      <c r="BN2572" s="72">
        <v>0</v>
      </c>
      <c r="BO2572" s="151" t="e">
        <f t="shared" si="174"/>
        <v>#DIV/0!</v>
      </c>
      <c r="BP2572" s="151" t="e">
        <f t="shared" si="175"/>
        <v>#DIV/0!</v>
      </c>
      <c r="BQ2572" s="71">
        <v>0</v>
      </c>
      <c r="BR2572" s="71">
        <v>0</v>
      </c>
      <c r="BS2572" s="71">
        <v>0</v>
      </c>
      <c r="BT2572" s="72">
        <v>0</v>
      </c>
      <c r="BU2572" s="151" t="e">
        <f t="shared" si="176"/>
        <v>#DIV/0!</v>
      </c>
      <c r="BV2572" s="151" t="e">
        <f t="shared" si="177"/>
        <v>#DIV/0!</v>
      </c>
    </row>
    <row r="2573" ht="30" customHeight="1" spans="1:74">
      <c r="A2573" s="55" t="s">
        <v>96</v>
      </c>
      <c r="B2573" s="56" t="s">
        <v>1237</v>
      </c>
      <c r="C2573" s="57" t="s">
        <v>3341</v>
      </c>
      <c r="D2573" s="59" t="s">
        <v>3932</v>
      </c>
      <c r="E2573" s="59" t="s">
        <v>3909</v>
      </c>
      <c r="F2573" s="59" t="str">
        <f>VLOOKUP(E2573,[1]库存!$B$1:$C$65536,2,FALSE)</f>
        <v>SAIC AS23 CAB LH C状态</v>
      </c>
      <c r="G2573" s="59" t="s">
        <v>3910</v>
      </c>
      <c r="H2573" s="59" t="s">
        <v>3911</v>
      </c>
      <c r="I2573" s="59" t="s">
        <v>3900</v>
      </c>
      <c r="J2573" s="117"/>
      <c r="K2573" s="61"/>
      <c r="L2573" s="62">
        <v>1</v>
      </c>
      <c r="M2573" s="63">
        <v>350</v>
      </c>
      <c r="N2573" s="64">
        <v>4</v>
      </c>
      <c r="O2573" s="62">
        <v>1</v>
      </c>
      <c r="P2573" s="65">
        <f t="shared" si="178"/>
        <v>0</v>
      </c>
      <c r="Q2573" s="66"/>
      <c r="R2573" s="103"/>
      <c r="S2573" s="66"/>
      <c r="T2573" s="103"/>
      <c r="U2573" s="66"/>
      <c r="V2573" s="103"/>
      <c r="W2573" s="66"/>
      <c r="X2573" s="103"/>
      <c r="Y2573" s="66"/>
      <c r="Z2573" s="103"/>
      <c r="AA2573" s="66"/>
      <c r="AB2573" s="103"/>
      <c r="AC2573" s="66"/>
      <c r="AD2573" s="103"/>
      <c r="AE2573" s="66"/>
      <c r="AF2573" s="103"/>
      <c r="AG2573" s="66"/>
      <c r="AH2573" s="103"/>
      <c r="AI2573" s="66"/>
      <c r="AJ2573" s="103"/>
      <c r="AK2573" s="66"/>
      <c r="AL2573" s="103"/>
      <c r="AM2573" s="66"/>
      <c r="AN2573" s="103"/>
      <c r="AO2573" s="66"/>
      <c r="AP2573" s="103"/>
      <c r="AQ2573" s="66"/>
      <c r="AR2573" s="103"/>
      <c r="AS2573" s="66"/>
      <c r="AT2573" s="103"/>
      <c r="AU2573" s="66"/>
      <c r="AV2573" s="103"/>
      <c r="AW2573" s="66"/>
      <c r="AX2573" s="103"/>
      <c r="AY2573" s="66"/>
      <c r="AZ2573" s="103"/>
      <c r="BA2573" s="66"/>
      <c r="BB2573" s="103"/>
      <c r="BC2573" s="66"/>
      <c r="BD2573" s="103"/>
      <c r="BE2573" s="105"/>
      <c r="BF2573" s="105"/>
      <c r="BG2573" s="68"/>
      <c r="BI2573" s="69">
        <v>0</v>
      </c>
      <c r="BJ2573" s="70">
        <v>0</v>
      </c>
      <c r="BK2573" s="71">
        <v>0</v>
      </c>
      <c r="BL2573" s="71">
        <v>0</v>
      </c>
      <c r="BM2573" s="71">
        <v>0</v>
      </c>
      <c r="BN2573" s="72">
        <v>0</v>
      </c>
      <c r="BO2573" s="151" t="e">
        <f t="shared" si="174"/>
        <v>#DIV/0!</v>
      </c>
      <c r="BP2573" s="151" t="e">
        <f t="shared" si="175"/>
        <v>#DIV/0!</v>
      </c>
      <c r="BQ2573" s="71">
        <v>0</v>
      </c>
      <c r="BR2573" s="71">
        <v>0</v>
      </c>
      <c r="BS2573" s="71">
        <v>0</v>
      </c>
      <c r="BT2573" s="72">
        <v>0</v>
      </c>
      <c r="BU2573" s="151" t="e">
        <f t="shared" si="176"/>
        <v>#DIV/0!</v>
      </c>
      <c r="BV2573" s="151" t="e">
        <f t="shared" si="177"/>
        <v>#DIV/0!</v>
      </c>
    </row>
    <row r="2574" ht="30" customHeight="1" spans="1:74">
      <c r="A2574" s="55">
        <v>0</v>
      </c>
      <c r="B2574" s="56">
        <v>0</v>
      </c>
      <c r="C2574" s="57">
        <v>0</v>
      </c>
      <c r="D2574" s="74"/>
      <c r="E2574" s="74"/>
      <c r="F2574" s="59" t="e">
        <f>VLOOKUP(E2574,[1]库存!$B$1:$C$65536,2,FALSE)</f>
        <v>#N/A</v>
      </c>
      <c r="G2574" s="59" t="e">
        <v>#N/A</v>
      </c>
      <c r="H2574" s="74"/>
      <c r="I2574" s="74"/>
      <c r="J2574" s="162"/>
      <c r="K2574" s="61"/>
      <c r="L2574" s="62">
        <v>0</v>
      </c>
      <c r="M2574" s="63">
        <v>0</v>
      </c>
      <c r="N2574" s="64">
        <v>0</v>
      </c>
      <c r="O2574" s="62">
        <v>0</v>
      </c>
      <c r="P2574" s="65">
        <f t="shared" si="178"/>
        <v>0</v>
      </c>
      <c r="Q2574" s="66"/>
      <c r="R2574" s="66"/>
      <c r="S2574" s="66"/>
      <c r="T2574" s="66"/>
      <c r="U2574" s="66"/>
      <c r="V2574" s="66"/>
      <c r="W2574" s="66"/>
      <c r="X2574" s="66"/>
      <c r="Y2574" s="66"/>
      <c r="Z2574" s="66"/>
      <c r="AA2574" s="66"/>
      <c r="AB2574" s="66"/>
      <c r="AC2574" s="66"/>
      <c r="AD2574" s="66"/>
      <c r="AE2574" s="66"/>
      <c r="AF2574" s="66"/>
      <c r="AG2574" s="66"/>
      <c r="AH2574" s="66"/>
      <c r="AI2574" s="66"/>
      <c r="AJ2574" s="66"/>
      <c r="AK2574" s="66"/>
      <c r="AL2574" s="66"/>
      <c r="AM2574" s="66"/>
      <c r="AN2574" s="66"/>
      <c r="AO2574" s="66"/>
      <c r="AP2574" s="66"/>
      <c r="AQ2574" s="66"/>
      <c r="AR2574" s="66"/>
      <c r="AS2574" s="66"/>
      <c r="AT2574" s="66"/>
      <c r="AU2574" s="66"/>
      <c r="AV2574" s="66"/>
      <c r="AW2574" s="66"/>
      <c r="AX2574" s="66"/>
      <c r="AY2574" s="66"/>
      <c r="AZ2574" s="66"/>
      <c r="BA2574" s="66"/>
      <c r="BB2574" s="66"/>
      <c r="BC2574" s="66"/>
      <c r="BD2574" s="66"/>
      <c r="BE2574" s="67"/>
      <c r="BF2574" s="67"/>
      <c r="BG2574" s="68"/>
      <c r="BI2574" s="69">
        <v>0</v>
      </c>
      <c r="BJ2574" s="70">
        <v>0</v>
      </c>
      <c r="BK2574" s="71">
        <v>0</v>
      </c>
      <c r="BL2574" s="71">
        <v>0</v>
      </c>
      <c r="BM2574" s="71">
        <v>0</v>
      </c>
      <c r="BN2574" s="72">
        <v>0</v>
      </c>
      <c r="BO2574" s="151" t="e">
        <f t="shared" si="174"/>
        <v>#DIV/0!</v>
      </c>
      <c r="BP2574" s="151" t="e">
        <f t="shared" si="175"/>
        <v>#DIV/0!</v>
      </c>
      <c r="BQ2574" s="71">
        <v>0</v>
      </c>
      <c r="BR2574" s="71">
        <v>0</v>
      </c>
      <c r="BS2574" s="71">
        <v>0</v>
      </c>
      <c r="BT2574" s="72">
        <v>0</v>
      </c>
      <c r="BU2574" s="151" t="e">
        <f t="shared" si="176"/>
        <v>#DIV/0!</v>
      </c>
      <c r="BV2574" s="151" t="e">
        <f t="shared" si="177"/>
        <v>#DIV/0!</v>
      </c>
    </row>
    <row r="2575" ht="30" customHeight="1" spans="1:74">
      <c r="A2575" s="55" t="s">
        <v>96</v>
      </c>
      <c r="B2575" s="56" t="s">
        <v>1237</v>
      </c>
      <c r="C2575" s="57" t="s">
        <v>3341</v>
      </c>
      <c r="D2575" s="59" t="s">
        <v>3932</v>
      </c>
      <c r="E2575" s="59" t="s">
        <v>3912</v>
      </c>
      <c r="F2575" s="59" t="str">
        <f>VLOOKUP(E2575,[1]库存!$B$1:$C$65536,2,FALSE)</f>
        <v>SAIC AS23 CAB RH C状态</v>
      </c>
      <c r="G2575" s="59" t="s">
        <v>3913</v>
      </c>
      <c r="H2575" s="59" t="s">
        <v>3914</v>
      </c>
      <c r="I2575" s="59" t="s">
        <v>3900</v>
      </c>
      <c r="J2575" s="117"/>
      <c r="K2575" s="61"/>
      <c r="L2575" s="62">
        <v>1</v>
      </c>
      <c r="M2575" s="63">
        <v>350</v>
      </c>
      <c r="N2575" s="64">
        <v>4</v>
      </c>
      <c r="O2575" s="62">
        <v>1</v>
      </c>
      <c r="P2575" s="65">
        <f t="shared" si="178"/>
        <v>0</v>
      </c>
      <c r="Q2575" s="66"/>
      <c r="R2575" s="103"/>
      <c r="S2575" s="66"/>
      <c r="T2575" s="103"/>
      <c r="U2575" s="66"/>
      <c r="V2575" s="103"/>
      <c r="W2575" s="66"/>
      <c r="X2575" s="103"/>
      <c r="Y2575" s="66"/>
      <c r="Z2575" s="103"/>
      <c r="AA2575" s="66"/>
      <c r="AB2575" s="103"/>
      <c r="AC2575" s="66"/>
      <c r="AD2575" s="103"/>
      <c r="AE2575" s="66"/>
      <c r="AF2575" s="103"/>
      <c r="AG2575" s="66"/>
      <c r="AH2575" s="103"/>
      <c r="AI2575" s="66"/>
      <c r="AJ2575" s="103"/>
      <c r="AK2575" s="66"/>
      <c r="AL2575" s="103"/>
      <c r="AM2575" s="66"/>
      <c r="AN2575" s="103"/>
      <c r="AO2575" s="66"/>
      <c r="AP2575" s="103"/>
      <c r="AQ2575" s="66"/>
      <c r="AR2575" s="103"/>
      <c r="AS2575" s="66"/>
      <c r="AT2575" s="103"/>
      <c r="AU2575" s="66"/>
      <c r="AV2575" s="103"/>
      <c r="AW2575" s="66"/>
      <c r="AX2575" s="103"/>
      <c r="AY2575" s="66"/>
      <c r="AZ2575" s="103"/>
      <c r="BA2575" s="66"/>
      <c r="BB2575" s="103"/>
      <c r="BC2575" s="66"/>
      <c r="BD2575" s="103"/>
      <c r="BE2575" s="105"/>
      <c r="BF2575" s="105"/>
      <c r="BG2575" s="68"/>
      <c r="BI2575" s="69">
        <v>0</v>
      </c>
      <c r="BJ2575" s="70">
        <v>0</v>
      </c>
      <c r="BK2575" s="71">
        <v>0</v>
      </c>
      <c r="BL2575" s="71">
        <v>0</v>
      </c>
      <c r="BM2575" s="71">
        <v>0</v>
      </c>
      <c r="BN2575" s="72">
        <v>0</v>
      </c>
      <c r="BO2575" s="151" t="e">
        <f t="shared" si="174"/>
        <v>#DIV/0!</v>
      </c>
      <c r="BP2575" s="151" t="e">
        <f t="shared" si="175"/>
        <v>#DIV/0!</v>
      </c>
      <c r="BQ2575" s="71">
        <v>0</v>
      </c>
      <c r="BR2575" s="71">
        <v>0</v>
      </c>
      <c r="BS2575" s="71">
        <v>0</v>
      </c>
      <c r="BT2575" s="72">
        <v>0</v>
      </c>
      <c r="BU2575" s="151" t="e">
        <f t="shared" si="176"/>
        <v>#DIV/0!</v>
      </c>
      <c r="BV2575" s="151" t="e">
        <f t="shared" si="177"/>
        <v>#DIV/0!</v>
      </c>
    </row>
    <row r="2576" ht="30" customHeight="1" spans="1:74">
      <c r="A2576" s="55">
        <v>0</v>
      </c>
      <c r="B2576" s="56">
        <v>0</v>
      </c>
      <c r="C2576" s="57">
        <v>0</v>
      </c>
      <c r="D2576" s="74"/>
      <c r="E2576" s="74"/>
      <c r="F2576" s="59" t="e">
        <f>VLOOKUP(E2576,[1]库存!$B$1:$C$65536,2,FALSE)</f>
        <v>#N/A</v>
      </c>
      <c r="G2576" s="59" t="e">
        <v>#N/A</v>
      </c>
      <c r="H2576" s="74"/>
      <c r="I2576" s="74"/>
      <c r="J2576" s="162"/>
      <c r="K2576" s="61"/>
      <c r="L2576" s="62">
        <v>0</v>
      </c>
      <c r="M2576" s="63">
        <v>0</v>
      </c>
      <c r="N2576" s="64">
        <v>0</v>
      </c>
      <c r="O2576" s="62">
        <v>0</v>
      </c>
      <c r="P2576" s="65">
        <f t="shared" si="178"/>
        <v>0</v>
      </c>
      <c r="Q2576" s="66"/>
      <c r="R2576" s="66"/>
      <c r="S2576" s="66"/>
      <c r="T2576" s="66"/>
      <c r="U2576" s="66"/>
      <c r="V2576" s="66"/>
      <c r="W2576" s="66"/>
      <c r="X2576" s="66"/>
      <c r="Y2576" s="66"/>
      <c r="Z2576" s="66"/>
      <c r="AA2576" s="66"/>
      <c r="AB2576" s="66"/>
      <c r="AC2576" s="66"/>
      <c r="AD2576" s="66"/>
      <c r="AE2576" s="66"/>
      <c r="AF2576" s="66"/>
      <c r="AG2576" s="66"/>
      <c r="AH2576" s="66"/>
      <c r="AI2576" s="66"/>
      <c r="AJ2576" s="66"/>
      <c r="AK2576" s="66"/>
      <c r="AL2576" s="66"/>
      <c r="AM2576" s="66"/>
      <c r="AN2576" s="66"/>
      <c r="AO2576" s="66"/>
      <c r="AP2576" s="66"/>
      <c r="AQ2576" s="66"/>
      <c r="AR2576" s="66"/>
      <c r="AS2576" s="66"/>
      <c r="AT2576" s="66"/>
      <c r="AU2576" s="66"/>
      <c r="AV2576" s="66"/>
      <c r="AW2576" s="66"/>
      <c r="AX2576" s="66"/>
      <c r="AY2576" s="66"/>
      <c r="AZ2576" s="66"/>
      <c r="BA2576" s="66"/>
      <c r="BB2576" s="66"/>
      <c r="BC2576" s="66"/>
      <c r="BD2576" s="66"/>
      <c r="BE2576" s="67"/>
      <c r="BF2576" s="67"/>
      <c r="BG2576" s="68"/>
      <c r="BI2576" s="69">
        <v>0</v>
      </c>
      <c r="BJ2576" s="70">
        <v>0</v>
      </c>
      <c r="BK2576" s="71">
        <v>0</v>
      </c>
      <c r="BL2576" s="71">
        <v>0</v>
      </c>
      <c r="BM2576" s="71">
        <v>0</v>
      </c>
      <c r="BN2576" s="72">
        <v>0</v>
      </c>
      <c r="BO2576" s="151" t="e">
        <f t="shared" si="174"/>
        <v>#DIV/0!</v>
      </c>
      <c r="BP2576" s="151" t="e">
        <f t="shared" si="175"/>
        <v>#DIV/0!</v>
      </c>
      <c r="BQ2576" s="71">
        <v>0</v>
      </c>
      <c r="BR2576" s="71">
        <v>0</v>
      </c>
      <c r="BS2576" s="71">
        <v>0</v>
      </c>
      <c r="BT2576" s="72">
        <v>0</v>
      </c>
      <c r="BU2576" s="151" t="e">
        <f t="shared" si="176"/>
        <v>#DIV/0!</v>
      </c>
      <c r="BV2576" s="151" t="e">
        <f t="shared" si="177"/>
        <v>#DIV/0!</v>
      </c>
    </row>
    <row r="2577" ht="30" customHeight="1" spans="1:74">
      <c r="A2577" s="55">
        <v>0</v>
      </c>
      <c r="B2577" s="56" t="s">
        <v>1237</v>
      </c>
      <c r="C2577" s="57" t="s">
        <v>3341</v>
      </c>
      <c r="D2577" s="59" t="s">
        <v>3675</v>
      </c>
      <c r="E2577" s="59"/>
      <c r="F2577" s="59" t="e">
        <f>VLOOKUP(E2577,[1]库存!$B$1:$C$65536,2,FALSE)</f>
        <v>#N/A</v>
      </c>
      <c r="G2577" s="59" t="e">
        <v>#N/A</v>
      </c>
      <c r="H2577" s="59" t="s">
        <v>3959</v>
      </c>
      <c r="I2577" s="59"/>
      <c r="J2577" s="63"/>
      <c r="K2577" s="61"/>
      <c r="L2577" s="62">
        <v>0</v>
      </c>
      <c r="M2577" s="63">
        <v>1200</v>
      </c>
      <c r="N2577" s="64">
        <v>1</v>
      </c>
      <c r="O2577" s="62">
        <v>1</v>
      </c>
      <c r="P2577" s="65">
        <f t="shared" si="178"/>
        <v>0</v>
      </c>
      <c r="Q2577" s="66"/>
      <c r="R2577" s="66"/>
      <c r="S2577" s="66"/>
      <c r="T2577" s="66"/>
      <c r="U2577" s="66"/>
      <c r="V2577" s="66"/>
      <c r="W2577" s="66"/>
      <c r="X2577" s="66"/>
      <c r="Y2577" s="66"/>
      <c r="Z2577" s="66"/>
      <c r="AA2577" s="66"/>
      <c r="AB2577" s="66"/>
      <c r="AC2577" s="66"/>
      <c r="AD2577" s="66"/>
      <c r="AE2577" s="66"/>
      <c r="AF2577" s="66"/>
      <c r="AG2577" s="66"/>
      <c r="AH2577" s="66"/>
      <c r="AI2577" s="66"/>
      <c r="AJ2577" s="66"/>
      <c r="AK2577" s="66"/>
      <c r="AL2577" s="66"/>
      <c r="AM2577" s="66"/>
      <c r="AN2577" s="66"/>
      <c r="AO2577" s="66"/>
      <c r="AP2577" s="66"/>
      <c r="AQ2577" s="66"/>
      <c r="AR2577" s="66"/>
      <c r="AS2577" s="66"/>
      <c r="AT2577" s="66"/>
      <c r="AU2577" s="66"/>
      <c r="AV2577" s="66"/>
      <c r="AW2577" s="66"/>
      <c r="AX2577" s="66"/>
      <c r="AY2577" s="66"/>
      <c r="AZ2577" s="66"/>
      <c r="BA2577" s="66"/>
      <c r="BB2577" s="66"/>
      <c r="BC2577" s="66"/>
      <c r="BD2577" s="66"/>
      <c r="BE2577" s="67"/>
      <c r="BF2577" s="67"/>
      <c r="BG2577" s="68"/>
      <c r="BI2577" s="69">
        <v>0</v>
      </c>
      <c r="BJ2577" s="70">
        <v>0</v>
      </c>
      <c r="BK2577" s="71">
        <v>0</v>
      </c>
      <c r="BL2577" s="71">
        <v>0</v>
      </c>
      <c r="BM2577" s="71">
        <v>0</v>
      </c>
      <c r="BN2577" s="72">
        <v>0</v>
      </c>
      <c r="BO2577" s="151" t="e">
        <f t="shared" si="174"/>
        <v>#DIV/0!</v>
      </c>
      <c r="BP2577" s="151" t="e">
        <f t="shared" si="175"/>
        <v>#DIV/0!</v>
      </c>
      <c r="BQ2577" s="71">
        <v>0</v>
      </c>
      <c r="BR2577" s="71">
        <v>0</v>
      </c>
      <c r="BS2577" s="71">
        <v>0</v>
      </c>
      <c r="BT2577" s="72">
        <v>0</v>
      </c>
      <c r="BU2577" s="151" t="e">
        <f t="shared" si="176"/>
        <v>#DIV/0!</v>
      </c>
      <c r="BV2577" s="151" t="e">
        <f t="shared" si="177"/>
        <v>#DIV/0!</v>
      </c>
    </row>
    <row r="2578" ht="30" customHeight="1" spans="1:74">
      <c r="A2578" s="55">
        <v>0</v>
      </c>
      <c r="B2578" s="56">
        <v>0</v>
      </c>
      <c r="C2578" s="57">
        <v>0</v>
      </c>
      <c r="D2578" s="74"/>
      <c r="E2578" s="74"/>
      <c r="F2578" s="59" t="e">
        <f>VLOOKUP(E2578,[1]库存!$B$1:$C$65536,2,FALSE)</f>
        <v>#N/A</v>
      </c>
      <c r="G2578" s="59" t="e">
        <v>#N/A</v>
      </c>
      <c r="H2578" s="74"/>
      <c r="I2578" s="74"/>
      <c r="J2578" s="87"/>
      <c r="K2578" s="61"/>
      <c r="L2578" s="62">
        <v>0</v>
      </c>
      <c r="M2578" s="63">
        <v>0</v>
      </c>
      <c r="N2578" s="64">
        <v>0</v>
      </c>
      <c r="O2578" s="62">
        <v>0</v>
      </c>
      <c r="P2578" s="65">
        <f t="shared" si="178"/>
        <v>0</v>
      </c>
      <c r="Q2578" s="66"/>
      <c r="R2578" s="66"/>
      <c r="S2578" s="66"/>
      <c r="T2578" s="66"/>
      <c r="U2578" s="66"/>
      <c r="V2578" s="66"/>
      <c r="W2578" s="66"/>
      <c r="X2578" s="66"/>
      <c r="Y2578" s="66"/>
      <c r="Z2578" s="66"/>
      <c r="AA2578" s="66"/>
      <c r="AB2578" s="66"/>
      <c r="AC2578" s="66"/>
      <c r="AD2578" s="66"/>
      <c r="AE2578" s="66"/>
      <c r="AF2578" s="66"/>
      <c r="AG2578" s="66"/>
      <c r="AH2578" s="66"/>
      <c r="AI2578" s="66"/>
      <c r="AJ2578" s="66"/>
      <c r="AK2578" s="66"/>
      <c r="AL2578" s="66"/>
      <c r="AM2578" s="66"/>
      <c r="AN2578" s="66"/>
      <c r="AO2578" s="66"/>
      <c r="AP2578" s="66"/>
      <c r="AQ2578" s="66"/>
      <c r="AR2578" s="66"/>
      <c r="AS2578" s="66"/>
      <c r="AT2578" s="66"/>
      <c r="AU2578" s="66"/>
      <c r="AV2578" s="66"/>
      <c r="AW2578" s="66"/>
      <c r="AX2578" s="66"/>
      <c r="AY2578" s="66"/>
      <c r="AZ2578" s="66"/>
      <c r="BA2578" s="66"/>
      <c r="BB2578" s="66"/>
      <c r="BC2578" s="66"/>
      <c r="BD2578" s="66"/>
      <c r="BE2578" s="67"/>
      <c r="BF2578" s="67"/>
      <c r="BG2578" s="68"/>
      <c r="BI2578" s="69">
        <v>0</v>
      </c>
      <c r="BJ2578" s="70">
        <v>0</v>
      </c>
      <c r="BK2578" s="71">
        <v>0</v>
      </c>
      <c r="BL2578" s="71">
        <v>0</v>
      </c>
      <c r="BM2578" s="71">
        <v>0</v>
      </c>
      <c r="BN2578" s="72">
        <v>0</v>
      </c>
      <c r="BO2578" s="151" t="e">
        <f t="shared" si="174"/>
        <v>#DIV/0!</v>
      </c>
      <c r="BP2578" s="151" t="e">
        <f t="shared" si="175"/>
        <v>#DIV/0!</v>
      </c>
      <c r="BQ2578" s="71">
        <v>0</v>
      </c>
      <c r="BR2578" s="71">
        <v>0</v>
      </c>
      <c r="BS2578" s="71">
        <v>0</v>
      </c>
      <c r="BT2578" s="72">
        <v>0</v>
      </c>
      <c r="BU2578" s="151" t="e">
        <f t="shared" si="176"/>
        <v>#DIV/0!</v>
      </c>
      <c r="BV2578" s="151" t="e">
        <f t="shared" si="177"/>
        <v>#DIV/0!</v>
      </c>
    </row>
    <row r="2579" ht="30" customHeight="1" spans="1:74">
      <c r="A2579" s="55">
        <v>0</v>
      </c>
      <c r="B2579" s="56" t="s">
        <v>1237</v>
      </c>
      <c r="C2579" s="57" t="s">
        <v>3341</v>
      </c>
      <c r="D2579" s="59" t="s">
        <v>3679</v>
      </c>
      <c r="E2579" s="59"/>
      <c r="F2579" s="59" t="e">
        <f>VLOOKUP(E2579,[1]库存!$B$1:$C$65536,2,FALSE)</f>
        <v>#N/A</v>
      </c>
      <c r="G2579" s="59" t="e">
        <v>#N/A</v>
      </c>
      <c r="H2579" s="59" t="s">
        <v>3960</v>
      </c>
      <c r="I2579" s="59"/>
      <c r="J2579" s="63"/>
      <c r="K2579" s="61"/>
      <c r="L2579" s="62">
        <v>0</v>
      </c>
      <c r="M2579" s="63">
        <v>800</v>
      </c>
      <c r="N2579" s="64">
        <v>3</v>
      </c>
      <c r="O2579" s="62">
        <v>1</v>
      </c>
      <c r="P2579" s="65">
        <f t="shared" si="178"/>
        <v>0</v>
      </c>
      <c r="Q2579" s="66"/>
      <c r="R2579" s="66"/>
      <c r="S2579" s="66"/>
      <c r="T2579" s="66"/>
      <c r="U2579" s="66"/>
      <c r="V2579" s="66"/>
      <c r="W2579" s="66"/>
      <c r="X2579" s="66"/>
      <c r="Y2579" s="66"/>
      <c r="Z2579" s="66"/>
      <c r="AA2579" s="66"/>
      <c r="AB2579" s="66"/>
      <c r="AC2579" s="66"/>
      <c r="AD2579" s="66"/>
      <c r="AE2579" s="66"/>
      <c r="AF2579" s="66"/>
      <c r="AG2579" s="66"/>
      <c r="AH2579" s="66"/>
      <c r="AI2579" s="66"/>
      <c r="AJ2579" s="66"/>
      <c r="AK2579" s="66"/>
      <c r="AL2579" s="66"/>
      <c r="AM2579" s="66"/>
      <c r="AN2579" s="66"/>
      <c r="AO2579" s="66"/>
      <c r="AP2579" s="66"/>
      <c r="AQ2579" s="66"/>
      <c r="AR2579" s="66"/>
      <c r="AS2579" s="66"/>
      <c r="AT2579" s="66"/>
      <c r="AU2579" s="66"/>
      <c r="AV2579" s="66"/>
      <c r="AW2579" s="66"/>
      <c r="AX2579" s="66"/>
      <c r="AY2579" s="66"/>
      <c r="AZ2579" s="66"/>
      <c r="BA2579" s="66"/>
      <c r="BB2579" s="66"/>
      <c r="BC2579" s="66"/>
      <c r="BD2579" s="66"/>
      <c r="BE2579" s="67"/>
      <c r="BF2579" s="67"/>
      <c r="BG2579" s="68"/>
      <c r="BI2579" s="69">
        <v>0</v>
      </c>
      <c r="BJ2579" s="70">
        <v>0</v>
      </c>
      <c r="BK2579" s="71">
        <v>0</v>
      </c>
      <c r="BL2579" s="71">
        <v>0</v>
      </c>
      <c r="BM2579" s="71">
        <v>0</v>
      </c>
      <c r="BN2579" s="72">
        <v>0</v>
      </c>
      <c r="BO2579" s="151" t="e">
        <f t="shared" si="174"/>
        <v>#DIV/0!</v>
      </c>
      <c r="BP2579" s="151" t="e">
        <f t="shared" si="175"/>
        <v>#DIV/0!</v>
      </c>
      <c r="BQ2579" s="71">
        <v>0</v>
      </c>
      <c r="BR2579" s="71">
        <v>0</v>
      </c>
      <c r="BS2579" s="71">
        <v>0</v>
      </c>
      <c r="BT2579" s="72">
        <v>0</v>
      </c>
      <c r="BU2579" s="151" t="e">
        <f t="shared" si="176"/>
        <v>#DIV/0!</v>
      </c>
      <c r="BV2579" s="151" t="e">
        <f t="shared" si="177"/>
        <v>#DIV/0!</v>
      </c>
    </row>
    <row r="2580" ht="30" customHeight="1" spans="1:74">
      <c r="A2580" s="55">
        <v>0</v>
      </c>
      <c r="B2580" s="56">
        <v>0</v>
      </c>
      <c r="C2580" s="57">
        <v>0</v>
      </c>
      <c r="D2580" s="74"/>
      <c r="E2580" s="74"/>
      <c r="F2580" s="59" t="e">
        <f>VLOOKUP(E2580,[1]库存!$B$1:$C$65536,2,FALSE)</f>
        <v>#N/A</v>
      </c>
      <c r="G2580" s="59" t="e">
        <v>#N/A</v>
      </c>
      <c r="H2580" s="74"/>
      <c r="I2580" s="74"/>
      <c r="J2580" s="87"/>
      <c r="K2580" s="61"/>
      <c r="L2580" s="62">
        <v>0</v>
      </c>
      <c r="M2580" s="63">
        <v>0</v>
      </c>
      <c r="N2580" s="64">
        <v>0</v>
      </c>
      <c r="O2580" s="62">
        <v>0</v>
      </c>
      <c r="P2580" s="65">
        <f t="shared" si="178"/>
        <v>0</v>
      </c>
      <c r="Q2580" s="66"/>
      <c r="R2580" s="66"/>
      <c r="S2580" s="66"/>
      <c r="T2580" s="66"/>
      <c r="U2580" s="66"/>
      <c r="V2580" s="66"/>
      <c r="W2580" s="66"/>
      <c r="X2580" s="66"/>
      <c r="Y2580" s="66"/>
      <c r="Z2580" s="66"/>
      <c r="AA2580" s="66"/>
      <c r="AB2580" s="66"/>
      <c r="AC2580" s="66"/>
      <c r="AD2580" s="66"/>
      <c r="AE2580" s="66"/>
      <c r="AF2580" s="66"/>
      <c r="AG2580" s="66"/>
      <c r="AH2580" s="66"/>
      <c r="AI2580" s="66"/>
      <c r="AJ2580" s="66"/>
      <c r="AK2580" s="66"/>
      <c r="AL2580" s="66"/>
      <c r="AM2580" s="66"/>
      <c r="AN2580" s="66"/>
      <c r="AO2580" s="66"/>
      <c r="AP2580" s="66"/>
      <c r="AQ2580" s="66"/>
      <c r="AR2580" s="66"/>
      <c r="AS2580" s="66"/>
      <c r="AT2580" s="66"/>
      <c r="AU2580" s="66"/>
      <c r="AV2580" s="66"/>
      <c r="AW2580" s="66"/>
      <c r="AX2580" s="66"/>
      <c r="AY2580" s="66"/>
      <c r="AZ2580" s="66"/>
      <c r="BA2580" s="66"/>
      <c r="BB2580" s="66"/>
      <c r="BC2580" s="66"/>
      <c r="BD2580" s="66"/>
      <c r="BE2580" s="67"/>
      <c r="BF2580" s="67"/>
      <c r="BG2580" s="68"/>
      <c r="BI2580" s="69">
        <v>0</v>
      </c>
      <c r="BJ2580" s="70">
        <v>0</v>
      </c>
      <c r="BK2580" s="71">
        <v>0</v>
      </c>
      <c r="BL2580" s="71">
        <v>0</v>
      </c>
      <c r="BM2580" s="71">
        <v>0</v>
      </c>
      <c r="BN2580" s="72">
        <v>0</v>
      </c>
      <c r="BO2580" s="151" t="e">
        <f t="shared" si="174"/>
        <v>#DIV/0!</v>
      </c>
      <c r="BP2580" s="151" t="e">
        <f t="shared" si="175"/>
        <v>#DIV/0!</v>
      </c>
      <c r="BQ2580" s="71">
        <v>0</v>
      </c>
      <c r="BR2580" s="71">
        <v>0</v>
      </c>
      <c r="BS2580" s="71">
        <v>0</v>
      </c>
      <c r="BT2580" s="72">
        <v>0</v>
      </c>
      <c r="BU2580" s="151" t="e">
        <f t="shared" si="176"/>
        <v>#DIV/0!</v>
      </c>
      <c r="BV2580" s="151" t="e">
        <f t="shared" si="177"/>
        <v>#DIV/0!</v>
      </c>
    </row>
    <row r="2581" ht="30" customHeight="1" spans="1:74">
      <c r="A2581" s="55">
        <v>0</v>
      </c>
      <c r="B2581" s="56" t="s">
        <v>1237</v>
      </c>
      <c r="C2581" s="57" t="s">
        <v>3341</v>
      </c>
      <c r="D2581" s="59" t="s">
        <v>3932</v>
      </c>
      <c r="E2581" s="59"/>
      <c r="F2581" s="59" t="e">
        <f>VLOOKUP(E2581,[1]库存!$B$1:$C$65536,2,FALSE)</f>
        <v>#N/A</v>
      </c>
      <c r="G2581" s="59" t="e">
        <v>#N/A</v>
      </c>
      <c r="H2581" s="59" t="s">
        <v>3961</v>
      </c>
      <c r="I2581" s="59" t="s">
        <v>3962</v>
      </c>
      <c r="J2581" s="165" t="s">
        <v>3963</v>
      </c>
      <c r="K2581" s="61"/>
      <c r="L2581" s="62">
        <v>0</v>
      </c>
      <c r="M2581" s="63">
        <v>400</v>
      </c>
      <c r="N2581" s="64">
        <v>4</v>
      </c>
      <c r="O2581" s="62">
        <v>2</v>
      </c>
      <c r="P2581" s="65">
        <f t="shared" si="178"/>
        <v>0</v>
      </c>
      <c r="Q2581" s="66"/>
      <c r="R2581" s="66"/>
      <c r="S2581" s="66"/>
      <c r="T2581" s="66"/>
      <c r="U2581" s="66"/>
      <c r="V2581" s="66"/>
      <c r="W2581" s="66"/>
      <c r="X2581" s="66"/>
      <c r="Y2581" s="66"/>
      <c r="Z2581" s="66"/>
      <c r="AA2581" s="66"/>
      <c r="AB2581" s="66"/>
      <c r="AC2581" s="66"/>
      <c r="AD2581" s="66"/>
      <c r="AE2581" s="66"/>
      <c r="AF2581" s="66"/>
      <c r="AG2581" s="66"/>
      <c r="AH2581" s="66"/>
      <c r="AI2581" s="66"/>
      <c r="AJ2581" s="66"/>
      <c r="AK2581" s="66"/>
      <c r="AL2581" s="66"/>
      <c r="AM2581" s="66"/>
      <c r="AN2581" s="66"/>
      <c r="AO2581" s="66"/>
      <c r="AP2581" s="66"/>
      <c r="AQ2581" s="66"/>
      <c r="AR2581" s="66"/>
      <c r="AS2581" s="66"/>
      <c r="AT2581" s="66"/>
      <c r="AU2581" s="66"/>
      <c r="AV2581" s="66"/>
      <c r="AW2581" s="66"/>
      <c r="AX2581" s="66"/>
      <c r="AY2581" s="66"/>
      <c r="AZ2581" s="66"/>
      <c r="BA2581" s="66"/>
      <c r="BB2581" s="66"/>
      <c r="BC2581" s="66"/>
      <c r="BD2581" s="66"/>
      <c r="BE2581" s="67"/>
      <c r="BF2581" s="67"/>
      <c r="BG2581" s="68"/>
      <c r="BI2581" s="69">
        <v>0</v>
      </c>
      <c r="BJ2581" s="70">
        <v>0</v>
      </c>
      <c r="BK2581" s="71">
        <v>0</v>
      </c>
      <c r="BL2581" s="71">
        <v>0</v>
      </c>
      <c r="BM2581" s="71">
        <v>0</v>
      </c>
      <c r="BN2581" s="72">
        <v>0</v>
      </c>
      <c r="BO2581" s="151" t="e">
        <f t="shared" si="174"/>
        <v>#DIV/0!</v>
      </c>
      <c r="BP2581" s="151" t="e">
        <f t="shared" si="175"/>
        <v>#DIV/0!</v>
      </c>
      <c r="BQ2581" s="71">
        <v>0</v>
      </c>
      <c r="BR2581" s="71">
        <v>0</v>
      </c>
      <c r="BS2581" s="71">
        <v>0</v>
      </c>
      <c r="BT2581" s="72">
        <v>0</v>
      </c>
      <c r="BU2581" s="151" t="e">
        <f t="shared" si="176"/>
        <v>#DIV/0!</v>
      </c>
      <c r="BV2581" s="151" t="e">
        <f t="shared" si="177"/>
        <v>#DIV/0!</v>
      </c>
    </row>
    <row r="2582" ht="30" customHeight="1" spans="1:74">
      <c r="A2582" s="55">
        <v>0</v>
      </c>
      <c r="B2582" s="56">
        <v>0</v>
      </c>
      <c r="C2582" s="57">
        <v>0</v>
      </c>
      <c r="D2582" s="74"/>
      <c r="E2582" s="74"/>
      <c r="F2582" s="59" t="e">
        <f>VLOOKUP(E2582,[1]库存!$B$1:$C$65536,2,FALSE)</f>
        <v>#N/A</v>
      </c>
      <c r="G2582" s="59" t="e">
        <v>#N/A</v>
      </c>
      <c r="H2582" s="74"/>
      <c r="I2582" s="74"/>
      <c r="J2582" s="166"/>
      <c r="K2582" s="61"/>
      <c r="L2582" s="62">
        <v>0</v>
      </c>
      <c r="M2582" s="63">
        <v>0</v>
      </c>
      <c r="N2582" s="64">
        <v>0</v>
      </c>
      <c r="O2582" s="62">
        <v>0</v>
      </c>
      <c r="P2582" s="65">
        <f t="shared" si="178"/>
        <v>0</v>
      </c>
      <c r="Q2582" s="66"/>
      <c r="R2582" s="66"/>
      <c r="S2582" s="66"/>
      <c r="T2582" s="66"/>
      <c r="U2582" s="66"/>
      <c r="V2582" s="66"/>
      <c r="W2582" s="66"/>
      <c r="X2582" s="66"/>
      <c r="Y2582" s="66"/>
      <c r="Z2582" s="66"/>
      <c r="AA2582" s="66"/>
      <c r="AB2582" s="66"/>
      <c r="AC2582" s="66"/>
      <c r="AD2582" s="66"/>
      <c r="AE2582" s="66"/>
      <c r="AF2582" s="66"/>
      <c r="AG2582" s="66"/>
      <c r="AH2582" s="66"/>
      <c r="AI2582" s="66"/>
      <c r="AJ2582" s="66"/>
      <c r="AK2582" s="66"/>
      <c r="AL2582" s="66"/>
      <c r="AM2582" s="66"/>
      <c r="AN2582" s="66"/>
      <c r="AO2582" s="66"/>
      <c r="AP2582" s="66"/>
      <c r="AQ2582" s="66"/>
      <c r="AR2582" s="66"/>
      <c r="AS2582" s="66"/>
      <c r="AT2582" s="66"/>
      <c r="AU2582" s="66"/>
      <c r="AV2582" s="66"/>
      <c r="AW2582" s="66"/>
      <c r="AX2582" s="66"/>
      <c r="AY2582" s="66"/>
      <c r="AZ2582" s="66"/>
      <c r="BA2582" s="66"/>
      <c r="BB2582" s="66"/>
      <c r="BC2582" s="66"/>
      <c r="BD2582" s="66"/>
      <c r="BE2582" s="67"/>
      <c r="BF2582" s="67"/>
      <c r="BG2582" s="68"/>
      <c r="BI2582" s="69">
        <v>0</v>
      </c>
      <c r="BJ2582" s="70">
        <v>0</v>
      </c>
      <c r="BK2582" s="71">
        <v>0</v>
      </c>
      <c r="BL2582" s="71">
        <v>0</v>
      </c>
      <c r="BM2582" s="71">
        <v>0</v>
      </c>
      <c r="BN2582" s="72">
        <v>0</v>
      </c>
      <c r="BO2582" s="151" t="e">
        <f t="shared" si="174"/>
        <v>#DIV/0!</v>
      </c>
      <c r="BP2582" s="151" t="e">
        <f t="shared" si="175"/>
        <v>#DIV/0!</v>
      </c>
      <c r="BQ2582" s="71">
        <v>0</v>
      </c>
      <c r="BR2582" s="71">
        <v>0</v>
      </c>
      <c r="BS2582" s="71">
        <v>0</v>
      </c>
      <c r="BT2582" s="72">
        <v>0</v>
      </c>
      <c r="BU2582" s="151" t="e">
        <f t="shared" si="176"/>
        <v>#DIV/0!</v>
      </c>
      <c r="BV2582" s="151" t="e">
        <f t="shared" si="177"/>
        <v>#DIV/0!</v>
      </c>
    </row>
    <row r="2583" ht="30" customHeight="1" spans="1:74">
      <c r="A2583" s="55">
        <v>0</v>
      </c>
      <c r="B2583" s="56" t="s">
        <v>1237</v>
      </c>
      <c r="C2583" s="57" t="s">
        <v>3341</v>
      </c>
      <c r="D2583" s="59" t="s">
        <v>3932</v>
      </c>
      <c r="E2583" s="59"/>
      <c r="F2583" s="59" t="e">
        <f>VLOOKUP(E2583,[1]库存!$B$1:$C$65536,2,FALSE)</f>
        <v>#N/A</v>
      </c>
      <c r="G2583" s="59" t="e">
        <v>#N/A</v>
      </c>
      <c r="H2583" s="59" t="s">
        <v>3964</v>
      </c>
      <c r="I2583" s="59" t="s">
        <v>3965</v>
      </c>
      <c r="J2583" s="166"/>
      <c r="K2583" s="61"/>
      <c r="L2583" s="62">
        <v>0</v>
      </c>
      <c r="M2583" s="63">
        <v>400</v>
      </c>
      <c r="N2583" s="64">
        <v>4</v>
      </c>
      <c r="O2583" s="62">
        <v>2</v>
      </c>
      <c r="P2583" s="65">
        <f t="shared" si="178"/>
        <v>0</v>
      </c>
      <c r="Q2583" s="66"/>
      <c r="R2583" s="66"/>
      <c r="S2583" s="66"/>
      <c r="T2583" s="66"/>
      <c r="U2583" s="66"/>
      <c r="V2583" s="66"/>
      <c r="W2583" s="66"/>
      <c r="X2583" s="66"/>
      <c r="Y2583" s="66"/>
      <c r="Z2583" s="66"/>
      <c r="AA2583" s="66"/>
      <c r="AB2583" s="66"/>
      <c r="AC2583" s="66"/>
      <c r="AD2583" s="66"/>
      <c r="AE2583" s="66"/>
      <c r="AF2583" s="66"/>
      <c r="AG2583" s="66"/>
      <c r="AH2583" s="66"/>
      <c r="AI2583" s="66"/>
      <c r="AJ2583" s="66"/>
      <c r="AK2583" s="66"/>
      <c r="AL2583" s="66"/>
      <c r="AM2583" s="66"/>
      <c r="AN2583" s="66"/>
      <c r="AO2583" s="66"/>
      <c r="AP2583" s="66"/>
      <c r="AQ2583" s="66"/>
      <c r="AR2583" s="66"/>
      <c r="AS2583" s="66"/>
      <c r="AT2583" s="66"/>
      <c r="AU2583" s="66"/>
      <c r="AV2583" s="66"/>
      <c r="AW2583" s="66"/>
      <c r="AX2583" s="66"/>
      <c r="AY2583" s="66"/>
      <c r="AZ2583" s="66"/>
      <c r="BA2583" s="66"/>
      <c r="BB2583" s="66"/>
      <c r="BC2583" s="66"/>
      <c r="BD2583" s="66"/>
      <c r="BE2583" s="67"/>
      <c r="BF2583" s="67"/>
      <c r="BG2583" s="68"/>
      <c r="BI2583" s="69">
        <v>0</v>
      </c>
      <c r="BJ2583" s="70">
        <v>0</v>
      </c>
      <c r="BK2583" s="71">
        <v>0</v>
      </c>
      <c r="BL2583" s="71">
        <v>0</v>
      </c>
      <c r="BM2583" s="71">
        <v>0</v>
      </c>
      <c r="BN2583" s="72">
        <v>0</v>
      </c>
      <c r="BO2583" s="151" t="e">
        <f t="shared" si="174"/>
        <v>#DIV/0!</v>
      </c>
      <c r="BP2583" s="151" t="e">
        <f t="shared" si="175"/>
        <v>#DIV/0!</v>
      </c>
      <c r="BQ2583" s="71">
        <v>0</v>
      </c>
      <c r="BR2583" s="71">
        <v>0</v>
      </c>
      <c r="BS2583" s="71">
        <v>0</v>
      </c>
      <c r="BT2583" s="72">
        <v>0</v>
      </c>
      <c r="BU2583" s="151" t="e">
        <f t="shared" si="176"/>
        <v>#DIV/0!</v>
      </c>
      <c r="BV2583" s="151" t="e">
        <f t="shared" si="177"/>
        <v>#DIV/0!</v>
      </c>
    </row>
    <row r="2584" ht="30" customHeight="1" spans="1:74">
      <c r="A2584" s="55">
        <v>0</v>
      </c>
      <c r="B2584" s="56">
        <v>0</v>
      </c>
      <c r="C2584" s="57">
        <v>0</v>
      </c>
      <c r="D2584" s="74"/>
      <c r="E2584" s="74"/>
      <c r="F2584" s="59" t="e">
        <f>VLOOKUP(E2584,[1]库存!$B$1:$C$65536,2,FALSE)</f>
        <v>#N/A</v>
      </c>
      <c r="G2584" s="59" t="e">
        <v>#N/A</v>
      </c>
      <c r="H2584" s="74"/>
      <c r="I2584" s="74"/>
      <c r="J2584" s="166"/>
      <c r="K2584" s="61"/>
      <c r="L2584" s="62">
        <v>0</v>
      </c>
      <c r="M2584" s="63">
        <v>0</v>
      </c>
      <c r="N2584" s="64">
        <v>0</v>
      </c>
      <c r="O2584" s="62">
        <v>0</v>
      </c>
      <c r="P2584" s="65">
        <f t="shared" si="178"/>
        <v>0</v>
      </c>
      <c r="Q2584" s="66"/>
      <c r="R2584" s="66"/>
      <c r="S2584" s="66"/>
      <c r="T2584" s="66"/>
      <c r="U2584" s="66"/>
      <c r="V2584" s="66"/>
      <c r="W2584" s="66"/>
      <c r="X2584" s="66"/>
      <c r="Y2584" s="66"/>
      <c r="Z2584" s="66"/>
      <c r="AA2584" s="66"/>
      <c r="AB2584" s="66"/>
      <c r="AC2584" s="66"/>
      <c r="AD2584" s="66"/>
      <c r="AE2584" s="66"/>
      <c r="AF2584" s="66"/>
      <c r="AG2584" s="66"/>
      <c r="AH2584" s="66"/>
      <c r="AI2584" s="66"/>
      <c r="AJ2584" s="66"/>
      <c r="AK2584" s="66"/>
      <c r="AL2584" s="66"/>
      <c r="AM2584" s="66"/>
      <c r="AN2584" s="66"/>
      <c r="AO2584" s="66"/>
      <c r="AP2584" s="66"/>
      <c r="AQ2584" s="66"/>
      <c r="AR2584" s="66"/>
      <c r="AS2584" s="66"/>
      <c r="AT2584" s="66"/>
      <c r="AU2584" s="66"/>
      <c r="AV2584" s="66"/>
      <c r="AW2584" s="66"/>
      <c r="AX2584" s="66"/>
      <c r="AY2584" s="66"/>
      <c r="AZ2584" s="66"/>
      <c r="BA2584" s="66"/>
      <c r="BB2584" s="66"/>
      <c r="BC2584" s="66"/>
      <c r="BD2584" s="66"/>
      <c r="BE2584" s="67"/>
      <c r="BF2584" s="67"/>
      <c r="BG2584" s="68"/>
      <c r="BI2584" s="69">
        <v>0</v>
      </c>
      <c r="BJ2584" s="70">
        <v>0</v>
      </c>
      <c r="BK2584" s="71">
        <v>0</v>
      </c>
      <c r="BL2584" s="71">
        <v>0</v>
      </c>
      <c r="BM2584" s="71">
        <v>0</v>
      </c>
      <c r="BN2584" s="72">
        <v>0</v>
      </c>
      <c r="BO2584" s="151" t="e">
        <f t="shared" si="174"/>
        <v>#DIV/0!</v>
      </c>
      <c r="BP2584" s="151" t="e">
        <f t="shared" si="175"/>
        <v>#DIV/0!</v>
      </c>
      <c r="BQ2584" s="71">
        <v>0</v>
      </c>
      <c r="BR2584" s="71">
        <v>0</v>
      </c>
      <c r="BS2584" s="71">
        <v>0</v>
      </c>
      <c r="BT2584" s="72">
        <v>0</v>
      </c>
      <c r="BU2584" s="151" t="e">
        <f t="shared" si="176"/>
        <v>#DIV/0!</v>
      </c>
      <c r="BV2584" s="151" t="e">
        <f t="shared" si="177"/>
        <v>#DIV/0!</v>
      </c>
    </row>
    <row r="2585" ht="30" customHeight="1" spans="1:74">
      <c r="A2585" s="55">
        <v>0</v>
      </c>
      <c r="B2585" s="56">
        <v>0</v>
      </c>
      <c r="C2585" s="57">
        <v>0</v>
      </c>
      <c r="D2585" s="88"/>
      <c r="E2585" s="88"/>
      <c r="F2585" s="59" t="e">
        <f>VLOOKUP(E2585,[1]库存!$B$1:$C$65536,2,FALSE)</f>
        <v>#N/A</v>
      </c>
      <c r="G2585" s="59" t="e">
        <v>#N/A</v>
      </c>
      <c r="H2585" s="89"/>
      <c r="I2585" s="88"/>
      <c r="J2585" s="90"/>
      <c r="K2585" s="61"/>
      <c r="L2585" s="62">
        <v>0</v>
      </c>
      <c r="M2585" s="63">
        <v>0</v>
      </c>
      <c r="N2585" s="64">
        <v>0</v>
      </c>
      <c r="O2585" s="62">
        <v>0</v>
      </c>
      <c r="P2585" s="65">
        <f t="shared" si="178"/>
        <v>0</v>
      </c>
      <c r="Q2585" s="66"/>
      <c r="R2585" s="66"/>
      <c r="S2585" s="66"/>
      <c r="T2585" s="66"/>
      <c r="U2585" s="66"/>
      <c r="V2585" s="66"/>
      <c r="W2585" s="66"/>
      <c r="X2585" s="66"/>
      <c r="Y2585" s="66"/>
      <c r="Z2585" s="66"/>
      <c r="AA2585" s="66"/>
      <c r="AB2585" s="66"/>
      <c r="AC2585" s="66"/>
      <c r="AD2585" s="66"/>
      <c r="AE2585" s="66"/>
      <c r="AF2585" s="66"/>
      <c r="AG2585" s="66"/>
      <c r="AH2585" s="66"/>
      <c r="AI2585" s="66"/>
      <c r="AJ2585" s="66"/>
      <c r="AK2585" s="66"/>
      <c r="AL2585" s="66"/>
      <c r="AM2585" s="66"/>
      <c r="AN2585" s="66"/>
      <c r="AO2585" s="66"/>
      <c r="AP2585" s="66"/>
      <c r="AQ2585" s="66"/>
      <c r="AR2585" s="66"/>
      <c r="AS2585" s="66"/>
      <c r="AT2585" s="66"/>
      <c r="AU2585" s="66"/>
      <c r="AV2585" s="66"/>
      <c r="AW2585" s="66"/>
      <c r="AX2585" s="66"/>
      <c r="AY2585" s="66"/>
      <c r="AZ2585" s="66"/>
      <c r="BA2585" s="66"/>
      <c r="BB2585" s="66"/>
      <c r="BC2585" s="66"/>
      <c r="BD2585" s="66"/>
      <c r="BE2585" s="67"/>
      <c r="BF2585" s="67"/>
      <c r="BG2585" s="68"/>
      <c r="BI2585" s="69">
        <v>0</v>
      </c>
      <c r="BJ2585" s="70">
        <v>0</v>
      </c>
      <c r="BK2585" s="71">
        <v>0</v>
      </c>
      <c r="BL2585" s="71">
        <v>0</v>
      </c>
      <c r="BM2585" s="71">
        <v>0</v>
      </c>
      <c r="BN2585" s="72">
        <v>0</v>
      </c>
      <c r="BO2585" s="151" t="e">
        <f t="shared" si="174"/>
        <v>#DIV/0!</v>
      </c>
      <c r="BP2585" s="151" t="e">
        <f t="shared" si="175"/>
        <v>#DIV/0!</v>
      </c>
      <c r="BQ2585" s="71">
        <v>0</v>
      </c>
      <c r="BR2585" s="71">
        <v>0</v>
      </c>
      <c r="BS2585" s="71">
        <v>0</v>
      </c>
      <c r="BT2585" s="72">
        <v>0</v>
      </c>
      <c r="BU2585" s="151" t="e">
        <f t="shared" si="176"/>
        <v>#DIV/0!</v>
      </c>
      <c r="BV2585" s="151" t="e">
        <f t="shared" si="177"/>
        <v>#DIV/0!</v>
      </c>
    </row>
    <row r="2586" ht="30" customHeight="1" spans="1:74">
      <c r="A2586" s="55">
        <v>0</v>
      </c>
      <c r="B2586" s="56" t="s">
        <v>1237</v>
      </c>
      <c r="C2586" s="57" t="s">
        <v>3341</v>
      </c>
      <c r="D2586" s="59" t="s">
        <v>3966</v>
      </c>
      <c r="E2586" s="59"/>
      <c r="F2586" s="59" t="e">
        <f>VLOOKUP(E2586,[1]库存!$B$1:$C$65536,2,FALSE)</f>
        <v>#N/A</v>
      </c>
      <c r="G2586" s="59" t="e">
        <v>#N/A</v>
      </c>
      <c r="H2586" s="59" t="s">
        <v>3967</v>
      </c>
      <c r="I2586" s="59" t="s">
        <v>3837</v>
      </c>
      <c r="J2586" s="183" t="s">
        <v>3884</v>
      </c>
      <c r="K2586" s="61"/>
      <c r="L2586" s="62">
        <v>1</v>
      </c>
      <c r="M2586" s="63">
        <v>700</v>
      </c>
      <c r="N2586" s="64">
        <v>4</v>
      </c>
      <c r="O2586" s="62">
        <v>1</v>
      </c>
      <c r="P2586" s="65">
        <f t="shared" si="178"/>
        <v>0</v>
      </c>
      <c r="Q2586" s="66"/>
      <c r="R2586" s="66"/>
      <c r="S2586" s="66"/>
      <c r="T2586" s="66"/>
      <c r="U2586" s="66"/>
      <c r="V2586" s="66"/>
      <c r="W2586" s="66"/>
      <c r="X2586" s="66"/>
      <c r="Y2586" s="66"/>
      <c r="Z2586" s="66"/>
      <c r="AA2586" s="66"/>
      <c r="AB2586" s="66"/>
      <c r="AC2586" s="66"/>
      <c r="AD2586" s="66"/>
      <c r="AE2586" s="66"/>
      <c r="AF2586" s="66"/>
      <c r="AG2586" s="66"/>
      <c r="AH2586" s="66"/>
      <c r="AI2586" s="66"/>
      <c r="AJ2586" s="66"/>
      <c r="AK2586" s="66"/>
      <c r="AL2586" s="66"/>
      <c r="AM2586" s="66"/>
      <c r="AN2586" s="66"/>
      <c r="AO2586" s="66"/>
      <c r="AP2586" s="66"/>
      <c r="AQ2586" s="66"/>
      <c r="AR2586" s="66"/>
      <c r="AS2586" s="66"/>
      <c r="AT2586" s="66"/>
      <c r="AU2586" s="66"/>
      <c r="AV2586" s="66"/>
      <c r="AW2586" s="66"/>
      <c r="AX2586" s="66"/>
      <c r="AY2586" s="66"/>
      <c r="AZ2586" s="66"/>
      <c r="BA2586" s="66"/>
      <c r="BB2586" s="66"/>
      <c r="BC2586" s="66"/>
      <c r="BD2586" s="66"/>
      <c r="BE2586" s="67"/>
      <c r="BF2586" s="67"/>
      <c r="BG2586" s="68"/>
      <c r="BI2586" s="69" t="s">
        <v>3968</v>
      </c>
      <c r="BJ2586" s="70">
        <v>0.317</v>
      </c>
      <c r="BK2586" s="71">
        <v>520.45</v>
      </c>
      <c r="BL2586" s="71">
        <v>0</v>
      </c>
      <c r="BM2586" s="71">
        <v>0</v>
      </c>
      <c r="BN2586" s="72">
        <v>1069</v>
      </c>
      <c r="BO2586" s="151">
        <f t="shared" si="174"/>
        <v>1641.79810725552</v>
      </c>
      <c r="BP2586" s="151">
        <f t="shared" si="175"/>
        <v>0</v>
      </c>
      <c r="BQ2586" s="71">
        <v>498.77</v>
      </c>
      <c r="BR2586" s="71">
        <v>3151</v>
      </c>
      <c r="BS2586" s="71">
        <v>69</v>
      </c>
      <c r="BT2586" s="72">
        <v>0</v>
      </c>
      <c r="BU2586" s="151">
        <f t="shared" si="176"/>
        <v>11513.4700315457</v>
      </c>
      <c r="BV2586" s="151">
        <f t="shared" si="177"/>
        <v>217.665615141956</v>
      </c>
    </row>
    <row r="2587" ht="30" customHeight="1" spans="1:74">
      <c r="A2587" s="55">
        <v>0</v>
      </c>
      <c r="B2587" s="56">
        <v>0</v>
      </c>
      <c r="C2587" s="57">
        <v>0</v>
      </c>
      <c r="D2587" s="74"/>
      <c r="E2587" s="74"/>
      <c r="F2587" s="59" t="e">
        <f>VLOOKUP(E2587,[1]库存!$B$1:$C$65536,2,FALSE)</f>
        <v>#N/A</v>
      </c>
      <c r="G2587" s="59" t="e">
        <v>#N/A</v>
      </c>
      <c r="H2587" s="74"/>
      <c r="I2587" s="74"/>
      <c r="J2587" s="184"/>
      <c r="K2587" s="61"/>
      <c r="L2587" s="62">
        <v>0</v>
      </c>
      <c r="M2587" s="63">
        <v>0</v>
      </c>
      <c r="N2587" s="64">
        <v>0</v>
      </c>
      <c r="O2587" s="62">
        <v>0</v>
      </c>
      <c r="P2587" s="65">
        <f t="shared" si="178"/>
        <v>0</v>
      </c>
      <c r="Q2587" s="66"/>
      <c r="R2587" s="66"/>
      <c r="S2587" s="66"/>
      <c r="T2587" s="66"/>
      <c r="U2587" s="66"/>
      <c r="V2587" s="66"/>
      <c r="W2587" s="66"/>
      <c r="X2587" s="66"/>
      <c r="Y2587" s="66"/>
      <c r="Z2587" s="66"/>
      <c r="AA2587" s="66"/>
      <c r="AB2587" s="66"/>
      <c r="AC2587" s="66"/>
      <c r="AD2587" s="66"/>
      <c r="AE2587" s="66"/>
      <c r="AF2587" s="66"/>
      <c r="AG2587" s="66"/>
      <c r="AH2587" s="66"/>
      <c r="AI2587" s="66"/>
      <c r="AJ2587" s="66"/>
      <c r="AK2587" s="66"/>
      <c r="AL2587" s="66"/>
      <c r="AM2587" s="66"/>
      <c r="AN2587" s="66"/>
      <c r="AO2587" s="66"/>
      <c r="AP2587" s="66"/>
      <c r="AQ2587" s="66"/>
      <c r="AR2587" s="66"/>
      <c r="AS2587" s="66"/>
      <c r="AT2587" s="66"/>
      <c r="AU2587" s="66"/>
      <c r="AV2587" s="66"/>
      <c r="AW2587" s="66"/>
      <c r="AX2587" s="66"/>
      <c r="AY2587" s="66"/>
      <c r="AZ2587" s="66"/>
      <c r="BA2587" s="66"/>
      <c r="BB2587" s="66"/>
      <c r="BC2587" s="66"/>
      <c r="BD2587" s="66"/>
      <c r="BE2587" s="67"/>
      <c r="BF2587" s="67"/>
      <c r="BG2587" s="68"/>
      <c r="BI2587" s="69">
        <v>0</v>
      </c>
      <c r="BJ2587" s="70">
        <v>0</v>
      </c>
      <c r="BK2587" s="71">
        <v>0</v>
      </c>
      <c r="BL2587" s="71">
        <v>0</v>
      </c>
      <c r="BM2587" s="71">
        <v>0</v>
      </c>
      <c r="BN2587" s="72">
        <v>0</v>
      </c>
      <c r="BO2587" s="151" t="e">
        <f t="shared" si="174"/>
        <v>#DIV/0!</v>
      </c>
      <c r="BP2587" s="151" t="e">
        <f t="shared" si="175"/>
        <v>#DIV/0!</v>
      </c>
      <c r="BQ2587" s="71">
        <v>0</v>
      </c>
      <c r="BR2587" s="71">
        <v>0</v>
      </c>
      <c r="BS2587" s="71">
        <v>0</v>
      </c>
      <c r="BT2587" s="72">
        <v>0</v>
      </c>
      <c r="BU2587" s="151" t="e">
        <f t="shared" si="176"/>
        <v>#DIV/0!</v>
      </c>
      <c r="BV2587" s="151" t="e">
        <f t="shared" si="177"/>
        <v>#DIV/0!</v>
      </c>
    </row>
    <row r="2588" ht="30" customHeight="1" spans="1:74">
      <c r="A2588" s="55" t="s">
        <v>96</v>
      </c>
      <c r="B2588" s="56" t="s">
        <v>1237</v>
      </c>
      <c r="C2588" s="57" t="s">
        <v>3341</v>
      </c>
      <c r="D2588" s="91" t="s">
        <v>3966</v>
      </c>
      <c r="E2588" s="91" t="s">
        <v>3969</v>
      </c>
      <c r="F2588" s="91" t="str">
        <f>VLOOKUP(E2588,[1]库存!$B$1:$C$65536,2,FALSE)</f>
        <v>GEELY E245 CAB RH</v>
      </c>
      <c r="G2588" s="91" t="s">
        <v>3970</v>
      </c>
      <c r="H2588" s="91" t="s">
        <v>3971</v>
      </c>
      <c r="I2588" s="91" t="s">
        <v>3969</v>
      </c>
      <c r="J2588" s="63"/>
      <c r="K2588" s="61"/>
      <c r="L2588" s="62">
        <v>1</v>
      </c>
      <c r="M2588" s="63">
        <v>420</v>
      </c>
      <c r="N2588" s="64">
        <v>4</v>
      </c>
      <c r="O2588" s="62">
        <v>1</v>
      </c>
      <c r="P2588" s="65">
        <f t="shared" si="178"/>
        <v>0</v>
      </c>
      <c r="Q2588" s="66">
        <v>430</v>
      </c>
      <c r="R2588" s="66"/>
      <c r="S2588" s="66">
        <v>430</v>
      </c>
      <c r="T2588" s="66"/>
      <c r="U2588" s="12">
        <v>0</v>
      </c>
      <c r="V2588" s="66"/>
      <c r="W2588" s="66"/>
      <c r="X2588" s="66"/>
      <c r="Y2588" s="66"/>
      <c r="Z2588" s="66"/>
      <c r="AA2588" s="66">
        <v>430</v>
      </c>
      <c r="AB2588" s="66"/>
      <c r="AC2588" s="66">
        <v>430</v>
      </c>
      <c r="AD2588" s="66"/>
      <c r="AE2588" s="66"/>
      <c r="AF2588" s="66"/>
      <c r="AG2588" s="66"/>
      <c r="AH2588" s="66"/>
      <c r="AI2588" s="66"/>
      <c r="AJ2588" s="66"/>
      <c r="AK2588" s="66"/>
      <c r="AL2588" s="66"/>
      <c r="AM2588" s="66"/>
      <c r="AN2588" s="66"/>
      <c r="AO2588" s="66"/>
      <c r="AP2588" s="66"/>
      <c r="AQ2588" s="66"/>
      <c r="AR2588" s="66"/>
      <c r="AS2588" s="66"/>
      <c r="AT2588" s="66"/>
      <c r="AU2588" s="66"/>
      <c r="AV2588" s="66"/>
      <c r="AW2588" s="66"/>
      <c r="AX2588" s="66"/>
      <c r="AY2588" s="66"/>
      <c r="AZ2588" s="66"/>
      <c r="BA2588" s="66"/>
      <c r="BB2588" s="66"/>
      <c r="BC2588" s="66"/>
      <c r="BD2588" s="66"/>
      <c r="BE2588" s="67"/>
      <c r="BF2588" s="67"/>
      <c r="BG2588" s="68"/>
      <c r="BI2588" s="96">
        <v>430</v>
      </c>
      <c r="BJ2588" s="70">
        <v>0</v>
      </c>
      <c r="BK2588" s="71">
        <v>0</v>
      </c>
      <c r="BL2588" s="71">
        <v>0</v>
      </c>
      <c r="BM2588" s="71">
        <v>0</v>
      </c>
      <c r="BN2588" s="72">
        <v>0</v>
      </c>
      <c r="BO2588" s="151" t="e">
        <f t="shared" si="174"/>
        <v>#DIV/0!</v>
      </c>
      <c r="BP2588" s="151" t="e">
        <f t="shared" si="175"/>
        <v>#DIV/0!</v>
      </c>
      <c r="BQ2588" s="71">
        <v>0</v>
      </c>
      <c r="BR2588" s="71">
        <v>0</v>
      </c>
      <c r="BS2588" s="71">
        <v>0</v>
      </c>
      <c r="BT2588" s="72">
        <v>0</v>
      </c>
      <c r="BU2588" s="151" t="e">
        <f t="shared" si="176"/>
        <v>#DIV/0!</v>
      </c>
      <c r="BV2588" s="151" t="e">
        <f t="shared" si="177"/>
        <v>#DIV/0!</v>
      </c>
    </row>
    <row r="2589" ht="30" customHeight="1" spans="1:74">
      <c r="A2589" s="55">
        <v>0</v>
      </c>
      <c r="B2589" s="56">
        <v>0</v>
      </c>
      <c r="C2589" s="57">
        <v>0</v>
      </c>
      <c r="D2589" s="92"/>
      <c r="E2589" s="92"/>
      <c r="F2589" s="91" t="e">
        <f>VLOOKUP(E2589,[1]库存!$B$1:$C$65536,2,FALSE)</f>
        <v>#N/A</v>
      </c>
      <c r="G2589" s="91" t="e">
        <v>#N/A</v>
      </c>
      <c r="H2589" s="92"/>
      <c r="I2589" s="92"/>
      <c r="J2589" s="87"/>
      <c r="K2589" s="61"/>
      <c r="L2589" s="62">
        <v>0</v>
      </c>
      <c r="M2589" s="63">
        <v>0</v>
      </c>
      <c r="N2589" s="64">
        <v>0</v>
      </c>
      <c r="O2589" s="62">
        <v>0</v>
      </c>
      <c r="P2589" s="65">
        <f t="shared" si="178"/>
        <v>0</v>
      </c>
      <c r="Q2589" s="66">
        <v>390</v>
      </c>
      <c r="R2589" s="66"/>
      <c r="S2589" s="66">
        <v>432</v>
      </c>
      <c r="T2589" s="66"/>
      <c r="U2589" s="66"/>
      <c r="V2589" s="66"/>
      <c r="W2589" s="66"/>
      <c r="X2589" s="66"/>
      <c r="Y2589" s="66"/>
      <c r="Z2589" s="66"/>
      <c r="AA2589" s="66">
        <v>379</v>
      </c>
      <c r="AB2589" s="66"/>
      <c r="AC2589" s="66">
        <v>430</v>
      </c>
      <c r="AD2589" s="66"/>
      <c r="AE2589" s="66"/>
      <c r="AF2589" s="66"/>
      <c r="AG2589" s="66"/>
      <c r="AH2589" s="66"/>
      <c r="AI2589" s="66"/>
      <c r="AJ2589" s="66"/>
      <c r="AK2589" s="66"/>
      <c r="AL2589" s="66"/>
      <c r="AM2589" s="66"/>
      <c r="AN2589" s="66"/>
      <c r="AO2589" s="66"/>
      <c r="AP2589" s="66"/>
      <c r="AQ2589" s="66"/>
      <c r="AR2589" s="66"/>
      <c r="AS2589" s="66"/>
      <c r="AT2589" s="66"/>
      <c r="AU2589" s="66"/>
      <c r="AV2589" s="66"/>
      <c r="AW2589" s="66"/>
      <c r="AX2589" s="66"/>
      <c r="AY2589" s="66"/>
      <c r="AZ2589" s="66"/>
      <c r="BA2589" s="66"/>
      <c r="BB2589" s="66"/>
      <c r="BC2589" s="66"/>
      <c r="BD2589" s="66"/>
      <c r="BE2589" s="67"/>
      <c r="BF2589" s="67"/>
      <c r="BG2589" s="68"/>
      <c r="BI2589" s="69">
        <v>0</v>
      </c>
      <c r="BJ2589" s="70">
        <v>0</v>
      </c>
      <c r="BK2589" s="71">
        <v>0</v>
      </c>
      <c r="BL2589" s="71">
        <v>0</v>
      </c>
      <c r="BM2589" s="71">
        <v>0</v>
      </c>
      <c r="BN2589" s="72">
        <v>0</v>
      </c>
      <c r="BO2589" s="151" t="e">
        <f t="shared" si="174"/>
        <v>#DIV/0!</v>
      </c>
      <c r="BP2589" s="151" t="e">
        <f t="shared" si="175"/>
        <v>#DIV/0!</v>
      </c>
      <c r="BQ2589" s="71">
        <v>0</v>
      </c>
      <c r="BR2589" s="71">
        <v>0</v>
      </c>
      <c r="BS2589" s="71">
        <v>0</v>
      </c>
      <c r="BT2589" s="72">
        <v>0</v>
      </c>
      <c r="BU2589" s="151" t="e">
        <f t="shared" si="176"/>
        <v>#DIV/0!</v>
      </c>
      <c r="BV2589" s="151" t="e">
        <f t="shared" si="177"/>
        <v>#DIV/0!</v>
      </c>
    </row>
    <row r="2590" ht="30" customHeight="1" spans="1:74">
      <c r="A2590" s="55">
        <v>0</v>
      </c>
      <c r="B2590" s="56" t="s">
        <v>1237</v>
      </c>
      <c r="C2590" s="57" t="s">
        <v>3341</v>
      </c>
      <c r="D2590" s="91" t="s">
        <v>3799</v>
      </c>
      <c r="E2590" s="91" t="s">
        <v>3972</v>
      </c>
      <c r="F2590" s="91" t="str">
        <f>VLOOKUP(E2590,[1]库存!$B$1:$C$65536,2,FALSE)</f>
        <v>M32T CAB OPW 拉带 B状态</v>
      </c>
      <c r="G2590" s="91" t="s">
        <v>3973</v>
      </c>
      <c r="H2590" s="91" t="s">
        <v>3974</v>
      </c>
      <c r="I2590" s="91"/>
      <c r="J2590" s="63"/>
      <c r="K2590" s="61"/>
      <c r="L2590" s="62">
        <v>0</v>
      </c>
      <c r="M2590" s="63">
        <v>1200</v>
      </c>
      <c r="N2590" s="64">
        <v>1</v>
      </c>
      <c r="O2590" s="62">
        <v>0</v>
      </c>
      <c r="P2590" s="65">
        <f t="shared" si="178"/>
        <v>0</v>
      </c>
      <c r="Q2590" s="66"/>
      <c r="R2590" s="66"/>
      <c r="S2590" s="66"/>
      <c r="T2590" s="66"/>
      <c r="U2590" s="66"/>
      <c r="V2590" s="66"/>
      <c r="W2590" s="66"/>
      <c r="X2590" s="66"/>
      <c r="Y2590" s="66"/>
      <c r="Z2590" s="66"/>
      <c r="AA2590" s="66"/>
      <c r="AB2590" s="66"/>
      <c r="AC2590" s="66"/>
      <c r="AD2590" s="66"/>
      <c r="AE2590" s="66"/>
      <c r="AF2590" s="66"/>
      <c r="AG2590" s="66"/>
      <c r="AH2590" s="66"/>
      <c r="AI2590" s="66"/>
      <c r="AJ2590" s="66"/>
      <c r="AK2590" s="66"/>
      <c r="AL2590" s="66"/>
      <c r="AM2590" s="66"/>
      <c r="AN2590" s="66"/>
      <c r="AO2590" s="66"/>
      <c r="AP2590" s="66"/>
      <c r="AQ2590" s="66"/>
      <c r="AR2590" s="66"/>
      <c r="AS2590" s="66"/>
      <c r="AT2590" s="66"/>
      <c r="AU2590" s="66"/>
      <c r="AV2590" s="66"/>
      <c r="AW2590" s="66"/>
      <c r="AX2590" s="66"/>
      <c r="AY2590" s="66"/>
      <c r="AZ2590" s="66"/>
      <c r="BA2590" s="66"/>
      <c r="BB2590" s="66"/>
      <c r="BC2590" s="66"/>
      <c r="BD2590" s="66"/>
      <c r="BE2590" s="67"/>
      <c r="BF2590" s="67"/>
      <c r="BG2590" s="68"/>
      <c r="BI2590" s="69">
        <v>0</v>
      </c>
      <c r="BJ2590" s="70">
        <v>0</v>
      </c>
      <c r="BK2590" s="71">
        <v>0</v>
      </c>
      <c r="BL2590" s="71">
        <v>0</v>
      </c>
      <c r="BM2590" s="71">
        <v>0</v>
      </c>
      <c r="BN2590" s="72">
        <v>0</v>
      </c>
      <c r="BO2590" s="151" t="e">
        <f t="shared" si="174"/>
        <v>#DIV/0!</v>
      </c>
      <c r="BP2590" s="151" t="e">
        <f t="shared" si="175"/>
        <v>#DIV/0!</v>
      </c>
      <c r="BQ2590" s="71">
        <v>0</v>
      </c>
      <c r="BR2590" s="71">
        <v>0</v>
      </c>
      <c r="BS2590" s="71">
        <v>0</v>
      </c>
      <c r="BT2590" s="72">
        <v>0</v>
      </c>
      <c r="BU2590" s="151" t="e">
        <f t="shared" si="176"/>
        <v>#DIV/0!</v>
      </c>
      <c r="BV2590" s="151" t="e">
        <f t="shared" si="177"/>
        <v>#DIV/0!</v>
      </c>
    </row>
    <row r="2591" ht="30" customHeight="1" spans="1:74">
      <c r="A2591" s="55">
        <v>0</v>
      </c>
      <c r="B2591" s="56">
        <v>0</v>
      </c>
      <c r="C2591" s="57">
        <v>0</v>
      </c>
      <c r="D2591" s="92"/>
      <c r="E2591" s="92"/>
      <c r="F2591" s="91" t="e">
        <f>VLOOKUP(E2591,[1]库存!$B$1:$C$65536,2,FALSE)</f>
        <v>#N/A</v>
      </c>
      <c r="G2591" s="91" t="e">
        <v>#N/A</v>
      </c>
      <c r="H2591" s="92"/>
      <c r="I2591" s="92"/>
      <c r="J2591" s="87"/>
      <c r="K2591" s="61"/>
      <c r="L2591" s="62">
        <v>0</v>
      </c>
      <c r="M2591" s="63">
        <v>0</v>
      </c>
      <c r="N2591" s="64">
        <v>0</v>
      </c>
      <c r="O2591" s="62">
        <v>0</v>
      </c>
      <c r="P2591" s="65">
        <f t="shared" si="178"/>
        <v>0</v>
      </c>
      <c r="Q2591" s="66"/>
      <c r="R2591" s="66"/>
      <c r="S2591" s="66"/>
      <c r="T2591" s="66"/>
      <c r="U2591" s="66"/>
      <c r="V2591" s="66"/>
      <c r="W2591" s="66"/>
      <c r="X2591" s="66"/>
      <c r="Y2591" s="66"/>
      <c r="Z2591" s="66"/>
      <c r="AA2591" s="66"/>
      <c r="AB2591" s="66"/>
      <c r="AC2591" s="66"/>
      <c r="AD2591" s="66"/>
      <c r="AE2591" s="66"/>
      <c r="AF2591" s="66"/>
      <c r="AG2591" s="66"/>
      <c r="AH2591" s="66"/>
      <c r="AI2591" s="66"/>
      <c r="AJ2591" s="66"/>
      <c r="AK2591" s="66"/>
      <c r="AL2591" s="66"/>
      <c r="AM2591" s="66"/>
      <c r="AN2591" s="66"/>
      <c r="AO2591" s="66"/>
      <c r="AP2591" s="66"/>
      <c r="AQ2591" s="66"/>
      <c r="AR2591" s="66"/>
      <c r="AS2591" s="66"/>
      <c r="AT2591" s="66"/>
      <c r="AU2591" s="66"/>
      <c r="AV2591" s="66"/>
      <c r="AW2591" s="66"/>
      <c r="AX2591" s="66"/>
      <c r="AY2591" s="66"/>
      <c r="AZ2591" s="66"/>
      <c r="BA2591" s="66"/>
      <c r="BB2591" s="66"/>
      <c r="BC2591" s="66"/>
      <c r="BD2591" s="66"/>
      <c r="BE2591" s="67"/>
      <c r="BF2591" s="67"/>
      <c r="BG2591" s="68"/>
      <c r="BI2591" s="69">
        <v>0</v>
      </c>
      <c r="BJ2591" s="70">
        <v>0</v>
      </c>
      <c r="BK2591" s="71">
        <v>0</v>
      </c>
      <c r="BL2591" s="71">
        <v>0</v>
      </c>
      <c r="BM2591" s="71">
        <v>0</v>
      </c>
      <c r="BN2591" s="72">
        <v>0</v>
      </c>
      <c r="BO2591" s="151" t="e">
        <f t="shared" si="174"/>
        <v>#DIV/0!</v>
      </c>
      <c r="BP2591" s="151" t="e">
        <f t="shared" si="175"/>
        <v>#DIV/0!</v>
      </c>
      <c r="BQ2591" s="71">
        <v>0</v>
      </c>
      <c r="BR2591" s="71">
        <v>0</v>
      </c>
      <c r="BS2591" s="71">
        <v>0</v>
      </c>
      <c r="BT2591" s="72">
        <v>0</v>
      </c>
      <c r="BU2591" s="151" t="e">
        <f t="shared" si="176"/>
        <v>#DIV/0!</v>
      </c>
      <c r="BV2591" s="151" t="e">
        <f t="shared" si="177"/>
        <v>#DIV/0!</v>
      </c>
    </row>
    <row r="2592" ht="30" customHeight="1" spans="1:74">
      <c r="A2592" s="55">
        <v>0</v>
      </c>
      <c r="B2592" s="56" t="s">
        <v>1237</v>
      </c>
      <c r="C2592" s="57" t="s">
        <v>3341</v>
      </c>
      <c r="D2592" s="91" t="s">
        <v>3804</v>
      </c>
      <c r="E2592" s="91" t="s">
        <v>3975</v>
      </c>
      <c r="F2592" s="91" t="str">
        <f>VLOOKUP(E2592,[1]库存!$B$1:$C$65536,2,FALSE)</f>
        <v>M32T CAB OPW 导气袋 B状态</v>
      </c>
      <c r="G2592" s="91" t="s">
        <v>3976</v>
      </c>
      <c r="H2592" s="91" t="s">
        <v>3977</v>
      </c>
      <c r="I2592" s="91"/>
      <c r="J2592" s="63"/>
      <c r="K2592" s="61"/>
      <c r="L2592" s="62">
        <v>0.7</v>
      </c>
      <c r="M2592" s="63">
        <v>1000</v>
      </c>
      <c r="N2592" s="64">
        <v>2</v>
      </c>
      <c r="O2592" s="62">
        <v>0.7</v>
      </c>
      <c r="P2592" s="65">
        <f t="shared" si="178"/>
        <v>0</v>
      </c>
      <c r="Q2592" s="66"/>
      <c r="R2592" s="66"/>
      <c r="S2592" s="66"/>
      <c r="T2592" s="66"/>
      <c r="U2592" s="66"/>
      <c r="V2592" s="66"/>
      <c r="W2592" s="66"/>
      <c r="X2592" s="66"/>
      <c r="Y2592" s="66"/>
      <c r="Z2592" s="66"/>
      <c r="AA2592" s="66"/>
      <c r="AB2592" s="66"/>
      <c r="AC2592" s="66"/>
      <c r="AD2592" s="66"/>
      <c r="AE2592" s="66"/>
      <c r="AF2592" s="66"/>
      <c r="AG2592" s="66"/>
      <c r="AH2592" s="66"/>
      <c r="AI2592" s="66"/>
      <c r="AJ2592" s="66"/>
      <c r="AK2592" s="66"/>
      <c r="AL2592" s="66"/>
      <c r="AM2592" s="66"/>
      <c r="AN2592" s="66"/>
      <c r="AO2592" s="66"/>
      <c r="AP2592" s="66"/>
      <c r="AQ2592" s="66"/>
      <c r="AR2592" s="66"/>
      <c r="AS2592" s="66"/>
      <c r="AT2592" s="66"/>
      <c r="AU2592" s="66"/>
      <c r="AV2592" s="66"/>
      <c r="AW2592" s="66"/>
      <c r="AX2592" s="66"/>
      <c r="AY2592" s="66"/>
      <c r="AZ2592" s="66"/>
      <c r="BA2592" s="66"/>
      <c r="BB2592" s="66"/>
      <c r="BC2592" s="66"/>
      <c r="BD2592" s="66"/>
      <c r="BE2592" s="67"/>
      <c r="BF2592" s="67"/>
      <c r="BG2592" s="68"/>
      <c r="BI2592" s="69">
        <v>0</v>
      </c>
      <c r="BJ2592" s="70">
        <v>0</v>
      </c>
      <c r="BK2592" s="71">
        <v>0</v>
      </c>
      <c r="BL2592" s="71">
        <v>0</v>
      </c>
      <c r="BM2592" s="71">
        <v>0</v>
      </c>
      <c r="BN2592" s="72">
        <v>0</v>
      </c>
      <c r="BO2592" s="151" t="e">
        <f t="shared" si="174"/>
        <v>#DIV/0!</v>
      </c>
      <c r="BP2592" s="151" t="e">
        <f t="shared" si="175"/>
        <v>#DIV/0!</v>
      </c>
      <c r="BQ2592" s="71">
        <v>0</v>
      </c>
      <c r="BR2592" s="71">
        <v>0</v>
      </c>
      <c r="BS2592" s="71">
        <v>0</v>
      </c>
      <c r="BT2592" s="72">
        <v>0</v>
      </c>
      <c r="BU2592" s="151" t="e">
        <f t="shared" si="176"/>
        <v>#DIV/0!</v>
      </c>
      <c r="BV2592" s="151" t="e">
        <f t="shared" si="177"/>
        <v>#DIV/0!</v>
      </c>
    </row>
    <row r="2593" ht="30" customHeight="1" spans="1:74">
      <c r="A2593" s="55">
        <v>0</v>
      </c>
      <c r="B2593" s="56">
        <v>0</v>
      </c>
      <c r="C2593" s="57">
        <v>0</v>
      </c>
      <c r="D2593" s="92"/>
      <c r="E2593" s="92"/>
      <c r="F2593" s="91" t="e">
        <f>VLOOKUP(E2593,[1]库存!$B$1:$C$65536,2,FALSE)</f>
        <v>#N/A</v>
      </c>
      <c r="G2593" s="91" t="e">
        <v>#N/A</v>
      </c>
      <c r="H2593" s="92"/>
      <c r="I2593" s="92"/>
      <c r="J2593" s="87"/>
      <c r="K2593" s="61"/>
      <c r="L2593" s="62">
        <v>0</v>
      </c>
      <c r="M2593" s="63">
        <v>0</v>
      </c>
      <c r="N2593" s="64">
        <v>0</v>
      </c>
      <c r="O2593" s="62">
        <v>0</v>
      </c>
      <c r="P2593" s="65">
        <f t="shared" si="178"/>
        <v>0</v>
      </c>
      <c r="Q2593" s="66"/>
      <c r="R2593" s="66"/>
      <c r="S2593" s="66"/>
      <c r="T2593" s="66"/>
      <c r="U2593" s="66"/>
      <c r="V2593" s="66"/>
      <c r="W2593" s="66"/>
      <c r="X2593" s="66"/>
      <c r="Y2593" s="66"/>
      <c r="Z2593" s="66"/>
      <c r="AA2593" s="66"/>
      <c r="AB2593" s="66"/>
      <c r="AC2593" s="66"/>
      <c r="AD2593" s="66"/>
      <c r="AE2593" s="66"/>
      <c r="AF2593" s="66"/>
      <c r="AG2593" s="66"/>
      <c r="AH2593" s="66"/>
      <c r="AI2593" s="66"/>
      <c r="AJ2593" s="66"/>
      <c r="AK2593" s="66"/>
      <c r="AL2593" s="66"/>
      <c r="AM2593" s="66"/>
      <c r="AN2593" s="66"/>
      <c r="AO2593" s="66"/>
      <c r="AP2593" s="66"/>
      <c r="AQ2593" s="66"/>
      <c r="AR2593" s="66"/>
      <c r="AS2593" s="66"/>
      <c r="AT2593" s="66"/>
      <c r="AU2593" s="66"/>
      <c r="AV2593" s="66"/>
      <c r="AW2593" s="66"/>
      <c r="AX2593" s="66"/>
      <c r="AY2593" s="66"/>
      <c r="AZ2593" s="66"/>
      <c r="BA2593" s="66"/>
      <c r="BB2593" s="66"/>
      <c r="BC2593" s="66"/>
      <c r="BD2593" s="66"/>
      <c r="BE2593" s="67"/>
      <c r="BF2593" s="67"/>
      <c r="BG2593" s="68"/>
      <c r="BI2593" s="69">
        <v>0</v>
      </c>
      <c r="BJ2593" s="70">
        <v>0</v>
      </c>
      <c r="BK2593" s="71">
        <v>0</v>
      </c>
      <c r="BL2593" s="71">
        <v>0</v>
      </c>
      <c r="BM2593" s="71">
        <v>0</v>
      </c>
      <c r="BN2593" s="72">
        <v>0</v>
      </c>
      <c r="BO2593" s="151" t="e">
        <f t="shared" si="174"/>
        <v>#DIV/0!</v>
      </c>
      <c r="BP2593" s="151" t="e">
        <f t="shared" si="175"/>
        <v>#DIV/0!</v>
      </c>
      <c r="BQ2593" s="71">
        <v>0</v>
      </c>
      <c r="BR2593" s="71">
        <v>0</v>
      </c>
      <c r="BS2593" s="71">
        <v>0</v>
      </c>
      <c r="BT2593" s="72">
        <v>0</v>
      </c>
      <c r="BU2593" s="151" t="e">
        <f t="shared" si="176"/>
        <v>#DIV/0!</v>
      </c>
      <c r="BV2593" s="151" t="e">
        <f t="shared" si="177"/>
        <v>#DIV/0!</v>
      </c>
    </row>
    <row r="2594" ht="30" customHeight="1" spans="1:74">
      <c r="A2594" s="55" t="s">
        <v>41</v>
      </c>
      <c r="B2594" s="56" t="s">
        <v>1237</v>
      </c>
      <c r="C2594" s="57" t="s">
        <v>3341</v>
      </c>
      <c r="D2594" s="91" t="s">
        <v>3966</v>
      </c>
      <c r="E2594" s="91" t="s">
        <v>3978</v>
      </c>
      <c r="F2594" s="91" t="str">
        <f>VLOOKUP(E2594,[1]库存!$B$1:$C$65536,2,FALSE)</f>
        <v>M32T CAB OPW LH B状态</v>
      </c>
      <c r="G2594" s="91" t="s">
        <v>3979</v>
      </c>
      <c r="H2594" s="91" t="s">
        <v>3980</v>
      </c>
      <c r="I2594" s="91" t="s">
        <v>3968</v>
      </c>
      <c r="J2594" s="63"/>
      <c r="K2594" s="61"/>
      <c r="L2594" s="62">
        <v>1</v>
      </c>
      <c r="M2594" s="117">
        <v>1000</v>
      </c>
      <c r="N2594" s="64">
        <v>5</v>
      </c>
      <c r="O2594" s="62">
        <v>1</v>
      </c>
      <c r="P2594" s="65">
        <f t="shared" si="178"/>
        <v>0</v>
      </c>
      <c r="Q2594" s="66"/>
      <c r="R2594" s="66"/>
      <c r="S2594" s="66"/>
      <c r="T2594" s="66"/>
      <c r="U2594" s="66"/>
      <c r="V2594" s="66"/>
      <c r="W2594" s="67"/>
      <c r="X2594" s="66"/>
      <c r="Y2594" s="66"/>
      <c r="Z2594" s="66"/>
      <c r="AA2594" s="66"/>
      <c r="AB2594" s="66"/>
      <c r="AC2594" s="66"/>
      <c r="AD2594" s="66"/>
      <c r="AE2594" s="66"/>
      <c r="AF2594" s="66"/>
      <c r="AG2594" s="66"/>
      <c r="AH2594" s="66"/>
      <c r="AI2594" s="66"/>
      <c r="AJ2594" s="66"/>
      <c r="AK2594" s="67"/>
      <c r="AL2594" s="66"/>
      <c r="AM2594" s="66"/>
      <c r="AN2594" s="66"/>
      <c r="AO2594" s="66"/>
      <c r="AP2594" s="66"/>
      <c r="AQ2594" s="66"/>
      <c r="AR2594" s="66"/>
      <c r="AS2594" s="66"/>
      <c r="AT2594" s="66"/>
      <c r="AU2594" s="66"/>
      <c r="AV2594" s="66"/>
      <c r="AW2594" s="66"/>
      <c r="AX2594" s="66"/>
      <c r="AY2594" s="67"/>
      <c r="AZ2594" s="66"/>
      <c r="BA2594" s="66"/>
      <c r="BB2594" s="66"/>
      <c r="BC2594" s="66"/>
      <c r="BD2594" s="66"/>
      <c r="BE2594" s="67"/>
      <c r="BF2594" s="67"/>
      <c r="BG2594" s="68"/>
      <c r="BI2594" s="69" t="s">
        <v>3968</v>
      </c>
      <c r="BJ2594" s="70">
        <v>0.317</v>
      </c>
      <c r="BK2594" s="71">
        <v>520.45</v>
      </c>
      <c r="BL2594" s="71">
        <v>0</v>
      </c>
      <c r="BM2594" s="71">
        <v>0</v>
      </c>
      <c r="BN2594" s="72">
        <v>1069</v>
      </c>
      <c r="BO2594" s="151">
        <f t="shared" si="174"/>
        <v>1641.79810725552</v>
      </c>
      <c r="BP2594" s="151">
        <f t="shared" si="175"/>
        <v>0</v>
      </c>
      <c r="BQ2594" s="71">
        <v>498.77</v>
      </c>
      <c r="BR2594" s="71">
        <v>3151</v>
      </c>
      <c r="BS2594" s="71">
        <v>69</v>
      </c>
      <c r="BT2594" s="72">
        <v>0</v>
      </c>
      <c r="BU2594" s="151">
        <f t="shared" si="176"/>
        <v>11513.4700315457</v>
      </c>
      <c r="BV2594" s="151">
        <f t="shared" si="177"/>
        <v>217.665615141956</v>
      </c>
    </row>
    <row r="2595" ht="30" customHeight="1" spans="1:74">
      <c r="A2595" s="55">
        <v>0</v>
      </c>
      <c r="B2595" s="56">
        <v>0</v>
      </c>
      <c r="C2595" s="57">
        <v>0</v>
      </c>
      <c r="D2595" s="92"/>
      <c r="E2595" s="92"/>
      <c r="F2595" s="91" t="e">
        <f>VLOOKUP(E2595,[1]库存!$B$1:$C$65536,2,FALSE)</f>
        <v>#N/A</v>
      </c>
      <c r="G2595" s="91" t="e">
        <v>#N/A</v>
      </c>
      <c r="H2595" s="92"/>
      <c r="I2595" s="92"/>
      <c r="J2595" s="87"/>
      <c r="K2595" s="61"/>
      <c r="L2595" s="62">
        <v>0</v>
      </c>
      <c r="M2595" s="63">
        <v>0</v>
      </c>
      <c r="N2595" s="64">
        <v>0</v>
      </c>
      <c r="O2595" s="62">
        <v>0</v>
      </c>
      <c r="P2595" s="65">
        <f t="shared" si="178"/>
        <v>0</v>
      </c>
      <c r="Q2595" s="66"/>
      <c r="R2595" s="66"/>
      <c r="S2595" s="66"/>
      <c r="T2595" s="66"/>
      <c r="U2595" s="66"/>
      <c r="V2595" s="66"/>
      <c r="W2595" s="66"/>
      <c r="X2595" s="66"/>
      <c r="Y2595" s="66"/>
      <c r="Z2595" s="66"/>
      <c r="AA2595" s="66"/>
      <c r="AB2595" s="66"/>
      <c r="AC2595" s="66"/>
      <c r="AD2595" s="66"/>
      <c r="AE2595" s="66"/>
      <c r="AF2595" s="66"/>
      <c r="AG2595" s="66"/>
      <c r="AH2595" s="66"/>
      <c r="AI2595" s="66"/>
      <c r="AJ2595" s="66"/>
      <c r="AK2595" s="66"/>
      <c r="AL2595" s="66"/>
      <c r="AM2595" s="66"/>
      <c r="AN2595" s="66"/>
      <c r="AO2595" s="66"/>
      <c r="AP2595" s="66"/>
      <c r="AQ2595" s="66"/>
      <c r="AR2595" s="66"/>
      <c r="AS2595" s="66"/>
      <c r="AT2595" s="66"/>
      <c r="AU2595" s="66"/>
      <c r="AV2595" s="66"/>
      <c r="AW2595" s="66"/>
      <c r="AX2595" s="66"/>
      <c r="AY2595" s="66"/>
      <c r="AZ2595" s="66"/>
      <c r="BA2595" s="66"/>
      <c r="BB2595" s="66"/>
      <c r="BC2595" s="66"/>
      <c r="BD2595" s="66"/>
      <c r="BE2595" s="67"/>
      <c r="BF2595" s="67"/>
      <c r="BG2595" s="68"/>
      <c r="BI2595" s="69">
        <v>0</v>
      </c>
      <c r="BJ2595" s="70">
        <v>0</v>
      </c>
      <c r="BK2595" s="71">
        <v>0</v>
      </c>
      <c r="BL2595" s="71">
        <v>0</v>
      </c>
      <c r="BM2595" s="71">
        <v>0</v>
      </c>
      <c r="BN2595" s="72">
        <v>0</v>
      </c>
      <c r="BO2595" s="151" t="e">
        <f t="shared" si="174"/>
        <v>#DIV/0!</v>
      </c>
      <c r="BP2595" s="151" t="e">
        <f t="shared" si="175"/>
        <v>#DIV/0!</v>
      </c>
      <c r="BQ2595" s="71">
        <v>0</v>
      </c>
      <c r="BR2595" s="71">
        <v>0</v>
      </c>
      <c r="BS2595" s="71">
        <v>0</v>
      </c>
      <c r="BT2595" s="72">
        <v>0</v>
      </c>
      <c r="BU2595" s="151" t="e">
        <f t="shared" si="176"/>
        <v>#DIV/0!</v>
      </c>
      <c r="BV2595" s="151" t="e">
        <f t="shared" si="177"/>
        <v>#DIV/0!</v>
      </c>
    </row>
    <row r="2596" ht="30" customHeight="1" spans="1:74">
      <c r="A2596" s="55" t="s">
        <v>41</v>
      </c>
      <c r="B2596" s="56" t="s">
        <v>1237</v>
      </c>
      <c r="C2596" s="57" t="s">
        <v>3341</v>
      </c>
      <c r="D2596" s="91" t="s">
        <v>3966</v>
      </c>
      <c r="E2596" s="91" t="s">
        <v>3981</v>
      </c>
      <c r="F2596" s="91" t="str">
        <f>VLOOKUP(E2596,[1]库存!$B$1:$C$65536,2,FALSE)</f>
        <v>M32T CAB OPW RH B状态</v>
      </c>
      <c r="G2596" s="91" t="s">
        <v>3982</v>
      </c>
      <c r="H2596" s="91" t="s">
        <v>3983</v>
      </c>
      <c r="I2596" s="91" t="s">
        <v>3968</v>
      </c>
      <c r="J2596" s="63"/>
      <c r="K2596" s="61"/>
      <c r="L2596" s="62">
        <v>1</v>
      </c>
      <c r="M2596" s="117">
        <v>1000</v>
      </c>
      <c r="N2596" s="64">
        <v>5</v>
      </c>
      <c r="O2596" s="62">
        <v>1</v>
      </c>
      <c r="P2596" s="65">
        <f t="shared" si="178"/>
        <v>0</v>
      </c>
      <c r="Q2596" s="66"/>
      <c r="R2596" s="66"/>
      <c r="S2596" s="66"/>
      <c r="T2596" s="66"/>
      <c r="U2596" s="66"/>
      <c r="V2596" s="66"/>
      <c r="W2596" s="67"/>
      <c r="X2596" s="66"/>
      <c r="Y2596" s="66"/>
      <c r="Z2596" s="66"/>
      <c r="AA2596" s="66"/>
      <c r="AB2596" s="66"/>
      <c r="AC2596" s="66"/>
      <c r="AD2596" s="66"/>
      <c r="AE2596" s="66"/>
      <c r="AF2596" s="66"/>
      <c r="AG2596" s="66"/>
      <c r="AH2596" s="66"/>
      <c r="AI2596" s="66"/>
      <c r="AJ2596" s="66"/>
      <c r="AK2596" s="67"/>
      <c r="AL2596" s="66"/>
      <c r="AM2596" s="66"/>
      <c r="AN2596" s="66"/>
      <c r="AO2596" s="66"/>
      <c r="AP2596" s="66"/>
      <c r="AQ2596" s="66"/>
      <c r="AR2596" s="66"/>
      <c r="AS2596" s="66"/>
      <c r="AT2596" s="66"/>
      <c r="AU2596" s="66"/>
      <c r="AV2596" s="66"/>
      <c r="AW2596" s="66"/>
      <c r="AX2596" s="66"/>
      <c r="AY2596" s="67"/>
      <c r="AZ2596" s="66"/>
      <c r="BA2596" s="66"/>
      <c r="BB2596" s="66"/>
      <c r="BC2596" s="66"/>
      <c r="BD2596" s="66"/>
      <c r="BE2596" s="67"/>
      <c r="BF2596" s="67"/>
      <c r="BG2596" s="68"/>
      <c r="BI2596" s="69">
        <v>0</v>
      </c>
      <c r="BJ2596" s="70">
        <v>0</v>
      </c>
      <c r="BK2596" s="71">
        <v>0</v>
      </c>
      <c r="BL2596" s="71">
        <v>0</v>
      </c>
      <c r="BM2596" s="71">
        <v>0</v>
      </c>
      <c r="BN2596" s="72">
        <v>0</v>
      </c>
      <c r="BO2596" s="151" t="e">
        <f t="shared" si="174"/>
        <v>#DIV/0!</v>
      </c>
      <c r="BP2596" s="151" t="e">
        <f t="shared" si="175"/>
        <v>#DIV/0!</v>
      </c>
      <c r="BQ2596" s="71">
        <v>0</v>
      </c>
      <c r="BR2596" s="71">
        <v>0</v>
      </c>
      <c r="BS2596" s="71">
        <v>0</v>
      </c>
      <c r="BT2596" s="72">
        <v>0</v>
      </c>
      <c r="BU2596" s="151" t="e">
        <f t="shared" si="176"/>
        <v>#DIV/0!</v>
      </c>
      <c r="BV2596" s="151" t="e">
        <f t="shared" si="177"/>
        <v>#DIV/0!</v>
      </c>
    </row>
    <row r="2597" ht="30" customHeight="1" spans="1:74">
      <c r="A2597" s="55">
        <v>0</v>
      </c>
      <c r="B2597" s="56">
        <v>0</v>
      </c>
      <c r="C2597" s="57">
        <v>0</v>
      </c>
      <c r="D2597" s="92"/>
      <c r="E2597" s="92"/>
      <c r="F2597" s="91" t="e">
        <f>VLOOKUP(E2597,[1]库存!$B$1:$C$65536,2,FALSE)</f>
        <v>#N/A</v>
      </c>
      <c r="G2597" s="91" t="e">
        <v>#N/A</v>
      </c>
      <c r="H2597" s="92"/>
      <c r="I2597" s="92"/>
      <c r="J2597" s="87"/>
      <c r="K2597" s="61"/>
      <c r="L2597" s="62">
        <v>0</v>
      </c>
      <c r="M2597" s="63">
        <v>0</v>
      </c>
      <c r="N2597" s="64">
        <v>0</v>
      </c>
      <c r="O2597" s="62">
        <v>0</v>
      </c>
      <c r="P2597" s="65">
        <f t="shared" si="178"/>
        <v>0</v>
      </c>
      <c r="Q2597" s="66"/>
      <c r="R2597" s="66"/>
      <c r="S2597" s="66"/>
      <c r="T2597" s="66"/>
      <c r="U2597" s="66"/>
      <c r="V2597" s="66"/>
      <c r="W2597" s="66"/>
      <c r="X2597" s="66"/>
      <c r="Y2597" s="66"/>
      <c r="Z2597" s="66"/>
      <c r="AA2597" s="66"/>
      <c r="AB2597" s="66"/>
      <c r="AC2597" s="66"/>
      <c r="AD2597" s="66"/>
      <c r="AE2597" s="66"/>
      <c r="AF2597" s="66"/>
      <c r="AG2597" s="66"/>
      <c r="AH2597" s="66"/>
      <c r="AI2597" s="66"/>
      <c r="AJ2597" s="66"/>
      <c r="AK2597" s="66"/>
      <c r="AL2597" s="66"/>
      <c r="AM2597" s="66"/>
      <c r="AN2597" s="66"/>
      <c r="AO2597" s="66"/>
      <c r="AP2597" s="66"/>
      <c r="AQ2597" s="66"/>
      <c r="AR2597" s="66"/>
      <c r="AS2597" s="66"/>
      <c r="AT2597" s="66"/>
      <c r="AU2597" s="66"/>
      <c r="AV2597" s="66"/>
      <c r="AW2597" s="66"/>
      <c r="AX2597" s="66"/>
      <c r="AY2597" s="66"/>
      <c r="AZ2597" s="66"/>
      <c r="BA2597" s="66"/>
      <c r="BB2597" s="66"/>
      <c r="BC2597" s="66"/>
      <c r="BD2597" s="66"/>
      <c r="BE2597" s="67"/>
      <c r="BF2597" s="67"/>
      <c r="BG2597" s="68"/>
      <c r="BI2597" s="69">
        <v>0</v>
      </c>
      <c r="BJ2597" s="70">
        <v>0</v>
      </c>
      <c r="BK2597" s="71">
        <v>0</v>
      </c>
      <c r="BL2597" s="71">
        <v>0</v>
      </c>
      <c r="BM2597" s="71">
        <v>0</v>
      </c>
      <c r="BN2597" s="72">
        <v>0</v>
      </c>
      <c r="BO2597" s="151" t="e">
        <f t="shared" si="174"/>
        <v>#DIV/0!</v>
      </c>
      <c r="BP2597" s="151" t="e">
        <f t="shared" si="175"/>
        <v>#DIV/0!</v>
      </c>
      <c r="BQ2597" s="71">
        <v>0</v>
      </c>
      <c r="BR2597" s="71">
        <v>0</v>
      </c>
      <c r="BS2597" s="71">
        <v>0</v>
      </c>
      <c r="BT2597" s="72">
        <v>0</v>
      </c>
      <c r="BU2597" s="151" t="e">
        <f t="shared" si="176"/>
        <v>#DIV/0!</v>
      </c>
      <c r="BV2597" s="151" t="e">
        <f t="shared" si="177"/>
        <v>#DIV/0!</v>
      </c>
    </row>
    <row r="2598" ht="30" customHeight="1" spans="1:74">
      <c r="A2598" s="55">
        <v>0</v>
      </c>
      <c r="B2598" s="56" t="s">
        <v>1237</v>
      </c>
      <c r="C2598" s="57" t="s">
        <v>3341</v>
      </c>
      <c r="D2598" s="59" t="s">
        <v>3715</v>
      </c>
      <c r="E2598" s="59" t="s">
        <v>3984</v>
      </c>
      <c r="F2598" s="59" t="str">
        <f>VLOOKUP(E2598,[1]库存!$B$1:$C$65536,2,FALSE)</f>
        <v>CH071 CAB导气袋</v>
      </c>
      <c r="G2598" s="59" t="s">
        <v>3985</v>
      </c>
      <c r="H2598" s="59" t="s">
        <v>3986</v>
      </c>
      <c r="I2598" s="59" t="s">
        <v>3987</v>
      </c>
      <c r="J2598" s="63"/>
      <c r="K2598" s="61"/>
      <c r="L2598" s="62">
        <v>0.7</v>
      </c>
      <c r="M2598" s="63">
        <v>1100</v>
      </c>
      <c r="N2598" s="64">
        <v>2</v>
      </c>
      <c r="O2598" s="62">
        <v>0.7</v>
      </c>
      <c r="P2598" s="65">
        <f t="shared" si="178"/>
        <v>0</v>
      </c>
      <c r="Q2598" s="66"/>
      <c r="R2598" s="66"/>
      <c r="S2598" s="66"/>
      <c r="T2598" s="66"/>
      <c r="U2598" s="66"/>
      <c r="V2598" s="66"/>
      <c r="W2598" s="66"/>
      <c r="X2598" s="66"/>
      <c r="Y2598" s="66"/>
      <c r="Z2598" s="66"/>
      <c r="AA2598" s="66"/>
      <c r="AB2598" s="66"/>
      <c r="AC2598" s="66"/>
      <c r="AD2598" s="66"/>
      <c r="AE2598" s="66"/>
      <c r="AF2598" s="66"/>
      <c r="AG2598" s="66"/>
      <c r="AH2598" s="66"/>
      <c r="AI2598" s="66"/>
      <c r="AJ2598" s="66"/>
      <c r="AK2598" s="66"/>
      <c r="AL2598" s="66"/>
      <c r="AM2598" s="66"/>
      <c r="AN2598" s="66"/>
      <c r="AO2598" s="66"/>
      <c r="AP2598" s="66"/>
      <c r="AQ2598" s="66"/>
      <c r="AR2598" s="66"/>
      <c r="AS2598" s="66"/>
      <c r="AT2598" s="66"/>
      <c r="AU2598" s="66"/>
      <c r="AV2598" s="66"/>
      <c r="AW2598" s="66"/>
      <c r="AX2598" s="66"/>
      <c r="AY2598" s="66"/>
      <c r="AZ2598" s="66"/>
      <c r="BA2598" s="66"/>
      <c r="BB2598" s="66"/>
      <c r="BC2598" s="66"/>
      <c r="BD2598" s="66"/>
      <c r="BE2598" s="67"/>
      <c r="BF2598" s="67"/>
      <c r="BG2598" s="68"/>
      <c r="BI2598" s="69">
        <v>0</v>
      </c>
      <c r="BJ2598" s="70">
        <v>0</v>
      </c>
      <c r="BK2598" s="71">
        <v>0</v>
      </c>
      <c r="BL2598" s="71">
        <v>0</v>
      </c>
      <c r="BM2598" s="71">
        <v>0</v>
      </c>
      <c r="BN2598" s="72">
        <v>0</v>
      </c>
      <c r="BO2598" s="151" t="e">
        <f t="shared" si="174"/>
        <v>#DIV/0!</v>
      </c>
      <c r="BP2598" s="151" t="e">
        <f t="shared" si="175"/>
        <v>#DIV/0!</v>
      </c>
      <c r="BQ2598" s="71">
        <v>0</v>
      </c>
      <c r="BR2598" s="71">
        <v>0</v>
      </c>
      <c r="BS2598" s="71">
        <v>0</v>
      </c>
      <c r="BT2598" s="72">
        <v>0</v>
      </c>
      <c r="BU2598" s="151" t="e">
        <f t="shared" si="176"/>
        <v>#DIV/0!</v>
      </c>
      <c r="BV2598" s="151" t="e">
        <f t="shared" si="177"/>
        <v>#DIV/0!</v>
      </c>
    </row>
    <row r="2599" ht="30" customHeight="1" spans="1:74">
      <c r="A2599" s="55">
        <v>0</v>
      </c>
      <c r="B2599" s="56">
        <v>0</v>
      </c>
      <c r="C2599" s="57">
        <v>0</v>
      </c>
      <c r="D2599" s="74"/>
      <c r="E2599" s="74"/>
      <c r="F2599" s="59" t="e">
        <f>VLOOKUP(E2599,[1]库存!$B$1:$C$65536,2,FALSE)</f>
        <v>#N/A</v>
      </c>
      <c r="G2599" s="59" t="e">
        <v>#N/A</v>
      </c>
      <c r="H2599" s="74"/>
      <c r="I2599" s="74"/>
      <c r="J2599" s="87"/>
      <c r="K2599" s="61"/>
      <c r="L2599" s="62">
        <v>0</v>
      </c>
      <c r="M2599" s="63">
        <v>0</v>
      </c>
      <c r="N2599" s="64">
        <v>0</v>
      </c>
      <c r="O2599" s="62">
        <v>0</v>
      </c>
      <c r="P2599" s="65">
        <f t="shared" si="178"/>
        <v>0</v>
      </c>
      <c r="Q2599" s="66"/>
      <c r="R2599" s="66"/>
      <c r="S2599" s="66"/>
      <c r="T2599" s="66"/>
      <c r="U2599" s="66"/>
      <c r="V2599" s="66"/>
      <c r="W2599" s="66"/>
      <c r="X2599" s="66"/>
      <c r="Y2599" s="66"/>
      <c r="Z2599" s="66"/>
      <c r="AA2599" s="66"/>
      <c r="AB2599" s="66"/>
      <c r="AC2599" s="66"/>
      <c r="AD2599" s="66"/>
      <c r="AE2599" s="66"/>
      <c r="AF2599" s="66"/>
      <c r="AG2599" s="66"/>
      <c r="AH2599" s="66"/>
      <c r="AI2599" s="66"/>
      <c r="AJ2599" s="66"/>
      <c r="AK2599" s="66"/>
      <c r="AL2599" s="66"/>
      <c r="AM2599" s="66"/>
      <c r="AN2599" s="66"/>
      <c r="AO2599" s="66"/>
      <c r="AP2599" s="66"/>
      <c r="AQ2599" s="66"/>
      <c r="AR2599" s="66"/>
      <c r="AS2599" s="66"/>
      <c r="AT2599" s="66"/>
      <c r="AU2599" s="66"/>
      <c r="AV2599" s="66"/>
      <c r="AW2599" s="66"/>
      <c r="AX2599" s="66"/>
      <c r="AY2599" s="66"/>
      <c r="AZ2599" s="66"/>
      <c r="BA2599" s="66"/>
      <c r="BB2599" s="66"/>
      <c r="BC2599" s="66"/>
      <c r="BD2599" s="66"/>
      <c r="BE2599" s="67"/>
      <c r="BF2599" s="67"/>
      <c r="BG2599" s="68"/>
      <c r="BI2599" s="69">
        <v>0</v>
      </c>
      <c r="BJ2599" s="70">
        <v>0</v>
      </c>
      <c r="BK2599" s="71">
        <v>0</v>
      </c>
      <c r="BL2599" s="71">
        <v>0</v>
      </c>
      <c r="BM2599" s="71">
        <v>0</v>
      </c>
      <c r="BN2599" s="72">
        <v>0</v>
      </c>
      <c r="BO2599" s="151" t="e">
        <f t="shared" si="174"/>
        <v>#DIV/0!</v>
      </c>
      <c r="BP2599" s="151" t="e">
        <f t="shared" si="175"/>
        <v>#DIV/0!</v>
      </c>
      <c r="BQ2599" s="71">
        <v>0</v>
      </c>
      <c r="BR2599" s="71">
        <v>0</v>
      </c>
      <c r="BS2599" s="71">
        <v>0</v>
      </c>
      <c r="BT2599" s="72">
        <v>0</v>
      </c>
      <c r="BU2599" s="151" t="e">
        <f t="shared" si="176"/>
        <v>#DIV/0!</v>
      </c>
      <c r="BV2599" s="151" t="e">
        <f t="shared" si="177"/>
        <v>#DIV/0!</v>
      </c>
    </row>
    <row r="2600" ht="30" customHeight="1" spans="1:74">
      <c r="A2600" s="55">
        <v>0</v>
      </c>
      <c r="B2600" s="56" t="s">
        <v>1237</v>
      </c>
      <c r="C2600" s="57" t="s">
        <v>3341</v>
      </c>
      <c r="D2600" s="59" t="s">
        <v>3227</v>
      </c>
      <c r="E2600" s="59" t="s">
        <v>3988</v>
      </c>
      <c r="F2600" s="59" t="str">
        <f>VLOOKUP(E2600,[1]库存!$B$1:$C$65536,2,FALSE)</f>
        <v>CH071 CAB拉带</v>
      </c>
      <c r="G2600" s="59" t="s">
        <v>3989</v>
      </c>
      <c r="H2600" s="59" t="s">
        <v>3990</v>
      </c>
      <c r="I2600" s="59" t="s">
        <v>3987</v>
      </c>
      <c r="J2600" s="63"/>
      <c r="K2600" s="61"/>
      <c r="L2600" s="62">
        <v>0</v>
      </c>
      <c r="M2600" s="63">
        <v>1200</v>
      </c>
      <c r="N2600" s="64">
        <v>1.5</v>
      </c>
      <c r="O2600" s="62">
        <v>0</v>
      </c>
      <c r="P2600" s="65">
        <f t="shared" si="178"/>
        <v>0</v>
      </c>
      <c r="Q2600" s="66"/>
      <c r="R2600" s="66"/>
      <c r="S2600" s="66"/>
      <c r="T2600" s="66"/>
      <c r="U2600" s="66"/>
      <c r="V2600" s="66"/>
      <c r="W2600" s="66"/>
      <c r="X2600" s="66"/>
      <c r="Y2600" s="66"/>
      <c r="Z2600" s="66"/>
      <c r="AA2600" s="66"/>
      <c r="AB2600" s="66"/>
      <c r="AC2600" s="66"/>
      <c r="AD2600" s="66"/>
      <c r="AE2600" s="66"/>
      <c r="AF2600" s="66"/>
      <c r="AG2600" s="66"/>
      <c r="AH2600" s="66"/>
      <c r="AI2600" s="66"/>
      <c r="AJ2600" s="66"/>
      <c r="AK2600" s="66"/>
      <c r="AL2600" s="66"/>
      <c r="AM2600" s="66"/>
      <c r="AN2600" s="66"/>
      <c r="AO2600" s="66"/>
      <c r="AP2600" s="66"/>
      <c r="AQ2600" s="66"/>
      <c r="AR2600" s="66"/>
      <c r="AS2600" s="66"/>
      <c r="AT2600" s="66"/>
      <c r="AU2600" s="66"/>
      <c r="AV2600" s="66"/>
      <c r="AW2600" s="66"/>
      <c r="AX2600" s="66"/>
      <c r="AY2600" s="66"/>
      <c r="AZ2600" s="66"/>
      <c r="BA2600" s="66"/>
      <c r="BB2600" s="66"/>
      <c r="BC2600" s="66"/>
      <c r="BD2600" s="66"/>
      <c r="BE2600" s="67"/>
      <c r="BF2600" s="67"/>
      <c r="BG2600" s="68"/>
      <c r="BI2600" s="69">
        <v>0</v>
      </c>
      <c r="BJ2600" s="70">
        <v>0</v>
      </c>
      <c r="BK2600" s="71">
        <v>0</v>
      </c>
      <c r="BL2600" s="71">
        <v>0</v>
      </c>
      <c r="BM2600" s="71">
        <v>0</v>
      </c>
      <c r="BN2600" s="72">
        <v>0</v>
      </c>
      <c r="BO2600" s="151" t="e">
        <f t="shared" si="174"/>
        <v>#DIV/0!</v>
      </c>
      <c r="BP2600" s="151" t="e">
        <f t="shared" si="175"/>
        <v>#DIV/0!</v>
      </c>
      <c r="BQ2600" s="71">
        <v>0</v>
      </c>
      <c r="BR2600" s="71">
        <v>0</v>
      </c>
      <c r="BS2600" s="71">
        <v>0</v>
      </c>
      <c r="BT2600" s="72">
        <v>0</v>
      </c>
      <c r="BU2600" s="151" t="e">
        <f t="shared" si="176"/>
        <v>#DIV/0!</v>
      </c>
      <c r="BV2600" s="151" t="e">
        <f t="shared" si="177"/>
        <v>#DIV/0!</v>
      </c>
    </row>
    <row r="2601" ht="30" customHeight="1" spans="1:74">
      <c r="A2601" s="55">
        <v>0</v>
      </c>
      <c r="B2601" s="56">
        <v>0</v>
      </c>
      <c r="C2601" s="57">
        <v>0</v>
      </c>
      <c r="D2601" s="74"/>
      <c r="E2601" s="74"/>
      <c r="F2601" s="59" t="e">
        <f>VLOOKUP(E2601,[1]库存!$B$1:$C$65536,2,FALSE)</f>
        <v>#N/A</v>
      </c>
      <c r="G2601" s="59" t="e">
        <v>#N/A</v>
      </c>
      <c r="H2601" s="74"/>
      <c r="I2601" s="74"/>
      <c r="J2601" s="87"/>
      <c r="K2601" s="61"/>
      <c r="L2601" s="62">
        <v>0</v>
      </c>
      <c r="M2601" s="63">
        <v>0</v>
      </c>
      <c r="N2601" s="64">
        <v>0</v>
      </c>
      <c r="O2601" s="62">
        <v>0</v>
      </c>
      <c r="P2601" s="65">
        <f t="shared" si="178"/>
        <v>0</v>
      </c>
      <c r="Q2601" s="66"/>
      <c r="R2601" s="66"/>
      <c r="S2601" s="66"/>
      <c r="T2601" s="66"/>
      <c r="U2601" s="66"/>
      <c r="V2601" s="66"/>
      <c r="W2601" s="66"/>
      <c r="X2601" s="66"/>
      <c r="Y2601" s="66"/>
      <c r="Z2601" s="66"/>
      <c r="AA2601" s="66"/>
      <c r="AB2601" s="66"/>
      <c r="AC2601" s="66"/>
      <c r="AD2601" s="66"/>
      <c r="AE2601" s="66"/>
      <c r="AF2601" s="66"/>
      <c r="AG2601" s="66"/>
      <c r="AH2601" s="66"/>
      <c r="AI2601" s="66"/>
      <c r="AJ2601" s="66"/>
      <c r="AK2601" s="66"/>
      <c r="AL2601" s="66"/>
      <c r="AM2601" s="66"/>
      <c r="AN2601" s="66"/>
      <c r="AO2601" s="66"/>
      <c r="AP2601" s="66"/>
      <c r="AQ2601" s="66"/>
      <c r="AR2601" s="66"/>
      <c r="AS2601" s="66"/>
      <c r="AT2601" s="66"/>
      <c r="AU2601" s="66"/>
      <c r="AV2601" s="66"/>
      <c r="AW2601" s="66"/>
      <c r="AX2601" s="66"/>
      <c r="AY2601" s="66"/>
      <c r="AZ2601" s="66"/>
      <c r="BA2601" s="66"/>
      <c r="BB2601" s="66"/>
      <c r="BC2601" s="66"/>
      <c r="BD2601" s="66"/>
      <c r="BE2601" s="67"/>
      <c r="BF2601" s="67"/>
      <c r="BG2601" s="68"/>
      <c r="BI2601" s="69">
        <v>0</v>
      </c>
      <c r="BJ2601" s="70">
        <v>0</v>
      </c>
      <c r="BK2601" s="71">
        <v>0</v>
      </c>
      <c r="BL2601" s="71">
        <v>0</v>
      </c>
      <c r="BM2601" s="71">
        <v>0</v>
      </c>
      <c r="BN2601" s="72">
        <v>0</v>
      </c>
      <c r="BO2601" s="151" t="e">
        <f t="shared" si="174"/>
        <v>#DIV/0!</v>
      </c>
      <c r="BP2601" s="151" t="e">
        <f t="shared" si="175"/>
        <v>#DIV/0!</v>
      </c>
      <c r="BQ2601" s="71">
        <v>0</v>
      </c>
      <c r="BR2601" s="71">
        <v>0</v>
      </c>
      <c r="BS2601" s="71">
        <v>0</v>
      </c>
      <c r="BT2601" s="72">
        <v>0</v>
      </c>
      <c r="BU2601" s="151" t="e">
        <f t="shared" si="176"/>
        <v>#DIV/0!</v>
      </c>
      <c r="BV2601" s="151" t="e">
        <f t="shared" si="177"/>
        <v>#DIV/0!</v>
      </c>
    </row>
    <row r="2602" ht="30" customHeight="1" spans="1:74">
      <c r="A2602" s="55" t="s">
        <v>41</v>
      </c>
      <c r="B2602" s="56" t="s">
        <v>1237</v>
      </c>
      <c r="C2602" s="57" t="s">
        <v>3341</v>
      </c>
      <c r="D2602" s="59" t="s">
        <v>3966</v>
      </c>
      <c r="E2602" s="59" t="s">
        <v>3991</v>
      </c>
      <c r="F2602" s="59" t="str">
        <f>VLOOKUP(E2602,[1]库存!$B$1:$C$65536,2,FALSE)</f>
        <v>GWM CH071 CAB-LH</v>
      </c>
      <c r="G2602" s="59" t="s">
        <v>3992</v>
      </c>
      <c r="H2602" s="59" t="s">
        <v>3993</v>
      </c>
      <c r="I2602" s="59" t="s">
        <v>3994</v>
      </c>
      <c r="J2602" s="82" t="s">
        <v>3269</v>
      </c>
      <c r="K2602" s="61"/>
      <c r="L2602" s="62">
        <v>1</v>
      </c>
      <c r="M2602" s="63">
        <v>450</v>
      </c>
      <c r="N2602" s="64">
        <v>4</v>
      </c>
      <c r="O2602" s="62">
        <v>1</v>
      </c>
      <c r="P2602" s="65">
        <f t="shared" si="178"/>
        <v>0</v>
      </c>
      <c r="Q2602" s="66"/>
      <c r="R2602" s="66"/>
      <c r="S2602" s="66"/>
      <c r="T2602" s="66"/>
      <c r="U2602" s="66"/>
      <c r="V2602" s="66"/>
      <c r="W2602" s="66"/>
      <c r="X2602" s="66"/>
      <c r="Y2602" s="66"/>
      <c r="Z2602" s="66"/>
      <c r="AA2602" s="66"/>
      <c r="AB2602" s="66"/>
      <c r="AC2602" s="66"/>
      <c r="AD2602" s="66"/>
      <c r="AE2602" s="66"/>
      <c r="AF2602" s="66"/>
      <c r="AG2602" s="66"/>
      <c r="AH2602" s="66"/>
      <c r="AI2602" s="66"/>
      <c r="AJ2602" s="66"/>
      <c r="AK2602" s="66"/>
      <c r="AL2602" s="66"/>
      <c r="AM2602" s="66"/>
      <c r="AN2602" s="66"/>
      <c r="AO2602" s="66"/>
      <c r="AP2602" s="66"/>
      <c r="AQ2602" s="66"/>
      <c r="AR2602" s="66"/>
      <c r="AS2602" s="66"/>
      <c r="AT2602" s="66"/>
      <c r="AU2602" s="66"/>
      <c r="AV2602" s="66"/>
      <c r="AW2602" s="66"/>
      <c r="AX2602" s="66"/>
      <c r="AY2602" s="66"/>
      <c r="AZ2602" s="66"/>
      <c r="BA2602" s="66"/>
      <c r="BB2602" s="66"/>
      <c r="BC2602" s="66"/>
      <c r="BD2602" s="66"/>
      <c r="BE2602" s="67"/>
      <c r="BF2602" s="67"/>
      <c r="BG2602" s="68"/>
      <c r="BI2602" s="69">
        <v>0</v>
      </c>
      <c r="BJ2602" s="70">
        <v>0</v>
      </c>
      <c r="BK2602" s="71">
        <v>0</v>
      </c>
      <c r="BL2602" s="71">
        <v>0</v>
      </c>
      <c r="BM2602" s="71">
        <v>0</v>
      </c>
      <c r="BN2602" s="72">
        <v>0</v>
      </c>
      <c r="BO2602" s="151" t="e">
        <f t="shared" si="174"/>
        <v>#DIV/0!</v>
      </c>
      <c r="BP2602" s="151" t="e">
        <f t="shared" si="175"/>
        <v>#DIV/0!</v>
      </c>
      <c r="BQ2602" s="71">
        <v>0</v>
      </c>
      <c r="BR2602" s="71">
        <v>0</v>
      </c>
      <c r="BS2602" s="71">
        <v>0</v>
      </c>
      <c r="BT2602" s="72">
        <v>0</v>
      </c>
      <c r="BU2602" s="151" t="e">
        <f t="shared" si="176"/>
        <v>#DIV/0!</v>
      </c>
      <c r="BV2602" s="151" t="e">
        <f t="shared" si="177"/>
        <v>#DIV/0!</v>
      </c>
    </row>
    <row r="2603" ht="30" customHeight="1" spans="1:74">
      <c r="A2603" s="55">
        <v>0</v>
      </c>
      <c r="B2603" s="56">
        <v>0</v>
      </c>
      <c r="C2603" s="57">
        <v>0</v>
      </c>
      <c r="D2603" s="74"/>
      <c r="E2603" s="74"/>
      <c r="F2603" s="59" t="e">
        <f>VLOOKUP(E2603,[1]库存!$B$1:$C$65536,2,FALSE)</f>
        <v>#N/A</v>
      </c>
      <c r="G2603" s="59" t="e">
        <v>#N/A</v>
      </c>
      <c r="H2603" s="74"/>
      <c r="I2603" s="74"/>
      <c r="J2603" s="83"/>
      <c r="K2603" s="61"/>
      <c r="L2603" s="62">
        <v>0</v>
      </c>
      <c r="M2603" s="63">
        <v>0</v>
      </c>
      <c r="N2603" s="64">
        <v>0</v>
      </c>
      <c r="O2603" s="62">
        <v>0</v>
      </c>
      <c r="P2603" s="65">
        <f t="shared" si="178"/>
        <v>0</v>
      </c>
      <c r="Q2603" s="66"/>
      <c r="R2603" s="66"/>
      <c r="S2603" s="66"/>
      <c r="T2603" s="66"/>
      <c r="U2603" s="66"/>
      <c r="V2603" s="66"/>
      <c r="W2603" s="66"/>
      <c r="X2603" s="66"/>
      <c r="Y2603" s="66"/>
      <c r="Z2603" s="66"/>
      <c r="AA2603" s="66"/>
      <c r="AB2603" s="66"/>
      <c r="AC2603" s="66"/>
      <c r="AD2603" s="66"/>
      <c r="AE2603" s="66"/>
      <c r="AF2603" s="66"/>
      <c r="AG2603" s="66"/>
      <c r="AH2603" s="66"/>
      <c r="AI2603" s="66"/>
      <c r="AJ2603" s="66"/>
      <c r="AK2603" s="66"/>
      <c r="AL2603" s="66"/>
      <c r="AM2603" s="66"/>
      <c r="AN2603" s="66"/>
      <c r="AO2603" s="66"/>
      <c r="AP2603" s="66"/>
      <c r="AQ2603" s="66"/>
      <c r="AR2603" s="66"/>
      <c r="AS2603" s="66"/>
      <c r="AT2603" s="66"/>
      <c r="AU2603" s="66"/>
      <c r="AV2603" s="66"/>
      <c r="AW2603" s="66"/>
      <c r="AX2603" s="66"/>
      <c r="AY2603" s="66"/>
      <c r="AZ2603" s="66"/>
      <c r="BA2603" s="66"/>
      <c r="BB2603" s="66"/>
      <c r="BC2603" s="66"/>
      <c r="BD2603" s="66"/>
      <c r="BE2603" s="67"/>
      <c r="BF2603" s="67"/>
      <c r="BG2603" s="68"/>
      <c r="BI2603" s="69">
        <v>0</v>
      </c>
      <c r="BJ2603" s="70">
        <v>0</v>
      </c>
      <c r="BK2603" s="71">
        <v>0</v>
      </c>
      <c r="BL2603" s="71">
        <v>0</v>
      </c>
      <c r="BM2603" s="71">
        <v>0</v>
      </c>
      <c r="BN2603" s="72">
        <v>0</v>
      </c>
      <c r="BO2603" s="151" t="e">
        <f t="shared" si="174"/>
        <v>#DIV/0!</v>
      </c>
      <c r="BP2603" s="151" t="e">
        <f t="shared" si="175"/>
        <v>#DIV/0!</v>
      </c>
      <c r="BQ2603" s="71">
        <v>0</v>
      </c>
      <c r="BR2603" s="71">
        <v>0</v>
      </c>
      <c r="BS2603" s="71">
        <v>0</v>
      </c>
      <c r="BT2603" s="72">
        <v>0</v>
      </c>
      <c r="BU2603" s="151" t="e">
        <f t="shared" si="176"/>
        <v>#DIV/0!</v>
      </c>
      <c r="BV2603" s="151" t="e">
        <f t="shared" si="177"/>
        <v>#DIV/0!</v>
      </c>
    </row>
    <row r="2604" ht="30" customHeight="1" spans="1:74">
      <c r="A2604" s="55" t="s">
        <v>41</v>
      </c>
      <c r="B2604" s="56" t="s">
        <v>1237</v>
      </c>
      <c r="C2604" s="57" t="s">
        <v>3341</v>
      </c>
      <c r="D2604" s="59" t="s">
        <v>3966</v>
      </c>
      <c r="E2604" s="59" t="s">
        <v>3995</v>
      </c>
      <c r="F2604" s="59" t="str">
        <f>VLOOKUP(E2604,[1]库存!$B$1:$C$65536,2,FALSE)</f>
        <v>GWM CH071 CAB-RH</v>
      </c>
      <c r="G2604" s="59" t="s">
        <v>3996</v>
      </c>
      <c r="H2604" s="59" t="s">
        <v>3997</v>
      </c>
      <c r="I2604" s="59" t="s">
        <v>3994</v>
      </c>
      <c r="J2604" s="82" t="s">
        <v>3269</v>
      </c>
      <c r="K2604" s="61"/>
      <c r="L2604" s="62">
        <v>1</v>
      </c>
      <c r="M2604" s="63">
        <v>450</v>
      </c>
      <c r="N2604" s="64">
        <v>4</v>
      </c>
      <c r="O2604" s="62">
        <v>1</v>
      </c>
      <c r="P2604" s="65">
        <f t="shared" si="178"/>
        <v>0</v>
      </c>
      <c r="Q2604" s="66"/>
      <c r="R2604" s="66"/>
      <c r="S2604" s="66"/>
      <c r="T2604" s="66"/>
      <c r="U2604" s="66"/>
      <c r="V2604" s="66"/>
      <c r="W2604" s="66"/>
      <c r="X2604" s="66"/>
      <c r="Y2604" s="66"/>
      <c r="Z2604" s="66"/>
      <c r="AA2604" s="66"/>
      <c r="AB2604" s="66"/>
      <c r="AC2604" s="66"/>
      <c r="AD2604" s="66"/>
      <c r="AE2604" s="66"/>
      <c r="AF2604" s="66"/>
      <c r="AG2604" s="66"/>
      <c r="AH2604" s="66"/>
      <c r="AI2604" s="66"/>
      <c r="AJ2604" s="66"/>
      <c r="AK2604" s="66"/>
      <c r="AL2604" s="66"/>
      <c r="AM2604" s="66"/>
      <c r="AN2604" s="66"/>
      <c r="AO2604" s="66"/>
      <c r="AP2604" s="66"/>
      <c r="AQ2604" s="66"/>
      <c r="AR2604" s="66"/>
      <c r="AS2604" s="66"/>
      <c r="AT2604" s="66"/>
      <c r="AU2604" s="66"/>
      <c r="AV2604" s="66"/>
      <c r="AW2604" s="66"/>
      <c r="AX2604" s="66"/>
      <c r="AY2604" s="66"/>
      <c r="AZ2604" s="66"/>
      <c r="BA2604" s="66"/>
      <c r="BB2604" s="66"/>
      <c r="BC2604" s="66"/>
      <c r="BD2604" s="66"/>
      <c r="BE2604" s="67"/>
      <c r="BF2604" s="67"/>
      <c r="BG2604" s="68"/>
      <c r="BI2604" s="69">
        <v>0</v>
      </c>
      <c r="BJ2604" s="70">
        <v>0</v>
      </c>
      <c r="BK2604" s="71">
        <v>0</v>
      </c>
      <c r="BL2604" s="71">
        <v>0</v>
      </c>
      <c r="BM2604" s="71">
        <v>0</v>
      </c>
      <c r="BN2604" s="72">
        <v>0</v>
      </c>
      <c r="BO2604" s="151" t="e">
        <f t="shared" si="174"/>
        <v>#DIV/0!</v>
      </c>
      <c r="BP2604" s="151" t="e">
        <f t="shared" si="175"/>
        <v>#DIV/0!</v>
      </c>
      <c r="BQ2604" s="71">
        <v>0</v>
      </c>
      <c r="BR2604" s="71">
        <v>0</v>
      </c>
      <c r="BS2604" s="71">
        <v>0</v>
      </c>
      <c r="BT2604" s="72">
        <v>0</v>
      </c>
      <c r="BU2604" s="151" t="e">
        <f t="shared" si="176"/>
        <v>#DIV/0!</v>
      </c>
      <c r="BV2604" s="151" t="e">
        <f t="shared" si="177"/>
        <v>#DIV/0!</v>
      </c>
    </row>
    <row r="2605" ht="30" customHeight="1" spans="1:74">
      <c r="A2605" s="55">
        <v>0</v>
      </c>
      <c r="B2605" s="56">
        <v>0</v>
      </c>
      <c r="C2605" s="57">
        <v>0</v>
      </c>
      <c r="D2605" s="74"/>
      <c r="E2605" s="74"/>
      <c r="F2605" s="59" t="e">
        <f>VLOOKUP(E2605,[1]库存!$B$1:$C$65536,2,FALSE)</f>
        <v>#N/A</v>
      </c>
      <c r="G2605" s="59" t="e">
        <v>#N/A</v>
      </c>
      <c r="H2605" s="74"/>
      <c r="I2605" s="74"/>
      <c r="J2605" s="83"/>
      <c r="K2605" s="61"/>
      <c r="L2605" s="62">
        <v>0</v>
      </c>
      <c r="M2605" s="63">
        <v>0</v>
      </c>
      <c r="N2605" s="64">
        <v>0</v>
      </c>
      <c r="O2605" s="62">
        <v>0</v>
      </c>
      <c r="P2605" s="65">
        <f t="shared" si="178"/>
        <v>0</v>
      </c>
      <c r="Q2605" s="66"/>
      <c r="R2605" s="66"/>
      <c r="S2605" s="66"/>
      <c r="T2605" s="66"/>
      <c r="U2605" s="66"/>
      <c r="V2605" s="66"/>
      <c r="W2605" s="66"/>
      <c r="X2605" s="66"/>
      <c r="Y2605" s="66"/>
      <c r="Z2605" s="66"/>
      <c r="AA2605" s="66"/>
      <c r="AB2605" s="66"/>
      <c r="AC2605" s="66"/>
      <c r="AD2605" s="66"/>
      <c r="AE2605" s="66"/>
      <c r="AF2605" s="66"/>
      <c r="AG2605" s="66"/>
      <c r="AH2605" s="66"/>
      <c r="AI2605" s="66"/>
      <c r="AJ2605" s="66"/>
      <c r="AK2605" s="66"/>
      <c r="AL2605" s="66"/>
      <c r="AM2605" s="66"/>
      <c r="AN2605" s="66"/>
      <c r="AO2605" s="66"/>
      <c r="AP2605" s="66"/>
      <c r="AQ2605" s="66"/>
      <c r="AR2605" s="66"/>
      <c r="AS2605" s="66"/>
      <c r="AT2605" s="66"/>
      <c r="AU2605" s="66"/>
      <c r="AV2605" s="66"/>
      <c r="AW2605" s="66"/>
      <c r="AX2605" s="66"/>
      <c r="AY2605" s="66"/>
      <c r="AZ2605" s="66"/>
      <c r="BA2605" s="66"/>
      <c r="BB2605" s="66"/>
      <c r="BC2605" s="66"/>
      <c r="BD2605" s="66"/>
      <c r="BE2605" s="67"/>
      <c r="BF2605" s="67"/>
      <c r="BG2605" s="68"/>
      <c r="BI2605" s="69">
        <v>0</v>
      </c>
      <c r="BJ2605" s="70">
        <v>0</v>
      </c>
      <c r="BK2605" s="71">
        <v>0</v>
      </c>
      <c r="BL2605" s="71">
        <v>0</v>
      </c>
      <c r="BM2605" s="71">
        <v>0</v>
      </c>
      <c r="BN2605" s="72">
        <v>0</v>
      </c>
      <c r="BO2605" s="151" t="e">
        <f t="shared" si="174"/>
        <v>#DIV/0!</v>
      </c>
      <c r="BP2605" s="151" t="e">
        <f t="shared" si="175"/>
        <v>#DIV/0!</v>
      </c>
      <c r="BQ2605" s="71">
        <v>0</v>
      </c>
      <c r="BR2605" s="71">
        <v>0</v>
      </c>
      <c r="BS2605" s="71">
        <v>0</v>
      </c>
      <c r="BT2605" s="72">
        <v>0</v>
      </c>
      <c r="BU2605" s="151" t="e">
        <f t="shared" si="176"/>
        <v>#DIV/0!</v>
      </c>
      <c r="BV2605" s="151" t="e">
        <f t="shared" si="177"/>
        <v>#DIV/0!</v>
      </c>
    </row>
    <row r="2606" ht="30" customHeight="1" spans="1:74">
      <c r="A2606" s="55">
        <v>0</v>
      </c>
      <c r="B2606" s="56" t="s">
        <v>1237</v>
      </c>
      <c r="C2606" s="57" t="s">
        <v>3226</v>
      </c>
      <c r="D2606" s="59" t="s">
        <v>3227</v>
      </c>
      <c r="E2606" s="59" t="s">
        <v>3998</v>
      </c>
      <c r="F2606" s="59" t="str">
        <f>VLOOKUP(E2606,[1]库存!$B$1:$C$65536,2,FALSE)</f>
        <v>SV51-03 CAB拉带</v>
      </c>
      <c r="G2606" s="59" t="s">
        <v>3999</v>
      </c>
      <c r="H2606" s="59" t="s">
        <v>4000</v>
      </c>
      <c r="I2606" s="59"/>
      <c r="J2606" s="165" t="s">
        <v>80</v>
      </c>
      <c r="K2606" s="61"/>
      <c r="L2606" s="62">
        <v>0</v>
      </c>
      <c r="M2606" s="63">
        <v>1200</v>
      </c>
      <c r="N2606" s="64">
        <v>1.5</v>
      </c>
      <c r="O2606" s="62">
        <v>0</v>
      </c>
      <c r="P2606" s="65">
        <f t="shared" si="178"/>
        <v>0</v>
      </c>
      <c r="Q2606" s="66"/>
      <c r="R2606" s="66"/>
      <c r="S2606" s="66"/>
      <c r="T2606" s="66"/>
      <c r="U2606" s="66"/>
      <c r="V2606" s="66"/>
      <c r="W2606" s="66"/>
      <c r="X2606" s="66"/>
      <c r="Y2606" s="66"/>
      <c r="Z2606" s="66"/>
      <c r="AA2606" s="66"/>
      <c r="AB2606" s="66"/>
      <c r="AC2606" s="66"/>
      <c r="AD2606" s="66"/>
      <c r="AE2606" s="66"/>
      <c r="AF2606" s="66"/>
      <c r="AG2606" s="66"/>
      <c r="AH2606" s="66"/>
      <c r="AI2606" s="66"/>
      <c r="AJ2606" s="66"/>
      <c r="AK2606" s="66"/>
      <c r="AL2606" s="66"/>
      <c r="AM2606" s="66"/>
      <c r="AN2606" s="66"/>
      <c r="AO2606" s="66"/>
      <c r="AP2606" s="66"/>
      <c r="AQ2606" s="66"/>
      <c r="AR2606" s="66"/>
      <c r="AS2606" s="66"/>
      <c r="AT2606" s="66"/>
      <c r="AU2606" s="66"/>
      <c r="AV2606" s="66"/>
      <c r="AW2606" s="66"/>
      <c r="AX2606" s="66"/>
      <c r="AY2606" s="66"/>
      <c r="AZ2606" s="66"/>
      <c r="BA2606" s="66"/>
      <c r="BB2606" s="66"/>
      <c r="BC2606" s="66"/>
      <c r="BD2606" s="66"/>
      <c r="BE2606" s="67"/>
      <c r="BF2606" s="67"/>
      <c r="BG2606" s="68"/>
      <c r="BI2606" s="69">
        <v>0</v>
      </c>
      <c r="BJ2606" s="70">
        <v>0</v>
      </c>
      <c r="BK2606" s="71">
        <v>0</v>
      </c>
      <c r="BL2606" s="71">
        <v>0</v>
      </c>
      <c r="BM2606" s="71">
        <v>0</v>
      </c>
      <c r="BN2606" s="72">
        <v>0</v>
      </c>
      <c r="BO2606" s="151" t="e">
        <f t="shared" si="174"/>
        <v>#DIV/0!</v>
      </c>
      <c r="BP2606" s="151" t="e">
        <f t="shared" si="175"/>
        <v>#DIV/0!</v>
      </c>
      <c r="BQ2606" s="71">
        <v>0</v>
      </c>
      <c r="BR2606" s="71">
        <v>0</v>
      </c>
      <c r="BS2606" s="71">
        <v>0</v>
      </c>
      <c r="BT2606" s="72">
        <v>0</v>
      </c>
      <c r="BU2606" s="151" t="e">
        <f t="shared" si="176"/>
        <v>#DIV/0!</v>
      </c>
      <c r="BV2606" s="151" t="e">
        <f t="shared" si="177"/>
        <v>#DIV/0!</v>
      </c>
    </row>
    <row r="2607" ht="30" customHeight="1" spans="1:74">
      <c r="A2607" s="55">
        <v>0</v>
      </c>
      <c r="B2607" s="56">
        <v>0</v>
      </c>
      <c r="C2607" s="57" t="s">
        <v>3226</v>
      </c>
      <c r="D2607" s="74"/>
      <c r="E2607" s="74"/>
      <c r="F2607" s="59" t="e">
        <f>VLOOKUP(E2607,[1]库存!$B$1:$C$65536,2,FALSE)</f>
        <v>#N/A</v>
      </c>
      <c r="G2607" s="59" t="e">
        <v>#N/A</v>
      </c>
      <c r="H2607" s="74"/>
      <c r="I2607" s="74"/>
      <c r="J2607" s="166"/>
      <c r="K2607" s="61"/>
      <c r="L2607" s="62">
        <v>0</v>
      </c>
      <c r="M2607" s="63">
        <v>0</v>
      </c>
      <c r="N2607" s="64">
        <v>0</v>
      </c>
      <c r="O2607" s="62">
        <v>0</v>
      </c>
      <c r="P2607" s="65">
        <f t="shared" si="178"/>
        <v>0</v>
      </c>
      <c r="Q2607" s="66"/>
      <c r="R2607" s="66"/>
      <c r="S2607" s="66"/>
      <c r="T2607" s="66"/>
      <c r="U2607" s="66"/>
      <c r="V2607" s="66"/>
      <c r="W2607" s="66"/>
      <c r="X2607" s="66"/>
      <c r="Y2607" s="66"/>
      <c r="Z2607" s="66"/>
      <c r="AA2607" s="66"/>
      <c r="AB2607" s="66"/>
      <c r="AC2607" s="66"/>
      <c r="AD2607" s="66"/>
      <c r="AE2607" s="66"/>
      <c r="AF2607" s="66"/>
      <c r="AG2607" s="66"/>
      <c r="AH2607" s="66"/>
      <c r="AI2607" s="66"/>
      <c r="AJ2607" s="66"/>
      <c r="AK2607" s="66"/>
      <c r="AL2607" s="66"/>
      <c r="AM2607" s="66"/>
      <c r="AN2607" s="66"/>
      <c r="AO2607" s="66"/>
      <c r="AP2607" s="66"/>
      <c r="AQ2607" s="66"/>
      <c r="AR2607" s="66"/>
      <c r="AS2607" s="66"/>
      <c r="AT2607" s="66"/>
      <c r="AU2607" s="66"/>
      <c r="AV2607" s="66"/>
      <c r="AW2607" s="66"/>
      <c r="AX2607" s="66"/>
      <c r="AY2607" s="66"/>
      <c r="AZ2607" s="66"/>
      <c r="BA2607" s="66"/>
      <c r="BB2607" s="66"/>
      <c r="BC2607" s="66"/>
      <c r="BD2607" s="66"/>
      <c r="BE2607" s="67"/>
      <c r="BF2607" s="67"/>
      <c r="BG2607" s="68"/>
      <c r="BI2607" s="69">
        <v>0</v>
      </c>
      <c r="BJ2607" s="70">
        <v>0</v>
      </c>
      <c r="BK2607" s="71">
        <v>0</v>
      </c>
      <c r="BL2607" s="71">
        <v>0</v>
      </c>
      <c r="BM2607" s="71">
        <v>0</v>
      </c>
      <c r="BN2607" s="72">
        <v>0</v>
      </c>
      <c r="BO2607" s="151" t="e">
        <f t="shared" si="174"/>
        <v>#DIV/0!</v>
      </c>
      <c r="BP2607" s="151" t="e">
        <f t="shared" si="175"/>
        <v>#DIV/0!</v>
      </c>
      <c r="BQ2607" s="71">
        <v>0</v>
      </c>
      <c r="BR2607" s="71">
        <v>0</v>
      </c>
      <c r="BS2607" s="71">
        <v>0</v>
      </c>
      <c r="BT2607" s="72">
        <v>0</v>
      </c>
      <c r="BU2607" s="151" t="e">
        <f t="shared" si="176"/>
        <v>#DIV/0!</v>
      </c>
      <c r="BV2607" s="151" t="e">
        <f t="shared" si="177"/>
        <v>#DIV/0!</v>
      </c>
    </row>
    <row r="2608" ht="30" customHeight="1" spans="1:74">
      <c r="A2608" s="55">
        <v>0</v>
      </c>
      <c r="B2608" s="56" t="s">
        <v>1237</v>
      </c>
      <c r="C2608" s="57" t="s">
        <v>3226</v>
      </c>
      <c r="D2608" s="59" t="s">
        <v>3724</v>
      </c>
      <c r="E2608" s="59" t="s">
        <v>4001</v>
      </c>
      <c r="F2608" s="59" t="str">
        <f>VLOOKUP(E2608,[1]库存!$B$1:$C$65536,2,FALSE)</f>
        <v>SV51-03 CAB导气袋</v>
      </c>
      <c r="G2608" s="59" t="s">
        <v>4002</v>
      </c>
      <c r="H2608" s="59" t="s">
        <v>4003</v>
      </c>
      <c r="I2608" s="59"/>
      <c r="J2608" s="165" t="s">
        <v>80</v>
      </c>
      <c r="K2608" s="61"/>
      <c r="L2608" s="62">
        <v>0.7</v>
      </c>
      <c r="M2608" s="63">
        <v>1000</v>
      </c>
      <c r="N2608" s="64">
        <v>2</v>
      </c>
      <c r="O2608" s="62">
        <v>0.7</v>
      </c>
      <c r="P2608" s="65">
        <f t="shared" si="178"/>
        <v>0</v>
      </c>
      <c r="Q2608" s="66"/>
      <c r="R2608" s="66"/>
      <c r="S2608" s="66"/>
      <c r="T2608" s="66"/>
      <c r="U2608" s="66"/>
      <c r="V2608" s="66"/>
      <c r="W2608" s="66"/>
      <c r="X2608" s="66"/>
      <c r="Y2608" s="66"/>
      <c r="Z2608" s="66"/>
      <c r="AA2608" s="66"/>
      <c r="AB2608" s="66"/>
      <c r="AC2608" s="66"/>
      <c r="AD2608" s="66"/>
      <c r="AE2608" s="66"/>
      <c r="AF2608" s="66"/>
      <c r="AG2608" s="66"/>
      <c r="AH2608" s="66"/>
      <c r="AI2608" s="66"/>
      <c r="AJ2608" s="66"/>
      <c r="AK2608" s="66"/>
      <c r="AL2608" s="66"/>
      <c r="AM2608" s="66"/>
      <c r="AN2608" s="66"/>
      <c r="AO2608" s="66"/>
      <c r="AP2608" s="66"/>
      <c r="AQ2608" s="66"/>
      <c r="AR2608" s="66"/>
      <c r="AS2608" s="66"/>
      <c r="AT2608" s="66"/>
      <c r="AU2608" s="66"/>
      <c r="AV2608" s="66"/>
      <c r="AW2608" s="66"/>
      <c r="AX2608" s="66"/>
      <c r="AY2608" s="66"/>
      <c r="AZ2608" s="66"/>
      <c r="BA2608" s="66"/>
      <c r="BB2608" s="66"/>
      <c r="BC2608" s="66"/>
      <c r="BD2608" s="66"/>
      <c r="BE2608" s="67"/>
      <c r="BF2608" s="67"/>
      <c r="BG2608" s="68"/>
      <c r="BI2608" s="69">
        <v>0</v>
      </c>
      <c r="BJ2608" s="70">
        <v>0</v>
      </c>
      <c r="BK2608" s="71">
        <v>0</v>
      </c>
      <c r="BL2608" s="71">
        <v>0</v>
      </c>
      <c r="BM2608" s="71">
        <v>0</v>
      </c>
      <c r="BN2608" s="72">
        <v>0</v>
      </c>
      <c r="BO2608" s="151" t="e">
        <f t="shared" si="174"/>
        <v>#DIV/0!</v>
      </c>
      <c r="BP2608" s="151" t="e">
        <f t="shared" si="175"/>
        <v>#DIV/0!</v>
      </c>
      <c r="BQ2608" s="71">
        <v>0</v>
      </c>
      <c r="BR2608" s="71">
        <v>0</v>
      </c>
      <c r="BS2608" s="71">
        <v>0</v>
      </c>
      <c r="BT2608" s="72">
        <v>0</v>
      </c>
      <c r="BU2608" s="151" t="e">
        <f t="shared" si="176"/>
        <v>#DIV/0!</v>
      </c>
      <c r="BV2608" s="151" t="e">
        <f t="shared" si="177"/>
        <v>#DIV/0!</v>
      </c>
    </row>
    <row r="2609" ht="30" customHeight="1" spans="1:74">
      <c r="A2609" s="55">
        <v>0</v>
      </c>
      <c r="B2609" s="56">
        <v>0</v>
      </c>
      <c r="C2609" s="57" t="s">
        <v>3226</v>
      </c>
      <c r="D2609" s="74"/>
      <c r="E2609" s="74"/>
      <c r="F2609" s="59" t="e">
        <f>VLOOKUP(E2609,[1]库存!$B$1:$C$65536,2,FALSE)</f>
        <v>#N/A</v>
      </c>
      <c r="G2609" s="59" t="e">
        <v>#N/A</v>
      </c>
      <c r="H2609" s="74"/>
      <c r="I2609" s="74"/>
      <c r="J2609" s="166"/>
      <c r="K2609" s="61"/>
      <c r="L2609" s="62">
        <v>0</v>
      </c>
      <c r="M2609" s="63">
        <v>0</v>
      </c>
      <c r="N2609" s="64">
        <v>0</v>
      </c>
      <c r="O2609" s="62">
        <v>0</v>
      </c>
      <c r="P2609" s="65">
        <f t="shared" si="178"/>
        <v>0</v>
      </c>
      <c r="Q2609" s="66"/>
      <c r="R2609" s="66"/>
      <c r="S2609" s="66"/>
      <c r="T2609" s="66"/>
      <c r="U2609" s="66"/>
      <c r="V2609" s="66"/>
      <c r="W2609" s="66"/>
      <c r="X2609" s="66"/>
      <c r="Y2609" s="66"/>
      <c r="Z2609" s="66"/>
      <c r="AA2609" s="66"/>
      <c r="AB2609" s="66"/>
      <c r="AC2609" s="66"/>
      <c r="AD2609" s="66"/>
      <c r="AE2609" s="66"/>
      <c r="AF2609" s="66"/>
      <c r="AG2609" s="66"/>
      <c r="AH2609" s="66"/>
      <c r="AI2609" s="66"/>
      <c r="AJ2609" s="66"/>
      <c r="AK2609" s="66"/>
      <c r="AL2609" s="66"/>
      <c r="AM2609" s="66"/>
      <c r="AN2609" s="66"/>
      <c r="AO2609" s="66"/>
      <c r="AP2609" s="66"/>
      <c r="AQ2609" s="66"/>
      <c r="AR2609" s="66"/>
      <c r="AS2609" s="66"/>
      <c r="AT2609" s="66"/>
      <c r="AU2609" s="66"/>
      <c r="AV2609" s="66"/>
      <c r="AW2609" s="66"/>
      <c r="AX2609" s="66"/>
      <c r="AY2609" s="66"/>
      <c r="AZ2609" s="66"/>
      <c r="BA2609" s="66"/>
      <c r="BB2609" s="66"/>
      <c r="BC2609" s="66"/>
      <c r="BD2609" s="66"/>
      <c r="BE2609" s="67"/>
      <c r="BF2609" s="67"/>
      <c r="BG2609" s="68"/>
      <c r="BI2609" s="69">
        <v>0</v>
      </c>
      <c r="BJ2609" s="70">
        <v>0</v>
      </c>
      <c r="BK2609" s="71">
        <v>0</v>
      </c>
      <c r="BL2609" s="71">
        <v>0</v>
      </c>
      <c r="BM2609" s="71">
        <v>0</v>
      </c>
      <c r="BN2609" s="72">
        <v>0</v>
      </c>
      <c r="BO2609" s="151" t="e">
        <f t="shared" si="174"/>
        <v>#DIV/0!</v>
      </c>
      <c r="BP2609" s="151" t="e">
        <f t="shared" si="175"/>
        <v>#DIV/0!</v>
      </c>
      <c r="BQ2609" s="71">
        <v>0</v>
      </c>
      <c r="BR2609" s="71">
        <v>0</v>
      </c>
      <c r="BS2609" s="71">
        <v>0</v>
      </c>
      <c r="BT2609" s="72">
        <v>0</v>
      </c>
      <c r="BU2609" s="151" t="e">
        <f t="shared" si="176"/>
        <v>#DIV/0!</v>
      </c>
      <c r="BV2609" s="151" t="e">
        <f t="shared" si="177"/>
        <v>#DIV/0!</v>
      </c>
    </row>
    <row r="2610" ht="30" customHeight="1" spans="1:74">
      <c r="A2610" s="55" t="s">
        <v>96</v>
      </c>
      <c r="B2610" s="56" t="s">
        <v>1237</v>
      </c>
      <c r="C2610" s="57" t="s">
        <v>1238</v>
      </c>
      <c r="D2610" s="59" t="s">
        <v>3966</v>
      </c>
      <c r="E2610" s="59" t="s">
        <v>4004</v>
      </c>
      <c r="F2610" s="59" t="str">
        <f>VLOOKUP(E2610,[1]库存!$B$1:$C$65536,2,FALSE)</f>
        <v>SMCV SV51-03 CAB LH</v>
      </c>
      <c r="G2610" s="59" t="s">
        <v>4005</v>
      </c>
      <c r="H2610" s="59" t="s">
        <v>4006</v>
      </c>
      <c r="I2610" s="59" t="s">
        <v>3729</v>
      </c>
      <c r="J2610" s="165" t="s">
        <v>80</v>
      </c>
      <c r="K2610" s="61"/>
      <c r="L2610" s="62">
        <v>1</v>
      </c>
      <c r="M2610" s="63">
        <v>200</v>
      </c>
      <c r="N2610" s="64">
        <v>2</v>
      </c>
      <c r="O2610" s="62">
        <v>1</v>
      </c>
      <c r="P2610" s="65">
        <f t="shared" si="178"/>
        <v>0</v>
      </c>
      <c r="Q2610" s="66"/>
      <c r="R2610" s="66"/>
      <c r="S2610" s="66"/>
      <c r="T2610" s="66"/>
      <c r="U2610" s="66"/>
      <c r="V2610" s="66"/>
      <c r="W2610" s="66"/>
      <c r="X2610" s="66"/>
      <c r="Y2610" s="66"/>
      <c r="Z2610" s="66"/>
      <c r="AA2610" s="66"/>
      <c r="AB2610" s="66"/>
      <c r="AC2610" s="66"/>
      <c r="AD2610" s="66"/>
      <c r="AE2610" s="66"/>
      <c r="AF2610" s="66"/>
      <c r="AG2610" s="66"/>
      <c r="AH2610" s="66"/>
      <c r="AI2610" s="66"/>
      <c r="AJ2610" s="66"/>
      <c r="AK2610" s="66"/>
      <c r="AL2610" s="66"/>
      <c r="AM2610" s="66"/>
      <c r="AN2610" s="66"/>
      <c r="AO2610" s="66"/>
      <c r="AP2610" s="66"/>
      <c r="AQ2610" s="66"/>
      <c r="AR2610" s="66"/>
      <c r="AS2610" s="66"/>
      <c r="AT2610" s="66"/>
      <c r="AU2610" s="66"/>
      <c r="AV2610" s="66"/>
      <c r="AW2610" s="66"/>
      <c r="AX2610" s="66"/>
      <c r="AY2610" s="66"/>
      <c r="AZ2610" s="66"/>
      <c r="BA2610" s="66"/>
      <c r="BB2610" s="66"/>
      <c r="BC2610" s="66"/>
      <c r="BD2610" s="66"/>
      <c r="BE2610" s="67"/>
      <c r="BF2610" s="67"/>
      <c r="BG2610" s="68"/>
      <c r="BI2610" s="69">
        <v>0</v>
      </c>
      <c r="BJ2610" s="70">
        <v>0</v>
      </c>
      <c r="BK2610" s="71">
        <v>0</v>
      </c>
      <c r="BL2610" s="71">
        <v>0</v>
      </c>
      <c r="BM2610" s="71">
        <v>0</v>
      </c>
      <c r="BN2610" s="72">
        <v>0</v>
      </c>
      <c r="BO2610" s="151" t="e">
        <f t="shared" si="174"/>
        <v>#DIV/0!</v>
      </c>
      <c r="BP2610" s="151" t="e">
        <f t="shared" si="175"/>
        <v>#DIV/0!</v>
      </c>
      <c r="BQ2610" s="71">
        <v>0</v>
      </c>
      <c r="BR2610" s="71">
        <v>0</v>
      </c>
      <c r="BS2610" s="71">
        <v>0</v>
      </c>
      <c r="BT2610" s="72">
        <v>0</v>
      </c>
      <c r="BU2610" s="151" t="e">
        <f t="shared" si="176"/>
        <v>#DIV/0!</v>
      </c>
      <c r="BV2610" s="151" t="e">
        <f t="shared" si="177"/>
        <v>#DIV/0!</v>
      </c>
    </row>
    <row r="2611" ht="30" customHeight="1" spans="1:74">
      <c r="A2611" s="55">
        <v>0</v>
      </c>
      <c r="B2611" s="56">
        <v>0</v>
      </c>
      <c r="C2611" s="57" t="s">
        <v>1238</v>
      </c>
      <c r="D2611" s="74"/>
      <c r="E2611" s="74"/>
      <c r="F2611" s="59" t="e">
        <f>VLOOKUP(E2611,[1]库存!$B$1:$C$65536,2,FALSE)</f>
        <v>#N/A</v>
      </c>
      <c r="G2611" s="59" t="e">
        <v>#N/A</v>
      </c>
      <c r="H2611" s="74"/>
      <c r="I2611" s="74"/>
      <c r="J2611" s="166"/>
      <c r="K2611" s="61"/>
      <c r="L2611" s="62">
        <v>0</v>
      </c>
      <c r="M2611" s="63">
        <v>0</v>
      </c>
      <c r="N2611" s="64">
        <v>0</v>
      </c>
      <c r="O2611" s="62">
        <v>0</v>
      </c>
      <c r="P2611" s="65">
        <f t="shared" si="178"/>
        <v>0</v>
      </c>
      <c r="Q2611" s="66"/>
      <c r="R2611" s="66"/>
      <c r="S2611" s="66"/>
      <c r="T2611" s="66"/>
      <c r="U2611" s="66"/>
      <c r="V2611" s="66"/>
      <c r="W2611" s="66"/>
      <c r="X2611" s="66"/>
      <c r="Y2611" s="66"/>
      <c r="Z2611" s="66"/>
      <c r="AA2611" s="66"/>
      <c r="AB2611" s="66"/>
      <c r="AC2611" s="66"/>
      <c r="AD2611" s="66"/>
      <c r="AE2611" s="66"/>
      <c r="AF2611" s="66"/>
      <c r="AG2611" s="66"/>
      <c r="AH2611" s="66"/>
      <c r="AI2611" s="66"/>
      <c r="AJ2611" s="66"/>
      <c r="AK2611" s="66"/>
      <c r="AL2611" s="66"/>
      <c r="AM2611" s="66"/>
      <c r="AN2611" s="66"/>
      <c r="AO2611" s="66"/>
      <c r="AP2611" s="66"/>
      <c r="AQ2611" s="66"/>
      <c r="AR2611" s="66"/>
      <c r="AS2611" s="66"/>
      <c r="AT2611" s="66"/>
      <c r="AU2611" s="66"/>
      <c r="AV2611" s="66"/>
      <c r="AW2611" s="66"/>
      <c r="AX2611" s="66"/>
      <c r="AY2611" s="66"/>
      <c r="AZ2611" s="66"/>
      <c r="BA2611" s="66"/>
      <c r="BB2611" s="66"/>
      <c r="BC2611" s="66"/>
      <c r="BD2611" s="66"/>
      <c r="BE2611" s="67"/>
      <c r="BF2611" s="67"/>
      <c r="BG2611" s="68"/>
      <c r="BI2611" s="69">
        <v>0</v>
      </c>
      <c r="BJ2611" s="70">
        <v>0</v>
      </c>
      <c r="BK2611" s="71">
        <v>0</v>
      </c>
      <c r="BL2611" s="71">
        <v>0</v>
      </c>
      <c r="BM2611" s="71">
        <v>0</v>
      </c>
      <c r="BN2611" s="72">
        <v>0</v>
      </c>
      <c r="BO2611" s="151" t="e">
        <f t="shared" si="174"/>
        <v>#DIV/0!</v>
      </c>
      <c r="BP2611" s="151" t="e">
        <f t="shared" si="175"/>
        <v>#DIV/0!</v>
      </c>
      <c r="BQ2611" s="71">
        <v>0</v>
      </c>
      <c r="BR2611" s="71">
        <v>0</v>
      </c>
      <c r="BS2611" s="71">
        <v>0</v>
      </c>
      <c r="BT2611" s="72">
        <v>0</v>
      </c>
      <c r="BU2611" s="151" t="e">
        <f t="shared" si="176"/>
        <v>#DIV/0!</v>
      </c>
      <c r="BV2611" s="151" t="e">
        <f t="shared" si="177"/>
        <v>#DIV/0!</v>
      </c>
    </row>
    <row r="2612" ht="30" customHeight="1" spans="1:74">
      <c r="A2612" s="55" t="s">
        <v>96</v>
      </c>
      <c r="B2612" s="56" t="s">
        <v>1237</v>
      </c>
      <c r="C2612" s="57" t="s">
        <v>1238</v>
      </c>
      <c r="D2612" s="59" t="s">
        <v>3966</v>
      </c>
      <c r="E2612" s="59" t="s">
        <v>4007</v>
      </c>
      <c r="F2612" s="59" t="str">
        <f>VLOOKUP(E2612,[1]库存!$B$1:$C$65536,2,FALSE)</f>
        <v>SMCV SV51-03 CAB RH</v>
      </c>
      <c r="G2612" s="59" t="s">
        <v>4008</v>
      </c>
      <c r="H2612" s="59" t="s">
        <v>4009</v>
      </c>
      <c r="I2612" s="59" t="s">
        <v>3729</v>
      </c>
      <c r="J2612" s="165" t="s">
        <v>80</v>
      </c>
      <c r="K2612" s="61"/>
      <c r="L2612" s="62">
        <v>1</v>
      </c>
      <c r="M2612" s="63">
        <v>200</v>
      </c>
      <c r="N2612" s="64">
        <v>2</v>
      </c>
      <c r="O2612" s="62">
        <v>1</v>
      </c>
      <c r="P2612" s="65">
        <f t="shared" si="178"/>
        <v>0</v>
      </c>
      <c r="Q2612" s="66"/>
      <c r="R2612" s="66"/>
      <c r="S2612" s="66"/>
      <c r="T2612" s="66"/>
      <c r="U2612" s="66"/>
      <c r="V2612" s="66"/>
      <c r="W2612" s="66"/>
      <c r="X2612" s="66"/>
      <c r="Y2612" s="66"/>
      <c r="Z2612" s="66"/>
      <c r="AA2612" s="66"/>
      <c r="AB2612" s="66"/>
      <c r="AC2612" s="66"/>
      <c r="AD2612" s="66"/>
      <c r="AE2612" s="66"/>
      <c r="AF2612" s="66"/>
      <c r="AG2612" s="66"/>
      <c r="AH2612" s="66"/>
      <c r="AI2612" s="66"/>
      <c r="AJ2612" s="66"/>
      <c r="AK2612" s="66"/>
      <c r="AL2612" s="66"/>
      <c r="AM2612" s="66"/>
      <c r="AN2612" s="66"/>
      <c r="AO2612" s="66"/>
      <c r="AP2612" s="66"/>
      <c r="AQ2612" s="66"/>
      <c r="AR2612" s="66"/>
      <c r="AS2612" s="66"/>
      <c r="AT2612" s="66"/>
      <c r="AU2612" s="66"/>
      <c r="AV2612" s="66"/>
      <c r="AW2612" s="66"/>
      <c r="AX2612" s="66"/>
      <c r="AY2612" s="66"/>
      <c r="AZ2612" s="66"/>
      <c r="BA2612" s="66"/>
      <c r="BB2612" s="66"/>
      <c r="BC2612" s="66"/>
      <c r="BD2612" s="66"/>
      <c r="BE2612" s="67"/>
      <c r="BF2612" s="67"/>
      <c r="BG2612" s="68"/>
      <c r="BI2612" s="69">
        <v>0</v>
      </c>
      <c r="BJ2612" s="70">
        <v>0</v>
      </c>
      <c r="BK2612" s="71">
        <v>0</v>
      </c>
      <c r="BL2612" s="71">
        <v>0</v>
      </c>
      <c r="BM2612" s="71">
        <v>0</v>
      </c>
      <c r="BN2612" s="72">
        <v>0</v>
      </c>
      <c r="BO2612" s="151" t="e">
        <f t="shared" si="174"/>
        <v>#DIV/0!</v>
      </c>
      <c r="BP2612" s="151" t="e">
        <f t="shared" si="175"/>
        <v>#DIV/0!</v>
      </c>
      <c r="BQ2612" s="71">
        <v>0</v>
      </c>
      <c r="BR2612" s="71">
        <v>0</v>
      </c>
      <c r="BS2612" s="71">
        <v>0</v>
      </c>
      <c r="BT2612" s="72">
        <v>0</v>
      </c>
      <c r="BU2612" s="151" t="e">
        <f t="shared" si="176"/>
        <v>#DIV/0!</v>
      </c>
      <c r="BV2612" s="151" t="e">
        <f t="shared" si="177"/>
        <v>#DIV/0!</v>
      </c>
    </row>
    <row r="2613" ht="30" customHeight="1" spans="1:74">
      <c r="A2613" s="55">
        <v>0</v>
      </c>
      <c r="B2613" s="56">
        <v>0</v>
      </c>
      <c r="C2613" s="57" t="s">
        <v>1238</v>
      </c>
      <c r="D2613" s="74"/>
      <c r="E2613" s="74"/>
      <c r="F2613" s="59" t="e">
        <f>VLOOKUP(E2613,[1]库存!$B$1:$C$65536,2,FALSE)</f>
        <v>#N/A</v>
      </c>
      <c r="G2613" s="59" t="e">
        <v>#N/A</v>
      </c>
      <c r="H2613" s="74"/>
      <c r="I2613" s="74"/>
      <c r="J2613" s="166"/>
      <c r="K2613" s="61"/>
      <c r="L2613" s="62">
        <v>0</v>
      </c>
      <c r="M2613" s="63">
        <v>0</v>
      </c>
      <c r="N2613" s="64">
        <v>0</v>
      </c>
      <c r="O2613" s="62">
        <v>0</v>
      </c>
      <c r="P2613" s="65">
        <f t="shared" si="178"/>
        <v>0</v>
      </c>
      <c r="Q2613" s="66"/>
      <c r="R2613" s="66"/>
      <c r="S2613" s="66"/>
      <c r="T2613" s="66"/>
      <c r="U2613" s="66"/>
      <c r="V2613" s="66"/>
      <c r="W2613" s="66"/>
      <c r="X2613" s="66"/>
      <c r="Y2613" s="66"/>
      <c r="Z2613" s="66"/>
      <c r="AA2613" s="66"/>
      <c r="AB2613" s="66"/>
      <c r="AC2613" s="66"/>
      <c r="AD2613" s="66"/>
      <c r="AE2613" s="66"/>
      <c r="AF2613" s="66"/>
      <c r="AG2613" s="66"/>
      <c r="AH2613" s="66"/>
      <c r="AI2613" s="66"/>
      <c r="AJ2613" s="66"/>
      <c r="AK2613" s="66"/>
      <c r="AL2613" s="66"/>
      <c r="AM2613" s="66"/>
      <c r="AN2613" s="66"/>
      <c r="AO2613" s="66"/>
      <c r="AP2613" s="66"/>
      <c r="AQ2613" s="66"/>
      <c r="AR2613" s="66"/>
      <c r="AS2613" s="66"/>
      <c r="AT2613" s="66"/>
      <c r="AU2613" s="66"/>
      <c r="AV2613" s="66"/>
      <c r="AW2613" s="66"/>
      <c r="AX2613" s="66"/>
      <c r="AY2613" s="66"/>
      <c r="AZ2613" s="66"/>
      <c r="BA2613" s="66"/>
      <c r="BB2613" s="66"/>
      <c r="BC2613" s="66"/>
      <c r="BD2613" s="66"/>
      <c r="BE2613" s="67"/>
      <c r="BF2613" s="67"/>
      <c r="BG2613" s="68"/>
      <c r="BI2613" s="69">
        <v>0</v>
      </c>
      <c r="BJ2613" s="70">
        <v>0</v>
      </c>
      <c r="BK2613" s="71">
        <v>0</v>
      </c>
      <c r="BL2613" s="71">
        <v>0</v>
      </c>
      <c r="BM2613" s="71">
        <v>0</v>
      </c>
      <c r="BN2613" s="72">
        <v>0</v>
      </c>
      <c r="BO2613" s="151" t="e">
        <f t="shared" si="174"/>
        <v>#DIV/0!</v>
      </c>
      <c r="BP2613" s="151" t="e">
        <f t="shared" si="175"/>
        <v>#DIV/0!</v>
      </c>
      <c r="BQ2613" s="71">
        <v>0</v>
      </c>
      <c r="BR2613" s="71">
        <v>0</v>
      </c>
      <c r="BS2613" s="71">
        <v>0</v>
      </c>
      <c r="BT2613" s="72">
        <v>0</v>
      </c>
      <c r="BU2613" s="151" t="e">
        <f t="shared" si="176"/>
        <v>#DIV/0!</v>
      </c>
      <c r="BV2613" s="151" t="e">
        <f t="shared" si="177"/>
        <v>#DIV/0!</v>
      </c>
    </row>
    <row r="2614" ht="30" customHeight="1" spans="1:74">
      <c r="A2614" s="55">
        <v>0</v>
      </c>
      <c r="B2614" s="56" t="s">
        <v>1237</v>
      </c>
      <c r="C2614" s="57" t="s">
        <v>3226</v>
      </c>
      <c r="D2614" s="59" t="s">
        <v>3724</v>
      </c>
      <c r="E2614" s="59"/>
      <c r="F2614" s="59" t="e">
        <f>VLOOKUP(E2614,[1]库存!$B$1:$C$65536,2,FALSE)</f>
        <v>#N/A</v>
      </c>
      <c r="G2614" s="59" t="e">
        <v>#N/A</v>
      </c>
      <c r="H2614" s="59" t="s">
        <v>3866</v>
      </c>
      <c r="I2614" s="59" t="s">
        <v>3867</v>
      </c>
      <c r="J2614" s="63"/>
      <c r="K2614" s="61"/>
      <c r="L2614" s="62">
        <v>0.7</v>
      </c>
      <c r="M2614" s="63">
        <v>800</v>
      </c>
      <c r="N2614" s="64">
        <v>3</v>
      </c>
      <c r="O2614" s="62">
        <v>0.7</v>
      </c>
      <c r="P2614" s="65">
        <f t="shared" si="178"/>
        <v>0</v>
      </c>
      <c r="Q2614" s="66"/>
      <c r="R2614" s="66"/>
      <c r="S2614" s="66"/>
      <c r="T2614" s="66"/>
      <c r="U2614" s="66"/>
      <c r="V2614" s="66"/>
      <c r="W2614" s="66"/>
      <c r="X2614" s="66"/>
      <c r="Y2614" s="66"/>
      <c r="Z2614" s="66"/>
      <c r="AA2614" s="66"/>
      <c r="AB2614" s="66"/>
      <c r="AC2614" s="66"/>
      <c r="AD2614" s="66"/>
      <c r="AE2614" s="66"/>
      <c r="AF2614" s="66"/>
      <c r="AG2614" s="66"/>
      <c r="AH2614" s="66"/>
      <c r="AI2614" s="66"/>
      <c r="AJ2614" s="66"/>
      <c r="AK2614" s="66"/>
      <c r="AL2614" s="66"/>
      <c r="AM2614" s="66"/>
      <c r="AN2614" s="66"/>
      <c r="AO2614" s="66"/>
      <c r="AP2614" s="66"/>
      <c r="AQ2614" s="66"/>
      <c r="AR2614" s="66"/>
      <c r="AS2614" s="66"/>
      <c r="AT2614" s="66"/>
      <c r="AU2614" s="66"/>
      <c r="AV2614" s="66"/>
      <c r="AW2614" s="66"/>
      <c r="AX2614" s="66"/>
      <c r="AY2614" s="66"/>
      <c r="AZ2614" s="66"/>
      <c r="BA2614" s="66"/>
      <c r="BB2614" s="66"/>
      <c r="BC2614" s="66"/>
      <c r="BD2614" s="66"/>
      <c r="BE2614" s="67"/>
      <c r="BF2614" s="67"/>
      <c r="BG2614" s="68"/>
      <c r="BI2614" s="69">
        <v>0</v>
      </c>
      <c r="BJ2614" s="70">
        <v>0</v>
      </c>
      <c r="BK2614" s="71">
        <v>0</v>
      </c>
      <c r="BL2614" s="71">
        <v>0</v>
      </c>
      <c r="BM2614" s="71">
        <v>0</v>
      </c>
      <c r="BN2614" s="72">
        <v>0</v>
      </c>
      <c r="BO2614" s="151" t="e">
        <f t="shared" si="174"/>
        <v>#DIV/0!</v>
      </c>
      <c r="BP2614" s="151" t="e">
        <f t="shared" si="175"/>
        <v>#DIV/0!</v>
      </c>
      <c r="BQ2614" s="71">
        <v>0</v>
      </c>
      <c r="BR2614" s="71">
        <v>0</v>
      </c>
      <c r="BS2614" s="71">
        <v>0</v>
      </c>
      <c r="BT2614" s="72">
        <v>0</v>
      </c>
      <c r="BU2614" s="151" t="e">
        <f t="shared" si="176"/>
        <v>#DIV/0!</v>
      </c>
      <c r="BV2614" s="151" t="e">
        <f t="shared" si="177"/>
        <v>#DIV/0!</v>
      </c>
    </row>
    <row r="2615" ht="30" customHeight="1" spans="1:74">
      <c r="A2615" s="55">
        <v>0</v>
      </c>
      <c r="B2615" s="56">
        <v>0</v>
      </c>
      <c r="C2615" s="57" t="s">
        <v>3226</v>
      </c>
      <c r="D2615" s="74"/>
      <c r="E2615" s="74"/>
      <c r="F2615" s="59" t="e">
        <f>VLOOKUP(E2615,[1]库存!$B$1:$C$65536,2,FALSE)</f>
        <v>#N/A</v>
      </c>
      <c r="G2615" s="59" t="e">
        <v>#N/A</v>
      </c>
      <c r="H2615" s="74"/>
      <c r="I2615" s="74"/>
      <c r="J2615" s="87"/>
      <c r="K2615" s="61"/>
      <c r="L2615" s="62">
        <v>0</v>
      </c>
      <c r="M2615" s="63">
        <v>0</v>
      </c>
      <c r="N2615" s="64">
        <v>0</v>
      </c>
      <c r="O2615" s="62">
        <v>0</v>
      </c>
      <c r="P2615" s="65">
        <f t="shared" si="178"/>
        <v>0</v>
      </c>
      <c r="Q2615" s="66"/>
      <c r="R2615" s="66"/>
      <c r="S2615" s="66"/>
      <c r="T2615" s="66"/>
      <c r="U2615" s="66"/>
      <c r="V2615" s="66"/>
      <c r="W2615" s="66"/>
      <c r="X2615" s="66"/>
      <c r="Y2615" s="66"/>
      <c r="Z2615" s="66"/>
      <c r="AA2615" s="66"/>
      <c r="AB2615" s="66"/>
      <c r="AC2615" s="66"/>
      <c r="AD2615" s="66"/>
      <c r="AE2615" s="66"/>
      <c r="AF2615" s="66"/>
      <c r="AG2615" s="66"/>
      <c r="AH2615" s="66"/>
      <c r="AI2615" s="66"/>
      <c r="AJ2615" s="66"/>
      <c r="AK2615" s="66"/>
      <c r="AL2615" s="66"/>
      <c r="AM2615" s="66"/>
      <c r="AN2615" s="66"/>
      <c r="AO2615" s="66"/>
      <c r="AP2615" s="66"/>
      <c r="AQ2615" s="66"/>
      <c r="AR2615" s="66"/>
      <c r="AS2615" s="66"/>
      <c r="AT2615" s="66"/>
      <c r="AU2615" s="66"/>
      <c r="AV2615" s="66"/>
      <c r="AW2615" s="66"/>
      <c r="AX2615" s="66"/>
      <c r="AY2615" s="66"/>
      <c r="AZ2615" s="66"/>
      <c r="BA2615" s="66"/>
      <c r="BB2615" s="66"/>
      <c r="BC2615" s="66"/>
      <c r="BD2615" s="66"/>
      <c r="BE2615" s="67"/>
      <c r="BF2615" s="67"/>
      <c r="BG2615" s="68"/>
      <c r="BI2615" s="69">
        <v>0</v>
      </c>
      <c r="BJ2615" s="70">
        <v>0</v>
      </c>
      <c r="BK2615" s="71">
        <v>0</v>
      </c>
      <c r="BL2615" s="71">
        <v>0</v>
      </c>
      <c r="BM2615" s="71">
        <v>0</v>
      </c>
      <c r="BN2615" s="72">
        <v>0</v>
      </c>
      <c r="BO2615" s="151" t="e">
        <f t="shared" si="174"/>
        <v>#DIV/0!</v>
      </c>
      <c r="BP2615" s="151" t="e">
        <f t="shared" si="175"/>
        <v>#DIV/0!</v>
      </c>
      <c r="BQ2615" s="71">
        <v>0</v>
      </c>
      <c r="BR2615" s="71">
        <v>0</v>
      </c>
      <c r="BS2615" s="71">
        <v>0</v>
      </c>
      <c r="BT2615" s="72">
        <v>0</v>
      </c>
      <c r="BU2615" s="151" t="e">
        <f t="shared" si="176"/>
        <v>#DIV/0!</v>
      </c>
      <c r="BV2615" s="151" t="e">
        <f t="shared" si="177"/>
        <v>#DIV/0!</v>
      </c>
    </row>
    <row r="2616" ht="30" customHeight="1" spans="1:74">
      <c r="A2616" s="55">
        <v>0</v>
      </c>
      <c r="B2616" s="56" t="s">
        <v>1237</v>
      </c>
      <c r="C2616" s="57" t="s">
        <v>3226</v>
      </c>
      <c r="D2616" s="59" t="s">
        <v>3227</v>
      </c>
      <c r="E2616" s="59"/>
      <c r="F2616" s="59" t="e">
        <f>VLOOKUP(E2616,[1]库存!$B$1:$C$65536,2,FALSE)</f>
        <v>#N/A</v>
      </c>
      <c r="G2616" s="59" t="e">
        <v>#N/A</v>
      </c>
      <c r="H2616" s="59" t="s">
        <v>3870</v>
      </c>
      <c r="I2616" s="59" t="s">
        <v>3871</v>
      </c>
      <c r="J2616" s="63"/>
      <c r="K2616" s="61"/>
      <c r="L2616" s="62">
        <v>0</v>
      </c>
      <c r="M2616" s="63">
        <v>1300</v>
      </c>
      <c r="N2616" s="64">
        <v>3</v>
      </c>
      <c r="O2616" s="62">
        <v>0</v>
      </c>
      <c r="P2616" s="65">
        <f t="shared" si="178"/>
        <v>0</v>
      </c>
      <c r="Q2616" s="66"/>
      <c r="R2616" s="66"/>
      <c r="S2616" s="66"/>
      <c r="T2616" s="66"/>
      <c r="U2616" s="66"/>
      <c r="V2616" s="66"/>
      <c r="W2616" s="66"/>
      <c r="X2616" s="66"/>
      <c r="Y2616" s="66"/>
      <c r="Z2616" s="66"/>
      <c r="AA2616" s="66"/>
      <c r="AB2616" s="66"/>
      <c r="AC2616" s="66"/>
      <c r="AD2616" s="66"/>
      <c r="AE2616" s="66"/>
      <c r="AF2616" s="66"/>
      <c r="AG2616" s="66"/>
      <c r="AH2616" s="66"/>
      <c r="AI2616" s="66"/>
      <c r="AJ2616" s="66"/>
      <c r="AK2616" s="66"/>
      <c r="AL2616" s="66"/>
      <c r="AM2616" s="66"/>
      <c r="AN2616" s="66"/>
      <c r="AO2616" s="66"/>
      <c r="AP2616" s="66"/>
      <c r="AQ2616" s="66"/>
      <c r="AR2616" s="66"/>
      <c r="AS2616" s="66"/>
      <c r="AT2616" s="66"/>
      <c r="AU2616" s="66"/>
      <c r="AV2616" s="66"/>
      <c r="AW2616" s="66"/>
      <c r="AX2616" s="66"/>
      <c r="AY2616" s="66"/>
      <c r="AZ2616" s="66"/>
      <c r="BA2616" s="66"/>
      <c r="BB2616" s="66"/>
      <c r="BC2616" s="66"/>
      <c r="BD2616" s="66"/>
      <c r="BE2616" s="67"/>
      <c r="BF2616" s="67"/>
      <c r="BG2616" s="68"/>
      <c r="BI2616" s="69">
        <v>0</v>
      </c>
      <c r="BJ2616" s="70">
        <v>0</v>
      </c>
      <c r="BK2616" s="71">
        <v>0</v>
      </c>
      <c r="BL2616" s="71">
        <v>0</v>
      </c>
      <c r="BM2616" s="71">
        <v>0</v>
      </c>
      <c r="BN2616" s="72">
        <v>0</v>
      </c>
      <c r="BO2616" s="151" t="e">
        <f t="shared" si="174"/>
        <v>#DIV/0!</v>
      </c>
      <c r="BP2616" s="151" t="e">
        <f t="shared" si="175"/>
        <v>#DIV/0!</v>
      </c>
      <c r="BQ2616" s="71">
        <v>0</v>
      </c>
      <c r="BR2616" s="71">
        <v>0</v>
      </c>
      <c r="BS2616" s="71">
        <v>0</v>
      </c>
      <c r="BT2616" s="72">
        <v>0</v>
      </c>
      <c r="BU2616" s="151" t="e">
        <f t="shared" si="176"/>
        <v>#DIV/0!</v>
      </c>
      <c r="BV2616" s="151" t="e">
        <f t="shared" si="177"/>
        <v>#DIV/0!</v>
      </c>
    </row>
    <row r="2617" ht="30" customHeight="1" spans="1:74">
      <c r="A2617" s="55">
        <v>0</v>
      </c>
      <c r="B2617" s="56">
        <v>0</v>
      </c>
      <c r="C2617" s="57" t="s">
        <v>3226</v>
      </c>
      <c r="D2617" s="74"/>
      <c r="E2617" s="74"/>
      <c r="F2617" s="59" t="e">
        <f>VLOOKUP(E2617,[1]库存!$B$1:$C$65536,2,FALSE)</f>
        <v>#N/A</v>
      </c>
      <c r="G2617" s="59" t="e">
        <v>#N/A</v>
      </c>
      <c r="H2617" s="74"/>
      <c r="I2617" s="74"/>
      <c r="J2617" s="87"/>
      <c r="K2617" s="61"/>
      <c r="L2617" s="62">
        <v>0</v>
      </c>
      <c r="M2617" s="63">
        <v>0</v>
      </c>
      <c r="N2617" s="64">
        <v>0</v>
      </c>
      <c r="O2617" s="62">
        <v>0</v>
      </c>
      <c r="P2617" s="65">
        <f t="shared" si="178"/>
        <v>0</v>
      </c>
      <c r="Q2617" s="66"/>
      <c r="R2617" s="66"/>
      <c r="S2617" s="66"/>
      <c r="T2617" s="66"/>
      <c r="U2617" s="66"/>
      <c r="V2617" s="66"/>
      <c r="W2617" s="66"/>
      <c r="X2617" s="66"/>
      <c r="Y2617" s="66"/>
      <c r="Z2617" s="66"/>
      <c r="AA2617" s="66"/>
      <c r="AB2617" s="66"/>
      <c r="AC2617" s="66"/>
      <c r="AD2617" s="66"/>
      <c r="AE2617" s="66"/>
      <c r="AF2617" s="66"/>
      <c r="AG2617" s="66"/>
      <c r="AH2617" s="66"/>
      <c r="AI2617" s="66"/>
      <c r="AJ2617" s="66"/>
      <c r="AK2617" s="66"/>
      <c r="AL2617" s="66"/>
      <c r="AM2617" s="66"/>
      <c r="AN2617" s="66"/>
      <c r="AO2617" s="66"/>
      <c r="AP2617" s="66"/>
      <c r="AQ2617" s="66"/>
      <c r="AR2617" s="66"/>
      <c r="AS2617" s="66"/>
      <c r="AT2617" s="66"/>
      <c r="AU2617" s="66"/>
      <c r="AV2617" s="66"/>
      <c r="AW2617" s="66"/>
      <c r="AX2617" s="66"/>
      <c r="AY2617" s="66"/>
      <c r="AZ2617" s="66"/>
      <c r="BA2617" s="66"/>
      <c r="BB2617" s="66"/>
      <c r="BC2617" s="66"/>
      <c r="BD2617" s="66"/>
      <c r="BE2617" s="67"/>
      <c r="BF2617" s="67"/>
      <c r="BG2617" s="68"/>
      <c r="BI2617" s="69">
        <v>0</v>
      </c>
      <c r="BJ2617" s="70">
        <v>0</v>
      </c>
      <c r="BK2617" s="71">
        <v>0</v>
      </c>
      <c r="BL2617" s="71">
        <v>0</v>
      </c>
      <c r="BM2617" s="71">
        <v>0</v>
      </c>
      <c r="BN2617" s="72">
        <v>0</v>
      </c>
      <c r="BO2617" s="151" t="e">
        <f t="shared" si="174"/>
        <v>#DIV/0!</v>
      </c>
      <c r="BP2617" s="151" t="e">
        <f t="shared" si="175"/>
        <v>#DIV/0!</v>
      </c>
      <c r="BQ2617" s="71">
        <v>0</v>
      </c>
      <c r="BR2617" s="71">
        <v>0</v>
      </c>
      <c r="BS2617" s="71">
        <v>0</v>
      </c>
      <c r="BT2617" s="72">
        <v>0</v>
      </c>
      <c r="BU2617" s="151" t="e">
        <f t="shared" si="176"/>
        <v>#DIV/0!</v>
      </c>
      <c r="BV2617" s="151" t="e">
        <f t="shared" si="177"/>
        <v>#DIV/0!</v>
      </c>
    </row>
    <row r="2618" ht="30" customHeight="1" spans="1:74">
      <c r="A2618" s="55">
        <v>0</v>
      </c>
      <c r="B2618" s="56" t="s">
        <v>1237</v>
      </c>
      <c r="C2618" s="57" t="s">
        <v>1238</v>
      </c>
      <c r="D2618" s="59" t="s">
        <v>3966</v>
      </c>
      <c r="E2618" s="59"/>
      <c r="F2618" s="59" t="e">
        <f>VLOOKUP(E2618,[1]库存!$B$1:$C$65536,2,FALSE)</f>
        <v>#N/A</v>
      </c>
      <c r="G2618" s="59" t="e">
        <v>#N/A</v>
      </c>
      <c r="H2618" s="59" t="s">
        <v>3875</v>
      </c>
      <c r="I2618" s="59" t="s">
        <v>3876</v>
      </c>
      <c r="J2618" s="240" t="s">
        <v>4010</v>
      </c>
      <c r="K2618" s="61"/>
      <c r="L2618" s="62">
        <v>1</v>
      </c>
      <c r="M2618" s="63">
        <v>450</v>
      </c>
      <c r="N2618" s="64">
        <v>4</v>
      </c>
      <c r="O2618" s="62">
        <v>1</v>
      </c>
      <c r="P2618" s="65">
        <f t="shared" si="178"/>
        <v>0</v>
      </c>
      <c r="Q2618" s="66"/>
      <c r="R2618" s="66"/>
      <c r="S2618" s="66"/>
      <c r="T2618" s="66"/>
      <c r="U2618" s="66"/>
      <c r="V2618" s="66"/>
      <c r="W2618" s="66"/>
      <c r="X2618" s="66"/>
      <c r="Y2618" s="66"/>
      <c r="Z2618" s="66"/>
      <c r="AA2618" s="66"/>
      <c r="AB2618" s="66"/>
      <c r="AC2618" s="66"/>
      <c r="AD2618" s="66"/>
      <c r="AE2618" s="66"/>
      <c r="AF2618" s="66"/>
      <c r="AG2618" s="66"/>
      <c r="AH2618" s="66"/>
      <c r="AI2618" s="66"/>
      <c r="AJ2618" s="66"/>
      <c r="AK2618" s="66"/>
      <c r="AL2618" s="66"/>
      <c r="AM2618" s="66"/>
      <c r="AN2618" s="66"/>
      <c r="AO2618" s="66"/>
      <c r="AP2618" s="66"/>
      <c r="AQ2618" s="66"/>
      <c r="AR2618" s="66"/>
      <c r="AS2618" s="66"/>
      <c r="AT2618" s="66"/>
      <c r="AU2618" s="66"/>
      <c r="AV2618" s="66"/>
      <c r="AW2618" s="66"/>
      <c r="AX2618" s="66"/>
      <c r="AY2618" s="66"/>
      <c r="AZ2618" s="66"/>
      <c r="BA2618" s="66"/>
      <c r="BB2618" s="66"/>
      <c r="BC2618" s="66"/>
      <c r="BD2618" s="66"/>
      <c r="BE2618" s="67"/>
      <c r="BF2618" s="67"/>
      <c r="BG2618" s="68"/>
      <c r="BI2618" s="69">
        <v>0</v>
      </c>
      <c r="BJ2618" s="70">
        <v>0</v>
      </c>
      <c r="BK2618" s="71">
        <v>0</v>
      </c>
      <c r="BL2618" s="71">
        <v>0</v>
      </c>
      <c r="BM2618" s="71">
        <v>0</v>
      </c>
      <c r="BN2618" s="72">
        <v>0</v>
      </c>
      <c r="BO2618" s="151" t="e">
        <f t="shared" si="174"/>
        <v>#DIV/0!</v>
      </c>
      <c r="BP2618" s="151" t="e">
        <f t="shared" si="175"/>
        <v>#DIV/0!</v>
      </c>
      <c r="BQ2618" s="71">
        <v>0</v>
      </c>
      <c r="BR2618" s="71">
        <v>0</v>
      </c>
      <c r="BS2618" s="71">
        <v>0</v>
      </c>
      <c r="BT2618" s="72">
        <v>0</v>
      </c>
      <c r="BU2618" s="151" t="e">
        <f t="shared" si="176"/>
        <v>#DIV/0!</v>
      </c>
      <c r="BV2618" s="151" t="e">
        <f t="shared" si="177"/>
        <v>#DIV/0!</v>
      </c>
    </row>
    <row r="2619" ht="30" customHeight="1" spans="1:74">
      <c r="A2619" s="55">
        <v>0</v>
      </c>
      <c r="B2619" s="56">
        <v>0</v>
      </c>
      <c r="C2619" s="57" t="s">
        <v>1238</v>
      </c>
      <c r="D2619" s="74"/>
      <c r="E2619" s="74"/>
      <c r="F2619" s="59" t="e">
        <f>VLOOKUP(E2619,[1]库存!$B$1:$C$65536,2,FALSE)</f>
        <v>#N/A</v>
      </c>
      <c r="G2619" s="59" t="e">
        <v>#N/A</v>
      </c>
      <c r="H2619" s="74"/>
      <c r="I2619" s="74"/>
      <c r="J2619" s="241"/>
      <c r="K2619" s="61"/>
      <c r="L2619" s="62">
        <v>0</v>
      </c>
      <c r="M2619" s="63">
        <v>0</v>
      </c>
      <c r="N2619" s="64">
        <v>0</v>
      </c>
      <c r="O2619" s="62">
        <v>0</v>
      </c>
      <c r="P2619" s="65">
        <f t="shared" si="178"/>
        <v>0</v>
      </c>
      <c r="Q2619" s="66"/>
      <c r="R2619" s="66"/>
      <c r="S2619" s="66"/>
      <c r="T2619" s="66"/>
      <c r="U2619" s="66"/>
      <c r="V2619" s="66"/>
      <c r="W2619" s="66"/>
      <c r="X2619" s="66"/>
      <c r="Y2619" s="66"/>
      <c r="Z2619" s="66"/>
      <c r="AA2619" s="66"/>
      <c r="AB2619" s="66"/>
      <c r="AC2619" s="66"/>
      <c r="AD2619" s="66"/>
      <c r="AE2619" s="66"/>
      <c r="AF2619" s="66"/>
      <c r="AG2619" s="66"/>
      <c r="AH2619" s="66"/>
      <c r="AI2619" s="66"/>
      <c r="AJ2619" s="66"/>
      <c r="AK2619" s="66"/>
      <c r="AL2619" s="66"/>
      <c r="AM2619" s="66"/>
      <c r="AN2619" s="66"/>
      <c r="AO2619" s="66"/>
      <c r="AP2619" s="66"/>
      <c r="AQ2619" s="66"/>
      <c r="AR2619" s="66"/>
      <c r="AS2619" s="66"/>
      <c r="AT2619" s="66"/>
      <c r="AU2619" s="66"/>
      <c r="AV2619" s="66"/>
      <c r="AW2619" s="66"/>
      <c r="AX2619" s="66"/>
      <c r="AY2619" s="66"/>
      <c r="AZ2619" s="66"/>
      <c r="BA2619" s="66"/>
      <c r="BB2619" s="66"/>
      <c r="BC2619" s="66"/>
      <c r="BD2619" s="66"/>
      <c r="BE2619" s="67"/>
      <c r="BF2619" s="67"/>
      <c r="BG2619" s="68"/>
      <c r="BI2619" s="69">
        <v>0</v>
      </c>
      <c r="BJ2619" s="70">
        <v>0</v>
      </c>
      <c r="BK2619" s="71">
        <v>0</v>
      </c>
      <c r="BL2619" s="71">
        <v>0</v>
      </c>
      <c r="BM2619" s="71">
        <v>0</v>
      </c>
      <c r="BN2619" s="72">
        <v>0</v>
      </c>
      <c r="BO2619" s="151" t="e">
        <f t="shared" si="174"/>
        <v>#DIV/0!</v>
      </c>
      <c r="BP2619" s="151" t="e">
        <f t="shared" si="175"/>
        <v>#DIV/0!</v>
      </c>
      <c r="BQ2619" s="71">
        <v>0</v>
      </c>
      <c r="BR2619" s="71">
        <v>0</v>
      </c>
      <c r="BS2619" s="71">
        <v>0</v>
      </c>
      <c r="BT2619" s="72">
        <v>0</v>
      </c>
      <c r="BU2619" s="151" t="e">
        <f t="shared" si="176"/>
        <v>#DIV/0!</v>
      </c>
      <c r="BV2619" s="151" t="e">
        <f t="shared" si="177"/>
        <v>#DIV/0!</v>
      </c>
    </row>
    <row r="2620" ht="30" customHeight="1" spans="1:74">
      <c r="A2620" s="55">
        <v>0</v>
      </c>
      <c r="B2620" s="56" t="s">
        <v>1237</v>
      </c>
      <c r="C2620" s="57" t="s">
        <v>3226</v>
      </c>
      <c r="D2620" s="59" t="s">
        <v>3227</v>
      </c>
      <c r="E2620" s="59"/>
      <c r="F2620" s="59" t="e">
        <f>VLOOKUP(E2620,[1]库存!$B$1:$C$65536,2,FALSE)</f>
        <v>#N/A</v>
      </c>
      <c r="G2620" s="59" t="e">
        <v>#N/A</v>
      </c>
      <c r="H2620" s="59" t="s">
        <v>3880</v>
      </c>
      <c r="I2620" s="59" t="s">
        <v>3871</v>
      </c>
      <c r="J2620" s="240"/>
      <c r="K2620" s="61"/>
      <c r="L2620" s="62">
        <v>0</v>
      </c>
      <c r="M2620" s="63">
        <v>1300</v>
      </c>
      <c r="N2620" s="64">
        <v>3</v>
      </c>
      <c r="O2620" s="62">
        <v>0</v>
      </c>
      <c r="P2620" s="65">
        <f t="shared" si="178"/>
        <v>0</v>
      </c>
      <c r="Q2620" s="66"/>
      <c r="R2620" s="66"/>
      <c r="S2620" s="66"/>
      <c r="T2620" s="66"/>
      <c r="U2620" s="66"/>
      <c r="V2620" s="66"/>
      <c r="W2620" s="66"/>
      <c r="X2620" s="66"/>
      <c r="Y2620" s="66"/>
      <c r="Z2620" s="66"/>
      <c r="AA2620" s="66"/>
      <c r="AB2620" s="66"/>
      <c r="AC2620" s="66"/>
      <c r="AD2620" s="66"/>
      <c r="AE2620" s="66"/>
      <c r="AF2620" s="66"/>
      <c r="AG2620" s="66"/>
      <c r="AH2620" s="66"/>
      <c r="AI2620" s="66"/>
      <c r="AJ2620" s="66"/>
      <c r="AK2620" s="66"/>
      <c r="AL2620" s="66"/>
      <c r="AM2620" s="66"/>
      <c r="AN2620" s="66"/>
      <c r="AO2620" s="66"/>
      <c r="AP2620" s="66"/>
      <c r="AQ2620" s="66"/>
      <c r="AR2620" s="66"/>
      <c r="AS2620" s="66"/>
      <c r="AT2620" s="66"/>
      <c r="AU2620" s="66"/>
      <c r="AV2620" s="66"/>
      <c r="AW2620" s="66"/>
      <c r="AX2620" s="66"/>
      <c r="AY2620" s="66"/>
      <c r="AZ2620" s="66"/>
      <c r="BA2620" s="66"/>
      <c r="BB2620" s="66"/>
      <c r="BC2620" s="66"/>
      <c r="BD2620" s="66"/>
      <c r="BE2620" s="67"/>
      <c r="BF2620" s="67"/>
      <c r="BG2620" s="68"/>
      <c r="BI2620" s="69">
        <v>0</v>
      </c>
      <c r="BJ2620" s="70">
        <v>0</v>
      </c>
      <c r="BK2620" s="71">
        <v>0</v>
      </c>
      <c r="BL2620" s="71">
        <v>0</v>
      </c>
      <c r="BM2620" s="71">
        <v>0</v>
      </c>
      <c r="BN2620" s="72">
        <v>0</v>
      </c>
      <c r="BO2620" s="151" t="e">
        <f t="shared" si="174"/>
        <v>#DIV/0!</v>
      </c>
      <c r="BP2620" s="151" t="e">
        <f t="shared" si="175"/>
        <v>#DIV/0!</v>
      </c>
      <c r="BQ2620" s="71">
        <v>0</v>
      </c>
      <c r="BR2620" s="71">
        <v>0</v>
      </c>
      <c r="BS2620" s="71">
        <v>0</v>
      </c>
      <c r="BT2620" s="72">
        <v>0</v>
      </c>
      <c r="BU2620" s="151" t="e">
        <f t="shared" si="176"/>
        <v>#DIV/0!</v>
      </c>
      <c r="BV2620" s="151" t="e">
        <f t="shared" si="177"/>
        <v>#DIV/0!</v>
      </c>
    </row>
    <row r="2621" ht="30" customHeight="1" spans="1:74">
      <c r="A2621" s="55">
        <v>0</v>
      </c>
      <c r="B2621" s="56">
        <v>0</v>
      </c>
      <c r="C2621" s="57" t="s">
        <v>3226</v>
      </c>
      <c r="D2621" s="74"/>
      <c r="E2621" s="74"/>
      <c r="F2621" s="59" t="e">
        <f>VLOOKUP(E2621,[1]库存!$B$1:$C$65536,2,FALSE)</f>
        <v>#N/A</v>
      </c>
      <c r="G2621" s="59" t="e">
        <v>#N/A</v>
      </c>
      <c r="H2621" s="74"/>
      <c r="I2621" s="74"/>
      <c r="J2621" s="241"/>
      <c r="K2621" s="61"/>
      <c r="L2621" s="62">
        <v>0</v>
      </c>
      <c r="M2621" s="63">
        <v>0</v>
      </c>
      <c r="N2621" s="64">
        <v>0</v>
      </c>
      <c r="O2621" s="62">
        <v>0</v>
      </c>
      <c r="P2621" s="65">
        <f t="shared" si="178"/>
        <v>0</v>
      </c>
      <c r="Q2621" s="66"/>
      <c r="R2621" s="66"/>
      <c r="S2621" s="66"/>
      <c r="T2621" s="66"/>
      <c r="U2621" s="66"/>
      <c r="V2621" s="66"/>
      <c r="W2621" s="66"/>
      <c r="X2621" s="66"/>
      <c r="Y2621" s="66"/>
      <c r="Z2621" s="66"/>
      <c r="AA2621" s="66"/>
      <c r="AB2621" s="66"/>
      <c r="AC2621" s="66"/>
      <c r="AD2621" s="66"/>
      <c r="AE2621" s="66"/>
      <c r="AF2621" s="66"/>
      <c r="AG2621" s="66"/>
      <c r="AH2621" s="66"/>
      <c r="AI2621" s="66"/>
      <c r="AJ2621" s="66"/>
      <c r="AK2621" s="66"/>
      <c r="AL2621" s="66"/>
      <c r="AM2621" s="66"/>
      <c r="AN2621" s="66"/>
      <c r="AO2621" s="66"/>
      <c r="AP2621" s="66"/>
      <c r="AQ2621" s="66"/>
      <c r="AR2621" s="66"/>
      <c r="AS2621" s="66"/>
      <c r="AT2621" s="66"/>
      <c r="AU2621" s="66"/>
      <c r="AV2621" s="66"/>
      <c r="AW2621" s="66"/>
      <c r="AX2621" s="66"/>
      <c r="AY2621" s="66"/>
      <c r="AZ2621" s="66"/>
      <c r="BA2621" s="66"/>
      <c r="BB2621" s="66"/>
      <c r="BC2621" s="66"/>
      <c r="BD2621" s="66"/>
      <c r="BE2621" s="67"/>
      <c r="BF2621" s="67"/>
      <c r="BG2621" s="68"/>
      <c r="BI2621" s="69">
        <v>0</v>
      </c>
      <c r="BJ2621" s="70">
        <v>0</v>
      </c>
      <c r="BK2621" s="71">
        <v>0</v>
      </c>
      <c r="BL2621" s="71">
        <v>0</v>
      </c>
      <c r="BM2621" s="71">
        <v>0</v>
      </c>
      <c r="BN2621" s="72">
        <v>0</v>
      </c>
      <c r="BO2621" s="151" t="e">
        <f t="shared" si="174"/>
        <v>#DIV/0!</v>
      </c>
      <c r="BP2621" s="151" t="e">
        <f t="shared" si="175"/>
        <v>#DIV/0!</v>
      </c>
      <c r="BQ2621" s="71">
        <v>0</v>
      </c>
      <c r="BR2621" s="71">
        <v>0</v>
      </c>
      <c r="BS2621" s="71">
        <v>0</v>
      </c>
      <c r="BT2621" s="72">
        <v>0</v>
      </c>
      <c r="BU2621" s="151" t="e">
        <f t="shared" si="176"/>
        <v>#DIV/0!</v>
      </c>
      <c r="BV2621" s="151" t="e">
        <f t="shared" si="177"/>
        <v>#DIV/0!</v>
      </c>
    </row>
    <row r="2622" ht="30" customHeight="1" spans="1:74">
      <c r="A2622" s="55">
        <v>0</v>
      </c>
      <c r="B2622" s="56" t="s">
        <v>4011</v>
      </c>
      <c r="C2622" s="57" t="s">
        <v>1238</v>
      </c>
      <c r="D2622" s="59" t="s">
        <v>3966</v>
      </c>
      <c r="E2622" s="59"/>
      <c r="F2622" s="59" t="e">
        <f>VLOOKUP(E2622,[1]库存!$B$1:$C$65536,2,FALSE)</f>
        <v>#N/A</v>
      </c>
      <c r="G2622" s="59" t="e">
        <v>#N/A</v>
      </c>
      <c r="H2622" s="59" t="s">
        <v>3883</v>
      </c>
      <c r="I2622" s="59" t="s">
        <v>3876</v>
      </c>
      <c r="J2622" s="240" t="s">
        <v>4010</v>
      </c>
      <c r="K2622" s="61"/>
      <c r="L2622" s="62">
        <v>1</v>
      </c>
      <c r="M2622" s="63">
        <v>450</v>
      </c>
      <c r="N2622" s="64">
        <v>4</v>
      </c>
      <c r="O2622" s="62">
        <v>1</v>
      </c>
      <c r="P2622" s="65">
        <f t="shared" si="178"/>
        <v>0</v>
      </c>
      <c r="Q2622" s="66"/>
      <c r="R2622" s="66"/>
      <c r="S2622" s="66"/>
      <c r="T2622" s="66"/>
      <c r="U2622" s="66"/>
      <c r="V2622" s="66"/>
      <c r="W2622" s="66"/>
      <c r="X2622" s="66"/>
      <c r="Y2622" s="66"/>
      <c r="Z2622" s="66"/>
      <c r="AA2622" s="66"/>
      <c r="AB2622" s="66"/>
      <c r="AC2622" s="66"/>
      <c r="AD2622" s="66"/>
      <c r="AE2622" s="66"/>
      <c r="AF2622" s="66"/>
      <c r="AG2622" s="66"/>
      <c r="AH2622" s="66"/>
      <c r="AI2622" s="66"/>
      <c r="AJ2622" s="66"/>
      <c r="AK2622" s="66"/>
      <c r="AL2622" s="66"/>
      <c r="AM2622" s="66"/>
      <c r="AN2622" s="66"/>
      <c r="AO2622" s="66"/>
      <c r="AP2622" s="66"/>
      <c r="AQ2622" s="66"/>
      <c r="AR2622" s="66"/>
      <c r="AS2622" s="66"/>
      <c r="AT2622" s="66"/>
      <c r="AU2622" s="66"/>
      <c r="AV2622" s="66"/>
      <c r="AW2622" s="66"/>
      <c r="AX2622" s="66"/>
      <c r="AY2622" s="66"/>
      <c r="AZ2622" s="66"/>
      <c r="BA2622" s="66"/>
      <c r="BB2622" s="66"/>
      <c r="BC2622" s="66"/>
      <c r="BD2622" s="66"/>
      <c r="BE2622" s="67"/>
      <c r="BF2622" s="67"/>
      <c r="BG2622" s="68"/>
      <c r="BI2622" s="69">
        <v>0</v>
      </c>
      <c r="BJ2622" s="70">
        <v>0</v>
      </c>
      <c r="BK2622" s="71">
        <v>0</v>
      </c>
      <c r="BL2622" s="71">
        <v>0</v>
      </c>
      <c r="BM2622" s="71">
        <v>0</v>
      </c>
      <c r="BN2622" s="72">
        <v>0</v>
      </c>
      <c r="BO2622" s="151" t="e">
        <f t="shared" si="174"/>
        <v>#DIV/0!</v>
      </c>
      <c r="BP2622" s="151" t="e">
        <f t="shared" si="175"/>
        <v>#DIV/0!</v>
      </c>
      <c r="BQ2622" s="71">
        <v>0</v>
      </c>
      <c r="BR2622" s="71">
        <v>0</v>
      </c>
      <c r="BS2622" s="71">
        <v>0</v>
      </c>
      <c r="BT2622" s="72">
        <v>0</v>
      </c>
      <c r="BU2622" s="151" t="e">
        <f t="shared" si="176"/>
        <v>#DIV/0!</v>
      </c>
      <c r="BV2622" s="151" t="e">
        <f t="shared" si="177"/>
        <v>#DIV/0!</v>
      </c>
    </row>
    <row r="2623" ht="30" customHeight="1" spans="1:74">
      <c r="A2623" s="55">
        <v>0</v>
      </c>
      <c r="B2623" s="56">
        <v>503</v>
      </c>
      <c r="C2623" s="57" t="s">
        <v>1238</v>
      </c>
      <c r="D2623" s="74"/>
      <c r="E2623" s="74"/>
      <c r="F2623" s="59" t="e">
        <f>VLOOKUP(E2623,[1]库存!$B$1:$C$65536,2,FALSE)</f>
        <v>#N/A</v>
      </c>
      <c r="G2623" s="59" t="e">
        <v>#N/A</v>
      </c>
      <c r="H2623" s="74"/>
      <c r="I2623" s="74"/>
      <c r="J2623" s="241"/>
      <c r="K2623" s="61"/>
      <c r="L2623" s="62">
        <v>0</v>
      </c>
      <c r="M2623" s="63">
        <v>0</v>
      </c>
      <c r="N2623" s="64">
        <v>0</v>
      </c>
      <c r="O2623" s="62">
        <v>0</v>
      </c>
      <c r="P2623" s="65">
        <f t="shared" si="178"/>
        <v>0</v>
      </c>
      <c r="Q2623" s="66"/>
      <c r="R2623" s="66"/>
      <c r="S2623" s="66"/>
      <c r="T2623" s="66"/>
      <c r="U2623" s="66"/>
      <c r="V2623" s="66"/>
      <c r="W2623" s="66"/>
      <c r="X2623" s="66"/>
      <c r="Y2623" s="66"/>
      <c r="Z2623" s="66"/>
      <c r="AA2623" s="66"/>
      <c r="AB2623" s="66"/>
      <c r="AC2623" s="66"/>
      <c r="AD2623" s="66"/>
      <c r="AE2623" s="66"/>
      <c r="AF2623" s="66"/>
      <c r="AG2623" s="66"/>
      <c r="AH2623" s="66"/>
      <c r="AI2623" s="66"/>
      <c r="AJ2623" s="66"/>
      <c r="AK2623" s="66"/>
      <c r="AL2623" s="66"/>
      <c r="AM2623" s="66"/>
      <c r="AN2623" s="66"/>
      <c r="AO2623" s="66"/>
      <c r="AP2623" s="66"/>
      <c r="AQ2623" s="66"/>
      <c r="AR2623" s="66"/>
      <c r="AS2623" s="66"/>
      <c r="AT2623" s="66"/>
      <c r="AU2623" s="66"/>
      <c r="AV2623" s="66"/>
      <c r="AW2623" s="66"/>
      <c r="AX2623" s="66"/>
      <c r="AY2623" s="66"/>
      <c r="AZ2623" s="66"/>
      <c r="BA2623" s="66"/>
      <c r="BB2623" s="66"/>
      <c r="BC2623" s="66"/>
      <c r="BD2623" s="66"/>
      <c r="BE2623" s="67"/>
      <c r="BF2623" s="67"/>
      <c r="BG2623" s="68"/>
      <c r="BI2623" s="69">
        <v>0</v>
      </c>
      <c r="BJ2623" s="70">
        <v>0</v>
      </c>
      <c r="BK2623" s="71">
        <v>0</v>
      </c>
      <c r="BL2623" s="71">
        <v>0</v>
      </c>
      <c r="BM2623" s="71">
        <v>0</v>
      </c>
      <c r="BN2623" s="72">
        <v>0</v>
      </c>
      <c r="BO2623" s="151" t="e">
        <f t="shared" si="174"/>
        <v>#DIV/0!</v>
      </c>
      <c r="BP2623" s="151" t="e">
        <f t="shared" si="175"/>
        <v>#DIV/0!</v>
      </c>
      <c r="BQ2623" s="71">
        <v>0</v>
      </c>
      <c r="BR2623" s="71">
        <v>0</v>
      </c>
      <c r="BS2623" s="71">
        <v>0</v>
      </c>
      <c r="BT2623" s="72">
        <v>0</v>
      </c>
      <c r="BU2623" s="151" t="e">
        <f t="shared" si="176"/>
        <v>#DIV/0!</v>
      </c>
      <c r="BV2623" s="151" t="e">
        <f t="shared" si="177"/>
        <v>#DIV/0!</v>
      </c>
    </row>
    <row r="2624" ht="30" customHeight="1" spans="1:74">
      <c r="A2624" s="55">
        <v>0</v>
      </c>
      <c r="B2624" s="56">
        <v>0</v>
      </c>
      <c r="C2624" s="57">
        <v>0</v>
      </c>
      <c r="D2624" s="106"/>
      <c r="E2624" s="88"/>
      <c r="F2624" s="59" t="e">
        <f>VLOOKUP(E2624,[1]库存!$B$1:$C$65536,2,FALSE)</f>
        <v>#N/A</v>
      </c>
      <c r="G2624" s="59" t="e">
        <v>#N/A</v>
      </c>
      <c r="H2624" s="89"/>
      <c r="I2624" s="107"/>
      <c r="J2624" s="288"/>
      <c r="K2624" s="61"/>
      <c r="L2624" s="62">
        <v>0</v>
      </c>
      <c r="M2624" s="63">
        <v>0</v>
      </c>
      <c r="N2624" s="64">
        <v>0</v>
      </c>
      <c r="O2624" s="62">
        <v>0</v>
      </c>
      <c r="P2624" s="65">
        <f t="shared" si="178"/>
        <v>0</v>
      </c>
      <c r="Q2624" s="66"/>
      <c r="R2624" s="66"/>
      <c r="S2624" s="66"/>
      <c r="T2624" s="66"/>
      <c r="U2624" s="66"/>
      <c r="V2624" s="66"/>
      <c r="W2624" s="66"/>
      <c r="X2624" s="66"/>
      <c r="Y2624" s="66"/>
      <c r="Z2624" s="66"/>
      <c r="AA2624" s="66"/>
      <c r="AB2624" s="66"/>
      <c r="AC2624" s="66"/>
      <c r="AD2624" s="66"/>
      <c r="AE2624" s="66"/>
      <c r="AF2624" s="66"/>
      <c r="AG2624" s="66"/>
      <c r="AH2624" s="66"/>
      <c r="AI2624" s="66"/>
      <c r="AJ2624" s="66"/>
      <c r="AK2624" s="66"/>
      <c r="AL2624" s="66"/>
      <c r="AM2624" s="66"/>
      <c r="AN2624" s="66"/>
      <c r="AO2624" s="66"/>
      <c r="AP2624" s="66"/>
      <c r="AQ2624" s="66"/>
      <c r="AR2624" s="66"/>
      <c r="AS2624" s="66"/>
      <c r="AT2624" s="66"/>
      <c r="AU2624" s="66"/>
      <c r="AV2624" s="66"/>
      <c r="AW2624" s="66"/>
      <c r="AX2624" s="66"/>
      <c r="AY2624" s="66"/>
      <c r="AZ2624" s="66"/>
      <c r="BA2624" s="66"/>
      <c r="BB2624" s="66"/>
      <c r="BC2624" s="66"/>
      <c r="BD2624" s="66"/>
      <c r="BE2624" s="67"/>
      <c r="BF2624" s="67"/>
      <c r="BG2624" s="68"/>
      <c r="BI2624" s="69">
        <v>0</v>
      </c>
      <c r="BJ2624" s="70">
        <v>0</v>
      </c>
      <c r="BK2624" s="71">
        <v>0</v>
      </c>
      <c r="BL2624" s="71">
        <v>0</v>
      </c>
      <c r="BM2624" s="71">
        <v>0</v>
      </c>
      <c r="BN2624" s="72">
        <v>0</v>
      </c>
      <c r="BO2624" s="151" t="e">
        <f t="shared" si="174"/>
        <v>#DIV/0!</v>
      </c>
      <c r="BP2624" s="151" t="e">
        <f t="shared" si="175"/>
        <v>#DIV/0!</v>
      </c>
      <c r="BQ2624" s="71">
        <v>0</v>
      </c>
      <c r="BR2624" s="71">
        <v>0</v>
      </c>
      <c r="BS2624" s="71">
        <v>0</v>
      </c>
      <c r="BT2624" s="72">
        <v>0</v>
      </c>
      <c r="BU2624" s="151" t="e">
        <f t="shared" si="176"/>
        <v>#DIV/0!</v>
      </c>
      <c r="BV2624" s="151" t="e">
        <f t="shared" si="177"/>
        <v>#DIV/0!</v>
      </c>
    </row>
    <row r="2625" ht="30" customHeight="1" spans="1:74">
      <c r="A2625" s="55">
        <v>0</v>
      </c>
      <c r="B2625" s="56" t="s">
        <v>1237</v>
      </c>
      <c r="C2625" s="57" t="s">
        <v>3341</v>
      </c>
      <c r="D2625" s="59" t="s">
        <v>3799</v>
      </c>
      <c r="E2625" s="59" t="s">
        <v>4012</v>
      </c>
      <c r="F2625" s="59" t="str">
        <f>VLOOKUP(E2625,[1]库存!$B$1:$C$65536,2,FALSE)</f>
        <v>9999315 IP32 拉带</v>
      </c>
      <c r="G2625" s="59" t="s">
        <v>4013</v>
      </c>
      <c r="H2625" s="59" t="s">
        <v>4014</v>
      </c>
      <c r="I2625" s="59"/>
      <c r="J2625" s="82" t="s">
        <v>80</v>
      </c>
      <c r="K2625" s="61"/>
      <c r="L2625" s="62">
        <v>0</v>
      </c>
      <c r="M2625" s="63">
        <v>1200</v>
      </c>
      <c r="N2625" s="64">
        <v>1.5</v>
      </c>
      <c r="O2625" s="62">
        <v>0</v>
      </c>
      <c r="P2625" s="65">
        <f t="shared" si="178"/>
        <v>0</v>
      </c>
      <c r="Q2625" s="66"/>
      <c r="R2625" s="66"/>
      <c r="S2625" s="66"/>
      <c r="T2625" s="66"/>
      <c r="U2625" s="66"/>
      <c r="V2625" s="66"/>
      <c r="W2625" s="66"/>
      <c r="X2625" s="66"/>
      <c r="Y2625" s="66"/>
      <c r="Z2625" s="66"/>
      <c r="AA2625" s="66"/>
      <c r="AB2625" s="66"/>
      <c r="AC2625" s="66"/>
      <c r="AD2625" s="66"/>
      <c r="AE2625" s="66"/>
      <c r="AF2625" s="66"/>
      <c r="AG2625" s="66"/>
      <c r="AH2625" s="66"/>
      <c r="AI2625" s="66"/>
      <c r="AJ2625" s="66"/>
      <c r="AK2625" s="66"/>
      <c r="AL2625" s="66"/>
      <c r="AM2625" s="66"/>
      <c r="AN2625" s="66"/>
      <c r="AO2625" s="66"/>
      <c r="AP2625" s="66"/>
      <c r="AQ2625" s="66"/>
      <c r="AR2625" s="66"/>
      <c r="AS2625" s="66"/>
      <c r="AT2625" s="66"/>
      <c r="AU2625" s="66"/>
      <c r="AV2625" s="66"/>
      <c r="AW2625" s="66"/>
      <c r="AX2625" s="66"/>
      <c r="AY2625" s="66"/>
      <c r="AZ2625" s="66"/>
      <c r="BA2625" s="66"/>
      <c r="BB2625" s="66"/>
      <c r="BC2625" s="66"/>
      <c r="BD2625" s="66"/>
      <c r="BE2625" s="67"/>
      <c r="BF2625" s="67"/>
      <c r="BG2625" s="68"/>
      <c r="BI2625" s="69">
        <v>0</v>
      </c>
      <c r="BJ2625" s="70">
        <v>0</v>
      </c>
      <c r="BK2625" s="71">
        <v>0</v>
      </c>
      <c r="BL2625" s="71">
        <v>0</v>
      </c>
      <c r="BM2625" s="71">
        <v>0</v>
      </c>
      <c r="BN2625" s="72">
        <v>0</v>
      </c>
      <c r="BO2625" s="151" t="e">
        <f t="shared" si="174"/>
        <v>#DIV/0!</v>
      </c>
      <c r="BP2625" s="151" t="e">
        <f t="shared" si="175"/>
        <v>#DIV/0!</v>
      </c>
      <c r="BQ2625" s="71">
        <v>0</v>
      </c>
      <c r="BR2625" s="71">
        <v>0</v>
      </c>
      <c r="BS2625" s="71">
        <v>0</v>
      </c>
      <c r="BT2625" s="72">
        <v>0</v>
      </c>
      <c r="BU2625" s="151" t="e">
        <f t="shared" si="176"/>
        <v>#DIV/0!</v>
      </c>
      <c r="BV2625" s="151" t="e">
        <f t="shared" si="177"/>
        <v>#DIV/0!</v>
      </c>
    </row>
    <row r="2626" ht="30" customHeight="1" spans="1:74">
      <c r="A2626" s="55">
        <v>0</v>
      </c>
      <c r="B2626" s="56">
        <v>0</v>
      </c>
      <c r="C2626" s="57">
        <v>0</v>
      </c>
      <c r="D2626" s="74"/>
      <c r="E2626" s="74"/>
      <c r="F2626" s="59" t="e">
        <f>VLOOKUP(E2626,[1]库存!$B$1:$C$65536,2,FALSE)</f>
        <v>#N/A</v>
      </c>
      <c r="G2626" s="59" t="e">
        <v>#N/A</v>
      </c>
      <c r="H2626" s="74"/>
      <c r="I2626" s="74"/>
      <c r="J2626" s="83"/>
      <c r="K2626" s="61"/>
      <c r="L2626" s="62">
        <v>0</v>
      </c>
      <c r="M2626" s="63">
        <v>0</v>
      </c>
      <c r="N2626" s="64">
        <v>0</v>
      </c>
      <c r="O2626" s="62">
        <v>0</v>
      </c>
      <c r="P2626" s="65">
        <f t="shared" si="178"/>
        <v>0</v>
      </c>
      <c r="Q2626" s="66"/>
      <c r="R2626" s="66"/>
      <c r="S2626" s="66"/>
      <c r="T2626" s="66"/>
      <c r="U2626" s="66"/>
      <c r="V2626" s="66"/>
      <c r="W2626" s="66"/>
      <c r="X2626" s="66"/>
      <c r="Y2626" s="66"/>
      <c r="Z2626" s="66"/>
      <c r="AA2626" s="66"/>
      <c r="AB2626" s="66"/>
      <c r="AC2626" s="66"/>
      <c r="AD2626" s="66"/>
      <c r="AE2626" s="66"/>
      <c r="AF2626" s="66"/>
      <c r="AG2626" s="66"/>
      <c r="AH2626" s="66"/>
      <c r="AI2626" s="66"/>
      <c r="AJ2626" s="66"/>
      <c r="AK2626" s="66"/>
      <c r="AL2626" s="66"/>
      <c r="AM2626" s="66"/>
      <c r="AN2626" s="66"/>
      <c r="AO2626" s="66"/>
      <c r="AP2626" s="66"/>
      <c r="AQ2626" s="66"/>
      <c r="AR2626" s="66"/>
      <c r="AS2626" s="66"/>
      <c r="AT2626" s="66"/>
      <c r="AU2626" s="66"/>
      <c r="AV2626" s="66"/>
      <c r="AW2626" s="66"/>
      <c r="AX2626" s="66"/>
      <c r="AY2626" s="66"/>
      <c r="AZ2626" s="66"/>
      <c r="BA2626" s="66"/>
      <c r="BB2626" s="66"/>
      <c r="BC2626" s="66"/>
      <c r="BD2626" s="66"/>
      <c r="BE2626" s="67"/>
      <c r="BF2626" s="67"/>
      <c r="BG2626" s="68"/>
      <c r="BI2626" s="69">
        <v>0</v>
      </c>
      <c r="BJ2626" s="70">
        <v>0</v>
      </c>
      <c r="BK2626" s="71">
        <v>0</v>
      </c>
      <c r="BL2626" s="71">
        <v>0</v>
      </c>
      <c r="BM2626" s="71">
        <v>0</v>
      </c>
      <c r="BN2626" s="72">
        <v>0</v>
      </c>
      <c r="BO2626" s="151" t="e">
        <f t="shared" ref="BO2626:BO2665" si="179">(BK2626+BL2626)/BJ2626</f>
        <v>#DIV/0!</v>
      </c>
      <c r="BP2626" s="151" t="e">
        <f t="shared" ref="BP2626:BP2665" si="180">BM2626/BJ2626</f>
        <v>#DIV/0!</v>
      </c>
      <c r="BQ2626" s="71">
        <v>0</v>
      </c>
      <c r="BR2626" s="71">
        <v>0</v>
      </c>
      <c r="BS2626" s="71">
        <v>0</v>
      </c>
      <c r="BT2626" s="72">
        <v>0</v>
      </c>
      <c r="BU2626" s="151" t="e">
        <f t="shared" si="176"/>
        <v>#DIV/0!</v>
      </c>
      <c r="BV2626" s="151" t="e">
        <f t="shared" si="177"/>
        <v>#DIV/0!</v>
      </c>
    </row>
    <row r="2627" ht="30" customHeight="1" spans="1:74">
      <c r="A2627" s="55">
        <v>0</v>
      </c>
      <c r="B2627" s="56" t="s">
        <v>1237</v>
      </c>
      <c r="C2627" s="57" t="s">
        <v>3341</v>
      </c>
      <c r="D2627" s="59" t="s">
        <v>3804</v>
      </c>
      <c r="E2627" s="59" t="s">
        <v>4015</v>
      </c>
      <c r="F2627" s="59" t="str">
        <f>VLOOKUP(E2627,[1]库存!$B$1:$C$65536,2,FALSE)</f>
        <v>9999315 IP32 导气袋</v>
      </c>
      <c r="G2627" s="59" t="s">
        <v>4016</v>
      </c>
      <c r="H2627" s="59" t="s">
        <v>4017</v>
      </c>
      <c r="I2627" s="59"/>
      <c r="J2627" s="82" t="s">
        <v>80</v>
      </c>
      <c r="K2627" s="61"/>
      <c r="L2627" s="62">
        <v>0.7</v>
      </c>
      <c r="M2627" s="63">
        <v>1000</v>
      </c>
      <c r="N2627" s="64">
        <v>2</v>
      </c>
      <c r="O2627" s="62">
        <v>0.7</v>
      </c>
      <c r="P2627" s="65">
        <f t="shared" si="178"/>
        <v>0</v>
      </c>
      <c r="Q2627" s="66"/>
      <c r="R2627" s="66"/>
      <c r="S2627" s="66"/>
      <c r="T2627" s="66"/>
      <c r="U2627" s="66"/>
      <c r="V2627" s="66"/>
      <c r="W2627" s="66"/>
      <c r="X2627" s="66"/>
      <c r="Y2627" s="66"/>
      <c r="Z2627" s="66"/>
      <c r="AA2627" s="66"/>
      <c r="AB2627" s="66"/>
      <c r="AC2627" s="66"/>
      <c r="AD2627" s="66"/>
      <c r="AE2627" s="66"/>
      <c r="AF2627" s="66"/>
      <c r="AG2627" s="66"/>
      <c r="AH2627" s="66"/>
      <c r="AI2627" s="66"/>
      <c r="AJ2627" s="66"/>
      <c r="AK2627" s="66"/>
      <c r="AL2627" s="66"/>
      <c r="AM2627" s="66"/>
      <c r="AN2627" s="66"/>
      <c r="AO2627" s="66"/>
      <c r="AP2627" s="66"/>
      <c r="AQ2627" s="66"/>
      <c r="AR2627" s="66"/>
      <c r="AS2627" s="66"/>
      <c r="AT2627" s="66"/>
      <c r="AU2627" s="66"/>
      <c r="AV2627" s="66"/>
      <c r="AW2627" s="66"/>
      <c r="AX2627" s="66"/>
      <c r="AY2627" s="66"/>
      <c r="AZ2627" s="66"/>
      <c r="BA2627" s="66"/>
      <c r="BB2627" s="66"/>
      <c r="BC2627" s="66"/>
      <c r="BD2627" s="66"/>
      <c r="BE2627" s="67"/>
      <c r="BF2627" s="67"/>
      <c r="BG2627" s="68"/>
      <c r="BI2627" s="69">
        <v>0</v>
      </c>
      <c r="BJ2627" s="70">
        <v>0</v>
      </c>
      <c r="BK2627" s="71">
        <v>0</v>
      </c>
      <c r="BL2627" s="71">
        <v>0</v>
      </c>
      <c r="BM2627" s="71">
        <v>0</v>
      </c>
      <c r="BN2627" s="72">
        <v>0</v>
      </c>
      <c r="BO2627" s="151" t="e">
        <f t="shared" si="179"/>
        <v>#DIV/0!</v>
      </c>
      <c r="BP2627" s="151" t="e">
        <f t="shared" si="180"/>
        <v>#DIV/0!</v>
      </c>
      <c r="BQ2627" s="71">
        <v>0</v>
      </c>
      <c r="BR2627" s="71">
        <v>0</v>
      </c>
      <c r="BS2627" s="71">
        <v>0</v>
      </c>
      <c r="BT2627" s="72">
        <v>0</v>
      </c>
      <c r="BU2627" s="151" t="e">
        <f t="shared" si="176"/>
        <v>#DIV/0!</v>
      </c>
      <c r="BV2627" s="151" t="e">
        <f t="shared" si="177"/>
        <v>#DIV/0!</v>
      </c>
    </row>
    <row r="2628" ht="30" customHeight="1" spans="1:74">
      <c r="A2628" s="55">
        <v>0</v>
      </c>
      <c r="B2628" s="56">
        <v>0</v>
      </c>
      <c r="C2628" s="57">
        <v>0</v>
      </c>
      <c r="D2628" s="74"/>
      <c r="E2628" s="74"/>
      <c r="F2628" s="59" t="e">
        <f>VLOOKUP(E2628,[1]库存!$B$1:$C$65536,2,FALSE)</f>
        <v>#N/A</v>
      </c>
      <c r="G2628" s="59" t="e">
        <v>#N/A</v>
      </c>
      <c r="H2628" s="74"/>
      <c r="I2628" s="74"/>
      <c r="J2628" s="83"/>
      <c r="K2628" s="61"/>
      <c r="L2628" s="62">
        <v>0</v>
      </c>
      <c r="M2628" s="63">
        <v>0</v>
      </c>
      <c r="N2628" s="64">
        <v>0</v>
      </c>
      <c r="O2628" s="62">
        <v>0</v>
      </c>
      <c r="P2628" s="65">
        <f t="shared" si="178"/>
        <v>0</v>
      </c>
      <c r="Q2628" s="66"/>
      <c r="R2628" s="66"/>
      <c r="S2628" s="66"/>
      <c r="T2628" s="66"/>
      <c r="U2628" s="66"/>
      <c r="V2628" s="66"/>
      <c r="W2628" s="66"/>
      <c r="X2628" s="66"/>
      <c r="Y2628" s="66"/>
      <c r="Z2628" s="66"/>
      <c r="AA2628" s="66"/>
      <c r="AB2628" s="66"/>
      <c r="AC2628" s="66"/>
      <c r="AD2628" s="66"/>
      <c r="AE2628" s="66"/>
      <c r="AF2628" s="66"/>
      <c r="AG2628" s="66"/>
      <c r="AH2628" s="66"/>
      <c r="AI2628" s="66"/>
      <c r="AJ2628" s="66"/>
      <c r="AK2628" s="66"/>
      <c r="AL2628" s="66"/>
      <c r="AM2628" s="66"/>
      <c r="AN2628" s="66"/>
      <c r="AO2628" s="66"/>
      <c r="AP2628" s="66"/>
      <c r="AQ2628" s="66"/>
      <c r="AR2628" s="66"/>
      <c r="AS2628" s="66"/>
      <c r="AT2628" s="66"/>
      <c r="AU2628" s="66"/>
      <c r="AV2628" s="66"/>
      <c r="AW2628" s="66"/>
      <c r="AX2628" s="66"/>
      <c r="AY2628" s="66"/>
      <c r="AZ2628" s="66"/>
      <c r="BA2628" s="66"/>
      <c r="BB2628" s="66"/>
      <c r="BC2628" s="66"/>
      <c r="BD2628" s="66"/>
      <c r="BE2628" s="67"/>
      <c r="BF2628" s="67"/>
      <c r="BG2628" s="68"/>
      <c r="BI2628" s="69">
        <v>0</v>
      </c>
      <c r="BJ2628" s="70">
        <v>0</v>
      </c>
      <c r="BK2628" s="71">
        <v>0</v>
      </c>
      <c r="BL2628" s="71">
        <v>0</v>
      </c>
      <c r="BM2628" s="71">
        <v>0</v>
      </c>
      <c r="BN2628" s="72">
        <v>0</v>
      </c>
      <c r="BO2628" s="151" t="e">
        <f t="shared" si="179"/>
        <v>#DIV/0!</v>
      </c>
      <c r="BP2628" s="151" t="e">
        <f t="shared" si="180"/>
        <v>#DIV/0!</v>
      </c>
      <c r="BQ2628" s="71">
        <v>0</v>
      </c>
      <c r="BR2628" s="71">
        <v>0</v>
      </c>
      <c r="BS2628" s="71">
        <v>0</v>
      </c>
      <c r="BT2628" s="72">
        <v>0</v>
      </c>
      <c r="BU2628" s="151" t="e">
        <f t="shared" ref="BU2628:BU2665" si="181">(BQ2628+BR2628)/BJ2628</f>
        <v>#DIV/0!</v>
      </c>
      <c r="BV2628" s="151" t="e">
        <f t="shared" ref="BV2628:BV2665" si="182">BS2628/BJ2628</f>
        <v>#DIV/0!</v>
      </c>
    </row>
    <row r="2629" ht="30" customHeight="1" spans="1:74">
      <c r="A2629" s="55" t="s">
        <v>96</v>
      </c>
      <c r="B2629" s="56" t="s">
        <v>1237</v>
      </c>
      <c r="C2629" s="57" t="s">
        <v>3341</v>
      </c>
      <c r="D2629" s="59" t="s">
        <v>4018</v>
      </c>
      <c r="E2629" s="59" t="s">
        <v>4019</v>
      </c>
      <c r="F2629" s="59" t="str">
        <f>VLOOKUP(E2629,[1]库存!$B$1:$C$65536,2,FALSE)</f>
        <v>9999315 IP32 CAB</v>
      </c>
      <c r="G2629" s="59" t="s">
        <v>4020</v>
      </c>
      <c r="H2629" s="59" t="s">
        <v>4021</v>
      </c>
      <c r="I2629" s="59" t="s">
        <v>4022</v>
      </c>
      <c r="J2629" s="82" t="s">
        <v>80</v>
      </c>
      <c r="K2629" s="61"/>
      <c r="L2629" s="62">
        <v>1</v>
      </c>
      <c r="M2629" s="63">
        <v>250</v>
      </c>
      <c r="N2629" s="64">
        <v>2</v>
      </c>
      <c r="O2629" s="62">
        <v>1</v>
      </c>
      <c r="P2629" s="65">
        <f t="shared" si="178"/>
        <v>0</v>
      </c>
      <c r="Q2629" s="66"/>
      <c r="R2629" s="66"/>
      <c r="S2629" s="66"/>
      <c r="T2629" s="66"/>
      <c r="U2629" s="66"/>
      <c r="V2629" s="66"/>
      <c r="W2629" s="66"/>
      <c r="X2629" s="66"/>
      <c r="Y2629" s="66"/>
      <c r="Z2629" s="66"/>
      <c r="AA2629" s="66"/>
      <c r="AB2629" s="66"/>
      <c r="AC2629" s="66"/>
      <c r="AD2629" s="66"/>
      <c r="AE2629" s="66"/>
      <c r="AF2629" s="66"/>
      <c r="AG2629" s="66"/>
      <c r="AH2629" s="66"/>
      <c r="AI2629" s="66"/>
      <c r="AJ2629" s="66"/>
      <c r="AK2629" s="66"/>
      <c r="AL2629" s="66"/>
      <c r="AM2629" s="66"/>
      <c r="AN2629" s="66"/>
      <c r="AO2629" s="66"/>
      <c r="AP2629" s="66"/>
      <c r="AQ2629" s="66"/>
      <c r="AR2629" s="66"/>
      <c r="AS2629" s="66"/>
      <c r="AT2629" s="66"/>
      <c r="AU2629" s="66"/>
      <c r="AV2629" s="66"/>
      <c r="AW2629" s="66"/>
      <c r="AX2629" s="66"/>
      <c r="AY2629" s="66"/>
      <c r="AZ2629" s="66"/>
      <c r="BA2629" s="66"/>
      <c r="BB2629" s="66"/>
      <c r="BC2629" s="66"/>
      <c r="BD2629" s="66"/>
      <c r="BE2629" s="67"/>
      <c r="BF2629" s="67"/>
      <c r="BG2629" s="68"/>
      <c r="BI2629" s="69">
        <v>0</v>
      </c>
      <c r="BJ2629" s="70">
        <v>0</v>
      </c>
      <c r="BK2629" s="71">
        <v>0</v>
      </c>
      <c r="BL2629" s="71">
        <v>0</v>
      </c>
      <c r="BM2629" s="71">
        <v>0</v>
      </c>
      <c r="BN2629" s="72">
        <v>0</v>
      </c>
      <c r="BO2629" s="151" t="e">
        <f t="shared" si="179"/>
        <v>#DIV/0!</v>
      </c>
      <c r="BP2629" s="151" t="e">
        <f t="shared" si="180"/>
        <v>#DIV/0!</v>
      </c>
      <c r="BQ2629" s="71">
        <v>0</v>
      </c>
      <c r="BR2629" s="71">
        <v>0</v>
      </c>
      <c r="BS2629" s="71">
        <v>0</v>
      </c>
      <c r="BT2629" s="72">
        <v>0</v>
      </c>
      <c r="BU2629" s="151" t="e">
        <f t="shared" si="181"/>
        <v>#DIV/0!</v>
      </c>
      <c r="BV2629" s="151" t="e">
        <f t="shared" si="182"/>
        <v>#DIV/0!</v>
      </c>
    </row>
    <row r="2630" ht="30" customHeight="1" spans="1:74">
      <c r="A2630" s="55">
        <v>0</v>
      </c>
      <c r="B2630" s="56">
        <v>0</v>
      </c>
      <c r="C2630" s="57">
        <v>0</v>
      </c>
      <c r="D2630" s="74"/>
      <c r="E2630" s="74"/>
      <c r="F2630" s="59" t="e">
        <f>VLOOKUP(E2630,[1]库存!$B$1:$C$65536,2,FALSE)</f>
        <v>#N/A</v>
      </c>
      <c r="G2630" s="59" t="e">
        <v>#N/A</v>
      </c>
      <c r="H2630" s="74"/>
      <c r="I2630" s="74"/>
      <c r="J2630" s="83"/>
      <c r="K2630" s="61"/>
      <c r="L2630" s="62">
        <v>0</v>
      </c>
      <c r="M2630" s="63">
        <v>0</v>
      </c>
      <c r="N2630" s="64">
        <v>0</v>
      </c>
      <c r="O2630" s="62">
        <v>0</v>
      </c>
      <c r="P2630" s="65">
        <f t="shared" ref="P2630:P2665" si="183">SUM(AG2630:AJ2630)</f>
        <v>0</v>
      </c>
      <c r="Q2630" s="66"/>
      <c r="R2630" s="66"/>
      <c r="S2630" s="66"/>
      <c r="T2630" s="66"/>
      <c r="U2630" s="66"/>
      <c r="V2630" s="66"/>
      <c r="W2630" s="66"/>
      <c r="X2630" s="66"/>
      <c r="Y2630" s="66"/>
      <c r="Z2630" s="66"/>
      <c r="AA2630" s="66"/>
      <c r="AB2630" s="66"/>
      <c r="AC2630" s="66"/>
      <c r="AD2630" s="66"/>
      <c r="AE2630" s="66"/>
      <c r="AF2630" s="66"/>
      <c r="AG2630" s="66"/>
      <c r="AH2630" s="66"/>
      <c r="AI2630" s="66"/>
      <c r="AJ2630" s="66"/>
      <c r="AK2630" s="66"/>
      <c r="AL2630" s="66"/>
      <c r="AM2630" s="66"/>
      <c r="AN2630" s="66"/>
      <c r="AO2630" s="66"/>
      <c r="AP2630" s="66"/>
      <c r="AQ2630" s="66"/>
      <c r="AR2630" s="66"/>
      <c r="AS2630" s="66"/>
      <c r="AT2630" s="66"/>
      <c r="AU2630" s="66"/>
      <c r="AV2630" s="66"/>
      <c r="AW2630" s="66"/>
      <c r="AX2630" s="66"/>
      <c r="AY2630" s="66"/>
      <c r="AZ2630" s="66"/>
      <c r="BA2630" s="66"/>
      <c r="BB2630" s="66"/>
      <c r="BC2630" s="66"/>
      <c r="BD2630" s="66"/>
      <c r="BE2630" s="67"/>
      <c r="BF2630" s="67"/>
      <c r="BG2630" s="68"/>
      <c r="BI2630" s="69">
        <v>0</v>
      </c>
      <c r="BJ2630" s="70">
        <v>0</v>
      </c>
      <c r="BK2630" s="71">
        <v>0</v>
      </c>
      <c r="BL2630" s="71">
        <v>0</v>
      </c>
      <c r="BM2630" s="71">
        <v>0</v>
      </c>
      <c r="BN2630" s="72">
        <v>0</v>
      </c>
      <c r="BO2630" s="151" t="e">
        <f t="shared" si="179"/>
        <v>#DIV/0!</v>
      </c>
      <c r="BP2630" s="151" t="e">
        <f t="shared" si="180"/>
        <v>#DIV/0!</v>
      </c>
      <c r="BQ2630" s="71">
        <v>0</v>
      </c>
      <c r="BR2630" s="71">
        <v>0</v>
      </c>
      <c r="BS2630" s="71">
        <v>0</v>
      </c>
      <c r="BT2630" s="72">
        <v>0</v>
      </c>
      <c r="BU2630" s="151" t="e">
        <f t="shared" si="181"/>
        <v>#DIV/0!</v>
      </c>
      <c r="BV2630" s="151" t="e">
        <f t="shared" si="182"/>
        <v>#DIV/0!</v>
      </c>
    </row>
    <row r="2631" ht="30" customHeight="1" spans="1:74">
      <c r="A2631" s="55" t="s">
        <v>96</v>
      </c>
      <c r="B2631" s="56" t="s">
        <v>1237</v>
      </c>
      <c r="C2631" s="57" t="s">
        <v>3341</v>
      </c>
      <c r="D2631" s="141" t="s">
        <v>4018</v>
      </c>
      <c r="E2631" s="59" t="s">
        <v>3809</v>
      </c>
      <c r="F2631" s="59" t="str">
        <f>VLOOKUP(E2631,[1]库存!$B$1:$C$65536,2,FALSE)</f>
        <v>SAIC ZS11 CAB</v>
      </c>
      <c r="G2631" s="59" t="s">
        <v>3810</v>
      </c>
      <c r="H2631" s="59" t="s">
        <v>3811</v>
      </c>
      <c r="I2631" s="113" t="s">
        <v>4023</v>
      </c>
      <c r="J2631" s="117"/>
      <c r="K2631" s="61"/>
      <c r="L2631" s="62">
        <v>1</v>
      </c>
      <c r="M2631" s="63">
        <v>260</v>
      </c>
      <c r="N2631" s="64">
        <v>2</v>
      </c>
      <c r="O2631" s="62">
        <v>1</v>
      </c>
      <c r="P2631" s="65">
        <f t="shared" si="183"/>
        <v>0</v>
      </c>
      <c r="Q2631" s="66"/>
      <c r="R2631" s="66"/>
      <c r="S2631" s="66"/>
      <c r="T2631" s="66"/>
      <c r="U2631" s="66"/>
      <c r="V2631" s="66"/>
      <c r="W2631" s="66"/>
      <c r="X2631" s="66"/>
      <c r="Y2631" s="66"/>
      <c r="Z2631" s="66"/>
      <c r="AA2631" s="66"/>
      <c r="AB2631" s="66"/>
      <c r="AC2631" s="66"/>
      <c r="AD2631" s="66"/>
      <c r="AE2631" s="66"/>
      <c r="AF2631" s="66"/>
      <c r="AG2631" s="66"/>
      <c r="AH2631" s="66"/>
      <c r="AI2631" s="66"/>
      <c r="AJ2631" s="66"/>
      <c r="AK2631" s="66"/>
      <c r="AL2631" s="66"/>
      <c r="AM2631" s="66"/>
      <c r="AN2631" s="66"/>
      <c r="AO2631" s="66"/>
      <c r="AP2631" s="66"/>
      <c r="AQ2631" s="66"/>
      <c r="AR2631" s="66"/>
      <c r="AS2631" s="66"/>
      <c r="AT2631" s="66"/>
      <c r="AU2631" s="66"/>
      <c r="AV2631" s="66"/>
      <c r="AW2631" s="66"/>
      <c r="AX2631" s="66"/>
      <c r="AY2631" s="66"/>
      <c r="AZ2631" s="66"/>
      <c r="BA2631" s="66"/>
      <c r="BB2631" s="66"/>
      <c r="BC2631" s="66"/>
      <c r="BD2631" s="66"/>
      <c r="BE2631" s="67"/>
      <c r="BF2631" s="67"/>
      <c r="BG2631" s="68"/>
      <c r="BI2631" s="69">
        <v>0</v>
      </c>
      <c r="BJ2631" s="70">
        <v>0</v>
      </c>
      <c r="BK2631" s="71">
        <v>0</v>
      </c>
      <c r="BL2631" s="71">
        <v>0</v>
      </c>
      <c r="BM2631" s="71">
        <v>0</v>
      </c>
      <c r="BN2631" s="72">
        <v>0</v>
      </c>
      <c r="BO2631" s="151" t="e">
        <f t="shared" si="179"/>
        <v>#DIV/0!</v>
      </c>
      <c r="BP2631" s="151" t="e">
        <f t="shared" si="180"/>
        <v>#DIV/0!</v>
      </c>
      <c r="BQ2631" s="71">
        <v>0</v>
      </c>
      <c r="BR2631" s="71">
        <v>0</v>
      </c>
      <c r="BS2631" s="71">
        <v>0</v>
      </c>
      <c r="BT2631" s="72">
        <v>0</v>
      </c>
      <c r="BU2631" s="151" t="e">
        <f t="shared" si="181"/>
        <v>#DIV/0!</v>
      </c>
      <c r="BV2631" s="151" t="e">
        <f t="shared" si="182"/>
        <v>#DIV/0!</v>
      </c>
    </row>
    <row r="2632" ht="30" customHeight="1" spans="1:74">
      <c r="A2632" s="55">
        <v>0</v>
      </c>
      <c r="B2632" s="56">
        <v>0</v>
      </c>
      <c r="C2632" s="57">
        <v>0</v>
      </c>
      <c r="D2632" s="161"/>
      <c r="E2632" s="74"/>
      <c r="F2632" s="59" t="e">
        <f>VLOOKUP(E2632,[1]库存!$B$1:$C$65536,2,FALSE)</f>
        <v>#N/A</v>
      </c>
      <c r="G2632" s="59" t="e">
        <v>#N/A</v>
      </c>
      <c r="H2632" s="74"/>
      <c r="I2632" s="127"/>
      <c r="J2632" s="162"/>
      <c r="K2632" s="61"/>
      <c r="L2632" s="62">
        <v>0</v>
      </c>
      <c r="M2632" s="63">
        <v>0</v>
      </c>
      <c r="N2632" s="64">
        <v>0</v>
      </c>
      <c r="O2632" s="62">
        <v>0</v>
      </c>
      <c r="P2632" s="65">
        <f t="shared" si="183"/>
        <v>0</v>
      </c>
      <c r="Q2632" s="66"/>
      <c r="R2632" s="66"/>
      <c r="S2632" s="66"/>
      <c r="T2632" s="66"/>
      <c r="U2632" s="66"/>
      <c r="V2632" s="66"/>
      <c r="W2632" s="66"/>
      <c r="X2632" s="66"/>
      <c r="Y2632" s="66"/>
      <c r="Z2632" s="66"/>
      <c r="AA2632" s="66"/>
      <c r="AB2632" s="66"/>
      <c r="AC2632" s="66"/>
      <c r="AD2632" s="66"/>
      <c r="AE2632" s="66"/>
      <c r="AF2632" s="66"/>
      <c r="AG2632" s="66"/>
      <c r="AH2632" s="66"/>
      <c r="AI2632" s="66"/>
      <c r="AJ2632" s="66"/>
      <c r="AK2632" s="66"/>
      <c r="AL2632" s="66"/>
      <c r="AM2632" s="66"/>
      <c r="AN2632" s="66"/>
      <c r="AO2632" s="66"/>
      <c r="AP2632" s="66"/>
      <c r="AQ2632" s="66"/>
      <c r="AR2632" s="66"/>
      <c r="AS2632" s="66"/>
      <c r="AT2632" s="66"/>
      <c r="AU2632" s="66"/>
      <c r="AV2632" s="66"/>
      <c r="AW2632" s="66"/>
      <c r="AX2632" s="66"/>
      <c r="AY2632" s="66"/>
      <c r="AZ2632" s="66"/>
      <c r="BA2632" s="66"/>
      <c r="BB2632" s="66"/>
      <c r="BC2632" s="66"/>
      <c r="BD2632" s="66"/>
      <c r="BE2632" s="67"/>
      <c r="BF2632" s="67"/>
      <c r="BG2632" s="68"/>
      <c r="BI2632" s="69">
        <v>0</v>
      </c>
      <c r="BJ2632" s="70">
        <v>0</v>
      </c>
      <c r="BK2632" s="71">
        <v>0</v>
      </c>
      <c r="BL2632" s="71">
        <v>0</v>
      </c>
      <c r="BM2632" s="71">
        <v>0</v>
      </c>
      <c r="BN2632" s="72">
        <v>0</v>
      </c>
      <c r="BO2632" s="151" t="e">
        <f t="shared" si="179"/>
        <v>#DIV/0!</v>
      </c>
      <c r="BP2632" s="151" t="e">
        <f t="shared" si="180"/>
        <v>#DIV/0!</v>
      </c>
      <c r="BQ2632" s="71">
        <v>0</v>
      </c>
      <c r="BR2632" s="71">
        <v>0</v>
      </c>
      <c r="BS2632" s="71">
        <v>0</v>
      </c>
      <c r="BT2632" s="72">
        <v>0</v>
      </c>
      <c r="BU2632" s="151" t="e">
        <f t="shared" si="181"/>
        <v>#DIV/0!</v>
      </c>
      <c r="BV2632" s="151" t="e">
        <f t="shared" si="182"/>
        <v>#DIV/0!</v>
      </c>
    </row>
    <row r="2633" ht="30" customHeight="1" spans="1:74">
      <c r="A2633" s="55">
        <v>0</v>
      </c>
      <c r="B2633" s="56">
        <v>0</v>
      </c>
      <c r="C2633" s="57">
        <v>0</v>
      </c>
      <c r="D2633" s="106"/>
      <c r="E2633" s="88"/>
      <c r="F2633" s="59" t="e">
        <f>VLOOKUP(E2633,[1]库存!$B$1:$C$65536,2,FALSE)</f>
        <v>#N/A</v>
      </c>
      <c r="G2633" s="59" t="e">
        <v>#N/A</v>
      </c>
      <c r="H2633" s="89"/>
      <c r="I2633" s="107"/>
      <c r="J2633" s="288"/>
      <c r="K2633" s="61"/>
      <c r="L2633" s="62">
        <v>0</v>
      </c>
      <c r="M2633" s="63">
        <v>0</v>
      </c>
      <c r="N2633" s="64">
        <v>0</v>
      </c>
      <c r="O2633" s="62">
        <v>0</v>
      </c>
      <c r="P2633" s="65">
        <f t="shared" si="183"/>
        <v>0</v>
      </c>
      <c r="Q2633" s="66"/>
      <c r="R2633" s="66"/>
      <c r="S2633" s="66"/>
      <c r="T2633" s="66"/>
      <c r="U2633" s="66"/>
      <c r="V2633" s="66"/>
      <c r="W2633" s="66"/>
      <c r="X2633" s="66"/>
      <c r="Y2633" s="66"/>
      <c r="Z2633" s="66"/>
      <c r="AA2633" s="66"/>
      <c r="AB2633" s="66"/>
      <c r="AC2633" s="66"/>
      <c r="AD2633" s="66"/>
      <c r="AE2633" s="66"/>
      <c r="AF2633" s="66"/>
      <c r="AG2633" s="66"/>
      <c r="AH2633" s="66"/>
      <c r="AI2633" s="66"/>
      <c r="AJ2633" s="66"/>
      <c r="AK2633" s="66"/>
      <c r="AL2633" s="66"/>
      <c r="AM2633" s="66"/>
      <c r="AN2633" s="66"/>
      <c r="AO2633" s="66"/>
      <c r="AP2633" s="66"/>
      <c r="AQ2633" s="66"/>
      <c r="AR2633" s="66"/>
      <c r="AS2633" s="66"/>
      <c r="AT2633" s="66"/>
      <c r="AU2633" s="66"/>
      <c r="AV2633" s="66"/>
      <c r="AW2633" s="66"/>
      <c r="AX2633" s="66"/>
      <c r="AY2633" s="66"/>
      <c r="AZ2633" s="66"/>
      <c r="BA2633" s="66"/>
      <c r="BB2633" s="66"/>
      <c r="BC2633" s="66"/>
      <c r="BD2633" s="66"/>
      <c r="BE2633" s="67"/>
      <c r="BF2633" s="67"/>
      <c r="BG2633" s="68"/>
      <c r="BI2633" s="69">
        <v>0</v>
      </c>
      <c r="BJ2633" s="70">
        <v>0</v>
      </c>
      <c r="BK2633" s="71">
        <v>0</v>
      </c>
      <c r="BL2633" s="71">
        <v>0</v>
      </c>
      <c r="BM2633" s="71">
        <v>0</v>
      </c>
      <c r="BN2633" s="72">
        <v>0</v>
      </c>
      <c r="BO2633" s="151" t="e">
        <f t="shared" si="179"/>
        <v>#DIV/0!</v>
      </c>
      <c r="BP2633" s="151" t="e">
        <f t="shared" si="180"/>
        <v>#DIV/0!</v>
      </c>
      <c r="BQ2633" s="71">
        <v>0</v>
      </c>
      <c r="BR2633" s="71">
        <v>0</v>
      </c>
      <c r="BS2633" s="71">
        <v>0</v>
      </c>
      <c r="BT2633" s="72">
        <v>0</v>
      </c>
      <c r="BU2633" s="151" t="e">
        <f t="shared" si="181"/>
        <v>#DIV/0!</v>
      </c>
      <c r="BV2633" s="151" t="e">
        <f t="shared" si="182"/>
        <v>#DIV/0!</v>
      </c>
    </row>
    <row r="2634" ht="30" customHeight="1" spans="1:74">
      <c r="A2634" s="55">
        <v>0</v>
      </c>
      <c r="B2634" s="56" t="s">
        <v>1237</v>
      </c>
      <c r="C2634" s="57" t="s">
        <v>3341</v>
      </c>
      <c r="D2634" s="59" t="s">
        <v>3697</v>
      </c>
      <c r="E2634" s="59" t="s">
        <v>4024</v>
      </c>
      <c r="F2634" s="59" t="str">
        <f>VLOOKUP(E2634,[1]库存!$B$1:$C$65536,2,FALSE)</f>
        <v>INEOS CAB导气袋</v>
      </c>
      <c r="G2634" s="59" t="s">
        <v>4025</v>
      </c>
      <c r="H2634" s="59" t="s">
        <v>4026</v>
      </c>
      <c r="I2634" s="59"/>
      <c r="J2634" s="63"/>
      <c r="K2634" s="61"/>
      <c r="L2634" s="62">
        <v>0</v>
      </c>
      <c r="M2634" s="63">
        <v>1000</v>
      </c>
      <c r="N2634" s="64">
        <v>3</v>
      </c>
      <c r="O2634" s="62">
        <v>0</v>
      </c>
      <c r="P2634" s="65">
        <f t="shared" si="183"/>
        <v>0</v>
      </c>
      <c r="Q2634" s="66"/>
      <c r="R2634" s="66"/>
      <c r="S2634" s="66"/>
      <c r="T2634" s="66"/>
      <c r="U2634" s="66"/>
      <c r="V2634" s="66"/>
      <c r="W2634" s="66"/>
      <c r="X2634" s="66"/>
      <c r="Y2634" s="66"/>
      <c r="Z2634" s="66"/>
      <c r="AA2634" s="66"/>
      <c r="AB2634" s="66"/>
      <c r="AC2634" s="66"/>
      <c r="AD2634" s="66"/>
      <c r="AE2634" s="66"/>
      <c r="AF2634" s="66"/>
      <c r="AG2634" s="66"/>
      <c r="AH2634" s="66"/>
      <c r="AI2634" s="66"/>
      <c r="AJ2634" s="66"/>
      <c r="AK2634" s="66"/>
      <c r="AL2634" s="66"/>
      <c r="AM2634" s="66"/>
      <c r="AN2634" s="66"/>
      <c r="AO2634" s="66"/>
      <c r="AP2634" s="66"/>
      <c r="AQ2634" s="66"/>
      <c r="AR2634" s="66"/>
      <c r="AS2634" s="66"/>
      <c r="AT2634" s="66"/>
      <c r="AU2634" s="66"/>
      <c r="AV2634" s="66"/>
      <c r="AW2634" s="66"/>
      <c r="AX2634" s="66"/>
      <c r="AY2634" s="66"/>
      <c r="AZ2634" s="66"/>
      <c r="BA2634" s="66"/>
      <c r="BB2634" s="66"/>
      <c r="BC2634" s="66"/>
      <c r="BD2634" s="66"/>
      <c r="BE2634" s="67"/>
      <c r="BF2634" s="67"/>
      <c r="BG2634" s="68"/>
      <c r="BI2634" s="69">
        <v>0</v>
      </c>
      <c r="BJ2634" s="70">
        <v>0</v>
      </c>
      <c r="BK2634" s="71">
        <v>0</v>
      </c>
      <c r="BL2634" s="71">
        <v>0</v>
      </c>
      <c r="BM2634" s="71">
        <v>0</v>
      </c>
      <c r="BN2634" s="72">
        <v>0</v>
      </c>
      <c r="BO2634" s="151" t="e">
        <f t="shared" si="179"/>
        <v>#DIV/0!</v>
      </c>
      <c r="BP2634" s="151" t="e">
        <f t="shared" si="180"/>
        <v>#DIV/0!</v>
      </c>
      <c r="BQ2634" s="71">
        <v>0</v>
      </c>
      <c r="BR2634" s="71">
        <v>0</v>
      </c>
      <c r="BS2634" s="71">
        <v>0</v>
      </c>
      <c r="BT2634" s="72">
        <v>0</v>
      </c>
      <c r="BU2634" s="151" t="e">
        <f t="shared" si="181"/>
        <v>#DIV/0!</v>
      </c>
      <c r="BV2634" s="151" t="e">
        <f t="shared" si="182"/>
        <v>#DIV/0!</v>
      </c>
    </row>
    <row r="2635" ht="30" customHeight="1" spans="1:74">
      <c r="A2635" s="55">
        <v>0</v>
      </c>
      <c r="B2635" s="56">
        <v>0</v>
      </c>
      <c r="C2635" s="57">
        <v>0</v>
      </c>
      <c r="D2635" s="74"/>
      <c r="E2635" s="74"/>
      <c r="F2635" s="59" t="e">
        <f>VLOOKUP(E2635,[1]库存!$B$1:$C$65536,2,FALSE)</f>
        <v>#N/A</v>
      </c>
      <c r="G2635" s="59" t="e">
        <v>#N/A</v>
      </c>
      <c r="H2635" s="74"/>
      <c r="I2635" s="74"/>
      <c r="J2635" s="87"/>
      <c r="K2635" s="61"/>
      <c r="L2635" s="62">
        <v>0</v>
      </c>
      <c r="M2635" s="63">
        <v>0</v>
      </c>
      <c r="N2635" s="64">
        <v>0</v>
      </c>
      <c r="O2635" s="62">
        <v>0</v>
      </c>
      <c r="P2635" s="65">
        <f t="shared" si="183"/>
        <v>0</v>
      </c>
      <c r="Q2635" s="66"/>
      <c r="R2635" s="66"/>
      <c r="S2635" s="66"/>
      <c r="T2635" s="66"/>
      <c r="U2635" s="66"/>
      <c r="V2635" s="66"/>
      <c r="W2635" s="66"/>
      <c r="X2635" s="66"/>
      <c r="Y2635" s="66"/>
      <c r="Z2635" s="66"/>
      <c r="AA2635" s="66"/>
      <c r="AB2635" s="66"/>
      <c r="AC2635" s="66"/>
      <c r="AD2635" s="66"/>
      <c r="AE2635" s="66"/>
      <c r="AF2635" s="66"/>
      <c r="AG2635" s="66"/>
      <c r="AH2635" s="66"/>
      <c r="AI2635" s="66"/>
      <c r="AJ2635" s="66"/>
      <c r="AK2635" s="66"/>
      <c r="AL2635" s="66"/>
      <c r="AM2635" s="66"/>
      <c r="AN2635" s="66"/>
      <c r="AO2635" s="66"/>
      <c r="AP2635" s="66"/>
      <c r="AQ2635" s="66"/>
      <c r="AR2635" s="66"/>
      <c r="AS2635" s="66"/>
      <c r="AT2635" s="66"/>
      <c r="AU2635" s="66"/>
      <c r="AV2635" s="66"/>
      <c r="AW2635" s="66"/>
      <c r="AX2635" s="66"/>
      <c r="AY2635" s="66"/>
      <c r="AZ2635" s="66"/>
      <c r="BA2635" s="66"/>
      <c r="BB2635" s="66"/>
      <c r="BC2635" s="66"/>
      <c r="BD2635" s="66"/>
      <c r="BE2635" s="67"/>
      <c r="BF2635" s="67"/>
      <c r="BG2635" s="68"/>
      <c r="BI2635" s="69">
        <v>0</v>
      </c>
      <c r="BJ2635" s="70">
        <v>0</v>
      </c>
      <c r="BK2635" s="71">
        <v>0</v>
      </c>
      <c r="BL2635" s="71">
        <v>0</v>
      </c>
      <c r="BM2635" s="71">
        <v>0</v>
      </c>
      <c r="BN2635" s="72">
        <v>0</v>
      </c>
      <c r="BO2635" s="151" t="e">
        <f t="shared" si="179"/>
        <v>#DIV/0!</v>
      </c>
      <c r="BP2635" s="151" t="e">
        <f t="shared" si="180"/>
        <v>#DIV/0!</v>
      </c>
      <c r="BQ2635" s="71">
        <v>0</v>
      </c>
      <c r="BR2635" s="71">
        <v>0</v>
      </c>
      <c r="BS2635" s="71">
        <v>0</v>
      </c>
      <c r="BT2635" s="72">
        <v>0</v>
      </c>
      <c r="BU2635" s="151" t="e">
        <f t="shared" si="181"/>
        <v>#DIV/0!</v>
      </c>
      <c r="BV2635" s="151" t="e">
        <f t="shared" si="182"/>
        <v>#DIV/0!</v>
      </c>
    </row>
    <row r="2636" ht="30" customHeight="1" spans="1:74">
      <c r="A2636" s="55" t="s">
        <v>96</v>
      </c>
      <c r="B2636" s="56" t="s">
        <v>1237</v>
      </c>
      <c r="C2636" s="57" t="s">
        <v>3341</v>
      </c>
      <c r="D2636" s="59" t="s">
        <v>4027</v>
      </c>
      <c r="E2636" s="59" t="s">
        <v>4028</v>
      </c>
      <c r="F2636" s="59" t="str">
        <f>VLOOKUP(E2636,[1]库存!$B$1:$C$65536,2,FALSE)</f>
        <v>INEOS CAB LH</v>
      </c>
      <c r="G2636" s="59" t="s">
        <v>4029</v>
      </c>
      <c r="H2636" s="59" t="s">
        <v>4030</v>
      </c>
      <c r="I2636" s="59" t="s">
        <v>4031</v>
      </c>
      <c r="J2636" s="63"/>
      <c r="K2636" s="61"/>
      <c r="L2636" s="62">
        <v>2</v>
      </c>
      <c r="M2636" s="63">
        <v>200</v>
      </c>
      <c r="N2636" s="64">
        <v>2</v>
      </c>
      <c r="O2636" s="62">
        <v>2</v>
      </c>
      <c r="P2636" s="65">
        <f t="shared" si="183"/>
        <v>0</v>
      </c>
      <c r="Q2636" s="66"/>
      <c r="R2636" s="66"/>
      <c r="S2636" s="66"/>
      <c r="T2636" s="66"/>
      <c r="U2636" s="66"/>
      <c r="V2636" s="66"/>
      <c r="W2636" s="66"/>
      <c r="X2636" s="66"/>
      <c r="Y2636" s="66"/>
      <c r="Z2636" s="66"/>
      <c r="AA2636" s="66"/>
      <c r="AB2636" s="66"/>
      <c r="AC2636" s="66"/>
      <c r="AD2636" s="66"/>
      <c r="AE2636" s="66"/>
      <c r="AF2636" s="66"/>
      <c r="AG2636" s="66"/>
      <c r="AH2636" s="66"/>
      <c r="AI2636" s="66"/>
      <c r="AJ2636" s="66"/>
      <c r="AK2636" s="66"/>
      <c r="AL2636" s="66"/>
      <c r="AM2636" s="66"/>
      <c r="AN2636" s="66"/>
      <c r="AO2636" s="66"/>
      <c r="AP2636" s="66"/>
      <c r="AQ2636" s="66"/>
      <c r="AR2636" s="66"/>
      <c r="AS2636" s="66"/>
      <c r="AT2636" s="66"/>
      <c r="AU2636" s="66"/>
      <c r="AV2636" s="66"/>
      <c r="AW2636" s="66"/>
      <c r="AX2636" s="66"/>
      <c r="AY2636" s="66"/>
      <c r="AZ2636" s="66"/>
      <c r="BA2636" s="66"/>
      <c r="BB2636" s="66"/>
      <c r="BC2636" s="66"/>
      <c r="BD2636" s="66"/>
      <c r="BE2636" s="67"/>
      <c r="BF2636" s="67"/>
      <c r="BG2636" s="68"/>
      <c r="BI2636" s="69">
        <v>0</v>
      </c>
      <c r="BJ2636" s="70">
        <v>0</v>
      </c>
      <c r="BK2636" s="71">
        <v>0</v>
      </c>
      <c r="BL2636" s="71">
        <v>0</v>
      </c>
      <c r="BM2636" s="71">
        <v>0</v>
      </c>
      <c r="BN2636" s="72">
        <v>0</v>
      </c>
      <c r="BO2636" s="151" t="e">
        <f t="shared" si="179"/>
        <v>#DIV/0!</v>
      </c>
      <c r="BP2636" s="151" t="e">
        <f t="shared" si="180"/>
        <v>#DIV/0!</v>
      </c>
      <c r="BQ2636" s="71">
        <v>0</v>
      </c>
      <c r="BR2636" s="71">
        <v>0</v>
      </c>
      <c r="BS2636" s="71">
        <v>0</v>
      </c>
      <c r="BT2636" s="72">
        <v>0</v>
      </c>
      <c r="BU2636" s="151" t="e">
        <f t="shared" si="181"/>
        <v>#DIV/0!</v>
      </c>
      <c r="BV2636" s="151" t="e">
        <f t="shared" si="182"/>
        <v>#DIV/0!</v>
      </c>
    </row>
    <row r="2637" ht="30" customHeight="1" spans="1:74">
      <c r="A2637" s="55">
        <v>0</v>
      </c>
      <c r="B2637" s="56">
        <v>0</v>
      </c>
      <c r="C2637" s="57">
        <v>0</v>
      </c>
      <c r="D2637" s="74"/>
      <c r="E2637" s="74"/>
      <c r="F2637" s="59" t="e">
        <f>VLOOKUP(E2637,[1]库存!$B$1:$C$65536,2,FALSE)</f>
        <v>#N/A</v>
      </c>
      <c r="G2637" s="59" t="e">
        <v>#N/A</v>
      </c>
      <c r="H2637" s="74"/>
      <c r="I2637" s="74"/>
      <c r="J2637" s="87"/>
      <c r="K2637" s="61"/>
      <c r="L2637" s="62">
        <v>0</v>
      </c>
      <c r="M2637" s="63">
        <v>0</v>
      </c>
      <c r="N2637" s="64">
        <v>0</v>
      </c>
      <c r="O2637" s="62">
        <v>0</v>
      </c>
      <c r="P2637" s="65">
        <f t="shared" si="183"/>
        <v>0</v>
      </c>
      <c r="Q2637" s="66"/>
      <c r="R2637" s="66"/>
      <c r="S2637" s="66"/>
      <c r="T2637" s="66"/>
      <c r="U2637" s="66"/>
      <c r="V2637" s="66"/>
      <c r="W2637" s="66"/>
      <c r="X2637" s="66"/>
      <c r="Y2637" s="66"/>
      <c r="Z2637" s="66"/>
      <c r="AA2637" s="66"/>
      <c r="AB2637" s="66"/>
      <c r="AC2637" s="66"/>
      <c r="AD2637" s="66"/>
      <c r="AE2637" s="66"/>
      <c r="AF2637" s="66"/>
      <c r="AG2637" s="66"/>
      <c r="AH2637" s="66"/>
      <c r="AI2637" s="66"/>
      <c r="AJ2637" s="66"/>
      <c r="AK2637" s="66"/>
      <c r="AL2637" s="66"/>
      <c r="AM2637" s="66"/>
      <c r="AN2637" s="66"/>
      <c r="AO2637" s="66"/>
      <c r="AP2637" s="66"/>
      <c r="AQ2637" s="66"/>
      <c r="AR2637" s="66"/>
      <c r="AS2637" s="66"/>
      <c r="AT2637" s="66"/>
      <c r="AU2637" s="66"/>
      <c r="AV2637" s="66"/>
      <c r="AW2637" s="66"/>
      <c r="AX2637" s="66"/>
      <c r="AY2637" s="66"/>
      <c r="AZ2637" s="66"/>
      <c r="BA2637" s="66"/>
      <c r="BB2637" s="66"/>
      <c r="BC2637" s="66"/>
      <c r="BD2637" s="66"/>
      <c r="BE2637" s="67"/>
      <c r="BF2637" s="67"/>
      <c r="BG2637" s="68"/>
      <c r="BI2637" s="69">
        <v>0</v>
      </c>
      <c r="BJ2637" s="70">
        <v>0</v>
      </c>
      <c r="BK2637" s="71">
        <v>0</v>
      </c>
      <c r="BL2637" s="71">
        <v>0</v>
      </c>
      <c r="BM2637" s="71">
        <v>0</v>
      </c>
      <c r="BN2637" s="72">
        <v>0</v>
      </c>
      <c r="BO2637" s="151" t="e">
        <f t="shared" si="179"/>
        <v>#DIV/0!</v>
      </c>
      <c r="BP2637" s="151" t="e">
        <f t="shared" si="180"/>
        <v>#DIV/0!</v>
      </c>
      <c r="BQ2637" s="71">
        <v>0</v>
      </c>
      <c r="BR2637" s="71">
        <v>0</v>
      </c>
      <c r="BS2637" s="71">
        <v>0</v>
      </c>
      <c r="BT2637" s="72">
        <v>0</v>
      </c>
      <c r="BU2637" s="151" t="e">
        <f t="shared" si="181"/>
        <v>#DIV/0!</v>
      </c>
      <c r="BV2637" s="151" t="e">
        <f t="shared" si="182"/>
        <v>#DIV/0!</v>
      </c>
    </row>
    <row r="2638" ht="30" customHeight="1" spans="1:74">
      <c r="A2638" s="55" t="s">
        <v>96</v>
      </c>
      <c r="B2638" s="56" t="s">
        <v>1237</v>
      </c>
      <c r="C2638" s="57" t="s">
        <v>3341</v>
      </c>
      <c r="D2638" s="59" t="s">
        <v>4027</v>
      </c>
      <c r="E2638" s="59" t="s">
        <v>4032</v>
      </c>
      <c r="F2638" s="59" t="str">
        <f>VLOOKUP(E2638,[1]库存!$B$1:$C$65536,2,FALSE)</f>
        <v>INEOS CAB RH</v>
      </c>
      <c r="G2638" s="59" t="s">
        <v>4033</v>
      </c>
      <c r="H2638" s="59" t="s">
        <v>4034</v>
      </c>
      <c r="I2638" s="59" t="s">
        <v>4031</v>
      </c>
      <c r="J2638" s="63"/>
      <c r="K2638" s="61"/>
      <c r="L2638" s="62">
        <v>2</v>
      </c>
      <c r="M2638" s="63">
        <v>200</v>
      </c>
      <c r="N2638" s="64">
        <v>2</v>
      </c>
      <c r="O2638" s="62">
        <v>2</v>
      </c>
      <c r="P2638" s="65">
        <f t="shared" si="183"/>
        <v>0</v>
      </c>
      <c r="Q2638" s="66"/>
      <c r="R2638" s="66"/>
      <c r="S2638" s="66"/>
      <c r="T2638" s="66"/>
      <c r="U2638" s="66"/>
      <c r="V2638" s="66"/>
      <c r="W2638" s="66"/>
      <c r="X2638" s="66"/>
      <c r="Y2638" s="66"/>
      <c r="Z2638" s="66"/>
      <c r="AA2638" s="66"/>
      <c r="AB2638" s="66"/>
      <c r="AC2638" s="66"/>
      <c r="AD2638" s="66"/>
      <c r="AE2638" s="66"/>
      <c r="AF2638" s="66"/>
      <c r="AG2638" s="66"/>
      <c r="AH2638" s="66"/>
      <c r="AI2638" s="66"/>
      <c r="AJ2638" s="66"/>
      <c r="AK2638" s="66"/>
      <c r="AL2638" s="66"/>
      <c r="AM2638" s="66"/>
      <c r="AN2638" s="66"/>
      <c r="AO2638" s="66"/>
      <c r="AP2638" s="66"/>
      <c r="AQ2638" s="66"/>
      <c r="AR2638" s="66"/>
      <c r="AS2638" s="66"/>
      <c r="AT2638" s="66"/>
      <c r="AU2638" s="66"/>
      <c r="AV2638" s="66"/>
      <c r="AW2638" s="66"/>
      <c r="AX2638" s="66"/>
      <c r="AY2638" s="66"/>
      <c r="AZ2638" s="66"/>
      <c r="BA2638" s="66"/>
      <c r="BB2638" s="66"/>
      <c r="BC2638" s="66"/>
      <c r="BD2638" s="66"/>
      <c r="BE2638" s="67"/>
      <c r="BF2638" s="67"/>
      <c r="BG2638" s="68"/>
      <c r="BI2638" s="69">
        <v>0</v>
      </c>
      <c r="BJ2638" s="70">
        <v>0</v>
      </c>
      <c r="BK2638" s="71">
        <v>0</v>
      </c>
      <c r="BL2638" s="71">
        <v>0</v>
      </c>
      <c r="BM2638" s="71">
        <v>0</v>
      </c>
      <c r="BN2638" s="72">
        <v>0</v>
      </c>
      <c r="BO2638" s="151" t="e">
        <f t="shared" si="179"/>
        <v>#DIV/0!</v>
      </c>
      <c r="BP2638" s="151" t="e">
        <f t="shared" si="180"/>
        <v>#DIV/0!</v>
      </c>
      <c r="BQ2638" s="71">
        <v>0</v>
      </c>
      <c r="BR2638" s="71">
        <v>0</v>
      </c>
      <c r="BS2638" s="71">
        <v>0</v>
      </c>
      <c r="BT2638" s="72">
        <v>0</v>
      </c>
      <c r="BU2638" s="151" t="e">
        <f t="shared" si="181"/>
        <v>#DIV/0!</v>
      </c>
      <c r="BV2638" s="151" t="e">
        <f t="shared" si="182"/>
        <v>#DIV/0!</v>
      </c>
    </row>
    <row r="2639" ht="30" customHeight="1" spans="1:74">
      <c r="A2639" s="55">
        <v>0</v>
      </c>
      <c r="B2639" s="56">
        <v>0</v>
      </c>
      <c r="C2639" s="57">
        <v>0</v>
      </c>
      <c r="D2639" s="74"/>
      <c r="E2639" s="74"/>
      <c r="F2639" s="59" t="e">
        <f>VLOOKUP(E2639,[1]库存!$B$1:$C$65536,2,FALSE)</f>
        <v>#N/A</v>
      </c>
      <c r="G2639" s="59" t="e">
        <v>#N/A</v>
      </c>
      <c r="H2639" s="74"/>
      <c r="I2639" s="74"/>
      <c r="J2639" s="87"/>
      <c r="K2639" s="61"/>
      <c r="L2639" s="62">
        <v>0</v>
      </c>
      <c r="M2639" s="63">
        <v>0</v>
      </c>
      <c r="N2639" s="64">
        <v>0</v>
      </c>
      <c r="O2639" s="62">
        <v>0</v>
      </c>
      <c r="P2639" s="65">
        <f t="shared" si="183"/>
        <v>0</v>
      </c>
      <c r="Q2639" s="66"/>
      <c r="R2639" s="66"/>
      <c r="S2639" s="66"/>
      <c r="T2639" s="66"/>
      <c r="U2639" s="66"/>
      <c r="V2639" s="66"/>
      <c r="W2639" s="66"/>
      <c r="X2639" s="66"/>
      <c r="Y2639" s="66"/>
      <c r="Z2639" s="66"/>
      <c r="AA2639" s="66"/>
      <c r="AB2639" s="66"/>
      <c r="AC2639" s="66"/>
      <c r="AD2639" s="66"/>
      <c r="AE2639" s="66"/>
      <c r="AF2639" s="66"/>
      <c r="AG2639" s="66"/>
      <c r="AH2639" s="66"/>
      <c r="AI2639" s="66"/>
      <c r="AJ2639" s="66"/>
      <c r="AK2639" s="66"/>
      <c r="AL2639" s="66"/>
      <c r="AM2639" s="66"/>
      <c r="AN2639" s="66"/>
      <c r="AO2639" s="66"/>
      <c r="AP2639" s="66"/>
      <c r="AQ2639" s="66"/>
      <c r="AR2639" s="66"/>
      <c r="AS2639" s="66"/>
      <c r="AT2639" s="66"/>
      <c r="AU2639" s="66"/>
      <c r="AV2639" s="66"/>
      <c r="AW2639" s="66"/>
      <c r="AX2639" s="66"/>
      <c r="AY2639" s="66"/>
      <c r="AZ2639" s="66"/>
      <c r="BA2639" s="66"/>
      <c r="BB2639" s="66"/>
      <c r="BC2639" s="66"/>
      <c r="BD2639" s="66"/>
      <c r="BE2639" s="67"/>
      <c r="BF2639" s="67"/>
      <c r="BG2639" s="68"/>
      <c r="BI2639" s="69">
        <v>0</v>
      </c>
      <c r="BJ2639" s="70">
        <v>0</v>
      </c>
      <c r="BK2639" s="71">
        <v>0</v>
      </c>
      <c r="BL2639" s="71">
        <v>0</v>
      </c>
      <c r="BM2639" s="71">
        <v>0</v>
      </c>
      <c r="BN2639" s="72">
        <v>0</v>
      </c>
      <c r="BO2639" s="151" t="e">
        <f t="shared" si="179"/>
        <v>#DIV/0!</v>
      </c>
      <c r="BP2639" s="151" t="e">
        <f t="shared" si="180"/>
        <v>#DIV/0!</v>
      </c>
      <c r="BQ2639" s="71">
        <v>0</v>
      </c>
      <c r="BR2639" s="71">
        <v>0</v>
      </c>
      <c r="BS2639" s="71">
        <v>0</v>
      </c>
      <c r="BT2639" s="72">
        <v>0</v>
      </c>
      <c r="BU2639" s="151" t="e">
        <f t="shared" si="181"/>
        <v>#DIV/0!</v>
      </c>
      <c r="BV2639" s="151" t="e">
        <f t="shared" si="182"/>
        <v>#DIV/0!</v>
      </c>
    </row>
    <row r="2640" ht="30" customHeight="1" spans="1:74">
      <c r="A2640" s="55">
        <v>0</v>
      </c>
      <c r="B2640" s="56">
        <v>0</v>
      </c>
      <c r="C2640" s="57">
        <v>0</v>
      </c>
      <c r="D2640" s="106"/>
      <c r="E2640" s="88"/>
      <c r="F2640" s="59" t="e">
        <f>VLOOKUP(E2640,[1]库存!$B$1:$C$65536,2,FALSE)</f>
        <v>#N/A</v>
      </c>
      <c r="G2640" s="59" t="e">
        <v>#N/A</v>
      </c>
      <c r="H2640" s="89"/>
      <c r="I2640" s="107"/>
      <c r="J2640" s="288"/>
      <c r="K2640" s="61"/>
      <c r="L2640" s="62">
        <v>0</v>
      </c>
      <c r="M2640" s="63">
        <v>0</v>
      </c>
      <c r="N2640" s="64">
        <v>0</v>
      </c>
      <c r="O2640" s="62">
        <v>0</v>
      </c>
      <c r="P2640" s="65">
        <f t="shared" si="183"/>
        <v>0</v>
      </c>
      <c r="Q2640" s="66"/>
      <c r="R2640" s="66"/>
      <c r="S2640" s="66"/>
      <c r="T2640" s="66"/>
      <c r="U2640" s="66"/>
      <c r="V2640" s="66"/>
      <c r="W2640" s="66"/>
      <c r="X2640" s="66"/>
      <c r="Y2640" s="66"/>
      <c r="Z2640" s="66"/>
      <c r="AA2640" s="66"/>
      <c r="AB2640" s="66"/>
      <c r="AC2640" s="66"/>
      <c r="AD2640" s="66"/>
      <c r="AE2640" s="66"/>
      <c r="AF2640" s="66"/>
      <c r="AG2640" s="66"/>
      <c r="AH2640" s="66"/>
      <c r="AI2640" s="66"/>
      <c r="AJ2640" s="66"/>
      <c r="AK2640" s="66"/>
      <c r="AL2640" s="66"/>
      <c r="AM2640" s="66"/>
      <c r="AN2640" s="66"/>
      <c r="AO2640" s="66"/>
      <c r="AP2640" s="66"/>
      <c r="AQ2640" s="66"/>
      <c r="AR2640" s="66"/>
      <c r="AS2640" s="66"/>
      <c r="AT2640" s="66"/>
      <c r="AU2640" s="66"/>
      <c r="AV2640" s="66"/>
      <c r="AW2640" s="66"/>
      <c r="AX2640" s="66"/>
      <c r="AY2640" s="66"/>
      <c r="AZ2640" s="66"/>
      <c r="BA2640" s="66"/>
      <c r="BB2640" s="66"/>
      <c r="BC2640" s="66"/>
      <c r="BD2640" s="66"/>
      <c r="BE2640" s="67"/>
      <c r="BF2640" s="67"/>
      <c r="BG2640" s="68"/>
      <c r="BI2640" s="69">
        <v>0</v>
      </c>
      <c r="BJ2640" s="70">
        <v>0</v>
      </c>
      <c r="BK2640" s="71">
        <v>0</v>
      </c>
      <c r="BL2640" s="71">
        <v>0</v>
      </c>
      <c r="BM2640" s="71">
        <v>0</v>
      </c>
      <c r="BN2640" s="72">
        <v>0</v>
      </c>
      <c r="BO2640" s="151" t="e">
        <f t="shared" si="179"/>
        <v>#DIV/0!</v>
      </c>
      <c r="BP2640" s="151" t="e">
        <f t="shared" si="180"/>
        <v>#DIV/0!</v>
      </c>
      <c r="BQ2640" s="71">
        <v>0</v>
      </c>
      <c r="BR2640" s="71">
        <v>0</v>
      </c>
      <c r="BS2640" s="71">
        <v>0</v>
      </c>
      <c r="BT2640" s="72">
        <v>0</v>
      </c>
      <c r="BU2640" s="151" t="e">
        <f t="shared" si="181"/>
        <v>#DIV/0!</v>
      </c>
      <c r="BV2640" s="151" t="e">
        <f t="shared" si="182"/>
        <v>#DIV/0!</v>
      </c>
    </row>
    <row r="2641" ht="30" customHeight="1" spans="1:74">
      <c r="A2641" s="55">
        <v>0</v>
      </c>
      <c r="B2641" s="56" t="s">
        <v>1237</v>
      </c>
      <c r="C2641" s="57" t="s">
        <v>3341</v>
      </c>
      <c r="D2641" s="59" t="s">
        <v>4035</v>
      </c>
      <c r="E2641" s="113" t="s">
        <v>4036</v>
      </c>
      <c r="F2641" s="113" t="s">
        <v>4037</v>
      </c>
      <c r="G2641" s="312" t="s">
        <v>4038</v>
      </c>
      <c r="H2641" s="59" t="s">
        <v>4039</v>
      </c>
      <c r="I2641" s="313" t="s">
        <v>4038</v>
      </c>
      <c r="J2641" s="199" t="s">
        <v>4040</v>
      </c>
      <c r="K2641" s="61"/>
      <c r="L2641" s="62">
        <v>1</v>
      </c>
      <c r="M2641" s="63">
        <v>0</v>
      </c>
      <c r="N2641" s="64">
        <v>1</v>
      </c>
      <c r="O2641" s="62">
        <v>1</v>
      </c>
      <c r="P2641" s="65">
        <f t="shared" si="183"/>
        <v>0</v>
      </c>
      <c r="Q2641" s="66"/>
      <c r="R2641" s="149"/>
      <c r="S2641" s="66"/>
      <c r="T2641" s="149"/>
      <c r="U2641" s="66">
        <v>2000</v>
      </c>
      <c r="V2641" s="149"/>
      <c r="W2641" s="66"/>
      <c r="X2641" s="149"/>
      <c r="Y2641" s="66"/>
      <c r="Z2641" s="149"/>
      <c r="AA2641" s="66"/>
      <c r="AB2641" s="149"/>
      <c r="AC2641" s="66">
        <v>9000</v>
      </c>
      <c r="AD2641" s="149"/>
      <c r="AE2641" s="66"/>
      <c r="AF2641" s="149"/>
      <c r="AG2641" s="66"/>
      <c r="AH2641" s="149"/>
      <c r="AI2641" s="66"/>
      <c r="AJ2641" s="149"/>
      <c r="AK2641" s="66"/>
      <c r="AL2641" s="149"/>
      <c r="AM2641" s="66"/>
      <c r="AN2641" s="149"/>
      <c r="AO2641" s="66"/>
      <c r="AP2641" s="149"/>
      <c r="AQ2641" s="66"/>
      <c r="AR2641" s="149"/>
      <c r="AS2641" s="66"/>
      <c r="AT2641" s="149"/>
      <c r="AU2641" s="66"/>
      <c r="AV2641" s="149"/>
      <c r="AW2641" s="66"/>
      <c r="AX2641" s="149"/>
      <c r="AY2641" s="66"/>
      <c r="AZ2641" s="149"/>
      <c r="BA2641" s="66"/>
      <c r="BB2641" s="149"/>
      <c r="BC2641" s="66"/>
      <c r="BD2641" s="149"/>
      <c r="BE2641" s="67"/>
      <c r="BF2641" s="150"/>
      <c r="BG2641" s="68"/>
      <c r="BI2641" s="69">
        <v>0</v>
      </c>
      <c r="BJ2641" s="70">
        <v>0</v>
      </c>
      <c r="BK2641" s="71">
        <v>0</v>
      </c>
      <c r="BL2641" s="71">
        <v>0</v>
      </c>
      <c r="BM2641" s="71">
        <v>0</v>
      </c>
      <c r="BN2641" s="72">
        <v>0</v>
      </c>
      <c r="BO2641" s="151" t="e">
        <f t="shared" si="179"/>
        <v>#DIV/0!</v>
      </c>
      <c r="BP2641" s="151" t="e">
        <f t="shared" si="180"/>
        <v>#DIV/0!</v>
      </c>
      <c r="BQ2641" s="71">
        <v>0</v>
      </c>
      <c r="BR2641" s="71">
        <v>0</v>
      </c>
      <c r="BS2641" s="71">
        <v>0</v>
      </c>
      <c r="BT2641" s="72">
        <v>0</v>
      </c>
      <c r="BU2641" s="151" t="e">
        <f t="shared" si="181"/>
        <v>#DIV/0!</v>
      </c>
      <c r="BV2641" s="151" t="e">
        <f t="shared" si="182"/>
        <v>#DIV/0!</v>
      </c>
    </row>
    <row r="2642" ht="30" customHeight="1" spans="1:74">
      <c r="A2642" s="55">
        <v>0</v>
      </c>
      <c r="B2642" s="56">
        <v>0</v>
      </c>
      <c r="C2642" s="57">
        <v>0</v>
      </c>
      <c r="D2642" s="74"/>
      <c r="E2642" s="127"/>
      <c r="F2642" s="113"/>
      <c r="G2642" s="289" t="e">
        <v>#N/A</v>
      </c>
      <c r="H2642" s="74"/>
      <c r="I2642" s="291"/>
      <c r="J2642" s="200"/>
      <c r="K2642" s="61"/>
      <c r="L2642" s="62">
        <v>0</v>
      </c>
      <c r="M2642" s="63">
        <v>0</v>
      </c>
      <c r="N2642" s="64">
        <v>0</v>
      </c>
      <c r="O2642" s="62">
        <v>0</v>
      </c>
      <c r="P2642" s="65">
        <f t="shared" si="183"/>
        <v>0</v>
      </c>
      <c r="Q2642" s="66"/>
      <c r="R2642" s="66"/>
      <c r="S2642" s="66"/>
      <c r="T2642" s="66"/>
      <c r="U2642" s="66"/>
      <c r="V2642" s="66"/>
      <c r="W2642" s="66"/>
      <c r="X2642" s="66"/>
      <c r="Y2642" s="66"/>
      <c r="Z2642" s="66"/>
      <c r="AA2642" s="66"/>
      <c r="AB2642" s="66"/>
      <c r="AC2642" s="66"/>
      <c r="AD2642" s="66"/>
      <c r="AE2642" s="66"/>
      <c r="AF2642" s="66"/>
      <c r="AG2642" s="66"/>
      <c r="AH2642" s="66"/>
      <c r="AI2642" s="66"/>
      <c r="AJ2642" s="66"/>
      <c r="AK2642" s="66"/>
      <c r="AL2642" s="66"/>
      <c r="AM2642" s="66"/>
      <c r="AN2642" s="66"/>
      <c r="AO2642" s="66"/>
      <c r="AP2642" s="66"/>
      <c r="AQ2642" s="66"/>
      <c r="AR2642" s="66"/>
      <c r="AS2642" s="66"/>
      <c r="AT2642" s="66"/>
      <c r="AU2642" s="66"/>
      <c r="AV2642" s="66"/>
      <c r="AW2642" s="66"/>
      <c r="AX2642" s="66"/>
      <c r="AY2642" s="66"/>
      <c r="AZ2642" s="66"/>
      <c r="BA2642" s="66"/>
      <c r="BB2642" s="66"/>
      <c r="BC2642" s="66"/>
      <c r="BD2642" s="66"/>
      <c r="BE2642" s="67"/>
      <c r="BF2642" s="67"/>
      <c r="BG2642" s="68"/>
      <c r="BI2642" s="69">
        <v>0</v>
      </c>
      <c r="BJ2642" s="70">
        <v>0</v>
      </c>
      <c r="BK2642" s="71">
        <v>0</v>
      </c>
      <c r="BL2642" s="71">
        <v>0</v>
      </c>
      <c r="BM2642" s="71">
        <v>0</v>
      </c>
      <c r="BN2642" s="72">
        <v>0</v>
      </c>
      <c r="BO2642" s="151" t="e">
        <f t="shared" si="179"/>
        <v>#DIV/0!</v>
      </c>
      <c r="BP2642" s="151" t="e">
        <f t="shared" si="180"/>
        <v>#DIV/0!</v>
      </c>
      <c r="BQ2642" s="71">
        <v>0</v>
      </c>
      <c r="BR2642" s="71">
        <v>0</v>
      </c>
      <c r="BS2642" s="71">
        <v>0</v>
      </c>
      <c r="BT2642" s="72">
        <v>0</v>
      </c>
      <c r="BU2642" s="151" t="e">
        <f t="shared" si="181"/>
        <v>#DIV/0!</v>
      </c>
      <c r="BV2642" s="151" t="e">
        <f t="shared" si="182"/>
        <v>#DIV/0!</v>
      </c>
    </row>
    <row r="2643" ht="30" customHeight="1" spans="1:74">
      <c r="A2643" s="55">
        <v>0</v>
      </c>
      <c r="B2643" s="56" t="s">
        <v>1237</v>
      </c>
      <c r="C2643" s="57" t="s">
        <v>3341</v>
      </c>
      <c r="D2643" s="59" t="s">
        <v>4035</v>
      </c>
      <c r="E2643" s="59" t="s">
        <v>4041</v>
      </c>
      <c r="F2643" s="113" t="s">
        <v>4042</v>
      </c>
      <c r="G2643" s="312" t="s">
        <v>4043</v>
      </c>
      <c r="H2643" s="59" t="s">
        <v>4044</v>
      </c>
      <c r="I2643" s="313" t="s">
        <v>4043</v>
      </c>
      <c r="J2643" s="199" t="s">
        <v>4040</v>
      </c>
      <c r="K2643" s="61"/>
      <c r="L2643" s="62">
        <v>1</v>
      </c>
      <c r="M2643" s="63">
        <v>0</v>
      </c>
      <c r="N2643" s="64">
        <v>1</v>
      </c>
      <c r="O2643" s="62">
        <v>1</v>
      </c>
      <c r="P2643" s="65">
        <f t="shared" si="183"/>
        <v>0</v>
      </c>
      <c r="Q2643" s="66"/>
      <c r="R2643" s="149"/>
      <c r="S2643" s="66"/>
      <c r="T2643" s="149"/>
      <c r="U2643" s="66">
        <v>2000</v>
      </c>
      <c r="V2643" s="149"/>
      <c r="W2643" s="66"/>
      <c r="X2643" s="149"/>
      <c r="Y2643" s="66"/>
      <c r="Z2643" s="149"/>
      <c r="AA2643" s="66"/>
      <c r="AB2643" s="149"/>
      <c r="AC2643" s="66"/>
      <c r="AD2643" s="149"/>
      <c r="AE2643" s="66"/>
      <c r="AF2643" s="149"/>
      <c r="AG2643" s="66"/>
      <c r="AH2643" s="149"/>
      <c r="AI2643" s="66"/>
      <c r="AJ2643" s="149"/>
      <c r="AK2643" s="66"/>
      <c r="AL2643" s="149"/>
      <c r="AM2643" s="66"/>
      <c r="AN2643" s="149"/>
      <c r="AO2643" s="66"/>
      <c r="AP2643" s="149"/>
      <c r="AQ2643" s="66"/>
      <c r="AR2643" s="149"/>
      <c r="AS2643" s="66"/>
      <c r="AT2643" s="149"/>
      <c r="AU2643" s="66"/>
      <c r="AV2643" s="149"/>
      <c r="AW2643" s="66"/>
      <c r="AX2643" s="149"/>
      <c r="AY2643" s="66"/>
      <c r="AZ2643" s="149"/>
      <c r="BA2643" s="66"/>
      <c r="BB2643" s="149"/>
      <c r="BC2643" s="66"/>
      <c r="BD2643" s="149"/>
      <c r="BE2643" s="67"/>
      <c r="BF2643" s="150"/>
      <c r="BG2643" s="68"/>
      <c r="BI2643" s="69">
        <v>0</v>
      </c>
      <c r="BJ2643" s="70">
        <v>0</v>
      </c>
      <c r="BK2643" s="71">
        <v>0</v>
      </c>
      <c r="BL2643" s="71">
        <v>0</v>
      </c>
      <c r="BM2643" s="71">
        <v>0</v>
      </c>
      <c r="BN2643" s="72">
        <v>0</v>
      </c>
      <c r="BO2643" s="151" t="e">
        <f t="shared" si="179"/>
        <v>#DIV/0!</v>
      </c>
      <c r="BP2643" s="151" t="e">
        <f t="shared" si="180"/>
        <v>#DIV/0!</v>
      </c>
      <c r="BQ2643" s="71">
        <v>0</v>
      </c>
      <c r="BR2643" s="71">
        <v>0</v>
      </c>
      <c r="BS2643" s="71">
        <v>0</v>
      </c>
      <c r="BT2643" s="72">
        <v>0</v>
      </c>
      <c r="BU2643" s="151" t="e">
        <f t="shared" si="181"/>
        <v>#DIV/0!</v>
      </c>
      <c r="BV2643" s="151" t="e">
        <f t="shared" si="182"/>
        <v>#DIV/0!</v>
      </c>
    </row>
    <row r="2644" ht="30" customHeight="1" spans="1:74">
      <c r="A2644" s="55">
        <v>0</v>
      </c>
      <c r="B2644" s="56">
        <v>0</v>
      </c>
      <c r="C2644" s="57">
        <v>0</v>
      </c>
      <c r="D2644" s="74"/>
      <c r="E2644" s="74"/>
      <c r="F2644" s="113"/>
      <c r="G2644" s="289" t="e">
        <v>#N/A</v>
      </c>
      <c r="H2644" s="74"/>
      <c r="I2644" s="291"/>
      <c r="J2644" s="200"/>
      <c r="K2644" s="61"/>
      <c r="L2644" s="62">
        <v>0</v>
      </c>
      <c r="M2644" s="63">
        <v>0</v>
      </c>
      <c r="N2644" s="64">
        <v>0</v>
      </c>
      <c r="O2644" s="62">
        <v>0</v>
      </c>
      <c r="P2644" s="65">
        <f t="shared" si="183"/>
        <v>0</v>
      </c>
      <c r="Q2644" s="66"/>
      <c r="R2644" s="66"/>
      <c r="S2644" s="66"/>
      <c r="T2644" s="66"/>
      <c r="U2644" s="66"/>
      <c r="V2644" s="66"/>
      <c r="W2644" s="66"/>
      <c r="X2644" s="66"/>
      <c r="Y2644" s="66"/>
      <c r="Z2644" s="66"/>
      <c r="AA2644" s="66"/>
      <c r="AB2644" s="66"/>
      <c r="AC2644" s="66"/>
      <c r="AD2644" s="66"/>
      <c r="AE2644" s="66"/>
      <c r="AF2644" s="66"/>
      <c r="AG2644" s="66"/>
      <c r="AH2644" s="66"/>
      <c r="AI2644" s="66"/>
      <c r="AJ2644" s="66"/>
      <c r="AK2644" s="66"/>
      <c r="AL2644" s="66"/>
      <c r="AM2644" s="66"/>
      <c r="AN2644" s="66"/>
      <c r="AO2644" s="66"/>
      <c r="AP2644" s="66"/>
      <c r="AQ2644" s="66"/>
      <c r="AR2644" s="66"/>
      <c r="AS2644" s="66"/>
      <c r="AT2644" s="66"/>
      <c r="AU2644" s="66"/>
      <c r="AV2644" s="66"/>
      <c r="AW2644" s="66"/>
      <c r="AX2644" s="66"/>
      <c r="AY2644" s="66"/>
      <c r="AZ2644" s="66"/>
      <c r="BA2644" s="66"/>
      <c r="BB2644" s="66"/>
      <c r="BC2644" s="66"/>
      <c r="BD2644" s="66"/>
      <c r="BE2644" s="67"/>
      <c r="BF2644" s="67"/>
      <c r="BG2644" s="68"/>
      <c r="BI2644" s="69">
        <v>0</v>
      </c>
      <c r="BJ2644" s="70">
        <v>0</v>
      </c>
      <c r="BK2644" s="71">
        <v>0</v>
      </c>
      <c r="BL2644" s="71">
        <v>0</v>
      </c>
      <c r="BM2644" s="71">
        <v>0</v>
      </c>
      <c r="BN2644" s="72">
        <v>0</v>
      </c>
      <c r="BO2644" s="151" t="e">
        <f t="shared" si="179"/>
        <v>#DIV/0!</v>
      </c>
      <c r="BP2644" s="151" t="e">
        <f t="shared" si="180"/>
        <v>#DIV/0!</v>
      </c>
      <c r="BQ2644" s="71">
        <v>0</v>
      </c>
      <c r="BR2644" s="71">
        <v>0</v>
      </c>
      <c r="BS2644" s="71">
        <v>0</v>
      </c>
      <c r="BT2644" s="72">
        <v>0</v>
      </c>
      <c r="BU2644" s="151" t="e">
        <f t="shared" si="181"/>
        <v>#DIV/0!</v>
      </c>
      <c r="BV2644" s="151" t="e">
        <f t="shared" si="182"/>
        <v>#DIV/0!</v>
      </c>
    </row>
    <row r="2645" ht="30" customHeight="1" spans="1:74">
      <c r="A2645" s="55">
        <v>0</v>
      </c>
      <c r="B2645" s="56" t="s">
        <v>1237</v>
      </c>
      <c r="C2645" s="57" t="s">
        <v>3341</v>
      </c>
      <c r="D2645" s="59" t="s">
        <v>4035</v>
      </c>
      <c r="E2645" s="59" t="s">
        <v>4045</v>
      </c>
      <c r="F2645" s="113" t="s">
        <v>4046</v>
      </c>
      <c r="G2645" s="312" t="s">
        <v>4047</v>
      </c>
      <c r="H2645" s="59" t="s">
        <v>4046</v>
      </c>
      <c r="I2645" s="313" t="s">
        <v>4047</v>
      </c>
      <c r="J2645" s="292"/>
      <c r="K2645" s="61"/>
      <c r="L2645" s="62">
        <v>1</v>
      </c>
      <c r="M2645" s="63">
        <v>0</v>
      </c>
      <c r="N2645" s="64">
        <v>1</v>
      </c>
      <c r="O2645" s="62">
        <v>1</v>
      </c>
      <c r="P2645" s="65">
        <f t="shared" si="183"/>
        <v>0</v>
      </c>
      <c r="Q2645" s="66"/>
      <c r="R2645" s="149"/>
      <c r="S2645" s="66"/>
      <c r="T2645" s="149"/>
      <c r="U2645" s="66"/>
      <c r="V2645" s="149"/>
      <c r="W2645" s="66"/>
      <c r="X2645" s="149"/>
      <c r="Y2645" s="66"/>
      <c r="Z2645" s="149"/>
      <c r="AA2645" s="66"/>
      <c r="AB2645" s="149"/>
      <c r="AC2645" s="66"/>
      <c r="AD2645" s="149"/>
      <c r="AE2645" s="66"/>
      <c r="AF2645" s="149"/>
      <c r="AG2645" s="66"/>
      <c r="AH2645" s="149"/>
      <c r="AI2645" s="66"/>
      <c r="AJ2645" s="149"/>
      <c r="AK2645" s="66"/>
      <c r="AL2645" s="149"/>
      <c r="AM2645" s="66"/>
      <c r="AN2645" s="149"/>
      <c r="AO2645" s="66"/>
      <c r="AP2645" s="149"/>
      <c r="AQ2645" s="66"/>
      <c r="AR2645" s="149"/>
      <c r="AS2645" s="66"/>
      <c r="AT2645" s="149"/>
      <c r="AU2645" s="66"/>
      <c r="AV2645" s="149"/>
      <c r="AW2645" s="66"/>
      <c r="AX2645" s="149"/>
      <c r="AY2645" s="66"/>
      <c r="AZ2645" s="149"/>
      <c r="BA2645" s="66"/>
      <c r="BB2645" s="149"/>
      <c r="BC2645" s="66"/>
      <c r="BD2645" s="149"/>
      <c r="BE2645" s="67"/>
      <c r="BF2645" s="150"/>
      <c r="BG2645" s="68"/>
      <c r="BI2645" s="69">
        <v>0</v>
      </c>
      <c r="BJ2645" s="70">
        <v>0</v>
      </c>
      <c r="BK2645" s="71">
        <v>0</v>
      </c>
      <c r="BL2645" s="71">
        <v>0</v>
      </c>
      <c r="BM2645" s="71">
        <v>0</v>
      </c>
      <c r="BN2645" s="72">
        <v>0</v>
      </c>
      <c r="BO2645" s="151" t="e">
        <f t="shared" si="179"/>
        <v>#DIV/0!</v>
      </c>
      <c r="BP2645" s="151" t="e">
        <f t="shared" si="180"/>
        <v>#DIV/0!</v>
      </c>
      <c r="BQ2645" s="71">
        <v>0</v>
      </c>
      <c r="BR2645" s="71">
        <v>0</v>
      </c>
      <c r="BS2645" s="71">
        <v>0</v>
      </c>
      <c r="BT2645" s="72">
        <v>0</v>
      </c>
      <c r="BU2645" s="151" t="e">
        <f t="shared" si="181"/>
        <v>#DIV/0!</v>
      </c>
      <c r="BV2645" s="151" t="e">
        <f t="shared" si="182"/>
        <v>#DIV/0!</v>
      </c>
    </row>
    <row r="2646" ht="30" customHeight="1" spans="1:74">
      <c r="A2646" s="55">
        <v>0</v>
      </c>
      <c r="B2646" s="56">
        <v>0</v>
      </c>
      <c r="C2646" s="57">
        <v>0</v>
      </c>
      <c r="D2646" s="74"/>
      <c r="E2646" s="74"/>
      <c r="F2646" s="113"/>
      <c r="G2646" s="289" t="e">
        <v>#N/A</v>
      </c>
      <c r="H2646" s="74"/>
      <c r="I2646" s="291"/>
      <c r="J2646" s="293"/>
      <c r="K2646" s="61"/>
      <c r="L2646" s="62">
        <v>0</v>
      </c>
      <c r="M2646" s="63">
        <v>0</v>
      </c>
      <c r="N2646" s="64">
        <v>0</v>
      </c>
      <c r="O2646" s="62">
        <v>0</v>
      </c>
      <c r="P2646" s="65">
        <f t="shared" si="183"/>
        <v>0</v>
      </c>
      <c r="Q2646" s="66"/>
      <c r="R2646" s="66"/>
      <c r="S2646" s="66"/>
      <c r="T2646" s="66"/>
      <c r="U2646" s="66"/>
      <c r="V2646" s="66"/>
      <c r="W2646" s="66"/>
      <c r="X2646" s="66"/>
      <c r="Y2646" s="66"/>
      <c r="Z2646" s="66"/>
      <c r="AA2646" s="66"/>
      <c r="AB2646" s="66"/>
      <c r="AC2646" s="66"/>
      <c r="AD2646" s="66"/>
      <c r="AE2646" s="66"/>
      <c r="AF2646" s="66"/>
      <c r="AG2646" s="66"/>
      <c r="AH2646" s="66"/>
      <c r="AI2646" s="66"/>
      <c r="AJ2646" s="66"/>
      <c r="AK2646" s="66"/>
      <c r="AL2646" s="66"/>
      <c r="AM2646" s="66"/>
      <c r="AN2646" s="66"/>
      <c r="AO2646" s="66"/>
      <c r="AP2646" s="66"/>
      <c r="AQ2646" s="66"/>
      <c r="AR2646" s="66"/>
      <c r="AS2646" s="66"/>
      <c r="AT2646" s="66"/>
      <c r="AU2646" s="66"/>
      <c r="AV2646" s="66"/>
      <c r="AW2646" s="66"/>
      <c r="AX2646" s="66"/>
      <c r="AY2646" s="66"/>
      <c r="AZ2646" s="66"/>
      <c r="BA2646" s="66"/>
      <c r="BB2646" s="66"/>
      <c r="BC2646" s="66"/>
      <c r="BD2646" s="66"/>
      <c r="BE2646" s="67"/>
      <c r="BF2646" s="67"/>
      <c r="BG2646" s="68"/>
      <c r="BI2646" s="69">
        <v>0</v>
      </c>
      <c r="BJ2646" s="70">
        <v>0</v>
      </c>
      <c r="BK2646" s="71">
        <v>0</v>
      </c>
      <c r="BL2646" s="71">
        <v>0</v>
      </c>
      <c r="BM2646" s="71">
        <v>0</v>
      </c>
      <c r="BN2646" s="72">
        <v>0</v>
      </c>
      <c r="BO2646" s="151" t="e">
        <f t="shared" si="179"/>
        <v>#DIV/0!</v>
      </c>
      <c r="BP2646" s="151" t="e">
        <f t="shared" si="180"/>
        <v>#DIV/0!</v>
      </c>
      <c r="BQ2646" s="71">
        <v>0</v>
      </c>
      <c r="BR2646" s="71">
        <v>0</v>
      </c>
      <c r="BS2646" s="71">
        <v>0</v>
      </c>
      <c r="BT2646" s="72">
        <v>0</v>
      </c>
      <c r="BU2646" s="151" t="e">
        <f t="shared" si="181"/>
        <v>#DIV/0!</v>
      </c>
      <c r="BV2646" s="151" t="e">
        <f t="shared" si="182"/>
        <v>#DIV/0!</v>
      </c>
    </row>
    <row r="2647" ht="30" customHeight="1" spans="1:74">
      <c r="A2647" s="55">
        <v>0</v>
      </c>
      <c r="B2647" s="56" t="s">
        <v>1237</v>
      </c>
      <c r="C2647" s="57" t="s">
        <v>3341</v>
      </c>
      <c r="D2647" s="59" t="s">
        <v>4035</v>
      </c>
      <c r="E2647" s="59" t="s">
        <v>4048</v>
      </c>
      <c r="F2647" s="113" t="s">
        <v>4049</v>
      </c>
      <c r="G2647" s="312" t="s">
        <v>4050</v>
      </c>
      <c r="H2647" s="59" t="s">
        <v>4051</v>
      </c>
      <c r="I2647" s="313" t="s">
        <v>4050</v>
      </c>
      <c r="J2647" s="199" t="s">
        <v>4052</v>
      </c>
      <c r="K2647" s="61"/>
      <c r="L2647" s="62">
        <v>1</v>
      </c>
      <c r="M2647" s="63">
        <v>0</v>
      </c>
      <c r="N2647" s="64">
        <v>1</v>
      </c>
      <c r="O2647" s="62">
        <v>1</v>
      </c>
      <c r="P2647" s="65">
        <f t="shared" si="183"/>
        <v>0</v>
      </c>
      <c r="Q2647" s="66"/>
      <c r="R2647" s="149"/>
      <c r="S2647" s="66"/>
      <c r="T2647" s="149"/>
      <c r="U2647" s="66"/>
      <c r="V2647" s="149"/>
      <c r="W2647" s="66"/>
      <c r="X2647" s="149"/>
      <c r="Y2647" s="66"/>
      <c r="Z2647" s="149"/>
      <c r="AA2647" s="66"/>
      <c r="AB2647" s="149"/>
      <c r="AC2647" s="66"/>
      <c r="AD2647" s="149"/>
      <c r="AE2647" s="66"/>
      <c r="AF2647" s="149"/>
      <c r="AG2647" s="66"/>
      <c r="AH2647" s="149"/>
      <c r="AI2647" s="66"/>
      <c r="AJ2647" s="149"/>
      <c r="AK2647" s="66"/>
      <c r="AL2647" s="149"/>
      <c r="AM2647" s="66"/>
      <c r="AN2647" s="149"/>
      <c r="AO2647" s="66"/>
      <c r="AP2647" s="149"/>
      <c r="AQ2647" s="66"/>
      <c r="AR2647" s="149"/>
      <c r="AS2647" s="66"/>
      <c r="AT2647" s="149"/>
      <c r="AU2647" s="66"/>
      <c r="AV2647" s="149"/>
      <c r="AW2647" s="66"/>
      <c r="AX2647" s="149"/>
      <c r="AY2647" s="66"/>
      <c r="AZ2647" s="149"/>
      <c r="BA2647" s="66"/>
      <c r="BB2647" s="149"/>
      <c r="BC2647" s="66"/>
      <c r="BD2647" s="149"/>
      <c r="BE2647" s="67"/>
      <c r="BF2647" s="150"/>
      <c r="BG2647" s="68"/>
      <c r="BI2647" s="69">
        <v>0</v>
      </c>
      <c r="BJ2647" s="70">
        <v>0</v>
      </c>
      <c r="BK2647" s="71">
        <v>0</v>
      </c>
      <c r="BL2647" s="71">
        <v>0</v>
      </c>
      <c r="BM2647" s="71">
        <v>0</v>
      </c>
      <c r="BN2647" s="72">
        <v>0</v>
      </c>
      <c r="BO2647" s="151" t="e">
        <f t="shared" si="179"/>
        <v>#DIV/0!</v>
      </c>
      <c r="BP2647" s="151" t="e">
        <f t="shared" si="180"/>
        <v>#DIV/0!</v>
      </c>
      <c r="BQ2647" s="71">
        <v>0</v>
      </c>
      <c r="BR2647" s="71">
        <v>0</v>
      </c>
      <c r="BS2647" s="71">
        <v>0</v>
      </c>
      <c r="BT2647" s="72">
        <v>0</v>
      </c>
      <c r="BU2647" s="151" t="e">
        <f t="shared" si="181"/>
        <v>#DIV/0!</v>
      </c>
      <c r="BV2647" s="151" t="e">
        <f t="shared" si="182"/>
        <v>#DIV/0!</v>
      </c>
    </row>
    <row r="2648" ht="30" customHeight="1" spans="1:74">
      <c r="A2648" s="55">
        <v>0</v>
      </c>
      <c r="B2648" s="56">
        <v>0</v>
      </c>
      <c r="C2648" s="57">
        <v>0</v>
      </c>
      <c r="D2648" s="74"/>
      <c r="E2648" s="74"/>
      <c r="F2648" s="113"/>
      <c r="G2648" s="289" t="e">
        <v>#N/A</v>
      </c>
      <c r="H2648" s="74"/>
      <c r="I2648" s="291"/>
      <c r="J2648" s="200"/>
      <c r="K2648" s="61"/>
      <c r="L2648" s="62">
        <v>0</v>
      </c>
      <c r="M2648" s="63">
        <v>0</v>
      </c>
      <c r="N2648" s="64">
        <v>0</v>
      </c>
      <c r="O2648" s="62">
        <v>0</v>
      </c>
      <c r="P2648" s="65">
        <f t="shared" si="183"/>
        <v>0</v>
      </c>
      <c r="Q2648" s="66"/>
      <c r="R2648" s="66"/>
      <c r="S2648" s="66"/>
      <c r="T2648" s="66"/>
      <c r="U2648" s="66"/>
      <c r="V2648" s="66"/>
      <c r="W2648" s="66"/>
      <c r="X2648" s="66"/>
      <c r="Y2648" s="66"/>
      <c r="Z2648" s="66"/>
      <c r="AA2648" s="66"/>
      <c r="AB2648" s="66"/>
      <c r="AC2648" s="66"/>
      <c r="AD2648" s="66"/>
      <c r="AE2648" s="66"/>
      <c r="AF2648" s="66"/>
      <c r="AG2648" s="66"/>
      <c r="AH2648" s="66"/>
      <c r="AI2648" s="66"/>
      <c r="AJ2648" s="66"/>
      <c r="AK2648" s="66"/>
      <c r="AL2648" s="66"/>
      <c r="AM2648" s="66"/>
      <c r="AN2648" s="66"/>
      <c r="AO2648" s="66"/>
      <c r="AP2648" s="66"/>
      <c r="AQ2648" s="66"/>
      <c r="AR2648" s="66"/>
      <c r="AS2648" s="66"/>
      <c r="AT2648" s="66"/>
      <c r="AU2648" s="66"/>
      <c r="AV2648" s="66"/>
      <c r="AW2648" s="66"/>
      <c r="AX2648" s="66"/>
      <c r="AY2648" s="66"/>
      <c r="AZ2648" s="66"/>
      <c r="BA2648" s="66"/>
      <c r="BB2648" s="66"/>
      <c r="BC2648" s="66"/>
      <c r="BD2648" s="66"/>
      <c r="BE2648" s="67"/>
      <c r="BF2648" s="67"/>
      <c r="BG2648" s="68"/>
      <c r="BI2648" s="69">
        <v>0</v>
      </c>
      <c r="BJ2648" s="70">
        <v>0</v>
      </c>
      <c r="BK2648" s="71">
        <v>0</v>
      </c>
      <c r="BL2648" s="71">
        <v>0</v>
      </c>
      <c r="BM2648" s="71">
        <v>0</v>
      </c>
      <c r="BN2648" s="72">
        <v>0</v>
      </c>
      <c r="BO2648" s="151" t="e">
        <f t="shared" si="179"/>
        <v>#DIV/0!</v>
      </c>
      <c r="BP2648" s="151" t="e">
        <f t="shared" si="180"/>
        <v>#DIV/0!</v>
      </c>
      <c r="BQ2648" s="71">
        <v>0</v>
      </c>
      <c r="BR2648" s="71">
        <v>0</v>
      </c>
      <c r="BS2648" s="71">
        <v>0</v>
      </c>
      <c r="BT2648" s="72">
        <v>0</v>
      </c>
      <c r="BU2648" s="151" t="e">
        <f t="shared" si="181"/>
        <v>#DIV/0!</v>
      </c>
      <c r="BV2648" s="151" t="e">
        <f t="shared" si="182"/>
        <v>#DIV/0!</v>
      </c>
    </row>
    <row r="2649" ht="30" customHeight="1" spans="1:74">
      <c r="A2649" s="55">
        <v>0</v>
      </c>
      <c r="B2649" s="56" t="s">
        <v>1237</v>
      </c>
      <c r="C2649" s="57" t="s">
        <v>3341</v>
      </c>
      <c r="D2649" s="59" t="s">
        <v>4035</v>
      </c>
      <c r="E2649" s="59" t="s">
        <v>4053</v>
      </c>
      <c r="F2649" s="113" t="s">
        <v>4054</v>
      </c>
      <c r="G2649" s="312" t="s">
        <v>4055</v>
      </c>
      <c r="H2649" s="59" t="s">
        <v>4056</v>
      </c>
      <c r="I2649" s="313" t="s">
        <v>4055</v>
      </c>
      <c r="J2649" s="199" t="s">
        <v>4040</v>
      </c>
      <c r="K2649" s="61"/>
      <c r="L2649" s="62">
        <v>1</v>
      </c>
      <c r="M2649" s="63">
        <v>0</v>
      </c>
      <c r="N2649" s="64">
        <v>1</v>
      </c>
      <c r="O2649" s="62">
        <v>1</v>
      </c>
      <c r="P2649" s="65">
        <f t="shared" si="183"/>
        <v>0</v>
      </c>
      <c r="Q2649" s="66"/>
      <c r="R2649" s="149"/>
      <c r="S2649" s="66"/>
      <c r="T2649" s="149"/>
      <c r="U2649" s="66"/>
      <c r="V2649" s="149"/>
      <c r="W2649" s="66"/>
      <c r="X2649" s="149"/>
      <c r="Y2649" s="66"/>
      <c r="Z2649" s="149"/>
      <c r="AA2649" s="66"/>
      <c r="AB2649" s="149"/>
      <c r="AC2649" s="66"/>
      <c r="AD2649" s="149"/>
      <c r="AE2649" s="66"/>
      <c r="AF2649" s="149"/>
      <c r="AG2649" s="66"/>
      <c r="AH2649" s="149"/>
      <c r="AI2649" s="66"/>
      <c r="AJ2649" s="149"/>
      <c r="AK2649" s="66"/>
      <c r="AL2649" s="149"/>
      <c r="AM2649" s="66"/>
      <c r="AN2649" s="149"/>
      <c r="AO2649" s="66"/>
      <c r="AP2649" s="149"/>
      <c r="AQ2649" s="66"/>
      <c r="AR2649" s="149"/>
      <c r="AS2649" s="66"/>
      <c r="AT2649" s="149"/>
      <c r="AU2649" s="66"/>
      <c r="AV2649" s="149"/>
      <c r="AW2649" s="66"/>
      <c r="AX2649" s="149"/>
      <c r="AY2649" s="66"/>
      <c r="AZ2649" s="149"/>
      <c r="BA2649" s="66"/>
      <c r="BB2649" s="149"/>
      <c r="BC2649" s="66"/>
      <c r="BD2649" s="149"/>
      <c r="BE2649" s="67"/>
      <c r="BF2649" s="150"/>
      <c r="BG2649" s="68"/>
      <c r="BI2649" s="69">
        <v>0</v>
      </c>
      <c r="BJ2649" s="70">
        <v>0</v>
      </c>
      <c r="BK2649" s="71">
        <v>0</v>
      </c>
      <c r="BL2649" s="71">
        <v>0</v>
      </c>
      <c r="BM2649" s="71">
        <v>0</v>
      </c>
      <c r="BN2649" s="72">
        <v>0</v>
      </c>
      <c r="BO2649" s="151" t="e">
        <f t="shared" si="179"/>
        <v>#DIV/0!</v>
      </c>
      <c r="BP2649" s="151" t="e">
        <f t="shared" si="180"/>
        <v>#DIV/0!</v>
      </c>
      <c r="BQ2649" s="71">
        <v>0</v>
      </c>
      <c r="BR2649" s="71">
        <v>0</v>
      </c>
      <c r="BS2649" s="71">
        <v>0</v>
      </c>
      <c r="BT2649" s="72">
        <v>0</v>
      </c>
      <c r="BU2649" s="151" t="e">
        <f t="shared" si="181"/>
        <v>#DIV/0!</v>
      </c>
      <c r="BV2649" s="151" t="e">
        <f t="shared" si="182"/>
        <v>#DIV/0!</v>
      </c>
    </row>
    <row r="2650" ht="30" customHeight="1" spans="1:74">
      <c r="A2650" s="55">
        <v>0</v>
      </c>
      <c r="B2650" s="56">
        <v>0</v>
      </c>
      <c r="C2650" s="57">
        <v>0</v>
      </c>
      <c r="D2650" s="74"/>
      <c r="E2650" s="74"/>
      <c r="F2650" s="113"/>
      <c r="G2650" s="289" t="e">
        <v>#N/A</v>
      </c>
      <c r="H2650" s="74"/>
      <c r="I2650" s="291"/>
      <c r="J2650" s="200"/>
      <c r="K2650" s="61"/>
      <c r="L2650" s="62">
        <v>0</v>
      </c>
      <c r="M2650" s="63">
        <v>0</v>
      </c>
      <c r="N2650" s="64">
        <v>0</v>
      </c>
      <c r="O2650" s="62">
        <v>0</v>
      </c>
      <c r="P2650" s="65">
        <f t="shared" si="183"/>
        <v>0</v>
      </c>
      <c r="Q2650" s="66"/>
      <c r="R2650" s="66"/>
      <c r="S2650" s="66"/>
      <c r="T2650" s="66"/>
      <c r="U2650" s="66"/>
      <c r="V2650" s="66"/>
      <c r="W2650" s="66"/>
      <c r="X2650" s="66"/>
      <c r="Y2650" s="66"/>
      <c r="Z2650" s="66"/>
      <c r="AA2650" s="66"/>
      <c r="AB2650" s="66"/>
      <c r="AC2650" s="66"/>
      <c r="AD2650" s="66"/>
      <c r="AE2650" s="66"/>
      <c r="AF2650" s="66"/>
      <c r="AG2650" s="66"/>
      <c r="AH2650" s="66"/>
      <c r="AI2650" s="66"/>
      <c r="AJ2650" s="66"/>
      <c r="AK2650" s="66"/>
      <c r="AL2650" s="66"/>
      <c r="AM2650" s="66"/>
      <c r="AN2650" s="66"/>
      <c r="AO2650" s="66"/>
      <c r="AP2650" s="66"/>
      <c r="AQ2650" s="66"/>
      <c r="AR2650" s="66"/>
      <c r="AS2650" s="66"/>
      <c r="AT2650" s="66"/>
      <c r="AU2650" s="66"/>
      <c r="AV2650" s="66"/>
      <c r="AW2650" s="66"/>
      <c r="AX2650" s="66"/>
      <c r="AY2650" s="66"/>
      <c r="AZ2650" s="66"/>
      <c r="BA2650" s="66"/>
      <c r="BB2650" s="66"/>
      <c r="BC2650" s="66"/>
      <c r="BD2650" s="66"/>
      <c r="BE2650" s="67"/>
      <c r="BF2650" s="67"/>
      <c r="BG2650" s="68"/>
      <c r="BI2650" s="69">
        <v>0</v>
      </c>
      <c r="BJ2650" s="70">
        <v>0</v>
      </c>
      <c r="BK2650" s="71">
        <v>0</v>
      </c>
      <c r="BL2650" s="71">
        <v>0</v>
      </c>
      <c r="BM2650" s="71">
        <v>0</v>
      </c>
      <c r="BN2650" s="72">
        <v>0</v>
      </c>
      <c r="BO2650" s="151" t="e">
        <f t="shared" si="179"/>
        <v>#DIV/0!</v>
      </c>
      <c r="BP2650" s="151" t="e">
        <f t="shared" si="180"/>
        <v>#DIV/0!</v>
      </c>
      <c r="BQ2650" s="71">
        <v>0</v>
      </c>
      <c r="BR2650" s="71">
        <v>0</v>
      </c>
      <c r="BS2650" s="71">
        <v>0</v>
      </c>
      <c r="BT2650" s="72">
        <v>0</v>
      </c>
      <c r="BU2650" s="151" t="e">
        <f t="shared" si="181"/>
        <v>#DIV/0!</v>
      </c>
      <c r="BV2650" s="151" t="e">
        <f t="shared" si="182"/>
        <v>#DIV/0!</v>
      </c>
    </row>
    <row r="2651" ht="30" customHeight="1" spans="1:74">
      <c r="A2651" s="55">
        <v>0</v>
      </c>
      <c r="B2651" s="56" t="s">
        <v>1237</v>
      </c>
      <c r="C2651" s="57" t="s">
        <v>3341</v>
      </c>
      <c r="D2651" s="59" t="s">
        <v>4035</v>
      </c>
      <c r="E2651" s="59" t="s">
        <v>4057</v>
      </c>
      <c r="F2651" s="113" t="s">
        <v>4058</v>
      </c>
      <c r="G2651" s="312" t="s">
        <v>4059</v>
      </c>
      <c r="H2651" s="59" t="s">
        <v>4060</v>
      </c>
      <c r="I2651" s="313" t="s">
        <v>4059</v>
      </c>
      <c r="J2651" s="292"/>
      <c r="K2651" s="61"/>
      <c r="L2651" s="62">
        <v>1</v>
      </c>
      <c r="M2651" s="63">
        <v>0</v>
      </c>
      <c r="N2651" s="64">
        <v>1</v>
      </c>
      <c r="O2651" s="62">
        <v>1</v>
      </c>
      <c r="P2651" s="65">
        <f t="shared" si="183"/>
        <v>0</v>
      </c>
      <c r="Q2651" s="66"/>
      <c r="R2651" s="149"/>
      <c r="S2651" s="66"/>
      <c r="T2651" s="149"/>
      <c r="U2651" s="66"/>
      <c r="V2651" s="149"/>
      <c r="W2651" s="66"/>
      <c r="X2651" s="149"/>
      <c r="Y2651" s="66"/>
      <c r="Z2651" s="149"/>
      <c r="AA2651" s="66"/>
      <c r="AB2651" s="149"/>
      <c r="AC2651" s="66"/>
      <c r="AD2651" s="149"/>
      <c r="AE2651" s="66"/>
      <c r="AF2651" s="149"/>
      <c r="AG2651" s="66"/>
      <c r="AH2651" s="149"/>
      <c r="AI2651" s="66"/>
      <c r="AJ2651" s="149"/>
      <c r="AK2651" s="66"/>
      <c r="AL2651" s="149"/>
      <c r="AM2651" s="66"/>
      <c r="AN2651" s="149"/>
      <c r="AO2651" s="66"/>
      <c r="AP2651" s="149"/>
      <c r="AQ2651" s="66"/>
      <c r="AR2651" s="149"/>
      <c r="AS2651" s="66"/>
      <c r="AT2651" s="149"/>
      <c r="AU2651" s="66"/>
      <c r="AV2651" s="149"/>
      <c r="AW2651" s="66"/>
      <c r="AX2651" s="149"/>
      <c r="AY2651" s="66"/>
      <c r="AZ2651" s="149"/>
      <c r="BA2651" s="66"/>
      <c r="BB2651" s="149"/>
      <c r="BC2651" s="66"/>
      <c r="BD2651" s="149"/>
      <c r="BE2651" s="67"/>
      <c r="BF2651" s="150"/>
      <c r="BG2651" s="68"/>
      <c r="BI2651" s="69">
        <v>0</v>
      </c>
      <c r="BJ2651" s="70">
        <v>0</v>
      </c>
      <c r="BK2651" s="71">
        <v>0</v>
      </c>
      <c r="BL2651" s="71">
        <v>0</v>
      </c>
      <c r="BM2651" s="71">
        <v>0</v>
      </c>
      <c r="BN2651" s="72">
        <v>0</v>
      </c>
      <c r="BO2651" s="151" t="e">
        <f t="shared" si="179"/>
        <v>#DIV/0!</v>
      </c>
      <c r="BP2651" s="151" t="e">
        <f t="shared" si="180"/>
        <v>#DIV/0!</v>
      </c>
      <c r="BQ2651" s="71">
        <v>0</v>
      </c>
      <c r="BR2651" s="71">
        <v>0</v>
      </c>
      <c r="BS2651" s="71">
        <v>0</v>
      </c>
      <c r="BT2651" s="72">
        <v>0</v>
      </c>
      <c r="BU2651" s="151" t="e">
        <f t="shared" si="181"/>
        <v>#DIV/0!</v>
      </c>
      <c r="BV2651" s="151" t="e">
        <f t="shared" si="182"/>
        <v>#DIV/0!</v>
      </c>
    </row>
    <row r="2652" ht="30" customHeight="1" spans="1:74">
      <c r="A2652" s="55">
        <v>0</v>
      </c>
      <c r="B2652" s="56">
        <v>0</v>
      </c>
      <c r="C2652" s="57">
        <v>0</v>
      </c>
      <c r="D2652" s="74"/>
      <c r="E2652" s="74"/>
      <c r="F2652" s="113"/>
      <c r="G2652" s="289" t="e">
        <v>#N/A</v>
      </c>
      <c r="H2652" s="74"/>
      <c r="I2652" s="291"/>
      <c r="J2652" s="293"/>
      <c r="K2652" s="61"/>
      <c r="L2652" s="62">
        <v>0</v>
      </c>
      <c r="M2652" s="63">
        <v>0</v>
      </c>
      <c r="N2652" s="64">
        <v>0</v>
      </c>
      <c r="O2652" s="62">
        <v>0</v>
      </c>
      <c r="P2652" s="65">
        <f t="shared" si="183"/>
        <v>0</v>
      </c>
      <c r="Q2652" s="66"/>
      <c r="R2652" s="66"/>
      <c r="S2652" s="66"/>
      <c r="T2652" s="66"/>
      <c r="U2652" s="66"/>
      <c r="V2652" s="66"/>
      <c r="W2652" s="66"/>
      <c r="X2652" s="66"/>
      <c r="Y2652" s="66"/>
      <c r="Z2652" s="66"/>
      <c r="AA2652" s="66"/>
      <c r="AB2652" s="66"/>
      <c r="AC2652" s="66"/>
      <c r="AD2652" s="66"/>
      <c r="AE2652" s="66"/>
      <c r="AF2652" s="66"/>
      <c r="AG2652" s="66"/>
      <c r="AH2652" s="66"/>
      <c r="AI2652" s="66"/>
      <c r="AJ2652" s="66"/>
      <c r="AK2652" s="66"/>
      <c r="AL2652" s="66"/>
      <c r="AM2652" s="66"/>
      <c r="AN2652" s="66"/>
      <c r="AO2652" s="66"/>
      <c r="AP2652" s="66"/>
      <c r="AQ2652" s="66"/>
      <c r="AR2652" s="66"/>
      <c r="AS2652" s="66"/>
      <c r="AT2652" s="66"/>
      <c r="AU2652" s="66"/>
      <c r="AV2652" s="66"/>
      <c r="AW2652" s="66"/>
      <c r="AX2652" s="66"/>
      <c r="AY2652" s="66"/>
      <c r="AZ2652" s="66"/>
      <c r="BA2652" s="66"/>
      <c r="BB2652" s="66"/>
      <c r="BC2652" s="66"/>
      <c r="BD2652" s="66"/>
      <c r="BE2652" s="67"/>
      <c r="BF2652" s="67"/>
      <c r="BG2652" s="68"/>
      <c r="BI2652" s="69">
        <v>0</v>
      </c>
      <c r="BJ2652" s="70">
        <v>0</v>
      </c>
      <c r="BK2652" s="71">
        <v>0</v>
      </c>
      <c r="BL2652" s="71">
        <v>0</v>
      </c>
      <c r="BM2652" s="71">
        <v>0</v>
      </c>
      <c r="BN2652" s="72">
        <v>0</v>
      </c>
      <c r="BO2652" s="151" t="e">
        <f t="shared" si="179"/>
        <v>#DIV/0!</v>
      </c>
      <c r="BP2652" s="151" t="e">
        <f t="shared" si="180"/>
        <v>#DIV/0!</v>
      </c>
      <c r="BQ2652" s="71">
        <v>0</v>
      </c>
      <c r="BR2652" s="71">
        <v>0</v>
      </c>
      <c r="BS2652" s="71">
        <v>0</v>
      </c>
      <c r="BT2652" s="72">
        <v>0</v>
      </c>
      <c r="BU2652" s="151" t="e">
        <f t="shared" si="181"/>
        <v>#DIV/0!</v>
      </c>
      <c r="BV2652" s="151" t="e">
        <f t="shared" si="182"/>
        <v>#DIV/0!</v>
      </c>
    </row>
    <row r="2653" ht="30" customHeight="1" spans="1:74">
      <c r="A2653" s="55">
        <v>0</v>
      </c>
      <c r="B2653" s="56" t="s">
        <v>1237</v>
      </c>
      <c r="C2653" s="57" t="s">
        <v>3341</v>
      </c>
      <c r="D2653" s="59" t="s">
        <v>4035</v>
      </c>
      <c r="E2653" s="59" t="s">
        <v>4061</v>
      </c>
      <c r="F2653" s="113" t="s">
        <v>4062</v>
      </c>
      <c r="G2653" s="312" t="s">
        <v>4063</v>
      </c>
      <c r="H2653" s="59" t="s">
        <v>4064</v>
      </c>
      <c r="I2653" s="313" t="s">
        <v>4063</v>
      </c>
      <c r="J2653" s="294" t="s">
        <v>4065</v>
      </c>
      <c r="K2653" s="111" t="s">
        <v>4066</v>
      </c>
      <c r="L2653" s="62">
        <v>1</v>
      </c>
      <c r="M2653" s="63">
        <v>0</v>
      </c>
      <c r="N2653" s="64">
        <v>1</v>
      </c>
      <c r="O2653" s="62">
        <v>1</v>
      </c>
      <c r="P2653" s="65">
        <f t="shared" si="183"/>
        <v>0</v>
      </c>
      <c r="Q2653" s="66"/>
      <c r="R2653" s="149"/>
      <c r="S2653" s="66"/>
      <c r="T2653" s="149"/>
      <c r="U2653" s="66"/>
      <c r="V2653" s="149"/>
      <c r="W2653" s="295"/>
      <c r="X2653" s="149"/>
      <c r="Y2653" s="66"/>
      <c r="Z2653" s="149"/>
      <c r="AA2653" s="66"/>
      <c r="AB2653" s="149"/>
      <c r="AC2653" s="66"/>
      <c r="AD2653" s="149"/>
      <c r="AE2653" s="66"/>
      <c r="AF2653" s="149"/>
      <c r="AG2653" s="66"/>
      <c r="AH2653" s="149"/>
      <c r="AI2653" s="66"/>
      <c r="AJ2653" s="149"/>
      <c r="AK2653" s="295"/>
      <c r="AL2653" s="149"/>
      <c r="AM2653" s="66"/>
      <c r="AN2653" s="149"/>
      <c r="AO2653" s="66"/>
      <c r="AP2653" s="149"/>
      <c r="AQ2653" s="66"/>
      <c r="AR2653" s="149"/>
      <c r="AS2653" s="66"/>
      <c r="AT2653" s="149"/>
      <c r="AU2653" s="66"/>
      <c r="AV2653" s="149"/>
      <c r="AW2653" s="66"/>
      <c r="AX2653" s="149"/>
      <c r="AY2653" s="295"/>
      <c r="AZ2653" s="149"/>
      <c r="BA2653" s="66"/>
      <c r="BB2653" s="149"/>
      <c r="BC2653" s="66"/>
      <c r="BD2653" s="149"/>
      <c r="BE2653" s="67"/>
      <c r="BF2653" s="150"/>
      <c r="BG2653" s="68"/>
      <c r="BI2653" s="69">
        <v>0</v>
      </c>
      <c r="BJ2653" s="70">
        <v>0</v>
      </c>
      <c r="BK2653" s="71">
        <v>0</v>
      </c>
      <c r="BL2653" s="71">
        <v>0</v>
      </c>
      <c r="BM2653" s="71">
        <v>0</v>
      </c>
      <c r="BN2653" s="72">
        <v>0</v>
      </c>
      <c r="BO2653" s="151" t="e">
        <f t="shared" si="179"/>
        <v>#DIV/0!</v>
      </c>
      <c r="BP2653" s="151" t="e">
        <f t="shared" si="180"/>
        <v>#DIV/0!</v>
      </c>
      <c r="BQ2653" s="71">
        <v>0</v>
      </c>
      <c r="BR2653" s="71">
        <v>0</v>
      </c>
      <c r="BS2653" s="71">
        <v>0</v>
      </c>
      <c r="BT2653" s="72">
        <v>0</v>
      </c>
      <c r="BU2653" s="151" t="e">
        <f t="shared" si="181"/>
        <v>#DIV/0!</v>
      </c>
      <c r="BV2653" s="151" t="e">
        <f t="shared" si="182"/>
        <v>#DIV/0!</v>
      </c>
    </row>
    <row r="2654" ht="30" customHeight="1" spans="1:74">
      <c r="A2654" s="55">
        <v>0</v>
      </c>
      <c r="B2654" s="56">
        <v>0</v>
      </c>
      <c r="C2654" s="57">
        <v>0</v>
      </c>
      <c r="D2654" s="74"/>
      <c r="E2654" s="74"/>
      <c r="F2654" s="59"/>
      <c r="G2654" s="289" t="e">
        <v>#N/A</v>
      </c>
      <c r="H2654" s="74"/>
      <c r="I2654" s="291"/>
      <c r="J2654" s="294"/>
      <c r="K2654" s="61">
        <v>0.53</v>
      </c>
      <c r="L2654" s="62">
        <v>0</v>
      </c>
      <c r="M2654" s="63">
        <v>0</v>
      </c>
      <c r="N2654" s="64">
        <v>0</v>
      </c>
      <c r="O2654" s="62">
        <v>0</v>
      </c>
      <c r="P2654" s="65">
        <f t="shared" si="183"/>
        <v>0</v>
      </c>
      <c r="Q2654" s="66"/>
      <c r="R2654" s="66"/>
      <c r="S2654" s="66"/>
      <c r="T2654" s="66"/>
      <c r="U2654" s="66"/>
      <c r="V2654" s="66"/>
      <c r="W2654" s="66"/>
      <c r="X2654" s="66"/>
      <c r="Y2654" s="66"/>
      <c r="Z2654" s="66"/>
      <c r="AA2654" s="66"/>
      <c r="AB2654" s="66"/>
      <c r="AC2654" s="66"/>
      <c r="AD2654" s="66"/>
      <c r="AE2654" s="66"/>
      <c r="AF2654" s="66"/>
      <c r="AG2654" s="66"/>
      <c r="AH2654" s="66"/>
      <c r="AI2654" s="66"/>
      <c r="AJ2654" s="66"/>
      <c r="AK2654" s="66"/>
      <c r="AL2654" s="66"/>
      <c r="AM2654" s="66"/>
      <c r="AN2654" s="66"/>
      <c r="AO2654" s="66"/>
      <c r="AP2654" s="66"/>
      <c r="AQ2654" s="66"/>
      <c r="AR2654" s="66"/>
      <c r="AS2654" s="66"/>
      <c r="AT2654" s="66"/>
      <c r="AU2654" s="66"/>
      <c r="AV2654" s="66"/>
      <c r="AW2654" s="66"/>
      <c r="AX2654" s="66"/>
      <c r="AY2654" s="66"/>
      <c r="AZ2654" s="66"/>
      <c r="BA2654" s="66"/>
      <c r="BB2654" s="66"/>
      <c r="BC2654" s="66"/>
      <c r="BD2654" s="66"/>
      <c r="BE2654" s="67"/>
      <c r="BF2654" s="67"/>
      <c r="BG2654" s="68"/>
      <c r="BI2654" s="69">
        <v>0</v>
      </c>
      <c r="BJ2654" s="70">
        <v>0</v>
      </c>
      <c r="BK2654" s="71">
        <v>0</v>
      </c>
      <c r="BL2654" s="71">
        <v>0</v>
      </c>
      <c r="BM2654" s="71">
        <v>0</v>
      </c>
      <c r="BN2654" s="72">
        <v>0</v>
      </c>
      <c r="BO2654" s="151" t="e">
        <f t="shared" si="179"/>
        <v>#DIV/0!</v>
      </c>
      <c r="BP2654" s="151" t="e">
        <f t="shared" si="180"/>
        <v>#DIV/0!</v>
      </c>
      <c r="BQ2654" s="71">
        <v>0</v>
      </c>
      <c r="BR2654" s="71">
        <v>0</v>
      </c>
      <c r="BS2654" s="71">
        <v>0</v>
      </c>
      <c r="BT2654" s="72">
        <v>0</v>
      </c>
      <c r="BU2654" s="151" t="e">
        <f t="shared" si="181"/>
        <v>#DIV/0!</v>
      </c>
      <c r="BV2654" s="151" t="e">
        <f t="shared" si="182"/>
        <v>#DIV/0!</v>
      </c>
    </row>
    <row r="2655" ht="30" customHeight="1" spans="1:74">
      <c r="A2655" s="55">
        <v>0</v>
      </c>
      <c r="B2655" s="56"/>
      <c r="C2655" s="57"/>
      <c r="D2655" s="152"/>
      <c r="E2655" s="152"/>
      <c r="F2655" s="59"/>
      <c r="G2655" s="59"/>
      <c r="H2655" s="152"/>
      <c r="I2655" s="152"/>
      <c r="J2655" s="87"/>
      <c r="K2655" s="61"/>
      <c r="L2655" s="62">
        <v>0</v>
      </c>
      <c r="M2655" s="63">
        <v>0</v>
      </c>
      <c r="N2655" s="64">
        <v>0</v>
      </c>
      <c r="O2655" s="62">
        <v>0</v>
      </c>
      <c r="P2655" s="65">
        <f t="shared" si="183"/>
        <v>0</v>
      </c>
      <c r="Q2655" s="66"/>
      <c r="R2655" s="66"/>
      <c r="S2655" s="66"/>
      <c r="T2655" s="66"/>
      <c r="U2655" s="66"/>
      <c r="V2655" s="66"/>
      <c r="W2655" s="66"/>
      <c r="X2655" s="66"/>
      <c r="Y2655" s="66"/>
      <c r="Z2655" s="66"/>
      <c r="AA2655" s="66"/>
      <c r="AB2655" s="66"/>
      <c r="AC2655" s="66"/>
      <c r="AD2655" s="66"/>
      <c r="AE2655" s="66"/>
      <c r="AF2655" s="66"/>
      <c r="AG2655" s="66"/>
      <c r="AH2655" s="66"/>
      <c r="AI2655" s="66"/>
      <c r="AJ2655" s="66"/>
      <c r="AK2655" s="66"/>
      <c r="AL2655" s="66"/>
      <c r="AM2655" s="66"/>
      <c r="AN2655" s="66"/>
      <c r="AO2655" s="66"/>
      <c r="AP2655" s="66"/>
      <c r="AQ2655" s="66"/>
      <c r="AR2655" s="66"/>
      <c r="AS2655" s="66"/>
      <c r="AT2655" s="66"/>
      <c r="AU2655" s="66"/>
      <c r="AV2655" s="66"/>
      <c r="AW2655" s="66"/>
      <c r="AX2655" s="66"/>
      <c r="AY2655" s="66"/>
      <c r="AZ2655" s="66"/>
      <c r="BA2655" s="66"/>
      <c r="BB2655" s="66"/>
      <c r="BC2655" s="66"/>
      <c r="BD2655" s="66"/>
      <c r="BE2655" s="67"/>
      <c r="BF2655" s="67"/>
      <c r="BG2655" s="68"/>
      <c r="BI2655" s="69">
        <v>0</v>
      </c>
      <c r="BJ2655" s="70">
        <v>0</v>
      </c>
      <c r="BK2655" s="71">
        <v>0</v>
      </c>
      <c r="BL2655" s="71">
        <v>0</v>
      </c>
      <c r="BM2655" s="71">
        <v>0</v>
      </c>
      <c r="BN2655" s="72">
        <v>0</v>
      </c>
      <c r="BO2655" s="151" t="e">
        <f t="shared" si="179"/>
        <v>#DIV/0!</v>
      </c>
      <c r="BP2655" s="151" t="e">
        <f t="shared" si="180"/>
        <v>#DIV/0!</v>
      </c>
      <c r="BQ2655" s="71">
        <v>0</v>
      </c>
      <c r="BR2655" s="71">
        <v>0</v>
      </c>
      <c r="BS2655" s="71">
        <v>0</v>
      </c>
      <c r="BT2655" s="72">
        <v>0</v>
      </c>
      <c r="BU2655" s="151" t="e">
        <f t="shared" si="181"/>
        <v>#DIV/0!</v>
      </c>
      <c r="BV2655" s="151" t="e">
        <f t="shared" si="182"/>
        <v>#DIV/0!</v>
      </c>
    </row>
    <row r="2656" ht="30" customHeight="1" spans="1:74">
      <c r="A2656" s="55" t="s">
        <v>4067</v>
      </c>
      <c r="B2656" s="56" t="s">
        <v>1237</v>
      </c>
      <c r="C2656" s="57" t="s">
        <v>3341</v>
      </c>
      <c r="D2656" s="59" t="s">
        <v>4068</v>
      </c>
      <c r="E2656" s="59" t="s">
        <v>4069</v>
      </c>
      <c r="F2656" s="59" t="str">
        <f>VLOOKUP(E2656,[1]库存!$B$1:$C$65536,2,FALSE)</f>
        <v>NIO FORCE 绑带总成-12V电池</v>
      </c>
      <c r="G2656" s="59" t="s">
        <v>4070</v>
      </c>
      <c r="H2656" s="59" t="s">
        <v>4071</v>
      </c>
      <c r="I2656" s="59" t="s">
        <v>4072</v>
      </c>
      <c r="J2656" s="80" t="s">
        <v>65</v>
      </c>
      <c r="K2656" s="61"/>
      <c r="L2656" s="62">
        <v>1</v>
      </c>
      <c r="M2656" s="63">
        <v>800</v>
      </c>
      <c r="N2656" s="64">
        <v>2</v>
      </c>
      <c r="O2656" s="62">
        <v>1</v>
      </c>
      <c r="P2656" s="65">
        <f t="shared" si="183"/>
        <v>0</v>
      </c>
      <c r="Q2656" s="149"/>
      <c r="R2656" s="149"/>
      <c r="S2656" s="149"/>
      <c r="T2656" s="149"/>
      <c r="U2656" s="149"/>
      <c r="V2656" s="149"/>
      <c r="W2656" s="149"/>
      <c r="X2656" s="149"/>
      <c r="Y2656" s="149"/>
      <c r="Z2656" s="149"/>
      <c r="AA2656" s="149"/>
      <c r="AB2656" s="149"/>
      <c r="AC2656" s="149"/>
      <c r="AD2656" s="149"/>
      <c r="AE2656" s="149"/>
      <c r="AF2656" s="149"/>
      <c r="AG2656" s="149"/>
      <c r="AH2656" s="149"/>
      <c r="AI2656" s="149"/>
      <c r="AJ2656" s="149"/>
      <c r="AK2656" s="149"/>
      <c r="AL2656" s="149"/>
      <c r="AM2656" s="149"/>
      <c r="AN2656" s="149"/>
      <c r="AO2656" s="149"/>
      <c r="AP2656" s="149"/>
      <c r="AQ2656" s="149"/>
      <c r="AR2656" s="149"/>
      <c r="AS2656" s="149"/>
      <c r="AT2656" s="149"/>
      <c r="AU2656" s="149"/>
      <c r="AV2656" s="149"/>
      <c r="AW2656" s="149"/>
      <c r="AX2656" s="149"/>
      <c r="AY2656" s="149"/>
      <c r="AZ2656" s="149"/>
      <c r="BA2656" s="149"/>
      <c r="BB2656" s="149"/>
      <c r="BC2656" s="149"/>
      <c r="BD2656" s="149"/>
      <c r="BE2656" s="150"/>
      <c r="BF2656" s="150"/>
      <c r="BG2656" s="68"/>
      <c r="BI2656" s="69">
        <v>0</v>
      </c>
      <c r="BJ2656" s="70">
        <v>0</v>
      </c>
      <c r="BK2656" s="71">
        <v>0</v>
      </c>
      <c r="BL2656" s="71">
        <v>0</v>
      </c>
      <c r="BM2656" s="71">
        <v>0</v>
      </c>
      <c r="BN2656" s="72">
        <v>0</v>
      </c>
      <c r="BO2656" s="151" t="e">
        <f t="shared" si="179"/>
        <v>#DIV/0!</v>
      </c>
      <c r="BP2656" s="151" t="e">
        <f t="shared" si="180"/>
        <v>#DIV/0!</v>
      </c>
      <c r="BQ2656" s="71">
        <v>0</v>
      </c>
      <c r="BR2656" s="71">
        <v>0</v>
      </c>
      <c r="BS2656" s="71">
        <v>0</v>
      </c>
      <c r="BT2656" s="72">
        <v>0</v>
      </c>
      <c r="BU2656" s="151" t="e">
        <f t="shared" si="181"/>
        <v>#DIV/0!</v>
      </c>
      <c r="BV2656" s="151" t="e">
        <f t="shared" si="182"/>
        <v>#DIV/0!</v>
      </c>
    </row>
    <row r="2657" ht="30" customHeight="1" spans="1:74">
      <c r="A2657" s="55">
        <v>0</v>
      </c>
      <c r="B2657" s="56">
        <v>0</v>
      </c>
      <c r="C2657" s="57">
        <v>0</v>
      </c>
      <c r="D2657" s="74"/>
      <c r="E2657" s="74"/>
      <c r="F2657" s="59" t="e">
        <f>VLOOKUP(E2657,[1]库存!$B$1:$C$65536,2,FALSE)</f>
        <v>#N/A</v>
      </c>
      <c r="G2657" s="59" t="e">
        <v>#N/A</v>
      </c>
      <c r="H2657" s="74"/>
      <c r="I2657" s="74"/>
      <c r="J2657" s="81"/>
      <c r="K2657" s="61"/>
      <c r="L2657" s="62">
        <v>0</v>
      </c>
      <c r="M2657" s="63">
        <v>0</v>
      </c>
      <c r="N2657" s="64">
        <v>0</v>
      </c>
      <c r="O2657" s="62">
        <v>0</v>
      </c>
      <c r="P2657" s="65">
        <f t="shared" si="183"/>
        <v>0</v>
      </c>
      <c r="Q2657" s="66"/>
      <c r="R2657" s="66"/>
      <c r="S2657" s="66"/>
      <c r="T2657" s="66"/>
      <c r="U2657" s="66"/>
      <c r="V2657" s="66"/>
      <c r="W2657" s="66"/>
      <c r="X2657" s="66"/>
      <c r="Y2657" s="66"/>
      <c r="Z2657" s="66"/>
      <c r="AA2657" s="66"/>
      <c r="AB2657" s="66"/>
      <c r="AC2657" s="66"/>
      <c r="AD2657" s="66"/>
      <c r="AE2657" s="66"/>
      <c r="AF2657" s="66"/>
      <c r="AG2657" s="66"/>
      <c r="AH2657" s="66"/>
      <c r="AI2657" s="66"/>
      <c r="AJ2657" s="66"/>
      <c r="AK2657" s="66"/>
      <c r="AL2657" s="66"/>
      <c r="AM2657" s="66"/>
      <c r="AN2657" s="66"/>
      <c r="AO2657" s="66"/>
      <c r="AP2657" s="66"/>
      <c r="AQ2657" s="66"/>
      <c r="AR2657" s="66"/>
      <c r="AS2657" s="66"/>
      <c r="AT2657" s="66"/>
      <c r="AU2657" s="66"/>
      <c r="AV2657" s="66"/>
      <c r="AW2657" s="66"/>
      <c r="AX2657" s="66"/>
      <c r="AY2657" s="66"/>
      <c r="AZ2657" s="66"/>
      <c r="BA2657" s="66"/>
      <c r="BB2657" s="66"/>
      <c r="BC2657" s="66"/>
      <c r="BD2657" s="66"/>
      <c r="BE2657" s="67"/>
      <c r="BF2657" s="67"/>
      <c r="BG2657" s="68"/>
      <c r="BI2657" s="69">
        <v>0</v>
      </c>
      <c r="BJ2657" s="70">
        <v>0</v>
      </c>
      <c r="BK2657" s="71">
        <v>0</v>
      </c>
      <c r="BL2657" s="71">
        <v>0</v>
      </c>
      <c r="BM2657" s="71">
        <v>0</v>
      </c>
      <c r="BN2657" s="72">
        <v>0</v>
      </c>
      <c r="BO2657" s="151" t="e">
        <f t="shared" si="179"/>
        <v>#DIV/0!</v>
      </c>
      <c r="BP2657" s="151" t="e">
        <f t="shared" si="180"/>
        <v>#DIV/0!</v>
      </c>
      <c r="BQ2657" s="71">
        <v>0</v>
      </c>
      <c r="BR2657" s="71">
        <v>0</v>
      </c>
      <c r="BS2657" s="71">
        <v>0</v>
      </c>
      <c r="BT2657" s="72">
        <v>0</v>
      </c>
      <c r="BU2657" s="151" t="e">
        <f t="shared" si="181"/>
        <v>#DIV/0!</v>
      </c>
      <c r="BV2657" s="151" t="e">
        <f t="shared" si="182"/>
        <v>#DIV/0!</v>
      </c>
    </row>
    <row r="2658" ht="30" customHeight="1" spans="1:74">
      <c r="A2658" s="55" t="s">
        <v>4073</v>
      </c>
      <c r="B2658" s="56" t="s">
        <v>1237</v>
      </c>
      <c r="C2658" s="57" t="s">
        <v>3341</v>
      </c>
      <c r="D2658" s="59" t="s">
        <v>4068</v>
      </c>
      <c r="E2658" s="59" t="s">
        <v>4074</v>
      </c>
      <c r="F2658" s="59" t="str">
        <f>VLOOKUP(E2658,[1]库存!$B$1:$C$65536,2,FALSE)</f>
        <v>NIO PEGASUS LHD绑带总成-12V电池</v>
      </c>
      <c r="G2658" s="59" t="s">
        <v>4075</v>
      </c>
      <c r="H2658" s="59" t="s">
        <v>4076</v>
      </c>
      <c r="I2658" s="59" t="s">
        <v>4077</v>
      </c>
      <c r="J2658" s="63"/>
      <c r="K2658" s="61"/>
      <c r="L2658" s="62">
        <v>1</v>
      </c>
      <c r="M2658" s="63">
        <v>1000</v>
      </c>
      <c r="N2658" s="64">
        <v>3</v>
      </c>
      <c r="O2658" s="62">
        <v>1</v>
      </c>
      <c r="P2658" s="65">
        <f t="shared" si="183"/>
        <v>0</v>
      </c>
      <c r="Q2658" s="149"/>
      <c r="R2658" s="149"/>
      <c r="S2658" s="149"/>
      <c r="T2658" s="149"/>
      <c r="U2658" s="149"/>
      <c r="V2658" s="149"/>
      <c r="W2658" s="149"/>
      <c r="X2658" s="149"/>
      <c r="Y2658" s="149"/>
      <c r="Z2658" s="149"/>
      <c r="AA2658" s="149"/>
      <c r="AB2658" s="149"/>
      <c r="AC2658" s="149"/>
      <c r="AD2658" s="149"/>
      <c r="AE2658" s="149"/>
      <c r="AF2658" s="149"/>
      <c r="AG2658" s="149"/>
      <c r="AH2658" s="149"/>
      <c r="AI2658" s="149"/>
      <c r="AJ2658" s="149"/>
      <c r="AK2658" s="149"/>
      <c r="AL2658" s="149"/>
      <c r="AM2658" s="149"/>
      <c r="AN2658" s="149"/>
      <c r="AO2658" s="149"/>
      <c r="AP2658" s="149"/>
      <c r="AQ2658" s="149"/>
      <c r="AR2658" s="149"/>
      <c r="AS2658" s="149"/>
      <c r="AT2658" s="149"/>
      <c r="AU2658" s="149"/>
      <c r="AV2658" s="149"/>
      <c r="AW2658" s="149"/>
      <c r="AX2658" s="149"/>
      <c r="AY2658" s="149"/>
      <c r="AZ2658" s="149"/>
      <c r="BA2658" s="149"/>
      <c r="BB2658" s="149"/>
      <c r="BC2658" s="149"/>
      <c r="BD2658" s="149"/>
      <c r="BE2658" s="150"/>
      <c r="BF2658" s="150"/>
      <c r="BG2658" s="68"/>
      <c r="BI2658" s="69">
        <v>0</v>
      </c>
      <c r="BJ2658" s="70">
        <v>0</v>
      </c>
      <c r="BK2658" s="71">
        <v>0</v>
      </c>
      <c r="BL2658" s="71">
        <v>0</v>
      </c>
      <c r="BM2658" s="71">
        <v>0</v>
      </c>
      <c r="BN2658" s="72">
        <v>0</v>
      </c>
      <c r="BO2658" s="151" t="e">
        <f t="shared" si="179"/>
        <v>#DIV/0!</v>
      </c>
      <c r="BP2658" s="151" t="e">
        <f t="shared" si="180"/>
        <v>#DIV/0!</v>
      </c>
      <c r="BQ2658" s="71">
        <v>0</v>
      </c>
      <c r="BR2658" s="71">
        <v>0</v>
      </c>
      <c r="BS2658" s="71">
        <v>0</v>
      </c>
      <c r="BT2658" s="72">
        <v>0</v>
      </c>
      <c r="BU2658" s="151" t="e">
        <f t="shared" si="181"/>
        <v>#DIV/0!</v>
      </c>
      <c r="BV2658" s="151" t="e">
        <f t="shared" si="182"/>
        <v>#DIV/0!</v>
      </c>
    </row>
    <row r="2659" ht="30" customHeight="1" spans="1:74">
      <c r="A2659" s="55">
        <v>0</v>
      </c>
      <c r="B2659" s="56">
        <v>0</v>
      </c>
      <c r="C2659" s="57">
        <v>0</v>
      </c>
      <c r="D2659" s="74"/>
      <c r="E2659" s="74"/>
      <c r="F2659" s="59" t="e">
        <f>VLOOKUP(E2659,[1]库存!$B$1:$C$65536,2,FALSE)</f>
        <v>#N/A</v>
      </c>
      <c r="G2659" s="59" t="e">
        <v>#N/A</v>
      </c>
      <c r="H2659" s="74"/>
      <c r="I2659" s="74"/>
      <c r="J2659" s="87"/>
      <c r="K2659" s="61"/>
      <c r="L2659" s="62">
        <v>0</v>
      </c>
      <c r="M2659" s="63">
        <v>0</v>
      </c>
      <c r="N2659" s="64">
        <v>0</v>
      </c>
      <c r="O2659" s="62">
        <v>0</v>
      </c>
      <c r="P2659" s="65">
        <f t="shared" si="183"/>
        <v>0</v>
      </c>
      <c r="Q2659" s="66"/>
      <c r="R2659" s="66"/>
      <c r="S2659" s="66"/>
      <c r="T2659" s="66"/>
      <c r="U2659" s="66"/>
      <c r="V2659" s="66"/>
      <c r="W2659" s="66"/>
      <c r="X2659" s="66"/>
      <c r="Y2659" s="66"/>
      <c r="Z2659" s="66"/>
      <c r="AA2659" s="66"/>
      <c r="AB2659" s="66"/>
      <c r="AC2659" s="66"/>
      <c r="AD2659" s="66"/>
      <c r="AE2659" s="66"/>
      <c r="AF2659" s="66"/>
      <c r="AG2659" s="66"/>
      <c r="AH2659" s="66"/>
      <c r="AI2659" s="66"/>
      <c r="AJ2659" s="66"/>
      <c r="AK2659" s="66"/>
      <c r="AL2659" s="66"/>
      <c r="AM2659" s="66"/>
      <c r="AN2659" s="66"/>
      <c r="AO2659" s="66"/>
      <c r="AP2659" s="66"/>
      <c r="AQ2659" s="66"/>
      <c r="AR2659" s="66"/>
      <c r="AS2659" s="66"/>
      <c r="AT2659" s="66"/>
      <c r="AU2659" s="66"/>
      <c r="AV2659" s="66"/>
      <c r="AW2659" s="66"/>
      <c r="AX2659" s="66"/>
      <c r="AY2659" s="66"/>
      <c r="AZ2659" s="66"/>
      <c r="BA2659" s="66"/>
      <c r="BB2659" s="66"/>
      <c r="BC2659" s="66"/>
      <c r="BD2659" s="66"/>
      <c r="BE2659" s="67"/>
      <c r="BF2659" s="67"/>
      <c r="BG2659" s="68"/>
      <c r="BI2659" s="69">
        <v>0</v>
      </c>
      <c r="BJ2659" s="70">
        <v>0</v>
      </c>
      <c r="BK2659" s="71">
        <v>0</v>
      </c>
      <c r="BL2659" s="71">
        <v>0</v>
      </c>
      <c r="BM2659" s="71">
        <v>0</v>
      </c>
      <c r="BN2659" s="72">
        <v>0</v>
      </c>
      <c r="BO2659" s="151" t="e">
        <f t="shared" si="179"/>
        <v>#DIV/0!</v>
      </c>
      <c r="BP2659" s="151" t="e">
        <f t="shared" si="180"/>
        <v>#DIV/0!</v>
      </c>
      <c r="BQ2659" s="71">
        <v>0</v>
      </c>
      <c r="BR2659" s="71">
        <v>0</v>
      </c>
      <c r="BS2659" s="71">
        <v>0</v>
      </c>
      <c r="BT2659" s="72">
        <v>0</v>
      </c>
      <c r="BU2659" s="151" t="e">
        <f t="shared" si="181"/>
        <v>#DIV/0!</v>
      </c>
      <c r="BV2659" s="151" t="e">
        <f t="shared" si="182"/>
        <v>#DIV/0!</v>
      </c>
    </row>
    <row r="2660" ht="30" customHeight="1" spans="1:74">
      <c r="A2660" s="55" t="s">
        <v>4067</v>
      </c>
      <c r="B2660" s="56" t="s">
        <v>1237</v>
      </c>
      <c r="C2660" s="57" t="s">
        <v>3341</v>
      </c>
      <c r="D2660" s="59" t="s">
        <v>4068</v>
      </c>
      <c r="E2660" s="59" t="s">
        <v>4078</v>
      </c>
      <c r="F2660" s="59" t="str">
        <f>VLOOKUP(E2660,[1]库存!$B$1:$C$65536,2,FALSE)</f>
        <v>NIO SIRIUS 绑带总成-12V电池</v>
      </c>
      <c r="G2660" s="59" t="s">
        <v>4079</v>
      </c>
      <c r="H2660" s="59" t="s">
        <v>4080</v>
      </c>
      <c r="I2660" s="59" t="s">
        <v>4072</v>
      </c>
      <c r="J2660" s="63"/>
      <c r="K2660" s="61"/>
      <c r="L2660" s="62">
        <v>1</v>
      </c>
      <c r="M2660" s="63">
        <v>1400</v>
      </c>
      <c r="N2660" s="64">
        <v>3</v>
      </c>
      <c r="O2660" s="62">
        <v>1</v>
      </c>
      <c r="P2660" s="65">
        <f t="shared" si="183"/>
        <v>0</v>
      </c>
      <c r="Q2660" s="149"/>
      <c r="R2660" s="149"/>
      <c r="S2660" s="149"/>
      <c r="T2660" s="149"/>
      <c r="U2660" s="149"/>
      <c r="V2660" s="149"/>
      <c r="W2660" s="149"/>
      <c r="X2660" s="149"/>
      <c r="Y2660" s="149"/>
      <c r="Z2660" s="149"/>
      <c r="AA2660" s="149"/>
      <c r="AB2660" s="149"/>
      <c r="AC2660" s="149"/>
      <c r="AD2660" s="149"/>
      <c r="AE2660" s="149"/>
      <c r="AF2660" s="149"/>
      <c r="AG2660" s="149"/>
      <c r="AH2660" s="149"/>
      <c r="AI2660" s="149"/>
      <c r="AJ2660" s="149"/>
      <c r="AK2660" s="149"/>
      <c r="AL2660" s="149"/>
      <c r="AM2660" s="149"/>
      <c r="AN2660" s="149"/>
      <c r="AO2660" s="149"/>
      <c r="AP2660" s="149"/>
      <c r="AQ2660" s="149"/>
      <c r="AR2660" s="149"/>
      <c r="AS2660" s="149"/>
      <c r="AT2660" s="149"/>
      <c r="AU2660" s="149"/>
      <c r="AV2660" s="149"/>
      <c r="AW2660" s="149"/>
      <c r="AX2660" s="149"/>
      <c r="AY2660" s="149"/>
      <c r="AZ2660" s="149"/>
      <c r="BA2660" s="149"/>
      <c r="BB2660" s="149"/>
      <c r="BC2660" s="149"/>
      <c r="BD2660" s="149"/>
      <c r="BE2660" s="150"/>
      <c r="BF2660" s="150"/>
      <c r="BG2660" s="68"/>
      <c r="BI2660" s="69">
        <v>0</v>
      </c>
      <c r="BJ2660" s="70">
        <v>0</v>
      </c>
      <c r="BK2660" s="71">
        <v>0</v>
      </c>
      <c r="BL2660" s="71">
        <v>0</v>
      </c>
      <c r="BM2660" s="71">
        <v>0</v>
      </c>
      <c r="BN2660" s="72">
        <v>0</v>
      </c>
      <c r="BO2660" s="151" t="e">
        <f t="shared" si="179"/>
        <v>#DIV/0!</v>
      </c>
      <c r="BP2660" s="151" t="e">
        <f t="shared" si="180"/>
        <v>#DIV/0!</v>
      </c>
      <c r="BQ2660" s="71">
        <v>0</v>
      </c>
      <c r="BR2660" s="71">
        <v>0</v>
      </c>
      <c r="BS2660" s="71">
        <v>0</v>
      </c>
      <c r="BT2660" s="72">
        <v>0</v>
      </c>
      <c r="BU2660" s="151" t="e">
        <f t="shared" si="181"/>
        <v>#DIV/0!</v>
      </c>
      <c r="BV2660" s="151" t="e">
        <f t="shared" si="182"/>
        <v>#DIV/0!</v>
      </c>
    </row>
    <row r="2661" ht="30" customHeight="1" spans="1:74">
      <c r="A2661" s="55">
        <v>0</v>
      </c>
      <c r="B2661" s="56">
        <v>0</v>
      </c>
      <c r="C2661" s="57">
        <v>0</v>
      </c>
      <c r="D2661" s="152"/>
      <c r="E2661" s="152"/>
      <c r="F2661" s="59" t="e">
        <f>VLOOKUP(E2661,[1]库存!$B$1:$C$65536,2,FALSE)</f>
        <v>#N/A</v>
      </c>
      <c r="G2661" s="59" t="e">
        <v>#N/A</v>
      </c>
      <c r="H2661" s="152"/>
      <c r="I2661" s="152"/>
      <c r="J2661" s="87"/>
      <c r="K2661" s="61"/>
      <c r="L2661" s="153">
        <v>0</v>
      </c>
      <c r="M2661" s="63">
        <v>0</v>
      </c>
      <c r="N2661" s="64">
        <v>0</v>
      </c>
      <c r="O2661" s="153">
        <v>0</v>
      </c>
      <c r="P2661" s="65">
        <f t="shared" si="183"/>
        <v>0</v>
      </c>
      <c r="Q2661" s="66"/>
      <c r="R2661" s="66"/>
      <c r="S2661" s="66"/>
      <c r="T2661" s="66"/>
      <c r="U2661" s="66"/>
      <c r="V2661" s="66"/>
      <c r="W2661" s="66"/>
      <c r="X2661" s="66"/>
      <c r="Y2661" s="66"/>
      <c r="Z2661" s="66"/>
      <c r="AA2661" s="66"/>
      <c r="AB2661" s="66"/>
      <c r="AC2661" s="66"/>
      <c r="AD2661" s="66"/>
      <c r="AE2661" s="66"/>
      <c r="AF2661" s="66"/>
      <c r="AG2661" s="66"/>
      <c r="AH2661" s="66"/>
      <c r="AI2661" s="66"/>
      <c r="AJ2661" s="66"/>
      <c r="AK2661" s="66"/>
      <c r="AL2661" s="66"/>
      <c r="AM2661" s="66"/>
      <c r="AN2661" s="66"/>
      <c r="AO2661" s="66"/>
      <c r="AP2661" s="66"/>
      <c r="AQ2661" s="66"/>
      <c r="AR2661" s="66"/>
      <c r="AS2661" s="66"/>
      <c r="AT2661" s="66"/>
      <c r="AU2661" s="66"/>
      <c r="AV2661" s="66"/>
      <c r="AW2661" s="66"/>
      <c r="AX2661" s="66"/>
      <c r="AY2661" s="66"/>
      <c r="AZ2661" s="66"/>
      <c r="BA2661" s="66"/>
      <c r="BB2661" s="66"/>
      <c r="BC2661" s="66"/>
      <c r="BD2661" s="66"/>
      <c r="BE2661" s="67"/>
      <c r="BF2661" s="67"/>
      <c r="BG2661" s="68"/>
      <c r="BI2661" s="69">
        <v>0</v>
      </c>
      <c r="BJ2661" s="70">
        <v>0</v>
      </c>
      <c r="BK2661" s="71">
        <v>0</v>
      </c>
      <c r="BL2661" s="71">
        <v>0</v>
      </c>
      <c r="BM2661" s="71">
        <v>0</v>
      </c>
      <c r="BN2661" s="72">
        <v>0</v>
      </c>
      <c r="BO2661" s="151" t="e">
        <f t="shared" si="179"/>
        <v>#DIV/0!</v>
      </c>
      <c r="BP2661" s="151" t="e">
        <f t="shared" si="180"/>
        <v>#DIV/0!</v>
      </c>
      <c r="BQ2661" s="71">
        <v>0</v>
      </c>
      <c r="BR2661" s="71">
        <v>0</v>
      </c>
      <c r="BS2661" s="71">
        <v>0</v>
      </c>
      <c r="BT2661" s="72">
        <v>0</v>
      </c>
      <c r="BU2661" s="151" t="e">
        <f t="shared" si="181"/>
        <v>#DIV/0!</v>
      </c>
      <c r="BV2661" s="151" t="e">
        <f t="shared" si="182"/>
        <v>#DIV/0!</v>
      </c>
    </row>
    <row r="2662" ht="30" customHeight="1" spans="1:74">
      <c r="A2662" s="55" t="s">
        <v>4073</v>
      </c>
      <c r="B2662" s="56" t="s">
        <v>1237</v>
      </c>
      <c r="C2662" s="57" t="s">
        <v>3341</v>
      </c>
      <c r="D2662" s="59" t="s">
        <v>4068</v>
      </c>
      <c r="E2662" s="59" t="s">
        <v>4081</v>
      </c>
      <c r="F2662" s="59" t="str">
        <f>VLOOKUP(E2662,[1]库存!$B$1:$C$65536,2,FALSE)</f>
        <v>NIO LEO LHD 绑带总成-12V电池</v>
      </c>
      <c r="G2662" s="59" t="s">
        <v>4082</v>
      </c>
      <c r="H2662" s="59" t="s">
        <v>4083</v>
      </c>
      <c r="I2662" s="59" t="s">
        <v>4072</v>
      </c>
      <c r="J2662" s="63"/>
      <c r="K2662" s="61"/>
      <c r="L2662" s="62">
        <v>1</v>
      </c>
      <c r="M2662" s="63">
        <v>1400</v>
      </c>
      <c r="N2662" s="64">
        <v>3</v>
      </c>
      <c r="O2662" s="62">
        <v>1</v>
      </c>
      <c r="P2662" s="65">
        <f t="shared" si="183"/>
        <v>0</v>
      </c>
      <c r="Q2662" s="149"/>
      <c r="R2662" s="149"/>
      <c r="S2662" s="149"/>
      <c r="T2662" s="149"/>
      <c r="U2662" s="149"/>
      <c r="V2662" s="149"/>
      <c r="W2662" s="149"/>
      <c r="X2662" s="149"/>
      <c r="Y2662" s="149"/>
      <c r="Z2662" s="149"/>
      <c r="AA2662" s="149">
        <v>1400</v>
      </c>
      <c r="AB2662" s="149"/>
      <c r="AC2662" s="149"/>
      <c r="AD2662" s="149"/>
      <c r="AE2662" s="149"/>
      <c r="AF2662" s="149"/>
      <c r="AG2662" s="149"/>
      <c r="AH2662" s="149"/>
      <c r="AI2662" s="149"/>
      <c r="AJ2662" s="149"/>
      <c r="AK2662" s="149"/>
      <c r="AL2662" s="149"/>
      <c r="AM2662" s="149"/>
      <c r="AN2662" s="149"/>
      <c r="AO2662" s="149"/>
      <c r="AP2662" s="149"/>
      <c r="AQ2662" s="149"/>
      <c r="AR2662" s="149"/>
      <c r="AS2662" s="149"/>
      <c r="AT2662" s="149"/>
      <c r="AU2662" s="149"/>
      <c r="AV2662" s="149"/>
      <c r="AW2662" s="149"/>
      <c r="AX2662" s="149"/>
      <c r="AY2662" s="149"/>
      <c r="AZ2662" s="149"/>
      <c r="BA2662" s="149"/>
      <c r="BB2662" s="149"/>
      <c r="BC2662" s="149"/>
      <c r="BD2662" s="149"/>
      <c r="BE2662" s="150"/>
      <c r="BF2662" s="150"/>
      <c r="BG2662" s="68"/>
      <c r="BI2662" s="69">
        <v>0</v>
      </c>
      <c r="BJ2662" s="70">
        <v>0</v>
      </c>
      <c r="BK2662" s="71">
        <v>0</v>
      </c>
      <c r="BL2662" s="71">
        <v>0</v>
      </c>
      <c r="BM2662" s="71">
        <v>0</v>
      </c>
      <c r="BN2662" s="72">
        <v>0</v>
      </c>
      <c r="BO2662" s="151" t="e">
        <f t="shared" si="179"/>
        <v>#DIV/0!</v>
      </c>
      <c r="BP2662" s="151" t="e">
        <f t="shared" si="180"/>
        <v>#DIV/0!</v>
      </c>
      <c r="BQ2662" s="71">
        <v>0</v>
      </c>
      <c r="BR2662" s="71">
        <v>0</v>
      </c>
      <c r="BS2662" s="71">
        <v>0</v>
      </c>
      <c r="BT2662" s="72">
        <v>0</v>
      </c>
      <c r="BU2662" s="151" t="e">
        <f t="shared" si="181"/>
        <v>#DIV/0!</v>
      </c>
      <c r="BV2662" s="151" t="e">
        <f t="shared" si="182"/>
        <v>#DIV/0!</v>
      </c>
    </row>
    <row r="2663" ht="30" customHeight="1" spans="1:74">
      <c r="A2663" s="55">
        <v>0</v>
      </c>
      <c r="B2663" s="56">
        <v>0</v>
      </c>
      <c r="C2663" s="57">
        <v>0</v>
      </c>
      <c r="D2663" s="152"/>
      <c r="E2663" s="152"/>
      <c r="F2663" s="59" t="e">
        <f>VLOOKUP(E2663,[1]库存!$B$1:$C$65536,2,FALSE)</f>
        <v>#N/A</v>
      </c>
      <c r="G2663" s="59" t="e">
        <v>#N/A</v>
      </c>
      <c r="H2663" s="152"/>
      <c r="I2663" s="152"/>
      <c r="J2663" s="87"/>
      <c r="K2663" s="61"/>
      <c r="L2663" s="153">
        <v>0</v>
      </c>
      <c r="M2663" s="63">
        <v>0</v>
      </c>
      <c r="N2663" s="64">
        <v>0</v>
      </c>
      <c r="O2663" s="153">
        <v>0</v>
      </c>
      <c r="P2663" s="65">
        <f t="shared" si="183"/>
        <v>0</v>
      </c>
      <c r="Q2663" s="66"/>
      <c r="R2663" s="66"/>
      <c r="S2663" s="66"/>
      <c r="T2663" s="66"/>
      <c r="U2663" s="66"/>
      <c r="V2663" s="66"/>
      <c r="W2663" s="66"/>
      <c r="X2663" s="66"/>
      <c r="Y2663" s="66"/>
      <c r="Z2663" s="66"/>
      <c r="AA2663" s="66">
        <v>1096</v>
      </c>
      <c r="AB2663" s="66"/>
      <c r="AC2663" s="66"/>
      <c r="AD2663" s="66"/>
      <c r="AE2663" s="66"/>
      <c r="AF2663" s="66"/>
      <c r="AG2663" s="66"/>
      <c r="AH2663" s="66"/>
      <c r="AI2663" s="66"/>
      <c r="AJ2663" s="66"/>
      <c r="AK2663" s="66"/>
      <c r="AL2663" s="66"/>
      <c r="AM2663" s="66"/>
      <c r="AN2663" s="66"/>
      <c r="AO2663" s="66"/>
      <c r="AP2663" s="66"/>
      <c r="AQ2663" s="66"/>
      <c r="AR2663" s="66"/>
      <c r="AS2663" s="66"/>
      <c r="AT2663" s="66"/>
      <c r="AU2663" s="66"/>
      <c r="AV2663" s="66"/>
      <c r="AW2663" s="66"/>
      <c r="AX2663" s="66"/>
      <c r="AY2663" s="66"/>
      <c r="AZ2663" s="66"/>
      <c r="BA2663" s="66"/>
      <c r="BB2663" s="66"/>
      <c r="BC2663" s="66"/>
      <c r="BD2663" s="66"/>
      <c r="BE2663" s="67"/>
      <c r="BF2663" s="67"/>
      <c r="BG2663" s="68"/>
      <c r="BI2663" s="69">
        <v>0</v>
      </c>
      <c r="BJ2663" s="70">
        <v>0</v>
      </c>
      <c r="BK2663" s="71">
        <v>0</v>
      </c>
      <c r="BL2663" s="71">
        <v>0</v>
      </c>
      <c r="BM2663" s="71">
        <v>0</v>
      </c>
      <c r="BN2663" s="72">
        <v>0</v>
      </c>
      <c r="BO2663" s="151" t="e">
        <f t="shared" si="179"/>
        <v>#DIV/0!</v>
      </c>
      <c r="BP2663" s="151" t="e">
        <f t="shared" si="180"/>
        <v>#DIV/0!</v>
      </c>
      <c r="BQ2663" s="71">
        <v>0</v>
      </c>
      <c r="BR2663" s="71">
        <v>0</v>
      </c>
      <c r="BS2663" s="71">
        <v>0</v>
      </c>
      <c r="BT2663" s="72">
        <v>0</v>
      </c>
      <c r="BU2663" s="151" t="e">
        <f t="shared" si="181"/>
        <v>#DIV/0!</v>
      </c>
      <c r="BV2663" s="151" t="e">
        <f t="shared" si="182"/>
        <v>#DIV/0!</v>
      </c>
    </row>
    <row r="2664" ht="30" customHeight="1" spans="1:74">
      <c r="A2664" s="55">
        <v>0</v>
      </c>
      <c r="B2664" s="56">
        <v>0</v>
      </c>
      <c r="C2664" s="56">
        <v>0</v>
      </c>
      <c r="D2664" s="107"/>
      <c r="E2664" s="107"/>
      <c r="F2664" s="52" t="e">
        <f>VLOOKUP(E2664,[1]库存!$B$1:$C$65536,2,FALSE)</f>
        <v>#N/A</v>
      </c>
      <c r="G2664" s="52" t="e">
        <v>#N/A</v>
      </c>
      <c r="H2664" s="238"/>
      <c r="I2664" s="107"/>
      <c r="J2664" s="107"/>
      <c r="K2664" s="181"/>
      <c r="L2664" s="182">
        <v>0</v>
      </c>
      <c r="M2664" s="52">
        <v>0</v>
      </c>
      <c r="N2664" s="56">
        <v>0</v>
      </c>
      <c r="O2664" s="62">
        <v>0</v>
      </c>
      <c r="P2664" s="65">
        <f t="shared" si="183"/>
        <v>0</v>
      </c>
      <c r="Q2664" s="66"/>
      <c r="R2664" s="66"/>
      <c r="S2664" s="66"/>
      <c r="T2664" s="66"/>
      <c r="U2664" s="66"/>
      <c r="V2664" s="66"/>
      <c r="W2664" s="66"/>
      <c r="X2664" s="66"/>
      <c r="Y2664" s="66"/>
      <c r="Z2664" s="66"/>
      <c r="AA2664" s="66"/>
      <c r="AB2664" s="66"/>
      <c r="AC2664" s="66"/>
      <c r="AD2664" s="66"/>
      <c r="AE2664" s="66"/>
      <c r="AF2664" s="66"/>
      <c r="AG2664" s="66"/>
      <c r="AH2664" s="66"/>
      <c r="AI2664" s="66"/>
      <c r="AJ2664" s="66"/>
      <c r="AK2664" s="66"/>
      <c r="AL2664" s="66"/>
      <c r="AM2664" s="66"/>
      <c r="AN2664" s="66"/>
      <c r="AO2664" s="66"/>
      <c r="AP2664" s="66"/>
      <c r="AQ2664" s="66"/>
      <c r="AR2664" s="66"/>
      <c r="AS2664" s="66"/>
      <c r="AT2664" s="66"/>
      <c r="AU2664" s="66"/>
      <c r="AV2664" s="66"/>
      <c r="AW2664" s="66"/>
      <c r="AX2664" s="66"/>
      <c r="AY2664" s="66"/>
      <c r="AZ2664" s="66"/>
      <c r="BA2664" s="66"/>
      <c r="BB2664" s="66"/>
      <c r="BC2664" s="66"/>
      <c r="BD2664" s="66"/>
      <c r="BE2664" s="67"/>
      <c r="BF2664" s="67"/>
      <c r="BG2664" s="68"/>
      <c r="BI2664" s="69">
        <v>0</v>
      </c>
      <c r="BJ2664" s="70">
        <v>0</v>
      </c>
      <c r="BK2664" s="71">
        <v>0</v>
      </c>
      <c r="BL2664" s="71">
        <v>0</v>
      </c>
      <c r="BM2664" s="71">
        <v>0</v>
      </c>
      <c r="BN2664" s="72">
        <v>0</v>
      </c>
      <c r="BO2664" s="151" t="e">
        <f t="shared" si="179"/>
        <v>#DIV/0!</v>
      </c>
      <c r="BP2664" s="151" t="e">
        <f t="shared" si="180"/>
        <v>#DIV/0!</v>
      </c>
      <c r="BQ2664" s="71">
        <v>0</v>
      </c>
      <c r="BR2664" s="71">
        <v>0</v>
      </c>
      <c r="BS2664" s="71">
        <v>0</v>
      </c>
      <c r="BT2664" s="72">
        <v>0</v>
      </c>
      <c r="BU2664" s="151" t="e">
        <f t="shared" si="181"/>
        <v>#DIV/0!</v>
      </c>
      <c r="BV2664" s="151" t="e">
        <f t="shared" si="182"/>
        <v>#DIV/0!</v>
      </c>
    </row>
    <row r="2665" ht="30" customHeight="1" spans="1:74">
      <c r="A2665" s="55">
        <v>0</v>
      </c>
      <c r="B2665" s="56">
        <v>0</v>
      </c>
      <c r="C2665" s="56">
        <v>0</v>
      </c>
      <c r="D2665" s="107"/>
      <c r="E2665" s="107"/>
      <c r="F2665" s="52" t="e">
        <f>VLOOKUP(E2665,[1]库存!$B$1:$C$65536,2,FALSE)</f>
        <v>#N/A</v>
      </c>
      <c r="G2665" s="52" t="e">
        <v>#N/A</v>
      </c>
      <c r="H2665" s="238"/>
      <c r="I2665" s="107"/>
      <c r="J2665" s="107"/>
      <c r="K2665" s="181"/>
      <c r="L2665" s="182">
        <v>0</v>
      </c>
      <c r="M2665" s="52">
        <v>0</v>
      </c>
      <c r="N2665" s="56">
        <v>0</v>
      </c>
      <c r="O2665" s="62">
        <v>0</v>
      </c>
      <c r="P2665" s="65">
        <f t="shared" si="183"/>
        <v>0</v>
      </c>
      <c r="Q2665" s="66"/>
      <c r="R2665" s="66"/>
      <c r="S2665" s="66"/>
      <c r="T2665" s="66"/>
      <c r="U2665" s="66"/>
      <c r="V2665" s="66"/>
      <c r="W2665" s="66"/>
      <c r="X2665" s="66"/>
      <c r="Y2665" s="66"/>
      <c r="Z2665" s="66"/>
      <c r="AA2665" s="66"/>
      <c r="AB2665" s="66"/>
      <c r="AC2665" s="66"/>
      <c r="AD2665" s="66"/>
      <c r="AE2665" s="66"/>
      <c r="AF2665" s="66"/>
      <c r="AG2665" s="66"/>
      <c r="AH2665" s="66"/>
      <c r="AI2665" s="66"/>
      <c r="AJ2665" s="66"/>
      <c r="AK2665" s="66"/>
      <c r="AL2665" s="66"/>
      <c r="AM2665" s="66"/>
      <c r="AN2665" s="66"/>
      <c r="AO2665" s="66"/>
      <c r="AP2665" s="66"/>
      <c r="AQ2665" s="66"/>
      <c r="AR2665" s="66"/>
      <c r="AS2665" s="66"/>
      <c r="AT2665" s="66"/>
      <c r="AU2665" s="66"/>
      <c r="AV2665" s="66"/>
      <c r="AW2665" s="66"/>
      <c r="AX2665" s="66"/>
      <c r="AY2665" s="66"/>
      <c r="AZ2665" s="66"/>
      <c r="BA2665" s="66"/>
      <c r="BB2665" s="66"/>
      <c r="BC2665" s="66"/>
      <c r="BD2665" s="66"/>
      <c r="BE2665" s="67"/>
      <c r="BF2665" s="67"/>
      <c r="BG2665" s="68"/>
      <c r="BI2665" s="69">
        <v>0</v>
      </c>
      <c r="BJ2665" s="70">
        <v>0</v>
      </c>
      <c r="BK2665" s="71">
        <v>0</v>
      </c>
      <c r="BL2665" s="71">
        <v>0</v>
      </c>
      <c r="BM2665" s="71">
        <v>0</v>
      </c>
      <c r="BN2665" s="72">
        <v>0</v>
      </c>
      <c r="BO2665" s="151" t="e">
        <f t="shared" si="179"/>
        <v>#DIV/0!</v>
      </c>
      <c r="BP2665" s="151" t="e">
        <f t="shared" si="180"/>
        <v>#DIV/0!</v>
      </c>
      <c r="BQ2665" s="71">
        <v>0</v>
      </c>
      <c r="BR2665" s="71">
        <v>0</v>
      </c>
      <c r="BS2665" s="71">
        <v>0</v>
      </c>
      <c r="BT2665" s="72">
        <v>0</v>
      </c>
      <c r="BU2665" s="151" t="e">
        <f t="shared" si="181"/>
        <v>#DIV/0!</v>
      </c>
      <c r="BV2665" s="151" t="e">
        <f t="shared" si="182"/>
        <v>#DIV/0!</v>
      </c>
    </row>
    <row r="2667" spans="1:74">
      <c r="D2667" s="6" t="s">
        <v>4084</v>
      </c>
    </row>
    <row r="2668" spans="1:74">
      <c r="D2668" s="296">
        <v>1</v>
      </c>
      <c r="E2668" s="297" t="s">
        <v>4085</v>
      </c>
      <c r="F2668" s="297"/>
      <c r="G2668" s="297"/>
    </row>
    <row r="2669" spans="1:74">
      <c r="D2669" s="296">
        <v>2</v>
      </c>
      <c r="E2669" s="297" t="s">
        <v>4086</v>
      </c>
      <c r="F2669" s="297"/>
      <c r="G2669" s="297"/>
    </row>
    <row r="2670" spans="1:74">
      <c r="D2670" s="296">
        <v>3</v>
      </c>
      <c r="E2670" s="297" t="s">
        <v>4087</v>
      </c>
      <c r="F2670" s="297"/>
      <c r="G2670" s="297"/>
    </row>
    <row r="2671" spans="1:74">
      <c r="D2671" s="296">
        <v>4</v>
      </c>
      <c r="E2671" s="297" t="s">
        <v>4088</v>
      </c>
      <c r="F2671" s="297"/>
      <c r="G2671" s="297"/>
    </row>
    <row r="2673" spans="3:7">
      <c r="D2673" s="298" t="s">
        <v>4089</v>
      </c>
    </row>
    <row r="2674" spans="3:7">
      <c r="C2674" s="5">
        <v>1</v>
      </c>
      <c r="D2674" s="298" t="s">
        <v>4090</v>
      </c>
    </row>
    <row r="2675" ht="39" customHeight="1" spans="3:7">
      <c r="C2675" s="5">
        <v>2</v>
      </c>
      <c r="D2675" s="299" t="s">
        <v>4091</v>
      </c>
    </row>
    <row r="2676" spans="3:7">
      <c r="C2676" s="5">
        <v>3</v>
      </c>
      <c r="D2676" s="298" t="s">
        <v>4092</v>
      </c>
    </row>
    <row r="2678" spans="3:7">
      <c r="D2678" s="6" t="s">
        <v>4093</v>
      </c>
      <c r="E2678" t="s">
        <v>4094</v>
      </c>
    </row>
    <row r="2681" spans="3:7">
      <c r="C2681" s="5">
        <v>1</v>
      </c>
      <c r="D2681" s="300" t="s">
        <v>4095</v>
      </c>
      <c r="E2681" s="301"/>
      <c r="F2681" s="106" t="s">
        <v>4096</v>
      </c>
    </row>
    <row r="2682" spans="3:7">
      <c r="C2682" s="5">
        <v>2</v>
      </c>
      <c r="D2682" s="300" t="s">
        <v>4097</v>
      </c>
      <c r="E2682" s="301"/>
      <c r="F2682" s="302" t="s">
        <v>4098</v>
      </c>
    </row>
    <row r="2683" ht="42" customHeight="1" spans="3:7">
      <c r="C2683" s="5">
        <v>3</v>
      </c>
      <c r="D2683" s="303" t="s">
        <v>4099</v>
      </c>
      <c r="E2683" s="304"/>
      <c r="F2683" s="305" t="s">
        <v>4100</v>
      </c>
      <c r="G2683" s="305"/>
    </row>
    <row r="2684" spans="3:7">
      <c r="D2684" s="306"/>
      <c r="E2684" s="307"/>
    </row>
    <row r="2685" spans="3:7">
      <c r="D2685" s="307"/>
    </row>
    <row r="2689" spans="8:8">
      <c r="H2689" s="297"/>
    </row>
  </sheetData>
  <autoFilter xmlns:etc="http://www.wps.cn/officeDocument/2017/etCustomData" ref="A5:BV2683" etc:filterBottomFollowUsedRange="0">
    <extLst/>
  </autoFilter>
  <mergeCells count="5520">
    <mergeCell ref="D3:H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D2681:E2681"/>
    <mergeCell ref="D2682:E2682"/>
    <mergeCell ref="D2683:E2683"/>
    <mergeCell ref="F2683:G2683"/>
    <mergeCell ref="A3:A5"/>
    <mergeCell ref="B3:B5"/>
    <mergeCell ref="C3:C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2:D103"/>
    <mergeCell ref="D104:D105"/>
    <mergeCell ref="D106:D107"/>
    <mergeCell ref="D108:D109"/>
    <mergeCell ref="D110:D111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30:D131"/>
    <mergeCell ref="D132:D133"/>
    <mergeCell ref="D135:D136"/>
    <mergeCell ref="D137:D138"/>
    <mergeCell ref="D139:D140"/>
    <mergeCell ref="D141:D142"/>
    <mergeCell ref="D143:D144"/>
    <mergeCell ref="D145:D146"/>
    <mergeCell ref="D148:D149"/>
    <mergeCell ref="D150:D151"/>
    <mergeCell ref="D152:D153"/>
    <mergeCell ref="D154:D155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80:D181"/>
    <mergeCell ref="D182:D183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6:D217"/>
    <mergeCell ref="D218:D219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8:D239"/>
    <mergeCell ref="D240:D241"/>
    <mergeCell ref="D243:D244"/>
    <mergeCell ref="D245:D246"/>
    <mergeCell ref="D247:D248"/>
    <mergeCell ref="D249:D250"/>
    <mergeCell ref="D252:D253"/>
    <mergeCell ref="D255:D256"/>
    <mergeCell ref="D258:D259"/>
    <mergeCell ref="D260:D261"/>
    <mergeCell ref="D262:D263"/>
    <mergeCell ref="D264:D265"/>
    <mergeCell ref="D267:D268"/>
    <mergeCell ref="D269:D270"/>
    <mergeCell ref="D271:D272"/>
    <mergeCell ref="D274:D275"/>
    <mergeCell ref="D276:D277"/>
    <mergeCell ref="D278:D279"/>
    <mergeCell ref="D280:D281"/>
    <mergeCell ref="D283:D284"/>
    <mergeCell ref="D285:D286"/>
    <mergeCell ref="D287:D288"/>
    <mergeCell ref="D289:D290"/>
    <mergeCell ref="D291:D292"/>
    <mergeCell ref="D293:D294"/>
    <mergeCell ref="D296:D297"/>
    <mergeCell ref="D298:D299"/>
    <mergeCell ref="D300:D301"/>
    <mergeCell ref="D302:D303"/>
    <mergeCell ref="D304:D305"/>
    <mergeCell ref="D306:D307"/>
    <mergeCell ref="D309:D310"/>
    <mergeCell ref="D311:D312"/>
    <mergeCell ref="D313:D314"/>
    <mergeCell ref="D315:D316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7:D338"/>
    <mergeCell ref="D339:D340"/>
    <mergeCell ref="D341:D342"/>
    <mergeCell ref="D343:D344"/>
    <mergeCell ref="D345:D346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2:D403"/>
    <mergeCell ref="D404:D405"/>
    <mergeCell ref="D407:D408"/>
    <mergeCell ref="D409:D410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1:D432"/>
    <mergeCell ref="D433:D434"/>
    <mergeCell ref="D435:D436"/>
    <mergeCell ref="D437:D438"/>
    <mergeCell ref="D440:D441"/>
    <mergeCell ref="D442:D443"/>
    <mergeCell ref="D444:D445"/>
    <mergeCell ref="D446:D447"/>
    <mergeCell ref="D448:D449"/>
    <mergeCell ref="D450:D451"/>
    <mergeCell ref="D453:D454"/>
    <mergeCell ref="D455:D456"/>
    <mergeCell ref="D457:D458"/>
    <mergeCell ref="D459:D460"/>
    <mergeCell ref="D461:D462"/>
    <mergeCell ref="D463:D464"/>
    <mergeCell ref="D466:D467"/>
    <mergeCell ref="D468:D469"/>
    <mergeCell ref="D470:D471"/>
    <mergeCell ref="D472:D473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500:D501"/>
    <mergeCell ref="D502:D503"/>
    <mergeCell ref="D504:D505"/>
    <mergeCell ref="D507:D508"/>
    <mergeCell ref="D509:D510"/>
    <mergeCell ref="D511:D512"/>
    <mergeCell ref="D513:D514"/>
    <mergeCell ref="D515:D516"/>
    <mergeCell ref="D517:D518"/>
    <mergeCell ref="D520:D521"/>
    <mergeCell ref="D522:D523"/>
    <mergeCell ref="D524:D525"/>
    <mergeCell ref="D526:D527"/>
    <mergeCell ref="D528:D529"/>
    <mergeCell ref="D530:D531"/>
    <mergeCell ref="D532:D533"/>
    <mergeCell ref="D534:D535"/>
    <mergeCell ref="D537:D538"/>
    <mergeCell ref="D539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8:D559"/>
    <mergeCell ref="D561:D562"/>
    <mergeCell ref="D564:D565"/>
    <mergeCell ref="D566:D567"/>
    <mergeCell ref="D568:D569"/>
    <mergeCell ref="D570:D571"/>
    <mergeCell ref="D572:D573"/>
    <mergeCell ref="D574:D575"/>
    <mergeCell ref="D577:D578"/>
    <mergeCell ref="D579:D580"/>
    <mergeCell ref="D582:D583"/>
    <mergeCell ref="D584:D585"/>
    <mergeCell ref="D586:D587"/>
    <mergeCell ref="D588:D589"/>
    <mergeCell ref="D590:D591"/>
    <mergeCell ref="D592:D593"/>
    <mergeCell ref="D595:D596"/>
    <mergeCell ref="D597:D598"/>
    <mergeCell ref="D599:D600"/>
    <mergeCell ref="D601:D602"/>
    <mergeCell ref="D604:D605"/>
    <mergeCell ref="D606:D607"/>
    <mergeCell ref="D608:D609"/>
    <mergeCell ref="D610:D611"/>
    <mergeCell ref="D614:D615"/>
    <mergeCell ref="D616:D617"/>
    <mergeCell ref="D618:D619"/>
    <mergeCell ref="D620:D621"/>
    <mergeCell ref="D623:D624"/>
    <mergeCell ref="D625:D626"/>
    <mergeCell ref="D627:D628"/>
    <mergeCell ref="D629:D630"/>
    <mergeCell ref="D632:D633"/>
    <mergeCell ref="D634:D635"/>
    <mergeCell ref="D637:D638"/>
    <mergeCell ref="D639:D640"/>
    <mergeCell ref="D641:D642"/>
    <mergeCell ref="D643:D644"/>
    <mergeCell ref="D645:D646"/>
    <mergeCell ref="D647:D648"/>
    <mergeCell ref="D650:D651"/>
    <mergeCell ref="D652:D653"/>
    <mergeCell ref="D654:D655"/>
    <mergeCell ref="D656:D657"/>
    <mergeCell ref="D659:D660"/>
    <mergeCell ref="D661:D662"/>
    <mergeCell ref="D663:D664"/>
    <mergeCell ref="D665:D666"/>
    <mergeCell ref="D668:D669"/>
    <mergeCell ref="D670:D671"/>
    <mergeCell ref="D673:D674"/>
    <mergeCell ref="D676:D677"/>
    <mergeCell ref="D678:D679"/>
    <mergeCell ref="D680:D681"/>
    <mergeCell ref="D682:D683"/>
    <mergeCell ref="D684:D685"/>
    <mergeCell ref="D686:D687"/>
    <mergeCell ref="D688:D689"/>
    <mergeCell ref="D690:D691"/>
    <mergeCell ref="D692:D693"/>
    <mergeCell ref="D694:D695"/>
    <mergeCell ref="D696:D697"/>
    <mergeCell ref="D698:D699"/>
    <mergeCell ref="D700:D701"/>
    <mergeCell ref="D702:D703"/>
    <mergeCell ref="D704:D705"/>
    <mergeCell ref="D706:D707"/>
    <mergeCell ref="D708:D709"/>
    <mergeCell ref="D711:D712"/>
    <mergeCell ref="D713:D714"/>
    <mergeCell ref="D715:D716"/>
    <mergeCell ref="D717:D718"/>
    <mergeCell ref="D720:D721"/>
    <mergeCell ref="D722:D723"/>
    <mergeCell ref="D724:D725"/>
    <mergeCell ref="D726:D727"/>
    <mergeCell ref="D728:D729"/>
    <mergeCell ref="D730:D731"/>
    <mergeCell ref="D732:D733"/>
    <mergeCell ref="D734:D735"/>
    <mergeCell ref="D736:D737"/>
    <mergeCell ref="D738:D739"/>
    <mergeCell ref="D740:D741"/>
    <mergeCell ref="D742:D743"/>
    <mergeCell ref="D745:D746"/>
    <mergeCell ref="D747:D748"/>
    <mergeCell ref="D749:D750"/>
    <mergeCell ref="D751:D752"/>
    <mergeCell ref="D753:D754"/>
    <mergeCell ref="D755:D756"/>
    <mergeCell ref="D757:D758"/>
    <mergeCell ref="D759:D760"/>
    <mergeCell ref="D762:D763"/>
    <mergeCell ref="D764:D765"/>
    <mergeCell ref="D766:D767"/>
    <mergeCell ref="D768:D769"/>
    <mergeCell ref="D770:D771"/>
    <mergeCell ref="D772:D773"/>
    <mergeCell ref="D775:D776"/>
    <mergeCell ref="D777:D778"/>
    <mergeCell ref="D779:D780"/>
    <mergeCell ref="D781:D782"/>
    <mergeCell ref="D783:D784"/>
    <mergeCell ref="D785:D786"/>
    <mergeCell ref="D787:D788"/>
    <mergeCell ref="D789:D790"/>
    <mergeCell ref="D792:D793"/>
    <mergeCell ref="D794:D795"/>
    <mergeCell ref="D796:D797"/>
    <mergeCell ref="D799:D800"/>
    <mergeCell ref="D801:D802"/>
    <mergeCell ref="D803:D804"/>
    <mergeCell ref="D805:D806"/>
    <mergeCell ref="D807:D808"/>
    <mergeCell ref="D809:D810"/>
    <mergeCell ref="D811:D812"/>
    <mergeCell ref="D813:D814"/>
    <mergeCell ref="D815:D816"/>
    <mergeCell ref="D817:D818"/>
    <mergeCell ref="D819:D820"/>
    <mergeCell ref="D821:D822"/>
    <mergeCell ref="D823:D824"/>
    <mergeCell ref="D825:D826"/>
    <mergeCell ref="D827:D828"/>
    <mergeCell ref="D829:D830"/>
    <mergeCell ref="D832:D833"/>
    <mergeCell ref="D834:D835"/>
    <mergeCell ref="D836:D837"/>
    <mergeCell ref="D838:D839"/>
    <mergeCell ref="D840:D841"/>
    <mergeCell ref="D842:D843"/>
    <mergeCell ref="D844:D845"/>
    <mergeCell ref="D847:D848"/>
    <mergeCell ref="D849:D850"/>
    <mergeCell ref="D851:D852"/>
    <mergeCell ref="D853:D854"/>
    <mergeCell ref="D855:D856"/>
    <mergeCell ref="D857:D858"/>
    <mergeCell ref="D860:D861"/>
    <mergeCell ref="D862:D863"/>
    <mergeCell ref="D864:D865"/>
    <mergeCell ref="D866:D867"/>
    <mergeCell ref="D868:D869"/>
    <mergeCell ref="D871:D872"/>
    <mergeCell ref="D873:D874"/>
    <mergeCell ref="D875:D876"/>
    <mergeCell ref="D877:D878"/>
    <mergeCell ref="D879:D880"/>
    <mergeCell ref="D882:D883"/>
    <mergeCell ref="D884:D885"/>
    <mergeCell ref="D886:D887"/>
    <mergeCell ref="D888:D889"/>
    <mergeCell ref="D890:D891"/>
    <mergeCell ref="D892:D893"/>
    <mergeCell ref="D894:D895"/>
    <mergeCell ref="D896:D897"/>
    <mergeCell ref="D899:D900"/>
    <mergeCell ref="D902:D903"/>
    <mergeCell ref="D905:D906"/>
    <mergeCell ref="D907:D908"/>
    <mergeCell ref="D910:D911"/>
    <mergeCell ref="D912:D913"/>
    <mergeCell ref="D914:D915"/>
    <mergeCell ref="D916:D917"/>
    <mergeCell ref="D918:D919"/>
    <mergeCell ref="D920:D921"/>
    <mergeCell ref="D923:D924"/>
    <mergeCell ref="D925:D926"/>
    <mergeCell ref="D927:D928"/>
    <mergeCell ref="D930:D931"/>
    <mergeCell ref="D932:D933"/>
    <mergeCell ref="D934:D935"/>
    <mergeCell ref="D937:D938"/>
    <mergeCell ref="D939:D940"/>
    <mergeCell ref="D941:D942"/>
    <mergeCell ref="D943:D944"/>
    <mergeCell ref="D945:D946"/>
    <mergeCell ref="D948:D949"/>
    <mergeCell ref="D950:D951"/>
    <mergeCell ref="D952:D953"/>
    <mergeCell ref="D954:D955"/>
    <mergeCell ref="D956:D957"/>
    <mergeCell ref="D958:D959"/>
    <mergeCell ref="D961:D962"/>
    <mergeCell ref="D963:D964"/>
    <mergeCell ref="D965:D966"/>
    <mergeCell ref="D967:D968"/>
    <mergeCell ref="D969:D970"/>
    <mergeCell ref="D972:D973"/>
    <mergeCell ref="D974:D975"/>
    <mergeCell ref="D976:D977"/>
    <mergeCell ref="D978:D979"/>
    <mergeCell ref="D981:D982"/>
    <mergeCell ref="D984:D985"/>
    <mergeCell ref="D986:D987"/>
    <mergeCell ref="D989:D990"/>
    <mergeCell ref="D991:D992"/>
    <mergeCell ref="D993:D994"/>
    <mergeCell ref="D995:D996"/>
    <mergeCell ref="D998:D999"/>
    <mergeCell ref="D1000:D1001"/>
    <mergeCell ref="D1002:D1003"/>
    <mergeCell ref="D1004:D1005"/>
    <mergeCell ref="D1006:D1007"/>
    <mergeCell ref="D1008:D1009"/>
    <mergeCell ref="D1010:D1011"/>
    <mergeCell ref="D1012:D1013"/>
    <mergeCell ref="D1014:D1015"/>
    <mergeCell ref="D1016:D1017"/>
    <mergeCell ref="D1018:D1019"/>
    <mergeCell ref="D1020:D1021"/>
    <mergeCell ref="D1022:D1023"/>
    <mergeCell ref="D1024:D1025"/>
    <mergeCell ref="D1027:D1028"/>
    <mergeCell ref="D1029:D1030"/>
    <mergeCell ref="D1032:D1033"/>
    <mergeCell ref="D1034:D1035"/>
    <mergeCell ref="D1036:D1037"/>
    <mergeCell ref="D1038:D1039"/>
    <mergeCell ref="D1040:D1041"/>
    <mergeCell ref="D1042:D1043"/>
    <mergeCell ref="D1045:D1046"/>
    <mergeCell ref="D1047:D1048"/>
    <mergeCell ref="D1049:D1050"/>
    <mergeCell ref="D1051:D1052"/>
    <mergeCell ref="D1053:D1054"/>
    <mergeCell ref="D1055:D1056"/>
    <mergeCell ref="D1057:D1058"/>
    <mergeCell ref="D1059:D1060"/>
    <mergeCell ref="D1061:D1062"/>
    <mergeCell ref="D1063:D1064"/>
    <mergeCell ref="D1066:D1067"/>
    <mergeCell ref="D1068:D1069"/>
    <mergeCell ref="D1070:D1071"/>
    <mergeCell ref="D1072:D1073"/>
    <mergeCell ref="D1074:D1075"/>
    <mergeCell ref="D1076:D1077"/>
    <mergeCell ref="D1078:D1079"/>
    <mergeCell ref="D1080:D1081"/>
    <mergeCell ref="D1082:D1083"/>
    <mergeCell ref="D1084:D1085"/>
    <mergeCell ref="D1086:D1087"/>
    <mergeCell ref="D1088:D1089"/>
    <mergeCell ref="D1091:D1092"/>
    <mergeCell ref="D1093:D1094"/>
    <mergeCell ref="D1095:D1096"/>
    <mergeCell ref="D1097:D1098"/>
    <mergeCell ref="D1099:D1100"/>
    <mergeCell ref="D1101:D1102"/>
    <mergeCell ref="D1103:D1104"/>
    <mergeCell ref="D1105:D1106"/>
    <mergeCell ref="D1107:D1108"/>
    <mergeCell ref="D1109:D1110"/>
    <mergeCell ref="D1111:D1112"/>
    <mergeCell ref="D1113:D1114"/>
    <mergeCell ref="D1115:D1116"/>
    <mergeCell ref="D1118:D1119"/>
    <mergeCell ref="D1120:D1121"/>
    <mergeCell ref="D1122:D1123"/>
    <mergeCell ref="D1124:D1125"/>
    <mergeCell ref="D1126:D1127"/>
    <mergeCell ref="D1128:D1129"/>
    <mergeCell ref="D1130:D1131"/>
    <mergeCell ref="D1132:D1133"/>
    <mergeCell ref="D1135:D1136"/>
    <mergeCell ref="D1137:D1138"/>
    <mergeCell ref="D1140:D1141"/>
    <mergeCell ref="D1142:D1143"/>
    <mergeCell ref="D1145:D1146"/>
    <mergeCell ref="D1148:D1149"/>
    <mergeCell ref="D1150:D1151"/>
    <mergeCell ref="D1152:D1153"/>
    <mergeCell ref="D1154:D1155"/>
    <mergeCell ref="D1156:D1157"/>
    <mergeCell ref="D1158:D1159"/>
    <mergeCell ref="D1160:D1161"/>
    <mergeCell ref="D1162:D1163"/>
    <mergeCell ref="D1165:D1166"/>
    <mergeCell ref="D1167:D1168"/>
    <mergeCell ref="D1169:D1170"/>
    <mergeCell ref="D1171:D1172"/>
    <mergeCell ref="D1174:D1175"/>
    <mergeCell ref="D1176:D1177"/>
    <mergeCell ref="D1178:D1179"/>
    <mergeCell ref="D1180:D1181"/>
    <mergeCell ref="D1183:D1184"/>
    <mergeCell ref="D1185:D1186"/>
    <mergeCell ref="D1187:D1188"/>
    <mergeCell ref="D1190:D1191"/>
    <mergeCell ref="D1193:D1194"/>
    <mergeCell ref="D1195:D1196"/>
    <mergeCell ref="D1197:D1198"/>
    <mergeCell ref="D1199:D1200"/>
    <mergeCell ref="D1201:D1202"/>
    <mergeCell ref="D1203:D1204"/>
    <mergeCell ref="D1205:D1206"/>
    <mergeCell ref="D1207:D1208"/>
    <mergeCell ref="D1209:D1210"/>
    <mergeCell ref="D1211:D1212"/>
    <mergeCell ref="D1213:D1214"/>
    <mergeCell ref="D1215:D1216"/>
    <mergeCell ref="D1218:D1219"/>
    <mergeCell ref="D1220:D1221"/>
    <mergeCell ref="D1222:D1223"/>
    <mergeCell ref="D1224:D1225"/>
    <mergeCell ref="D1227:D1228"/>
    <mergeCell ref="D1229:D1230"/>
    <mergeCell ref="D1231:D1232"/>
    <mergeCell ref="D1233:D1234"/>
    <mergeCell ref="D1235:D1236"/>
    <mergeCell ref="D1237:D1238"/>
    <mergeCell ref="D1240:D1241"/>
    <mergeCell ref="D1242:D1243"/>
    <mergeCell ref="D1244:D1245"/>
    <mergeCell ref="D1246:D1247"/>
    <mergeCell ref="D1248:D1249"/>
    <mergeCell ref="D1250:D1251"/>
    <mergeCell ref="D1253:D1254"/>
    <mergeCell ref="D1255:D1256"/>
    <mergeCell ref="D1257:D1258"/>
    <mergeCell ref="D1259:D1260"/>
    <mergeCell ref="D1262:D1263"/>
    <mergeCell ref="D1264:D1265"/>
    <mergeCell ref="D1266:D1267"/>
    <mergeCell ref="D1268:D1269"/>
    <mergeCell ref="D1270:D1271"/>
    <mergeCell ref="D1272:D1273"/>
    <mergeCell ref="D1274:D1275"/>
    <mergeCell ref="D1276:D1277"/>
    <mergeCell ref="D1278:D1279"/>
    <mergeCell ref="D1280:D1281"/>
    <mergeCell ref="D1283:D1284"/>
    <mergeCell ref="D1285:D1286"/>
    <mergeCell ref="D1288:D1289"/>
    <mergeCell ref="D1290:D1291"/>
    <mergeCell ref="D1292:D1293"/>
    <mergeCell ref="D1294:D1295"/>
    <mergeCell ref="D1297:D1298"/>
    <mergeCell ref="D1300:D1301"/>
    <mergeCell ref="D1302:D1303"/>
    <mergeCell ref="D1304:D1305"/>
    <mergeCell ref="D1306:D1307"/>
    <mergeCell ref="D1308:D1309"/>
    <mergeCell ref="D1311:D1312"/>
    <mergeCell ref="D1313:D1314"/>
    <mergeCell ref="D1316:D1317"/>
    <mergeCell ref="D1318:D1319"/>
    <mergeCell ref="D1320:D1321"/>
    <mergeCell ref="D1322:D1323"/>
    <mergeCell ref="D1324:D1325"/>
    <mergeCell ref="D1327:D1328"/>
    <mergeCell ref="D1329:D1330"/>
    <mergeCell ref="D1331:D1332"/>
    <mergeCell ref="D1333:D1334"/>
    <mergeCell ref="D1335:D1336"/>
    <mergeCell ref="D1337:D1338"/>
    <mergeCell ref="D1339:D1340"/>
    <mergeCell ref="D1341:D1342"/>
    <mergeCell ref="D1343:D1344"/>
    <mergeCell ref="D1345:D1346"/>
    <mergeCell ref="D1347:D1348"/>
    <mergeCell ref="D1349:D1350"/>
    <mergeCell ref="D1351:D1352"/>
    <mergeCell ref="D1353:D1354"/>
    <mergeCell ref="D1355:D1356"/>
    <mergeCell ref="D1358:D1359"/>
    <mergeCell ref="D1360:D1361"/>
    <mergeCell ref="D1362:D1363"/>
    <mergeCell ref="D1364:D1365"/>
    <mergeCell ref="D1366:D1367"/>
    <mergeCell ref="D1368:D1369"/>
    <mergeCell ref="D1373:D1374"/>
    <mergeCell ref="D1375:D1376"/>
    <mergeCell ref="D1378:D1379"/>
    <mergeCell ref="D1381:D1382"/>
    <mergeCell ref="D1383:D1384"/>
    <mergeCell ref="D1385:D1386"/>
    <mergeCell ref="D1388:D1389"/>
    <mergeCell ref="D1390:D1391"/>
    <mergeCell ref="D1392:D1393"/>
    <mergeCell ref="D1394:D1395"/>
    <mergeCell ref="D1396:D1397"/>
    <mergeCell ref="D1398:D1399"/>
    <mergeCell ref="D1400:D1401"/>
    <mergeCell ref="D1402:D1403"/>
    <mergeCell ref="D1404:D1405"/>
    <mergeCell ref="D1406:D1407"/>
    <mergeCell ref="D1408:D1409"/>
    <mergeCell ref="D1410:D1411"/>
    <mergeCell ref="D1413:D1414"/>
    <mergeCell ref="D1415:D1416"/>
    <mergeCell ref="D1417:D1418"/>
    <mergeCell ref="D1419:D1420"/>
    <mergeCell ref="D1421:D1422"/>
    <mergeCell ref="D1423:D1424"/>
    <mergeCell ref="D1426:D1427"/>
    <mergeCell ref="D1428:D1429"/>
    <mergeCell ref="D1430:D1431"/>
    <mergeCell ref="D1432:D1433"/>
    <mergeCell ref="D1434:D1435"/>
    <mergeCell ref="D1437:D1438"/>
    <mergeCell ref="D1439:D1440"/>
    <mergeCell ref="D1442:D1443"/>
    <mergeCell ref="D1444:D1445"/>
    <mergeCell ref="D1446:D1447"/>
    <mergeCell ref="D1448:D1449"/>
    <mergeCell ref="D1450:D1451"/>
    <mergeCell ref="D1453:D1454"/>
    <mergeCell ref="D1455:D1456"/>
    <mergeCell ref="D1457:D1458"/>
    <mergeCell ref="D1459:D1460"/>
    <mergeCell ref="D1461:D1462"/>
    <mergeCell ref="D1463:D1464"/>
    <mergeCell ref="D1465:D1466"/>
    <mergeCell ref="D1467:D1468"/>
    <mergeCell ref="D1469:D1470"/>
    <mergeCell ref="D1472:D1473"/>
    <mergeCell ref="D1474:D1475"/>
    <mergeCell ref="D1476:D1477"/>
    <mergeCell ref="D1478:D1479"/>
    <mergeCell ref="D1480:D1481"/>
    <mergeCell ref="D1482:D1483"/>
    <mergeCell ref="D1484:D1485"/>
    <mergeCell ref="D1486:D1487"/>
    <mergeCell ref="D1488:D1489"/>
    <mergeCell ref="D1490:D1491"/>
    <mergeCell ref="D1492:D1493"/>
    <mergeCell ref="D1494:D1495"/>
    <mergeCell ref="D1496:D1497"/>
    <mergeCell ref="D1498:D1499"/>
    <mergeCell ref="D1501:D1502"/>
    <mergeCell ref="D1503:D1504"/>
    <mergeCell ref="D1505:D1506"/>
    <mergeCell ref="D1507:D1508"/>
    <mergeCell ref="D1509:D1510"/>
    <mergeCell ref="D1511:D1512"/>
    <mergeCell ref="D1513:D1514"/>
    <mergeCell ref="D1515:D1516"/>
    <mergeCell ref="D1517:D1518"/>
    <mergeCell ref="D1519:D1520"/>
    <mergeCell ref="D1522:D1523"/>
    <mergeCell ref="D1524:D1525"/>
    <mergeCell ref="D1527:D1528"/>
    <mergeCell ref="D1529:D1530"/>
    <mergeCell ref="D1531:D1532"/>
    <mergeCell ref="D1533:D1534"/>
    <mergeCell ref="D1535:D1536"/>
    <mergeCell ref="D1537:D1538"/>
    <mergeCell ref="D1539:D1540"/>
    <mergeCell ref="D1541:D1542"/>
    <mergeCell ref="D1544:D1545"/>
    <mergeCell ref="D1546:D1547"/>
    <mergeCell ref="D1548:D1549"/>
    <mergeCell ref="D1551:D1552"/>
    <mergeCell ref="D1553:D1554"/>
    <mergeCell ref="D1555:D1556"/>
    <mergeCell ref="D1557:D1558"/>
    <mergeCell ref="D1559:D1560"/>
    <mergeCell ref="D1561:D1562"/>
    <mergeCell ref="D1564:D1565"/>
    <mergeCell ref="D1567:D1568"/>
    <mergeCell ref="D1569:D1570"/>
    <mergeCell ref="D1572:D1573"/>
    <mergeCell ref="D1574:D1575"/>
    <mergeCell ref="D1576:D1577"/>
    <mergeCell ref="D1578:D1579"/>
    <mergeCell ref="D1580:D1581"/>
    <mergeCell ref="D1582:D1583"/>
    <mergeCell ref="D1585:D1586"/>
    <mergeCell ref="D1587:D1588"/>
    <mergeCell ref="D1589:D1590"/>
    <mergeCell ref="D1591:D1592"/>
    <mergeCell ref="D1593:D1594"/>
    <mergeCell ref="D1595:D1596"/>
    <mergeCell ref="D1597:D1598"/>
    <mergeCell ref="D1599:D1600"/>
    <mergeCell ref="D1602:D1603"/>
    <mergeCell ref="D1604:D1605"/>
    <mergeCell ref="D1606:D1607"/>
    <mergeCell ref="D1608:D1609"/>
    <mergeCell ref="D1610:D1611"/>
    <mergeCell ref="D1612:D1613"/>
    <mergeCell ref="D1614:D1615"/>
    <mergeCell ref="D1616:D1617"/>
    <mergeCell ref="D1619:D1620"/>
    <mergeCell ref="D1621:D1622"/>
    <mergeCell ref="D1623:D1624"/>
    <mergeCell ref="D1625:D1626"/>
    <mergeCell ref="D1627:D1628"/>
    <mergeCell ref="D1629:D1630"/>
    <mergeCell ref="D1631:D1632"/>
    <mergeCell ref="D1633:D1634"/>
    <mergeCell ref="D1635:D1636"/>
    <mergeCell ref="D1637:D1638"/>
    <mergeCell ref="D1639:D1640"/>
    <mergeCell ref="D1641:D1642"/>
    <mergeCell ref="D1643:D1644"/>
    <mergeCell ref="D1645:D1646"/>
    <mergeCell ref="D1648:D1649"/>
    <mergeCell ref="D1650:D1651"/>
    <mergeCell ref="D1652:D1653"/>
    <mergeCell ref="D1654:D1655"/>
    <mergeCell ref="D1656:D1657"/>
    <mergeCell ref="D1658:D1659"/>
    <mergeCell ref="D1661:D1662"/>
    <mergeCell ref="D1663:D1664"/>
    <mergeCell ref="D1665:D1666"/>
    <mergeCell ref="D1667:D1668"/>
    <mergeCell ref="D1669:D1670"/>
    <mergeCell ref="D1671:D1672"/>
    <mergeCell ref="D1673:D1674"/>
    <mergeCell ref="D1675:D1676"/>
    <mergeCell ref="D1678:D1679"/>
    <mergeCell ref="D1680:D1681"/>
    <mergeCell ref="D1682:D1683"/>
    <mergeCell ref="D1684:D1685"/>
    <mergeCell ref="D1687:D1688"/>
    <mergeCell ref="D1689:D1690"/>
    <mergeCell ref="D1691:D1692"/>
    <mergeCell ref="D1693:D1694"/>
    <mergeCell ref="D1695:D1696"/>
    <mergeCell ref="D1698:D1699"/>
    <mergeCell ref="D1700:D1701"/>
    <mergeCell ref="D1703:D1704"/>
    <mergeCell ref="D1705:D1706"/>
    <mergeCell ref="D1707:D1708"/>
    <mergeCell ref="D1709:D1710"/>
    <mergeCell ref="D1711:D1712"/>
    <mergeCell ref="D1713:D1714"/>
    <mergeCell ref="D1715:D1716"/>
    <mergeCell ref="D1717:D1718"/>
    <mergeCell ref="D1720:D1721"/>
    <mergeCell ref="D1722:D1723"/>
    <mergeCell ref="D1724:D1725"/>
    <mergeCell ref="D1726:D1727"/>
    <mergeCell ref="D1728:D1729"/>
    <mergeCell ref="D1730:D1731"/>
    <mergeCell ref="D1737:D1738"/>
    <mergeCell ref="D1739:D1740"/>
    <mergeCell ref="D1741:D1742"/>
    <mergeCell ref="D1743:D1744"/>
    <mergeCell ref="D1745:D1746"/>
    <mergeCell ref="D1747:D1748"/>
    <mergeCell ref="D1749:D1750"/>
    <mergeCell ref="D1752:D1753"/>
    <mergeCell ref="D1754:D1755"/>
    <mergeCell ref="D1756:D1757"/>
    <mergeCell ref="D1758:D1759"/>
    <mergeCell ref="D1760:D1761"/>
    <mergeCell ref="D1762:D1763"/>
    <mergeCell ref="D1764:D1765"/>
    <mergeCell ref="D1766:D1767"/>
    <mergeCell ref="D1768:D1769"/>
    <mergeCell ref="D1770:D1771"/>
    <mergeCell ref="D1773:D1774"/>
    <mergeCell ref="D1776:D1777"/>
    <mergeCell ref="D1778:D1779"/>
    <mergeCell ref="D1780:D1781"/>
    <mergeCell ref="D1782:D1783"/>
    <mergeCell ref="D1785:D1786"/>
    <mergeCell ref="D1787:D1788"/>
    <mergeCell ref="D1790:D1791"/>
    <mergeCell ref="D1792:D1793"/>
    <mergeCell ref="D1794:D1795"/>
    <mergeCell ref="D1796:D1797"/>
    <mergeCell ref="D1798:D1799"/>
    <mergeCell ref="D1800:D1801"/>
    <mergeCell ref="D1802:D1803"/>
    <mergeCell ref="D1804:D1805"/>
    <mergeCell ref="D1807:D1808"/>
    <mergeCell ref="D1809:D1810"/>
    <mergeCell ref="D1811:D1812"/>
    <mergeCell ref="D1813:D1814"/>
    <mergeCell ref="D1816:D1817"/>
    <mergeCell ref="D1818:D1819"/>
    <mergeCell ref="D1820:D1821"/>
    <mergeCell ref="D1822:D1823"/>
    <mergeCell ref="D1824:D1825"/>
    <mergeCell ref="D1827:D1828"/>
    <mergeCell ref="D1829:D1830"/>
    <mergeCell ref="D1831:D1832"/>
    <mergeCell ref="D1833:D1834"/>
    <mergeCell ref="D1835:D1836"/>
    <mergeCell ref="D1837:D1838"/>
    <mergeCell ref="D1839:D1840"/>
    <mergeCell ref="D1841:D1842"/>
    <mergeCell ref="D1843:D1844"/>
    <mergeCell ref="D1845:D1846"/>
    <mergeCell ref="D1848:D1849"/>
    <mergeCell ref="D1850:D1851"/>
    <mergeCell ref="D1852:D1853"/>
    <mergeCell ref="D1854:D1855"/>
    <mergeCell ref="D1856:D1857"/>
    <mergeCell ref="D1858:D1859"/>
    <mergeCell ref="D1860:D1861"/>
    <mergeCell ref="D1862:D1863"/>
    <mergeCell ref="D1864:D1865"/>
    <mergeCell ref="D1866:D1867"/>
    <mergeCell ref="D1868:D1869"/>
    <mergeCell ref="D1870:D1871"/>
    <mergeCell ref="D1872:D1873"/>
    <mergeCell ref="D1874:D1875"/>
    <mergeCell ref="D1876:D1877"/>
    <mergeCell ref="D1878:D1879"/>
    <mergeCell ref="D1881:D1882"/>
    <mergeCell ref="D1883:D1884"/>
    <mergeCell ref="D1885:D1886"/>
    <mergeCell ref="D1887:D1888"/>
    <mergeCell ref="D1889:D1890"/>
    <mergeCell ref="D1891:D1892"/>
    <mergeCell ref="D1893:D1894"/>
    <mergeCell ref="D1895:D1896"/>
    <mergeCell ref="D1898:D1899"/>
    <mergeCell ref="D1900:D1901"/>
    <mergeCell ref="D1902:D1903"/>
    <mergeCell ref="D1905:D1906"/>
    <mergeCell ref="D1907:D1908"/>
    <mergeCell ref="D1910:D1911"/>
    <mergeCell ref="D1913:D1914"/>
    <mergeCell ref="D1916:D1917"/>
    <mergeCell ref="D1918:D1919"/>
    <mergeCell ref="D1920:D1921"/>
    <mergeCell ref="D1923:D1924"/>
    <mergeCell ref="D1925:D1926"/>
    <mergeCell ref="D1927:D1928"/>
    <mergeCell ref="D1929:D1930"/>
    <mergeCell ref="D1931:D1932"/>
    <mergeCell ref="D1933:D1934"/>
    <mergeCell ref="D1935:D1936"/>
    <mergeCell ref="D1937:D1938"/>
    <mergeCell ref="D1940:D1941"/>
    <mergeCell ref="D1942:D1943"/>
    <mergeCell ref="D1945:D1946"/>
    <mergeCell ref="D1947:D1948"/>
    <mergeCell ref="D1949:D1950"/>
    <mergeCell ref="D1951:D1952"/>
    <mergeCell ref="D1953:D1954"/>
    <mergeCell ref="D1955:D1956"/>
    <mergeCell ref="D1957:D1958"/>
    <mergeCell ref="D1959:D1960"/>
    <mergeCell ref="D1961:D1962"/>
    <mergeCell ref="D1963:D1964"/>
    <mergeCell ref="D1965:D1966"/>
    <mergeCell ref="D1967:D1968"/>
    <mergeCell ref="D1969:D1970"/>
    <mergeCell ref="D1971:D1972"/>
    <mergeCell ref="D1973:D1974"/>
    <mergeCell ref="D1975:D1976"/>
    <mergeCell ref="D1978:D1979"/>
    <mergeCell ref="D1980:D1981"/>
    <mergeCell ref="D1982:D1983"/>
    <mergeCell ref="D1984:D1985"/>
    <mergeCell ref="D1986:D1987"/>
    <mergeCell ref="D1988:D1989"/>
    <mergeCell ref="D1990:D1991"/>
    <mergeCell ref="D1992:D1993"/>
    <mergeCell ref="D1995:D1996"/>
    <mergeCell ref="D1997:D1998"/>
    <mergeCell ref="D1999:D2000"/>
    <mergeCell ref="D2001:D2002"/>
    <mergeCell ref="D2004:D2005"/>
    <mergeCell ref="D2006:D2007"/>
    <mergeCell ref="D2008:D2009"/>
    <mergeCell ref="D2011:D2012"/>
    <mergeCell ref="D2014:D2015"/>
    <mergeCell ref="D2016:D2017"/>
    <mergeCell ref="D2018:D2019"/>
    <mergeCell ref="D2020:D2021"/>
    <mergeCell ref="D2024:D2025"/>
    <mergeCell ref="D2026:D2027"/>
    <mergeCell ref="D2028:D2029"/>
    <mergeCell ref="D2030:D2031"/>
    <mergeCell ref="D2032:D2033"/>
    <mergeCell ref="D2034:D2035"/>
    <mergeCell ref="D2036:D2037"/>
    <mergeCell ref="D2038:D2039"/>
    <mergeCell ref="D2040:D2041"/>
    <mergeCell ref="D2042:D2043"/>
    <mergeCell ref="D2044:D2045"/>
    <mergeCell ref="D2046:D2047"/>
    <mergeCell ref="D2048:D2049"/>
    <mergeCell ref="D2051:D2052"/>
    <mergeCell ref="D2053:D2054"/>
    <mergeCell ref="D2056:D2057"/>
    <mergeCell ref="D2058:D2059"/>
    <mergeCell ref="D2060:D2061"/>
    <mergeCell ref="D2062:D2063"/>
    <mergeCell ref="D2064:D2065"/>
    <mergeCell ref="D2066:D2067"/>
    <mergeCell ref="D2068:D2069"/>
    <mergeCell ref="D2070:D2071"/>
    <mergeCell ref="D2073:D2074"/>
    <mergeCell ref="D2075:D2076"/>
    <mergeCell ref="D2078:D2079"/>
    <mergeCell ref="D2080:D2081"/>
    <mergeCell ref="D2083:D2084"/>
    <mergeCell ref="D2085:D2086"/>
    <mergeCell ref="D2090:D2091"/>
    <mergeCell ref="D2093:D2094"/>
    <mergeCell ref="D2095:D2096"/>
    <mergeCell ref="D2097:D2098"/>
    <mergeCell ref="D2099:D2100"/>
    <mergeCell ref="D2102:D2103"/>
    <mergeCell ref="D2104:D2105"/>
    <mergeCell ref="D2106:D2107"/>
    <mergeCell ref="D2109:D2110"/>
    <mergeCell ref="D2111:D2112"/>
    <mergeCell ref="D2113:D2114"/>
    <mergeCell ref="D2115:D2116"/>
    <mergeCell ref="D2118:D2119"/>
    <mergeCell ref="D2120:D2121"/>
    <mergeCell ref="D2122:D2123"/>
    <mergeCell ref="D2124:D2125"/>
    <mergeCell ref="D2126:D2127"/>
    <mergeCell ref="D2128:D2129"/>
    <mergeCell ref="D2130:D2131"/>
    <mergeCell ref="D2133:D2134"/>
    <mergeCell ref="D2135:D2136"/>
    <mergeCell ref="D2137:D2138"/>
    <mergeCell ref="D2139:D2140"/>
    <mergeCell ref="D2141:D2142"/>
    <mergeCell ref="D2143:D2144"/>
    <mergeCell ref="D2146:D2147"/>
    <mergeCell ref="D2148:D2149"/>
    <mergeCell ref="D2150:D2151"/>
    <mergeCell ref="D2153:D2154"/>
    <mergeCell ref="D2155:D2156"/>
    <mergeCell ref="D2157:D2158"/>
    <mergeCell ref="D2159:D2160"/>
    <mergeCell ref="D2161:D2162"/>
    <mergeCell ref="D2163:D2164"/>
    <mergeCell ref="D2165:D2166"/>
    <mergeCell ref="D2168:D2169"/>
    <mergeCell ref="D2170:D2171"/>
    <mergeCell ref="D2172:D2173"/>
    <mergeCell ref="D2174:D2175"/>
    <mergeCell ref="D2176:D2177"/>
    <mergeCell ref="D2178:D2179"/>
    <mergeCell ref="D2181:D2182"/>
    <mergeCell ref="D2183:D2184"/>
    <mergeCell ref="D2186:D2187"/>
    <mergeCell ref="D2189:D2190"/>
    <mergeCell ref="D2191:D2192"/>
    <mergeCell ref="D2193:D2194"/>
    <mergeCell ref="D2195:D2196"/>
    <mergeCell ref="D2197:D2198"/>
    <mergeCell ref="D2199:D2200"/>
    <mergeCell ref="D2201:D2202"/>
    <mergeCell ref="D2203:D2204"/>
    <mergeCell ref="D2205:D2206"/>
    <mergeCell ref="D2207:D2208"/>
    <mergeCell ref="D2209:D2210"/>
    <mergeCell ref="D2211:D2212"/>
    <mergeCell ref="D2214:D2215"/>
    <mergeCell ref="D2216:D2217"/>
    <mergeCell ref="D2218:D2219"/>
    <mergeCell ref="D2220:D2221"/>
    <mergeCell ref="D2222:D2223"/>
    <mergeCell ref="D2224:D2225"/>
    <mergeCell ref="D2226:D2227"/>
    <mergeCell ref="D2228:D2229"/>
    <mergeCell ref="D2231:D2232"/>
    <mergeCell ref="D2233:D2234"/>
    <mergeCell ref="D2236:D2237"/>
    <mergeCell ref="D2238:D2239"/>
    <mergeCell ref="D2240:D2241"/>
    <mergeCell ref="D2242:D2243"/>
    <mergeCell ref="D2244:D2245"/>
    <mergeCell ref="D2246:D2247"/>
    <mergeCell ref="D2249:D2250"/>
    <mergeCell ref="D2251:D2252"/>
    <mergeCell ref="D2254:D2255"/>
    <mergeCell ref="D2256:D2257"/>
    <mergeCell ref="D2258:D2259"/>
    <mergeCell ref="D2260:D2261"/>
    <mergeCell ref="D2262:D2263"/>
    <mergeCell ref="D2264:D2265"/>
    <mergeCell ref="D2266:D2267"/>
    <mergeCell ref="D2268:D2269"/>
    <mergeCell ref="D2270:D2271"/>
    <mergeCell ref="D2272:D2273"/>
    <mergeCell ref="D2274:D2275"/>
    <mergeCell ref="D2276:D2277"/>
    <mergeCell ref="D2278:D2279"/>
    <mergeCell ref="D2280:D2281"/>
    <mergeCell ref="D2282:D2283"/>
    <mergeCell ref="D2284:D2285"/>
    <mergeCell ref="D2286:D2287"/>
    <mergeCell ref="D2288:D2289"/>
    <mergeCell ref="D2291:D2292"/>
    <mergeCell ref="D2293:D2294"/>
    <mergeCell ref="D2295:D2296"/>
    <mergeCell ref="D2297:D2298"/>
    <mergeCell ref="D2299:D2300"/>
    <mergeCell ref="D2301:D2302"/>
    <mergeCell ref="D2303:D2304"/>
    <mergeCell ref="D2305:D2306"/>
    <mergeCell ref="D2308:D2309"/>
    <mergeCell ref="D2310:D2311"/>
    <mergeCell ref="D2312:D2313"/>
    <mergeCell ref="D2314:D2315"/>
    <mergeCell ref="D2316:D2317"/>
    <mergeCell ref="D2318:D2319"/>
    <mergeCell ref="D2320:D2321"/>
    <mergeCell ref="D2322:D2323"/>
    <mergeCell ref="D2324:D2325"/>
    <mergeCell ref="D2326:D2327"/>
    <mergeCell ref="D2328:D2329"/>
    <mergeCell ref="D2330:D2331"/>
    <mergeCell ref="D2332:D2333"/>
    <mergeCell ref="D2334:D2335"/>
    <mergeCell ref="D2337:D2338"/>
    <mergeCell ref="D2339:D2340"/>
    <mergeCell ref="D2341:D2342"/>
    <mergeCell ref="D2343:D2344"/>
    <mergeCell ref="D2345:D2346"/>
    <mergeCell ref="D2347:D2348"/>
    <mergeCell ref="D2349:D2350"/>
    <mergeCell ref="D2351:D2352"/>
    <mergeCell ref="D2354:D2355"/>
    <mergeCell ref="D2356:D2357"/>
    <mergeCell ref="D2359:D2360"/>
    <mergeCell ref="D2361:D2362"/>
    <mergeCell ref="D2363:D2364"/>
    <mergeCell ref="D2365:D2366"/>
    <mergeCell ref="D2367:D2368"/>
    <mergeCell ref="D2369:D2370"/>
    <mergeCell ref="D2371:D2372"/>
    <mergeCell ref="D2373:D2374"/>
    <mergeCell ref="D2375:D2376"/>
    <mergeCell ref="D2377:D2378"/>
    <mergeCell ref="D2379:D2380"/>
    <mergeCell ref="D2381:D2382"/>
    <mergeCell ref="D2383:D2384"/>
    <mergeCell ref="D2385:D2386"/>
    <mergeCell ref="D2387:D2388"/>
    <mergeCell ref="D2389:D2390"/>
    <mergeCell ref="D2391:D2392"/>
    <mergeCell ref="D2393:D2394"/>
    <mergeCell ref="D2395:D2396"/>
    <mergeCell ref="D2397:D2398"/>
    <mergeCell ref="D2399:D2400"/>
    <mergeCell ref="D2401:D2402"/>
    <mergeCell ref="D2403:D2404"/>
    <mergeCell ref="D2406:D2407"/>
    <mergeCell ref="D2408:D2409"/>
    <mergeCell ref="D2410:D2411"/>
    <mergeCell ref="D2412:D2413"/>
    <mergeCell ref="D2414:D2415"/>
    <mergeCell ref="D2416:D2417"/>
    <mergeCell ref="D2418:D2419"/>
    <mergeCell ref="D2420:D2421"/>
    <mergeCell ref="D2422:D2423"/>
    <mergeCell ref="D2424:D2425"/>
    <mergeCell ref="D2426:D2427"/>
    <mergeCell ref="D2428:D2429"/>
    <mergeCell ref="D2430:D2431"/>
    <mergeCell ref="D2432:D2433"/>
    <mergeCell ref="D2434:D2435"/>
    <mergeCell ref="D2436:D2437"/>
    <mergeCell ref="D2438:D2439"/>
    <mergeCell ref="D2440:D2441"/>
    <mergeCell ref="D2442:D2443"/>
    <mergeCell ref="D2444:D2445"/>
    <mergeCell ref="D2446:D2447"/>
    <mergeCell ref="D2448:D2449"/>
    <mergeCell ref="D2450:D2451"/>
    <mergeCell ref="D2452:D2453"/>
    <mergeCell ref="D2454:D2455"/>
    <mergeCell ref="D2456:D2457"/>
    <mergeCell ref="D2458:D2459"/>
    <mergeCell ref="D2461:D2462"/>
    <mergeCell ref="D2463:D2464"/>
    <mergeCell ref="D2465:D2466"/>
    <mergeCell ref="D2467:D2468"/>
    <mergeCell ref="D2469:D2470"/>
    <mergeCell ref="D2471:D2472"/>
    <mergeCell ref="D2473:D2474"/>
    <mergeCell ref="D2475:D2476"/>
    <mergeCell ref="D2477:D2478"/>
    <mergeCell ref="D2479:D2480"/>
    <mergeCell ref="D2481:D2482"/>
    <mergeCell ref="D2483:D2484"/>
    <mergeCell ref="D2485:D2486"/>
    <mergeCell ref="D2487:D2488"/>
    <mergeCell ref="D2489:D2490"/>
    <mergeCell ref="D2492:D2493"/>
    <mergeCell ref="D2494:D2495"/>
    <mergeCell ref="D2496:D2497"/>
    <mergeCell ref="D2498:D2499"/>
    <mergeCell ref="D2500:D2501"/>
    <mergeCell ref="D2502:D2503"/>
    <mergeCell ref="D2504:D2505"/>
    <mergeCell ref="D2506:D2507"/>
    <mergeCell ref="D2508:D2509"/>
    <mergeCell ref="D2510:D2511"/>
    <mergeCell ref="D2512:D2513"/>
    <mergeCell ref="D2514:D2515"/>
    <mergeCell ref="D2516:D2517"/>
    <mergeCell ref="D2518:D2519"/>
    <mergeCell ref="D2520:D2521"/>
    <mergeCell ref="D2522:D2523"/>
    <mergeCell ref="D2524:D2525"/>
    <mergeCell ref="D2526:D2527"/>
    <mergeCell ref="D2528:D2529"/>
    <mergeCell ref="D2530:D2531"/>
    <mergeCell ref="D2532:D2533"/>
    <mergeCell ref="D2534:D2535"/>
    <mergeCell ref="D2536:D2537"/>
    <mergeCell ref="D2538:D2539"/>
    <mergeCell ref="D2541:D2542"/>
    <mergeCell ref="D2543:D2544"/>
    <mergeCell ref="D2545:D2546"/>
    <mergeCell ref="D2547:D2548"/>
    <mergeCell ref="D2549:D2550"/>
    <mergeCell ref="D2551:D2552"/>
    <mergeCell ref="D2553:D2554"/>
    <mergeCell ref="D2555:D2556"/>
    <mergeCell ref="D2557:D2558"/>
    <mergeCell ref="D2559:D2560"/>
    <mergeCell ref="D2561:D2562"/>
    <mergeCell ref="D2563:D2564"/>
    <mergeCell ref="D2565:D2566"/>
    <mergeCell ref="D2567:D2568"/>
    <mergeCell ref="D2569:D2570"/>
    <mergeCell ref="D2571:D2572"/>
    <mergeCell ref="D2573:D2574"/>
    <mergeCell ref="D2575:D2576"/>
    <mergeCell ref="D2577:D2578"/>
    <mergeCell ref="D2579:D2580"/>
    <mergeCell ref="D2581:D2582"/>
    <mergeCell ref="D2583:D2584"/>
    <mergeCell ref="D2586:D2587"/>
    <mergeCell ref="D2588:D2589"/>
    <mergeCell ref="D2590:D2591"/>
    <mergeCell ref="D2592:D2593"/>
    <mergeCell ref="D2594:D2595"/>
    <mergeCell ref="D2596:D2597"/>
    <mergeCell ref="D2598:D2599"/>
    <mergeCell ref="D2600:D2601"/>
    <mergeCell ref="D2602:D2603"/>
    <mergeCell ref="D2604:D2605"/>
    <mergeCell ref="D2606:D2607"/>
    <mergeCell ref="D2608:D2609"/>
    <mergeCell ref="D2610:D2611"/>
    <mergeCell ref="D2612:D2613"/>
    <mergeCell ref="D2614:D2615"/>
    <mergeCell ref="D2616:D2617"/>
    <mergeCell ref="D2618:D2619"/>
    <mergeCell ref="D2620:D2621"/>
    <mergeCell ref="D2622:D2623"/>
    <mergeCell ref="D2625:D2626"/>
    <mergeCell ref="D2627:D2628"/>
    <mergeCell ref="D2629:D2630"/>
    <mergeCell ref="D2631:D2632"/>
    <mergeCell ref="D2634:D2635"/>
    <mergeCell ref="D2636:D2637"/>
    <mergeCell ref="D2638:D2639"/>
    <mergeCell ref="D2641:D2642"/>
    <mergeCell ref="D2643:D2644"/>
    <mergeCell ref="D2645:D2646"/>
    <mergeCell ref="D2647:D2648"/>
    <mergeCell ref="D2649:D2650"/>
    <mergeCell ref="D2651:D2652"/>
    <mergeCell ref="D2653:D2654"/>
    <mergeCell ref="D2656:D2657"/>
    <mergeCell ref="D2658:D2659"/>
    <mergeCell ref="D2660:D2661"/>
    <mergeCell ref="D2662:D2663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2:E103"/>
    <mergeCell ref="E104:E105"/>
    <mergeCell ref="E106:E107"/>
    <mergeCell ref="E108:E109"/>
    <mergeCell ref="E110:E111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30:E131"/>
    <mergeCell ref="E132:E133"/>
    <mergeCell ref="E135:E136"/>
    <mergeCell ref="E137:E138"/>
    <mergeCell ref="E139:E140"/>
    <mergeCell ref="E141:E142"/>
    <mergeCell ref="E143:E144"/>
    <mergeCell ref="E145:E146"/>
    <mergeCell ref="E148:E149"/>
    <mergeCell ref="E150:E151"/>
    <mergeCell ref="E152:E153"/>
    <mergeCell ref="E154:E155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80:E181"/>
    <mergeCell ref="E182:E183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6:E217"/>
    <mergeCell ref="E218:E219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8:E239"/>
    <mergeCell ref="E240:E241"/>
    <mergeCell ref="E243:E244"/>
    <mergeCell ref="E245:E246"/>
    <mergeCell ref="E247:E248"/>
    <mergeCell ref="E249:E250"/>
    <mergeCell ref="E252:E253"/>
    <mergeCell ref="E255:E256"/>
    <mergeCell ref="E258:E259"/>
    <mergeCell ref="E260:E261"/>
    <mergeCell ref="E262:E263"/>
    <mergeCell ref="E264:E265"/>
    <mergeCell ref="E267:E268"/>
    <mergeCell ref="E269:E270"/>
    <mergeCell ref="E271:E272"/>
    <mergeCell ref="E274:E275"/>
    <mergeCell ref="E276:E277"/>
    <mergeCell ref="E278:E279"/>
    <mergeCell ref="E280:E281"/>
    <mergeCell ref="E283:E284"/>
    <mergeCell ref="E285:E286"/>
    <mergeCell ref="E287:E288"/>
    <mergeCell ref="E289:E290"/>
    <mergeCell ref="E291:E292"/>
    <mergeCell ref="E293:E294"/>
    <mergeCell ref="E296:E297"/>
    <mergeCell ref="E298:E299"/>
    <mergeCell ref="E300:E301"/>
    <mergeCell ref="E302:E303"/>
    <mergeCell ref="E304:E305"/>
    <mergeCell ref="E306:E307"/>
    <mergeCell ref="E309:E310"/>
    <mergeCell ref="E311:E312"/>
    <mergeCell ref="E313:E314"/>
    <mergeCell ref="E315:E316"/>
    <mergeCell ref="E318:E319"/>
    <mergeCell ref="E320:E321"/>
    <mergeCell ref="E322:E323"/>
    <mergeCell ref="E324:E325"/>
    <mergeCell ref="E326:E327"/>
    <mergeCell ref="E328:E329"/>
    <mergeCell ref="E330:E331"/>
    <mergeCell ref="E332:E333"/>
    <mergeCell ref="E334:E335"/>
    <mergeCell ref="E337:E338"/>
    <mergeCell ref="E339:E340"/>
    <mergeCell ref="E341:E342"/>
    <mergeCell ref="E343:E344"/>
    <mergeCell ref="E345:E346"/>
    <mergeCell ref="E348:E349"/>
    <mergeCell ref="E350:E351"/>
    <mergeCell ref="E352:E353"/>
    <mergeCell ref="E354:E355"/>
    <mergeCell ref="E356:E357"/>
    <mergeCell ref="E358:E359"/>
    <mergeCell ref="E360:E361"/>
    <mergeCell ref="E362:E363"/>
    <mergeCell ref="E364:E365"/>
    <mergeCell ref="E366:E367"/>
    <mergeCell ref="E368:E369"/>
    <mergeCell ref="E370:E371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2:E403"/>
    <mergeCell ref="E404:E405"/>
    <mergeCell ref="E407:E408"/>
    <mergeCell ref="E409:E410"/>
    <mergeCell ref="E412:E413"/>
    <mergeCell ref="E414:E415"/>
    <mergeCell ref="E416:E417"/>
    <mergeCell ref="E418:E419"/>
    <mergeCell ref="E420:E421"/>
    <mergeCell ref="E422:E423"/>
    <mergeCell ref="E424:E425"/>
    <mergeCell ref="E426:E427"/>
    <mergeCell ref="E428:E429"/>
    <mergeCell ref="E431:E432"/>
    <mergeCell ref="E433:E434"/>
    <mergeCell ref="E435:E436"/>
    <mergeCell ref="E437:E438"/>
    <mergeCell ref="E440:E441"/>
    <mergeCell ref="E442:E443"/>
    <mergeCell ref="E444:E445"/>
    <mergeCell ref="E446:E447"/>
    <mergeCell ref="E448:E449"/>
    <mergeCell ref="E450:E451"/>
    <mergeCell ref="E453:E454"/>
    <mergeCell ref="E455:E456"/>
    <mergeCell ref="E457:E458"/>
    <mergeCell ref="E459:E460"/>
    <mergeCell ref="E461:E462"/>
    <mergeCell ref="E463:E464"/>
    <mergeCell ref="E466:E467"/>
    <mergeCell ref="E468:E469"/>
    <mergeCell ref="E470:E471"/>
    <mergeCell ref="E472:E473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500:E501"/>
    <mergeCell ref="E502:E503"/>
    <mergeCell ref="E504:E505"/>
    <mergeCell ref="E507:E508"/>
    <mergeCell ref="E509:E510"/>
    <mergeCell ref="E511:E512"/>
    <mergeCell ref="E513:E514"/>
    <mergeCell ref="E515:E516"/>
    <mergeCell ref="E517:E518"/>
    <mergeCell ref="E520:E521"/>
    <mergeCell ref="E522:E523"/>
    <mergeCell ref="E524:E525"/>
    <mergeCell ref="E526:E527"/>
    <mergeCell ref="E528:E529"/>
    <mergeCell ref="E530:E531"/>
    <mergeCell ref="E532:E533"/>
    <mergeCell ref="E534:E535"/>
    <mergeCell ref="E537:E538"/>
    <mergeCell ref="E539:E540"/>
    <mergeCell ref="E541:E542"/>
    <mergeCell ref="E543:E544"/>
    <mergeCell ref="E545:E546"/>
    <mergeCell ref="E547:E548"/>
    <mergeCell ref="E549:E550"/>
    <mergeCell ref="E551:E552"/>
    <mergeCell ref="E553:E554"/>
    <mergeCell ref="E555:E556"/>
    <mergeCell ref="E558:E559"/>
    <mergeCell ref="E561:E562"/>
    <mergeCell ref="E564:E565"/>
    <mergeCell ref="E566:E567"/>
    <mergeCell ref="E568:E569"/>
    <mergeCell ref="E570:E571"/>
    <mergeCell ref="E572:E573"/>
    <mergeCell ref="E574:E575"/>
    <mergeCell ref="E577:E578"/>
    <mergeCell ref="E579:E580"/>
    <mergeCell ref="E582:E583"/>
    <mergeCell ref="E584:E585"/>
    <mergeCell ref="E586:E587"/>
    <mergeCell ref="E588:E589"/>
    <mergeCell ref="E590:E591"/>
    <mergeCell ref="E592:E593"/>
    <mergeCell ref="E595:E596"/>
    <mergeCell ref="E597:E598"/>
    <mergeCell ref="E599:E600"/>
    <mergeCell ref="E601:E602"/>
    <mergeCell ref="E604:E605"/>
    <mergeCell ref="E606:E607"/>
    <mergeCell ref="E608:E609"/>
    <mergeCell ref="E610:E611"/>
    <mergeCell ref="E614:E615"/>
    <mergeCell ref="E616:E617"/>
    <mergeCell ref="E618:E619"/>
    <mergeCell ref="E620:E621"/>
    <mergeCell ref="E623:E624"/>
    <mergeCell ref="E625:E626"/>
    <mergeCell ref="E627:E628"/>
    <mergeCell ref="E629:E630"/>
    <mergeCell ref="E632:E633"/>
    <mergeCell ref="E634:E635"/>
    <mergeCell ref="E637:E638"/>
    <mergeCell ref="E639:E640"/>
    <mergeCell ref="E641:E642"/>
    <mergeCell ref="E643:E644"/>
    <mergeCell ref="E645:E646"/>
    <mergeCell ref="E647:E648"/>
    <mergeCell ref="E650:E651"/>
    <mergeCell ref="E652:E653"/>
    <mergeCell ref="E654:E655"/>
    <mergeCell ref="E656:E657"/>
    <mergeCell ref="E659:E660"/>
    <mergeCell ref="E661:E662"/>
    <mergeCell ref="E663:E664"/>
    <mergeCell ref="E665:E666"/>
    <mergeCell ref="E668:E669"/>
    <mergeCell ref="E670:E671"/>
    <mergeCell ref="E673:E674"/>
    <mergeCell ref="E676:E677"/>
    <mergeCell ref="E678:E679"/>
    <mergeCell ref="E680:E681"/>
    <mergeCell ref="E682:E683"/>
    <mergeCell ref="E684:E685"/>
    <mergeCell ref="E686:E687"/>
    <mergeCell ref="E688:E689"/>
    <mergeCell ref="E690:E691"/>
    <mergeCell ref="E692:E693"/>
    <mergeCell ref="E694:E695"/>
    <mergeCell ref="E696:E697"/>
    <mergeCell ref="E698:E699"/>
    <mergeCell ref="E700:E701"/>
    <mergeCell ref="E702:E703"/>
    <mergeCell ref="E704:E705"/>
    <mergeCell ref="E706:E707"/>
    <mergeCell ref="E708:E709"/>
    <mergeCell ref="E711:E712"/>
    <mergeCell ref="E713:E714"/>
    <mergeCell ref="E715:E716"/>
    <mergeCell ref="E717:E718"/>
    <mergeCell ref="E720:E721"/>
    <mergeCell ref="E722:E723"/>
    <mergeCell ref="E724:E725"/>
    <mergeCell ref="E726:E727"/>
    <mergeCell ref="E728:E729"/>
    <mergeCell ref="E730:E731"/>
    <mergeCell ref="E732:E733"/>
    <mergeCell ref="E734:E735"/>
    <mergeCell ref="E736:E737"/>
    <mergeCell ref="E738:E739"/>
    <mergeCell ref="E740:E741"/>
    <mergeCell ref="E742:E743"/>
    <mergeCell ref="E745:E746"/>
    <mergeCell ref="E747:E748"/>
    <mergeCell ref="E749:E750"/>
    <mergeCell ref="E751:E752"/>
    <mergeCell ref="E753:E754"/>
    <mergeCell ref="E755:E756"/>
    <mergeCell ref="E757:E758"/>
    <mergeCell ref="E759:E760"/>
    <mergeCell ref="E762:E763"/>
    <mergeCell ref="E764:E765"/>
    <mergeCell ref="E766:E767"/>
    <mergeCell ref="E768:E769"/>
    <mergeCell ref="E770:E771"/>
    <mergeCell ref="E772:E773"/>
    <mergeCell ref="E775:E776"/>
    <mergeCell ref="E777:E778"/>
    <mergeCell ref="E779:E780"/>
    <mergeCell ref="E781:E782"/>
    <mergeCell ref="E783:E784"/>
    <mergeCell ref="E785:E786"/>
    <mergeCell ref="E787:E788"/>
    <mergeCell ref="E789:E790"/>
    <mergeCell ref="E792:E793"/>
    <mergeCell ref="E794:E795"/>
    <mergeCell ref="E796:E797"/>
    <mergeCell ref="E799:E800"/>
    <mergeCell ref="E801:E802"/>
    <mergeCell ref="E803:E804"/>
    <mergeCell ref="E805:E806"/>
    <mergeCell ref="E807:E808"/>
    <mergeCell ref="E809:E810"/>
    <mergeCell ref="E811:E812"/>
    <mergeCell ref="E813:E814"/>
    <mergeCell ref="E815:E816"/>
    <mergeCell ref="E817:E818"/>
    <mergeCell ref="E819:E820"/>
    <mergeCell ref="E821:E822"/>
    <mergeCell ref="E823:E824"/>
    <mergeCell ref="E825:E826"/>
    <mergeCell ref="E827:E828"/>
    <mergeCell ref="E829:E830"/>
    <mergeCell ref="E832:E833"/>
    <mergeCell ref="E834:E835"/>
    <mergeCell ref="E836:E837"/>
    <mergeCell ref="E838:E839"/>
    <mergeCell ref="E840:E841"/>
    <mergeCell ref="E842:E843"/>
    <mergeCell ref="E844:E845"/>
    <mergeCell ref="E847:E848"/>
    <mergeCell ref="E849:E850"/>
    <mergeCell ref="E851:E852"/>
    <mergeCell ref="E853:E854"/>
    <mergeCell ref="E855:E856"/>
    <mergeCell ref="E857:E858"/>
    <mergeCell ref="E860:E861"/>
    <mergeCell ref="E862:E863"/>
    <mergeCell ref="E864:E865"/>
    <mergeCell ref="E866:E867"/>
    <mergeCell ref="E868:E869"/>
    <mergeCell ref="E871:E872"/>
    <mergeCell ref="E873:E874"/>
    <mergeCell ref="E875:E876"/>
    <mergeCell ref="E877:E878"/>
    <mergeCell ref="E879:E880"/>
    <mergeCell ref="E882:E883"/>
    <mergeCell ref="E884:E885"/>
    <mergeCell ref="E886:E887"/>
    <mergeCell ref="E888:E889"/>
    <mergeCell ref="E890:E891"/>
    <mergeCell ref="E892:E893"/>
    <mergeCell ref="E894:E895"/>
    <mergeCell ref="E896:E897"/>
    <mergeCell ref="E899:E900"/>
    <mergeCell ref="E902:E903"/>
    <mergeCell ref="E905:E906"/>
    <mergeCell ref="E907:E908"/>
    <mergeCell ref="E910:E911"/>
    <mergeCell ref="E912:E913"/>
    <mergeCell ref="E914:E915"/>
    <mergeCell ref="E916:E917"/>
    <mergeCell ref="E918:E919"/>
    <mergeCell ref="E920:E921"/>
    <mergeCell ref="E923:E924"/>
    <mergeCell ref="E925:E926"/>
    <mergeCell ref="E927:E928"/>
    <mergeCell ref="E930:E931"/>
    <mergeCell ref="E932:E933"/>
    <mergeCell ref="E934:E935"/>
    <mergeCell ref="E937:E938"/>
    <mergeCell ref="E939:E940"/>
    <mergeCell ref="E941:E942"/>
    <mergeCell ref="E943:E944"/>
    <mergeCell ref="E945:E946"/>
    <mergeCell ref="E948:E949"/>
    <mergeCell ref="E950:E951"/>
    <mergeCell ref="E952:E953"/>
    <mergeCell ref="E954:E955"/>
    <mergeCell ref="E956:E957"/>
    <mergeCell ref="E958:E959"/>
    <mergeCell ref="E961:E962"/>
    <mergeCell ref="E963:E964"/>
    <mergeCell ref="E965:E966"/>
    <mergeCell ref="E967:E968"/>
    <mergeCell ref="E969:E970"/>
    <mergeCell ref="E972:E973"/>
    <mergeCell ref="E974:E975"/>
    <mergeCell ref="E976:E977"/>
    <mergeCell ref="E978:E979"/>
    <mergeCell ref="E981:E982"/>
    <mergeCell ref="E984:E985"/>
    <mergeCell ref="E986:E987"/>
    <mergeCell ref="E989:E990"/>
    <mergeCell ref="E991:E992"/>
    <mergeCell ref="E993:E994"/>
    <mergeCell ref="E995:E996"/>
    <mergeCell ref="E998:E999"/>
    <mergeCell ref="E1000:E1001"/>
    <mergeCell ref="E1002:E1003"/>
    <mergeCell ref="E1004:E1005"/>
    <mergeCell ref="E1006:E1007"/>
    <mergeCell ref="E1008:E1009"/>
    <mergeCell ref="E1010:E1011"/>
    <mergeCell ref="E1012:E1013"/>
    <mergeCell ref="E1014:E1015"/>
    <mergeCell ref="E1016:E1017"/>
    <mergeCell ref="E1018:E1019"/>
    <mergeCell ref="E1020:E1021"/>
    <mergeCell ref="E1022:E1023"/>
    <mergeCell ref="E1024:E1025"/>
    <mergeCell ref="E1027:E1028"/>
    <mergeCell ref="E1029:E1030"/>
    <mergeCell ref="E1032:E1033"/>
    <mergeCell ref="E1034:E1035"/>
    <mergeCell ref="E1036:E1037"/>
    <mergeCell ref="E1038:E1039"/>
    <mergeCell ref="E1040:E1041"/>
    <mergeCell ref="E1042:E1043"/>
    <mergeCell ref="E1045:E1046"/>
    <mergeCell ref="E1047:E1048"/>
    <mergeCell ref="E1049:E1050"/>
    <mergeCell ref="E1051:E1052"/>
    <mergeCell ref="E1053:E1054"/>
    <mergeCell ref="E1055:E1056"/>
    <mergeCell ref="E1057:E1058"/>
    <mergeCell ref="E1059:E1060"/>
    <mergeCell ref="E1061:E1062"/>
    <mergeCell ref="E1063:E1064"/>
    <mergeCell ref="E1066:E1067"/>
    <mergeCell ref="E1068:E1069"/>
    <mergeCell ref="E1070:E1071"/>
    <mergeCell ref="E1072:E1073"/>
    <mergeCell ref="E1074:E1075"/>
    <mergeCell ref="E1076:E1077"/>
    <mergeCell ref="E1078:E1079"/>
    <mergeCell ref="E1080:E1081"/>
    <mergeCell ref="E1082:E1083"/>
    <mergeCell ref="E1084:E1085"/>
    <mergeCell ref="E1086:E1087"/>
    <mergeCell ref="E1088:E1089"/>
    <mergeCell ref="E1091:E1092"/>
    <mergeCell ref="E1093:E1094"/>
    <mergeCell ref="E1095:E1096"/>
    <mergeCell ref="E1097:E1098"/>
    <mergeCell ref="E1099:E1100"/>
    <mergeCell ref="E1101:E1102"/>
    <mergeCell ref="E1103:E1104"/>
    <mergeCell ref="E1105:E1106"/>
    <mergeCell ref="E1107:E1108"/>
    <mergeCell ref="E1109:E1110"/>
    <mergeCell ref="E1111:E1112"/>
    <mergeCell ref="E1113:E1114"/>
    <mergeCell ref="E1115:E1116"/>
    <mergeCell ref="E1118:E1119"/>
    <mergeCell ref="E1120:E1121"/>
    <mergeCell ref="E1122:E1123"/>
    <mergeCell ref="E1124:E1125"/>
    <mergeCell ref="E1126:E1127"/>
    <mergeCell ref="E1128:E1129"/>
    <mergeCell ref="E1130:E1131"/>
    <mergeCell ref="E1132:E1133"/>
    <mergeCell ref="E1135:E1136"/>
    <mergeCell ref="E1137:E1138"/>
    <mergeCell ref="E1140:E1141"/>
    <mergeCell ref="E1142:E1143"/>
    <mergeCell ref="E1145:E1146"/>
    <mergeCell ref="E1148:E1149"/>
    <mergeCell ref="E1150:E1151"/>
    <mergeCell ref="E1152:E1153"/>
    <mergeCell ref="E1154:E1155"/>
    <mergeCell ref="E1156:E1157"/>
    <mergeCell ref="E1158:E1159"/>
    <mergeCell ref="E1160:E1161"/>
    <mergeCell ref="E1162:E1163"/>
    <mergeCell ref="E1165:E1166"/>
    <mergeCell ref="E1167:E1168"/>
    <mergeCell ref="E1169:E1170"/>
    <mergeCell ref="E1171:E1172"/>
    <mergeCell ref="E1174:E1175"/>
    <mergeCell ref="E1176:E1177"/>
    <mergeCell ref="E1178:E1179"/>
    <mergeCell ref="E1180:E1181"/>
    <mergeCell ref="E1183:E1184"/>
    <mergeCell ref="E1185:E1186"/>
    <mergeCell ref="E1187:E1188"/>
    <mergeCell ref="E1190:E1191"/>
    <mergeCell ref="E1193:E1194"/>
    <mergeCell ref="E1195:E1196"/>
    <mergeCell ref="E1197:E1198"/>
    <mergeCell ref="E1199:E1200"/>
    <mergeCell ref="E1201:E1202"/>
    <mergeCell ref="E1203:E1204"/>
    <mergeCell ref="E1205:E1206"/>
    <mergeCell ref="E1207:E1208"/>
    <mergeCell ref="E1209:E1210"/>
    <mergeCell ref="E1211:E1212"/>
    <mergeCell ref="E1213:E1214"/>
    <mergeCell ref="E1215:E1216"/>
    <mergeCell ref="E1218:E1219"/>
    <mergeCell ref="E1220:E1221"/>
    <mergeCell ref="E1222:E1223"/>
    <mergeCell ref="E1224:E1225"/>
    <mergeCell ref="E1227:E1228"/>
    <mergeCell ref="E1229:E1230"/>
    <mergeCell ref="E1231:E1232"/>
    <mergeCell ref="E1233:E1234"/>
    <mergeCell ref="E1235:E1236"/>
    <mergeCell ref="E1237:E1238"/>
    <mergeCell ref="E1240:E1241"/>
    <mergeCell ref="E1242:E1243"/>
    <mergeCell ref="E1244:E1245"/>
    <mergeCell ref="E1246:E1247"/>
    <mergeCell ref="E1248:E1249"/>
    <mergeCell ref="E1250:E1251"/>
    <mergeCell ref="E1253:E1254"/>
    <mergeCell ref="E1255:E1256"/>
    <mergeCell ref="E1257:E1258"/>
    <mergeCell ref="E1259:E1260"/>
    <mergeCell ref="E1262:E1263"/>
    <mergeCell ref="E1264:E1265"/>
    <mergeCell ref="E1266:E1267"/>
    <mergeCell ref="E1268:E1269"/>
    <mergeCell ref="E1270:E1271"/>
    <mergeCell ref="E1272:E1273"/>
    <mergeCell ref="E1274:E1275"/>
    <mergeCell ref="E1276:E1277"/>
    <mergeCell ref="E1278:E1279"/>
    <mergeCell ref="E1280:E1281"/>
    <mergeCell ref="E1283:E1284"/>
    <mergeCell ref="E1285:E1286"/>
    <mergeCell ref="E1288:E1289"/>
    <mergeCell ref="E1290:E1291"/>
    <mergeCell ref="E1292:E1293"/>
    <mergeCell ref="E1294:E1295"/>
    <mergeCell ref="E1297:E1298"/>
    <mergeCell ref="E1300:E1301"/>
    <mergeCell ref="E1302:E1303"/>
    <mergeCell ref="E1304:E1305"/>
    <mergeCell ref="E1306:E1307"/>
    <mergeCell ref="E1308:E1309"/>
    <mergeCell ref="E1311:E1312"/>
    <mergeCell ref="E1313:E1314"/>
    <mergeCell ref="E1316:E1317"/>
    <mergeCell ref="E1318:E1319"/>
    <mergeCell ref="E1320:E1321"/>
    <mergeCell ref="E1322:E1323"/>
    <mergeCell ref="E1324:E1325"/>
    <mergeCell ref="E1327:E1328"/>
    <mergeCell ref="E1329:E1330"/>
    <mergeCell ref="E1331:E1332"/>
    <mergeCell ref="E1333:E1334"/>
    <mergeCell ref="E1335:E1336"/>
    <mergeCell ref="E1337:E1338"/>
    <mergeCell ref="E1339:E1340"/>
    <mergeCell ref="E1341:E1342"/>
    <mergeCell ref="E1343:E1344"/>
    <mergeCell ref="E1345:E1346"/>
    <mergeCell ref="E1347:E1348"/>
    <mergeCell ref="E1349:E1350"/>
    <mergeCell ref="E1351:E1352"/>
    <mergeCell ref="E1353:E1354"/>
    <mergeCell ref="E1355:E1356"/>
    <mergeCell ref="E1358:E1359"/>
    <mergeCell ref="E1360:E1361"/>
    <mergeCell ref="E1362:E1363"/>
    <mergeCell ref="E1364:E1365"/>
    <mergeCell ref="E1366:E1367"/>
    <mergeCell ref="E1368:E1369"/>
    <mergeCell ref="E1373:E1374"/>
    <mergeCell ref="E1375:E1376"/>
    <mergeCell ref="E1378:E1379"/>
    <mergeCell ref="E1381:E1382"/>
    <mergeCell ref="E1383:E1384"/>
    <mergeCell ref="E1385:E1386"/>
    <mergeCell ref="E1388:E1389"/>
    <mergeCell ref="E1390:E1391"/>
    <mergeCell ref="E1392:E1393"/>
    <mergeCell ref="E1394:E1395"/>
    <mergeCell ref="E1396:E1397"/>
    <mergeCell ref="E1398:E1399"/>
    <mergeCell ref="E1400:E1401"/>
    <mergeCell ref="E1402:E1403"/>
    <mergeCell ref="E1404:E1405"/>
    <mergeCell ref="E1406:E1407"/>
    <mergeCell ref="E1408:E1409"/>
    <mergeCell ref="E1410:E1411"/>
    <mergeCell ref="E1413:E1414"/>
    <mergeCell ref="E1415:E1416"/>
    <mergeCell ref="E1417:E1418"/>
    <mergeCell ref="E1419:E1420"/>
    <mergeCell ref="E1421:E1422"/>
    <mergeCell ref="E1423:E1424"/>
    <mergeCell ref="E1426:E1427"/>
    <mergeCell ref="E1428:E1429"/>
    <mergeCell ref="E1430:E1431"/>
    <mergeCell ref="E1432:E1433"/>
    <mergeCell ref="E1434:E1435"/>
    <mergeCell ref="E1437:E1438"/>
    <mergeCell ref="E1439:E1440"/>
    <mergeCell ref="E1442:E1443"/>
    <mergeCell ref="E1444:E1445"/>
    <mergeCell ref="E1446:E1447"/>
    <mergeCell ref="E1448:E1449"/>
    <mergeCell ref="E1450:E1451"/>
    <mergeCell ref="E1453:E1454"/>
    <mergeCell ref="E1455:E1456"/>
    <mergeCell ref="E1457:E1458"/>
    <mergeCell ref="E1459:E1460"/>
    <mergeCell ref="E1461:E1462"/>
    <mergeCell ref="E1463:E1464"/>
    <mergeCell ref="E1465:E1466"/>
    <mergeCell ref="E1467:E1468"/>
    <mergeCell ref="E1469:E1470"/>
    <mergeCell ref="E1472:E1473"/>
    <mergeCell ref="E1474:E1475"/>
    <mergeCell ref="E1476:E1477"/>
    <mergeCell ref="E1478:E1479"/>
    <mergeCell ref="E1480:E1481"/>
    <mergeCell ref="E1482:E1483"/>
    <mergeCell ref="E1484:E1485"/>
    <mergeCell ref="E1486:E1487"/>
    <mergeCell ref="E1488:E1489"/>
    <mergeCell ref="E1490:E1491"/>
    <mergeCell ref="E1492:E1493"/>
    <mergeCell ref="E1494:E1495"/>
    <mergeCell ref="E1496:E1497"/>
    <mergeCell ref="E1498:E1499"/>
    <mergeCell ref="E1501:E1502"/>
    <mergeCell ref="E1503:E1504"/>
    <mergeCell ref="E1505:E1506"/>
    <mergeCell ref="E1507:E1508"/>
    <mergeCell ref="E1509:E1510"/>
    <mergeCell ref="E1511:E1512"/>
    <mergeCell ref="E1513:E1514"/>
    <mergeCell ref="E1515:E1516"/>
    <mergeCell ref="E1517:E1518"/>
    <mergeCell ref="E1519:E1520"/>
    <mergeCell ref="E1522:E1523"/>
    <mergeCell ref="E1524:E1525"/>
    <mergeCell ref="E1527:E1528"/>
    <mergeCell ref="E1529:E1530"/>
    <mergeCell ref="E1531:E1532"/>
    <mergeCell ref="E1533:E1534"/>
    <mergeCell ref="E1535:E1536"/>
    <mergeCell ref="E1537:E1538"/>
    <mergeCell ref="E1539:E1540"/>
    <mergeCell ref="E1541:E1542"/>
    <mergeCell ref="E1544:E1545"/>
    <mergeCell ref="E1546:E1547"/>
    <mergeCell ref="E1548:E1549"/>
    <mergeCell ref="E1551:E1552"/>
    <mergeCell ref="E1553:E1554"/>
    <mergeCell ref="E1555:E1556"/>
    <mergeCell ref="E1557:E1558"/>
    <mergeCell ref="E1559:E1560"/>
    <mergeCell ref="E1561:E1562"/>
    <mergeCell ref="E1564:E1565"/>
    <mergeCell ref="E1567:E1568"/>
    <mergeCell ref="E1569:E1570"/>
    <mergeCell ref="E1572:E1573"/>
    <mergeCell ref="E1574:E1575"/>
    <mergeCell ref="E1576:E1577"/>
    <mergeCell ref="E1578:E1579"/>
    <mergeCell ref="E1580:E1581"/>
    <mergeCell ref="E1582:E1583"/>
    <mergeCell ref="E1585:E1586"/>
    <mergeCell ref="E1587:E1588"/>
    <mergeCell ref="E1589:E1590"/>
    <mergeCell ref="E1591:E1592"/>
    <mergeCell ref="E1593:E1594"/>
    <mergeCell ref="E1595:E1596"/>
    <mergeCell ref="E1597:E1598"/>
    <mergeCell ref="E1599:E1600"/>
    <mergeCell ref="E1602:E1603"/>
    <mergeCell ref="E1604:E1605"/>
    <mergeCell ref="E1606:E1607"/>
    <mergeCell ref="E1608:E1609"/>
    <mergeCell ref="E1610:E1611"/>
    <mergeCell ref="E1612:E1613"/>
    <mergeCell ref="E1614:E1615"/>
    <mergeCell ref="E1616:E1617"/>
    <mergeCell ref="E1619:E1620"/>
    <mergeCell ref="E1621:E1622"/>
    <mergeCell ref="E1623:E1624"/>
    <mergeCell ref="E1625:E1626"/>
    <mergeCell ref="E1627:E1628"/>
    <mergeCell ref="E1629:E1630"/>
    <mergeCell ref="E1631:E1632"/>
    <mergeCell ref="E1633:E1634"/>
    <mergeCell ref="E1635:E1636"/>
    <mergeCell ref="E1637:E1638"/>
    <mergeCell ref="E1639:E1640"/>
    <mergeCell ref="E1641:E1642"/>
    <mergeCell ref="E1643:E1644"/>
    <mergeCell ref="E1645:E1646"/>
    <mergeCell ref="E1648:E1649"/>
    <mergeCell ref="E1650:E1651"/>
    <mergeCell ref="E1652:E1653"/>
    <mergeCell ref="E1654:E1655"/>
    <mergeCell ref="E1656:E1657"/>
    <mergeCell ref="E1658:E1659"/>
    <mergeCell ref="E1661:E1662"/>
    <mergeCell ref="E1663:E1664"/>
    <mergeCell ref="E1665:E1666"/>
    <mergeCell ref="E1667:E1668"/>
    <mergeCell ref="E1669:E1670"/>
    <mergeCell ref="E1671:E1672"/>
    <mergeCell ref="E1673:E1674"/>
    <mergeCell ref="E1675:E1676"/>
    <mergeCell ref="E1678:E1679"/>
    <mergeCell ref="E1680:E1681"/>
    <mergeCell ref="E1682:E1683"/>
    <mergeCell ref="E1684:E1685"/>
    <mergeCell ref="E1687:E1688"/>
    <mergeCell ref="E1689:E1690"/>
    <mergeCell ref="E1691:E1692"/>
    <mergeCell ref="E1693:E1694"/>
    <mergeCell ref="E1695:E1696"/>
    <mergeCell ref="E1698:E1699"/>
    <mergeCell ref="E1700:E1701"/>
    <mergeCell ref="E1703:E1704"/>
    <mergeCell ref="E1705:E1706"/>
    <mergeCell ref="E1707:E1708"/>
    <mergeCell ref="E1709:E1710"/>
    <mergeCell ref="E1711:E1712"/>
    <mergeCell ref="E1713:E1714"/>
    <mergeCell ref="E1715:E1716"/>
    <mergeCell ref="E1717:E1718"/>
    <mergeCell ref="E1720:E1721"/>
    <mergeCell ref="E1722:E1723"/>
    <mergeCell ref="E1724:E1725"/>
    <mergeCell ref="E1726:E1727"/>
    <mergeCell ref="E1728:E1729"/>
    <mergeCell ref="E1730:E1731"/>
    <mergeCell ref="E1737:E1738"/>
    <mergeCell ref="E1739:E1740"/>
    <mergeCell ref="E1741:E1742"/>
    <mergeCell ref="E1743:E1744"/>
    <mergeCell ref="E1745:E1746"/>
    <mergeCell ref="E1747:E1748"/>
    <mergeCell ref="E1749:E1750"/>
    <mergeCell ref="E1752:E1753"/>
    <mergeCell ref="E1754:E1755"/>
    <mergeCell ref="E1756:E1757"/>
    <mergeCell ref="E1758:E1759"/>
    <mergeCell ref="E1760:E1761"/>
    <mergeCell ref="E1762:E1763"/>
    <mergeCell ref="E1764:E1765"/>
    <mergeCell ref="E1766:E1767"/>
    <mergeCell ref="E1768:E1769"/>
    <mergeCell ref="E1770:E1771"/>
    <mergeCell ref="E1773:E1774"/>
    <mergeCell ref="E1776:E1777"/>
    <mergeCell ref="E1778:E1779"/>
    <mergeCell ref="E1780:E1781"/>
    <mergeCell ref="E1782:E1783"/>
    <mergeCell ref="E1785:E1786"/>
    <mergeCell ref="E1787:E1788"/>
    <mergeCell ref="E1790:E1791"/>
    <mergeCell ref="E1792:E1793"/>
    <mergeCell ref="E1794:E1795"/>
    <mergeCell ref="E1796:E1797"/>
    <mergeCell ref="E1798:E1799"/>
    <mergeCell ref="E1800:E1801"/>
    <mergeCell ref="E1802:E1803"/>
    <mergeCell ref="E1804:E1805"/>
    <mergeCell ref="E1807:E1808"/>
    <mergeCell ref="E1809:E1810"/>
    <mergeCell ref="E1811:E1812"/>
    <mergeCell ref="E1813:E1814"/>
    <mergeCell ref="E1816:E1817"/>
    <mergeCell ref="E1818:E1819"/>
    <mergeCell ref="E1820:E1821"/>
    <mergeCell ref="E1822:E1823"/>
    <mergeCell ref="E1824:E1825"/>
    <mergeCell ref="E1827:E1828"/>
    <mergeCell ref="E1829:E1830"/>
    <mergeCell ref="E1831:E1832"/>
    <mergeCell ref="E1833:E1834"/>
    <mergeCell ref="E1835:E1836"/>
    <mergeCell ref="E1837:E1838"/>
    <mergeCell ref="E1839:E1840"/>
    <mergeCell ref="E1841:E1842"/>
    <mergeCell ref="E1843:E1844"/>
    <mergeCell ref="E1845:E1846"/>
    <mergeCell ref="E1848:E1849"/>
    <mergeCell ref="E1850:E1851"/>
    <mergeCell ref="E1852:E1853"/>
    <mergeCell ref="E1854:E1855"/>
    <mergeCell ref="E1856:E1857"/>
    <mergeCell ref="E1858:E1859"/>
    <mergeCell ref="E1860:E1861"/>
    <mergeCell ref="E1862:E1863"/>
    <mergeCell ref="E1864:E1865"/>
    <mergeCell ref="E1866:E1867"/>
    <mergeCell ref="E1868:E1869"/>
    <mergeCell ref="E1870:E1871"/>
    <mergeCell ref="E1872:E1873"/>
    <mergeCell ref="E1874:E1875"/>
    <mergeCell ref="E1876:E1877"/>
    <mergeCell ref="E1878:E1879"/>
    <mergeCell ref="E1881:E1882"/>
    <mergeCell ref="E1883:E1884"/>
    <mergeCell ref="E1885:E1886"/>
    <mergeCell ref="E1887:E1888"/>
    <mergeCell ref="E1889:E1890"/>
    <mergeCell ref="E1891:E1892"/>
    <mergeCell ref="E1893:E1894"/>
    <mergeCell ref="E1895:E1896"/>
    <mergeCell ref="E1898:E1899"/>
    <mergeCell ref="E1900:E1901"/>
    <mergeCell ref="E1902:E1903"/>
    <mergeCell ref="E1905:E1906"/>
    <mergeCell ref="E1907:E1908"/>
    <mergeCell ref="E1910:E1911"/>
    <mergeCell ref="E1913:E1914"/>
    <mergeCell ref="E1916:E1917"/>
    <mergeCell ref="E1918:E1919"/>
    <mergeCell ref="E1920:E1921"/>
    <mergeCell ref="E1923:E1924"/>
    <mergeCell ref="E1925:E1926"/>
    <mergeCell ref="E1927:E1928"/>
    <mergeCell ref="E1929:E1930"/>
    <mergeCell ref="E1931:E1932"/>
    <mergeCell ref="E1933:E1934"/>
    <mergeCell ref="E1935:E1936"/>
    <mergeCell ref="E1937:E1938"/>
    <mergeCell ref="E1940:E1941"/>
    <mergeCell ref="E1942:E1943"/>
    <mergeCell ref="E1945:E1946"/>
    <mergeCell ref="E1947:E1948"/>
    <mergeCell ref="E1949:E1950"/>
    <mergeCell ref="E1951:E1952"/>
    <mergeCell ref="E1953:E1954"/>
    <mergeCell ref="E1955:E1956"/>
    <mergeCell ref="E1957:E1958"/>
    <mergeCell ref="E1959:E1960"/>
    <mergeCell ref="E1961:E1962"/>
    <mergeCell ref="E1963:E1964"/>
    <mergeCell ref="E1965:E1966"/>
    <mergeCell ref="E1967:E1968"/>
    <mergeCell ref="E1969:E1970"/>
    <mergeCell ref="E1971:E1972"/>
    <mergeCell ref="E1973:E1974"/>
    <mergeCell ref="E1975:E1976"/>
    <mergeCell ref="E1978:E1979"/>
    <mergeCell ref="E1980:E1981"/>
    <mergeCell ref="E1982:E1983"/>
    <mergeCell ref="E1984:E1985"/>
    <mergeCell ref="E1986:E1987"/>
    <mergeCell ref="E1988:E1989"/>
    <mergeCell ref="E1990:E1991"/>
    <mergeCell ref="E1992:E1993"/>
    <mergeCell ref="E1995:E1996"/>
    <mergeCell ref="E1997:E1998"/>
    <mergeCell ref="E1999:E2000"/>
    <mergeCell ref="E2001:E2002"/>
    <mergeCell ref="E2004:E2005"/>
    <mergeCell ref="E2006:E2007"/>
    <mergeCell ref="E2008:E2009"/>
    <mergeCell ref="E2011:E2012"/>
    <mergeCell ref="E2014:E2015"/>
    <mergeCell ref="E2016:E2017"/>
    <mergeCell ref="E2018:E2019"/>
    <mergeCell ref="E2020:E2021"/>
    <mergeCell ref="E2024:E2025"/>
    <mergeCell ref="E2026:E2027"/>
    <mergeCell ref="E2028:E2029"/>
    <mergeCell ref="E2030:E2031"/>
    <mergeCell ref="E2032:E2033"/>
    <mergeCell ref="E2034:E2035"/>
    <mergeCell ref="E2036:E2037"/>
    <mergeCell ref="E2038:E2039"/>
    <mergeCell ref="E2040:E2041"/>
    <mergeCell ref="E2042:E2043"/>
    <mergeCell ref="E2044:E2045"/>
    <mergeCell ref="E2046:E2047"/>
    <mergeCell ref="E2048:E2049"/>
    <mergeCell ref="E2051:E2052"/>
    <mergeCell ref="E2053:E2054"/>
    <mergeCell ref="E2056:E2057"/>
    <mergeCell ref="E2058:E2059"/>
    <mergeCell ref="E2060:E2061"/>
    <mergeCell ref="E2062:E2063"/>
    <mergeCell ref="E2064:E2065"/>
    <mergeCell ref="E2066:E2067"/>
    <mergeCell ref="E2068:E2069"/>
    <mergeCell ref="E2070:E2071"/>
    <mergeCell ref="E2073:E2074"/>
    <mergeCell ref="E2075:E2076"/>
    <mergeCell ref="E2078:E2079"/>
    <mergeCell ref="E2080:E2081"/>
    <mergeCell ref="E2083:E2084"/>
    <mergeCell ref="E2085:E2086"/>
    <mergeCell ref="E2090:E2091"/>
    <mergeCell ref="E2093:E2094"/>
    <mergeCell ref="E2095:E2096"/>
    <mergeCell ref="E2097:E2098"/>
    <mergeCell ref="E2099:E2100"/>
    <mergeCell ref="E2102:E2103"/>
    <mergeCell ref="E2104:E2105"/>
    <mergeCell ref="E2106:E2107"/>
    <mergeCell ref="E2109:E2110"/>
    <mergeCell ref="E2111:E2112"/>
    <mergeCell ref="E2113:E2114"/>
    <mergeCell ref="E2115:E2116"/>
    <mergeCell ref="E2118:E2119"/>
    <mergeCell ref="E2120:E2121"/>
    <mergeCell ref="E2122:E2123"/>
    <mergeCell ref="E2124:E2125"/>
    <mergeCell ref="E2126:E2127"/>
    <mergeCell ref="E2128:E2129"/>
    <mergeCell ref="E2130:E2131"/>
    <mergeCell ref="E2133:E2134"/>
    <mergeCell ref="E2135:E2136"/>
    <mergeCell ref="E2137:E2138"/>
    <mergeCell ref="E2139:E2140"/>
    <mergeCell ref="E2141:E2142"/>
    <mergeCell ref="E2143:E2144"/>
    <mergeCell ref="E2146:E2147"/>
    <mergeCell ref="E2148:E2149"/>
    <mergeCell ref="E2150:E2151"/>
    <mergeCell ref="E2153:E2154"/>
    <mergeCell ref="E2155:E2156"/>
    <mergeCell ref="E2157:E2158"/>
    <mergeCell ref="E2159:E2160"/>
    <mergeCell ref="E2161:E2162"/>
    <mergeCell ref="E2163:E2164"/>
    <mergeCell ref="E2165:E2166"/>
    <mergeCell ref="E2168:E2169"/>
    <mergeCell ref="E2170:E2171"/>
    <mergeCell ref="E2172:E2173"/>
    <mergeCell ref="E2174:E2175"/>
    <mergeCell ref="E2176:E2177"/>
    <mergeCell ref="E2178:E2179"/>
    <mergeCell ref="E2181:E2182"/>
    <mergeCell ref="E2183:E2184"/>
    <mergeCell ref="E2186:E2187"/>
    <mergeCell ref="E2189:E2190"/>
    <mergeCell ref="E2191:E2192"/>
    <mergeCell ref="E2193:E2194"/>
    <mergeCell ref="E2195:E2196"/>
    <mergeCell ref="E2197:E2198"/>
    <mergeCell ref="E2199:E2200"/>
    <mergeCell ref="E2201:E2202"/>
    <mergeCell ref="E2203:E2204"/>
    <mergeCell ref="E2205:E2206"/>
    <mergeCell ref="E2207:E2208"/>
    <mergeCell ref="E2209:E2210"/>
    <mergeCell ref="E2211:E2212"/>
    <mergeCell ref="E2214:E2215"/>
    <mergeCell ref="E2216:E2217"/>
    <mergeCell ref="E2218:E2219"/>
    <mergeCell ref="E2220:E2221"/>
    <mergeCell ref="E2222:E2223"/>
    <mergeCell ref="E2224:E2225"/>
    <mergeCell ref="E2226:E2227"/>
    <mergeCell ref="E2228:E2229"/>
    <mergeCell ref="E2231:E2232"/>
    <mergeCell ref="E2233:E2234"/>
    <mergeCell ref="E2236:E2237"/>
    <mergeCell ref="E2238:E2239"/>
    <mergeCell ref="E2240:E2241"/>
    <mergeCell ref="E2242:E2243"/>
    <mergeCell ref="E2244:E2245"/>
    <mergeCell ref="E2246:E2247"/>
    <mergeCell ref="E2249:E2250"/>
    <mergeCell ref="E2251:E2252"/>
    <mergeCell ref="E2254:E2255"/>
    <mergeCell ref="E2256:E2257"/>
    <mergeCell ref="E2258:E2259"/>
    <mergeCell ref="E2260:E2261"/>
    <mergeCell ref="E2262:E2263"/>
    <mergeCell ref="E2264:E2265"/>
    <mergeCell ref="E2266:E2267"/>
    <mergeCell ref="E2268:E2269"/>
    <mergeCell ref="E2270:E2271"/>
    <mergeCell ref="E2272:E2273"/>
    <mergeCell ref="E2274:E2275"/>
    <mergeCell ref="E2276:E2277"/>
    <mergeCell ref="E2278:E2279"/>
    <mergeCell ref="E2280:E2281"/>
    <mergeCell ref="E2282:E2283"/>
    <mergeCell ref="E2284:E2285"/>
    <mergeCell ref="E2286:E2287"/>
    <mergeCell ref="E2288:E2289"/>
    <mergeCell ref="E2291:E2292"/>
    <mergeCell ref="E2293:E2294"/>
    <mergeCell ref="E2295:E2296"/>
    <mergeCell ref="E2297:E2298"/>
    <mergeCell ref="E2299:E2300"/>
    <mergeCell ref="E2301:E2302"/>
    <mergeCell ref="E2303:E2304"/>
    <mergeCell ref="E2305:E2306"/>
    <mergeCell ref="E2308:E2309"/>
    <mergeCell ref="E2310:E2311"/>
    <mergeCell ref="E2312:E2313"/>
    <mergeCell ref="E2314:E2315"/>
    <mergeCell ref="E2316:E2317"/>
    <mergeCell ref="E2318:E2319"/>
    <mergeCell ref="E2320:E2321"/>
    <mergeCell ref="E2322:E2323"/>
    <mergeCell ref="E2324:E2325"/>
    <mergeCell ref="E2326:E2327"/>
    <mergeCell ref="E2328:E2329"/>
    <mergeCell ref="E2330:E2331"/>
    <mergeCell ref="E2332:E2333"/>
    <mergeCell ref="E2334:E2335"/>
    <mergeCell ref="E2337:E2338"/>
    <mergeCell ref="E2339:E2340"/>
    <mergeCell ref="E2341:E2342"/>
    <mergeCell ref="E2343:E2344"/>
    <mergeCell ref="E2345:E2346"/>
    <mergeCell ref="E2347:E2348"/>
    <mergeCell ref="E2349:E2350"/>
    <mergeCell ref="E2351:E2352"/>
    <mergeCell ref="E2354:E2355"/>
    <mergeCell ref="E2356:E2357"/>
    <mergeCell ref="E2359:E2360"/>
    <mergeCell ref="E2361:E2362"/>
    <mergeCell ref="E2363:E2364"/>
    <mergeCell ref="E2365:E2366"/>
    <mergeCell ref="E2367:E2368"/>
    <mergeCell ref="E2369:E2370"/>
    <mergeCell ref="E2371:E2372"/>
    <mergeCell ref="E2373:E2374"/>
    <mergeCell ref="E2375:E2376"/>
    <mergeCell ref="E2377:E2378"/>
    <mergeCell ref="E2379:E2380"/>
    <mergeCell ref="E2381:E2382"/>
    <mergeCell ref="E2383:E2384"/>
    <mergeCell ref="E2385:E2386"/>
    <mergeCell ref="E2387:E2388"/>
    <mergeCell ref="E2389:E2390"/>
    <mergeCell ref="E2391:E2392"/>
    <mergeCell ref="E2393:E2394"/>
    <mergeCell ref="E2395:E2396"/>
    <mergeCell ref="E2397:E2398"/>
    <mergeCell ref="E2399:E2400"/>
    <mergeCell ref="E2401:E2402"/>
    <mergeCell ref="E2403:E2404"/>
    <mergeCell ref="E2406:E2407"/>
    <mergeCell ref="E2408:E2409"/>
    <mergeCell ref="E2410:E2411"/>
    <mergeCell ref="E2412:E2413"/>
    <mergeCell ref="E2414:E2415"/>
    <mergeCell ref="E2416:E2417"/>
    <mergeCell ref="E2418:E2419"/>
    <mergeCell ref="E2420:E2421"/>
    <mergeCell ref="E2422:E2423"/>
    <mergeCell ref="E2424:E2425"/>
    <mergeCell ref="E2426:E2427"/>
    <mergeCell ref="E2428:E2429"/>
    <mergeCell ref="E2430:E2431"/>
    <mergeCell ref="E2432:E2433"/>
    <mergeCell ref="E2434:E2435"/>
    <mergeCell ref="E2436:E2437"/>
    <mergeCell ref="E2438:E2439"/>
    <mergeCell ref="E2440:E2441"/>
    <mergeCell ref="E2442:E2443"/>
    <mergeCell ref="E2444:E2445"/>
    <mergeCell ref="E2446:E2447"/>
    <mergeCell ref="E2448:E2449"/>
    <mergeCell ref="E2450:E2451"/>
    <mergeCell ref="E2452:E2453"/>
    <mergeCell ref="E2454:E2455"/>
    <mergeCell ref="E2456:E2457"/>
    <mergeCell ref="E2458:E2459"/>
    <mergeCell ref="E2461:E2462"/>
    <mergeCell ref="E2463:E2464"/>
    <mergeCell ref="E2465:E2466"/>
    <mergeCell ref="E2467:E2468"/>
    <mergeCell ref="E2469:E2470"/>
    <mergeCell ref="E2471:E2472"/>
    <mergeCell ref="E2473:E2474"/>
    <mergeCell ref="E2475:E2476"/>
    <mergeCell ref="E2477:E2478"/>
    <mergeCell ref="E2479:E2480"/>
    <mergeCell ref="E2481:E2482"/>
    <mergeCell ref="E2483:E2484"/>
    <mergeCell ref="E2485:E2486"/>
    <mergeCell ref="E2487:E2488"/>
    <mergeCell ref="E2489:E2490"/>
    <mergeCell ref="E2492:E2493"/>
    <mergeCell ref="E2494:E2495"/>
    <mergeCell ref="E2496:E2497"/>
    <mergeCell ref="E2498:E2499"/>
    <mergeCell ref="E2500:E2501"/>
    <mergeCell ref="E2502:E2503"/>
    <mergeCell ref="E2504:E2505"/>
    <mergeCell ref="E2506:E2507"/>
    <mergeCell ref="E2508:E2509"/>
    <mergeCell ref="E2510:E2511"/>
    <mergeCell ref="E2512:E2513"/>
    <mergeCell ref="E2514:E2515"/>
    <mergeCell ref="E2516:E2517"/>
    <mergeCell ref="E2518:E2519"/>
    <mergeCell ref="E2520:E2521"/>
    <mergeCell ref="E2522:E2523"/>
    <mergeCell ref="E2524:E2525"/>
    <mergeCell ref="E2526:E2527"/>
    <mergeCell ref="E2528:E2529"/>
    <mergeCell ref="E2530:E2531"/>
    <mergeCell ref="E2532:E2533"/>
    <mergeCell ref="E2534:E2535"/>
    <mergeCell ref="E2536:E2537"/>
    <mergeCell ref="E2538:E2539"/>
    <mergeCell ref="E2541:E2542"/>
    <mergeCell ref="E2543:E2544"/>
    <mergeCell ref="E2545:E2546"/>
    <mergeCell ref="E2547:E2548"/>
    <mergeCell ref="E2549:E2550"/>
    <mergeCell ref="E2551:E2552"/>
    <mergeCell ref="E2553:E2554"/>
    <mergeCell ref="E2555:E2556"/>
    <mergeCell ref="E2557:E2558"/>
    <mergeCell ref="E2559:E2560"/>
    <mergeCell ref="E2561:E2562"/>
    <mergeCell ref="E2563:E2564"/>
    <mergeCell ref="E2565:E2566"/>
    <mergeCell ref="E2567:E2568"/>
    <mergeCell ref="E2569:E2570"/>
    <mergeCell ref="E2571:E2572"/>
    <mergeCell ref="E2573:E2574"/>
    <mergeCell ref="E2575:E2576"/>
    <mergeCell ref="E2577:E2578"/>
    <mergeCell ref="E2579:E2580"/>
    <mergeCell ref="E2581:E2582"/>
    <mergeCell ref="E2583:E2584"/>
    <mergeCell ref="E2586:E2587"/>
    <mergeCell ref="E2588:E2589"/>
    <mergeCell ref="E2590:E2591"/>
    <mergeCell ref="E2592:E2593"/>
    <mergeCell ref="E2594:E2595"/>
    <mergeCell ref="E2596:E2597"/>
    <mergeCell ref="E2598:E2599"/>
    <mergeCell ref="E2600:E2601"/>
    <mergeCell ref="E2602:E2603"/>
    <mergeCell ref="E2604:E2605"/>
    <mergeCell ref="E2606:E2607"/>
    <mergeCell ref="E2608:E2609"/>
    <mergeCell ref="E2610:E2611"/>
    <mergeCell ref="E2612:E2613"/>
    <mergeCell ref="E2614:E2615"/>
    <mergeCell ref="E2616:E2617"/>
    <mergeCell ref="E2618:E2619"/>
    <mergeCell ref="E2620:E2621"/>
    <mergeCell ref="E2622:E2623"/>
    <mergeCell ref="E2625:E2626"/>
    <mergeCell ref="E2627:E2628"/>
    <mergeCell ref="E2629:E2630"/>
    <mergeCell ref="E2631:E2632"/>
    <mergeCell ref="E2634:E2635"/>
    <mergeCell ref="E2636:E2637"/>
    <mergeCell ref="E2638:E2639"/>
    <mergeCell ref="E2641:E2642"/>
    <mergeCell ref="E2643:E2644"/>
    <mergeCell ref="E2645:E2646"/>
    <mergeCell ref="E2647:E2648"/>
    <mergeCell ref="E2649:E2650"/>
    <mergeCell ref="E2651:E2652"/>
    <mergeCell ref="E2653:E2654"/>
    <mergeCell ref="E2656:E2657"/>
    <mergeCell ref="E2658:E2659"/>
    <mergeCell ref="E2660:E2661"/>
    <mergeCell ref="E2662:E2663"/>
    <mergeCell ref="F819:F820"/>
    <mergeCell ref="F821:F822"/>
    <mergeCell ref="G819:G820"/>
    <mergeCell ref="G821:G822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2:H103"/>
    <mergeCell ref="H104:H105"/>
    <mergeCell ref="H106:H107"/>
    <mergeCell ref="H108:H109"/>
    <mergeCell ref="H110:H111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30:H131"/>
    <mergeCell ref="H132:H133"/>
    <mergeCell ref="H135:H136"/>
    <mergeCell ref="H137:H138"/>
    <mergeCell ref="H139:H140"/>
    <mergeCell ref="H141:H142"/>
    <mergeCell ref="H143:H144"/>
    <mergeCell ref="H145:H146"/>
    <mergeCell ref="H148:H149"/>
    <mergeCell ref="H150:H151"/>
    <mergeCell ref="H152:H153"/>
    <mergeCell ref="H154:H155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80:H181"/>
    <mergeCell ref="H182:H183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6:H217"/>
    <mergeCell ref="H218:H219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8:H239"/>
    <mergeCell ref="H240:H241"/>
    <mergeCell ref="H243:H244"/>
    <mergeCell ref="H245:H246"/>
    <mergeCell ref="H247:H248"/>
    <mergeCell ref="H249:H250"/>
    <mergeCell ref="H252:H253"/>
    <mergeCell ref="H255:H256"/>
    <mergeCell ref="H258:H259"/>
    <mergeCell ref="H260:H261"/>
    <mergeCell ref="H262:H263"/>
    <mergeCell ref="H264:H265"/>
    <mergeCell ref="H267:H268"/>
    <mergeCell ref="H269:H270"/>
    <mergeCell ref="H271:H272"/>
    <mergeCell ref="H274:H275"/>
    <mergeCell ref="H276:H277"/>
    <mergeCell ref="H278:H279"/>
    <mergeCell ref="H280:H281"/>
    <mergeCell ref="H283:H284"/>
    <mergeCell ref="H285:H286"/>
    <mergeCell ref="H287:H288"/>
    <mergeCell ref="H289:H290"/>
    <mergeCell ref="H291:H292"/>
    <mergeCell ref="H293:H294"/>
    <mergeCell ref="H296:H297"/>
    <mergeCell ref="H298:H299"/>
    <mergeCell ref="H300:H301"/>
    <mergeCell ref="H302:H303"/>
    <mergeCell ref="H304:H305"/>
    <mergeCell ref="H306:H307"/>
    <mergeCell ref="H309:H310"/>
    <mergeCell ref="H311:H312"/>
    <mergeCell ref="H313:H314"/>
    <mergeCell ref="H315:H316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7:H338"/>
    <mergeCell ref="H339:H340"/>
    <mergeCell ref="H341:H342"/>
    <mergeCell ref="H343:H344"/>
    <mergeCell ref="H345:H346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3:H374"/>
    <mergeCell ref="H375:H376"/>
    <mergeCell ref="H377:H378"/>
    <mergeCell ref="H379:H380"/>
    <mergeCell ref="H381:H382"/>
    <mergeCell ref="H383:H384"/>
    <mergeCell ref="H385:H386"/>
    <mergeCell ref="H387:H388"/>
    <mergeCell ref="H389:H390"/>
    <mergeCell ref="H391:H392"/>
    <mergeCell ref="H393:H394"/>
    <mergeCell ref="H395:H396"/>
    <mergeCell ref="H397:H398"/>
    <mergeCell ref="H399:H400"/>
    <mergeCell ref="H402:H403"/>
    <mergeCell ref="H404:H405"/>
    <mergeCell ref="H407:H408"/>
    <mergeCell ref="H409:H410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1:H432"/>
    <mergeCell ref="H433:H434"/>
    <mergeCell ref="H435:H436"/>
    <mergeCell ref="H437:H438"/>
    <mergeCell ref="H440:H441"/>
    <mergeCell ref="H442:H443"/>
    <mergeCell ref="H444:H445"/>
    <mergeCell ref="H446:H447"/>
    <mergeCell ref="H448:H449"/>
    <mergeCell ref="H450:H451"/>
    <mergeCell ref="H453:H454"/>
    <mergeCell ref="H455:H456"/>
    <mergeCell ref="H457:H458"/>
    <mergeCell ref="H459:H460"/>
    <mergeCell ref="H461:H462"/>
    <mergeCell ref="H463:H464"/>
    <mergeCell ref="H466:H467"/>
    <mergeCell ref="H468:H469"/>
    <mergeCell ref="H470:H471"/>
    <mergeCell ref="H472:H473"/>
    <mergeCell ref="H475:H476"/>
    <mergeCell ref="H477:H478"/>
    <mergeCell ref="H479:H480"/>
    <mergeCell ref="H481:H482"/>
    <mergeCell ref="H483:H484"/>
    <mergeCell ref="H485:H486"/>
    <mergeCell ref="H487:H488"/>
    <mergeCell ref="H489:H490"/>
    <mergeCell ref="H491:H492"/>
    <mergeCell ref="H493:H494"/>
    <mergeCell ref="H495:H496"/>
    <mergeCell ref="H497:H498"/>
    <mergeCell ref="H500:H501"/>
    <mergeCell ref="H502:H503"/>
    <mergeCell ref="H504:H505"/>
    <mergeCell ref="H507:H508"/>
    <mergeCell ref="H509:H510"/>
    <mergeCell ref="H511:H512"/>
    <mergeCell ref="H513:H514"/>
    <mergeCell ref="H515:H516"/>
    <mergeCell ref="H517:H518"/>
    <mergeCell ref="H520:H521"/>
    <mergeCell ref="H522:H523"/>
    <mergeCell ref="H524:H525"/>
    <mergeCell ref="H526:H527"/>
    <mergeCell ref="H528:H529"/>
    <mergeCell ref="H530:H531"/>
    <mergeCell ref="H532:H533"/>
    <mergeCell ref="H534:H535"/>
    <mergeCell ref="H537:H538"/>
    <mergeCell ref="H539:H540"/>
    <mergeCell ref="H541:H542"/>
    <mergeCell ref="H543:H544"/>
    <mergeCell ref="H545:H546"/>
    <mergeCell ref="H547:H548"/>
    <mergeCell ref="H549:H550"/>
    <mergeCell ref="H551:H552"/>
    <mergeCell ref="H553:H554"/>
    <mergeCell ref="H555:H556"/>
    <mergeCell ref="H558:H559"/>
    <mergeCell ref="H561:H562"/>
    <mergeCell ref="H564:H565"/>
    <mergeCell ref="H566:H567"/>
    <mergeCell ref="H568:H569"/>
    <mergeCell ref="H570:H571"/>
    <mergeCell ref="H572:H573"/>
    <mergeCell ref="H574:H575"/>
    <mergeCell ref="H577:H578"/>
    <mergeCell ref="H579:H580"/>
    <mergeCell ref="H582:H583"/>
    <mergeCell ref="H584:H585"/>
    <mergeCell ref="H586:H587"/>
    <mergeCell ref="H588:H589"/>
    <mergeCell ref="H590:H591"/>
    <mergeCell ref="H592:H593"/>
    <mergeCell ref="H595:H596"/>
    <mergeCell ref="H597:H598"/>
    <mergeCell ref="H599:H600"/>
    <mergeCell ref="H601:H602"/>
    <mergeCell ref="H604:H605"/>
    <mergeCell ref="H606:H607"/>
    <mergeCell ref="H608:H609"/>
    <mergeCell ref="H610:H611"/>
    <mergeCell ref="H614:H615"/>
    <mergeCell ref="H616:H617"/>
    <mergeCell ref="H618:H619"/>
    <mergeCell ref="H620:H621"/>
    <mergeCell ref="H623:H624"/>
    <mergeCell ref="H625:H626"/>
    <mergeCell ref="H627:H628"/>
    <mergeCell ref="H629:H630"/>
    <mergeCell ref="H632:H633"/>
    <mergeCell ref="H634:H635"/>
    <mergeCell ref="H637:H638"/>
    <mergeCell ref="H639:H640"/>
    <mergeCell ref="H641:H642"/>
    <mergeCell ref="H643:H644"/>
    <mergeCell ref="H645:H646"/>
    <mergeCell ref="H647:H648"/>
    <mergeCell ref="H650:H651"/>
    <mergeCell ref="H652:H653"/>
    <mergeCell ref="H654:H655"/>
    <mergeCell ref="H656:H657"/>
    <mergeCell ref="H659:H660"/>
    <mergeCell ref="H661:H662"/>
    <mergeCell ref="H663:H664"/>
    <mergeCell ref="H665:H666"/>
    <mergeCell ref="H668:H669"/>
    <mergeCell ref="H670:H671"/>
    <mergeCell ref="H673:H674"/>
    <mergeCell ref="H676:H677"/>
    <mergeCell ref="H678:H679"/>
    <mergeCell ref="H680:H681"/>
    <mergeCell ref="H682:H683"/>
    <mergeCell ref="H684:H685"/>
    <mergeCell ref="H686:H687"/>
    <mergeCell ref="H688:H689"/>
    <mergeCell ref="H690:H691"/>
    <mergeCell ref="H692:H693"/>
    <mergeCell ref="H694:H695"/>
    <mergeCell ref="H696:H697"/>
    <mergeCell ref="H698:H699"/>
    <mergeCell ref="H700:H701"/>
    <mergeCell ref="H702:H703"/>
    <mergeCell ref="H704:H705"/>
    <mergeCell ref="H706:H707"/>
    <mergeCell ref="H708:H709"/>
    <mergeCell ref="H711:H712"/>
    <mergeCell ref="H713:H714"/>
    <mergeCell ref="H715:H716"/>
    <mergeCell ref="H717:H718"/>
    <mergeCell ref="H720:H721"/>
    <mergeCell ref="H722:H723"/>
    <mergeCell ref="H724:H725"/>
    <mergeCell ref="H726:H727"/>
    <mergeCell ref="H728:H729"/>
    <mergeCell ref="H730:H731"/>
    <mergeCell ref="H732:H733"/>
    <mergeCell ref="H734:H735"/>
    <mergeCell ref="H736:H737"/>
    <mergeCell ref="H738:H739"/>
    <mergeCell ref="H740:H741"/>
    <mergeCell ref="H742:H743"/>
    <mergeCell ref="H745:H746"/>
    <mergeCell ref="H747:H748"/>
    <mergeCell ref="H749:H750"/>
    <mergeCell ref="H751:H752"/>
    <mergeCell ref="H753:H754"/>
    <mergeCell ref="H755:H756"/>
    <mergeCell ref="H757:H758"/>
    <mergeCell ref="H759:H760"/>
    <mergeCell ref="H762:H763"/>
    <mergeCell ref="H764:H765"/>
    <mergeCell ref="H766:H767"/>
    <mergeCell ref="H768:H769"/>
    <mergeCell ref="H770:H771"/>
    <mergeCell ref="H772:H773"/>
    <mergeCell ref="H775:H776"/>
    <mergeCell ref="H777:H778"/>
    <mergeCell ref="H779:H780"/>
    <mergeCell ref="H781:H782"/>
    <mergeCell ref="H783:H784"/>
    <mergeCell ref="H785:H786"/>
    <mergeCell ref="H787:H788"/>
    <mergeCell ref="H789:H790"/>
    <mergeCell ref="H792:H793"/>
    <mergeCell ref="H794:H795"/>
    <mergeCell ref="H796:H797"/>
    <mergeCell ref="H799:H800"/>
    <mergeCell ref="H801:H802"/>
    <mergeCell ref="H803:H804"/>
    <mergeCell ref="H805:H806"/>
    <mergeCell ref="H807:H808"/>
    <mergeCell ref="H809:H810"/>
    <mergeCell ref="H811:H812"/>
    <mergeCell ref="H813:H814"/>
    <mergeCell ref="H815:H816"/>
    <mergeCell ref="H817:H818"/>
    <mergeCell ref="H819:H820"/>
    <mergeCell ref="H821:H822"/>
    <mergeCell ref="H823:H824"/>
    <mergeCell ref="H825:H826"/>
    <mergeCell ref="H827:H828"/>
    <mergeCell ref="H829:H830"/>
    <mergeCell ref="H832:H833"/>
    <mergeCell ref="H834:H835"/>
    <mergeCell ref="H836:H837"/>
    <mergeCell ref="H838:H839"/>
    <mergeCell ref="H840:H841"/>
    <mergeCell ref="H842:H843"/>
    <mergeCell ref="H844:H845"/>
    <mergeCell ref="H847:H848"/>
    <mergeCell ref="H849:H850"/>
    <mergeCell ref="H851:H852"/>
    <mergeCell ref="H853:H854"/>
    <mergeCell ref="H855:H856"/>
    <mergeCell ref="H857:H858"/>
    <mergeCell ref="H860:H861"/>
    <mergeCell ref="H862:H863"/>
    <mergeCell ref="H864:H865"/>
    <mergeCell ref="H866:H867"/>
    <mergeCell ref="H868:H869"/>
    <mergeCell ref="H871:H872"/>
    <mergeCell ref="H873:H874"/>
    <mergeCell ref="H875:H876"/>
    <mergeCell ref="H877:H878"/>
    <mergeCell ref="H879:H880"/>
    <mergeCell ref="H882:H883"/>
    <mergeCell ref="H884:H885"/>
    <mergeCell ref="H886:H887"/>
    <mergeCell ref="H888:H889"/>
    <mergeCell ref="H890:H891"/>
    <mergeCell ref="H892:H893"/>
    <mergeCell ref="H894:H895"/>
    <mergeCell ref="H896:H897"/>
    <mergeCell ref="H899:H900"/>
    <mergeCell ref="H902:H903"/>
    <mergeCell ref="H905:H906"/>
    <mergeCell ref="H907:H908"/>
    <mergeCell ref="H910:H911"/>
    <mergeCell ref="H912:H913"/>
    <mergeCell ref="H914:H915"/>
    <mergeCell ref="H916:H917"/>
    <mergeCell ref="H918:H919"/>
    <mergeCell ref="H920:H921"/>
    <mergeCell ref="H923:H924"/>
    <mergeCell ref="H925:H926"/>
    <mergeCell ref="H927:H928"/>
    <mergeCell ref="H930:H931"/>
    <mergeCell ref="H932:H933"/>
    <mergeCell ref="H934:H935"/>
    <mergeCell ref="H937:H938"/>
    <mergeCell ref="H939:H940"/>
    <mergeCell ref="H941:H942"/>
    <mergeCell ref="H943:H944"/>
    <mergeCell ref="H945:H946"/>
    <mergeCell ref="H948:H949"/>
    <mergeCell ref="H950:H951"/>
    <mergeCell ref="H952:H953"/>
    <mergeCell ref="H954:H955"/>
    <mergeCell ref="H956:H957"/>
    <mergeCell ref="H958:H959"/>
    <mergeCell ref="H961:H962"/>
    <mergeCell ref="H963:H964"/>
    <mergeCell ref="H965:H966"/>
    <mergeCell ref="H967:H968"/>
    <mergeCell ref="H969:H970"/>
    <mergeCell ref="H972:H973"/>
    <mergeCell ref="H974:H975"/>
    <mergeCell ref="H976:H977"/>
    <mergeCell ref="H978:H979"/>
    <mergeCell ref="H981:H982"/>
    <mergeCell ref="H984:H985"/>
    <mergeCell ref="H986:H987"/>
    <mergeCell ref="H989:H990"/>
    <mergeCell ref="H991:H992"/>
    <mergeCell ref="H993:H994"/>
    <mergeCell ref="H995:H996"/>
    <mergeCell ref="H998:H999"/>
    <mergeCell ref="H1000:H1001"/>
    <mergeCell ref="H1002:H1003"/>
    <mergeCell ref="H1004:H1005"/>
    <mergeCell ref="H1006:H1007"/>
    <mergeCell ref="H1008:H1009"/>
    <mergeCell ref="H1010:H1011"/>
    <mergeCell ref="H1012:H1013"/>
    <mergeCell ref="H1014:H1015"/>
    <mergeCell ref="H1016:H1017"/>
    <mergeCell ref="H1018:H1019"/>
    <mergeCell ref="H1020:H1021"/>
    <mergeCell ref="H1022:H1023"/>
    <mergeCell ref="H1024:H1025"/>
    <mergeCell ref="H1027:H1028"/>
    <mergeCell ref="H1029:H1030"/>
    <mergeCell ref="H1032:H1033"/>
    <mergeCell ref="H1034:H1035"/>
    <mergeCell ref="H1036:H1037"/>
    <mergeCell ref="H1038:H1039"/>
    <mergeCell ref="H1040:H1041"/>
    <mergeCell ref="H1042:H1043"/>
    <mergeCell ref="H1045:H1046"/>
    <mergeCell ref="H1047:H1048"/>
    <mergeCell ref="H1049:H1050"/>
    <mergeCell ref="H1051:H1052"/>
    <mergeCell ref="H1053:H1054"/>
    <mergeCell ref="H1055:H1056"/>
    <mergeCell ref="H1057:H1058"/>
    <mergeCell ref="H1059:H1060"/>
    <mergeCell ref="H1061:H1062"/>
    <mergeCell ref="H1063:H1064"/>
    <mergeCell ref="H1066:H1067"/>
    <mergeCell ref="H1068:H1069"/>
    <mergeCell ref="H1070:H1071"/>
    <mergeCell ref="H1072:H1073"/>
    <mergeCell ref="H1074:H1075"/>
    <mergeCell ref="H1076:H1077"/>
    <mergeCell ref="H1078:H1079"/>
    <mergeCell ref="H1080:H1081"/>
    <mergeCell ref="H1082:H1083"/>
    <mergeCell ref="H1084:H1085"/>
    <mergeCell ref="H1086:H1087"/>
    <mergeCell ref="H1088:H1089"/>
    <mergeCell ref="H1091:H1092"/>
    <mergeCell ref="H1093:H1094"/>
    <mergeCell ref="H1095:H1096"/>
    <mergeCell ref="H1097:H1098"/>
    <mergeCell ref="H1099:H1100"/>
    <mergeCell ref="H1101:H1102"/>
    <mergeCell ref="H1103:H1104"/>
    <mergeCell ref="H1105:H1106"/>
    <mergeCell ref="H1107:H1108"/>
    <mergeCell ref="H1109:H1110"/>
    <mergeCell ref="H1111:H1112"/>
    <mergeCell ref="H1113:H1114"/>
    <mergeCell ref="H1115:H1116"/>
    <mergeCell ref="H1118:H1119"/>
    <mergeCell ref="H1120:H1121"/>
    <mergeCell ref="H1122:H1123"/>
    <mergeCell ref="H1124:H1125"/>
    <mergeCell ref="H1126:H1127"/>
    <mergeCell ref="H1128:H1129"/>
    <mergeCell ref="H1130:H1131"/>
    <mergeCell ref="H1132:H1133"/>
    <mergeCell ref="H1135:H1136"/>
    <mergeCell ref="H1137:H1138"/>
    <mergeCell ref="H1140:H1141"/>
    <mergeCell ref="H1142:H1143"/>
    <mergeCell ref="H1145:H1146"/>
    <mergeCell ref="H1148:H1149"/>
    <mergeCell ref="H1150:H1151"/>
    <mergeCell ref="H1152:H1153"/>
    <mergeCell ref="H1154:H1155"/>
    <mergeCell ref="H1156:H1157"/>
    <mergeCell ref="H1158:H1159"/>
    <mergeCell ref="H1160:H1161"/>
    <mergeCell ref="H1162:H1163"/>
    <mergeCell ref="H1165:H1166"/>
    <mergeCell ref="H1167:H1168"/>
    <mergeCell ref="H1169:H1170"/>
    <mergeCell ref="H1171:H1172"/>
    <mergeCell ref="H1174:H1175"/>
    <mergeCell ref="H1176:H1177"/>
    <mergeCell ref="H1178:H1179"/>
    <mergeCell ref="H1180:H1181"/>
    <mergeCell ref="H1183:H1184"/>
    <mergeCell ref="H1185:H1186"/>
    <mergeCell ref="H1187:H1188"/>
    <mergeCell ref="H1190:H1191"/>
    <mergeCell ref="H1193:H1194"/>
    <mergeCell ref="H1195:H1196"/>
    <mergeCell ref="H1197:H1198"/>
    <mergeCell ref="H1199:H1200"/>
    <mergeCell ref="H1201:H1202"/>
    <mergeCell ref="H1203:H1204"/>
    <mergeCell ref="H1205:H1206"/>
    <mergeCell ref="H1207:H1208"/>
    <mergeCell ref="H1209:H1210"/>
    <mergeCell ref="H1211:H1212"/>
    <mergeCell ref="H1213:H1214"/>
    <mergeCell ref="H1215:H1216"/>
    <mergeCell ref="H1218:H1219"/>
    <mergeCell ref="H1220:H1221"/>
    <mergeCell ref="H1222:H1223"/>
    <mergeCell ref="H1224:H1225"/>
    <mergeCell ref="H1227:H1228"/>
    <mergeCell ref="H1229:H1230"/>
    <mergeCell ref="H1231:H1232"/>
    <mergeCell ref="H1233:H1234"/>
    <mergeCell ref="H1235:H1236"/>
    <mergeCell ref="H1237:H1238"/>
    <mergeCell ref="H1240:H1241"/>
    <mergeCell ref="H1242:H1243"/>
    <mergeCell ref="H1244:H1245"/>
    <mergeCell ref="H1246:H1247"/>
    <mergeCell ref="H1248:H1249"/>
    <mergeCell ref="H1250:H1251"/>
    <mergeCell ref="H1253:H1254"/>
    <mergeCell ref="H1255:H1256"/>
    <mergeCell ref="H1257:H1258"/>
    <mergeCell ref="H1259:H1260"/>
    <mergeCell ref="H1262:H1263"/>
    <mergeCell ref="H1264:H1265"/>
    <mergeCell ref="H1266:H1267"/>
    <mergeCell ref="H1268:H1269"/>
    <mergeCell ref="H1270:H1271"/>
    <mergeCell ref="H1272:H1273"/>
    <mergeCell ref="H1274:H1275"/>
    <mergeCell ref="H1276:H1277"/>
    <mergeCell ref="H1278:H1279"/>
    <mergeCell ref="H1280:H1281"/>
    <mergeCell ref="H1283:H1284"/>
    <mergeCell ref="H1285:H1286"/>
    <mergeCell ref="H1288:H1289"/>
    <mergeCell ref="H1290:H1291"/>
    <mergeCell ref="H1292:H1293"/>
    <mergeCell ref="H1294:H1295"/>
    <mergeCell ref="H1297:H1298"/>
    <mergeCell ref="H1300:H1301"/>
    <mergeCell ref="H1302:H1303"/>
    <mergeCell ref="H1304:H1305"/>
    <mergeCell ref="H1306:H1307"/>
    <mergeCell ref="H1308:H1309"/>
    <mergeCell ref="H1311:H1312"/>
    <mergeCell ref="H1313:H1314"/>
    <mergeCell ref="H1316:H1317"/>
    <mergeCell ref="H1318:H1319"/>
    <mergeCell ref="H1320:H1321"/>
    <mergeCell ref="H1322:H1323"/>
    <mergeCell ref="H1324:H1325"/>
    <mergeCell ref="H1327:H1328"/>
    <mergeCell ref="H1329:H1330"/>
    <mergeCell ref="H1331:H1332"/>
    <mergeCell ref="H1333:H1334"/>
    <mergeCell ref="H1335:H1336"/>
    <mergeCell ref="H1337:H1338"/>
    <mergeCell ref="H1339:H1340"/>
    <mergeCell ref="H1341:H1342"/>
    <mergeCell ref="H1343:H1344"/>
    <mergeCell ref="H1345:H1346"/>
    <mergeCell ref="H1347:H1348"/>
    <mergeCell ref="H1349:H1350"/>
    <mergeCell ref="H1351:H1352"/>
    <mergeCell ref="H1353:H1354"/>
    <mergeCell ref="H1355:H1356"/>
    <mergeCell ref="H1358:H1359"/>
    <mergeCell ref="H1360:H1361"/>
    <mergeCell ref="H1362:H1363"/>
    <mergeCell ref="H1364:H1365"/>
    <mergeCell ref="H1366:H1367"/>
    <mergeCell ref="H1368:H1369"/>
    <mergeCell ref="H1373:H1374"/>
    <mergeCell ref="H1375:H1376"/>
    <mergeCell ref="H1378:H1379"/>
    <mergeCell ref="H1381:H1382"/>
    <mergeCell ref="H1383:H1384"/>
    <mergeCell ref="H1385:H1386"/>
    <mergeCell ref="H1388:H1389"/>
    <mergeCell ref="H1390:H1391"/>
    <mergeCell ref="H1392:H1393"/>
    <mergeCell ref="H1394:H1395"/>
    <mergeCell ref="H1396:H1397"/>
    <mergeCell ref="H1398:H1399"/>
    <mergeCell ref="H1400:H1401"/>
    <mergeCell ref="H1402:H1403"/>
    <mergeCell ref="H1404:H1405"/>
    <mergeCell ref="H1406:H1407"/>
    <mergeCell ref="H1408:H1409"/>
    <mergeCell ref="H1410:H1411"/>
    <mergeCell ref="H1413:H1414"/>
    <mergeCell ref="H1415:H1416"/>
    <mergeCell ref="H1417:H1418"/>
    <mergeCell ref="H1419:H1420"/>
    <mergeCell ref="H1421:H1422"/>
    <mergeCell ref="H1423:H1424"/>
    <mergeCell ref="H1426:H1427"/>
    <mergeCell ref="H1428:H1429"/>
    <mergeCell ref="H1430:H1431"/>
    <mergeCell ref="H1432:H1433"/>
    <mergeCell ref="H1434:H1435"/>
    <mergeCell ref="H1437:H1438"/>
    <mergeCell ref="H1439:H1440"/>
    <mergeCell ref="H1442:H1443"/>
    <mergeCell ref="H1444:H1445"/>
    <mergeCell ref="H1446:H1447"/>
    <mergeCell ref="H1448:H1449"/>
    <mergeCell ref="H1450:H1451"/>
    <mergeCell ref="H1453:H1454"/>
    <mergeCell ref="H1455:H1456"/>
    <mergeCell ref="H1457:H1458"/>
    <mergeCell ref="H1459:H1460"/>
    <mergeCell ref="H1461:H1462"/>
    <mergeCell ref="H1463:H1464"/>
    <mergeCell ref="H1465:H1466"/>
    <mergeCell ref="H1467:H1468"/>
    <mergeCell ref="H1469:H1470"/>
    <mergeCell ref="H1472:H1473"/>
    <mergeCell ref="H1474:H1475"/>
    <mergeCell ref="H1476:H1477"/>
    <mergeCell ref="H1478:H1479"/>
    <mergeCell ref="H1480:H1481"/>
    <mergeCell ref="H1482:H1483"/>
    <mergeCell ref="H1484:H1485"/>
    <mergeCell ref="H1486:H1487"/>
    <mergeCell ref="H1488:H1489"/>
    <mergeCell ref="H1490:H1491"/>
    <mergeCell ref="H1492:H1493"/>
    <mergeCell ref="H1494:H1495"/>
    <mergeCell ref="H1496:H1497"/>
    <mergeCell ref="H1498:H1499"/>
    <mergeCell ref="H1501:H1502"/>
    <mergeCell ref="H1503:H1504"/>
    <mergeCell ref="H1505:H1506"/>
    <mergeCell ref="H1507:H1508"/>
    <mergeCell ref="H1509:H1510"/>
    <mergeCell ref="H1511:H1512"/>
    <mergeCell ref="H1513:H1514"/>
    <mergeCell ref="H1515:H1516"/>
    <mergeCell ref="H1517:H1518"/>
    <mergeCell ref="H1519:H1520"/>
    <mergeCell ref="H1522:H1523"/>
    <mergeCell ref="H1524:H1525"/>
    <mergeCell ref="H1527:H1528"/>
    <mergeCell ref="H1529:H1530"/>
    <mergeCell ref="H1531:H1532"/>
    <mergeCell ref="H1533:H1534"/>
    <mergeCell ref="H1535:H1536"/>
    <mergeCell ref="H1537:H1538"/>
    <mergeCell ref="H1539:H1540"/>
    <mergeCell ref="H1541:H1542"/>
    <mergeCell ref="H1544:H1545"/>
    <mergeCell ref="H1546:H1547"/>
    <mergeCell ref="H1548:H1549"/>
    <mergeCell ref="H1551:H1552"/>
    <mergeCell ref="H1553:H1554"/>
    <mergeCell ref="H1555:H1556"/>
    <mergeCell ref="H1557:H1558"/>
    <mergeCell ref="H1559:H1560"/>
    <mergeCell ref="H1561:H1562"/>
    <mergeCell ref="H1564:H1565"/>
    <mergeCell ref="H1567:H1568"/>
    <mergeCell ref="H1569:H1570"/>
    <mergeCell ref="H1572:H1573"/>
    <mergeCell ref="H1574:H1575"/>
    <mergeCell ref="H1576:H1577"/>
    <mergeCell ref="H1578:H1579"/>
    <mergeCell ref="H1580:H1581"/>
    <mergeCell ref="H1582:H1583"/>
    <mergeCell ref="H1585:H1586"/>
    <mergeCell ref="H1587:H1588"/>
    <mergeCell ref="H1589:H1590"/>
    <mergeCell ref="H1591:H1592"/>
    <mergeCell ref="H1593:H1594"/>
    <mergeCell ref="H1595:H1596"/>
    <mergeCell ref="H1597:H1598"/>
    <mergeCell ref="H1599:H1600"/>
    <mergeCell ref="H1602:H1603"/>
    <mergeCell ref="H1604:H1605"/>
    <mergeCell ref="H1606:H1607"/>
    <mergeCell ref="H1608:H1609"/>
    <mergeCell ref="H1610:H1611"/>
    <mergeCell ref="H1612:H1613"/>
    <mergeCell ref="H1614:H1615"/>
    <mergeCell ref="H1616:H1617"/>
    <mergeCell ref="H1619:H1620"/>
    <mergeCell ref="H1621:H1622"/>
    <mergeCell ref="H1623:H1624"/>
    <mergeCell ref="H1625:H1626"/>
    <mergeCell ref="H1627:H1628"/>
    <mergeCell ref="H1629:H1630"/>
    <mergeCell ref="H1631:H1632"/>
    <mergeCell ref="H1633:H1634"/>
    <mergeCell ref="H1635:H1636"/>
    <mergeCell ref="H1637:H1638"/>
    <mergeCell ref="H1639:H1640"/>
    <mergeCell ref="H1641:H1642"/>
    <mergeCell ref="H1643:H1644"/>
    <mergeCell ref="H1645:H1646"/>
    <mergeCell ref="H1648:H1649"/>
    <mergeCell ref="H1650:H1651"/>
    <mergeCell ref="H1652:H1653"/>
    <mergeCell ref="H1654:H1655"/>
    <mergeCell ref="H1656:H1657"/>
    <mergeCell ref="H1658:H1659"/>
    <mergeCell ref="H1661:H1662"/>
    <mergeCell ref="H1663:H1664"/>
    <mergeCell ref="H1665:H1666"/>
    <mergeCell ref="H1667:H1668"/>
    <mergeCell ref="H1669:H1670"/>
    <mergeCell ref="H1671:H1672"/>
    <mergeCell ref="H1673:H1674"/>
    <mergeCell ref="H1675:H1676"/>
    <mergeCell ref="H1678:H1679"/>
    <mergeCell ref="H1680:H1681"/>
    <mergeCell ref="H1682:H1683"/>
    <mergeCell ref="H1684:H1685"/>
    <mergeCell ref="H1687:H1688"/>
    <mergeCell ref="H1689:H1690"/>
    <mergeCell ref="H1691:H1692"/>
    <mergeCell ref="H1693:H1694"/>
    <mergeCell ref="H1695:H1696"/>
    <mergeCell ref="H1698:H1699"/>
    <mergeCell ref="H1700:H1701"/>
    <mergeCell ref="H1703:H1704"/>
    <mergeCell ref="H1705:H1706"/>
    <mergeCell ref="H1707:H1708"/>
    <mergeCell ref="H1709:H1710"/>
    <mergeCell ref="H1711:H1712"/>
    <mergeCell ref="H1713:H1714"/>
    <mergeCell ref="H1715:H1716"/>
    <mergeCell ref="H1717:H1718"/>
    <mergeCell ref="H1720:H1721"/>
    <mergeCell ref="H1722:H1723"/>
    <mergeCell ref="H1724:H1725"/>
    <mergeCell ref="H1726:H1727"/>
    <mergeCell ref="H1728:H1729"/>
    <mergeCell ref="H1730:H1731"/>
    <mergeCell ref="H1732:H1733"/>
    <mergeCell ref="H1734:H1735"/>
    <mergeCell ref="H1737:H1738"/>
    <mergeCell ref="H1739:H1740"/>
    <mergeCell ref="H1741:H1742"/>
    <mergeCell ref="H1743:H1744"/>
    <mergeCell ref="H1745:H1746"/>
    <mergeCell ref="H1747:H1748"/>
    <mergeCell ref="H1749:H1750"/>
    <mergeCell ref="H1752:H1753"/>
    <mergeCell ref="H1754:H1755"/>
    <mergeCell ref="H1756:H1757"/>
    <mergeCell ref="H1758:H1759"/>
    <mergeCell ref="H1760:H1761"/>
    <mergeCell ref="H1762:H1763"/>
    <mergeCell ref="H1764:H1765"/>
    <mergeCell ref="H1766:H1767"/>
    <mergeCell ref="H1768:H1769"/>
    <mergeCell ref="H1770:H1771"/>
    <mergeCell ref="H1773:H1774"/>
    <mergeCell ref="H1776:H1777"/>
    <mergeCell ref="H1778:H1779"/>
    <mergeCell ref="H1780:H1781"/>
    <mergeCell ref="H1782:H1783"/>
    <mergeCell ref="H1785:H1786"/>
    <mergeCell ref="H1787:H1788"/>
    <mergeCell ref="H1790:H1791"/>
    <mergeCell ref="H1792:H1793"/>
    <mergeCell ref="H1794:H1795"/>
    <mergeCell ref="H1796:H1797"/>
    <mergeCell ref="H1798:H1799"/>
    <mergeCell ref="H1800:H1801"/>
    <mergeCell ref="H1802:H1803"/>
    <mergeCell ref="H1804:H1805"/>
    <mergeCell ref="H1807:H1808"/>
    <mergeCell ref="H1809:H1810"/>
    <mergeCell ref="H1811:H1812"/>
    <mergeCell ref="H1813:H1814"/>
    <mergeCell ref="H1816:H1817"/>
    <mergeCell ref="H1818:H1819"/>
    <mergeCell ref="H1820:H1821"/>
    <mergeCell ref="H1822:H1823"/>
    <mergeCell ref="H1824:H1825"/>
    <mergeCell ref="H1827:H1828"/>
    <mergeCell ref="H1829:H1830"/>
    <mergeCell ref="H1831:H1832"/>
    <mergeCell ref="H1833:H1834"/>
    <mergeCell ref="H1835:H1836"/>
    <mergeCell ref="H1837:H1838"/>
    <mergeCell ref="H1839:H1840"/>
    <mergeCell ref="H1841:H1842"/>
    <mergeCell ref="H1843:H1844"/>
    <mergeCell ref="H1845:H1846"/>
    <mergeCell ref="H1848:H1849"/>
    <mergeCell ref="H1850:H1851"/>
    <mergeCell ref="H1852:H1853"/>
    <mergeCell ref="H1854:H1855"/>
    <mergeCell ref="H1856:H1857"/>
    <mergeCell ref="H1858:H1859"/>
    <mergeCell ref="H1860:H1861"/>
    <mergeCell ref="H1862:H1863"/>
    <mergeCell ref="H1864:H1865"/>
    <mergeCell ref="H1866:H1867"/>
    <mergeCell ref="H1868:H1869"/>
    <mergeCell ref="H1870:H1871"/>
    <mergeCell ref="H1872:H1873"/>
    <mergeCell ref="H1874:H1875"/>
    <mergeCell ref="H1876:H1877"/>
    <mergeCell ref="H1878:H1879"/>
    <mergeCell ref="H1881:H1882"/>
    <mergeCell ref="H1883:H1884"/>
    <mergeCell ref="H1885:H1886"/>
    <mergeCell ref="H1887:H1888"/>
    <mergeCell ref="H1889:H1890"/>
    <mergeCell ref="H1891:H1892"/>
    <mergeCell ref="H1893:H1894"/>
    <mergeCell ref="H1895:H1896"/>
    <mergeCell ref="H1898:H1899"/>
    <mergeCell ref="H1900:H1901"/>
    <mergeCell ref="H1902:H1903"/>
    <mergeCell ref="H1905:H1906"/>
    <mergeCell ref="H1907:H1908"/>
    <mergeCell ref="H1910:H1911"/>
    <mergeCell ref="H1913:H1914"/>
    <mergeCell ref="H1916:H1917"/>
    <mergeCell ref="H1918:H1919"/>
    <mergeCell ref="H1920:H1921"/>
    <mergeCell ref="H1923:H1924"/>
    <mergeCell ref="H1925:H1926"/>
    <mergeCell ref="H1927:H1928"/>
    <mergeCell ref="H1929:H1930"/>
    <mergeCell ref="H1931:H1932"/>
    <mergeCell ref="H1933:H1934"/>
    <mergeCell ref="H1935:H1936"/>
    <mergeCell ref="H1937:H1938"/>
    <mergeCell ref="H1940:H1941"/>
    <mergeCell ref="H1942:H1943"/>
    <mergeCell ref="H1945:H1946"/>
    <mergeCell ref="H1947:H1948"/>
    <mergeCell ref="H1949:H1950"/>
    <mergeCell ref="H1951:H1952"/>
    <mergeCell ref="H1953:H1954"/>
    <mergeCell ref="H1955:H1956"/>
    <mergeCell ref="H1957:H1958"/>
    <mergeCell ref="H1959:H1960"/>
    <mergeCell ref="H1961:H1962"/>
    <mergeCell ref="H1963:H1964"/>
    <mergeCell ref="H1965:H1966"/>
    <mergeCell ref="H1967:H1968"/>
    <mergeCell ref="H1969:H1970"/>
    <mergeCell ref="H1971:H1972"/>
    <mergeCell ref="H1973:H1974"/>
    <mergeCell ref="H1975:H1976"/>
    <mergeCell ref="H1978:H1979"/>
    <mergeCell ref="H1980:H1981"/>
    <mergeCell ref="H1982:H1983"/>
    <mergeCell ref="H1984:H1985"/>
    <mergeCell ref="H1986:H1987"/>
    <mergeCell ref="H1988:H1989"/>
    <mergeCell ref="H1990:H1991"/>
    <mergeCell ref="H1992:H1993"/>
    <mergeCell ref="H1995:H1996"/>
    <mergeCell ref="H1997:H1998"/>
    <mergeCell ref="H1999:H2000"/>
    <mergeCell ref="H2001:H2002"/>
    <mergeCell ref="H2004:H2005"/>
    <mergeCell ref="H2006:H2007"/>
    <mergeCell ref="H2008:H2009"/>
    <mergeCell ref="H2011:H2012"/>
    <mergeCell ref="H2014:H2015"/>
    <mergeCell ref="H2016:H2017"/>
    <mergeCell ref="H2018:H2019"/>
    <mergeCell ref="H2020:H2021"/>
    <mergeCell ref="H2024:H2025"/>
    <mergeCell ref="H2026:H2027"/>
    <mergeCell ref="H2028:H2029"/>
    <mergeCell ref="H2030:H2031"/>
    <mergeCell ref="H2032:H2033"/>
    <mergeCell ref="H2034:H2035"/>
    <mergeCell ref="H2036:H2037"/>
    <mergeCell ref="H2038:H2039"/>
    <mergeCell ref="H2040:H2041"/>
    <mergeCell ref="H2042:H2043"/>
    <mergeCell ref="H2044:H2045"/>
    <mergeCell ref="H2046:H2047"/>
    <mergeCell ref="H2048:H2049"/>
    <mergeCell ref="H2051:H2052"/>
    <mergeCell ref="H2053:H2054"/>
    <mergeCell ref="H2056:H2057"/>
    <mergeCell ref="H2058:H2059"/>
    <mergeCell ref="H2060:H2061"/>
    <mergeCell ref="H2062:H2063"/>
    <mergeCell ref="H2064:H2065"/>
    <mergeCell ref="H2066:H2067"/>
    <mergeCell ref="H2068:H2069"/>
    <mergeCell ref="H2070:H2071"/>
    <mergeCell ref="H2073:H2074"/>
    <mergeCell ref="H2075:H2076"/>
    <mergeCell ref="H2078:H2079"/>
    <mergeCell ref="H2080:H2081"/>
    <mergeCell ref="H2083:H2084"/>
    <mergeCell ref="H2085:H2086"/>
    <mergeCell ref="H2090:H2091"/>
    <mergeCell ref="H2093:H2094"/>
    <mergeCell ref="H2095:H2096"/>
    <mergeCell ref="H2097:H2098"/>
    <mergeCell ref="H2099:H2100"/>
    <mergeCell ref="H2102:H2103"/>
    <mergeCell ref="H2104:H2105"/>
    <mergeCell ref="H2106:H2107"/>
    <mergeCell ref="H2109:H2110"/>
    <mergeCell ref="H2111:H2112"/>
    <mergeCell ref="H2113:H2114"/>
    <mergeCell ref="H2115:H2116"/>
    <mergeCell ref="H2118:H2119"/>
    <mergeCell ref="H2120:H2121"/>
    <mergeCell ref="H2122:H2123"/>
    <mergeCell ref="H2124:H2125"/>
    <mergeCell ref="H2126:H2127"/>
    <mergeCell ref="H2128:H2129"/>
    <mergeCell ref="H2130:H2131"/>
    <mergeCell ref="H2133:H2134"/>
    <mergeCell ref="H2135:H2136"/>
    <mergeCell ref="H2137:H2138"/>
    <mergeCell ref="H2139:H2140"/>
    <mergeCell ref="H2141:H2142"/>
    <mergeCell ref="H2143:H2144"/>
    <mergeCell ref="H2146:H2147"/>
    <mergeCell ref="H2148:H2149"/>
    <mergeCell ref="H2150:H2151"/>
    <mergeCell ref="H2153:H2154"/>
    <mergeCell ref="H2155:H2156"/>
    <mergeCell ref="H2157:H2158"/>
    <mergeCell ref="H2159:H2160"/>
    <mergeCell ref="H2161:H2162"/>
    <mergeCell ref="H2163:H2164"/>
    <mergeCell ref="H2165:H2166"/>
    <mergeCell ref="H2168:H2169"/>
    <mergeCell ref="H2170:H2171"/>
    <mergeCell ref="H2172:H2173"/>
    <mergeCell ref="H2174:H2175"/>
    <mergeCell ref="H2176:H2177"/>
    <mergeCell ref="H2178:H2179"/>
    <mergeCell ref="H2181:H2182"/>
    <mergeCell ref="H2183:H2184"/>
    <mergeCell ref="H2186:H2187"/>
    <mergeCell ref="H2189:H2190"/>
    <mergeCell ref="H2191:H2192"/>
    <mergeCell ref="H2193:H2194"/>
    <mergeCell ref="H2195:H2196"/>
    <mergeCell ref="H2197:H2198"/>
    <mergeCell ref="H2199:H2200"/>
    <mergeCell ref="H2201:H2202"/>
    <mergeCell ref="H2203:H2204"/>
    <mergeCell ref="H2205:H2206"/>
    <mergeCell ref="H2207:H2208"/>
    <mergeCell ref="H2209:H2210"/>
    <mergeCell ref="H2211:H2212"/>
    <mergeCell ref="H2214:H2215"/>
    <mergeCell ref="H2216:H2217"/>
    <mergeCell ref="H2218:H2219"/>
    <mergeCell ref="H2220:H2221"/>
    <mergeCell ref="H2222:H2223"/>
    <mergeCell ref="H2224:H2225"/>
    <mergeCell ref="H2226:H2227"/>
    <mergeCell ref="H2228:H2229"/>
    <mergeCell ref="H2231:H2232"/>
    <mergeCell ref="H2233:H2234"/>
    <mergeCell ref="H2236:H2237"/>
    <mergeCell ref="H2238:H2239"/>
    <mergeCell ref="H2240:H2241"/>
    <mergeCell ref="H2242:H2243"/>
    <mergeCell ref="H2244:H2245"/>
    <mergeCell ref="H2246:H2247"/>
    <mergeCell ref="H2249:H2250"/>
    <mergeCell ref="H2251:H2252"/>
    <mergeCell ref="H2254:H2255"/>
    <mergeCell ref="H2256:H2257"/>
    <mergeCell ref="H2258:H2259"/>
    <mergeCell ref="H2260:H2261"/>
    <mergeCell ref="H2262:H2263"/>
    <mergeCell ref="H2264:H2265"/>
    <mergeCell ref="H2266:H2267"/>
    <mergeCell ref="H2268:H2269"/>
    <mergeCell ref="H2270:H2271"/>
    <mergeCell ref="H2272:H2273"/>
    <mergeCell ref="H2274:H2275"/>
    <mergeCell ref="H2276:H2277"/>
    <mergeCell ref="H2278:H2279"/>
    <mergeCell ref="H2280:H2281"/>
    <mergeCell ref="H2282:H2283"/>
    <mergeCell ref="H2284:H2285"/>
    <mergeCell ref="H2286:H2287"/>
    <mergeCell ref="H2288:H2289"/>
    <mergeCell ref="H2291:H2292"/>
    <mergeCell ref="H2293:H2294"/>
    <mergeCell ref="H2295:H2296"/>
    <mergeCell ref="H2297:H2298"/>
    <mergeCell ref="H2299:H2300"/>
    <mergeCell ref="H2301:H2302"/>
    <mergeCell ref="H2303:H2304"/>
    <mergeCell ref="H2305:H2306"/>
    <mergeCell ref="H2308:H2309"/>
    <mergeCell ref="H2310:H2311"/>
    <mergeCell ref="H2312:H2313"/>
    <mergeCell ref="H2314:H2315"/>
    <mergeCell ref="H2316:H2317"/>
    <mergeCell ref="H2318:H2319"/>
    <mergeCell ref="H2320:H2321"/>
    <mergeCell ref="H2322:H2323"/>
    <mergeCell ref="H2324:H2325"/>
    <mergeCell ref="H2326:H2327"/>
    <mergeCell ref="H2328:H2329"/>
    <mergeCell ref="H2330:H2331"/>
    <mergeCell ref="H2332:H2333"/>
    <mergeCell ref="H2334:H2335"/>
    <mergeCell ref="H2337:H2338"/>
    <mergeCell ref="H2339:H2340"/>
    <mergeCell ref="H2341:H2342"/>
    <mergeCell ref="H2343:H2344"/>
    <mergeCell ref="H2345:H2346"/>
    <mergeCell ref="H2347:H2348"/>
    <mergeCell ref="H2349:H2350"/>
    <mergeCell ref="H2351:H2352"/>
    <mergeCell ref="H2354:H2355"/>
    <mergeCell ref="H2356:H2357"/>
    <mergeCell ref="H2359:H2360"/>
    <mergeCell ref="H2361:H2362"/>
    <mergeCell ref="H2363:H2364"/>
    <mergeCell ref="H2365:H2366"/>
    <mergeCell ref="H2367:H2368"/>
    <mergeCell ref="H2369:H2370"/>
    <mergeCell ref="H2371:H2372"/>
    <mergeCell ref="H2373:H2374"/>
    <mergeCell ref="H2375:H2376"/>
    <mergeCell ref="H2377:H2378"/>
    <mergeCell ref="H2379:H2380"/>
    <mergeCell ref="H2381:H2382"/>
    <mergeCell ref="H2383:H2384"/>
    <mergeCell ref="H2385:H2386"/>
    <mergeCell ref="H2387:H2388"/>
    <mergeCell ref="H2389:H2390"/>
    <mergeCell ref="H2391:H2392"/>
    <mergeCell ref="H2393:H2394"/>
    <mergeCell ref="H2395:H2396"/>
    <mergeCell ref="H2397:H2398"/>
    <mergeCell ref="H2399:H2400"/>
    <mergeCell ref="H2401:H2402"/>
    <mergeCell ref="H2403:H2404"/>
    <mergeCell ref="H2406:H2407"/>
    <mergeCell ref="H2408:H2409"/>
    <mergeCell ref="H2410:H2411"/>
    <mergeCell ref="H2412:H2413"/>
    <mergeCell ref="H2414:H2415"/>
    <mergeCell ref="H2416:H2417"/>
    <mergeCell ref="H2418:H2419"/>
    <mergeCell ref="H2420:H2421"/>
    <mergeCell ref="H2422:H2423"/>
    <mergeCell ref="H2424:H2425"/>
    <mergeCell ref="H2426:H2427"/>
    <mergeCell ref="H2428:H2429"/>
    <mergeCell ref="H2430:H2431"/>
    <mergeCell ref="H2432:H2433"/>
    <mergeCell ref="H2434:H2435"/>
    <mergeCell ref="H2436:H2437"/>
    <mergeCell ref="H2438:H2439"/>
    <mergeCell ref="H2440:H2441"/>
    <mergeCell ref="H2442:H2443"/>
    <mergeCell ref="H2444:H2445"/>
    <mergeCell ref="H2446:H2447"/>
    <mergeCell ref="H2448:H2449"/>
    <mergeCell ref="H2450:H2451"/>
    <mergeCell ref="H2452:H2453"/>
    <mergeCell ref="H2454:H2455"/>
    <mergeCell ref="H2456:H2457"/>
    <mergeCell ref="H2458:H2459"/>
    <mergeCell ref="H2461:H2462"/>
    <mergeCell ref="H2463:H2464"/>
    <mergeCell ref="H2465:H2466"/>
    <mergeCell ref="H2467:H2468"/>
    <mergeCell ref="H2469:H2470"/>
    <mergeCell ref="H2471:H2472"/>
    <mergeCell ref="H2473:H2474"/>
    <mergeCell ref="H2475:H2476"/>
    <mergeCell ref="H2477:H2478"/>
    <mergeCell ref="H2479:H2480"/>
    <mergeCell ref="H2481:H2482"/>
    <mergeCell ref="H2483:H2484"/>
    <mergeCell ref="H2485:H2486"/>
    <mergeCell ref="H2487:H2488"/>
    <mergeCell ref="H2489:H2490"/>
    <mergeCell ref="H2492:H2493"/>
    <mergeCell ref="H2494:H2495"/>
    <mergeCell ref="H2496:H2497"/>
    <mergeCell ref="H2498:H2499"/>
    <mergeCell ref="H2500:H2501"/>
    <mergeCell ref="H2502:H2503"/>
    <mergeCell ref="H2504:H2505"/>
    <mergeCell ref="H2506:H2507"/>
    <mergeCell ref="H2508:H2509"/>
    <mergeCell ref="H2510:H2511"/>
    <mergeCell ref="H2512:H2513"/>
    <mergeCell ref="H2514:H2515"/>
    <mergeCell ref="H2516:H2517"/>
    <mergeCell ref="H2518:H2519"/>
    <mergeCell ref="H2520:H2521"/>
    <mergeCell ref="H2522:H2523"/>
    <mergeCell ref="H2524:H2525"/>
    <mergeCell ref="H2526:H2527"/>
    <mergeCell ref="H2528:H2529"/>
    <mergeCell ref="H2530:H2531"/>
    <mergeCell ref="H2532:H2533"/>
    <mergeCell ref="H2534:H2535"/>
    <mergeCell ref="H2536:H2537"/>
    <mergeCell ref="H2538:H2539"/>
    <mergeCell ref="H2541:H2542"/>
    <mergeCell ref="H2543:H2544"/>
    <mergeCell ref="H2545:H2546"/>
    <mergeCell ref="H2547:H2548"/>
    <mergeCell ref="H2549:H2550"/>
    <mergeCell ref="H2551:H2552"/>
    <mergeCell ref="H2553:H2554"/>
    <mergeCell ref="H2555:H2556"/>
    <mergeCell ref="H2557:H2558"/>
    <mergeCell ref="H2559:H2560"/>
    <mergeCell ref="H2561:H2562"/>
    <mergeCell ref="H2563:H2564"/>
    <mergeCell ref="H2565:H2566"/>
    <mergeCell ref="H2567:H2568"/>
    <mergeCell ref="H2569:H2570"/>
    <mergeCell ref="H2571:H2572"/>
    <mergeCell ref="H2573:H2574"/>
    <mergeCell ref="H2575:H2576"/>
    <mergeCell ref="H2577:H2578"/>
    <mergeCell ref="H2579:H2580"/>
    <mergeCell ref="H2581:H2582"/>
    <mergeCell ref="H2583:H2584"/>
    <mergeCell ref="H2586:H2587"/>
    <mergeCell ref="H2588:H2589"/>
    <mergeCell ref="H2590:H2591"/>
    <mergeCell ref="H2592:H2593"/>
    <mergeCell ref="H2594:H2595"/>
    <mergeCell ref="H2596:H2597"/>
    <mergeCell ref="H2598:H2599"/>
    <mergeCell ref="H2600:H2601"/>
    <mergeCell ref="H2602:H2603"/>
    <mergeCell ref="H2604:H2605"/>
    <mergeCell ref="H2606:H2607"/>
    <mergeCell ref="H2608:H2609"/>
    <mergeCell ref="H2610:H2611"/>
    <mergeCell ref="H2612:H2613"/>
    <mergeCell ref="H2614:H2615"/>
    <mergeCell ref="H2616:H2617"/>
    <mergeCell ref="H2618:H2619"/>
    <mergeCell ref="H2620:H2621"/>
    <mergeCell ref="H2622:H2623"/>
    <mergeCell ref="H2625:H2626"/>
    <mergeCell ref="H2627:H2628"/>
    <mergeCell ref="H2629:H2630"/>
    <mergeCell ref="H2631:H2632"/>
    <mergeCell ref="H2634:H2635"/>
    <mergeCell ref="H2636:H2637"/>
    <mergeCell ref="H2638:H2639"/>
    <mergeCell ref="H2641:H2642"/>
    <mergeCell ref="H2643:H2644"/>
    <mergeCell ref="H2645:H2646"/>
    <mergeCell ref="H2647:H2648"/>
    <mergeCell ref="H2649:H2650"/>
    <mergeCell ref="H2651:H2652"/>
    <mergeCell ref="H2653:H2654"/>
    <mergeCell ref="H2656:H2657"/>
    <mergeCell ref="H2658:H2659"/>
    <mergeCell ref="H2660:H2661"/>
    <mergeCell ref="H2662:H2663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2:I103"/>
    <mergeCell ref="I104:I105"/>
    <mergeCell ref="I106:I107"/>
    <mergeCell ref="I108:I109"/>
    <mergeCell ref="I110:I111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30:I131"/>
    <mergeCell ref="I132:I133"/>
    <mergeCell ref="I135:I136"/>
    <mergeCell ref="I137:I138"/>
    <mergeCell ref="I139:I140"/>
    <mergeCell ref="I141:I142"/>
    <mergeCell ref="I143:I144"/>
    <mergeCell ref="I145:I146"/>
    <mergeCell ref="I148:I149"/>
    <mergeCell ref="I150:I151"/>
    <mergeCell ref="I152:I153"/>
    <mergeCell ref="I154:I155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80:I181"/>
    <mergeCell ref="I182:I183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6:I217"/>
    <mergeCell ref="I218:I219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8:I239"/>
    <mergeCell ref="I240:I241"/>
    <mergeCell ref="I243:I244"/>
    <mergeCell ref="I245:I246"/>
    <mergeCell ref="I247:I248"/>
    <mergeCell ref="I249:I250"/>
    <mergeCell ref="I252:I253"/>
    <mergeCell ref="I255:I256"/>
    <mergeCell ref="I258:I259"/>
    <mergeCell ref="I260:I261"/>
    <mergeCell ref="I262:I263"/>
    <mergeCell ref="I264:I265"/>
    <mergeCell ref="I267:I268"/>
    <mergeCell ref="I269:I270"/>
    <mergeCell ref="I271:I272"/>
    <mergeCell ref="I274:I275"/>
    <mergeCell ref="I276:I277"/>
    <mergeCell ref="I278:I279"/>
    <mergeCell ref="I280:I281"/>
    <mergeCell ref="I283:I284"/>
    <mergeCell ref="I285:I286"/>
    <mergeCell ref="I287:I288"/>
    <mergeCell ref="I289:I290"/>
    <mergeCell ref="I291:I292"/>
    <mergeCell ref="I293:I294"/>
    <mergeCell ref="I296:I297"/>
    <mergeCell ref="I298:I299"/>
    <mergeCell ref="I300:I301"/>
    <mergeCell ref="I302:I303"/>
    <mergeCell ref="I304:I305"/>
    <mergeCell ref="I306:I307"/>
    <mergeCell ref="I309:I310"/>
    <mergeCell ref="I311:I312"/>
    <mergeCell ref="I313:I314"/>
    <mergeCell ref="I315:I316"/>
    <mergeCell ref="I318:I319"/>
    <mergeCell ref="I320:I321"/>
    <mergeCell ref="I322:I323"/>
    <mergeCell ref="I324:I325"/>
    <mergeCell ref="I326:I327"/>
    <mergeCell ref="I328:I329"/>
    <mergeCell ref="I330:I331"/>
    <mergeCell ref="I332:I333"/>
    <mergeCell ref="I334:I335"/>
    <mergeCell ref="I337:I338"/>
    <mergeCell ref="I339:I340"/>
    <mergeCell ref="I341:I342"/>
    <mergeCell ref="I343:I344"/>
    <mergeCell ref="I345:I346"/>
    <mergeCell ref="I348:I349"/>
    <mergeCell ref="I350:I351"/>
    <mergeCell ref="I352:I353"/>
    <mergeCell ref="I354:I355"/>
    <mergeCell ref="I356:I357"/>
    <mergeCell ref="I358:I359"/>
    <mergeCell ref="I360:I361"/>
    <mergeCell ref="I362:I363"/>
    <mergeCell ref="I364:I365"/>
    <mergeCell ref="I366:I367"/>
    <mergeCell ref="I368:I369"/>
    <mergeCell ref="I370:I371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2:I403"/>
    <mergeCell ref="I404:I405"/>
    <mergeCell ref="I407:I408"/>
    <mergeCell ref="I409:I410"/>
    <mergeCell ref="I412:I413"/>
    <mergeCell ref="I414:I415"/>
    <mergeCell ref="I416:I417"/>
    <mergeCell ref="I418:I419"/>
    <mergeCell ref="I420:I421"/>
    <mergeCell ref="I422:I423"/>
    <mergeCell ref="I424:I425"/>
    <mergeCell ref="I426:I427"/>
    <mergeCell ref="I428:I429"/>
    <mergeCell ref="I431:I432"/>
    <mergeCell ref="I433:I434"/>
    <mergeCell ref="I435:I436"/>
    <mergeCell ref="I437:I438"/>
    <mergeCell ref="I440:I441"/>
    <mergeCell ref="I442:I443"/>
    <mergeCell ref="I444:I445"/>
    <mergeCell ref="I446:I447"/>
    <mergeCell ref="I448:I449"/>
    <mergeCell ref="I450:I451"/>
    <mergeCell ref="I453:I454"/>
    <mergeCell ref="I455:I456"/>
    <mergeCell ref="I457:I458"/>
    <mergeCell ref="I459:I460"/>
    <mergeCell ref="I461:I462"/>
    <mergeCell ref="I463:I464"/>
    <mergeCell ref="I466:I467"/>
    <mergeCell ref="I468:I469"/>
    <mergeCell ref="I470:I471"/>
    <mergeCell ref="I472:I473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I500:I501"/>
    <mergeCell ref="I502:I503"/>
    <mergeCell ref="I504:I505"/>
    <mergeCell ref="I507:I508"/>
    <mergeCell ref="I509:I510"/>
    <mergeCell ref="I511:I512"/>
    <mergeCell ref="I513:I514"/>
    <mergeCell ref="I515:I516"/>
    <mergeCell ref="I517:I518"/>
    <mergeCell ref="I520:I521"/>
    <mergeCell ref="I522:I523"/>
    <mergeCell ref="I524:I525"/>
    <mergeCell ref="I526:I527"/>
    <mergeCell ref="I528:I529"/>
    <mergeCell ref="I530:I531"/>
    <mergeCell ref="I532:I533"/>
    <mergeCell ref="I534:I535"/>
    <mergeCell ref="I537:I538"/>
    <mergeCell ref="I539:I540"/>
    <mergeCell ref="I541:I542"/>
    <mergeCell ref="I543:I544"/>
    <mergeCell ref="I545:I546"/>
    <mergeCell ref="I547:I548"/>
    <mergeCell ref="I549:I550"/>
    <mergeCell ref="I551:I552"/>
    <mergeCell ref="I553:I554"/>
    <mergeCell ref="I555:I556"/>
    <mergeCell ref="I558:I559"/>
    <mergeCell ref="I561:I562"/>
    <mergeCell ref="I564:I565"/>
    <mergeCell ref="I566:I567"/>
    <mergeCell ref="I568:I569"/>
    <mergeCell ref="I570:I571"/>
    <mergeCell ref="I572:I573"/>
    <mergeCell ref="I574:I575"/>
    <mergeCell ref="I577:I578"/>
    <mergeCell ref="I579:I580"/>
    <mergeCell ref="I582:I583"/>
    <mergeCell ref="I584:I585"/>
    <mergeCell ref="I586:I587"/>
    <mergeCell ref="I588:I589"/>
    <mergeCell ref="I590:I591"/>
    <mergeCell ref="I592:I593"/>
    <mergeCell ref="I595:I596"/>
    <mergeCell ref="I597:I598"/>
    <mergeCell ref="I599:I600"/>
    <mergeCell ref="I601:I602"/>
    <mergeCell ref="I604:I605"/>
    <mergeCell ref="I606:I607"/>
    <mergeCell ref="I608:I609"/>
    <mergeCell ref="I610:I611"/>
    <mergeCell ref="I614:I615"/>
    <mergeCell ref="I616:I617"/>
    <mergeCell ref="I618:I619"/>
    <mergeCell ref="I620:I621"/>
    <mergeCell ref="I623:I624"/>
    <mergeCell ref="I625:I626"/>
    <mergeCell ref="I627:I628"/>
    <mergeCell ref="I629:I630"/>
    <mergeCell ref="I632:I633"/>
    <mergeCell ref="I634:I635"/>
    <mergeCell ref="I637:I638"/>
    <mergeCell ref="I639:I640"/>
    <mergeCell ref="I641:I642"/>
    <mergeCell ref="I643:I644"/>
    <mergeCell ref="I645:I646"/>
    <mergeCell ref="I647:I648"/>
    <mergeCell ref="I650:I651"/>
    <mergeCell ref="I652:I653"/>
    <mergeCell ref="I654:I655"/>
    <mergeCell ref="I656:I657"/>
    <mergeCell ref="I659:I660"/>
    <mergeCell ref="I661:I662"/>
    <mergeCell ref="I663:I664"/>
    <mergeCell ref="I665:I666"/>
    <mergeCell ref="I668:I669"/>
    <mergeCell ref="I670:I671"/>
    <mergeCell ref="I673:I674"/>
    <mergeCell ref="I676:I677"/>
    <mergeCell ref="I678:I679"/>
    <mergeCell ref="I680:I681"/>
    <mergeCell ref="I682:I683"/>
    <mergeCell ref="I684:I685"/>
    <mergeCell ref="I686:I687"/>
    <mergeCell ref="I688:I689"/>
    <mergeCell ref="I690:I691"/>
    <mergeCell ref="I692:I693"/>
    <mergeCell ref="I694:I695"/>
    <mergeCell ref="I696:I697"/>
    <mergeCell ref="I698:I699"/>
    <mergeCell ref="I700:I701"/>
    <mergeCell ref="I702:I703"/>
    <mergeCell ref="I704:I705"/>
    <mergeCell ref="I706:I707"/>
    <mergeCell ref="I708:I709"/>
    <mergeCell ref="I711:I712"/>
    <mergeCell ref="I713:I714"/>
    <mergeCell ref="I715:I716"/>
    <mergeCell ref="I717:I718"/>
    <mergeCell ref="I720:I721"/>
    <mergeCell ref="I722:I723"/>
    <mergeCell ref="I724:I725"/>
    <mergeCell ref="I726:I727"/>
    <mergeCell ref="I728:I729"/>
    <mergeCell ref="I730:I731"/>
    <mergeCell ref="I732:I733"/>
    <mergeCell ref="I734:I735"/>
    <mergeCell ref="I736:I737"/>
    <mergeCell ref="I738:I739"/>
    <mergeCell ref="I740:I741"/>
    <mergeCell ref="I742:I743"/>
    <mergeCell ref="I745:I746"/>
    <mergeCell ref="I747:I748"/>
    <mergeCell ref="I749:I750"/>
    <mergeCell ref="I751:I752"/>
    <mergeCell ref="I753:I754"/>
    <mergeCell ref="I755:I756"/>
    <mergeCell ref="I757:I758"/>
    <mergeCell ref="I759:I760"/>
    <mergeCell ref="I762:I763"/>
    <mergeCell ref="I764:I765"/>
    <mergeCell ref="I766:I767"/>
    <mergeCell ref="I768:I769"/>
    <mergeCell ref="I770:I771"/>
    <mergeCell ref="I772:I773"/>
    <mergeCell ref="I775:I776"/>
    <mergeCell ref="I777:I778"/>
    <mergeCell ref="I779:I780"/>
    <mergeCell ref="I781:I782"/>
    <mergeCell ref="I783:I784"/>
    <mergeCell ref="I785:I786"/>
    <mergeCell ref="I787:I788"/>
    <mergeCell ref="I789:I790"/>
    <mergeCell ref="I792:I793"/>
    <mergeCell ref="I794:I795"/>
    <mergeCell ref="I796:I797"/>
    <mergeCell ref="I799:I800"/>
    <mergeCell ref="I801:I802"/>
    <mergeCell ref="I803:I804"/>
    <mergeCell ref="I805:I806"/>
    <mergeCell ref="I807:I808"/>
    <mergeCell ref="I809:I810"/>
    <mergeCell ref="I811:I812"/>
    <mergeCell ref="I813:I814"/>
    <mergeCell ref="I815:I816"/>
    <mergeCell ref="I817:I818"/>
    <mergeCell ref="I819:I820"/>
    <mergeCell ref="I821:I822"/>
    <mergeCell ref="I823:I824"/>
    <mergeCell ref="I825:I826"/>
    <mergeCell ref="I827:I828"/>
    <mergeCell ref="I829:I830"/>
    <mergeCell ref="I832:I833"/>
    <mergeCell ref="I834:I835"/>
    <mergeCell ref="I836:I837"/>
    <mergeCell ref="I838:I839"/>
    <mergeCell ref="I840:I841"/>
    <mergeCell ref="I842:I843"/>
    <mergeCell ref="I844:I845"/>
    <mergeCell ref="I847:I848"/>
    <mergeCell ref="I849:I850"/>
    <mergeCell ref="I851:I852"/>
    <mergeCell ref="I853:I854"/>
    <mergeCell ref="I855:I856"/>
    <mergeCell ref="I857:I858"/>
    <mergeCell ref="I860:I861"/>
    <mergeCell ref="I862:I863"/>
    <mergeCell ref="I864:I865"/>
    <mergeCell ref="I866:I867"/>
    <mergeCell ref="I868:I869"/>
    <mergeCell ref="I871:I872"/>
    <mergeCell ref="I873:I874"/>
    <mergeCell ref="I875:I876"/>
    <mergeCell ref="I877:I878"/>
    <mergeCell ref="I879:I880"/>
    <mergeCell ref="I882:I883"/>
    <mergeCell ref="I884:I885"/>
    <mergeCell ref="I886:I887"/>
    <mergeCell ref="I888:I889"/>
    <mergeCell ref="I890:I891"/>
    <mergeCell ref="I892:I893"/>
    <mergeCell ref="I894:I895"/>
    <mergeCell ref="I896:I897"/>
    <mergeCell ref="I899:I900"/>
    <mergeCell ref="I902:I903"/>
    <mergeCell ref="I905:I906"/>
    <mergeCell ref="I907:I908"/>
    <mergeCell ref="I910:I911"/>
    <mergeCell ref="I912:I913"/>
    <mergeCell ref="I914:I915"/>
    <mergeCell ref="I916:I917"/>
    <mergeCell ref="I918:I919"/>
    <mergeCell ref="I920:I921"/>
    <mergeCell ref="I923:I924"/>
    <mergeCell ref="I925:I926"/>
    <mergeCell ref="I927:I928"/>
    <mergeCell ref="I930:I931"/>
    <mergeCell ref="I932:I933"/>
    <mergeCell ref="I934:I935"/>
    <mergeCell ref="I937:I938"/>
    <mergeCell ref="I939:I940"/>
    <mergeCell ref="I941:I942"/>
    <mergeCell ref="I943:I944"/>
    <mergeCell ref="I945:I946"/>
    <mergeCell ref="I948:I949"/>
    <mergeCell ref="I950:I951"/>
    <mergeCell ref="I952:I953"/>
    <mergeCell ref="I954:I955"/>
    <mergeCell ref="I956:I957"/>
    <mergeCell ref="I958:I959"/>
    <mergeCell ref="I961:I962"/>
    <mergeCell ref="I963:I964"/>
    <mergeCell ref="I965:I966"/>
    <mergeCell ref="I967:I968"/>
    <mergeCell ref="I969:I970"/>
    <mergeCell ref="I972:I973"/>
    <mergeCell ref="I974:I975"/>
    <mergeCell ref="I976:I977"/>
    <mergeCell ref="I978:I979"/>
    <mergeCell ref="I981:I982"/>
    <mergeCell ref="I984:I985"/>
    <mergeCell ref="I986:I987"/>
    <mergeCell ref="I989:I990"/>
    <mergeCell ref="I991:I992"/>
    <mergeCell ref="I993:I994"/>
    <mergeCell ref="I995:I996"/>
    <mergeCell ref="I998:I999"/>
    <mergeCell ref="I1000:I1001"/>
    <mergeCell ref="I1002:I1003"/>
    <mergeCell ref="I1004:I1005"/>
    <mergeCell ref="I1006:I1007"/>
    <mergeCell ref="I1008:I1009"/>
    <mergeCell ref="I1010:I1011"/>
    <mergeCell ref="I1012:I1013"/>
    <mergeCell ref="I1014:I1015"/>
    <mergeCell ref="I1016:I1017"/>
    <mergeCell ref="I1018:I1019"/>
    <mergeCell ref="I1020:I1021"/>
    <mergeCell ref="I1022:I1023"/>
    <mergeCell ref="I1024:I1025"/>
    <mergeCell ref="I1027:I1028"/>
    <mergeCell ref="I1029:I1030"/>
    <mergeCell ref="I1032:I1033"/>
    <mergeCell ref="I1034:I1035"/>
    <mergeCell ref="I1036:I1037"/>
    <mergeCell ref="I1038:I1039"/>
    <mergeCell ref="I1040:I1041"/>
    <mergeCell ref="I1042:I1043"/>
    <mergeCell ref="I1045:I1046"/>
    <mergeCell ref="I1047:I1048"/>
    <mergeCell ref="I1049:I1050"/>
    <mergeCell ref="I1051:I1052"/>
    <mergeCell ref="I1053:I1054"/>
    <mergeCell ref="I1055:I1056"/>
    <mergeCell ref="I1057:I1058"/>
    <mergeCell ref="I1059:I1060"/>
    <mergeCell ref="I1061:I1062"/>
    <mergeCell ref="I1063:I1064"/>
    <mergeCell ref="I1066:I1067"/>
    <mergeCell ref="I1068:I1069"/>
    <mergeCell ref="I1070:I1071"/>
    <mergeCell ref="I1072:I1073"/>
    <mergeCell ref="I1074:I1075"/>
    <mergeCell ref="I1076:I1077"/>
    <mergeCell ref="I1078:I1079"/>
    <mergeCell ref="I1080:I1081"/>
    <mergeCell ref="I1082:I1083"/>
    <mergeCell ref="I1084:I1085"/>
    <mergeCell ref="I1091:I1092"/>
    <mergeCell ref="I1093:I1094"/>
    <mergeCell ref="I1095:I1096"/>
    <mergeCell ref="I1097:I1098"/>
    <mergeCell ref="I1099:I1100"/>
    <mergeCell ref="I1101:I1102"/>
    <mergeCell ref="I1103:I1104"/>
    <mergeCell ref="I1105:I1106"/>
    <mergeCell ref="I1107:I1108"/>
    <mergeCell ref="I1109:I1110"/>
    <mergeCell ref="I1111:I1112"/>
    <mergeCell ref="I1113:I1114"/>
    <mergeCell ref="I1115:I1116"/>
    <mergeCell ref="I1118:I1119"/>
    <mergeCell ref="I1120:I1121"/>
    <mergeCell ref="I1122:I1123"/>
    <mergeCell ref="I1124:I1125"/>
    <mergeCell ref="I1126:I1127"/>
    <mergeCell ref="I1128:I1129"/>
    <mergeCell ref="I1130:I1131"/>
    <mergeCell ref="I1132:I1133"/>
    <mergeCell ref="I1135:I1136"/>
    <mergeCell ref="I1137:I1138"/>
    <mergeCell ref="I1140:I1141"/>
    <mergeCell ref="I1142:I1143"/>
    <mergeCell ref="I1145:I1146"/>
    <mergeCell ref="I1148:I1149"/>
    <mergeCell ref="I1150:I1151"/>
    <mergeCell ref="I1152:I1153"/>
    <mergeCell ref="I1154:I1155"/>
    <mergeCell ref="I1156:I1157"/>
    <mergeCell ref="I1158:I1159"/>
    <mergeCell ref="I1160:I1161"/>
    <mergeCell ref="I1162:I1163"/>
    <mergeCell ref="I1165:I1166"/>
    <mergeCell ref="I1167:I1168"/>
    <mergeCell ref="I1169:I1170"/>
    <mergeCell ref="I1171:I1172"/>
    <mergeCell ref="I1174:I1175"/>
    <mergeCell ref="I1176:I1177"/>
    <mergeCell ref="I1178:I1179"/>
    <mergeCell ref="I1180:I1181"/>
    <mergeCell ref="I1183:I1184"/>
    <mergeCell ref="I1185:I1186"/>
    <mergeCell ref="I1187:I1188"/>
    <mergeCell ref="I1190:I1191"/>
    <mergeCell ref="I1193:I1194"/>
    <mergeCell ref="I1195:I1196"/>
    <mergeCell ref="I1197:I1198"/>
    <mergeCell ref="I1199:I1200"/>
    <mergeCell ref="I1201:I1202"/>
    <mergeCell ref="I1203:I1204"/>
    <mergeCell ref="I1205:I1206"/>
    <mergeCell ref="I1207:I1208"/>
    <mergeCell ref="I1209:I1210"/>
    <mergeCell ref="I1211:I1212"/>
    <mergeCell ref="I1213:I1214"/>
    <mergeCell ref="I1215:I1216"/>
    <mergeCell ref="I1218:I1219"/>
    <mergeCell ref="I1220:I1221"/>
    <mergeCell ref="I1222:I1223"/>
    <mergeCell ref="I1224:I1225"/>
    <mergeCell ref="I1227:I1228"/>
    <mergeCell ref="I1229:I1230"/>
    <mergeCell ref="I1231:I1232"/>
    <mergeCell ref="I1233:I1234"/>
    <mergeCell ref="I1235:I1236"/>
    <mergeCell ref="I1237:I1238"/>
    <mergeCell ref="I1240:I1241"/>
    <mergeCell ref="I1242:I1243"/>
    <mergeCell ref="I1244:I1245"/>
    <mergeCell ref="I1246:I1247"/>
    <mergeCell ref="I1248:I1249"/>
    <mergeCell ref="I1250:I1251"/>
    <mergeCell ref="I1253:I1254"/>
    <mergeCell ref="I1255:I1256"/>
    <mergeCell ref="I1257:I1258"/>
    <mergeCell ref="I1259:I1260"/>
    <mergeCell ref="I1262:I1263"/>
    <mergeCell ref="I1264:I1265"/>
    <mergeCell ref="I1266:I1267"/>
    <mergeCell ref="I1268:I1269"/>
    <mergeCell ref="I1270:I1271"/>
    <mergeCell ref="I1272:I1273"/>
    <mergeCell ref="I1274:I1275"/>
    <mergeCell ref="I1276:I1277"/>
    <mergeCell ref="I1278:I1279"/>
    <mergeCell ref="I1280:I1281"/>
    <mergeCell ref="I1283:I1284"/>
    <mergeCell ref="I1285:I1286"/>
    <mergeCell ref="I1288:I1289"/>
    <mergeCell ref="I1290:I1291"/>
    <mergeCell ref="I1292:I1293"/>
    <mergeCell ref="I1294:I1295"/>
    <mergeCell ref="I1297:I1298"/>
    <mergeCell ref="I1300:I1301"/>
    <mergeCell ref="I1302:I1303"/>
    <mergeCell ref="I1304:I1305"/>
    <mergeCell ref="I1306:I1307"/>
    <mergeCell ref="I1308:I1309"/>
    <mergeCell ref="I1311:I1312"/>
    <mergeCell ref="I1313:I1314"/>
    <mergeCell ref="I1316:I1317"/>
    <mergeCell ref="I1318:I1319"/>
    <mergeCell ref="I1320:I1321"/>
    <mergeCell ref="I1322:I1323"/>
    <mergeCell ref="I1324:I1325"/>
    <mergeCell ref="I1327:I1328"/>
    <mergeCell ref="I1329:I1330"/>
    <mergeCell ref="I1331:I1332"/>
    <mergeCell ref="I1333:I1334"/>
    <mergeCell ref="I1335:I1336"/>
    <mergeCell ref="I1337:I1338"/>
    <mergeCell ref="I1339:I1340"/>
    <mergeCell ref="I1341:I1342"/>
    <mergeCell ref="I1343:I1344"/>
    <mergeCell ref="I1345:I1346"/>
    <mergeCell ref="I1347:I1348"/>
    <mergeCell ref="I1349:I1350"/>
    <mergeCell ref="I1351:I1352"/>
    <mergeCell ref="I1353:I1354"/>
    <mergeCell ref="I1355:I1356"/>
    <mergeCell ref="I1358:I1359"/>
    <mergeCell ref="I1360:I1361"/>
    <mergeCell ref="I1362:I1363"/>
    <mergeCell ref="I1364:I1365"/>
    <mergeCell ref="I1366:I1367"/>
    <mergeCell ref="I1368:I1369"/>
    <mergeCell ref="I1373:I1374"/>
    <mergeCell ref="I1375:I1376"/>
    <mergeCell ref="I1378:I1379"/>
    <mergeCell ref="I1381:I1382"/>
    <mergeCell ref="I1383:I1384"/>
    <mergeCell ref="I1385:I1386"/>
    <mergeCell ref="I1388:I1389"/>
    <mergeCell ref="I1390:I1391"/>
    <mergeCell ref="I1392:I1393"/>
    <mergeCell ref="I1394:I1395"/>
    <mergeCell ref="I1396:I1397"/>
    <mergeCell ref="I1398:I1399"/>
    <mergeCell ref="I1400:I1401"/>
    <mergeCell ref="I1402:I1403"/>
    <mergeCell ref="I1404:I1405"/>
    <mergeCell ref="I1406:I1407"/>
    <mergeCell ref="I1408:I1409"/>
    <mergeCell ref="I1410:I1411"/>
    <mergeCell ref="I1413:I1414"/>
    <mergeCell ref="I1415:I1416"/>
    <mergeCell ref="I1417:I1418"/>
    <mergeCell ref="I1419:I1420"/>
    <mergeCell ref="I1421:I1422"/>
    <mergeCell ref="I1423:I1424"/>
    <mergeCell ref="I1426:I1427"/>
    <mergeCell ref="I1428:I1429"/>
    <mergeCell ref="I1430:I1431"/>
    <mergeCell ref="I1432:I1433"/>
    <mergeCell ref="I1434:I1435"/>
    <mergeCell ref="I1437:I1438"/>
    <mergeCell ref="I1439:I1440"/>
    <mergeCell ref="I1442:I1443"/>
    <mergeCell ref="I1444:I1445"/>
    <mergeCell ref="I1446:I1447"/>
    <mergeCell ref="I1448:I1449"/>
    <mergeCell ref="I1450:I1451"/>
    <mergeCell ref="I1453:I1454"/>
    <mergeCell ref="I1455:I1456"/>
    <mergeCell ref="I1457:I1458"/>
    <mergeCell ref="I1459:I1460"/>
    <mergeCell ref="I1461:I1462"/>
    <mergeCell ref="I1463:I1464"/>
    <mergeCell ref="I1465:I1466"/>
    <mergeCell ref="I1467:I1468"/>
    <mergeCell ref="I1469:I1470"/>
    <mergeCell ref="I1472:I1473"/>
    <mergeCell ref="I1474:I1475"/>
    <mergeCell ref="I1476:I1477"/>
    <mergeCell ref="I1478:I1479"/>
    <mergeCell ref="I1480:I1481"/>
    <mergeCell ref="I1482:I1483"/>
    <mergeCell ref="I1484:I1485"/>
    <mergeCell ref="I1486:I1487"/>
    <mergeCell ref="I1488:I1489"/>
    <mergeCell ref="I1490:I1491"/>
    <mergeCell ref="I1492:I1493"/>
    <mergeCell ref="I1494:I1495"/>
    <mergeCell ref="I1496:I1497"/>
    <mergeCell ref="I1498:I1499"/>
    <mergeCell ref="I1501:I1502"/>
    <mergeCell ref="I1503:I1504"/>
    <mergeCell ref="I1505:I1506"/>
    <mergeCell ref="I1507:I1508"/>
    <mergeCell ref="I1509:I1510"/>
    <mergeCell ref="I1511:I1512"/>
    <mergeCell ref="I1513:I1514"/>
    <mergeCell ref="I1515:I1516"/>
    <mergeCell ref="I1517:I1518"/>
    <mergeCell ref="I1519:I1520"/>
    <mergeCell ref="I1522:I1523"/>
    <mergeCell ref="I1524:I1525"/>
    <mergeCell ref="I1527:I1528"/>
    <mergeCell ref="I1529:I1530"/>
    <mergeCell ref="I1531:I1532"/>
    <mergeCell ref="I1533:I1534"/>
    <mergeCell ref="I1535:I1536"/>
    <mergeCell ref="I1537:I1538"/>
    <mergeCell ref="I1539:I1540"/>
    <mergeCell ref="I1541:I1542"/>
    <mergeCell ref="I1544:I1545"/>
    <mergeCell ref="I1546:I1547"/>
    <mergeCell ref="I1548:I1549"/>
    <mergeCell ref="I1551:I1552"/>
    <mergeCell ref="I1553:I1554"/>
    <mergeCell ref="I1555:I1556"/>
    <mergeCell ref="I1557:I1558"/>
    <mergeCell ref="I1559:I1560"/>
    <mergeCell ref="I1561:I1562"/>
    <mergeCell ref="I1564:I1565"/>
    <mergeCell ref="I1567:I1568"/>
    <mergeCell ref="I1569:I1570"/>
    <mergeCell ref="I1572:I1573"/>
    <mergeCell ref="I1574:I1575"/>
    <mergeCell ref="I1576:I1577"/>
    <mergeCell ref="I1578:I1579"/>
    <mergeCell ref="I1580:I1581"/>
    <mergeCell ref="I1582:I1583"/>
    <mergeCell ref="I1585:I1586"/>
    <mergeCell ref="I1587:I1588"/>
    <mergeCell ref="I1589:I1590"/>
    <mergeCell ref="I1591:I1592"/>
    <mergeCell ref="I1593:I1594"/>
    <mergeCell ref="I1595:I1596"/>
    <mergeCell ref="I1597:I1598"/>
    <mergeCell ref="I1599:I1600"/>
    <mergeCell ref="I1602:I1603"/>
    <mergeCell ref="I1604:I1605"/>
    <mergeCell ref="I1606:I1607"/>
    <mergeCell ref="I1608:I1609"/>
    <mergeCell ref="I1610:I1611"/>
    <mergeCell ref="I1612:I1613"/>
    <mergeCell ref="I1614:I1615"/>
    <mergeCell ref="I1616:I1617"/>
    <mergeCell ref="I1619:I1620"/>
    <mergeCell ref="I1621:I1622"/>
    <mergeCell ref="I1623:I1624"/>
    <mergeCell ref="I1625:I1626"/>
    <mergeCell ref="I1627:I1628"/>
    <mergeCell ref="I1629:I1630"/>
    <mergeCell ref="I1631:I1632"/>
    <mergeCell ref="I1633:I1634"/>
    <mergeCell ref="I1635:I1636"/>
    <mergeCell ref="I1637:I1638"/>
    <mergeCell ref="I1639:I1640"/>
    <mergeCell ref="I1641:I1642"/>
    <mergeCell ref="I1643:I1644"/>
    <mergeCell ref="I1645:I1646"/>
    <mergeCell ref="I1648:I1649"/>
    <mergeCell ref="I1650:I1651"/>
    <mergeCell ref="I1652:I1653"/>
    <mergeCell ref="I1654:I1655"/>
    <mergeCell ref="I1656:I1657"/>
    <mergeCell ref="I1658:I1659"/>
    <mergeCell ref="I1661:I1662"/>
    <mergeCell ref="I1663:I1664"/>
    <mergeCell ref="I1665:I1666"/>
    <mergeCell ref="I1667:I1668"/>
    <mergeCell ref="I1669:I1670"/>
    <mergeCell ref="I1671:I1672"/>
    <mergeCell ref="I1673:I1674"/>
    <mergeCell ref="I1675:I1676"/>
    <mergeCell ref="I1678:I1679"/>
    <mergeCell ref="I1680:I1681"/>
    <mergeCell ref="I1682:I1683"/>
    <mergeCell ref="I1684:I1685"/>
    <mergeCell ref="I1687:I1688"/>
    <mergeCell ref="I1689:I1690"/>
    <mergeCell ref="I1691:I1692"/>
    <mergeCell ref="I1693:I1694"/>
    <mergeCell ref="I1695:I1696"/>
    <mergeCell ref="I1698:I1699"/>
    <mergeCell ref="I1700:I1701"/>
    <mergeCell ref="I1703:I1704"/>
    <mergeCell ref="I1705:I1706"/>
    <mergeCell ref="I1707:I1708"/>
    <mergeCell ref="I1709:I1710"/>
    <mergeCell ref="I1711:I1712"/>
    <mergeCell ref="I1713:I1714"/>
    <mergeCell ref="I1715:I1716"/>
    <mergeCell ref="I1717:I1718"/>
    <mergeCell ref="I1720:I1721"/>
    <mergeCell ref="I1722:I1723"/>
    <mergeCell ref="I1724:I1725"/>
    <mergeCell ref="I1726:I1727"/>
    <mergeCell ref="I1728:I1729"/>
    <mergeCell ref="I1730:I1731"/>
    <mergeCell ref="I1737:I1738"/>
    <mergeCell ref="I1739:I1740"/>
    <mergeCell ref="I1741:I1742"/>
    <mergeCell ref="I1743:I1744"/>
    <mergeCell ref="I1745:I1746"/>
    <mergeCell ref="I1747:I1748"/>
    <mergeCell ref="I1749:I1750"/>
    <mergeCell ref="I1752:I1753"/>
    <mergeCell ref="I1754:I1755"/>
    <mergeCell ref="I1756:I1757"/>
    <mergeCell ref="I1758:I1759"/>
    <mergeCell ref="I1760:I1761"/>
    <mergeCell ref="I1762:I1763"/>
    <mergeCell ref="I1764:I1765"/>
    <mergeCell ref="I1766:I1767"/>
    <mergeCell ref="I1768:I1769"/>
    <mergeCell ref="I1770:I1771"/>
    <mergeCell ref="I1773:I1774"/>
    <mergeCell ref="I1776:I1777"/>
    <mergeCell ref="I1778:I1779"/>
    <mergeCell ref="I1780:I1781"/>
    <mergeCell ref="I1782:I1783"/>
    <mergeCell ref="I1785:I1786"/>
    <mergeCell ref="I1787:I1788"/>
    <mergeCell ref="I1790:I1791"/>
    <mergeCell ref="I1792:I1793"/>
    <mergeCell ref="I1794:I1795"/>
    <mergeCell ref="I1796:I1797"/>
    <mergeCell ref="I1798:I1799"/>
    <mergeCell ref="I1800:I1801"/>
    <mergeCell ref="I1802:I1803"/>
    <mergeCell ref="I1804:I1805"/>
    <mergeCell ref="I1807:I1808"/>
    <mergeCell ref="I1809:I1810"/>
    <mergeCell ref="I1811:I1812"/>
    <mergeCell ref="I1813:I1814"/>
    <mergeCell ref="I1816:I1817"/>
    <mergeCell ref="I1818:I1819"/>
    <mergeCell ref="I1820:I1821"/>
    <mergeCell ref="I1822:I1823"/>
    <mergeCell ref="I1824:I1825"/>
    <mergeCell ref="I1827:I1828"/>
    <mergeCell ref="I1829:I1830"/>
    <mergeCell ref="I1831:I1832"/>
    <mergeCell ref="I1833:I1834"/>
    <mergeCell ref="I1835:I1836"/>
    <mergeCell ref="I1837:I1838"/>
    <mergeCell ref="I1839:I1840"/>
    <mergeCell ref="I1841:I1842"/>
    <mergeCell ref="I1843:I1844"/>
    <mergeCell ref="I1845:I1846"/>
    <mergeCell ref="I1848:I1849"/>
    <mergeCell ref="I1850:I1851"/>
    <mergeCell ref="I1852:I1853"/>
    <mergeCell ref="I1854:I1855"/>
    <mergeCell ref="I1856:I1857"/>
    <mergeCell ref="I1858:I1859"/>
    <mergeCell ref="I1860:I1861"/>
    <mergeCell ref="I1862:I1863"/>
    <mergeCell ref="I1864:I1865"/>
    <mergeCell ref="I1866:I1867"/>
    <mergeCell ref="I1868:I1869"/>
    <mergeCell ref="I1870:I1871"/>
    <mergeCell ref="I1872:I1873"/>
    <mergeCell ref="I1874:I1875"/>
    <mergeCell ref="I1876:I1877"/>
    <mergeCell ref="I1878:I1879"/>
    <mergeCell ref="I1881:I1882"/>
    <mergeCell ref="I1883:I1884"/>
    <mergeCell ref="I1885:I1886"/>
    <mergeCell ref="I1887:I1888"/>
    <mergeCell ref="I1889:I1890"/>
    <mergeCell ref="I1891:I1892"/>
    <mergeCell ref="I1893:I1894"/>
    <mergeCell ref="I1895:I1896"/>
    <mergeCell ref="I1898:I1899"/>
    <mergeCell ref="I1900:I1901"/>
    <mergeCell ref="I1902:I1903"/>
    <mergeCell ref="I1905:I1906"/>
    <mergeCell ref="I1907:I1908"/>
    <mergeCell ref="I1910:I1911"/>
    <mergeCell ref="I1913:I1914"/>
    <mergeCell ref="I1916:I1917"/>
    <mergeCell ref="I1918:I1919"/>
    <mergeCell ref="I1920:I1921"/>
    <mergeCell ref="I1923:I1924"/>
    <mergeCell ref="I1925:I1926"/>
    <mergeCell ref="I1927:I1928"/>
    <mergeCell ref="I1929:I1930"/>
    <mergeCell ref="I1931:I1932"/>
    <mergeCell ref="I1933:I1934"/>
    <mergeCell ref="I1935:I1936"/>
    <mergeCell ref="I1937:I1938"/>
    <mergeCell ref="I1940:I1941"/>
    <mergeCell ref="I1942:I1943"/>
    <mergeCell ref="I1945:I1946"/>
    <mergeCell ref="I1947:I1948"/>
    <mergeCell ref="I1949:I1950"/>
    <mergeCell ref="I1951:I1952"/>
    <mergeCell ref="I1953:I1954"/>
    <mergeCell ref="I1955:I1956"/>
    <mergeCell ref="I1957:I1958"/>
    <mergeCell ref="I1959:I1960"/>
    <mergeCell ref="I1961:I1962"/>
    <mergeCell ref="I1963:I1964"/>
    <mergeCell ref="I1965:I1966"/>
    <mergeCell ref="I1967:I1968"/>
    <mergeCell ref="I1969:I1970"/>
    <mergeCell ref="I1971:I1972"/>
    <mergeCell ref="I1973:I1974"/>
    <mergeCell ref="I1975:I1976"/>
    <mergeCell ref="I1978:I1979"/>
    <mergeCell ref="I1980:I1981"/>
    <mergeCell ref="I1982:I1983"/>
    <mergeCell ref="I1984:I1985"/>
    <mergeCell ref="I1986:I1987"/>
    <mergeCell ref="I1988:I1989"/>
    <mergeCell ref="I1990:I1991"/>
    <mergeCell ref="I1992:I1993"/>
    <mergeCell ref="I1995:I1996"/>
    <mergeCell ref="I1997:I1998"/>
    <mergeCell ref="I1999:I2000"/>
    <mergeCell ref="I2001:I2002"/>
    <mergeCell ref="I2004:I2005"/>
    <mergeCell ref="I2006:I2007"/>
    <mergeCell ref="I2008:I2009"/>
    <mergeCell ref="I2011:I2012"/>
    <mergeCell ref="I2014:I2015"/>
    <mergeCell ref="I2016:I2017"/>
    <mergeCell ref="I2018:I2019"/>
    <mergeCell ref="I2020:I2021"/>
    <mergeCell ref="I2024:I2025"/>
    <mergeCell ref="I2026:I2027"/>
    <mergeCell ref="I2028:I2029"/>
    <mergeCell ref="I2030:I2031"/>
    <mergeCell ref="I2032:I2033"/>
    <mergeCell ref="I2034:I2035"/>
    <mergeCell ref="I2036:I2037"/>
    <mergeCell ref="I2038:I2039"/>
    <mergeCell ref="I2040:I2041"/>
    <mergeCell ref="I2042:I2043"/>
    <mergeCell ref="I2044:I2045"/>
    <mergeCell ref="I2046:I2047"/>
    <mergeCell ref="I2048:I2049"/>
    <mergeCell ref="I2051:I2052"/>
    <mergeCell ref="I2053:I2054"/>
    <mergeCell ref="I2056:I2057"/>
    <mergeCell ref="I2058:I2059"/>
    <mergeCell ref="I2060:I2061"/>
    <mergeCell ref="I2062:I2063"/>
    <mergeCell ref="I2064:I2065"/>
    <mergeCell ref="I2066:I2067"/>
    <mergeCell ref="I2068:I2069"/>
    <mergeCell ref="I2070:I2071"/>
    <mergeCell ref="I2073:I2074"/>
    <mergeCell ref="I2075:I2076"/>
    <mergeCell ref="I2078:I2079"/>
    <mergeCell ref="I2080:I2081"/>
    <mergeCell ref="I2083:I2084"/>
    <mergeCell ref="I2085:I2086"/>
    <mergeCell ref="I2090:I2091"/>
    <mergeCell ref="I2093:I2094"/>
    <mergeCell ref="I2095:I2096"/>
    <mergeCell ref="I2097:I2098"/>
    <mergeCell ref="I2099:I2100"/>
    <mergeCell ref="I2102:I2103"/>
    <mergeCell ref="I2104:I2105"/>
    <mergeCell ref="I2106:I2107"/>
    <mergeCell ref="I2109:I2110"/>
    <mergeCell ref="I2111:I2112"/>
    <mergeCell ref="I2113:I2114"/>
    <mergeCell ref="I2115:I2116"/>
    <mergeCell ref="I2118:I2119"/>
    <mergeCell ref="I2120:I2121"/>
    <mergeCell ref="I2122:I2123"/>
    <mergeCell ref="I2124:I2125"/>
    <mergeCell ref="I2126:I2127"/>
    <mergeCell ref="I2128:I2129"/>
    <mergeCell ref="I2130:I2131"/>
    <mergeCell ref="I2133:I2134"/>
    <mergeCell ref="I2135:I2136"/>
    <mergeCell ref="I2137:I2138"/>
    <mergeCell ref="I2139:I2140"/>
    <mergeCell ref="I2141:I2142"/>
    <mergeCell ref="I2143:I2144"/>
    <mergeCell ref="I2146:I2147"/>
    <mergeCell ref="I2148:I2149"/>
    <mergeCell ref="I2150:I2151"/>
    <mergeCell ref="I2153:I2154"/>
    <mergeCell ref="I2155:I2156"/>
    <mergeCell ref="I2157:I2158"/>
    <mergeCell ref="I2159:I2160"/>
    <mergeCell ref="I2161:I2162"/>
    <mergeCell ref="I2163:I2164"/>
    <mergeCell ref="I2165:I2166"/>
    <mergeCell ref="I2168:I2169"/>
    <mergeCell ref="I2170:I2171"/>
    <mergeCell ref="I2172:I2173"/>
    <mergeCell ref="I2174:I2175"/>
    <mergeCell ref="I2176:I2177"/>
    <mergeCell ref="I2178:I2179"/>
    <mergeCell ref="I2181:I2182"/>
    <mergeCell ref="I2183:I2184"/>
    <mergeCell ref="I2186:I2187"/>
    <mergeCell ref="I2189:I2190"/>
    <mergeCell ref="I2191:I2192"/>
    <mergeCell ref="I2193:I2194"/>
    <mergeCell ref="I2195:I2196"/>
    <mergeCell ref="I2197:I2198"/>
    <mergeCell ref="I2199:I2200"/>
    <mergeCell ref="I2201:I2202"/>
    <mergeCell ref="I2203:I2204"/>
    <mergeCell ref="I2205:I2206"/>
    <mergeCell ref="I2207:I2208"/>
    <mergeCell ref="I2209:I2210"/>
    <mergeCell ref="I2211:I2212"/>
    <mergeCell ref="I2214:I2215"/>
    <mergeCell ref="I2216:I2217"/>
    <mergeCell ref="I2218:I2219"/>
    <mergeCell ref="I2220:I2221"/>
    <mergeCell ref="I2222:I2223"/>
    <mergeCell ref="I2224:I2225"/>
    <mergeCell ref="I2226:I2227"/>
    <mergeCell ref="I2228:I2229"/>
    <mergeCell ref="I2231:I2232"/>
    <mergeCell ref="I2233:I2234"/>
    <mergeCell ref="I2236:I2237"/>
    <mergeCell ref="I2238:I2239"/>
    <mergeCell ref="I2240:I2241"/>
    <mergeCell ref="I2242:I2243"/>
    <mergeCell ref="I2244:I2245"/>
    <mergeCell ref="I2246:I2247"/>
    <mergeCell ref="I2249:I2250"/>
    <mergeCell ref="I2251:I2252"/>
    <mergeCell ref="I2254:I2255"/>
    <mergeCell ref="I2256:I2257"/>
    <mergeCell ref="I2258:I2259"/>
    <mergeCell ref="I2260:I2261"/>
    <mergeCell ref="I2262:I2263"/>
    <mergeCell ref="I2264:I2265"/>
    <mergeCell ref="I2266:I2267"/>
    <mergeCell ref="I2268:I2269"/>
    <mergeCell ref="I2270:I2271"/>
    <mergeCell ref="I2272:I2273"/>
    <mergeCell ref="I2274:I2275"/>
    <mergeCell ref="I2276:I2277"/>
    <mergeCell ref="I2278:I2279"/>
    <mergeCell ref="I2280:I2281"/>
    <mergeCell ref="I2282:I2283"/>
    <mergeCell ref="I2284:I2285"/>
    <mergeCell ref="I2286:I2287"/>
    <mergeCell ref="I2288:I2289"/>
    <mergeCell ref="I2291:I2292"/>
    <mergeCell ref="I2293:I2294"/>
    <mergeCell ref="I2295:I2296"/>
    <mergeCell ref="I2297:I2298"/>
    <mergeCell ref="I2299:I2300"/>
    <mergeCell ref="I2301:I2302"/>
    <mergeCell ref="I2308:I2309"/>
    <mergeCell ref="I2310:I2311"/>
    <mergeCell ref="I2312:I2313"/>
    <mergeCell ref="I2314:I2315"/>
    <mergeCell ref="I2316:I2317"/>
    <mergeCell ref="I2318:I2319"/>
    <mergeCell ref="I2320:I2321"/>
    <mergeCell ref="I2322:I2323"/>
    <mergeCell ref="I2324:I2325"/>
    <mergeCell ref="I2326:I2327"/>
    <mergeCell ref="I2328:I2329"/>
    <mergeCell ref="I2330:I2331"/>
    <mergeCell ref="I2332:I2333"/>
    <mergeCell ref="I2334:I2335"/>
    <mergeCell ref="I2337:I2338"/>
    <mergeCell ref="I2339:I2340"/>
    <mergeCell ref="I2341:I2342"/>
    <mergeCell ref="I2343:I2344"/>
    <mergeCell ref="I2345:I2346"/>
    <mergeCell ref="I2347:I2348"/>
    <mergeCell ref="I2349:I2350"/>
    <mergeCell ref="I2351:I2352"/>
    <mergeCell ref="I2354:I2355"/>
    <mergeCell ref="I2356:I2357"/>
    <mergeCell ref="I2359:I2360"/>
    <mergeCell ref="I2361:I2362"/>
    <mergeCell ref="I2363:I2364"/>
    <mergeCell ref="I2365:I2366"/>
    <mergeCell ref="I2367:I2368"/>
    <mergeCell ref="I2369:I2370"/>
    <mergeCell ref="I2371:I2372"/>
    <mergeCell ref="I2373:I2374"/>
    <mergeCell ref="I2375:I2376"/>
    <mergeCell ref="I2377:I2378"/>
    <mergeCell ref="I2379:I2380"/>
    <mergeCell ref="I2381:I2382"/>
    <mergeCell ref="I2383:I2384"/>
    <mergeCell ref="I2385:I2386"/>
    <mergeCell ref="I2387:I2388"/>
    <mergeCell ref="I2389:I2390"/>
    <mergeCell ref="I2391:I2392"/>
    <mergeCell ref="I2393:I2394"/>
    <mergeCell ref="I2395:I2396"/>
    <mergeCell ref="I2397:I2398"/>
    <mergeCell ref="I2399:I2400"/>
    <mergeCell ref="I2401:I2402"/>
    <mergeCell ref="I2403:I2404"/>
    <mergeCell ref="I2406:I2407"/>
    <mergeCell ref="I2408:I2409"/>
    <mergeCell ref="I2410:I2411"/>
    <mergeCell ref="I2412:I2413"/>
    <mergeCell ref="I2414:I2415"/>
    <mergeCell ref="I2416:I2417"/>
    <mergeCell ref="I2418:I2419"/>
    <mergeCell ref="I2420:I2421"/>
    <mergeCell ref="I2422:I2423"/>
    <mergeCell ref="I2424:I2425"/>
    <mergeCell ref="I2426:I2427"/>
    <mergeCell ref="I2428:I2429"/>
    <mergeCell ref="I2430:I2431"/>
    <mergeCell ref="I2432:I2433"/>
    <mergeCell ref="I2434:I2435"/>
    <mergeCell ref="I2436:I2437"/>
    <mergeCell ref="I2438:I2439"/>
    <mergeCell ref="I2440:I2441"/>
    <mergeCell ref="I2442:I2443"/>
    <mergeCell ref="I2444:I2445"/>
    <mergeCell ref="I2446:I2447"/>
    <mergeCell ref="I2448:I2449"/>
    <mergeCell ref="I2450:I2451"/>
    <mergeCell ref="I2452:I2453"/>
    <mergeCell ref="I2454:I2455"/>
    <mergeCell ref="I2456:I2457"/>
    <mergeCell ref="I2458:I2459"/>
    <mergeCell ref="I2461:I2462"/>
    <mergeCell ref="I2463:I2464"/>
    <mergeCell ref="I2465:I2466"/>
    <mergeCell ref="I2467:I2468"/>
    <mergeCell ref="I2469:I2470"/>
    <mergeCell ref="I2471:I2472"/>
    <mergeCell ref="I2473:I2474"/>
    <mergeCell ref="I2475:I2476"/>
    <mergeCell ref="I2477:I2478"/>
    <mergeCell ref="I2479:I2480"/>
    <mergeCell ref="I2481:I2482"/>
    <mergeCell ref="I2483:I2484"/>
    <mergeCell ref="I2485:I2486"/>
    <mergeCell ref="I2487:I2488"/>
    <mergeCell ref="I2489:I2490"/>
    <mergeCell ref="I2492:I2493"/>
    <mergeCell ref="I2494:I2495"/>
    <mergeCell ref="I2496:I2497"/>
    <mergeCell ref="I2498:I2499"/>
    <mergeCell ref="I2500:I2501"/>
    <mergeCell ref="I2502:I2503"/>
    <mergeCell ref="I2504:I2505"/>
    <mergeCell ref="I2506:I2507"/>
    <mergeCell ref="I2508:I2509"/>
    <mergeCell ref="I2510:I2511"/>
    <mergeCell ref="I2512:I2513"/>
    <mergeCell ref="I2514:I2515"/>
    <mergeCell ref="I2516:I2517"/>
    <mergeCell ref="I2518:I2519"/>
    <mergeCell ref="I2520:I2521"/>
    <mergeCell ref="I2522:I2523"/>
    <mergeCell ref="I2524:I2525"/>
    <mergeCell ref="I2526:I2527"/>
    <mergeCell ref="I2528:I2529"/>
    <mergeCell ref="I2530:I2531"/>
    <mergeCell ref="I2532:I2533"/>
    <mergeCell ref="I2534:I2535"/>
    <mergeCell ref="I2536:I2537"/>
    <mergeCell ref="I2538:I2539"/>
    <mergeCell ref="I2541:I2542"/>
    <mergeCell ref="I2543:I2544"/>
    <mergeCell ref="I2545:I2546"/>
    <mergeCell ref="I2547:I2548"/>
    <mergeCell ref="I2549:I2550"/>
    <mergeCell ref="I2551:I2552"/>
    <mergeCell ref="I2553:I2554"/>
    <mergeCell ref="I2555:I2556"/>
    <mergeCell ref="I2557:I2558"/>
    <mergeCell ref="I2559:I2560"/>
    <mergeCell ref="I2561:I2562"/>
    <mergeCell ref="I2563:I2564"/>
    <mergeCell ref="I2565:I2566"/>
    <mergeCell ref="I2567:I2568"/>
    <mergeCell ref="I2569:I2570"/>
    <mergeCell ref="I2571:I2572"/>
    <mergeCell ref="I2573:I2574"/>
    <mergeCell ref="I2575:I2576"/>
    <mergeCell ref="I2577:I2578"/>
    <mergeCell ref="I2579:I2580"/>
    <mergeCell ref="I2581:I2582"/>
    <mergeCell ref="I2583:I2584"/>
    <mergeCell ref="I2586:I2587"/>
    <mergeCell ref="I2588:I2589"/>
    <mergeCell ref="I2590:I2591"/>
    <mergeCell ref="I2592:I2593"/>
    <mergeCell ref="I2594:I2595"/>
    <mergeCell ref="I2596:I2597"/>
    <mergeCell ref="I2598:I2599"/>
    <mergeCell ref="I2600:I2601"/>
    <mergeCell ref="I2602:I2603"/>
    <mergeCell ref="I2604:I2605"/>
    <mergeCell ref="I2606:I2607"/>
    <mergeCell ref="I2608:I2609"/>
    <mergeCell ref="I2610:I2611"/>
    <mergeCell ref="I2612:I2613"/>
    <mergeCell ref="I2614:I2615"/>
    <mergeCell ref="I2616:I2617"/>
    <mergeCell ref="I2618:I2619"/>
    <mergeCell ref="I2620:I2621"/>
    <mergeCell ref="I2622:I2623"/>
    <mergeCell ref="I2625:I2626"/>
    <mergeCell ref="I2627:I2628"/>
    <mergeCell ref="I2629:I2630"/>
    <mergeCell ref="I2631:I2632"/>
    <mergeCell ref="I2634:I2635"/>
    <mergeCell ref="I2636:I2637"/>
    <mergeCell ref="I2638:I2639"/>
    <mergeCell ref="I2641:I2642"/>
    <mergeCell ref="I2643:I2644"/>
    <mergeCell ref="I2645:I2646"/>
    <mergeCell ref="I2647:I2648"/>
    <mergeCell ref="I2649:I2650"/>
    <mergeCell ref="I2651:I2652"/>
    <mergeCell ref="I2653:I2654"/>
    <mergeCell ref="I2656:I2657"/>
    <mergeCell ref="I2658:I2659"/>
    <mergeCell ref="I2660:I2661"/>
    <mergeCell ref="I2662:I2663"/>
    <mergeCell ref="J3:J5"/>
    <mergeCell ref="J6:J9"/>
    <mergeCell ref="J10:J13"/>
    <mergeCell ref="J14:J15"/>
    <mergeCell ref="J16:J17"/>
    <mergeCell ref="J18:J19"/>
    <mergeCell ref="J20:J21"/>
    <mergeCell ref="J22:J23"/>
    <mergeCell ref="J24:J25"/>
    <mergeCell ref="J26:J27"/>
    <mergeCell ref="J28:J29"/>
    <mergeCell ref="J41:J42"/>
    <mergeCell ref="J43:J44"/>
    <mergeCell ref="J45:J46"/>
    <mergeCell ref="J47:J48"/>
    <mergeCell ref="J49:J50"/>
    <mergeCell ref="J51:J52"/>
    <mergeCell ref="J56:J57"/>
    <mergeCell ref="J60:J61"/>
    <mergeCell ref="J73:J76"/>
    <mergeCell ref="J77:J80"/>
    <mergeCell ref="J81:J84"/>
    <mergeCell ref="J85:J88"/>
    <mergeCell ref="J89:J90"/>
    <mergeCell ref="J91:J92"/>
    <mergeCell ref="J93:J94"/>
    <mergeCell ref="J95:J96"/>
    <mergeCell ref="J97:J98"/>
    <mergeCell ref="J99:J100"/>
    <mergeCell ref="J102:J103"/>
    <mergeCell ref="J104:J105"/>
    <mergeCell ref="J106:J107"/>
    <mergeCell ref="J108:J109"/>
    <mergeCell ref="J117:J118"/>
    <mergeCell ref="J119:J120"/>
    <mergeCell ref="J121:J124"/>
    <mergeCell ref="J130:J131"/>
    <mergeCell ref="J132:J133"/>
    <mergeCell ref="J135:J136"/>
    <mergeCell ref="J137:J138"/>
    <mergeCell ref="J139:J140"/>
    <mergeCell ref="J141:J142"/>
    <mergeCell ref="J143:J144"/>
    <mergeCell ref="J159:J160"/>
    <mergeCell ref="J161:J162"/>
    <mergeCell ref="J163:J164"/>
    <mergeCell ref="J171:J172"/>
    <mergeCell ref="J173:J174"/>
    <mergeCell ref="J175:J176"/>
    <mergeCell ref="J177:J178"/>
    <mergeCell ref="J180:J181"/>
    <mergeCell ref="J195:J196"/>
    <mergeCell ref="J197:J198"/>
    <mergeCell ref="J199:J200"/>
    <mergeCell ref="J201:J202"/>
    <mergeCell ref="J203:J204"/>
    <mergeCell ref="J218:J219"/>
    <mergeCell ref="J223:J224"/>
    <mergeCell ref="J225:J226"/>
    <mergeCell ref="J227:J228"/>
    <mergeCell ref="J231:J232"/>
    <mergeCell ref="J233:J234"/>
    <mergeCell ref="J235:J236"/>
    <mergeCell ref="J240:J241"/>
    <mergeCell ref="J252:J253"/>
    <mergeCell ref="J255:J256"/>
    <mergeCell ref="J269:J270"/>
    <mergeCell ref="J271:J272"/>
    <mergeCell ref="J274:J275"/>
    <mergeCell ref="J276:J277"/>
    <mergeCell ref="J278:J279"/>
    <mergeCell ref="J280:J281"/>
    <mergeCell ref="J283:J284"/>
    <mergeCell ref="J285:J286"/>
    <mergeCell ref="J287:J288"/>
    <mergeCell ref="J289:J290"/>
    <mergeCell ref="J291:J292"/>
    <mergeCell ref="J293:J294"/>
    <mergeCell ref="J298:J299"/>
    <mergeCell ref="J300:J301"/>
    <mergeCell ref="J302:J303"/>
    <mergeCell ref="J304:J305"/>
    <mergeCell ref="J306:J307"/>
    <mergeCell ref="J309:J312"/>
    <mergeCell ref="J313:J316"/>
    <mergeCell ref="J322:J323"/>
    <mergeCell ref="J324:J325"/>
    <mergeCell ref="J326:J327"/>
    <mergeCell ref="J328:J329"/>
    <mergeCell ref="J330:J331"/>
    <mergeCell ref="J332:J333"/>
    <mergeCell ref="J334:J335"/>
    <mergeCell ref="J339:J340"/>
    <mergeCell ref="J341:J342"/>
    <mergeCell ref="J343:J344"/>
    <mergeCell ref="J345:J346"/>
    <mergeCell ref="J348:J349"/>
    <mergeCell ref="J350:J351"/>
    <mergeCell ref="J352:J353"/>
    <mergeCell ref="J354:J355"/>
    <mergeCell ref="J356:J357"/>
    <mergeCell ref="J358:J359"/>
    <mergeCell ref="J360:J363"/>
    <mergeCell ref="J364:J367"/>
    <mergeCell ref="J377:J378"/>
    <mergeCell ref="J379:J380"/>
    <mergeCell ref="J381:J382"/>
    <mergeCell ref="J383:J384"/>
    <mergeCell ref="J385:J386"/>
    <mergeCell ref="J387:J388"/>
    <mergeCell ref="J389:J390"/>
    <mergeCell ref="J391:J392"/>
    <mergeCell ref="J393:J394"/>
    <mergeCell ref="J395:J396"/>
    <mergeCell ref="J397:J398"/>
    <mergeCell ref="J399:J400"/>
    <mergeCell ref="J416:J419"/>
    <mergeCell ref="J420:J423"/>
    <mergeCell ref="J435:J436"/>
    <mergeCell ref="J437:J438"/>
    <mergeCell ref="J444:J447"/>
    <mergeCell ref="J453:J454"/>
    <mergeCell ref="J455:J456"/>
    <mergeCell ref="J457:J458"/>
    <mergeCell ref="J470:J471"/>
    <mergeCell ref="J472:J473"/>
    <mergeCell ref="J479:J482"/>
    <mergeCell ref="J483:J486"/>
    <mergeCell ref="J487:J488"/>
    <mergeCell ref="J489:J490"/>
    <mergeCell ref="J491:J494"/>
    <mergeCell ref="J495:J498"/>
    <mergeCell ref="J528:J529"/>
    <mergeCell ref="J530:J531"/>
    <mergeCell ref="J541:J542"/>
    <mergeCell ref="J543:J544"/>
    <mergeCell ref="J558:J559"/>
    <mergeCell ref="J564:J565"/>
    <mergeCell ref="J566:J567"/>
    <mergeCell ref="J568:J569"/>
    <mergeCell ref="J570:J571"/>
    <mergeCell ref="J572:J573"/>
    <mergeCell ref="J574:J575"/>
    <mergeCell ref="J586:J589"/>
    <mergeCell ref="J590:J593"/>
    <mergeCell ref="J625:J626"/>
    <mergeCell ref="J627:J628"/>
    <mergeCell ref="J629:J630"/>
    <mergeCell ref="J632:J633"/>
    <mergeCell ref="J634:J635"/>
    <mergeCell ref="J639:J640"/>
    <mergeCell ref="J641:J642"/>
    <mergeCell ref="J643:J644"/>
    <mergeCell ref="J645:J646"/>
    <mergeCell ref="J647:J648"/>
    <mergeCell ref="J650:J651"/>
    <mergeCell ref="J652:J653"/>
    <mergeCell ref="J654:J655"/>
    <mergeCell ref="J656:J657"/>
    <mergeCell ref="J665:J666"/>
    <mergeCell ref="J673:J674"/>
    <mergeCell ref="J678:J679"/>
    <mergeCell ref="J682:J683"/>
    <mergeCell ref="J686:J687"/>
    <mergeCell ref="J694:J695"/>
    <mergeCell ref="J698:J699"/>
    <mergeCell ref="J708:J709"/>
    <mergeCell ref="J713:J714"/>
    <mergeCell ref="J728:J739"/>
    <mergeCell ref="J745:J746"/>
    <mergeCell ref="J747:J748"/>
    <mergeCell ref="J749:J750"/>
    <mergeCell ref="J751:J752"/>
    <mergeCell ref="J753:J754"/>
    <mergeCell ref="J755:J756"/>
    <mergeCell ref="J757:J758"/>
    <mergeCell ref="J759:J760"/>
    <mergeCell ref="J762:J763"/>
    <mergeCell ref="J764:J765"/>
    <mergeCell ref="J770:J773"/>
    <mergeCell ref="J779:J780"/>
    <mergeCell ref="J781:J782"/>
    <mergeCell ref="J783:J784"/>
    <mergeCell ref="J785:J786"/>
    <mergeCell ref="J787:J788"/>
    <mergeCell ref="J789:J790"/>
    <mergeCell ref="J792:J793"/>
    <mergeCell ref="J799:J800"/>
    <mergeCell ref="J801:J802"/>
    <mergeCell ref="J803:J804"/>
    <mergeCell ref="J805:J806"/>
    <mergeCell ref="J807:J808"/>
    <mergeCell ref="J809:J810"/>
    <mergeCell ref="J811:J812"/>
    <mergeCell ref="J813:J814"/>
    <mergeCell ref="J815:J816"/>
    <mergeCell ref="J817:J818"/>
    <mergeCell ref="J819:J820"/>
    <mergeCell ref="J821:J822"/>
    <mergeCell ref="J823:J824"/>
    <mergeCell ref="J825:J826"/>
    <mergeCell ref="J827:J828"/>
    <mergeCell ref="J829:J830"/>
    <mergeCell ref="J844:J845"/>
    <mergeCell ref="J862:J863"/>
    <mergeCell ref="J864:J865"/>
    <mergeCell ref="J866:J867"/>
    <mergeCell ref="J868:J869"/>
    <mergeCell ref="J871:J872"/>
    <mergeCell ref="J873:J874"/>
    <mergeCell ref="J875:J876"/>
    <mergeCell ref="J877:J878"/>
    <mergeCell ref="J879:J880"/>
    <mergeCell ref="J882:J883"/>
    <mergeCell ref="J884:J885"/>
    <mergeCell ref="J886:J887"/>
    <mergeCell ref="J888:J889"/>
    <mergeCell ref="J894:J895"/>
    <mergeCell ref="J896:J897"/>
    <mergeCell ref="J907:J908"/>
    <mergeCell ref="J914:J915"/>
    <mergeCell ref="J916:J917"/>
    <mergeCell ref="J918:J919"/>
    <mergeCell ref="J925:J926"/>
    <mergeCell ref="J927:J928"/>
    <mergeCell ref="J930:J931"/>
    <mergeCell ref="J934:J935"/>
    <mergeCell ref="J941:J942"/>
    <mergeCell ref="J961:J962"/>
    <mergeCell ref="J963:J964"/>
    <mergeCell ref="J965:J966"/>
    <mergeCell ref="J967:J968"/>
    <mergeCell ref="J969:J970"/>
    <mergeCell ref="J976:J979"/>
    <mergeCell ref="J981:J982"/>
    <mergeCell ref="J984:J985"/>
    <mergeCell ref="J986:J987"/>
    <mergeCell ref="J1006:J1009"/>
    <mergeCell ref="J1018:J1021"/>
    <mergeCell ref="J1022:J1023"/>
    <mergeCell ref="J1024:J1025"/>
    <mergeCell ref="J1027:J1028"/>
    <mergeCell ref="J1029:J1030"/>
    <mergeCell ref="J1040:J1041"/>
    <mergeCell ref="J1042:J1043"/>
    <mergeCell ref="J1051:J1052"/>
    <mergeCell ref="J1057:J1058"/>
    <mergeCell ref="J1059:J1060"/>
    <mergeCell ref="J1061:J1062"/>
    <mergeCell ref="J1063:J1064"/>
    <mergeCell ref="J1070:J1073"/>
    <mergeCell ref="J1074:J1075"/>
    <mergeCell ref="J1076:J1077"/>
    <mergeCell ref="J1078:J1079"/>
    <mergeCell ref="J1080:J1081"/>
    <mergeCell ref="J1082:J1083"/>
    <mergeCell ref="J1084:J1085"/>
    <mergeCell ref="J1091:J1092"/>
    <mergeCell ref="J1095:J1096"/>
    <mergeCell ref="J1097:J1098"/>
    <mergeCell ref="J1099:J1100"/>
    <mergeCell ref="J1113:J1114"/>
    <mergeCell ref="J1115:J1116"/>
    <mergeCell ref="J1118:J1119"/>
    <mergeCell ref="J1126:J1127"/>
    <mergeCell ref="J1128:J1129"/>
    <mergeCell ref="J1130:J1131"/>
    <mergeCell ref="J1152:J1153"/>
    <mergeCell ref="J1167:J1168"/>
    <mergeCell ref="J1169:J1170"/>
    <mergeCell ref="J1171:J1172"/>
    <mergeCell ref="J1174:J1175"/>
    <mergeCell ref="J1176:J1177"/>
    <mergeCell ref="J1178:J1179"/>
    <mergeCell ref="J1180:J1181"/>
    <mergeCell ref="J1183:J1184"/>
    <mergeCell ref="J1185:J1186"/>
    <mergeCell ref="J1187:J1188"/>
    <mergeCell ref="J1190:J1191"/>
    <mergeCell ref="J1231:J1234"/>
    <mergeCell ref="J1235:J1236"/>
    <mergeCell ref="J1237:J1238"/>
    <mergeCell ref="J1244:J1245"/>
    <mergeCell ref="J1246:J1247"/>
    <mergeCell ref="J1248:J1249"/>
    <mergeCell ref="J1250:J1251"/>
    <mergeCell ref="J1257:J1258"/>
    <mergeCell ref="J1259:J1260"/>
    <mergeCell ref="J1266:J1267"/>
    <mergeCell ref="J1268:J1269"/>
    <mergeCell ref="J1274:J1275"/>
    <mergeCell ref="J1276:J1277"/>
    <mergeCell ref="J1278:J1279"/>
    <mergeCell ref="J1280:J1281"/>
    <mergeCell ref="J1283:J1286"/>
    <mergeCell ref="J1292:J1293"/>
    <mergeCell ref="J1294:J1295"/>
    <mergeCell ref="J1297:J1298"/>
    <mergeCell ref="J1311:J1312"/>
    <mergeCell ref="J1313:J1314"/>
    <mergeCell ref="J1316:J1317"/>
    <mergeCell ref="J1318:J1319"/>
    <mergeCell ref="J1320:J1321"/>
    <mergeCell ref="J1322:J1323"/>
    <mergeCell ref="J1324:J1325"/>
    <mergeCell ref="J1327:J1328"/>
    <mergeCell ref="J1329:J1330"/>
    <mergeCell ref="J1331:J1332"/>
    <mergeCell ref="J1333:J1334"/>
    <mergeCell ref="J1335:J1336"/>
    <mergeCell ref="J1337:J1338"/>
    <mergeCell ref="J1339:J1340"/>
    <mergeCell ref="J1341:J1342"/>
    <mergeCell ref="J1343:J1344"/>
    <mergeCell ref="J1345:J1346"/>
    <mergeCell ref="J1347:J1348"/>
    <mergeCell ref="J1349:J1350"/>
    <mergeCell ref="J1351:J1352"/>
    <mergeCell ref="J1353:J1354"/>
    <mergeCell ref="J1355:J1356"/>
    <mergeCell ref="J1362:J1363"/>
    <mergeCell ref="J1364:J1365"/>
    <mergeCell ref="J1366:J1367"/>
    <mergeCell ref="J1368:J1369"/>
    <mergeCell ref="J1421:J1422"/>
    <mergeCell ref="J1430:J1431"/>
    <mergeCell ref="J1444:J1445"/>
    <mergeCell ref="J1446:J1447"/>
    <mergeCell ref="J1448:J1449"/>
    <mergeCell ref="J1450:J1451"/>
    <mergeCell ref="J1461:J1462"/>
    <mergeCell ref="J1463:J1464"/>
    <mergeCell ref="J1469:J1470"/>
    <mergeCell ref="J1472:J1475"/>
    <mergeCell ref="J1484:J1485"/>
    <mergeCell ref="J1486:J1487"/>
    <mergeCell ref="J1488:J1489"/>
    <mergeCell ref="J1490:J1491"/>
    <mergeCell ref="J1496:J1499"/>
    <mergeCell ref="J1501:J1502"/>
    <mergeCell ref="J1505:J1508"/>
    <mergeCell ref="J1509:J1510"/>
    <mergeCell ref="J1511:J1512"/>
    <mergeCell ref="J1517:J1520"/>
    <mergeCell ref="J1524:J1525"/>
    <mergeCell ref="J1527:J1528"/>
    <mergeCell ref="J1529:J1530"/>
    <mergeCell ref="J1535:J1538"/>
    <mergeCell ref="J1551:J1552"/>
    <mergeCell ref="J1553:J1554"/>
    <mergeCell ref="J1555:J1556"/>
    <mergeCell ref="J1557:J1558"/>
    <mergeCell ref="J1559:J1560"/>
    <mergeCell ref="J1561:J1562"/>
    <mergeCell ref="J1567:J1568"/>
    <mergeCell ref="J1569:J1570"/>
    <mergeCell ref="J1572:J1575"/>
    <mergeCell ref="J1576:J1579"/>
    <mergeCell ref="J1580:J1581"/>
    <mergeCell ref="J1582:J1583"/>
    <mergeCell ref="J1589:J1590"/>
    <mergeCell ref="J1591:J1592"/>
    <mergeCell ref="J1593:J1594"/>
    <mergeCell ref="J1595:J1596"/>
    <mergeCell ref="J1614:J1615"/>
    <mergeCell ref="J1616:J1617"/>
    <mergeCell ref="J1619:J1622"/>
    <mergeCell ref="J1623:J1626"/>
    <mergeCell ref="J1627:J1630"/>
    <mergeCell ref="J1631:J1632"/>
    <mergeCell ref="J1633:J1634"/>
    <mergeCell ref="J1635:J1636"/>
    <mergeCell ref="J1637:J1638"/>
    <mergeCell ref="J1650:J1651"/>
    <mergeCell ref="J1654:J1655"/>
    <mergeCell ref="J1669:J1670"/>
    <mergeCell ref="J1671:J1672"/>
    <mergeCell ref="J1673:J1674"/>
    <mergeCell ref="J1675:J1676"/>
    <mergeCell ref="J1682:J1683"/>
    <mergeCell ref="J1687:J1688"/>
    <mergeCell ref="J1693:J1694"/>
    <mergeCell ref="J1700:J1701"/>
    <mergeCell ref="J1707:J1708"/>
    <mergeCell ref="J1709:J1710"/>
    <mergeCell ref="J1711:J1712"/>
    <mergeCell ref="J1713:J1714"/>
    <mergeCell ref="J1720:J1723"/>
    <mergeCell ref="J1724:J1725"/>
    <mergeCell ref="J1726:J1727"/>
    <mergeCell ref="J1752:J1753"/>
    <mergeCell ref="J1758:J1759"/>
    <mergeCell ref="J1760:J1761"/>
    <mergeCell ref="J1762:J1763"/>
    <mergeCell ref="J1764:J1765"/>
    <mergeCell ref="J1766:J1767"/>
    <mergeCell ref="J1773:J1774"/>
    <mergeCell ref="J1776:J1777"/>
    <mergeCell ref="J1780:J1781"/>
    <mergeCell ref="J1782:J1783"/>
    <mergeCell ref="J1792:J1793"/>
    <mergeCell ref="J1807:J1808"/>
    <mergeCell ref="J1811:J1814"/>
    <mergeCell ref="J1818:J1819"/>
    <mergeCell ref="J1820:J1821"/>
    <mergeCell ref="J1835:J1836"/>
    <mergeCell ref="J1837:J1838"/>
    <mergeCell ref="J1839:J1840"/>
    <mergeCell ref="J1841:J1842"/>
    <mergeCell ref="J1848:J1849"/>
    <mergeCell ref="J1850:J1851"/>
    <mergeCell ref="J1856:J1859"/>
    <mergeCell ref="J1864:J1867"/>
    <mergeCell ref="J1868:J1871"/>
    <mergeCell ref="J1889:J1890"/>
    <mergeCell ref="J1891:J1892"/>
    <mergeCell ref="J1893:J1896"/>
    <mergeCell ref="J1900:J1901"/>
    <mergeCell ref="J1918:J1919"/>
    <mergeCell ref="J1920:J1921"/>
    <mergeCell ref="J1927:J1928"/>
    <mergeCell ref="J1929:J1930"/>
    <mergeCell ref="J1931:J1932"/>
    <mergeCell ref="J1933:J1934"/>
    <mergeCell ref="J1935:J1936"/>
    <mergeCell ref="J1949:J1950"/>
    <mergeCell ref="J1951:J1952"/>
    <mergeCell ref="J2011:J2012"/>
    <mergeCell ref="J2024:J2025"/>
    <mergeCell ref="J2026:J2027"/>
    <mergeCell ref="J2042:J2043"/>
    <mergeCell ref="J2044:J2045"/>
    <mergeCell ref="J2051:J2052"/>
    <mergeCell ref="J2053:J2054"/>
    <mergeCell ref="J2056:J2057"/>
    <mergeCell ref="J2058:J2059"/>
    <mergeCell ref="J2060:J2061"/>
    <mergeCell ref="J2062:J2063"/>
    <mergeCell ref="J2064:J2065"/>
    <mergeCell ref="J2066:J2067"/>
    <mergeCell ref="J2068:J2069"/>
    <mergeCell ref="J2070:J2071"/>
    <mergeCell ref="J2073:J2074"/>
    <mergeCell ref="J2075:J2076"/>
    <mergeCell ref="J2083:J2084"/>
    <mergeCell ref="J2085:J2086"/>
    <mergeCell ref="J2113:J2114"/>
    <mergeCell ref="J2115:J2116"/>
    <mergeCell ref="J2139:J2140"/>
    <mergeCell ref="J2141:J2142"/>
    <mergeCell ref="J2146:J2147"/>
    <mergeCell ref="J2148:J2149"/>
    <mergeCell ref="J2150:J2151"/>
    <mergeCell ref="J2168:J2171"/>
    <mergeCell ref="J2189:J2190"/>
    <mergeCell ref="J2191:J2192"/>
    <mergeCell ref="J2193:J2194"/>
    <mergeCell ref="J2195:J2196"/>
    <mergeCell ref="J2197:J2200"/>
    <mergeCell ref="J2201:J2202"/>
    <mergeCell ref="J2203:J2204"/>
    <mergeCell ref="J2205:J2206"/>
    <mergeCell ref="J2207:J2208"/>
    <mergeCell ref="J2209:J2210"/>
    <mergeCell ref="J2211:J2212"/>
    <mergeCell ref="J2218:J2221"/>
    <mergeCell ref="J2236:J2237"/>
    <mergeCell ref="J2240:J2241"/>
    <mergeCell ref="J2258:J2261"/>
    <mergeCell ref="J2262:J2265"/>
    <mergeCell ref="J2266:J2269"/>
    <mergeCell ref="J2270:J2271"/>
    <mergeCell ref="J2272:J2273"/>
    <mergeCell ref="J2274:J2275"/>
    <mergeCell ref="J2276:J2277"/>
    <mergeCell ref="J2278:J2279"/>
    <mergeCell ref="J2280:J2281"/>
    <mergeCell ref="J2299:J2302"/>
    <mergeCell ref="J2308:J2309"/>
    <mergeCell ref="J2312:J2313"/>
    <mergeCell ref="J2316:J2317"/>
    <mergeCell ref="J2320:J2321"/>
    <mergeCell ref="J2322:J2323"/>
    <mergeCell ref="J2337:J2338"/>
    <mergeCell ref="J2339:J2340"/>
    <mergeCell ref="J2341:J2342"/>
    <mergeCell ref="J2343:J2344"/>
    <mergeCell ref="J2345:J2346"/>
    <mergeCell ref="J2347:J2348"/>
    <mergeCell ref="J2349:J2350"/>
    <mergeCell ref="J2351:J2352"/>
    <mergeCell ref="J2379:J2382"/>
    <mergeCell ref="J2467:J2468"/>
    <mergeCell ref="J2475:J2480"/>
    <mergeCell ref="J2485:J2486"/>
    <mergeCell ref="J2487:J2488"/>
    <mergeCell ref="J2489:J2490"/>
    <mergeCell ref="J2502:J2503"/>
    <mergeCell ref="J2504:J2505"/>
    <mergeCell ref="J2518:J2519"/>
    <mergeCell ref="J2526:J2527"/>
    <mergeCell ref="J2534:J2535"/>
    <mergeCell ref="J2536:J2537"/>
    <mergeCell ref="J2538:J2539"/>
    <mergeCell ref="J2565:J2566"/>
    <mergeCell ref="J2567:J2568"/>
    <mergeCell ref="J2575:J2576"/>
    <mergeCell ref="J2581:J2584"/>
    <mergeCell ref="J2586:J2587"/>
    <mergeCell ref="J2602:J2603"/>
    <mergeCell ref="J2604:J2605"/>
    <mergeCell ref="J2606:J2607"/>
    <mergeCell ref="J2608:J2609"/>
    <mergeCell ref="J2610:J2611"/>
    <mergeCell ref="J2612:J2613"/>
    <mergeCell ref="J2618:J2619"/>
    <mergeCell ref="J2620:J2621"/>
    <mergeCell ref="J2622:J2623"/>
    <mergeCell ref="J2625:J2626"/>
    <mergeCell ref="J2627:J2628"/>
    <mergeCell ref="J2629:J2630"/>
    <mergeCell ref="J2641:J2642"/>
    <mergeCell ref="J2643:J2644"/>
    <mergeCell ref="J2647:J2648"/>
    <mergeCell ref="J2649:J2650"/>
    <mergeCell ref="J2653:J2654"/>
    <mergeCell ref="J2656:J2657"/>
    <mergeCell ref="K3:K5"/>
    <mergeCell ref="L3:L5"/>
    <mergeCell ref="M3:M5"/>
    <mergeCell ref="N3:N5"/>
    <mergeCell ref="O3:O5"/>
    <mergeCell ref="P3:P5"/>
    <mergeCell ref="BG3:BG5"/>
    <mergeCell ref="BI3:BI5"/>
    <mergeCell ref="BJ3:BJ5"/>
    <mergeCell ref="BK3:BK5"/>
    <mergeCell ref="BL3:BL5"/>
    <mergeCell ref="BM3:BM5"/>
    <mergeCell ref="BN3:BN5"/>
    <mergeCell ref="BQ3:BQ5"/>
    <mergeCell ref="BR3:BR5"/>
    <mergeCell ref="BS3:BS5"/>
    <mergeCell ref="BT3:BT5"/>
    <mergeCell ref="BW3:BW5"/>
    <mergeCell ref="A1:P2"/>
    <mergeCell ref="Q1:R2"/>
    <mergeCell ref="S1:T2"/>
    <mergeCell ref="U1:V2"/>
    <mergeCell ref="AA1:AB2"/>
    <mergeCell ref="AC1:AD2"/>
    <mergeCell ref="AE1:AF2"/>
    <mergeCell ref="AG1:AH2"/>
    <mergeCell ref="AI1:AJ2"/>
    <mergeCell ref="AO1:AP2"/>
    <mergeCell ref="AQ1:AR2"/>
    <mergeCell ref="AS1:AT2"/>
    <mergeCell ref="AU1:AV2"/>
    <mergeCell ref="AW1:AX2"/>
    <mergeCell ref="BC1:BD2"/>
    <mergeCell ref="W1:Z2"/>
    <mergeCell ref="AY1:BB2"/>
    <mergeCell ref="AK1:AN2"/>
    <mergeCell ref="BK1:BM2"/>
    <mergeCell ref="BQ1:BS2"/>
    <mergeCell ref="BO1:BP3"/>
    <mergeCell ref="BU1:BV3"/>
    <mergeCell ref="BE3:BF4"/>
    <mergeCell ref="BO4:BP5"/>
    <mergeCell ref="BU4:BV5"/>
  </mergeCells>
  <conditionalFormatting sqref="BO4">
    <cfRule type="cellIs" dxfId="0" priority="13585" operator="greaterThan">
      <formula>1</formula>
    </cfRule>
  </conditionalFormatting>
  <conditionalFormatting sqref="BU4">
    <cfRule type="cellIs" dxfId="0" priority="13905" operator="greaterThan">
      <formula>1</formula>
    </cfRule>
  </conditionalFormatting>
  <conditionalFormatting sqref="Q30">
    <cfRule type="colorScale" priority="8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">
    <cfRule type="colorScale" priority="8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0">
    <cfRule type="colorScale" priority="9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0">
    <cfRule type="colorScale" priority="9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0">
    <cfRule type="colorScale" priority="9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0">
    <cfRule type="colorScale" priority="9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0">
    <cfRule type="colorScale" priority="7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0">
    <cfRule type="colorScale" priority="7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0">
    <cfRule type="colorScale" priority="8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0">
    <cfRule type="colorScale" priority="8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0">
    <cfRule type="colorScale" priority="5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0">
    <cfRule type="colorScale" priority="5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0">
    <cfRule type="colorScale" priority="5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0">
    <cfRule type="colorScale" priority="5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">
    <cfRule type="colorScale" priority="5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0">
    <cfRule type="colorScale" priority="5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0">
    <cfRule type="colorScale" priority="6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0">
    <cfRule type="colorScale" priority="6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0">
    <cfRule type="colorScale" priority="7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0">
    <cfRule type="colorScale" priority="7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0">
    <cfRule type="colorScale" priority="4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0">
    <cfRule type="colorScale" priority="4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0">
    <cfRule type="colorScale" priority="4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0">
    <cfRule type="colorScale" priority="4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0">
    <cfRule type="colorScale" priority="2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0">
    <cfRule type="colorScale" priority="2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0">
    <cfRule type="colorScale" priority="2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0">
    <cfRule type="colorScale" priority="2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0">
    <cfRule type="colorScale" priority="1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0">
    <cfRule type="colorScale" priority="1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0">
    <cfRule type="colorScale" priority="2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0">
    <cfRule type="colorScale" priority="2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0">
    <cfRule type="colorScale" priority="3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0">
    <cfRule type="colorScale" priority="3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0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0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0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0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0">
    <cfRule type="colorScale" priority="12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0">
    <cfRule type="colorScale" priority="13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E53">
    <cfRule type="colorScale" priority="14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3">
    <cfRule type="colorScale" priority="14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3">
    <cfRule type="colorScale" priority="8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3">
    <cfRule type="colorScale" priority="8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3">
    <cfRule type="colorScale" priority="9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3">
    <cfRule type="colorScale" priority="9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3">
    <cfRule type="colorScale" priority="9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3">
    <cfRule type="colorScale" priority="9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3">
    <cfRule type="colorScale" priority="7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3">
    <cfRule type="colorScale" priority="7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3">
    <cfRule type="colorScale" priority="8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3">
    <cfRule type="colorScale" priority="8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3">
    <cfRule type="colorScale" priority="5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3">
    <cfRule type="colorScale" priority="5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3">
    <cfRule type="colorScale" priority="5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3">
    <cfRule type="colorScale" priority="5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3">
    <cfRule type="colorScale" priority="6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3">
    <cfRule type="colorScale" priority="6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3">
    <cfRule type="colorScale" priority="6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3">
    <cfRule type="colorScale" priority="6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3">
    <cfRule type="colorScale" priority="7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3">
    <cfRule type="colorScale" priority="7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3">
    <cfRule type="colorScale" priority="4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3">
    <cfRule type="colorScale" priority="4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3">
    <cfRule type="colorScale" priority="4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3">
    <cfRule type="colorScale" priority="4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3">
    <cfRule type="colorScale" priority="3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3">
    <cfRule type="colorScale" priority="3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3">
    <cfRule type="colorScale" priority="2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3">
    <cfRule type="colorScale" priority="2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3">
    <cfRule type="colorScale" priority="1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3">
    <cfRule type="colorScale" priority="1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3">
    <cfRule type="colorScale" priority="2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3">
    <cfRule type="colorScale" priority="2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3">
    <cfRule type="colorScale" priority="3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3">
    <cfRule type="colorScale" priority="3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3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3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3">
    <cfRule type="colorScale" priority="1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3">
    <cfRule type="colorScale" priority="1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3">
    <cfRule type="colorScale" priority="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3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3">
    <cfRule type="colorScale" priority="13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53">
    <cfRule type="colorScale" priority="13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2">
    <cfRule type="colorScale" priority="8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2">
    <cfRule type="colorScale" priority="8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2">
    <cfRule type="colorScale" priority="9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2">
    <cfRule type="colorScale" priority="9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2">
    <cfRule type="colorScale" priority="97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72">
    <cfRule type="colorScale" priority="9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2">
    <cfRule type="colorScale" priority="7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2">
    <cfRule type="colorScale" priority="7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2">
    <cfRule type="colorScale" priority="8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2">
    <cfRule type="colorScale" priority="8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2">
    <cfRule type="colorScale" priority="5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2">
    <cfRule type="colorScale" priority="5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2">
    <cfRule type="colorScale" priority="5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72">
    <cfRule type="colorScale" priority="5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2">
    <cfRule type="colorScale" priority="6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2">
    <cfRule type="colorScale" priority="6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2">
    <cfRule type="colorScale" priority="6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2">
    <cfRule type="colorScale" priority="6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2">
    <cfRule type="colorScale" priority="7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72">
    <cfRule type="colorScale" priority="7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2">
    <cfRule type="colorScale" priority="4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72">
    <cfRule type="colorScale" priority="4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2">
    <cfRule type="colorScale" priority="4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72">
    <cfRule type="colorScale" priority="4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2">
    <cfRule type="colorScale" priority="3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2">
    <cfRule type="colorScale" priority="3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2">
    <cfRule type="colorScale" priority="2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72">
    <cfRule type="colorScale" priority="2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2">
    <cfRule type="colorScale" priority="1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72">
    <cfRule type="colorScale" priority="1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2">
    <cfRule type="colorScale" priority="2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72">
    <cfRule type="colorScale" priority="2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2">
    <cfRule type="colorScale" priority="3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72">
    <cfRule type="colorScale" priority="3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2">
    <cfRule type="colorScale" priority="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72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2">
    <cfRule type="colorScale" priority="1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72">
    <cfRule type="colorScale" priority="1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72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72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2">
    <cfRule type="colorScale" priority="12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72">
    <cfRule type="colorScale" priority="13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01:R101">
    <cfRule type="colorScale" priority="8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1:T101">
    <cfRule type="colorScale" priority="9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1:V101">
    <cfRule type="colorScale" priority="9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01:X101">
    <cfRule type="colorScale" priority="7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01:Z101">
    <cfRule type="colorScale" priority="8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1:AB101">
    <cfRule type="colorScale" priority="5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01:AD101">
    <cfRule type="colorScale" priority="5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01:AF101">
    <cfRule type="colorScale" priority="6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1:AH101">
    <cfRule type="colorScale" priority="6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01:AJ101">
    <cfRule type="colorScale" priority="7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01:AL101">
    <cfRule type="colorScale" priority="4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1:AN101">
    <cfRule type="colorScale" priority="4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01:AP101">
    <cfRule type="colorScale" priority="3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01:AR101">
    <cfRule type="colorScale" priority="2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01:AT101">
    <cfRule type="colorScale" priority="1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01:AV101">
    <cfRule type="colorScale" priority="2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01:AX101">
    <cfRule type="colorScale" priority="3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01:AZ101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01:BB101">
    <cfRule type="colorScale" priority="1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01:BD101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01:BF101">
    <cfRule type="colorScale" priority="13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2">
    <cfRule type="colorScale" priority="8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2">
    <cfRule type="colorScale" priority="8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2">
    <cfRule type="colorScale" priority="9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2">
    <cfRule type="colorScale" priority="9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2">
    <cfRule type="colorScale" priority="9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2">
    <cfRule type="colorScale" priority="9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2">
    <cfRule type="colorScale" priority="7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2">
    <cfRule type="colorScale" priority="7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2">
    <cfRule type="colorScale" priority="8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2">
    <cfRule type="colorScale" priority="8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2">
    <cfRule type="colorScale" priority="5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2">
    <cfRule type="colorScale" priority="5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2">
    <cfRule type="colorScale" priority="5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2">
    <cfRule type="colorScale" priority="5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2">
    <cfRule type="colorScale" priority="6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2">
    <cfRule type="colorScale" priority="6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2">
    <cfRule type="colorScale" priority="6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2">
    <cfRule type="colorScale" priority="6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2">
    <cfRule type="colorScale" priority="7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2">
    <cfRule type="colorScale" priority="7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2">
    <cfRule type="colorScale" priority="4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2">
    <cfRule type="colorScale" priority="4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2">
    <cfRule type="colorScale" priority="4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2">
    <cfRule type="colorScale" priority="4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2">
    <cfRule type="colorScale" priority="3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2">
    <cfRule type="colorScale" priority="3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2">
    <cfRule type="colorScale" priority="2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2">
    <cfRule type="colorScale" priority="2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2">
    <cfRule type="colorScale" priority="1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2">
    <cfRule type="colorScale" priority="1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2">
    <cfRule type="colorScale" priority="2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2">
    <cfRule type="colorScale" priority="2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2">
    <cfRule type="colorScale" priority="3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2">
    <cfRule type="colorScale" priority="37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2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2">
    <cfRule type="colorScale" priority="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2"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2">
    <cfRule type="colorScale" priority="1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2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2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2">
    <cfRule type="colorScale" priority="12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2">
    <cfRule type="colorScale" priority="12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9">
    <cfRule type="colorScale" priority="8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9">
    <cfRule type="colorScale" priority="8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9">
    <cfRule type="colorScale" priority="9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9">
    <cfRule type="colorScale" priority="9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9">
    <cfRule type="colorScale" priority="9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9">
    <cfRule type="colorScale" priority="9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9">
    <cfRule type="colorScale" priority="7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9">
    <cfRule type="colorScale" priority="7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9">
    <cfRule type="colorScale" priority="8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9">
    <cfRule type="colorScale" priority="8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9">
    <cfRule type="colorScale" priority="5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9">
    <cfRule type="colorScale" priority="5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9">
    <cfRule type="colorScale" priority="5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9">
    <cfRule type="colorScale" priority="5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9">
    <cfRule type="colorScale" priority="6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9">
    <cfRule type="colorScale" priority="6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9">
    <cfRule type="colorScale" priority="6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9">
    <cfRule type="colorScale" priority="6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9">
    <cfRule type="colorScale" priority="7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9">
    <cfRule type="colorScale" priority="7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9">
    <cfRule type="colorScale" priority="4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9">
    <cfRule type="colorScale" priority="4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9">
    <cfRule type="colorScale" priority="4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9">
    <cfRule type="colorScale" priority="4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9">
    <cfRule type="colorScale" priority="3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29">
    <cfRule type="colorScale" priority="3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9">
    <cfRule type="colorScale" priority="2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29">
    <cfRule type="colorScale" priority="2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9">
    <cfRule type="colorScale" priority="1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9">
    <cfRule type="colorScale" priority="1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9">
    <cfRule type="colorScale" priority="2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29">
    <cfRule type="colorScale" priority="2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9">
    <cfRule type="colorScale" priority="3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9">
    <cfRule type="colorScale" priority="3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9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9"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9">
    <cfRule type="colorScale" priority="1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9">
    <cfRule type="colorScale" priority="1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9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29">
    <cfRule type="colorScale" priority="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9">
    <cfRule type="colorScale" priority="13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9">
    <cfRule type="colorScale" priority="13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34:R134">
    <cfRule type="colorScale" priority="8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4:T134">
    <cfRule type="colorScale" priority="9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4:V134">
    <cfRule type="colorScale" priority="9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4:X134">
    <cfRule type="colorScale" priority="7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4:Z134">
    <cfRule type="colorScale" priority="8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4:AB134">
    <cfRule type="colorScale" priority="5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4:AD134">
    <cfRule type="colorScale" priority="5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4:AF134">
    <cfRule type="colorScale" priority="6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4:AH134">
    <cfRule type="colorScale" priority="6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4:AJ134">
    <cfRule type="colorScale" priority="7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4:AL134">
    <cfRule type="colorScale" priority="4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4:AN134">
    <cfRule type="colorScale" priority="4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4:AP134">
    <cfRule type="colorScale" priority="3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4:AR134">
    <cfRule type="colorScale" priority="2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4:AT134">
    <cfRule type="colorScale" priority="1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4:AV134">
    <cfRule type="colorScale" priority="2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4:AX134">
    <cfRule type="colorScale" priority="3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4:AZ134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4:BB134">
    <cfRule type="colorScale" priority="1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4:BD134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4:BF134">
    <cfRule type="colorScale" priority="13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47">
    <cfRule type="colorScale" priority="8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47">
    <cfRule type="colorScale" priority="8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7">
    <cfRule type="colorScale" priority="9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47">
    <cfRule type="colorScale" priority="9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7">
    <cfRule type="colorScale" priority="9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47">
    <cfRule type="colorScale" priority="9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47">
    <cfRule type="colorScale" priority="7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47">
    <cfRule type="colorScale" priority="7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47">
    <cfRule type="colorScale" priority="8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47">
    <cfRule type="colorScale" priority="8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7">
    <cfRule type="colorScale" priority="5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47">
    <cfRule type="colorScale" priority="5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47">
    <cfRule type="colorScale" priority="5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47">
    <cfRule type="colorScale" priority="5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47">
    <cfRule type="colorScale" priority="6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47">
    <cfRule type="colorScale" priority="6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7">
    <cfRule type="colorScale" priority="6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47">
    <cfRule type="colorScale" priority="6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47">
    <cfRule type="colorScale" priority="7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47">
    <cfRule type="colorScale" priority="7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47">
    <cfRule type="colorScale" priority="4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47">
    <cfRule type="colorScale" priority="4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47">
    <cfRule type="colorScale" priority="4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47">
    <cfRule type="colorScale" priority="4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47">
    <cfRule type="colorScale" priority="3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47">
    <cfRule type="colorScale" priority="3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47">
    <cfRule type="colorScale" priority="2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47">
    <cfRule type="colorScale" priority="2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7">
    <cfRule type="colorScale" priority="1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47">
    <cfRule type="colorScale" priority="1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7">
    <cfRule type="colorScale" priority="2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47">
    <cfRule type="colorScale" priority="2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7">
    <cfRule type="colorScale" priority="3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47">
    <cfRule type="colorScale" priority="3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7">
    <cfRule type="colorScale" priority="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47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47">
    <cfRule type="colorScale" priority="1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47">
    <cfRule type="colorScale" priority="1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47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47"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47">
    <cfRule type="colorScale" priority="12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47">
    <cfRule type="colorScale" priority="13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6">
    <cfRule type="duplicateValues" dxfId="1" priority="11597"/>
  </conditionalFormatting>
  <conditionalFormatting sqref="Q156">
    <cfRule type="colorScale" priority="8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6">
    <cfRule type="colorScale" priority="8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6">
    <cfRule type="colorScale" priority="9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6">
    <cfRule type="colorScale" priority="9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6">
    <cfRule type="colorScale" priority="9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6">
    <cfRule type="colorScale" priority="9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6">
    <cfRule type="colorScale" priority="7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6">
    <cfRule type="colorScale" priority="7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6">
    <cfRule type="colorScale" priority="8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6">
    <cfRule type="colorScale" priority="8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6">
    <cfRule type="colorScale" priority="5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6">
    <cfRule type="colorScale" priority="5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6">
    <cfRule type="colorScale" priority="5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6">
    <cfRule type="colorScale" priority="5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6">
    <cfRule type="colorScale" priority="6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6">
    <cfRule type="colorScale" priority="6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6">
    <cfRule type="colorScale" priority="6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6">
    <cfRule type="colorScale" priority="6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6">
    <cfRule type="colorScale" priority="7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6">
    <cfRule type="colorScale" priority="70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6">
    <cfRule type="colorScale" priority="4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6">
    <cfRule type="colorScale" priority="4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6">
    <cfRule type="colorScale" priority="4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6">
    <cfRule type="colorScale" priority="4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6">
    <cfRule type="colorScale" priority="3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6">
    <cfRule type="colorScale" priority="3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6">
    <cfRule type="colorScale" priority="2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6">
    <cfRule type="colorScale" priority="2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6">
    <cfRule type="colorScale" priority="1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6">
    <cfRule type="colorScale" priority="1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6">
    <cfRule type="colorScale" priority="2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6">
    <cfRule type="colorScale" priority="2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6">
    <cfRule type="colorScale" priority="3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6">
    <cfRule type="colorScale" priority="3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6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6">
    <cfRule type="colorScale" priority="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6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6">
    <cfRule type="colorScale" priority="1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6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6">
    <cfRule type="colorScale" priority="11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6">
    <cfRule type="colorScale" priority="11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56:BP156">
    <cfRule type="cellIs" dxfId="0" priority="11592" operator="greaterThan">
      <formula>1</formula>
    </cfRule>
  </conditionalFormatting>
  <conditionalFormatting sqref="BU156:BV156">
    <cfRule type="cellIs" dxfId="0" priority="11595" operator="greaterThan">
      <formula>1</formula>
    </cfRule>
  </conditionalFormatting>
  <conditionalFormatting sqref="Q179">
    <cfRule type="colorScale" priority="8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9">
    <cfRule type="colorScale" priority="8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9">
    <cfRule type="colorScale" priority="9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9">
    <cfRule type="colorScale" priority="9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9">
    <cfRule type="colorScale" priority="9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9">
    <cfRule type="colorScale" priority="9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9">
    <cfRule type="colorScale" priority="7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9">
    <cfRule type="colorScale" priority="7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9">
    <cfRule type="colorScale" priority="8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9">
    <cfRule type="colorScale" priority="8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9">
    <cfRule type="colorScale" priority="5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9">
    <cfRule type="colorScale" priority="5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9">
    <cfRule type="colorScale" priority="5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9">
    <cfRule type="colorScale" priority="5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9">
    <cfRule type="colorScale" priority="5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9">
    <cfRule type="colorScale" priority="6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9">
    <cfRule type="colorScale" priority="6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9">
    <cfRule type="colorScale" priority="6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9">
    <cfRule type="colorScale" priority="7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9">
    <cfRule type="colorScale" priority="7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9">
    <cfRule type="colorScale" priority="4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9">
    <cfRule type="colorScale" priority="4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9">
    <cfRule type="colorScale" priority="4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9">
    <cfRule type="colorScale" priority="4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9">
    <cfRule type="colorScale" priority="2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9">
    <cfRule type="colorScale" priority="3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9">
    <cfRule type="colorScale" priority="2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9">
    <cfRule type="colorScale" priority="2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9">
    <cfRule type="colorScale" priority="1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9">
    <cfRule type="colorScale" priority="1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9">
    <cfRule type="colorScale" priority="2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9">
    <cfRule type="colorScale" priority="2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9">
    <cfRule type="colorScale" priority="3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9">
    <cfRule type="colorScale" priority="3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9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9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9">
    <cfRule type="colorScale" priority="1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9">
    <cfRule type="colorScale" priority="1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9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9">
    <cfRule type="colorScale" priority="12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9">
    <cfRule type="colorScale" priority="13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2">
    <cfRule type="duplicateValues" dxfId="1" priority="13622"/>
  </conditionalFormatting>
  <conditionalFormatting sqref="Q184">
    <cfRule type="colorScale" priority="8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4">
    <cfRule type="colorScale" priority="8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4">
    <cfRule type="colorScale" priority="8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84">
    <cfRule type="colorScale" priority="9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4">
    <cfRule type="colorScale" priority="9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84">
    <cfRule type="colorScale" priority="9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4">
    <cfRule type="colorScale" priority="7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84">
    <cfRule type="colorScale" priority="7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4">
    <cfRule type="colorScale" priority="8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84">
    <cfRule type="colorScale" priority="8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4">
    <cfRule type="colorScale" priority="4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84">
    <cfRule type="colorScale" priority="5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84">
    <cfRule type="colorScale" priority="5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84">
    <cfRule type="colorScale" priority="5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4">
    <cfRule type="colorScale" priority="5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84">
    <cfRule type="colorScale" priority="6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4">
    <cfRule type="colorScale" priority="6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84">
    <cfRule type="colorScale" priority="6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84">
    <cfRule type="colorScale" priority="7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84">
    <cfRule type="colorScale" priority="7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4">
    <cfRule type="colorScale" priority="4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84">
    <cfRule type="colorScale" priority="4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84">
    <cfRule type="colorScale" priority="4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84">
    <cfRule type="colorScale" priority="4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84">
    <cfRule type="colorScale" priority="2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84">
    <cfRule type="colorScale" priority="3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84">
    <cfRule type="colorScale" priority="2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84">
    <cfRule type="colorScale" priority="2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84">
    <cfRule type="colorScale" priority="1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84">
    <cfRule type="colorScale" priority="1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84">
    <cfRule type="colorScale" priority="1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84">
    <cfRule type="colorScale" priority="2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84">
    <cfRule type="colorScale" priority="3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84">
    <cfRule type="colorScale" priority="3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84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84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84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84">
    <cfRule type="colorScale" priority="1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8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84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84:BF184">
    <cfRule type="colorScale" priority="13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5">
    <cfRule type="duplicateValues" dxfId="1" priority="13728"/>
  </conditionalFormatting>
  <conditionalFormatting sqref="R215">
    <cfRule type="colorScale" priority="8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5">
    <cfRule type="colorScale" priority="9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5">
    <cfRule type="colorScale" priority="9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5">
    <cfRule type="colorScale" priority="7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5">
    <cfRule type="colorScale" priority="8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5">
    <cfRule type="colorScale" priority="5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5">
    <cfRule type="colorScale" priority="5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5">
    <cfRule type="colorScale" priority="6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5">
    <cfRule type="colorScale" priority="6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5">
    <cfRule type="colorScale" priority="7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5">
    <cfRule type="colorScale" priority="4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5">
    <cfRule type="colorScale" priority="4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5">
    <cfRule type="colorScale" priority="3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5">
    <cfRule type="colorScale" priority="2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5">
    <cfRule type="colorScale" priority="1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5">
    <cfRule type="colorScale" priority="2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5">
    <cfRule type="colorScale" priority="3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5">
    <cfRule type="colorScale" priority="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5">
    <cfRule type="colorScale" priority="1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5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5">
    <cfRule type="colorScale" priority="12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15:BP215">
    <cfRule type="cellIs" dxfId="0" priority="13580" operator="greaterThan">
      <formula>1</formula>
    </cfRule>
  </conditionalFormatting>
  <conditionalFormatting sqref="BU215:BV215">
    <cfRule type="cellIs" dxfId="0" priority="13726" operator="greaterThan">
      <formula>1</formula>
    </cfRule>
  </conditionalFormatting>
  <conditionalFormatting sqref="E216">
    <cfRule type="duplicateValues" dxfId="1" priority="12093"/>
  </conditionalFormatting>
  <conditionalFormatting sqref="E218">
    <cfRule type="duplicateValues" dxfId="1" priority="11672"/>
  </conditionalFormatting>
  <conditionalFormatting sqref="E220">
    <cfRule type="duplicateValues" dxfId="1" priority="12095"/>
  </conditionalFormatting>
  <conditionalFormatting sqref="Q220:R220">
    <cfRule type="colorScale" priority="8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0:T220">
    <cfRule type="colorScale" priority="9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0:V220">
    <cfRule type="colorScale" priority="9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0:X220">
    <cfRule type="colorScale" priority="7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0:Z220">
    <cfRule type="colorScale" priority="8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0:AB220">
    <cfRule type="colorScale" priority="5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20:AD220">
    <cfRule type="colorScale" priority="5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20:AF220">
    <cfRule type="colorScale" priority="6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20:AH220">
    <cfRule type="colorScale" priority="6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20:AJ220">
    <cfRule type="colorScale" priority="7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20:AL220">
    <cfRule type="colorScale" priority="4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20:AN220">
    <cfRule type="colorScale" priority="4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20:AP220">
    <cfRule type="colorScale" priority="3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20:AR220">
    <cfRule type="colorScale" priority="2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20:AT220">
    <cfRule type="colorScale" priority="1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20:AV220">
    <cfRule type="colorScale" priority="2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20:AX220">
    <cfRule type="colorScale" priority="3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20:AZ220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20:BB220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20:BD220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20:BF220">
    <cfRule type="colorScale" priority="12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37">
    <cfRule type="colorScale" priority="8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7">
    <cfRule type="colorScale" priority="8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7">
    <cfRule type="colorScale" priority="9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37">
    <cfRule type="colorScale" priority="9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37">
    <cfRule type="colorScale" priority="9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7">
    <cfRule type="colorScale" priority="9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37">
    <cfRule type="colorScale" priority="7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37">
    <cfRule type="colorScale" priority="79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37">
    <cfRule type="colorScale" priority="8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37">
    <cfRule type="colorScale" priority="8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7">
    <cfRule type="colorScale" priority="5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37">
    <cfRule type="colorScale" priority="5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37">
    <cfRule type="colorScale" priority="5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37">
    <cfRule type="colorScale" priority="5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37">
    <cfRule type="colorScale" priority="6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37">
    <cfRule type="colorScale" priority="6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37">
    <cfRule type="colorScale" priority="6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37">
    <cfRule type="colorScale" priority="6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37">
    <cfRule type="colorScale" priority="7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37">
    <cfRule type="colorScale" priority="7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37">
    <cfRule type="colorScale" priority="4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37">
    <cfRule type="colorScale" priority="4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37">
    <cfRule type="colorScale" priority="4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37">
    <cfRule type="colorScale" priority="4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37">
    <cfRule type="colorScale" priority="3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37">
    <cfRule type="colorScale" priority="3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37">
    <cfRule type="colorScale" priority="2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37">
    <cfRule type="colorScale" priority="2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37">
    <cfRule type="colorScale" priority="1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37">
    <cfRule type="colorScale" priority="1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37">
    <cfRule type="colorScale" priority="2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37">
    <cfRule type="colorScale" priority="2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37">
    <cfRule type="colorScale" priority="3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37">
    <cfRule type="colorScale" priority="3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37">
    <cfRule type="colorScale" priority="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37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37">
    <cfRule type="colorScale" priority="1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37">
    <cfRule type="colorScale" priority="1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37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37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37">
    <cfRule type="colorScale" priority="12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37">
    <cfRule type="colorScale" priority="13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8">
    <cfRule type="duplicateValues" dxfId="1" priority="14333"/>
  </conditionalFormatting>
  <conditionalFormatting sqref="E240">
    <cfRule type="duplicateValues" dxfId="1" priority="14155"/>
  </conditionalFormatting>
  <conditionalFormatting sqref="Q242:R242">
    <cfRule type="colorScale" priority="8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2:T242">
    <cfRule type="colorScale" priority="9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2:V242">
    <cfRule type="colorScale" priority="9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2:X242">
    <cfRule type="colorScale" priority="7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42:Z242">
    <cfRule type="colorScale" priority="8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42:AB242">
    <cfRule type="colorScale" priority="5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42:AD242">
    <cfRule type="colorScale" priority="5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42:AF242">
    <cfRule type="colorScale" priority="6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42:AH242">
    <cfRule type="colorScale" priority="6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42:AJ242">
    <cfRule type="colorScale" priority="7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42:AL242">
    <cfRule type="colorScale" priority="4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42:AN242">
    <cfRule type="colorScale" priority="4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42:AP242">
    <cfRule type="colorScale" priority="3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42:AR242">
    <cfRule type="colorScale" priority="2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42:AT242">
    <cfRule type="colorScale" priority="1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42:AV242">
    <cfRule type="colorScale" priority="2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42:AX242">
    <cfRule type="colorScale" priority="3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42:AZ242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42:BB242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42:BD242">
    <cfRule type="colorScale" priority="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42:BF242">
    <cfRule type="colorScale" priority="12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51:BP251">
    <cfRule type="cellIs" dxfId="0" priority="13583" operator="greaterThan">
      <formula>1</formula>
    </cfRule>
  </conditionalFormatting>
  <conditionalFormatting sqref="BU251:BV251">
    <cfRule type="cellIs" dxfId="0" priority="13861" operator="greaterThan">
      <formula>1</formula>
    </cfRule>
  </conditionalFormatting>
  <conditionalFormatting sqref="Q257:R257">
    <cfRule type="colorScale" priority="8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7:T257">
    <cfRule type="colorScale" priority="9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57:V257">
    <cfRule type="colorScale" priority="9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57:X257">
    <cfRule type="colorScale" priority="7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7:Z257">
    <cfRule type="colorScale" priority="8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57:AB257">
    <cfRule type="colorScale" priority="5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57:AD257">
    <cfRule type="colorScale" priority="5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57:AF257">
    <cfRule type="colorScale" priority="6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57:AH257">
    <cfRule type="colorScale" priority="6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57:AJ257">
    <cfRule type="colorScale" priority="7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57:AL257">
    <cfRule type="colorScale" priority="4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57:AN257">
    <cfRule type="colorScale" priority="4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57:AP257">
    <cfRule type="colorScale" priority="3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57:AR257">
    <cfRule type="colorScale" priority="2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57:AT257">
    <cfRule type="colorScale" priority="1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57:AV257">
    <cfRule type="colorScale" priority="2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57:AX257">
    <cfRule type="colorScale" priority="3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57:AZ257">
    <cfRule type="colorScale" priority="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57:BB257">
    <cfRule type="colorScale" priority="1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57:BD257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57:BF257">
    <cfRule type="colorScale" priority="12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66:R266">
    <cfRule type="colorScale" priority="8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6:T266">
    <cfRule type="colorScale" priority="9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6:V266">
    <cfRule type="colorScale" priority="9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66:X266">
    <cfRule type="colorScale" priority="7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6:Z266">
    <cfRule type="colorScale" priority="8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6:AB266">
    <cfRule type="colorScale" priority="5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66:AD266">
    <cfRule type="colorScale" priority="5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6:AF266">
    <cfRule type="colorScale" priority="6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6:AH266">
    <cfRule type="colorScale" priority="6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6:AJ266">
    <cfRule type="colorScale" priority="7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66:AL266">
    <cfRule type="colorScale" priority="4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6:AN266">
    <cfRule type="colorScale" priority="4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66:AP266">
    <cfRule type="colorScale" priority="3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66:AR266">
    <cfRule type="colorScale" priority="2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6:AT266">
    <cfRule type="colorScale" priority="1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6:AV266">
    <cfRule type="colorScale" priority="2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66:AX266">
    <cfRule type="colorScale" priority="3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6:AZ266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66:BB266">
    <cfRule type="colorScale" priority="1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66:BD26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66:BF266">
    <cfRule type="colorScale" priority="12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7">
    <cfRule type="duplicateValues" dxfId="1" priority="12171"/>
  </conditionalFormatting>
  <conditionalFormatting sqref="E269">
    <cfRule type="duplicateValues" dxfId="1" priority="12165"/>
  </conditionalFormatting>
  <conditionalFormatting sqref="E271">
    <cfRule type="duplicateValues" dxfId="1" priority="13868"/>
  </conditionalFormatting>
  <conditionalFormatting sqref="E273">
    <cfRule type="duplicateValues" dxfId="1" priority="14266"/>
  </conditionalFormatting>
  <conditionalFormatting sqref="Q273">
    <cfRule type="colorScale" priority="8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3">
    <cfRule type="colorScale" priority="8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73">
    <cfRule type="colorScale" priority="9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73">
    <cfRule type="colorScale" priority="9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73">
    <cfRule type="colorScale" priority="9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73">
    <cfRule type="colorScale" priority="9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73">
    <cfRule type="colorScale" priority="7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73">
    <cfRule type="colorScale" priority="7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73">
    <cfRule type="colorScale" priority="8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73">
    <cfRule type="colorScale" priority="8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73">
    <cfRule type="colorScale" priority="5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73">
    <cfRule type="colorScale" priority="5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73">
    <cfRule type="colorScale" priority="5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73">
    <cfRule type="colorScale" priority="5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73">
    <cfRule type="colorScale" priority="6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73">
    <cfRule type="colorScale" priority="6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73">
    <cfRule type="colorScale" priority="6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73">
    <cfRule type="colorScale" priority="6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73">
    <cfRule type="colorScale" priority="7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73">
    <cfRule type="colorScale" priority="7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73">
    <cfRule type="colorScale" priority="4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73">
    <cfRule type="colorScale" priority="4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73">
    <cfRule type="colorScale" priority="4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73">
    <cfRule type="colorScale" priority="4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73">
    <cfRule type="colorScale" priority="3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73">
    <cfRule type="colorScale" priority="3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73">
    <cfRule type="colorScale" priority="2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73">
    <cfRule type="colorScale" priority="2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73">
    <cfRule type="colorScale" priority="1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73">
    <cfRule type="colorScale" priority="1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73">
    <cfRule type="colorScale" priority="2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73">
    <cfRule type="colorScale" priority="2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73">
    <cfRule type="colorScale" priority="3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73">
    <cfRule type="colorScale" priority="3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73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73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73">
    <cfRule type="colorScale" priority="1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73"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73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73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73">
    <cfRule type="colorScale" priority="12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73">
    <cfRule type="colorScale" priority="12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2">
    <cfRule type="duplicateValues" dxfId="1" priority="13967"/>
  </conditionalFormatting>
  <conditionalFormatting sqref="Q282">
    <cfRule type="colorScale" priority="8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82">
    <cfRule type="colorScale" priority="8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2">
    <cfRule type="colorScale" priority="9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82">
    <cfRule type="colorScale" priority="9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82">
    <cfRule type="colorScale" priority="9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82">
    <cfRule type="colorScale" priority="9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82">
    <cfRule type="colorScale" priority="7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82">
    <cfRule type="colorScale" priority="7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82">
    <cfRule type="colorScale" priority="8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82">
    <cfRule type="colorScale" priority="8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82">
    <cfRule type="colorScale" priority="5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82">
    <cfRule type="colorScale" priority="5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82">
    <cfRule type="colorScale" priority="5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82">
    <cfRule type="colorScale" priority="5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82">
    <cfRule type="colorScale" priority="6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82">
    <cfRule type="colorScale" priority="6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82">
    <cfRule type="colorScale" priority="6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82">
    <cfRule type="colorScale" priority="6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82">
    <cfRule type="colorScale" priority="7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82">
    <cfRule type="colorScale" priority="7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82">
    <cfRule type="colorScale" priority="4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82">
    <cfRule type="colorScale" priority="4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82">
    <cfRule type="colorScale" priority="4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82">
    <cfRule type="colorScale" priority="4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82">
    <cfRule type="colorScale" priority="3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82">
    <cfRule type="colorScale" priority="3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82">
    <cfRule type="colorScale" priority="2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82">
    <cfRule type="colorScale" priority="27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82">
    <cfRule type="colorScale" priority="1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82">
    <cfRule type="colorScale" priority="1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82">
    <cfRule type="colorScale" priority="2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82">
    <cfRule type="colorScale" priority="2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82">
    <cfRule type="colorScale" priority="3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82">
    <cfRule type="colorScale" priority="3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82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82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82"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82">
    <cfRule type="colorScale" priority="1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82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82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82">
    <cfRule type="colorScale" priority="12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82">
    <cfRule type="colorScale" priority="12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82:BP282">
    <cfRule type="cellIs" dxfId="0" priority="13587" operator="greaterThan">
      <formula>1</formula>
    </cfRule>
  </conditionalFormatting>
  <conditionalFormatting sqref="BU282:BV282">
    <cfRule type="cellIs" dxfId="0" priority="13965" operator="greaterThan">
      <formula>1</formula>
    </cfRule>
  </conditionalFormatting>
  <conditionalFormatting sqref="Q295">
    <cfRule type="colorScale" priority="8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5">
    <cfRule type="colorScale" priority="8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95">
    <cfRule type="colorScale" priority="9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95">
    <cfRule type="colorScale" priority="9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95">
    <cfRule type="colorScale" priority="9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95">
    <cfRule type="colorScale" priority="9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95">
    <cfRule type="colorScale" priority="7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95">
    <cfRule type="colorScale" priority="7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95">
    <cfRule type="colorScale" priority="8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95">
    <cfRule type="colorScale" priority="8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95">
    <cfRule type="colorScale" priority="5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95">
    <cfRule type="colorScale" priority="5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5">
    <cfRule type="colorScale" priority="5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95">
    <cfRule type="colorScale" priority="5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95">
    <cfRule type="colorScale" priority="6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95">
    <cfRule type="colorScale" priority="6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95">
    <cfRule type="colorScale" priority="6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95">
    <cfRule type="colorScale" priority="6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95">
    <cfRule type="colorScale" priority="7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95">
    <cfRule type="colorScale" priority="7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95">
    <cfRule type="colorScale" priority="4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95">
    <cfRule type="colorScale" priority="4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95">
    <cfRule type="colorScale" priority="4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95">
    <cfRule type="colorScale" priority="4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95">
    <cfRule type="colorScale" priority="3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95">
    <cfRule type="colorScale" priority="3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95">
    <cfRule type="colorScale" priority="2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95">
    <cfRule type="colorScale" priority="2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95">
    <cfRule type="colorScale" priority="1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95">
    <cfRule type="colorScale" priority="1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95">
    <cfRule type="colorScale" priority="2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95">
    <cfRule type="colorScale" priority="2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95">
    <cfRule type="colorScale" priority="3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95">
    <cfRule type="colorScale" priority="3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95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95">
    <cfRule type="colorScale" priority="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95">
    <cfRule type="colorScale" priority="1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95">
    <cfRule type="colorScale" priority="1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95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95"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95">
    <cfRule type="colorScale" priority="13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95">
    <cfRule type="colorScale" priority="13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08">
    <cfRule type="colorScale" priority="8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8">
    <cfRule type="colorScale" priority="8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08">
    <cfRule type="colorScale" priority="9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08">
    <cfRule type="colorScale" priority="9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08">
    <cfRule type="colorScale" priority="9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08">
    <cfRule type="colorScale" priority="9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08">
    <cfRule type="colorScale" priority="7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08">
    <cfRule type="colorScale" priority="7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08">
    <cfRule type="colorScale" priority="8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08">
    <cfRule type="colorScale" priority="8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08">
    <cfRule type="colorScale" priority="5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08">
    <cfRule type="colorScale" priority="5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08">
    <cfRule type="colorScale" priority="5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08">
    <cfRule type="colorScale" priority="5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8">
    <cfRule type="colorScale" priority="6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08">
    <cfRule type="colorScale" priority="6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08">
    <cfRule type="colorScale" priority="6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08">
    <cfRule type="colorScale" priority="6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08">
    <cfRule type="colorScale" priority="7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08">
    <cfRule type="colorScale" priority="7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08">
    <cfRule type="colorScale" priority="4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08">
    <cfRule type="colorScale" priority="4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08">
    <cfRule type="colorScale" priority="4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08">
    <cfRule type="colorScale" priority="4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08">
    <cfRule type="colorScale" priority="3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08">
    <cfRule type="colorScale" priority="3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08">
    <cfRule type="colorScale" priority="2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08">
    <cfRule type="colorScale" priority="2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08">
    <cfRule type="colorScale" priority="1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08">
    <cfRule type="colorScale" priority="1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08">
    <cfRule type="colorScale" priority="2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08">
    <cfRule type="colorScale" priority="2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08">
    <cfRule type="colorScale" priority="3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08">
    <cfRule type="colorScale" priority="3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08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08">
    <cfRule type="colorScale" priority="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08">
    <cfRule type="colorScale" priority="1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08">
    <cfRule type="colorScale" priority="1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08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08">
    <cfRule type="colorScale" priority="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08">
    <cfRule type="colorScale" priority="12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08">
    <cfRule type="colorScale" priority="13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17">
    <cfRule type="colorScale" priority="8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17">
    <cfRule type="colorScale" priority="8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17">
    <cfRule type="colorScale" priority="9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17">
    <cfRule type="colorScale" priority="9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17">
    <cfRule type="colorScale" priority="9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17">
    <cfRule type="colorScale" priority="9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17">
    <cfRule type="colorScale" priority="7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17">
    <cfRule type="colorScale" priority="7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17">
    <cfRule type="colorScale" priority="8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17">
    <cfRule type="colorScale" priority="8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17">
    <cfRule type="colorScale" priority="5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17">
    <cfRule type="colorScale" priority="5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17">
    <cfRule type="colorScale" priority="5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17">
    <cfRule type="colorScale" priority="5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17">
    <cfRule type="colorScale" priority="6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17">
    <cfRule type="colorScale" priority="6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17">
    <cfRule type="colorScale" priority="6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17">
    <cfRule type="colorScale" priority="6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17">
    <cfRule type="colorScale" priority="7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17">
    <cfRule type="colorScale" priority="7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17">
    <cfRule type="colorScale" priority="4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17">
    <cfRule type="colorScale" priority="4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17">
    <cfRule type="colorScale" priority="4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17">
    <cfRule type="colorScale" priority="4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17">
    <cfRule type="colorScale" priority="3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17">
    <cfRule type="colorScale" priority="3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17">
    <cfRule type="colorScale" priority="2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17">
    <cfRule type="colorScale" priority="2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17">
    <cfRule type="colorScale" priority="1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17">
    <cfRule type="colorScale" priority="1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17">
    <cfRule type="colorScale" priority="2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17">
    <cfRule type="colorScale" priority="2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17">
    <cfRule type="colorScale" priority="3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17">
    <cfRule type="colorScale" priority="3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17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17">
    <cfRule type="colorScale" priority="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17">
    <cfRule type="colorScale" priority="1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17">
    <cfRule type="colorScale" priority="1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17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17">
    <cfRule type="colorScale" priority="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17">
    <cfRule type="colorScale" priority="13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17">
    <cfRule type="colorScale" priority="13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36">
    <cfRule type="colorScale" priority="8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36">
    <cfRule type="colorScale" priority="8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36">
    <cfRule type="colorScale" priority="9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36">
    <cfRule type="colorScale" priority="9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36">
    <cfRule type="colorScale" priority="9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36">
    <cfRule type="colorScale" priority="9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36">
    <cfRule type="colorScale" priority="7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36">
    <cfRule type="colorScale" priority="7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36">
    <cfRule type="colorScale" priority="8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36">
    <cfRule type="colorScale" priority="8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36">
    <cfRule type="colorScale" priority="5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36">
    <cfRule type="colorScale" priority="5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36">
    <cfRule type="colorScale" priority="5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36">
    <cfRule type="colorScale" priority="5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36">
    <cfRule type="colorScale" priority="6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36">
    <cfRule type="colorScale" priority="6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36">
    <cfRule type="colorScale" priority="6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36">
    <cfRule type="colorScale" priority="6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36">
    <cfRule type="colorScale" priority="7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36">
    <cfRule type="colorScale" priority="7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36">
    <cfRule type="colorScale" priority="4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36">
    <cfRule type="colorScale" priority="4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36">
    <cfRule type="colorScale" priority="4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36">
    <cfRule type="colorScale" priority="4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36">
    <cfRule type="colorScale" priority="3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36">
    <cfRule type="colorScale" priority="3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36">
    <cfRule type="colorScale" priority="2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36">
    <cfRule type="colorScale" priority="2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36">
    <cfRule type="colorScale" priority="1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36">
    <cfRule type="colorScale" priority="1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36">
    <cfRule type="colorScale" priority="2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36">
    <cfRule type="colorScale" priority="2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36">
    <cfRule type="colorScale" priority="3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36">
    <cfRule type="colorScale" priority="3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36"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36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36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36">
    <cfRule type="colorScale" priority="1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36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36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36">
    <cfRule type="colorScale" priority="12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36">
    <cfRule type="colorScale" priority="13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47">
    <cfRule type="colorScale" priority="8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47">
    <cfRule type="colorScale" priority="8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7">
    <cfRule type="colorScale" priority="9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47">
    <cfRule type="colorScale" priority="9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47">
    <cfRule type="colorScale" priority="9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47">
    <cfRule type="colorScale" priority="9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47">
    <cfRule type="colorScale" priority="7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47">
    <cfRule type="colorScale" priority="7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47">
    <cfRule type="colorScale" priority="8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47">
    <cfRule type="colorScale" priority="8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47">
    <cfRule type="colorScale" priority="5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47">
    <cfRule type="colorScale" priority="5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47">
    <cfRule type="colorScale" priority="5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47">
    <cfRule type="colorScale" priority="5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47">
    <cfRule type="colorScale" priority="6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47">
    <cfRule type="colorScale" priority="6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47">
    <cfRule type="colorScale" priority="6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47">
    <cfRule type="colorScale" priority="6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47">
    <cfRule type="colorScale" priority="7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47">
    <cfRule type="colorScale" priority="7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47">
    <cfRule type="colorScale" priority="4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47">
    <cfRule type="colorScale" priority="4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47">
    <cfRule type="colorScale" priority="4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47">
    <cfRule type="colorScale" priority="4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47">
    <cfRule type="colorScale" priority="3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47">
    <cfRule type="colorScale" priority="3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47">
    <cfRule type="colorScale" priority="2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47">
    <cfRule type="colorScale" priority="2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47">
    <cfRule type="colorScale" priority="1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47">
    <cfRule type="colorScale" priority="1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47">
    <cfRule type="colorScale" priority="2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47">
    <cfRule type="colorScale" priority="2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47">
    <cfRule type="colorScale" priority="3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47">
    <cfRule type="colorScale" priority="3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47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47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47">
    <cfRule type="colorScale" priority="1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47">
    <cfRule type="colorScale" priority="1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47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47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47">
    <cfRule type="colorScale" priority="13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47">
    <cfRule type="colorScale" priority="13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72">
    <cfRule type="colorScale" priority="8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72">
    <cfRule type="colorScale" priority="8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72">
    <cfRule type="colorScale" priority="9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72">
    <cfRule type="colorScale" priority="9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72">
    <cfRule type="colorScale" priority="9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72">
    <cfRule type="colorScale" priority="9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72">
    <cfRule type="colorScale" priority="7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72">
    <cfRule type="colorScale" priority="7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72">
    <cfRule type="colorScale" priority="8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72">
    <cfRule type="colorScale" priority="8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72">
    <cfRule type="colorScale" priority="5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72">
    <cfRule type="colorScale" priority="5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72">
    <cfRule type="colorScale" priority="5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72">
    <cfRule type="colorScale" priority="5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72">
    <cfRule type="colorScale" priority="6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72">
    <cfRule type="colorScale" priority="6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72">
    <cfRule type="colorScale" priority="6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72">
    <cfRule type="colorScale" priority="6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72">
    <cfRule type="colorScale" priority="7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72">
    <cfRule type="colorScale" priority="7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72">
    <cfRule type="colorScale" priority="4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72">
    <cfRule type="colorScale" priority="4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72">
    <cfRule type="colorScale" priority="4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72">
    <cfRule type="colorScale" priority="4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72">
    <cfRule type="colorScale" priority="3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72">
    <cfRule type="colorScale" priority="3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72">
    <cfRule type="colorScale" priority="2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72">
    <cfRule type="colorScale" priority="2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72">
    <cfRule type="colorScale" priority="1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72">
    <cfRule type="colorScale" priority="1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72">
    <cfRule type="colorScale" priority="2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72">
    <cfRule type="colorScale" priority="2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72">
    <cfRule type="colorScale" priority="3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72">
    <cfRule type="colorScale" priority="3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72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72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72">
    <cfRule type="colorScale" priority="1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72">
    <cfRule type="colorScale" priority="1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72">
    <cfRule type="colorScale" priority="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72">
    <cfRule type="colorScale" priority="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72">
    <cfRule type="colorScale" priority="13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72">
    <cfRule type="colorScale" priority="13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01">
    <cfRule type="colorScale" priority="8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01">
    <cfRule type="colorScale" priority="8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1">
    <cfRule type="colorScale" priority="9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01">
    <cfRule type="colorScale" priority="9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01">
    <cfRule type="colorScale" priority="9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01">
    <cfRule type="colorScale" priority="9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01">
    <cfRule type="colorScale" priority="7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01">
    <cfRule type="colorScale" priority="7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01">
    <cfRule type="colorScale" priority="8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01">
    <cfRule type="colorScale" priority="8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01">
    <cfRule type="colorScale" priority="5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01">
    <cfRule type="colorScale" priority="5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01">
    <cfRule type="colorScale" priority="5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01">
    <cfRule type="colorScale" priority="5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01">
    <cfRule type="colorScale" priority="6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01">
    <cfRule type="colorScale" priority="6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01">
    <cfRule type="colorScale" priority="6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01">
    <cfRule type="colorScale" priority="6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01">
    <cfRule type="colorScale" priority="7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01">
    <cfRule type="colorScale" priority="7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01">
    <cfRule type="colorScale" priority="4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01">
    <cfRule type="colorScale" priority="4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01">
    <cfRule type="colorScale" priority="4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01">
    <cfRule type="colorScale" priority="4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01">
    <cfRule type="colorScale" priority="3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01">
    <cfRule type="colorScale" priority="3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01">
    <cfRule type="colorScale" priority="2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01">
    <cfRule type="colorScale" priority="2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01">
    <cfRule type="colorScale" priority="1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01">
    <cfRule type="colorScale" priority="1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01">
    <cfRule type="colorScale" priority="2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01">
    <cfRule type="colorScale" priority="2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01">
    <cfRule type="colorScale" priority="3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01">
    <cfRule type="colorScale" priority="3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01">
    <cfRule type="colorScale" priority="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01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01">
    <cfRule type="colorScale" priority="1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01">
    <cfRule type="colorScale" priority="1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01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01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01">
    <cfRule type="colorScale" priority="12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401">
    <cfRule type="colorScale" priority="13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06">
    <cfRule type="colorScale" priority="8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06">
    <cfRule type="colorScale" priority="8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6">
    <cfRule type="colorScale" priority="9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06">
    <cfRule type="colorScale" priority="9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06">
    <cfRule type="colorScale" priority="9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06">
    <cfRule type="colorScale" priority="9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06">
    <cfRule type="colorScale" priority="7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06">
    <cfRule type="colorScale" priority="7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06">
    <cfRule type="colorScale" priority="8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06">
    <cfRule type="colorScale" priority="8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06">
    <cfRule type="colorScale" priority="5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06">
    <cfRule type="colorScale" priority="5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06">
    <cfRule type="colorScale" priority="5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06">
    <cfRule type="colorScale" priority="5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06">
    <cfRule type="colorScale" priority="6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06">
    <cfRule type="colorScale" priority="6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06">
    <cfRule type="colorScale" priority="6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06">
    <cfRule type="colorScale" priority="6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06">
    <cfRule type="colorScale" priority="7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06">
    <cfRule type="colorScale" priority="7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06">
    <cfRule type="colorScale" priority="4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06">
    <cfRule type="colorScale" priority="4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06">
    <cfRule type="colorScale" priority="4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06">
    <cfRule type="colorScale" priority="4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06">
    <cfRule type="colorScale" priority="3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06">
    <cfRule type="colorScale" priority="3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06">
    <cfRule type="colorScale" priority="2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06">
    <cfRule type="colorScale" priority="2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06">
    <cfRule type="colorScale" priority="1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06">
    <cfRule type="colorScale" priority="1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06">
    <cfRule type="colorScale" priority="2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06">
    <cfRule type="colorScale" priority="2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06">
    <cfRule type="colorScale" priority="3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06">
    <cfRule type="colorScale" priority="3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06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06">
    <cfRule type="colorScale" priority="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06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06">
    <cfRule type="colorScale" priority="1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06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0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06">
    <cfRule type="colorScale" priority="12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406">
    <cfRule type="colorScale" priority="12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11:R411">
    <cfRule type="colorScale" priority="8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11:T411">
    <cfRule type="colorScale" priority="9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11:V411">
    <cfRule type="colorScale" priority="10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11:X411">
    <cfRule type="colorScale" priority="7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11:Z411">
    <cfRule type="colorScale" priority="8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11:AB411">
    <cfRule type="colorScale" priority="5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11:AD411">
    <cfRule type="colorScale" priority="5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11:AF411">
    <cfRule type="colorScale" priority="6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11:AH411">
    <cfRule type="colorScale" priority="6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11:AJ411">
    <cfRule type="colorScale" priority="7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11:AL411">
    <cfRule type="colorScale" priority="4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11:AN411">
    <cfRule type="colorScale" priority="4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11:AP411">
    <cfRule type="colorScale" priority="3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11:AR411">
    <cfRule type="colorScale" priority="2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11:AT411">
    <cfRule type="colorScale" priority="1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11:AV411">
    <cfRule type="colorScale" priority="2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11:AX411">
    <cfRule type="colorScale" priority="3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11:AZ411"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11:BB411">
    <cfRule type="colorScale" priority="1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11:BD411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11:BF411">
    <cfRule type="colorScale" priority="13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30">
    <cfRule type="colorScale" priority="8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30">
    <cfRule type="colorScale" priority="8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0">
    <cfRule type="colorScale" priority="9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30">
    <cfRule type="colorScale" priority="9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30">
    <cfRule type="colorScale" priority="9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30">
    <cfRule type="colorScale" priority="9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30">
    <cfRule type="colorScale" priority="7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30">
    <cfRule type="colorScale" priority="7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30">
    <cfRule type="colorScale" priority="8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30">
    <cfRule type="colorScale" priority="8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30">
    <cfRule type="colorScale" priority="5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30">
    <cfRule type="colorScale" priority="5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30">
    <cfRule type="colorScale" priority="5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30">
    <cfRule type="colorScale" priority="5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30">
    <cfRule type="colorScale" priority="6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30">
    <cfRule type="colorScale" priority="6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30">
    <cfRule type="colorScale" priority="6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30">
    <cfRule type="colorScale" priority="6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30">
    <cfRule type="colorScale" priority="7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30">
    <cfRule type="colorScale" priority="7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30">
    <cfRule type="colorScale" priority="4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30">
    <cfRule type="colorScale" priority="4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30">
    <cfRule type="colorScale" priority="4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30">
    <cfRule type="colorScale" priority="4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30">
    <cfRule type="colorScale" priority="3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30">
    <cfRule type="colorScale" priority="3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30">
    <cfRule type="colorScale" priority="2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30">
    <cfRule type="colorScale" priority="2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30">
    <cfRule type="colorScale" priority="1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30">
    <cfRule type="colorScale" priority="1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30">
    <cfRule type="colorScale" priority="2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30">
    <cfRule type="colorScale" priority="2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30">
    <cfRule type="colorScale" priority="3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30">
    <cfRule type="colorScale" priority="3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30">
    <cfRule type="colorScale" priority="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30"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30">
    <cfRule type="colorScale" priority="1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30">
    <cfRule type="colorScale" priority="1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30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30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30">
    <cfRule type="colorScale" priority="13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430">
    <cfRule type="colorScale" priority="13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2">
    <cfRule type="duplicateValues" dxfId="1" priority="14121"/>
  </conditionalFormatting>
  <conditionalFormatting sqref="E434">
    <cfRule type="duplicateValues" dxfId="1" priority="14123"/>
  </conditionalFormatting>
  <conditionalFormatting sqref="E436">
    <cfRule type="duplicateValues" dxfId="1" priority="11816"/>
  </conditionalFormatting>
  <conditionalFormatting sqref="E438">
    <cfRule type="duplicateValues" dxfId="1" priority="11818"/>
  </conditionalFormatting>
  <conditionalFormatting sqref="E439">
    <cfRule type="duplicateValues" dxfId="1" priority="14371"/>
  </conditionalFormatting>
  <conditionalFormatting sqref="Q439:R439">
    <cfRule type="colorScale" priority="8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9:T439">
    <cfRule type="colorScale" priority="9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39:V439">
    <cfRule type="colorScale" priority="9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39:X439">
    <cfRule type="colorScale" priority="7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39:Z439">
    <cfRule type="colorScale" priority="8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39:AB439">
    <cfRule type="colorScale" priority="5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39:AD439">
    <cfRule type="colorScale" priority="5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39:AF439">
    <cfRule type="colorScale" priority="6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39:AH439">
    <cfRule type="colorScale" priority="6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39:AJ439">
    <cfRule type="colorScale" priority="7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39:AL439">
    <cfRule type="colorScale" priority="4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39:AN439">
    <cfRule type="colorScale" priority="4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39:AP439">
    <cfRule type="colorScale" priority="3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39:AR439">
    <cfRule type="colorScale" priority="2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39:AT439">
    <cfRule type="colorScale" priority="1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39:AV439">
    <cfRule type="colorScale" priority="2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39:AX439">
    <cfRule type="colorScale" priority="3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39:AZ439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39:BB439">
    <cfRule type="colorScale" priority="1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39:BD439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39:BF439">
    <cfRule type="colorScale" priority="12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2">
    <cfRule type="duplicateValues" dxfId="1" priority="12618"/>
  </conditionalFormatting>
  <conditionalFormatting sqref="Q452">
    <cfRule type="colorScale" priority="8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52">
    <cfRule type="colorScale" priority="8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52">
    <cfRule type="colorScale" priority="9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52">
    <cfRule type="colorScale" priority="9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52">
    <cfRule type="colorScale" priority="9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52">
    <cfRule type="colorScale" priority="9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2">
    <cfRule type="colorScale" priority="7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52">
    <cfRule type="colorScale" priority="7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52">
    <cfRule type="colorScale" priority="8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52">
    <cfRule type="colorScale" priority="8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52">
    <cfRule type="colorScale" priority="5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52">
    <cfRule type="colorScale" priority="5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52">
    <cfRule type="colorScale" priority="5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52">
    <cfRule type="colorScale" priority="5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52">
    <cfRule type="colorScale" priority="6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52">
    <cfRule type="colorScale" priority="6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52">
    <cfRule type="colorScale" priority="6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52">
    <cfRule type="colorScale" priority="6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52">
    <cfRule type="colorScale" priority="7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52">
    <cfRule type="colorScale" priority="7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52">
    <cfRule type="colorScale" priority="4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52">
    <cfRule type="colorScale" priority="4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52">
    <cfRule type="colorScale" priority="4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52">
    <cfRule type="colorScale" priority="4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52">
    <cfRule type="colorScale" priority="3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52">
    <cfRule type="colorScale" priority="3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52">
    <cfRule type="colorScale" priority="2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52">
    <cfRule type="colorScale" priority="2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52">
    <cfRule type="colorScale" priority="1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52">
    <cfRule type="colorScale" priority="1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52">
    <cfRule type="colorScale" priority="2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52">
    <cfRule type="colorScale" priority="2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52">
    <cfRule type="colorScale" priority="3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52">
    <cfRule type="colorScale" priority="36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52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52">
    <cfRule type="colorScale" priority="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52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52">
    <cfRule type="colorScale" priority="1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52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5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52">
    <cfRule type="colorScale" priority="12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452">
    <cfRule type="colorScale" priority="12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52:BP452">
    <cfRule type="cellIs" dxfId="0" priority="12613" operator="greaterThan">
      <formula>1</formula>
    </cfRule>
  </conditionalFormatting>
  <conditionalFormatting sqref="BU452:BV452">
    <cfRule type="cellIs" dxfId="0" priority="12616" operator="greaterThan">
      <formula>1</formula>
    </cfRule>
  </conditionalFormatting>
  <conditionalFormatting sqref="E465">
    <cfRule type="duplicateValues" dxfId="1" priority="12445"/>
  </conditionalFormatting>
  <conditionalFormatting sqref="Q465">
    <cfRule type="colorScale" priority="8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65">
    <cfRule type="colorScale" priority="8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65">
    <cfRule type="colorScale" priority="9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65">
    <cfRule type="colorScale" priority="9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65">
    <cfRule type="colorScale" priority="9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65">
    <cfRule type="colorScale" priority="9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65">
    <cfRule type="colorScale" priority="7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65">
    <cfRule type="colorScale" priority="7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65">
    <cfRule type="colorScale" priority="8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65">
    <cfRule type="colorScale" priority="8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65">
    <cfRule type="colorScale" priority="5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65">
    <cfRule type="colorScale" priority="5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65">
    <cfRule type="colorScale" priority="5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65">
    <cfRule type="colorScale" priority="5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65">
    <cfRule type="colorScale" priority="6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65">
    <cfRule type="colorScale" priority="6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65">
    <cfRule type="colorScale" priority="6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65">
    <cfRule type="colorScale" priority="6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65">
    <cfRule type="colorScale" priority="7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65">
    <cfRule type="colorScale" priority="7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65">
    <cfRule type="colorScale" priority="4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65">
    <cfRule type="colorScale" priority="4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65">
    <cfRule type="colorScale" priority="4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65">
    <cfRule type="colorScale" priority="4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65">
    <cfRule type="colorScale" priority="3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65">
    <cfRule type="colorScale" priority="3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65">
    <cfRule type="colorScale" priority="2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65">
    <cfRule type="colorScale" priority="2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65">
    <cfRule type="colorScale" priority="1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65">
    <cfRule type="colorScale" priority="1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65">
    <cfRule type="colorScale" priority="2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65">
    <cfRule type="colorScale" priority="2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65">
    <cfRule type="colorScale" priority="3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65">
    <cfRule type="colorScale" priority="3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65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65">
    <cfRule type="colorScale" priority="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65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65">
    <cfRule type="colorScale" priority="1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65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6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65">
    <cfRule type="colorScale" priority="12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465">
    <cfRule type="colorScale" priority="12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65:BP465">
    <cfRule type="cellIs" dxfId="0" priority="12440" operator="greaterThan">
      <formula>1</formula>
    </cfRule>
  </conditionalFormatting>
  <conditionalFormatting sqref="BU465:BV465">
    <cfRule type="cellIs" dxfId="0" priority="12443" operator="greaterThan">
      <formula>1</formula>
    </cfRule>
  </conditionalFormatting>
  <conditionalFormatting sqref="Q474">
    <cfRule type="colorScale" priority="8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74">
    <cfRule type="colorScale" priority="8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74">
    <cfRule type="colorScale" priority="9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74">
    <cfRule type="colorScale" priority="9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74">
    <cfRule type="colorScale" priority="9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74">
    <cfRule type="colorScale" priority="9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74">
    <cfRule type="colorScale" priority="7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74">
    <cfRule type="colorScale" priority="7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74">
    <cfRule type="colorScale" priority="8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74">
    <cfRule type="colorScale" priority="8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74">
    <cfRule type="colorScale" priority="5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74">
    <cfRule type="colorScale" priority="5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74">
    <cfRule type="colorScale" priority="5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74">
    <cfRule type="colorScale" priority="5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74">
    <cfRule type="colorScale" priority="6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74">
    <cfRule type="colorScale" priority="6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74">
    <cfRule type="colorScale" priority="6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74">
    <cfRule type="colorScale" priority="6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74">
    <cfRule type="colorScale" priority="7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74">
    <cfRule type="colorScale" priority="7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74">
    <cfRule type="colorScale" priority="4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74">
    <cfRule type="colorScale" priority="4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74">
    <cfRule type="colorScale" priority="4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74">
    <cfRule type="colorScale" priority="4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74">
    <cfRule type="colorScale" priority="3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74">
    <cfRule type="colorScale" priority="3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74">
    <cfRule type="colorScale" priority="2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74">
    <cfRule type="colorScale" priority="2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74">
    <cfRule type="colorScale" priority="1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74">
    <cfRule type="colorScale" priority="1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74">
    <cfRule type="colorScale" priority="2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74">
    <cfRule type="colorScale" priority="2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74">
    <cfRule type="colorScale" priority="3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74">
    <cfRule type="colorScale" priority="3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74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74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74">
    <cfRule type="colorScale" priority="1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74">
    <cfRule type="colorScale" priority="1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74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74">
    <cfRule type="colorScale" priority="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74">
    <cfRule type="colorScale" priority="13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474">
    <cfRule type="colorScale" priority="13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99">
    <cfRule type="colorScale" priority="8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99">
    <cfRule type="colorScale" priority="8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99">
    <cfRule type="colorScale" priority="9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99">
    <cfRule type="colorScale" priority="9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99">
    <cfRule type="colorScale" priority="9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99">
    <cfRule type="colorScale" priority="9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99">
    <cfRule type="colorScale" priority="7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99">
    <cfRule type="colorScale" priority="7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99">
    <cfRule type="colorScale" priority="8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99">
    <cfRule type="colorScale" priority="8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99">
    <cfRule type="colorScale" priority="5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99">
    <cfRule type="colorScale" priority="5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99">
    <cfRule type="colorScale" priority="5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99">
    <cfRule type="colorScale" priority="5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99">
    <cfRule type="colorScale" priority="6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99">
    <cfRule type="colorScale" priority="6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99">
    <cfRule type="colorScale" priority="6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99">
    <cfRule type="colorScale" priority="6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99">
    <cfRule type="colorScale" priority="7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99">
    <cfRule type="colorScale" priority="7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99">
    <cfRule type="colorScale" priority="4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99">
    <cfRule type="colorScale" priority="4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99">
    <cfRule type="colorScale" priority="4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99">
    <cfRule type="colorScale" priority="4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99">
    <cfRule type="colorScale" priority="3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99">
    <cfRule type="colorScale" priority="3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99">
    <cfRule type="colorScale" priority="2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99">
    <cfRule type="colorScale" priority="2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99">
    <cfRule type="colorScale" priority="1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99">
    <cfRule type="colorScale" priority="1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99">
    <cfRule type="colorScale" priority="2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99">
    <cfRule type="colorScale" priority="2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99">
    <cfRule type="colorScale" priority="3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99">
    <cfRule type="colorScale" priority="3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99">
    <cfRule type="colorScale" priority="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99"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99">
    <cfRule type="colorScale" priority="1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99">
    <cfRule type="colorScale" priority="1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99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99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99">
    <cfRule type="colorScale" priority="13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499">
    <cfRule type="colorScale" priority="13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6">
    <cfRule type="duplicateValues" dxfId="1" priority="11888"/>
  </conditionalFormatting>
  <conditionalFormatting sqref="Q506">
    <cfRule type="colorScale" priority="8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06">
    <cfRule type="colorScale" priority="8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06">
    <cfRule type="colorScale" priority="9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06">
    <cfRule type="colorScale" priority="9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06">
    <cfRule type="colorScale" priority="9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06">
    <cfRule type="colorScale" priority="9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06">
    <cfRule type="colorScale" priority="7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06">
    <cfRule type="colorScale" priority="7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06">
    <cfRule type="colorScale" priority="8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06">
    <cfRule type="colorScale" priority="8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06">
    <cfRule type="colorScale" priority="5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06">
    <cfRule type="colorScale" priority="5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06">
    <cfRule type="colorScale" priority="5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06">
    <cfRule type="colorScale" priority="5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06">
    <cfRule type="colorScale" priority="6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06">
    <cfRule type="colorScale" priority="6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06">
    <cfRule type="colorScale" priority="6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06">
    <cfRule type="colorScale" priority="6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06">
    <cfRule type="colorScale" priority="7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06">
    <cfRule type="colorScale" priority="7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06">
    <cfRule type="colorScale" priority="4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06">
    <cfRule type="colorScale" priority="4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06">
    <cfRule type="colorScale" priority="4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06">
    <cfRule type="colorScale" priority="4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06">
    <cfRule type="colorScale" priority="3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06">
    <cfRule type="colorScale" priority="3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06">
    <cfRule type="colorScale" priority="2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06">
    <cfRule type="colorScale" priority="2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06">
    <cfRule type="colorScale" priority="1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06">
    <cfRule type="colorScale" priority="1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06">
    <cfRule type="colorScale" priority="2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06">
    <cfRule type="colorScale" priority="2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06">
    <cfRule type="colorScale" priority="3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06">
    <cfRule type="colorScale" priority="3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06"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06">
    <cfRule type="colorScale" priority="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06">
    <cfRule type="colorScale" priority="1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06">
    <cfRule type="colorScale" priority="1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0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0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06">
    <cfRule type="colorScale" priority="11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506">
    <cfRule type="colorScale" priority="11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19">
    <cfRule type="colorScale" priority="8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19">
    <cfRule type="colorScale" priority="8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19">
    <cfRule type="colorScale" priority="9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19">
    <cfRule type="colorScale" priority="9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19">
    <cfRule type="colorScale" priority="9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19">
    <cfRule type="colorScale" priority="9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19">
    <cfRule type="colorScale" priority="7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19">
    <cfRule type="colorScale" priority="7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19">
    <cfRule type="colorScale" priority="8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19">
    <cfRule type="colorScale" priority="8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19">
    <cfRule type="colorScale" priority="5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19">
    <cfRule type="colorScale" priority="5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19">
    <cfRule type="colorScale" priority="5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19">
    <cfRule type="colorScale" priority="5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19">
    <cfRule type="colorScale" priority="6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19">
    <cfRule type="colorScale" priority="6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19">
    <cfRule type="colorScale" priority="6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19">
    <cfRule type="colorScale" priority="6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19">
    <cfRule type="colorScale" priority="7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19">
    <cfRule type="colorScale" priority="7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19">
    <cfRule type="colorScale" priority="4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19">
    <cfRule type="colorScale" priority="4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19">
    <cfRule type="colorScale" priority="4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19">
    <cfRule type="colorScale" priority="4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19">
    <cfRule type="colorScale" priority="3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19">
    <cfRule type="colorScale" priority="3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19">
    <cfRule type="colorScale" priority="2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19">
    <cfRule type="colorScale" priority="2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19">
    <cfRule type="colorScale" priority="1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19">
    <cfRule type="colorScale" priority="1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19">
    <cfRule type="colorScale" priority="2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19">
    <cfRule type="colorScale" priority="2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19">
    <cfRule type="colorScale" priority="3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19">
    <cfRule type="colorScale" priority="3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19">
    <cfRule type="colorScale" priority="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19">
    <cfRule type="colorScale" priority="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19">
    <cfRule type="colorScale" priority="1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19">
    <cfRule type="colorScale" priority="1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19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19"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19">
    <cfRule type="colorScale" priority="12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519">
    <cfRule type="colorScale" priority="13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36">
    <cfRule type="colorScale" priority="8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36">
    <cfRule type="colorScale" priority="8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36">
    <cfRule type="colorScale" priority="9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36">
    <cfRule type="colorScale" priority="9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36">
    <cfRule type="colorScale" priority="9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36">
    <cfRule type="colorScale" priority="9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36">
    <cfRule type="colorScale" priority="7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36">
    <cfRule type="colorScale" priority="7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36">
    <cfRule type="colorScale" priority="8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36">
    <cfRule type="colorScale" priority="8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36">
    <cfRule type="colorScale" priority="5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36">
    <cfRule type="colorScale" priority="5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36">
    <cfRule type="colorScale" priority="5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36">
    <cfRule type="colorScale" priority="5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36">
    <cfRule type="colorScale" priority="6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36">
    <cfRule type="colorScale" priority="6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36">
    <cfRule type="colorScale" priority="6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36">
    <cfRule type="colorScale" priority="6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36">
    <cfRule type="colorScale" priority="7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36">
    <cfRule type="colorScale" priority="7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36">
    <cfRule type="colorScale" priority="4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36">
    <cfRule type="colorScale" priority="4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36">
    <cfRule type="colorScale" priority="4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36">
    <cfRule type="colorScale" priority="4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36">
    <cfRule type="colorScale" priority="3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36">
    <cfRule type="colorScale" priority="3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36">
    <cfRule type="colorScale" priority="2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36">
    <cfRule type="colorScale" priority="2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36">
    <cfRule type="colorScale" priority="1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36">
    <cfRule type="colorScale" priority="1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36">
    <cfRule type="colorScale" priority="2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36">
    <cfRule type="colorScale" priority="2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36">
    <cfRule type="colorScale" priority="3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36">
    <cfRule type="colorScale" priority="3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36">
    <cfRule type="colorScale" priority="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36">
    <cfRule type="colorScale" priority="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36">
    <cfRule type="colorScale" priority="1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36">
    <cfRule type="colorScale" priority="1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36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36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36">
    <cfRule type="colorScale" priority="12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536">
    <cfRule type="colorScale" priority="12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7">
    <cfRule type="duplicateValues" dxfId="1" priority="11770"/>
  </conditionalFormatting>
  <conditionalFormatting sqref="Q557">
    <cfRule type="colorScale" priority="8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57">
    <cfRule type="colorScale" priority="8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57">
    <cfRule type="colorScale" priority="9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57">
    <cfRule type="colorScale" priority="9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57">
    <cfRule type="colorScale" priority="9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57">
    <cfRule type="colorScale" priority="9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57">
    <cfRule type="colorScale" priority="7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57">
    <cfRule type="colorScale" priority="7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57">
    <cfRule type="colorScale" priority="8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57">
    <cfRule type="colorScale" priority="8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57">
    <cfRule type="colorScale" priority="5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57">
    <cfRule type="colorScale" priority="5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57">
    <cfRule type="colorScale" priority="5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57">
    <cfRule type="colorScale" priority="5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57">
    <cfRule type="colorScale" priority="6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57">
    <cfRule type="colorScale" priority="6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57">
    <cfRule type="colorScale" priority="6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57">
    <cfRule type="colorScale" priority="6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57">
    <cfRule type="colorScale" priority="7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57">
    <cfRule type="colorScale" priority="7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57">
    <cfRule type="colorScale" priority="4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57">
    <cfRule type="colorScale" priority="4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57">
    <cfRule type="colorScale" priority="4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57">
    <cfRule type="colorScale" priority="4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57">
    <cfRule type="colorScale" priority="3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57">
    <cfRule type="colorScale" priority="3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57">
    <cfRule type="colorScale" priority="2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57">
    <cfRule type="colorScale" priority="2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57">
    <cfRule type="colorScale" priority="1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57">
    <cfRule type="colorScale" priority="1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57">
    <cfRule type="colorScale" priority="2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57">
    <cfRule type="colorScale" priority="2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57">
    <cfRule type="colorScale" priority="3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57">
    <cfRule type="colorScale" priority="3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57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57">
    <cfRule type="colorScale" priority="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57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57">
    <cfRule type="colorScale" priority="1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57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5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57">
    <cfRule type="colorScale" priority="11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557">
    <cfRule type="colorScale" priority="11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57:BP557">
    <cfRule type="cellIs" dxfId="0" priority="11765" operator="greaterThan">
      <formula>1</formula>
    </cfRule>
  </conditionalFormatting>
  <conditionalFormatting sqref="BU557:BV557">
    <cfRule type="cellIs" dxfId="0" priority="11768" operator="greaterThan">
      <formula>1</formula>
    </cfRule>
  </conditionalFormatting>
  <conditionalFormatting sqref="E558">
    <cfRule type="duplicateValues" dxfId="1" priority="12159"/>
  </conditionalFormatting>
  <conditionalFormatting sqref="E559">
    <cfRule type="duplicateValues" dxfId="1" priority="12157"/>
  </conditionalFormatting>
  <conditionalFormatting sqref="E560">
    <cfRule type="duplicateValues" dxfId="1" priority="13635"/>
  </conditionalFormatting>
  <conditionalFormatting sqref="Q560:R560">
    <cfRule type="colorScale" priority="8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0:T560">
    <cfRule type="colorScale" priority="9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60:V560">
    <cfRule type="colorScale" priority="9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60:X560">
    <cfRule type="colorScale" priority="7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60:Z560">
    <cfRule type="colorScale" priority="8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60:AB560">
    <cfRule type="colorScale" priority="5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60:AD560">
    <cfRule type="colorScale" priority="5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60:AF560">
    <cfRule type="colorScale" priority="6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60:AH560">
    <cfRule type="colorScale" priority="6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60:AJ560">
    <cfRule type="colorScale" priority="7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60:AL560">
    <cfRule type="colorScale" priority="4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60:AN560">
    <cfRule type="colorScale" priority="4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60:AP560">
    <cfRule type="colorScale" priority="3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60:AR560">
    <cfRule type="colorScale" priority="2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60:AT560">
    <cfRule type="colorScale" priority="16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60:AV560">
    <cfRule type="colorScale" priority="2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60:AX560">
    <cfRule type="colorScale" priority="3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60:AZ560">
    <cfRule type="colorScale" priority="6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60:BB560">
    <cfRule type="colorScale" priority="1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60:BD560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60:BF560">
    <cfRule type="colorScale" priority="12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60:BP560">
    <cfRule type="cellIs" dxfId="0" priority="13576" operator="greaterThan">
      <formula>1</formula>
    </cfRule>
  </conditionalFormatting>
  <conditionalFormatting sqref="BU560:BV560">
    <cfRule type="cellIs" dxfId="0" priority="13631" operator="greaterThan">
      <formula>1</formula>
    </cfRule>
  </conditionalFormatting>
  <conditionalFormatting sqref="E563">
    <cfRule type="duplicateValues" dxfId="1" priority="13640"/>
  </conditionalFormatting>
  <conditionalFormatting sqref="Q563:R563">
    <cfRule type="colorScale" priority="8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3:T563">
    <cfRule type="colorScale" priority="9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63:V563">
    <cfRule type="colorScale" priority="9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63:X563">
    <cfRule type="colorScale" priority="7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63:Z563">
    <cfRule type="colorScale" priority="8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63:AB563">
    <cfRule type="colorScale" priority="5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63:AD563">
    <cfRule type="colorScale" priority="5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63:AF563">
    <cfRule type="colorScale" priority="6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63:AH563">
    <cfRule type="colorScale" priority="6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63:AJ563">
    <cfRule type="colorScale" priority="7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63:AL563">
    <cfRule type="colorScale" priority="4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63:AN563">
    <cfRule type="colorScale" priority="4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63:AP563">
    <cfRule type="colorScale" priority="3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63:AR563">
    <cfRule type="colorScale" priority="2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63:AT563">
    <cfRule type="colorScale" priority="1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63:AV563">
    <cfRule type="colorScale" priority="2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63:AX563">
    <cfRule type="colorScale" priority="3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63:AZ563">
    <cfRule type="colorScale" priority="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63:BB563">
    <cfRule type="colorScale" priority="1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63:BD563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63:BF563">
    <cfRule type="colorScale" priority="12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63:BP563">
    <cfRule type="cellIs" dxfId="0" priority="13577" operator="greaterThan">
      <formula>1</formula>
    </cfRule>
  </conditionalFormatting>
  <conditionalFormatting sqref="BU563:BV563">
    <cfRule type="cellIs" dxfId="0" priority="13638" operator="greaterThan">
      <formula>1</formula>
    </cfRule>
  </conditionalFormatting>
  <conditionalFormatting sqref="E576">
    <cfRule type="duplicateValues" dxfId="1" priority="12220"/>
  </conditionalFormatting>
  <conditionalFormatting sqref="Q576:R576">
    <cfRule type="colorScale" priority="8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76:T576">
    <cfRule type="colorScale" priority="90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76:V576">
    <cfRule type="colorScale" priority="9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76:X576">
    <cfRule type="colorScale" priority="7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76:Z576">
    <cfRule type="colorScale" priority="8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76:AB576">
    <cfRule type="colorScale" priority="5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76:AD576">
    <cfRule type="colorScale" priority="5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76:AF576">
    <cfRule type="colorScale" priority="6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76:AH576">
    <cfRule type="colorScale" priority="6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76:AJ576">
    <cfRule type="colorScale" priority="7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76:AL576">
    <cfRule type="colorScale" priority="4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76:AN576">
    <cfRule type="colorScale" priority="4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76:AP576">
    <cfRule type="colorScale" priority="3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76:AR576">
    <cfRule type="colorScale" priority="2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76:AT576">
    <cfRule type="colorScale" priority="1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76:AV576">
    <cfRule type="colorScale" priority="2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76:AX576">
    <cfRule type="colorScale" priority="3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76:AZ576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76:BB576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76:BD576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76:BF576">
    <cfRule type="colorScale" priority="12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76:BP576">
    <cfRule type="cellIs" dxfId="0" priority="12215" operator="greaterThan">
      <formula>1</formula>
    </cfRule>
  </conditionalFormatting>
  <conditionalFormatting sqref="BU576:BV576">
    <cfRule type="cellIs" dxfId="0" priority="12218" operator="greaterThan">
      <formula>1</formula>
    </cfRule>
  </conditionalFormatting>
  <conditionalFormatting sqref="E581">
    <cfRule type="duplicateValues" dxfId="1" priority="12322"/>
  </conditionalFormatting>
  <conditionalFormatting sqref="Q581:R581">
    <cfRule type="colorScale" priority="8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81:T581">
    <cfRule type="colorScale" priority="9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81:V581">
    <cfRule type="colorScale" priority="9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81:X581">
    <cfRule type="colorScale" priority="76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81:Z581">
    <cfRule type="colorScale" priority="8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81:AB581">
    <cfRule type="colorScale" priority="5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81:AD581">
    <cfRule type="colorScale" priority="5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81:AF581">
    <cfRule type="colorScale" priority="6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81:AH581">
    <cfRule type="colorScale" priority="6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81:AJ581">
    <cfRule type="colorScale" priority="7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81:AL581">
    <cfRule type="colorScale" priority="4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81:AN581">
    <cfRule type="colorScale" priority="4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81:AP581">
    <cfRule type="colorScale" priority="3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81:AR581">
    <cfRule type="colorScale" priority="2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81:AT581">
    <cfRule type="colorScale" priority="1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81:AV581">
    <cfRule type="colorScale" priority="2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81:AX581">
    <cfRule type="colorScale" priority="3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81:AZ581"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81:BB581">
    <cfRule type="colorScale" priority="10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81:BD58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81:BF581">
    <cfRule type="colorScale" priority="12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81:BP581">
    <cfRule type="cellIs" dxfId="0" priority="12317" operator="greaterThan">
      <formula>1</formula>
    </cfRule>
  </conditionalFormatting>
  <conditionalFormatting sqref="BU581:BV581">
    <cfRule type="cellIs" dxfId="0" priority="12320" operator="greaterThan">
      <formula>1</formula>
    </cfRule>
  </conditionalFormatting>
  <conditionalFormatting sqref="E594">
    <cfRule type="duplicateValues" dxfId="1" priority="12132"/>
  </conditionalFormatting>
  <conditionalFormatting sqref="Q594:R594">
    <cfRule type="colorScale" priority="8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94:T594">
    <cfRule type="colorScale" priority="9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94:V594">
    <cfRule type="colorScale" priority="9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94:X594">
    <cfRule type="colorScale" priority="7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94:Z594">
    <cfRule type="colorScale" priority="8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94:AB594">
    <cfRule type="colorScale" priority="5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94:AD594">
    <cfRule type="colorScale" priority="5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94:AF594">
    <cfRule type="colorScale" priority="6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94:AH594">
    <cfRule type="colorScale" priority="6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94:AJ594">
    <cfRule type="colorScale" priority="7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94:AL594">
    <cfRule type="colorScale" priority="4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94:AN594">
    <cfRule type="colorScale" priority="4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94:AP594">
    <cfRule type="colorScale" priority="3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94:AR594">
    <cfRule type="colorScale" priority="2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94:AT594">
    <cfRule type="colorScale" priority="1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94:AV594">
    <cfRule type="colorScale" priority="2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94:AX594">
    <cfRule type="colorScale" priority="3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94:AZ594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94:BB594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94:BD594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94:BF594">
    <cfRule type="colorScale" priority="12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94:BP594">
    <cfRule type="cellIs" dxfId="0" priority="12127" operator="greaterThan">
      <formula>1</formula>
    </cfRule>
  </conditionalFormatting>
  <conditionalFormatting sqref="BU594:BV594">
    <cfRule type="cellIs" dxfId="0" priority="12130" operator="greaterThan">
      <formula>1</formula>
    </cfRule>
  </conditionalFormatting>
  <conditionalFormatting sqref="E603">
    <cfRule type="duplicateValues" dxfId="1" priority="11870"/>
  </conditionalFormatting>
  <conditionalFormatting sqref="Q603:R603">
    <cfRule type="colorScale" priority="8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03:T603">
    <cfRule type="colorScale" priority="9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03:V603">
    <cfRule type="colorScale" priority="9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03:X603">
    <cfRule type="colorScale" priority="7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03:Z603">
    <cfRule type="colorScale" priority="8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03:AB603">
    <cfRule type="colorScale" priority="5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03:AD603">
    <cfRule type="colorScale" priority="5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03:AF603">
    <cfRule type="colorScale" priority="6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03:AH603">
    <cfRule type="colorScale" priority="6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03:AJ603">
    <cfRule type="colorScale" priority="7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03:AL603">
    <cfRule type="colorScale" priority="4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03:AN603">
    <cfRule type="colorScale" priority="4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03:AP603">
    <cfRule type="colorScale" priority="3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03:AR603">
    <cfRule type="colorScale" priority="2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03:AT603">
    <cfRule type="colorScale" priority="1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03:AV603">
    <cfRule type="colorScale" priority="2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03:AX603">
    <cfRule type="colorScale" priority="3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03:AZ603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03:BB603">
    <cfRule type="colorScale" priority="1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03:BD60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03:BF603">
    <cfRule type="colorScale" priority="11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603:BP603">
    <cfRule type="cellIs" dxfId="0" priority="11865" operator="greaterThan">
      <formula>1</formula>
    </cfRule>
  </conditionalFormatting>
  <conditionalFormatting sqref="BU603:BV603">
    <cfRule type="cellIs" dxfId="0" priority="11868" operator="greaterThan">
      <formula>1</formula>
    </cfRule>
  </conditionalFormatting>
  <conditionalFormatting sqref="E612">
    <cfRule type="duplicateValues" dxfId="1" priority="12006"/>
  </conditionalFormatting>
  <conditionalFormatting sqref="Q612:R612">
    <cfRule type="colorScale" priority="8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12:T612">
    <cfRule type="colorScale" priority="9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12:V612">
    <cfRule type="colorScale" priority="9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12:X612">
    <cfRule type="colorScale" priority="7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12:Z612">
    <cfRule type="colorScale" priority="8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12:AB612">
    <cfRule type="colorScale" priority="5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12:AD612">
    <cfRule type="colorScale" priority="5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12:AF612">
    <cfRule type="colorScale" priority="6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12:AH612">
    <cfRule type="colorScale" priority="6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12:AJ612">
    <cfRule type="colorScale" priority="70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12:AL612">
    <cfRule type="colorScale" priority="4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12:AN612">
    <cfRule type="colorScale" priority="4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12:AP612">
    <cfRule type="colorScale" priority="3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12:AR612">
    <cfRule type="colorScale" priority="2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12:AT612">
    <cfRule type="colorScale" priority="1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12:AV612">
    <cfRule type="colorScale" priority="2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12:AX612">
    <cfRule type="colorScale" priority="3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12:AZ612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12:BB612"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12:BD61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12:BF612">
    <cfRule type="colorScale" priority="11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612:BP612">
    <cfRule type="cellIs" dxfId="0" priority="12001" operator="greaterThan">
      <formula>1</formula>
    </cfRule>
  </conditionalFormatting>
  <conditionalFormatting sqref="BU612:BV612">
    <cfRule type="cellIs" dxfId="0" priority="12004" operator="greaterThan">
      <formula>1</formula>
    </cfRule>
  </conditionalFormatting>
  <conditionalFormatting sqref="E613">
    <cfRule type="duplicateValues" dxfId="1" priority="13798"/>
  </conditionalFormatting>
  <conditionalFormatting sqref="Q613:R613">
    <cfRule type="colorScale" priority="8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13:T613">
    <cfRule type="colorScale" priority="9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13:V613">
    <cfRule type="colorScale" priority="9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13:X613">
    <cfRule type="colorScale" priority="7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13:Z613">
    <cfRule type="colorScale" priority="8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13:AB613">
    <cfRule type="colorScale" priority="5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13:AD613">
    <cfRule type="colorScale" priority="5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13:AF613">
    <cfRule type="colorScale" priority="6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13:AH613">
    <cfRule type="colorScale" priority="6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13:AJ613">
    <cfRule type="colorScale" priority="7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13:AL613">
    <cfRule type="colorScale" priority="4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13:AN613">
    <cfRule type="colorScale" priority="4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13:AP613">
    <cfRule type="colorScale" priority="3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13:AR613">
    <cfRule type="colorScale" priority="2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13:AT613">
    <cfRule type="colorScale" priority="1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13:AV613">
    <cfRule type="colorScale" priority="2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13:AX613">
    <cfRule type="colorScale" priority="3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13:AZ613">
    <cfRule type="colorScale" priority="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13:BB613">
    <cfRule type="colorScale" priority="1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13:BD61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13:BF613">
    <cfRule type="colorScale" priority="12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613:BV613">
    <cfRule type="cellIs" dxfId="0" priority="13796" operator="greaterThan">
      <formula>1</formula>
    </cfRule>
  </conditionalFormatting>
  <conditionalFormatting sqref="Q622:R622">
    <cfRule type="colorScale" priority="8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22:T622">
    <cfRule type="colorScale" priority="9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22:V622">
    <cfRule type="colorScale" priority="9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22:X622">
    <cfRule type="colorScale" priority="7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22:Z622">
    <cfRule type="colorScale" priority="8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22:AB622">
    <cfRule type="colorScale" priority="5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22:AD622">
    <cfRule type="colorScale" priority="5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22:AF622">
    <cfRule type="colorScale" priority="6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22:AH622">
    <cfRule type="colorScale" priority="6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22:AJ622">
    <cfRule type="colorScale" priority="7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22:AL622">
    <cfRule type="colorScale" priority="4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22:AN622">
    <cfRule type="colorScale" priority="4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22:AP622">
    <cfRule type="colorScale" priority="3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22:AR622">
    <cfRule type="colorScale" priority="2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22:AT622">
    <cfRule type="colorScale" priority="1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22:AV622">
    <cfRule type="colorScale" priority="2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22:AX622">
    <cfRule type="colorScale" priority="3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22:AZ622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22:BB622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22:BD622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22:BF622">
    <cfRule type="colorScale" priority="12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31:R631">
    <cfRule type="colorScale" priority="8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31:T631">
    <cfRule type="colorScale" priority="9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31:V631">
    <cfRule type="colorScale" priority="9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31:X631">
    <cfRule type="colorScale" priority="7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31:Z631">
    <cfRule type="colorScale" priority="8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31:AB631">
    <cfRule type="colorScale" priority="5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1:AD631">
    <cfRule type="colorScale" priority="5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31:AF631">
    <cfRule type="colorScale" priority="6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31:AH631">
    <cfRule type="colorScale" priority="6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31:AJ631">
    <cfRule type="colorScale" priority="7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31:AL631">
    <cfRule type="colorScale" priority="4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31:AN631">
    <cfRule type="colorScale" priority="4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31:AP631">
    <cfRule type="colorScale" priority="3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31:AR631">
    <cfRule type="colorScale" priority="2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31:AT631">
    <cfRule type="colorScale" priority="1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31:AV631">
    <cfRule type="colorScale" priority="2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31:AX631">
    <cfRule type="colorScale" priority="3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31:AZ631">
    <cfRule type="colorScale" priority="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31:BB631">
    <cfRule type="colorScale" priority="1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31:BD631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31:BF631">
    <cfRule type="colorScale" priority="13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36">
    <cfRule type="colorScale" priority="8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36">
    <cfRule type="colorScale" priority="8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36">
    <cfRule type="colorScale" priority="9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36">
    <cfRule type="colorScale" priority="9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36">
    <cfRule type="colorScale" priority="9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36">
    <cfRule type="colorScale" priority="9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36">
    <cfRule type="colorScale" priority="7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36">
    <cfRule type="colorScale" priority="7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36">
    <cfRule type="colorScale" priority="8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36">
    <cfRule type="colorScale" priority="8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36">
    <cfRule type="colorScale" priority="5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36">
    <cfRule type="colorScale" priority="5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6">
    <cfRule type="colorScale" priority="5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6">
    <cfRule type="colorScale" priority="5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36">
    <cfRule type="colorScale" priority="6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36">
    <cfRule type="colorScale" priority="6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36">
    <cfRule type="colorScale" priority="6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36">
    <cfRule type="colorScale" priority="6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36">
    <cfRule type="colorScale" priority="7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36">
    <cfRule type="colorScale" priority="7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36">
    <cfRule type="colorScale" priority="4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36">
    <cfRule type="colorScale" priority="4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36">
    <cfRule type="colorScale" priority="4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36">
    <cfRule type="colorScale" priority="4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36">
    <cfRule type="colorScale" priority="3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636">
    <cfRule type="colorScale" priority="3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36">
    <cfRule type="colorScale" priority="2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36">
    <cfRule type="colorScale" priority="2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36">
    <cfRule type="colorScale" priority="1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36">
    <cfRule type="colorScale" priority="1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36">
    <cfRule type="colorScale" priority="2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36">
    <cfRule type="colorScale" priority="2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36">
    <cfRule type="colorScale" priority="3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636">
    <cfRule type="colorScale" priority="3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36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36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36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36">
    <cfRule type="colorScale" priority="1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36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636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36">
    <cfRule type="colorScale" priority="12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636">
    <cfRule type="colorScale" priority="13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49">
    <cfRule type="colorScale" priority="87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49">
    <cfRule type="colorScale" priority="8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9">
    <cfRule type="colorScale" priority="9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49">
    <cfRule type="colorScale" priority="9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49">
    <cfRule type="colorScale" priority="9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49">
    <cfRule type="colorScale" priority="9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49">
    <cfRule type="colorScale" priority="7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49">
    <cfRule type="colorScale" priority="7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49">
    <cfRule type="colorScale" priority="8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49">
    <cfRule type="colorScale" priority="8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49">
    <cfRule type="colorScale" priority="5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49">
    <cfRule type="colorScale" priority="5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49">
    <cfRule type="colorScale" priority="5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49">
    <cfRule type="colorScale" priority="5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49">
    <cfRule type="colorScale" priority="6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49">
    <cfRule type="colorScale" priority="6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49">
    <cfRule type="colorScale" priority="6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49">
    <cfRule type="colorScale" priority="6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49">
    <cfRule type="colorScale" priority="7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49">
    <cfRule type="colorScale" priority="7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49">
    <cfRule type="colorScale" priority="4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49">
    <cfRule type="colorScale" priority="4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49">
    <cfRule type="colorScale" priority="4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49">
    <cfRule type="colorScale" priority="4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49">
    <cfRule type="colorScale" priority="3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649">
    <cfRule type="colorScale" priority="3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49">
    <cfRule type="colorScale" priority="2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49">
    <cfRule type="colorScale" priority="2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49">
    <cfRule type="colorScale" priority="1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49">
    <cfRule type="colorScale" priority="1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49">
    <cfRule type="colorScale" priority="2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49">
    <cfRule type="colorScale" priority="2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49">
    <cfRule type="colorScale" priority="3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649">
    <cfRule type="colorScale" priority="3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49">
    <cfRule type="colorScale" priority="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49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49">
    <cfRule type="colorScale" priority="1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49">
    <cfRule type="colorScale" priority="1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49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649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49">
    <cfRule type="colorScale" priority="12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649">
    <cfRule type="colorScale" priority="13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58">
    <cfRule type="colorScale" priority="8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58">
    <cfRule type="colorScale" priority="8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58">
    <cfRule type="colorScale" priority="9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58">
    <cfRule type="colorScale" priority="9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58">
    <cfRule type="colorScale" priority="9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58">
    <cfRule type="colorScale" priority="9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58">
    <cfRule type="colorScale" priority="7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58">
    <cfRule type="colorScale" priority="7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8">
    <cfRule type="colorScale" priority="8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58">
    <cfRule type="colorScale" priority="8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58">
    <cfRule type="colorScale" priority="5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58">
    <cfRule type="colorScale" priority="5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8">
    <cfRule type="colorScale" priority="5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8">
    <cfRule type="colorScale" priority="5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58">
    <cfRule type="colorScale" priority="6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58">
    <cfRule type="colorScale" priority="6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58">
    <cfRule type="colorScale" priority="6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58">
    <cfRule type="colorScale" priority="6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58">
    <cfRule type="colorScale" priority="7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58">
    <cfRule type="colorScale" priority="7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58">
    <cfRule type="colorScale" priority="4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58">
    <cfRule type="colorScale" priority="4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58">
    <cfRule type="colorScale" priority="4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58">
    <cfRule type="colorScale" priority="4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58">
    <cfRule type="colorScale" priority="3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658">
    <cfRule type="colorScale" priority="3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58">
    <cfRule type="colorScale" priority="2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58">
    <cfRule type="colorScale" priority="2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58">
    <cfRule type="colorScale" priority="1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58">
    <cfRule type="colorScale" priority="1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58">
    <cfRule type="colorScale" priority="2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8">
    <cfRule type="colorScale" priority="2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58">
    <cfRule type="colorScale" priority="3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658">
    <cfRule type="colorScale" priority="3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58">
    <cfRule type="colorScale" priority="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58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58">
    <cfRule type="colorScale" priority="1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58">
    <cfRule type="colorScale" priority="1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58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658">
    <cfRule type="colorScale" priority="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58">
    <cfRule type="colorScale" priority="13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658">
    <cfRule type="colorScale" priority="13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61">
    <cfRule type="duplicateValues" dxfId="1" priority="14353"/>
  </conditionalFormatting>
  <conditionalFormatting sqref="E663">
    <cfRule type="duplicateValues" dxfId="1" priority="14190"/>
  </conditionalFormatting>
  <conditionalFormatting sqref="Q667">
    <cfRule type="colorScale" priority="8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67">
    <cfRule type="colorScale" priority="8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67">
    <cfRule type="colorScale" priority="9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67">
    <cfRule type="colorScale" priority="9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67">
    <cfRule type="colorScale" priority="9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67">
    <cfRule type="colorScale" priority="9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67">
    <cfRule type="colorScale" priority="7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67">
    <cfRule type="colorScale" priority="7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67">
    <cfRule type="colorScale" priority="8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67">
    <cfRule type="colorScale" priority="8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67">
    <cfRule type="colorScale" priority="5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67">
    <cfRule type="colorScale" priority="5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7">
    <cfRule type="colorScale" priority="5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7">
    <cfRule type="colorScale" priority="5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67">
    <cfRule type="colorScale" priority="6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67">
    <cfRule type="colorScale" priority="6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67">
    <cfRule type="colorScale" priority="6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67">
    <cfRule type="colorScale" priority="6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67">
    <cfRule type="colorScale" priority="7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67">
    <cfRule type="colorScale" priority="7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67">
    <cfRule type="colorScale" priority="4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67">
    <cfRule type="colorScale" priority="4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67">
    <cfRule type="colorScale" priority="4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67">
    <cfRule type="colorScale" priority="4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67">
    <cfRule type="colorScale" priority="3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667">
    <cfRule type="colorScale" priority="3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67">
    <cfRule type="colorScale" priority="2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67">
    <cfRule type="colorScale" priority="2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67">
    <cfRule type="colorScale" priority="1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67">
    <cfRule type="colorScale" priority="1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67">
    <cfRule type="colorScale" priority="2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67">
    <cfRule type="colorScale" priority="2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67">
    <cfRule type="colorScale" priority="3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667">
    <cfRule type="colorScale" priority="3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67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67">
    <cfRule type="colorScale" priority="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67"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67">
    <cfRule type="colorScale" priority="1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67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667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67">
    <cfRule type="colorScale" priority="12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667">
    <cfRule type="colorScale" priority="13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72">
    <cfRule type="colorScale" priority="8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72">
    <cfRule type="colorScale" priority="8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72">
    <cfRule type="colorScale" priority="9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72">
    <cfRule type="colorScale" priority="9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72">
    <cfRule type="colorScale" priority="9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72">
    <cfRule type="colorScale" priority="9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72">
    <cfRule type="colorScale" priority="7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72">
    <cfRule type="colorScale" priority="7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72">
    <cfRule type="colorScale" priority="8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72">
    <cfRule type="colorScale" priority="8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72">
    <cfRule type="colorScale" priority="5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72">
    <cfRule type="colorScale" priority="5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72">
    <cfRule type="colorScale" priority="5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72">
    <cfRule type="colorScale" priority="5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72">
    <cfRule type="colorScale" priority="6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72">
    <cfRule type="colorScale" priority="6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72">
    <cfRule type="colorScale" priority="6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72">
    <cfRule type="colorScale" priority="6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72">
    <cfRule type="colorScale" priority="7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72">
    <cfRule type="colorScale" priority="7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72">
    <cfRule type="colorScale" priority="4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72">
    <cfRule type="colorScale" priority="4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72">
    <cfRule type="colorScale" priority="4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72">
    <cfRule type="colorScale" priority="4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72">
    <cfRule type="colorScale" priority="3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672">
    <cfRule type="colorScale" priority="3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72">
    <cfRule type="colorScale" priority="2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72">
    <cfRule type="colorScale" priority="2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72">
    <cfRule type="colorScale" priority="1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72">
    <cfRule type="colorScale" priority="1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72">
    <cfRule type="colorScale" priority="2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72">
    <cfRule type="colorScale" priority="2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72">
    <cfRule type="colorScale" priority="3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672">
    <cfRule type="colorScale" priority="3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72">
    <cfRule type="colorScale" priority="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72">
    <cfRule type="colorScale" priority="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72">
    <cfRule type="colorScale" priority="1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72">
    <cfRule type="colorScale" priority="1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72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672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72">
    <cfRule type="colorScale" priority="13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672">
    <cfRule type="colorScale" priority="13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75">
    <cfRule type="colorScale" priority="8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75">
    <cfRule type="colorScale" priority="8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75">
    <cfRule type="colorScale" priority="9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75">
    <cfRule type="colorScale" priority="9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75">
    <cfRule type="colorScale" priority="9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75">
    <cfRule type="colorScale" priority="9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75">
    <cfRule type="colorScale" priority="7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75">
    <cfRule type="colorScale" priority="7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75">
    <cfRule type="colorScale" priority="8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75">
    <cfRule type="colorScale" priority="8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75">
    <cfRule type="colorScale" priority="5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75">
    <cfRule type="colorScale" priority="5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75">
    <cfRule type="colorScale" priority="5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75">
    <cfRule type="colorScale" priority="5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75">
    <cfRule type="colorScale" priority="6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75">
    <cfRule type="colorScale" priority="6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75">
    <cfRule type="colorScale" priority="6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75">
    <cfRule type="colorScale" priority="6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75">
    <cfRule type="colorScale" priority="7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75">
    <cfRule type="colorScale" priority="7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75">
    <cfRule type="colorScale" priority="4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75">
    <cfRule type="colorScale" priority="4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75">
    <cfRule type="colorScale" priority="4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75">
    <cfRule type="colorScale" priority="4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75">
    <cfRule type="colorScale" priority="3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675">
    <cfRule type="colorScale" priority="3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75">
    <cfRule type="colorScale" priority="2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75">
    <cfRule type="colorScale" priority="2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75">
    <cfRule type="colorScale" priority="1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75">
    <cfRule type="colorScale" priority="1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675">
    <cfRule type="colorScale" priority="2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75">
    <cfRule type="colorScale" priority="2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75">
    <cfRule type="colorScale" priority="3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675">
    <cfRule type="colorScale" priority="3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75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75">
    <cfRule type="colorScale" priority="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75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75">
    <cfRule type="colorScale" priority="1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7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675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675">
    <cfRule type="colorScale" priority="12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675">
    <cfRule type="colorScale" priority="13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76">
    <cfRule type="duplicateValues" dxfId="1" priority="10459"/>
  </conditionalFormatting>
  <conditionalFormatting sqref="E677">
    <cfRule type="duplicateValues" dxfId="1" priority="10457"/>
  </conditionalFormatting>
  <conditionalFormatting sqref="E678">
    <cfRule type="duplicateValues" dxfId="1" priority="10451"/>
  </conditionalFormatting>
  <conditionalFormatting sqref="E679">
    <cfRule type="duplicateValues" dxfId="1" priority="10449"/>
  </conditionalFormatting>
  <conditionalFormatting sqref="E680">
    <cfRule type="duplicateValues" dxfId="1" priority="10210"/>
  </conditionalFormatting>
  <conditionalFormatting sqref="E681">
    <cfRule type="duplicateValues" dxfId="1" priority="10208"/>
  </conditionalFormatting>
  <conditionalFormatting sqref="E682">
    <cfRule type="duplicateValues" dxfId="1" priority="10215"/>
  </conditionalFormatting>
  <conditionalFormatting sqref="E683">
    <cfRule type="duplicateValues" dxfId="1" priority="10213"/>
  </conditionalFormatting>
  <conditionalFormatting sqref="E684">
    <cfRule type="duplicateValues" dxfId="1" priority="10437"/>
  </conditionalFormatting>
  <conditionalFormatting sqref="E685">
    <cfRule type="duplicateValues" dxfId="1" priority="10435"/>
  </conditionalFormatting>
  <conditionalFormatting sqref="E686">
    <cfRule type="duplicateValues" dxfId="1" priority="10429"/>
  </conditionalFormatting>
  <conditionalFormatting sqref="E687">
    <cfRule type="duplicateValues" dxfId="1" priority="10427"/>
  </conditionalFormatting>
  <conditionalFormatting sqref="E688">
    <cfRule type="duplicateValues" dxfId="1" priority="10811"/>
  </conditionalFormatting>
  <conditionalFormatting sqref="E689">
    <cfRule type="duplicateValues" dxfId="1" priority="10809"/>
  </conditionalFormatting>
  <conditionalFormatting sqref="E690">
    <cfRule type="duplicateValues" dxfId="1" priority="10819"/>
  </conditionalFormatting>
  <conditionalFormatting sqref="E691">
    <cfRule type="duplicateValues" dxfId="1" priority="10817"/>
  </conditionalFormatting>
  <conditionalFormatting sqref="E692">
    <cfRule type="duplicateValues" dxfId="1" priority="10795"/>
  </conditionalFormatting>
  <conditionalFormatting sqref="E693">
    <cfRule type="duplicateValues" dxfId="1" priority="10793"/>
  </conditionalFormatting>
  <conditionalFormatting sqref="E694">
    <cfRule type="duplicateValues" dxfId="1" priority="10803"/>
  </conditionalFormatting>
  <conditionalFormatting sqref="E695">
    <cfRule type="duplicateValues" dxfId="1" priority="10801"/>
  </conditionalFormatting>
  <conditionalFormatting sqref="E696">
    <cfRule type="duplicateValues" dxfId="1" priority="6993"/>
  </conditionalFormatting>
  <conditionalFormatting sqref="E697">
    <cfRule type="duplicateValues" dxfId="1" priority="6991"/>
  </conditionalFormatting>
  <conditionalFormatting sqref="E698">
    <cfRule type="duplicateValues" dxfId="1" priority="7001"/>
  </conditionalFormatting>
  <conditionalFormatting sqref="E699">
    <cfRule type="duplicateValues" dxfId="1" priority="6999"/>
  </conditionalFormatting>
  <conditionalFormatting sqref="E700">
    <cfRule type="duplicateValues" dxfId="1" priority="10138"/>
  </conditionalFormatting>
  <conditionalFormatting sqref="E701">
    <cfRule type="duplicateValues" dxfId="1" priority="10136"/>
  </conditionalFormatting>
  <conditionalFormatting sqref="E702">
    <cfRule type="duplicateValues" dxfId="1" priority="10130"/>
  </conditionalFormatting>
  <conditionalFormatting sqref="E703">
    <cfRule type="duplicateValues" dxfId="1" priority="10128"/>
  </conditionalFormatting>
  <conditionalFormatting sqref="E704">
    <cfRule type="duplicateValues" dxfId="1" priority="12040"/>
  </conditionalFormatting>
  <conditionalFormatting sqref="E705">
    <cfRule type="duplicateValues" dxfId="1" priority="12038"/>
  </conditionalFormatting>
  <conditionalFormatting sqref="E706">
    <cfRule type="duplicateValues" dxfId="1" priority="12048"/>
  </conditionalFormatting>
  <conditionalFormatting sqref="E707">
    <cfRule type="duplicateValues" dxfId="1" priority="12046"/>
  </conditionalFormatting>
  <conditionalFormatting sqref="Q710">
    <cfRule type="colorScale" priority="8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10">
    <cfRule type="colorScale" priority="8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10">
    <cfRule type="colorScale" priority="9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10">
    <cfRule type="colorScale" priority="9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10">
    <cfRule type="colorScale" priority="9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710">
    <cfRule type="colorScale" priority="9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10">
    <cfRule type="colorScale" priority="7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10">
    <cfRule type="colorScale" priority="7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10">
    <cfRule type="colorScale" priority="8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10">
    <cfRule type="colorScale" priority="8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10">
    <cfRule type="colorScale" priority="5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10">
    <cfRule type="colorScale" priority="5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10">
    <cfRule type="colorScale" priority="5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710">
    <cfRule type="colorScale" priority="5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10">
    <cfRule type="colorScale" priority="6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10">
    <cfRule type="colorScale" priority="6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10">
    <cfRule type="colorScale" priority="6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10">
    <cfRule type="colorScale" priority="6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10">
    <cfRule type="colorScale" priority="7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710">
    <cfRule type="colorScale" priority="7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10">
    <cfRule type="colorScale" priority="4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710">
    <cfRule type="colorScale" priority="4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10">
    <cfRule type="colorScale" priority="4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710">
    <cfRule type="colorScale" priority="4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10">
    <cfRule type="colorScale" priority="3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10">
    <cfRule type="colorScale" priority="3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10">
    <cfRule type="colorScale" priority="2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710">
    <cfRule type="colorScale" priority="2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10">
    <cfRule type="colorScale" priority="1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710">
    <cfRule type="colorScale" priority="1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10">
    <cfRule type="colorScale" priority="2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710">
    <cfRule type="colorScale" priority="2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10">
    <cfRule type="colorScale" priority="3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710">
    <cfRule type="colorScale" priority="3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10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710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10">
    <cfRule type="colorScale" priority="1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710">
    <cfRule type="colorScale" priority="1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710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710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10">
    <cfRule type="colorScale" priority="13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710">
    <cfRule type="colorScale" priority="13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19">
    <cfRule type="colorScale" priority="8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19">
    <cfRule type="colorScale" priority="8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19">
    <cfRule type="colorScale" priority="9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19">
    <cfRule type="colorScale" priority="90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19">
    <cfRule type="colorScale" priority="9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719">
    <cfRule type="colorScale" priority="9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19">
    <cfRule type="colorScale" priority="76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19">
    <cfRule type="colorScale" priority="7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19">
    <cfRule type="colorScale" priority="8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19">
    <cfRule type="colorScale" priority="8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19">
    <cfRule type="colorScale" priority="5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19">
    <cfRule type="colorScale" priority="5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19">
    <cfRule type="colorScale" priority="5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719">
    <cfRule type="colorScale" priority="5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19">
    <cfRule type="colorScale" priority="6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19">
    <cfRule type="colorScale" priority="6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19">
    <cfRule type="colorScale" priority="6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19">
    <cfRule type="colorScale" priority="6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19">
    <cfRule type="colorScale" priority="7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719">
    <cfRule type="colorScale" priority="7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19">
    <cfRule type="colorScale" priority="4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719">
    <cfRule type="colorScale" priority="4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19">
    <cfRule type="colorScale" priority="4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719">
    <cfRule type="colorScale" priority="4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19">
    <cfRule type="colorScale" priority="3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19">
    <cfRule type="colorScale" priority="3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19">
    <cfRule type="colorScale" priority="2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719">
    <cfRule type="colorScale" priority="2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19">
    <cfRule type="colorScale" priority="1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719">
    <cfRule type="colorScale" priority="1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19">
    <cfRule type="colorScale" priority="2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719">
    <cfRule type="colorScale" priority="20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19">
    <cfRule type="colorScale" priority="3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719">
    <cfRule type="colorScale" priority="3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19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719">
    <cfRule type="colorScale" priority="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19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719">
    <cfRule type="colorScale" priority="1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719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71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19">
    <cfRule type="colorScale" priority="12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719">
    <cfRule type="colorScale" priority="12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44:R744">
    <cfRule type="colorScale" priority="8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44:T744">
    <cfRule type="colorScale" priority="9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44:V744">
    <cfRule type="colorScale" priority="9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44:X744">
    <cfRule type="colorScale" priority="7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44:Z744">
    <cfRule type="colorScale" priority="8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44:AB744">
    <cfRule type="colorScale" priority="5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44:AD744">
    <cfRule type="colorScale" priority="5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44:AF744">
    <cfRule type="colorScale" priority="6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44:AH744">
    <cfRule type="colorScale" priority="6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44:AJ744">
    <cfRule type="colorScale" priority="7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44:AL744">
    <cfRule type="colorScale" priority="4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44:AN744">
    <cfRule type="colorScale" priority="4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44:AP744">
    <cfRule type="colorScale" priority="3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44:AR744">
    <cfRule type="colorScale" priority="2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44:AT744">
    <cfRule type="colorScale" priority="1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44:AV744">
    <cfRule type="colorScale" priority="2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44:AX744">
    <cfRule type="colorScale" priority="3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44:AZ744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44:BB744">
    <cfRule type="colorScale" priority="1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744:BD744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44:BF744">
    <cfRule type="colorScale" priority="13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61:R761">
    <cfRule type="colorScale" priority="8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61:T761">
    <cfRule type="colorScale" priority="9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61:V761">
    <cfRule type="colorScale" priority="9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61:X761">
    <cfRule type="colorScale" priority="7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61:Z761">
    <cfRule type="colorScale" priority="8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61:AB761">
    <cfRule type="colorScale" priority="5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61:AD761">
    <cfRule type="colorScale" priority="5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61:AF761">
    <cfRule type="colorScale" priority="6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61:AH761">
    <cfRule type="colorScale" priority="6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61:AJ761">
    <cfRule type="colorScale" priority="7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61:AL761">
    <cfRule type="colorScale" priority="4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61:AN761">
    <cfRule type="colorScale" priority="4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61:AP761">
    <cfRule type="colorScale" priority="3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61:AR761">
    <cfRule type="colorScale" priority="2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61:AT761">
    <cfRule type="colorScale" priority="1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61:AV761">
    <cfRule type="colorScale" priority="2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61:AX761">
    <cfRule type="colorScale" priority="3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61:AZ761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61:BB761">
    <cfRule type="colorScale" priority="1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761:BD761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61:BF761">
    <cfRule type="colorScale" priority="130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74:R774">
    <cfRule type="colorScale" priority="8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74:T774">
    <cfRule type="colorScale" priority="9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74:V774">
    <cfRule type="colorScale" priority="10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74:X774">
    <cfRule type="colorScale" priority="7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74:Z774">
    <cfRule type="colorScale" priority="8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74:AB774">
    <cfRule type="colorScale" priority="5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74:AD774">
    <cfRule type="colorScale" priority="5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74:AF774">
    <cfRule type="colorScale" priority="6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74:AH774">
    <cfRule type="colorScale" priority="6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74:AJ774">
    <cfRule type="colorScale" priority="7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74:AL774">
    <cfRule type="colorScale" priority="4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74:AN774">
    <cfRule type="colorScale" priority="4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74:AP774">
    <cfRule type="colorScale" priority="3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74:AR774">
    <cfRule type="colorScale" priority="2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74:AT774">
    <cfRule type="colorScale" priority="1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74:AV774">
    <cfRule type="colorScale" priority="2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74:AX774">
    <cfRule type="colorScale" priority="3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74:AZ774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74:BB774">
    <cfRule type="colorScale" priority="1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774:BD774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74:BF774">
    <cfRule type="colorScale" priority="13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91">
    <cfRule type="colorScale" priority="8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91">
    <cfRule type="colorScale" priority="8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91">
    <cfRule type="colorScale" priority="9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91">
    <cfRule type="colorScale" priority="9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91">
    <cfRule type="colorScale" priority="9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791">
    <cfRule type="colorScale" priority="9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91">
    <cfRule type="colorScale" priority="7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91">
    <cfRule type="colorScale" priority="7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91">
    <cfRule type="colorScale" priority="8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91">
    <cfRule type="colorScale" priority="8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91">
    <cfRule type="colorScale" priority="5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91">
    <cfRule type="colorScale" priority="5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91">
    <cfRule type="colorScale" priority="5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791">
    <cfRule type="colorScale" priority="5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91">
    <cfRule type="colorScale" priority="6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91">
    <cfRule type="colorScale" priority="6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91">
    <cfRule type="colorScale" priority="6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91">
    <cfRule type="colorScale" priority="6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91">
    <cfRule type="colorScale" priority="7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791">
    <cfRule type="colorScale" priority="7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91">
    <cfRule type="colorScale" priority="4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791">
    <cfRule type="colorScale" priority="4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91">
    <cfRule type="colorScale" priority="4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791">
    <cfRule type="colorScale" priority="46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91">
    <cfRule type="colorScale" priority="3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91">
    <cfRule type="colorScale" priority="3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91">
    <cfRule type="colorScale" priority="2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791">
    <cfRule type="colorScale" priority="2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91">
    <cfRule type="colorScale" priority="1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791">
    <cfRule type="colorScale" priority="1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91">
    <cfRule type="colorScale" priority="2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791">
    <cfRule type="colorScale" priority="2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91">
    <cfRule type="colorScale" priority="3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791">
    <cfRule type="colorScale" priority="3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91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791">
    <cfRule type="colorScale" priority="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91"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791">
    <cfRule type="colorScale" priority="1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791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79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91">
    <cfRule type="colorScale" priority="12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791">
    <cfRule type="colorScale" priority="12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98">
    <cfRule type="colorScale" priority="8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98">
    <cfRule type="colorScale" priority="8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98">
    <cfRule type="colorScale" priority="9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98">
    <cfRule type="colorScale" priority="9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98">
    <cfRule type="colorScale" priority="9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798">
    <cfRule type="colorScale" priority="9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98">
    <cfRule type="colorScale" priority="7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98">
    <cfRule type="colorScale" priority="7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98">
    <cfRule type="colorScale" priority="8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98">
    <cfRule type="colorScale" priority="8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98">
    <cfRule type="colorScale" priority="5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98">
    <cfRule type="colorScale" priority="5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98">
    <cfRule type="colorScale" priority="5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798">
    <cfRule type="colorScale" priority="5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98">
    <cfRule type="colorScale" priority="6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98">
    <cfRule type="colorScale" priority="6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98">
    <cfRule type="colorScale" priority="6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98">
    <cfRule type="colorScale" priority="6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98">
    <cfRule type="colorScale" priority="7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798">
    <cfRule type="colorScale" priority="7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98">
    <cfRule type="colorScale" priority="4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798">
    <cfRule type="colorScale" priority="4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98">
    <cfRule type="colorScale" priority="4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798">
    <cfRule type="colorScale" priority="4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98">
    <cfRule type="colorScale" priority="3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98">
    <cfRule type="colorScale" priority="3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98">
    <cfRule type="colorScale" priority="2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798">
    <cfRule type="colorScale" priority="2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98">
    <cfRule type="colorScale" priority="1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798">
    <cfRule type="colorScale" priority="1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98">
    <cfRule type="colorScale" priority="2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798">
    <cfRule type="colorScale" priority="2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98">
    <cfRule type="colorScale" priority="37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798">
    <cfRule type="colorScale" priority="3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98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798">
    <cfRule type="colorScale" priority="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98"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798">
    <cfRule type="colorScale" priority="1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798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798"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98">
    <cfRule type="colorScale" priority="12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798">
    <cfRule type="colorScale" priority="13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831:R831">
    <cfRule type="colorScale" priority="8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31:T831">
    <cfRule type="colorScale" priority="9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31:V831">
    <cfRule type="colorScale" priority="9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31:X831">
    <cfRule type="colorScale" priority="7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831:Z831">
    <cfRule type="colorScale" priority="8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31:AB831">
    <cfRule type="colorScale" priority="5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831:AD831">
    <cfRule type="colorScale" priority="5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31:AF831">
    <cfRule type="colorScale" priority="6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31:AH831">
    <cfRule type="colorScale" priority="6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31:AJ831">
    <cfRule type="colorScale" priority="7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831:AL831">
    <cfRule type="colorScale" priority="4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31:AN831">
    <cfRule type="colorScale" priority="4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31:AP831">
    <cfRule type="colorScale" priority="3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31:AR831">
    <cfRule type="colorScale" priority="2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831:AT831">
    <cfRule type="colorScale" priority="1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31:AV831">
    <cfRule type="colorScale" priority="2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31:AX831">
    <cfRule type="colorScale" priority="3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31:AZ831">
    <cfRule type="colorScale" priority="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831:BB831">
    <cfRule type="colorScale" priority="1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831:BD831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831:BF831">
    <cfRule type="colorScale" priority="13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846">
    <cfRule type="colorScale" priority="8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46">
    <cfRule type="colorScale" priority="8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46">
    <cfRule type="colorScale" priority="9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846">
    <cfRule type="colorScale" priority="9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46">
    <cfRule type="colorScale" priority="9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46">
    <cfRule type="colorScale" priority="9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46">
    <cfRule type="colorScale" priority="7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46">
    <cfRule type="colorScale" priority="7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846">
    <cfRule type="colorScale" priority="8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46">
    <cfRule type="colorScale" priority="8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46">
    <cfRule type="colorScale" priority="5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846">
    <cfRule type="colorScale" priority="5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846">
    <cfRule type="colorScale" priority="5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846">
    <cfRule type="colorScale" priority="5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46">
    <cfRule type="colorScale" priority="6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46">
    <cfRule type="colorScale" priority="6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46">
    <cfRule type="colorScale" priority="6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46">
    <cfRule type="colorScale" priority="6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46">
    <cfRule type="colorScale" priority="7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846">
    <cfRule type="colorScale" priority="7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846">
    <cfRule type="colorScale" priority="4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46">
    <cfRule type="colorScale" priority="4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46">
    <cfRule type="colorScale" priority="4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846">
    <cfRule type="colorScale" priority="4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46">
    <cfRule type="colorScale" priority="3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846">
    <cfRule type="colorScale" priority="3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46">
    <cfRule type="colorScale" priority="2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46">
    <cfRule type="colorScale" priority="2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846">
    <cfRule type="colorScale" priority="1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846">
    <cfRule type="colorScale" priority="1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46">
    <cfRule type="colorScale" priority="2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846">
    <cfRule type="colorScale" priority="2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46">
    <cfRule type="colorScale" priority="3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846">
    <cfRule type="colorScale" priority="3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46">
    <cfRule type="colorScale" priority="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846">
    <cfRule type="colorScale" priority="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846">
    <cfRule type="colorScale" priority="1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846">
    <cfRule type="colorScale" priority="1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846">
    <cfRule type="colorScale" priority="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846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846">
    <cfRule type="colorScale" priority="13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846">
    <cfRule type="colorScale" priority="13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59">
    <cfRule type="duplicateValues" dxfId="1" priority="12086"/>
  </conditionalFormatting>
  <conditionalFormatting sqref="Q859">
    <cfRule type="colorScale" priority="8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59">
    <cfRule type="colorScale" priority="8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59">
    <cfRule type="colorScale" priority="9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859">
    <cfRule type="colorScale" priority="9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59">
    <cfRule type="colorScale" priority="9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59">
    <cfRule type="colorScale" priority="9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59">
    <cfRule type="colorScale" priority="7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59">
    <cfRule type="colorScale" priority="7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859">
    <cfRule type="colorScale" priority="8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59">
    <cfRule type="colorScale" priority="8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59">
    <cfRule type="colorScale" priority="5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859">
    <cfRule type="colorScale" priority="5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859">
    <cfRule type="colorScale" priority="5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859">
    <cfRule type="colorScale" priority="5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59">
    <cfRule type="colorScale" priority="6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59">
    <cfRule type="colorScale" priority="6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59">
    <cfRule type="colorScale" priority="6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59">
    <cfRule type="colorScale" priority="6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59">
    <cfRule type="colorScale" priority="7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859">
    <cfRule type="colorScale" priority="7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859">
    <cfRule type="colorScale" priority="4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59">
    <cfRule type="colorScale" priority="4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59">
    <cfRule type="colorScale" priority="4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859">
    <cfRule type="colorScale" priority="4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59">
    <cfRule type="colorScale" priority="3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859">
    <cfRule type="colorScale" priority="3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59">
    <cfRule type="colorScale" priority="2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59">
    <cfRule type="colorScale" priority="2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859">
    <cfRule type="colorScale" priority="1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859">
    <cfRule type="colorScale" priority="1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59">
    <cfRule type="colorScale" priority="2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859">
    <cfRule type="colorScale" priority="2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59">
    <cfRule type="colorScale" priority="3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859">
    <cfRule type="colorScale" priority="3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59">
    <cfRule type="colorScale" priority="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859">
    <cfRule type="colorScale" priority="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859">
    <cfRule type="colorScale" priority="1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859">
    <cfRule type="colorScale" priority="1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85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859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859">
    <cfRule type="colorScale" priority="12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859">
    <cfRule type="colorScale" priority="12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859:BP859">
    <cfRule type="cellIs" dxfId="0" priority="12081" operator="greaterThan">
      <formula>1</formula>
    </cfRule>
  </conditionalFormatting>
  <conditionalFormatting sqref="BU859:BV859">
    <cfRule type="cellIs" dxfId="0" priority="12084" operator="greaterThan">
      <formula>1</formula>
    </cfRule>
  </conditionalFormatting>
  <conditionalFormatting sqref="E870">
    <cfRule type="duplicateValues" dxfId="1" priority="12256"/>
  </conditionalFormatting>
  <conditionalFormatting sqref="Q870">
    <cfRule type="colorScale" priority="8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70">
    <cfRule type="colorScale" priority="8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70">
    <cfRule type="colorScale" priority="9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870">
    <cfRule type="colorScale" priority="9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70">
    <cfRule type="colorScale" priority="9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70">
    <cfRule type="colorScale" priority="9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70">
    <cfRule type="colorScale" priority="7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70">
    <cfRule type="colorScale" priority="7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870">
    <cfRule type="colorScale" priority="8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70">
    <cfRule type="colorScale" priority="8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70">
    <cfRule type="colorScale" priority="5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870">
    <cfRule type="colorScale" priority="5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870">
    <cfRule type="colorScale" priority="5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870">
    <cfRule type="colorScale" priority="5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70">
    <cfRule type="colorScale" priority="6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70">
    <cfRule type="colorScale" priority="6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70">
    <cfRule type="colorScale" priority="6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70">
    <cfRule type="colorScale" priority="6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70">
    <cfRule type="colorScale" priority="7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870">
    <cfRule type="colorScale" priority="7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870">
    <cfRule type="colorScale" priority="4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70">
    <cfRule type="colorScale" priority="4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70">
    <cfRule type="colorScale" priority="4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870">
    <cfRule type="colorScale" priority="4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70">
    <cfRule type="colorScale" priority="3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870">
    <cfRule type="colorScale" priority="3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70">
    <cfRule type="colorScale" priority="2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70">
    <cfRule type="colorScale" priority="2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870">
    <cfRule type="colorScale" priority="1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870">
    <cfRule type="colorScale" priority="1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70">
    <cfRule type="colorScale" priority="2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870">
    <cfRule type="colorScale" priority="2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70">
    <cfRule type="colorScale" priority="3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870">
    <cfRule type="colorScale" priority="3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70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870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870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870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870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870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870">
    <cfRule type="colorScale" priority="12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870">
    <cfRule type="colorScale" priority="12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870:BP870">
    <cfRule type="cellIs" dxfId="0" priority="12251" operator="greaterThan">
      <formula>1</formula>
    </cfRule>
  </conditionalFormatting>
  <conditionalFormatting sqref="BU870:BV870">
    <cfRule type="cellIs" dxfId="0" priority="12254" operator="greaterThan">
      <formula>1</formula>
    </cfRule>
  </conditionalFormatting>
  <conditionalFormatting sqref="Q881">
    <cfRule type="colorScale" priority="8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81">
    <cfRule type="colorScale" priority="8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81">
    <cfRule type="colorScale" priority="9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881">
    <cfRule type="colorScale" priority="9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81">
    <cfRule type="colorScale" priority="9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81">
    <cfRule type="colorScale" priority="9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81">
    <cfRule type="colorScale" priority="7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81">
    <cfRule type="colorScale" priority="7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881">
    <cfRule type="colorScale" priority="8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81">
    <cfRule type="colorScale" priority="8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81">
    <cfRule type="colorScale" priority="5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881">
    <cfRule type="colorScale" priority="5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881">
    <cfRule type="colorScale" priority="5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881">
    <cfRule type="colorScale" priority="5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81">
    <cfRule type="colorScale" priority="6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81">
    <cfRule type="colorScale" priority="6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81">
    <cfRule type="colorScale" priority="6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81">
    <cfRule type="colorScale" priority="6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81">
    <cfRule type="colorScale" priority="7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881">
    <cfRule type="colorScale" priority="7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881">
    <cfRule type="colorScale" priority="4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81">
    <cfRule type="colorScale" priority="4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81">
    <cfRule type="colorScale" priority="4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881">
    <cfRule type="colorScale" priority="4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81">
    <cfRule type="colorScale" priority="3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881">
    <cfRule type="colorScale" priority="3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81">
    <cfRule type="colorScale" priority="2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81">
    <cfRule type="colorScale" priority="2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881">
    <cfRule type="colorScale" priority="1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881">
    <cfRule type="colorScale" priority="1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81">
    <cfRule type="colorScale" priority="2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881">
    <cfRule type="colorScale" priority="2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81">
    <cfRule type="colorScale" priority="3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881">
    <cfRule type="colorScale" priority="3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81">
    <cfRule type="colorScale" priority="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881">
    <cfRule type="colorScale" priority="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881">
    <cfRule type="colorScale" priority="1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881">
    <cfRule type="colorScale" priority="1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881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881"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881">
    <cfRule type="colorScale" priority="12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881">
    <cfRule type="colorScale" priority="13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898">
    <cfRule type="colorScale" priority="8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98">
    <cfRule type="colorScale" priority="8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98">
    <cfRule type="colorScale" priority="9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898">
    <cfRule type="colorScale" priority="9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98">
    <cfRule type="colorScale" priority="9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98">
    <cfRule type="colorScale" priority="9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98">
    <cfRule type="colorScale" priority="7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98">
    <cfRule type="colorScale" priority="7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898">
    <cfRule type="colorScale" priority="8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98">
    <cfRule type="colorScale" priority="8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98">
    <cfRule type="colorScale" priority="5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898">
    <cfRule type="colorScale" priority="5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898">
    <cfRule type="colorScale" priority="5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898">
    <cfRule type="colorScale" priority="5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98">
    <cfRule type="colorScale" priority="6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98">
    <cfRule type="colorScale" priority="6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98">
    <cfRule type="colorScale" priority="6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98">
    <cfRule type="colorScale" priority="6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98">
    <cfRule type="colorScale" priority="7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898">
    <cfRule type="colorScale" priority="7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898">
    <cfRule type="colorScale" priority="4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898">
    <cfRule type="colorScale" priority="4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98">
    <cfRule type="colorScale" priority="4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898">
    <cfRule type="colorScale" priority="4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98">
    <cfRule type="colorScale" priority="3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898">
    <cfRule type="colorScale" priority="3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98">
    <cfRule type="colorScale" priority="2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98">
    <cfRule type="colorScale" priority="2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898">
    <cfRule type="colorScale" priority="1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898">
    <cfRule type="colorScale" priority="1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98">
    <cfRule type="colorScale" priority="2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898">
    <cfRule type="colorScale" priority="2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98">
    <cfRule type="colorScale" priority="3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898">
    <cfRule type="colorScale" priority="3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98">
    <cfRule type="colorScale" priority="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898">
    <cfRule type="colorScale" priority="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898">
    <cfRule type="colorScale" priority="1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898">
    <cfRule type="colorScale" priority="1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898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898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898">
    <cfRule type="colorScale" priority="12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898">
    <cfRule type="colorScale" priority="12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01:R901">
    <cfRule type="colorScale" priority="8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01:T901">
    <cfRule type="colorScale" priority="9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01:V901">
    <cfRule type="colorScale" priority="9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01:X901">
    <cfRule type="colorScale" priority="7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01:Z901">
    <cfRule type="colorScale" priority="8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01:AB901">
    <cfRule type="colorScale" priority="5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01:AD901">
    <cfRule type="colorScale" priority="5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01:AF901">
    <cfRule type="colorScale" priority="6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01:AH901">
    <cfRule type="colorScale" priority="6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01:AJ901">
    <cfRule type="colorScale" priority="7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01:AL901">
    <cfRule type="colorScale" priority="4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01:AN901">
    <cfRule type="colorScale" priority="4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01:AP901">
    <cfRule type="colorScale" priority="3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01:AR901">
    <cfRule type="colorScale" priority="2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01:AT901">
    <cfRule type="colorScale" priority="1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01:AV901">
    <cfRule type="colorScale" priority="2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01:AX901">
    <cfRule type="colorScale" priority="3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01:AZ901"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01:BB901"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01:BD901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01:BF901">
    <cfRule type="colorScale" priority="12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04">
    <cfRule type="colorScale" priority="8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04">
    <cfRule type="colorScale" priority="8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04">
    <cfRule type="colorScale" priority="9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04">
    <cfRule type="colorScale" priority="9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04">
    <cfRule type="colorScale" priority="9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04">
    <cfRule type="colorScale" priority="9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04">
    <cfRule type="colorScale" priority="7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04">
    <cfRule type="colorScale" priority="7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04">
    <cfRule type="colorScale" priority="8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04">
    <cfRule type="colorScale" priority="8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04">
    <cfRule type="colorScale" priority="5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04">
    <cfRule type="colorScale" priority="5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04">
    <cfRule type="colorScale" priority="5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04">
    <cfRule type="colorScale" priority="5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04">
    <cfRule type="colorScale" priority="5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04">
    <cfRule type="colorScale" priority="6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04">
    <cfRule type="colorScale" priority="6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04">
    <cfRule type="colorScale" priority="6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04">
    <cfRule type="colorScale" priority="7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04">
    <cfRule type="colorScale" priority="7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04">
    <cfRule type="colorScale" priority="3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04">
    <cfRule type="colorScale" priority="4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04">
    <cfRule type="colorScale" priority="4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04">
    <cfRule type="colorScale" priority="4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04">
    <cfRule type="colorScale" priority="2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04">
    <cfRule type="colorScale" priority="3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04">
    <cfRule type="colorScale" priority="2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04">
    <cfRule type="colorScale" priority="2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04">
    <cfRule type="colorScale" priority="1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04">
    <cfRule type="colorScale" priority="1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04">
    <cfRule type="colorScale" priority="2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04">
    <cfRule type="colorScale" priority="2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04">
    <cfRule type="colorScale" priority="3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04">
    <cfRule type="colorScale" priority="3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04"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04">
    <cfRule type="colorScale" priority="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04">
    <cfRule type="colorScale" priority="1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04">
    <cfRule type="colorScale" priority="1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0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04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04">
    <cfRule type="colorScale" priority="12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04">
    <cfRule type="colorScale" priority="12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09">
    <cfRule type="colorScale" priority="8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09">
    <cfRule type="colorScale" priority="8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09">
    <cfRule type="colorScale" priority="9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09">
    <cfRule type="colorScale" priority="9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09">
    <cfRule type="colorScale" priority="9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09">
    <cfRule type="colorScale" priority="9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09">
    <cfRule type="colorScale" priority="7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09">
    <cfRule type="colorScale" priority="7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09">
    <cfRule type="colorScale" priority="8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09">
    <cfRule type="colorScale" priority="8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09">
    <cfRule type="colorScale" priority="5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09">
    <cfRule type="colorScale" priority="5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09">
    <cfRule type="colorScale" priority="5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09">
    <cfRule type="colorScale" priority="5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09">
    <cfRule type="colorScale" priority="6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09">
    <cfRule type="colorScale" priority="6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09">
    <cfRule type="colorScale" priority="6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09">
    <cfRule type="colorScale" priority="6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09">
    <cfRule type="colorScale" priority="7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09">
    <cfRule type="colorScale" priority="7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09">
    <cfRule type="colorScale" priority="4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09">
    <cfRule type="colorScale" priority="4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09">
    <cfRule type="colorScale" priority="4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09">
    <cfRule type="colorScale" priority="4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09">
    <cfRule type="colorScale" priority="3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09">
    <cfRule type="colorScale" priority="3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09">
    <cfRule type="colorScale" priority="2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09">
    <cfRule type="colorScale" priority="2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09">
    <cfRule type="colorScale" priority="1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09">
    <cfRule type="colorScale" priority="1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09">
    <cfRule type="colorScale" priority="2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09">
    <cfRule type="colorScale" priority="2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09">
    <cfRule type="colorScale" priority="3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09">
    <cfRule type="colorScale" priority="3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09">
    <cfRule type="colorScale" priority="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09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09">
    <cfRule type="colorScale" priority="1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09">
    <cfRule type="colorScale" priority="1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09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09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09">
    <cfRule type="colorScale" priority="12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09">
    <cfRule type="colorScale" priority="12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22">
    <cfRule type="colorScale" priority="8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22">
    <cfRule type="colorScale" priority="8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22">
    <cfRule type="colorScale" priority="9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22">
    <cfRule type="colorScale" priority="9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22">
    <cfRule type="colorScale" priority="9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22">
    <cfRule type="colorScale" priority="9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22">
    <cfRule type="colorScale" priority="7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22">
    <cfRule type="colorScale" priority="7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22">
    <cfRule type="colorScale" priority="8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22">
    <cfRule type="colorScale" priority="8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22">
    <cfRule type="colorScale" priority="5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22">
    <cfRule type="colorScale" priority="5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22">
    <cfRule type="colorScale" priority="5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22">
    <cfRule type="colorScale" priority="5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22">
    <cfRule type="colorScale" priority="6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22">
    <cfRule type="colorScale" priority="6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22">
    <cfRule type="colorScale" priority="6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22">
    <cfRule type="colorScale" priority="6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22">
    <cfRule type="colorScale" priority="7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22">
    <cfRule type="colorScale" priority="7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22">
    <cfRule type="colorScale" priority="4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22">
    <cfRule type="colorScale" priority="4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22">
    <cfRule type="colorScale" priority="4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22">
    <cfRule type="colorScale" priority="4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22">
    <cfRule type="colorScale" priority="3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22">
    <cfRule type="colorScale" priority="3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22">
    <cfRule type="colorScale" priority="2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22">
    <cfRule type="colorScale" priority="2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22">
    <cfRule type="colorScale" priority="1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22">
    <cfRule type="colorScale" priority="1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22">
    <cfRule type="colorScale" priority="2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22">
    <cfRule type="colorScale" priority="2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22">
    <cfRule type="colorScale" priority="3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22">
    <cfRule type="colorScale" priority="3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22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22">
    <cfRule type="colorScale" priority="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22">
    <cfRule type="colorScale" priority="1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22">
    <cfRule type="colorScale" priority="1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2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22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22">
    <cfRule type="colorScale" priority="12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22">
    <cfRule type="colorScale" priority="12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29">
    <cfRule type="colorScale" priority="8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29">
    <cfRule type="colorScale" priority="8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29">
    <cfRule type="colorScale" priority="9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29">
    <cfRule type="colorScale" priority="9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29">
    <cfRule type="colorScale" priority="9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29">
    <cfRule type="colorScale" priority="9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29">
    <cfRule type="colorScale" priority="7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29">
    <cfRule type="colorScale" priority="7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29">
    <cfRule type="colorScale" priority="8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29">
    <cfRule type="colorScale" priority="8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29">
    <cfRule type="colorScale" priority="5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29">
    <cfRule type="colorScale" priority="5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29">
    <cfRule type="colorScale" priority="5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29">
    <cfRule type="colorScale" priority="5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29">
    <cfRule type="colorScale" priority="6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29">
    <cfRule type="colorScale" priority="6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29">
    <cfRule type="colorScale" priority="6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29">
    <cfRule type="colorScale" priority="6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29">
    <cfRule type="colorScale" priority="7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29">
    <cfRule type="colorScale" priority="7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29">
    <cfRule type="colorScale" priority="4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29">
    <cfRule type="colorScale" priority="4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29">
    <cfRule type="colorScale" priority="4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29">
    <cfRule type="colorScale" priority="4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29">
    <cfRule type="colorScale" priority="3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29">
    <cfRule type="colorScale" priority="3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29">
    <cfRule type="colorScale" priority="2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29">
    <cfRule type="colorScale" priority="2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29">
    <cfRule type="colorScale" priority="1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29">
    <cfRule type="colorScale" priority="1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29">
    <cfRule type="colorScale" priority="2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29">
    <cfRule type="colorScale" priority="2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29">
    <cfRule type="colorScale" priority="3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29">
    <cfRule type="colorScale" priority="3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29">
    <cfRule type="colorScale" priority="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29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29">
    <cfRule type="colorScale" priority="1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29">
    <cfRule type="colorScale" priority="1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29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29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29">
    <cfRule type="colorScale" priority="12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29">
    <cfRule type="colorScale" priority="12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36">
    <cfRule type="colorScale" priority="8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36">
    <cfRule type="colorScale" priority="8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36">
    <cfRule type="colorScale" priority="9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36">
    <cfRule type="colorScale" priority="9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36">
    <cfRule type="colorScale" priority="9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36">
    <cfRule type="colorScale" priority="9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36">
    <cfRule type="colorScale" priority="7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36">
    <cfRule type="colorScale" priority="7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36">
    <cfRule type="colorScale" priority="8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36">
    <cfRule type="colorScale" priority="8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36">
    <cfRule type="colorScale" priority="5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36">
    <cfRule type="colorScale" priority="5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36">
    <cfRule type="colorScale" priority="5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36">
    <cfRule type="colorScale" priority="5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36">
    <cfRule type="colorScale" priority="6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36">
    <cfRule type="colorScale" priority="6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36">
    <cfRule type="colorScale" priority="6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36">
    <cfRule type="colorScale" priority="6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36">
    <cfRule type="colorScale" priority="1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36">
    <cfRule type="colorScale" priority="7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36">
    <cfRule type="colorScale" priority="3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36">
    <cfRule type="colorScale" priority="4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36">
    <cfRule type="colorScale" priority="4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36">
    <cfRule type="colorScale" priority="4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36">
    <cfRule type="colorScale" priority="3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36">
    <cfRule type="colorScale" priority="3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36">
    <cfRule type="colorScale" priority="27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36">
    <cfRule type="colorScale" priority="2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36">
    <cfRule type="colorScale" priority="1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36">
    <cfRule type="colorScale" priority="1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36">
    <cfRule type="colorScale" priority="2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36">
    <cfRule type="colorScale" priority="2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36">
    <cfRule type="colorScale" priority="3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36">
    <cfRule type="colorScale" priority="3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36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36">
    <cfRule type="colorScale" priority="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36">
    <cfRule type="colorScale" priority="1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36">
    <cfRule type="colorScale" priority="1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36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36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36">
    <cfRule type="colorScale" priority="12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36">
    <cfRule type="colorScale" priority="13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47">
    <cfRule type="colorScale" priority="8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47">
    <cfRule type="colorScale" priority="8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47">
    <cfRule type="colorScale" priority="9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47">
    <cfRule type="colorScale" priority="9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47">
    <cfRule type="colorScale" priority="9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47">
    <cfRule type="colorScale" priority="9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47">
    <cfRule type="colorScale" priority="7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47">
    <cfRule type="colorScale" priority="7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47">
    <cfRule type="colorScale" priority="8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47">
    <cfRule type="colorScale" priority="8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47">
    <cfRule type="colorScale" priority="5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47">
    <cfRule type="colorScale" priority="5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47">
    <cfRule type="colorScale" priority="5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47">
    <cfRule type="colorScale" priority="5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47">
    <cfRule type="colorScale" priority="6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47">
    <cfRule type="colorScale" priority="6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47">
    <cfRule type="colorScale" priority="6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47">
    <cfRule type="colorScale" priority="6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47">
    <cfRule type="colorScale" priority="7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47">
    <cfRule type="colorScale" priority="7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47">
    <cfRule type="colorScale" priority="4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47">
    <cfRule type="colorScale" priority="4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47">
    <cfRule type="colorScale" priority="4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47">
    <cfRule type="colorScale" priority="4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47">
    <cfRule type="colorScale" priority="3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47">
    <cfRule type="colorScale" priority="3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47">
    <cfRule type="colorScale" priority="2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47">
    <cfRule type="colorScale" priority="2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47">
    <cfRule type="colorScale" priority="1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47">
    <cfRule type="colorScale" priority="1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47">
    <cfRule type="colorScale" priority="2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47">
    <cfRule type="colorScale" priority="2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47">
    <cfRule type="colorScale" priority="3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47">
    <cfRule type="colorScale" priority="3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47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47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47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47">
    <cfRule type="colorScale" priority="1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47"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47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47">
    <cfRule type="colorScale" priority="13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47">
    <cfRule type="colorScale" priority="13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48">
    <cfRule type="duplicateValues" dxfId="1" priority="13887"/>
  </conditionalFormatting>
  <conditionalFormatting sqref="E949">
    <cfRule type="duplicateValues" dxfId="1" priority="13882"/>
  </conditionalFormatting>
  <conditionalFormatting sqref="BU949:BV949">
    <cfRule type="cellIs" dxfId="0" priority="13880" operator="greaterThan">
      <formula>1</formula>
    </cfRule>
  </conditionalFormatting>
  <conditionalFormatting sqref="E950">
    <cfRule type="duplicateValues" dxfId="1" priority="13885"/>
  </conditionalFormatting>
  <conditionalFormatting sqref="E951">
    <cfRule type="duplicateValues" dxfId="1" priority="13879"/>
  </conditionalFormatting>
  <conditionalFormatting sqref="BU951:BV951">
    <cfRule type="cellIs" dxfId="0" priority="13877" operator="greaterThan">
      <formula>1</formula>
    </cfRule>
  </conditionalFormatting>
  <conditionalFormatting sqref="E952">
    <cfRule type="duplicateValues" dxfId="1" priority="11437"/>
  </conditionalFormatting>
  <conditionalFormatting sqref="E953">
    <cfRule type="duplicateValues" dxfId="1" priority="11432"/>
  </conditionalFormatting>
  <conditionalFormatting sqref="BU953:BV953">
    <cfRule type="cellIs" dxfId="0" priority="11430" operator="greaterThan">
      <formula>1</formula>
    </cfRule>
  </conditionalFormatting>
  <conditionalFormatting sqref="E954">
    <cfRule type="duplicateValues" dxfId="1" priority="11435"/>
  </conditionalFormatting>
  <conditionalFormatting sqref="E955">
    <cfRule type="duplicateValues" dxfId="1" priority="11429"/>
  </conditionalFormatting>
  <conditionalFormatting sqref="BU955:BV955">
    <cfRule type="cellIs" dxfId="0" priority="11427" operator="greaterThan">
      <formula>1</formula>
    </cfRule>
  </conditionalFormatting>
  <conditionalFormatting sqref="E956">
    <cfRule type="duplicateValues" dxfId="1" priority="11724"/>
  </conditionalFormatting>
  <conditionalFormatting sqref="E957">
    <cfRule type="duplicateValues" dxfId="1" priority="11719"/>
  </conditionalFormatting>
  <conditionalFormatting sqref="BU957:BV957">
    <cfRule type="cellIs" dxfId="0" priority="11717" operator="greaterThan">
      <formula>1</formula>
    </cfRule>
  </conditionalFormatting>
  <conditionalFormatting sqref="E958">
    <cfRule type="duplicateValues" dxfId="1" priority="11722"/>
  </conditionalFormatting>
  <conditionalFormatting sqref="E959">
    <cfRule type="duplicateValues" dxfId="1" priority="11716"/>
  </conditionalFormatting>
  <conditionalFormatting sqref="BU959:BV959">
    <cfRule type="cellIs" dxfId="0" priority="11714" operator="greaterThan">
      <formula>1</formula>
    </cfRule>
  </conditionalFormatting>
  <conditionalFormatting sqref="E960">
    <cfRule type="duplicateValues" dxfId="1" priority="14427"/>
  </conditionalFormatting>
  <conditionalFormatting sqref="Q960:R960">
    <cfRule type="colorScale" priority="8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60:T960">
    <cfRule type="colorScale" priority="9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60:V960">
    <cfRule type="colorScale" priority="9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60:X960">
    <cfRule type="colorScale" priority="7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60:Z960">
    <cfRule type="colorScale" priority="8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60:AB960">
    <cfRule type="colorScale" priority="5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60:AD960">
    <cfRule type="colorScale" priority="5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60:AF960">
    <cfRule type="colorScale" priority="6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60:AH960">
    <cfRule type="colorScale" priority="6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60:AJ960">
    <cfRule type="colorScale" priority="7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60:AL960">
    <cfRule type="colorScale" priority="4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60:AN960">
    <cfRule type="colorScale" priority="4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60:AP960">
    <cfRule type="colorScale" priority="3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60:AR960">
    <cfRule type="colorScale" priority="2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60:AT960">
    <cfRule type="colorScale" priority="1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60:AV960">
    <cfRule type="colorScale" priority="2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60:AX960">
    <cfRule type="colorScale" priority="3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60:AZ960">
    <cfRule type="colorScale" priority="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60:BB960">
    <cfRule type="colorScale" priority="1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60:BD960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60:BF960">
    <cfRule type="colorScale" priority="12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71">
    <cfRule type="duplicateValues" dxfId="1" priority="14416"/>
  </conditionalFormatting>
  <conditionalFormatting sqref="Q971">
    <cfRule type="colorScale" priority="8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71">
    <cfRule type="colorScale" priority="8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71">
    <cfRule type="colorScale" priority="9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71">
    <cfRule type="colorScale" priority="9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71">
    <cfRule type="colorScale" priority="9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71">
    <cfRule type="colorScale" priority="9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71">
    <cfRule type="colorScale" priority="7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71">
    <cfRule type="colorScale" priority="7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71">
    <cfRule type="colorScale" priority="8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71">
    <cfRule type="colorScale" priority="8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71">
    <cfRule type="colorScale" priority="5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71">
    <cfRule type="colorScale" priority="5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71">
    <cfRule type="colorScale" priority="5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71">
    <cfRule type="colorScale" priority="5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71">
    <cfRule type="colorScale" priority="6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71">
    <cfRule type="colorScale" priority="6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71">
    <cfRule type="colorScale" priority="6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71">
    <cfRule type="colorScale" priority="6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71">
    <cfRule type="colorScale" priority="7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71">
    <cfRule type="colorScale" priority="7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71">
    <cfRule type="colorScale" priority="4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71">
    <cfRule type="colorScale" priority="4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71">
    <cfRule type="colorScale" priority="4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71">
    <cfRule type="colorScale" priority="4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71">
    <cfRule type="colorScale" priority="3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71">
    <cfRule type="colorScale" priority="3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71">
    <cfRule type="colorScale" priority="2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71">
    <cfRule type="colorScale" priority="2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71">
    <cfRule type="colorScale" priority="1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71">
    <cfRule type="colorScale" priority="1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71">
    <cfRule type="colorScale" priority="2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71">
    <cfRule type="colorScale" priority="2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71">
    <cfRule type="colorScale" priority="3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71">
    <cfRule type="colorScale" priority="3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71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71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71">
    <cfRule type="colorScale" priority="1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71">
    <cfRule type="colorScale" priority="1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71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71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71">
    <cfRule type="colorScale" priority="13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71">
    <cfRule type="colorScale" priority="13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80">
    <cfRule type="colorScale" priority="8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80">
    <cfRule type="colorScale" priority="8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80">
    <cfRule type="colorScale" priority="9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80">
    <cfRule type="colorScale" priority="9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80">
    <cfRule type="colorScale" priority="9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80">
    <cfRule type="colorScale" priority="9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80">
    <cfRule type="colorScale" priority="7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80">
    <cfRule type="colorScale" priority="7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80">
    <cfRule type="colorScale" priority="8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80">
    <cfRule type="colorScale" priority="8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80">
    <cfRule type="colorScale" priority="5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80">
    <cfRule type="colorScale" priority="5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80">
    <cfRule type="colorScale" priority="5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80">
    <cfRule type="colorScale" priority="5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80">
    <cfRule type="colorScale" priority="6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80">
    <cfRule type="colorScale" priority="6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80">
    <cfRule type="colorScale" priority="6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80">
    <cfRule type="colorScale" priority="6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80">
    <cfRule type="colorScale" priority="7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80">
    <cfRule type="colorScale" priority="7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80">
    <cfRule type="colorScale" priority="4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80">
    <cfRule type="colorScale" priority="4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80">
    <cfRule type="colorScale" priority="4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80">
    <cfRule type="colorScale" priority="4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80">
    <cfRule type="colorScale" priority="3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80">
    <cfRule type="colorScale" priority="3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80">
    <cfRule type="colorScale" priority="2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80">
    <cfRule type="colorScale" priority="2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80">
    <cfRule type="colorScale" priority="1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80">
    <cfRule type="colorScale" priority="1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80">
    <cfRule type="colorScale" priority="2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80">
    <cfRule type="colorScale" priority="2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80">
    <cfRule type="colorScale" priority="3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80">
    <cfRule type="colorScale" priority="3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80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80">
    <cfRule type="colorScale" priority="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80">
    <cfRule type="colorScale" priority="1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80">
    <cfRule type="colorScale" priority="1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80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80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80">
    <cfRule type="colorScale" priority="13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80">
    <cfRule type="colorScale" priority="13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83">
    <cfRule type="colorScale" priority="8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83">
    <cfRule type="colorScale" priority="8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83">
    <cfRule type="colorScale" priority="9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83">
    <cfRule type="colorScale" priority="9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83">
    <cfRule type="colorScale" priority="9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83">
    <cfRule type="colorScale" priority="9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83">
    <cfRule type="colorScale" priority="7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83">
    <cfRule type="colorScale" priority="7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83">
    <cfRule type="colorScale" priority="8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83">
    <cfRule type="colorScale" priority="8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83">
    <cfRule type="colorScale" priority="5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83">
    <cfRule type="colorScale" priority="5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83">
    <cfRule type="colorScale" priority="5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83">
    <cfRule type="colorScale" priority="5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83">
    <cfRule type="colorScale" priority="6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83">
    <cfRule type="colorScale" priority="6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83">
    <cfRule type="colorScale" priority="6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83">
    <cfRule type="colorScale" priority="6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83">
    <cfRule type="colorScale" priority="7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83">
    <cfRule type="colorScale" priority="7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83">
    <cfRule type="colorScale" priority="4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83">
    <cfRule type="colorScale" priority="4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83">
    <cfRule type="colorScale" priority="4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83">
    <cfRule type="colorScale" priority="4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83">
    <cfRule type="colorScale" priority="3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83">
    <cfRule type="colorScale" priority="3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83">
    <cfRule type="colorScale" priority="2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83">
    <cfRule type="colorScale" priority="2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83">
    <cfRule type="colorScale" priority="1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83">
    <cfRule type="colorScale" priority="1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83">
    <cfRule type="colorScale" priority="2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83">
    <cfRule type="colorScale" priority="2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83">
    <cfRule type="colorScale" priority="3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83">
    <cfRule type="colorScale" priority="3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83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83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83"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83">
    <cfRule type="colorScale" priority="1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83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83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83">
    <cfRule type="colorScale" priority="12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83">
    <cfRule type="colorScale" priority="12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88">
    <cfRule type="colorScale" priority="8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88">
    <cfRule type="colorScale" priority="8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88">
    <cfRule type="colorScale" priority="9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88">
    <cfRule type="colorScale" priority="9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88">
    <cfRule type="colorScale" priority="9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88">
    <cfRule type="colorScale" priority="9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88">
    <cfRule type="colorScale" priority="7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88">
    <cfRule type="colorScale" priority="7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88">
    <cfRule type="colorScale" priority="8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88">
    <cfRule type="colorScale" priority="8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88">
    <cfRule type="colorScale" priority="5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88">
    <cfRule type="colorScale" priority="5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88">
    <cfRule type="colorScale" priority="5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88">
    <cfRule type="colorScale" priority="5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88">
    <cfRule type="colorScale" priority="6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88">
    <cfRule type="colorScale" priority="6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88">
    <cfRule type="colorScale" priority="6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88">
    <cfRule type="colorScale" priority="6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88">
    <cfRule type="colorScale" priority="7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88">
    <cfRule type="colorScale" priority="7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88">
    <cfRule type="colorScale" priority="4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88">
    <cfRule type="colorScale" priority="4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88">
    <cfRule type="colorScale" priority="4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88">
    <cfRule type="colorScale" priority="4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88">
    <cfRule type="colorScale" priority="3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88">
    <cfRule type="colorScale" priority="3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88">
    <cfRule type="colorScale" priority="2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88">
    <cfRule type="colorScale" priority="2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88">
    <cfRule type="colorScale" priority="1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88">
    <cfRule type="colorScale" priority="1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88">
    <cfRule type="colorScale" priority="2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88">
    <cfRule type="colorScale" priority="2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88">
    <cfRule type="colorScale" priority="3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88">
    <cfRule type="colorScale" priority="3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88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88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88">
    <cfRule type="colorScale" priority="1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88">
    <cfRule type="colorScale" priority="1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88"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88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88">
    <cfRule type="colorScale" priority="13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88">
    <cfRule type="colorScale" priority="13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97">
    <cfRule type="colorScale" priority="8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97">
    <cfRule type="colorScale" priority="8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97">
    <cfRule type="colorScale" priority="9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97">
    <cfRule type="colorScale" priority="9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97">
    <cfRule type="colorScale" priority="9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97">
    <cfRule type="colorScale" priority="10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97">
    <cfRule type="colorScale" priority="7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97">
    <cfRule type="colorScale" priority="7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97">
    <cfRule type="colorScale" priority="8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97">
    <cfRule type="colorScale" priority="8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97">
    <cfRule type="colorScale" priority="5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97">
    <cfRule type="colorScale" priority="5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97">
    <cfRule type="colorScale" priority="5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97">
    <cfRule type="colorScale" priority="5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97">
    <cfRule type="colorScale" priority="6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97">
    <cfRule type="colorScale" priority="6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97">
    <cfRule type="colorScale" priority="6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97">
    <cfRule type="colorScale" priority="6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97">
    <cfRule type="colorScale" priority="7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97">
    <cfRule type="colorScale" priority="7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997">
    <cfRule type="colorScale" priority="4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97">
    <cfRule type="colorScale" priority="4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97">
    <cfRule type="colorScale" priority="4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997">
    <cfRule type="colorScale" priority="4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97">
    <cfRule type="colorScale" priority="2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97">
    <cfRule type="colorScale" priority="3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97">
    <cfRule type="colorScale" priority="2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97">
    <cfRule type="colorScale" priority="2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97">
    <cfRule type="colorScale" priority="1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997">
    <cfRule type="colorScale" priority="1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97">
    <cfRule type="colorScale" priority="2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997">
    <cfRule type="colorScale" priority="2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97">
    <cfRule type="colorScale" priority="3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97">
    <cfRule type="colorScale" priority="3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97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97">
    <cfRule type="colorScale" priority="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97">
    <cfRule type="colorScale" priority="1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97">
    <cfRule type="colorScale" priority="1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9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997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97">
    <cfRule type="colorScale" priority="12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997">
    <cfRule type="colorScale" priority="13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026:R1026">
    <cfRule type="colorScale" priority="8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26:T1026">
    <cfRule type="colorScale" priority="9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26:V1026">
    <cfRule type="colorScale" priority="10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026:X1026">
    <cfRule type="colorScale" priority="7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026:Z1026">
    <cfRule type="colorScale" priority="8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26:AB1026">
    <cfRule type="colorScale" priority="5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026:AD1026">
    <cfRule type="colorScale" priority="5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026:AF1026">
    <cfRule type="colorScale" priority="6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26:AH1026">
    <cfRule type="colorScale" priority="6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026:AJ1026">
    <cfRule type="colorScale" priority="7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026:AL1026">
    <cfRule type="colorScale" priority="4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26:AN1026">
    <cfRule type="colorScale" priority="4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026:AP1026">
    <cfRule type="colorScale" priority="3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026:AR1026">
    <cfRule type="colorScale" priority="2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026:AT1026">
    <cfRule type="colorScale" priority="1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026:AV1026">
    <cfRule type="colorScale" priority="2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026:AX1026">
    <cfRule type="colorScale" priority="3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026:AZ1026">
    <cfRule type="colorScale" priority="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026:BB1026">
    <cfRule type="colorScale" priority="1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026:BD1026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026:BF1026">
    <cfRule type="colorScale" priority="13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031">
    <cfRule type="colorScale" priority="8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31">
    <cfRule type="colorScale" priority="9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31">
    <cfRule type="colorScale" priority="9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031">
    <cfRule type="colorScale" priority="7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031">
    <cfRule type="colorScale" priority="8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31">
    <cfRule type="colorScale" priority="5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031">
    <cfRule type="colorScale" priority="5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031">
    <cfRule type="colorScale" priority="6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31">
    <cfRule type="colorScale" priority="6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031">
    <cfRule type="colorScale" priority="7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031">
    <cfRule type="colorScale" priority="4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31">
    <cfRule type="colorScale" priority="4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031">
    <cfRule type="colorScale" priority="3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031">
    <cfRule type="colorScale" priority="2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031">
    <cfRule type="colorScale" priority="1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031">
    <cfRule type="colorScale" priority="2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031">
    <cfRule type="colorScale" priority="3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031"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031">
    <cfRule type="colorScale" priority="1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031"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031">
    <cfRule type="colorScale" priority="13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044">
    <cfRule type="colorScale" priority="8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044">
    <cfRule type="colorScale" priority="9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044">
    <cfRule type="colorScale" priority="9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044">
    <cfRule type="colorScale" priority="7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044">
    <cfRule type="colorScale" priority="8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044">
    <cfRule type="colorScale" priority="5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044">
    <cfRule type="colorScale" priority="5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044">
    <cfRule type="colorScale" priority="6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044">
    <cfRule type="colorScale" priority="6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044">
    <cfRule type="colorScale" priority="7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044">
    <cfRule type="colorScale" priority="4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044">
    <cfRule type="colorScale" priority="4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044">
    <cfRule type="colorScale" priority="3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044">
    <cfRule type="colorScale" priority="2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044">
    <cfRule type="colorScale" priority="1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044">
    <cfRule type="colorScale" priority="2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044">
    <cfRule type="colorScale" priority="3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044">
    <cfRule type="colorScale" priority="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044">
    <cfRule type="colorScale" priority="1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044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044">
    <cfRule type="colorScale" priority="13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44">
    <cfRule type="colorScale" priority="13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45">
    <cfRule type="duplicateValues" dxfId="1" priority="11894"/>
  </conditionalFormatting>
  <conditionalFormatting sqref="E1047">
    <cfRule type="duplicateValues" dxfId="1" priority="11896"/>
  </conditionalFormatting>
  <conditionalFormatting sqref="E1049">
    <cfRule type="duplicateValues" dxfId="1" priority="10559"/>
  </conditionalFormatting>
  <conditionalFormatting sqref="E1051">
    <cfRule type="duplicateValues" dxfId="1" priority="10553"/>
  </conditionalFormatting>
  <conditionalFormatting sqref="E1053">
    <cfRule type="duplicateValues" dxfId="1" priority="11913"/>
  </conditionalFormatting>
  <conditionalFormatting sqref="E1055">
    <cfRule type="duplicateValues" dxfId="1" priority="11915"/>
  </conditionalFormatting>
  <conditionalFormatting sqref="E1057">
    <cfRule type="duplicateValues" dxfId="1" priority="10569"/>
  </conditionalFormatting>
  <conditionalFormatting sqref="E1059">
    <cfRule type="duplicateValues" dxfId="1" priority="10571"/>
  </conditionalFormatting>
  <conditionalFormatting sqref="Q1065:R1065">
    <cfRule type="colorScale" priority="8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65:T1065">
    <cfRule type="colorScale" priority="9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65:V1065">
    <cfRule type="colorScale" priority="9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065:X1065">
    <cfRule type="colorScale" priority="7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065:Z1065">
    <cfRule type="colorScale" priority="8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65:AB1065">
    <cfRule type="colorScale" priority="5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065:AD1065">
    <cfRule type="colorScale" priority="57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065:AF1065">
    <cfRule type="colorScale" priority="6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65:AH1065">
    <cfRule type="colorScale" priority="6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065:AJ1065">
    <cfRule type="colorScale" priority="7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065:AL1065">
    <cfRule type="colorScale" priority="4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65:AN1065">
    <cfRule type="colorScale" priority="4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065:AP1065">
    <cfRule type="colorScale" priority="3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065:AR1065">
    <cfRule type="colorScale" priority="2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065:AT1065">
    <cfRule type="colorScale" priority="1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065:AV1065">
    <cfRule type="colorScale" priority="2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065:AX1065">
    <cfRule type="colorScale" priority="3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065:AZ1065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065:BB1065">
    <cfRule type="colorScale" priority="1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065:BD1065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065:BF1065">
    <cfRule type="colorScale" priority="12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090:R1090">
    <cfRule type="colorScale" priority="8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90:T1090">
    <cfRule type="colorScale" priority="9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90:V1090">
    <cfRule type="colorScale" priority="9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090:X1090">
    <cfRule type="colorScale" priority="7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090:Z1090">
    <cfRule type="colorScale" priority="8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90:AB1090">
    <cfRule type="colorScale" priority="5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090:AD1090">
    <cfRule type="colorScale" priority="5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090:AF1090">
    <cfRule type="colorScale" priority="6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90:AH1090">
    <cfRule type="colorScale" priority="6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090:AJ1090">
    <cfRule type="colorScale" priority="7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090:AL1090">
    <cfRule type="colorScale" priority="4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90:AN1090">
    <cfRule type="colorScale" priority="4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090:AP1090">
    <cfRule type="colorScale" priority="3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090:AR1090">
    <cfRule type="colorScale" priority="2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090:AT1090">
    <cfRule type="colorScale" priority="1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090:AV1090">
    <cfRule type="colorScale" priority="2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090:AX1090">
    <cfRule type="colorScale" priority="3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090:AZ1090">
    <cfRule type="colorScale" priority="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090:BB1090">
    <cfRule type="colorScale" priority="1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090:BD1090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090:BF1090">
    <cfRule type="colorScale" priority="13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95">
    <cfRule type="duplicateValues" dxfId="1" priority="12713"/>
  </conditionalFormatting>
  <conditionalFormatting sqref="E1117">
    <cfRule type="duplicateValues" dxfId="1" priority="14361"/>
  </conditionalFormatting>
  <conditionalFormatting sqref="Q1117">
    <cfRule type="colorScale" priority="8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17">
    <cfRule type="colorScale" priority="8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17">
    <cfRule type="colorScale" priority="9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17">
    <cfRule type="colorScale" priority="9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17">
    <cfRule type="colorScale" priority="9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17">
    <cfRule type="colorScale" priority="9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17">
    <cfRule type="colorScale" priority="7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17">
    <cfRule type="colorScale" priority="7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17">
    <cfRule type="colorScale" priority="8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17">
    <cfRule type="colorScale" priority="8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17">
    <cfRule type="colorScale" priority="5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17">
    <cfRule type="colorScale" priority="5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17">
    <cfRule type="colorScale" priority="5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17">
    <cfRule type="colorScale" priority="5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17">
    <cfRule type="colorScale" priority="6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17">
    <cfRule type="colorScale" priority="6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17">
    <cfRule type="colorScale" priority="6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17">
    <cfRule type="colorScale" priority="6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17">
    <cfRule type="colorScale" priority="7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17">
    <cfRule type="colorScale" priority="7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17">
    <cfRule type="colorScale" priority="4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17">
    <cfRule type="colorScale" priority="4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17">
    <cfRule type="colorScale" priority="4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17">
    <cfRule type="colorScale" priority="4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17">
    <cfRule type="colorScale" priority="3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17">
    <cfRule type="colorScale" priority="3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17">
    <cfRule type="colorScale" priority="2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17">
    <cfRule type="colorScale" priority="2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17">
    <cfRule type="colorScale" priority="1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17">
    <cfRule type="colorScale" priority="1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17">
    <cfRule type="colorScale" priority="2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17">
    <cfRule type="colorScale" priority="2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17">
    <cfRule type="colorScale" priority="3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17">
    <cfRule type="colorScale" priority="3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17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17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17">
    <cfRule type="colorScale" priority="1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17">
    <cfRule type="colorScale" priority="1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17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17"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17">
    <cfRule type="colorScale" priority="13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17">
    <cfRule type="colorScale" priority="13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34">
    <cfRule type="colorScale" priority="8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34">
    <cfRule type="colorScale" priority="8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34">
    <cfRule type="colorScale" priority="9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34">
    <cfRule type="colorScale" priority="9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34">
    <cfRule type="colorScale" priority="9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34">
    <cfRule type="colorScale" priority="9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34">
    <cfRule type="colorScale" priority="7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34">
    <cfRule type="colorScale" priority="7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34">
    <cfRule type="colorScale" priority="8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34">
    <cfRule type="colorScale" priority="8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34">
    <cfRule type="colorScale" priority="5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34">
    <cfRule type="colorScale" priority="5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34">
    <cfRule type="colorScale" priority="5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34">
    <cfRule type="colorScale" priority="5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34">
    <cfRule type="colorScale" priority="6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34">
    <cfRule type="colorScale" priority="6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34">
    <cfRule type="colorScale" priority="6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34">
    <cfRule type="colorScale" priority="6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34">
    <cfRule type="colorScale" priority="7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34">
    <cfRule type="colorScale" priority="7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34">
    <cfRule type="colorScale" priority="4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34">
    <cfRule type="colorScale" priority="4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34">
    <cfRule type="colorScale" priority="4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34">
    <cfRule type="colorScale" priority="4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34">
    <cfRule type="colorScale" priority="3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34">
    <cfRule type="colorScale" priority="3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34">
    <cfRule type="colorScale" priority="2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34">
    <cfRule type="colorScale" priority="2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34">
    <cfRule type="colorScale" priority="1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34">
    <cfRule type="colorScale" priority="1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34">
    <cfRule type="colorScale" priority="2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34">
    <cfRule type="colorScale" priority="2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34">
    <cfRule type="colorScale" priority="3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34">
    <cfRule type="colorScale" priority="3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34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34">
    <cfRule type="colorScale" priority="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34">
    <cfRule type="colorScale" priority="1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34">
    <cfRule type="colorScale" priority="1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34">
    <cfRule type="colorScale" priority="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34">
    <cfRule type="colorScale" priority="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34">
    <cfRule type="colorScale" priority="13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34">
    <cfRule type="colorScale" priority="13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39:R1139">
    <cfRule type="colorScale" priority="8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39:T1139">
    <cfRule type="colorScale" priority="9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39:V1139">
    <cfRule type="colorScale" priority="9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39">
    <cfRule type="colorScale" priority="7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39">
    <cfRule type="colorScale" priority="7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39:Z1139">
    <cfRule type="colorScale" priority="8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39:AB1139">
    <cfRule type="colorScale" priority="5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39:AD1139">
    <cfRule type="colorScale" priority="5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39:AF1139">
    <cfRule type="colorScale" priority="6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39:AH1139">
    <cfRule type="colorScale" priority="6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39:AJ1139">
    <cfRule type="colorScale" priority="7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39">
    <cfRule type="colorScale" priority="3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39">
    <cfRule type="colorScale" priority="4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39:AN1139">
    <cfRule type="colorScale" priority="4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39:AP1139">
    <cfRule type="colorScale" priority="3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39:AR1139">
    <cfRule type="colorScale" priority="2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39:AT1139">
    <cfRule type="colorScale" priority="1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39:AV1139">
    <cfRule type="colorScale" priority="2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39:AX1139">
    <cfRule type="colorScale" priority="3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39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39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39:BB1139"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39:BD1139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39:BF1139">
    <cfRule type="colorScale" priority="12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44">
    <cfRule type="colorScale" priority="8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44">
    <cfRule type="colorScale" priority="8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44">
    <cfRule type="colorScale" priority="9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44">
    <cfRule type="colorScale" priority="9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44">
    <cfRule type="colorScale" priority="9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44">
    <cfRule type="colorScale" priority="9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44">
    <cfRule type="colorScale" priority="7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44">
    <cfRule type="colorScale" priority="7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44">
    <cfRule type="colorScale" priority="8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44">
    <cfRule type="colorScale" priority="8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44">
    <cfRule type="colorScale" priority="5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44">
    <cfRule type="colorScale" priority="5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44">
    <cfRule type="colorScale" priority="5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44">
    <cfRule type="colorScale" priority="5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44">
    <cfRule type="colorScale" priority="6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44">
    <cfRule type="colorScale" priority="6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44">
    <cfRule type="colorScale" priority="6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44">
    <cfRule type="colorScale" priority="6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44">
    <cfRule type="colorScale" priority="7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44">
    <cfRule type="colorScale" priority="7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44">
    <cfRule type="colorScale" priority="4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44">
    <cfRule type="colorScale" priority="4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44">
    <cfRule type="colorScale" priority="4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44">
    <cfRule type="colorScale" priority="4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44">
    <cfRule type="colorScale" priority="3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44">
    <cfRule type="colorScale" priority="3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44">
    <cfRule type="colorScale" priority="2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44">
    <cfRule type="colorScale" priority="2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44">
    <cfRule type="colorScale" priority="1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44">
    <cfRule type="colorScale" priority="1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44">
    <cfRule type="colorScale" priority="2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44">
    <cfRule type="colorScale" priority="2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44">
    <cfRule type="colorScale" priority="3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44">
    <cfRule type="colorScale" priority="39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44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44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44">
    <cfRule type="colorScale" priority="1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44">
    <cfRule type="colorScale" priority="1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44"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44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44">
    <cfRule type="colorScale" priority="130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44">
    <cfRule type="colorScale" priority="13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47">
    <cfRule type="duplicateValues" dxfId="1" priority="12297"/>
  </conditionalFormatting>
  <conditionalFormatting sqref="Q1147">
    <cfRule type="colorScale" priority="8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47">
    <cfRule type="colorScale" priority="8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47">
    <cfRule type="colorScale" priority="9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47">
    <cfRule type="colorScale" priority="9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47">
    <cfRule type="colorScale" priority="9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47">
    <cfRule type="colorScale" priority="9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47">
    <cfRule type="colorScale" priority="7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47">
    <cfRule type="colorScale" priority="7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47">
    <cfRule type="colorScale" priority="80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47">
    <cfRule type="colorScale" priority="8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47">
    <cfRule type="colorScale" priority="5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47">
    <cfRule type="colorScale" priority="5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47">
    <cfRule type="colorScale" priority="5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47">
    <cfRule type="colorScale" priority="5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47">
    <cfRule type="colorScale" priority="6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47">
    <cfRule type="colorScale" priority="6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47">
    <cfRule type="colorScale" priority="6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47">
    <cfRule type="colorScale" priority="6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47">
    <cfRule type="colorScale" priority="7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47">
    <cfRule type="colorScale" priority="7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47">
    <cfRule type="colorScale" priority="4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47">
    <cfRule type="colorScale" priority="4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47">
    <cfRule type="colorScale" priority="4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47">
    <cfRule type="colorScale" priority="4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47">
    <cfRule type="colorScale" priority="3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47">
    <cfRule type="colorScale" priority="3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47">
    <cfRule type="colorScale" priority="2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47">
    <cfRule type="colorScale" priority="2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47">
    <cfRule type="colorScale" priority="1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47">
    <cfRule type="colorScale" priority="1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47">
    <cfRule type="colorScale" priority="2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47">
    <cfRule type="colorScale" priority="2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47">
    <cfRule type="colorScale" priority="3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47">
    <cfRule type="colorScale" priority="3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47"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47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47">
    <cfRule type="colorScale" priority="1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47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47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47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47">
    <cfRule type="colorScale" priority="12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47">
    <cfRule type="colorScale" priority="12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147:BV1147">
    <cfRule type="cellIs" dxfId="0" priority="12295" operator="greaterThan">
      <formula>1</formula>
    </cfRule>
  </conditionalFormatting>
  <conditionalFormatting sqref="E1164">
    <cfRule type="duplicateValues" dxfId="1" priority="11907"/>
  </conditionalFormatting>
  <conditionalFormatting sqref="Q1164">
    <cfRule type="colorScale" priority="8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64">
    <cfRule type="colorScale" priority="8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64">
    <cfRule type="colorScale" priority="9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64">
    <cfRule type="colorScale" priority="9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64">
    <cfRule type="colorScale" priority="9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64">
    <cfRule type="colorScale" priority="9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64">
    <cfRule type="colorScale" priority="7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64">
    <cfRule type="colorScale" priority="7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64">
    <cfRule type="colorScale" priority="8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64">
    <cfRule type="colorScale" priority="8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64">
    <cfRule type="colorScale" priority="5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64">
    <cfRule type="colorScale" priority="5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64">
    <cfRule type="colorScale" priority="5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64">
    <cfRule type="colorScale" priority="5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64">
    <cfRule type="colorScale" priority="6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64">
    <cfRule type="colorScale" priority="6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64">
    <cfRule type="colorScale" priority="6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64">
    <cfRule type="colorScale" priority="6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64">
    <cfRule type="colorScale" priority="7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64">
    <cfRule type="colorScale" priority="7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64">
    <cfRule type="colorScale" priority="40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64">
    <cfRule type="colorScale" priority="4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64">
    <cfRule type="colorScale" priority="4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64">
    <cfRule type="colorScale" priority="4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64">
    <cfRule type="colorScale" priority="3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64">
    <cfRule type="colorScale" priority="3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64">
    <cfRule type="colorScale" priority="2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64">
    <cfRule type="colorScale" priority="2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64">
    <cfRule type="colorScale" priority="1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64">
    <cfRule type="colorScale" priority="1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64">
    <cfRule type="colorScale" priority="2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64">
    <cfRule type="colorScale" priority="2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64">
    <cfRule type="colorScale" priority="3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64">
    <cfRule type="colorScale" priority="3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64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64"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64"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64">
    <cfRule type="colorScale" priority="1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6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6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64">
    <cfRule type="colorScale" priority="11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64">
    <cfRule type="colorScale" priority="11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164:BV1164">
    <cfRule type="cellIs" dxfId="0" priority="11905" operator="greaterThan">
      <formula>1</formula>
    </cfRule>
  </conditionalFormatting>
  <conditionalFormatting sqref="E1165">
    <cfRule type="duplicateValues" dxfId="1" priority="14386"/>
  </conditionalFormatting>
  <conditionalFormatting sqref="E1166">
    <cfRule type="duplicateValues" dxfId="1" priority="14145"/>
  </conditionalFormatting>
  <conditionalFormatting sqref="E1167">
    <cfRule type="duplicateValues" dxfId="1" priority="14298"/>
  </conditionalFormatting>
  <conditionalFormatting sqref="E1168">
    <cfRule type="duplicateValues" dxfId="1" priority="14115"/>
  </conditionalFormatting>
  <conditionalFormatting sqref="E1173">
    <cfRule type="duplicateValues" dxfId="1" priority="14382"/>
  </conditionalFormatting>
  <conditionalFormatting sqref="Q1173">
    <cfRule type="colorScale" priority="8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73">
    <cfRule type="colorScale" priority="8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73">
    <cfRule type="colorScale" priority="9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73">
    <cfRule type="colorScale" priority="9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73">
    <cfRule type="colorScale" priority="9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73">
    <cfRule type="colorScale" priority="9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73">
    <cfRule type="colorScale" priority="7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73">
    <cfRule type="colorScale" priority="7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73">
    <cfRule type="colorScale" priority="8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73">
    <cfRule type="colorScale" priority="8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73">
    <cfRule type="colorScale" priority="5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73">
    <cfRule type="colorScale" priority="5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73">
    <cfRule type="colorScale" priority="5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73">
    <cfRule type="colorScale" priority="5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73">
    <cfRule type="colorScale" priority="6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73">
    <cfRule type="colorScale" priority="6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73">
    <cfRule type="colorScale" priority="6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73">
    <cfRule type="colorScale" priority="6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73">
    <cfRule type="colorScale" priority="7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73">
    <cfRule type="colorScale" priority="7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73">
    <cfRule type="colorScale" priority="4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73">
    <cfRule type="colorScale" priority="4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73">
    <cfRule type="colorScale" priority="4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73">
    <cfRule type="colorScale" priority="4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73">
    <cfRule type="colorScale" priority="3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73">
    <cfRule type="colorScale" priority="3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73">
    <cfRule type="colorScale" priority="2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73">
    <cfRule type="colorScale" priority="2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73">
    <cfRule type="colorScale" priority="1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73">
    <cfRule type="colorScale" priority="1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73">
    <cfRule type="colorScale" priority="2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73">
    <cfRule type="colorScale" priority="2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73">
    <cfRule type="colorScale" priority="3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73">
    <cfRule type="colorScale" priority="3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73">
    <cfRule type="colorScale" priority="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73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73">
    <cfRule type="colorScale" priority="1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73">
    <cfRule type="colorScale" priority="1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73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73"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73">
    <cfRule type="colorScale" priority="13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73">
    <cfRule type="colorScale" priority="13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78">
    <cfRule type="duplicateValues" dxfId="1" priority="11732"/>
  </conditionalFormatting>
  <conditionalFormatting sqref="E1179">
    <cfRule type="duplicateValues" dxfId="1" priority="11730"/>
  </conditionalFormatting>
  <conditionalFormatting sqref="E1180">
    <cfRule type="duplicateValues" dxfId="1" priority="14384"/>
  </conditionalFormatting>
  <conditionalFormatting sqref="E1181">
    <cfRule type="duplicateValues" dxfId="1" priority="14131"/>
  </conditionalFormatting>
  <conditionalFormatting sqref="E1182">
    <cfRule type="duplicateValues" dxfId="1" priority="14367"/>
  </conditionalFormatting>
  <conditionalFormatting sqref="Q1182">
    <cfRule type="colorScale" priority="8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82">
    <cfRule type="colorScale" priority="8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82">
    <cfRule type="colorScale" priority="9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82">
    <cfRule type="colorScale" priority="9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82">
    <cfRule type="colorScale" priority="9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82">
    <cfRule type="colorScale" priority="9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82">
    <cfRule type="colorScale" priority="7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82">
    <cfRule type="colorScale" priority="7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82">
    <cfRule type="colorScale" priority="8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82">
    <cfRule type="colorScale" priority="8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82">
    <cfRule type="colorScale" priority="5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82">
    <cfRule type="colorScale" priority="5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82">
    <cfRule type="colorScale" priority="5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82">
    <cfRule type="colorScale" priority="5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82">
    <cfRule type="colorScale" priority="6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82">
    <cfRule type="colorScale" priority="6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82">
    <cfRule type="colorScale" priority="6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82">
    <cfRule type="colorScale" priority="6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82">
    <cfRule type="colorScale" priority="7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82">
    <cfRule type="colorScale" priority="7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82">
    <cfRule type="colorScale" priority="4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82">
    <cfRule type="colorScale" priority="4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82">
    <cfRule type="colorScale" priority="4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82">
    <cfRule type="colorScale" priority="4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82">
    <cfRule type="colorScale" priority="3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82">
    <cfRule type="colorScale" priority="3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82">
    <cfRule type="colorScale" priority="2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82">
    <cfRule type="colorScale" priority="2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82">
    <cfRule type="colorScale" priority="1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82">
    <cfRule type="colorScale" priority="1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82">
    <cfRule type="colorScale" priority="2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82">
    <cfRule type="colorScale" priority="2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82">
    <cfRule type="colorScale" priority="3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82">
    <cfRule type="colorScale" priority="3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82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82">
    <cfRule type="colorScale" priority="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82"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82">
    <cfRule type="colorScale" priority="1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82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82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82">
    <cfRule type="colorScale" priority="12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82">
    <cfRule type="colorScale" priority="12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89">
    <cfRule type="colorScale" priority="8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89">
    <cfRule type="colorScale" priority="8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89">
    <cfRule type="colorScale" priority="9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89">
    <cfRule type="colorScale" priority="9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89">
    <cfRule type="colorScale" priority="9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89">
    <cfRule type="colorScale" priority="9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89">
    <cfRule type="colorScale" priority="7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89">
    <cfRule type="colorScale" priority="7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89">
    <cfRule type="colorScale" priority="8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89">
    <cfRule type="colorScale" priority="8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89">
    <cfRule type="colorScale" priority="5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89">
    <cfRule type="colorScale" priority="5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89">
    <cfRule type="colorScale" priority="5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89">
    <cfRule type="colorScale" priority="5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89">
    <cfRule type="colorScale" priority="6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89">
    <cfRule type="colorScale" priority="6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89">
    <cfRule type="colorScale" priority="6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89">
    <cfRule type="colorScale" priority="6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89">
    <cfRule type="colorScale" priority="7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89">
    <cfRule type="colorScale" priority="7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89">
    <cfRule type="colorScale" priority="4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89">
    <cfRule type="colorScale" priority="4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89">
    <cfRule type="colorScale" priority="4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89">
    <cfRule type="colorScale" priority="4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89">
    <cfRule type="colorScale" priority="3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89">
    <cfRule type="colorScale" priority="3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89">
    <cfRule type="colorScale" priority="2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89">
    <cfRule type="colorScale" priority="2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89">
    <cfRule type="colorScale" priority="1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89">
    <cfRule type="colorScale" priority="1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89">
    <cfRule type="colorScale" priority="2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89">
    <cfRule type="colorScale" priority="2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89">
    <cfRule type="colorScale" priority="3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89">
    <cfRule type="colorScale" priority="3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89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89">
    <cfRule type="colorScale" priority="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89"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89">
    <cfRule type="colorScale" priority="1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89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89">
    <cfRule type="colorScale" priority="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89">
    <cfRule type="colorScale" priority="12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89">
    <cfRule type="colorScale" priority="13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92">
    <cfRule type="duplicateValues" dxfId="1" priority="11522"/>
  </conditionalFormatting>
  <conditionalFormatting sqref="Q1192">
    <cfRule type="colorScale" priority="8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92">
    <cfRule type="colorScale" priority="8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92">
    <cfRule type="colorScale" priority="9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92">
    <cfRule type="colorScale" priority="9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92">
    <cfRule type="colorScale" priority="9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92">
    <cfRule type="colorScale" priority="9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92">
    <cfRule type="colorScale" priority="7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92">
    <cfRule type="colorScale" priority="7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92">
    <cfRule type="colorScale" priority="8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92">
    <cfRule type="colorScale" priority="8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92">
    <cfRule type="colorScale" priority="5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92">
    <cfRule type="colorScale" priority="5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92">
    <cfRule type="colorScale" priority="5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92">
    <cfRule type="colorScale" priority="5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92">
    <cfRule type="colorScale" priority="6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92">
    <cfRule type="colorScale" priority="6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92">
    <cfRule type="colorScale" priority="6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92">
    <cfRule type="colorScale" priority="6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92">
    <cfRule type="colorScale" priority="7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92">
    <cfRule type="colorScale" priority="7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192">
    <cfRule type="colorScale" priority="4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92">
    <cfRule type="colorScale" priority="4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92">
    <cfRule type="colorScale" priority="4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192">
    <cfRule type="colorScale" priority="4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92">
    <cfRule type="colorScale" priority="3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192">
    <cfRule type="colorScale" priority="3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92">
    <cfRule type="colorScale" priority="2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192">
    <cfRule type="colorScale" priority="2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92">
    <cfRule type="colorScale" priority="1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192">
    <cfRule type="colorScale" priority="1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92">
    <cfRule type="colorScale" priority="2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192">
    <cfRule type="colorScale" priority="2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92">
    <cfRule type="colorScale" priority="3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192">
    <cfRule type="colorScale" priority="3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92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92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92">
    <cfRule type="colorScale" priority="1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92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9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192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92">
    <cfRule type="colorScale" priority="11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192">
    <cfRule type="colorScale" priority="11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192:BP1192">
    <cfRule type="cellIs" dxfId="0" priority="11517" operator="greaterThan">
      <formula>1</formula>
    </cfRule>
  </conditionalFormatting>
  <conditionalFormatting sqref="BU1192:BV1192">
    <cfRule type="cellIs" dxfId="0" priority="11520" operator="greaterThan">
      <formula>1</formula>
    </cfRule>
  </conditionalFormatting>
  <conditionalFormatting sqref="E1217">
    <cfRule type="duplicateValues" dxfId="1" priority="11267"/>
  </conditionalFormatting>
  <conditionalFormatting sqref="Q1217">
    <cfRule type="colorScale" priority="8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17">
    <cfRule type="colorScale" priority="8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17">
    <cfRule type="colorScale" priority="9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17">
    <cfRule type="colorScale" priority="9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17">
    <cfRule type="colorScale" priority="9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17">
    <cfRule type="colorScale" priority="9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17">
    <cfRule type="colorScale" priority="7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17">
    <cfRule type="colorScale" priority="7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17">
    <cfRule type="colorScale" priority="8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17">
    <cfRule type="colorScale" priority="8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17">
    <cfRule type="colorScale" priority="5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17">
    <cfRule type="colorScale" priority="5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17">
    <cfRule type="colorScale" priority="5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17">
    <cfRule type="colorScale" priority="5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17">
    <cfRule type="colorScale" priority="6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17">
    <cfRule type="colorScale" priority="6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17">
    <cfRule type="colorScale" priority="6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17">
    <cfRule type="colorScale" priority="6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17">
    <cfRule type="colorScale" priority="7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17">
    <cfRule type="colorScale" priority="7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17">
    <cfRule type="colorScale" priority="4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17">
    <cfRule type="colorScale" priority="4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17">
    <cfRule type="colorScale" priority="4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17">
    <cfRule type="colorScale" priority="4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17">
    <cfRule type="colorScale" priority="3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217">
    <cfRule type="colorScale" priority="3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17">
    <cfRule type="colorScale" priority="2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217">
    <cfRule type="colorScale" priority="2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17">
    <cfRule type="colorScale" priority="1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17">
    <cfRule type="colorScale" priority="1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17">
    <cfRule type="colorScale" priority="2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217">
    <cfRule type="colorScale" priority="2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17">
    <cfRule type="colorScale" priority="3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17">
    <cfRule type="colorScale" priority="3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17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17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17">
    <cfRule type="colorScale" priority="1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17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1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21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17">
    <cfRule type="colorScale" priority="11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17">
    <cfRule type="colorScale" priority="11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217:BP1217">
    <cfRule type="cellIs" dxfId="0" priority="11262" operator="greaterThan">
      <formula>1</formula>
    </cfRule>
  </conditionalFormatting>
  <conditionalFormatting sqref="BU1217:BV1217">
    <cfRule type="cellIs" dxfId="0" priority="11265" operator="greaterThan">
      <formula>1</formula>
    </cfRule>
  </conditionalFormatting>
  <conditionalFormatting sqref="Q1226">
    <cfRule type="colorScale" priority="8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26">
    <cfRule type="colorScale" priority="8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26">
    <cfRule type="colorScale" priority="9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26">
    <cfRule type="colorScale" priority="9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26">
    <cfRule type="colorScale" priority="9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26">
    <cfRule type="colorScale" priority="9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26">
    <cfRule type="colorScale" priority="7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26">
    <cfRule type="colorScale" priority="7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26">
    <cfRule type="colorScale" priority="8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26">
    <cfRule type="colorScale" priority="8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26">
    <cfRule type="colorScale" priority="5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26">
    <cfRule type="colorScale" priority="5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26">
    <cfRule type="colorScale" priority="5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26">
    <cfRule type="colorScale" priority="5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26">
    <cfRule type="colorScale" priority="6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26">
    <cfRule type="colorScale" priority="6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26">
    <cfRule type="colorScale" priority="6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26">
    <cfRule type="colorScale" priority="6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26">
    <cfRule type="colorScale" priority="7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26">
    <cfRule type="colorScale" priority="7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26">
    <cfRule type="colorScale" priority="4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26">
    <cfRule type="colorScale" priority="4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26">
    <cfRule type="colorScale" priority="4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26">
    <cfRule type="colorScale" priority="4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26">
    <cfRule type="colorScale" priority="3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226">
    <cfRule type="colorScale" priority="3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26">
    <cfRule type="colorScale" priority="2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226">
    <cfRule type="colorScale" priority="2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26">
    <cfRule type="colorScale" priority="1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26">
    <cfRule type="colorScale" priority="1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26">
    <cfRule type="colorScale" priority="2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226">
    <cfRule type="colorScale" priority="2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26">
    <cfRule type="colorScale" priority="3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26">
    <cfRule type="colorScale" priority="3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26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26"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26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26">
    <cfRule type="colorScale" priority="1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26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226"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26">
    <cfRule type="colorScale" priority="12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26">
    <cfRule type="colorScale" priority="13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39:R1239">
    <cfRule type="colorScale" priority="8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39:T1239">
    <cfRule type="colorScale" priority="9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39:V1239">
    <cfRule type="colorScale" priority="9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39:X1239">
    <cfRule type="colorScale" priority="7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39:Z1239">
    <cfRule type="colorScale" priority="8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39:AB1239">
    <cfRule type="colorScale" priority="5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39:AD1239">
    <cfRule type="colorScale" priority="5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39:AF1239">
    <cfRule type="colorScale" priority="6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39:AH1239">
    <cfRule type="colorScale" priority="6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39:AJ1239">
    <cfRule type="colorScale" priority="7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39:AL1239">
    <cfRule type="colorScale" priority="4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39:AN1239">
    <cfRule type="colorScale" priority="4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39:AP1239">
    <cfRule type="colorScale" priority="3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39:AR1239">
    <cfRule type="colorScale" priority="2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39:AT1239">
    <cfRule type="colorScale" priority="1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39:AV1239">
    <cfRule type="colorScale" priority="2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39:AX1239">
    <cfRule type="colorScale" priority="3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39:AZ1239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39:BB1239">
    <cfRule type="colorScale" priority="1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39:BD1239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39:BF1239">
    <cfRule type="colorScale" priority="13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52">
    <cfRule type="colorScale" priority="8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52">
    <cfRule type="colorScale" priority="8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52">
    <cfRule type="colorScale" priority="9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52">
    <cfRule type="colorScale" priority="9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52">
    <cfRule type="colorScale" priority="9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52">
    <cfRule type="colorScale" priority="9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52">
    <cfRule type="colorScale" priority="7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52">
    <cfRule type="colorScale" priority="7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52">
    <cfRule type="colorScale" priority="8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52">
    <cfRule type="colorScale" priority="8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52">
    <cfRule type="colorScale" priority="5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52">
    <cfRule type="colorScale" priority="5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52">
    <cfRule type="colorScale" priority="5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52">
    <cfRule type="colorScale" priority="5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52">
    <cfRule type="colorScale" priority="6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52">
    <cfRule type="colorScale" priority="6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52">
    <cfRule type="colorScale" priority="6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52">
    <cfRule type="colorScale" priority="67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52">
    <cfRule type="colorScale" priority="7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52">
    <cfRule type="colorScale" priority="7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52">
    <cfRule type="colorScale" priority="4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52">
    <cfRule type="colorScale" priority="4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52">
    <cfRule type="colorScale" priority="4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52">
    <cfRule type="colorScale" priority="4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52">
    <cfRule type="colorScale" priority="3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252">
    <cfRule type="colorScale" priority="3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52">
    <cfRule type="colorScale" priority="2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252">
    <cfRule type="colorScale" priority="2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52">
    <cfRule type="colorScale" priority="1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52">
    <cfRule type="colorScale" priority="1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52">
    <cfRule type="colorScale" priority="2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252">
    <cfRule type="colorScale" priority="2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52">
    <cfRule type="colorScale" priority="3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52">
    <cfRule type="colorScale" priority="3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52">
    <cfRule type="colorScale" priority="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52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52">
    <cfRule type="colorScale" priority="1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52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52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252"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52">
    <cfRule type="colorScale" priority="12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52">
    <cfRule type="colorScale" priority="12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61:R1261">
    <cfRule type="colorScale" priority="8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61:T1261">
    <cfRule type="colorScale" priority="9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61:V1261">
    <cfRule type="colorScale" priority="9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61:X1261">
    <cfRule type="colorScale" priority="7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61:Z1261">
    <cfRule type="colorScale" priority="8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61:AB1261">
    <cfRule type="colorScale" priority="5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61:AD1261">
    <cfRule type="colorScale" priority="5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61:AF1261">
    <cfRule type="colorScale" priority="6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61:AH1261">
    <cfRule type="colorScale" priority="6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61:AJ1261">
    <cfRule type="colorScale" priority="7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61:AL1261">
    <cfRule type="colorScale" priority="4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61:AN1261">
    <cfRule type="colorScale" priority="4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61:AP1261">
    <cfRule type="colorScale" priority="3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61:AR1261">
    <cfRule type="colorScale" priority="2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61:AT1261">
    <cfRule type="colorScale" priority="1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61:AV1261">
    <cfRule type="colorScale" priority="2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61:AX1261">
    <cfRule type="colorScale" priority="3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61:AZ1261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61:BB1261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61:BD1261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61:BF1261">
    <cfRule type="colorScale" priority="12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82">
    <cfRule type="colorScale" priority="8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82">
    <cfRule type="colorScale" priority="8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82">
    <cfRule type="colorScale" priority="9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82">
    <cfRule type="colorScale" priority="9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82">
    <cfRule type="colorScale" priority="9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82">
    <cfRule type="colorScale" priority="9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82">
    <cfRule type="colorScale" priority="7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82">
    <cfRule type="colorScale" priority="7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82">
    <cfRule type="colorScale" priority="8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82">
    <cfRule type="colorScale" priority="8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82">
    <cfRule type="colorScale" priority="5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82">
    <cfRule type="colorScale" priority="5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82">
    <cfRule type="colorScale" priority="5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82">
    <cfRule type="colorScale" priority="5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82">
    <cfRule type="colorScale" priority="6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82">
    <cfRule type="colorScale" priority="6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82">
    <cfRule type="colorScale" priority="6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82">
    <cfRule type="colorScale" priority="6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82">
    <cfRule type="colorScale" priority="7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82">
    <cfRule type="colorScale" priority="7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82">
    <cfRule type="colorScale" priority="4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82">
    <cfRule type="colorScale" priority="4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82">
    <cfRule type="colorScale" priority="4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82">
    <cfRule type="colorScale" priority="4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82">
    <cfRule type="colorScale" priority="3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282">
    <cfRule type="colorScale" priority="3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82">
    <cfRule type="colorScale" priority="2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282">
    <cfRule type="colorScale" priority="2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82">
    <cfRule type="colorScale" priority="1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82">
    <cfRule type="colorScale" priority="1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82">
    <cfRule type="colorScale" priority="2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282">
    <cfRule type="colorScale" priority="2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82">
    <cfRule type="colorScale" priority="3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82">
    <cfRule type="colorScale" priority="3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82">
    <cfRule type="colorScale" priority="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82">
    <cfRule type="colorScale" priority="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82">
    <cfRule type="colorScale" priority="1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82">
    <cfRule type="colorScale" priority="1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82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282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82">
    <cfRule type="colorScale" priority="13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82">
    <cfRule type="colorScale" priority="13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87">
    <cfRule type="colorScale" priority="86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87">
    <cfRule type="colorScale" priority="8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87">
    <cfRule type="colorScale" priority="9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87">
    <cfRule type="colorScale" priority="9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87">
    <cfRule type="colorScale" priority="9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87">
    <cfRule type="colorScale" priority="9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87">
    <cfRule type="colorScale" priority="7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87">
    <cfRule type="colorScale" priority="7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87">
    <cfRule type="colorScale" priority="8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87">
    <cfRule type="colorScale" priority="8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87">
    <cfRule type="colorScale" priority="5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87">
    <cfRule type="colorScale" priority="5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87">
    <cfRule type="colorScale" priority="5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87">
    <cfRule type="colorScale" priority="5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87">
    <cfRule type="colorScale" priority="6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87">
    <cfRule type="colorScale" priority="6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87">
    <cfRule type="colorScale" priority="6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87">
    <cfRule type="colorScale" priority="6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87">
    <cfRule type="colorScale" priority="7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87">
    <cfRule type="colorScale" priority="7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87">
    <cfRule type="colorScale" priority="4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87">
    <cfRule type="colorScale" priority="4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87">
    <cfRule type="colorScale" priority="4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87">
    <cfRule type="colorScale" priority="4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87">
    <cfRule type="colorScale" priority="3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287">
    <cfRule type="colorScale" priority="3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87">
    <cfRule type="colorScale" priority="2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287">
    <cfRule type="colorScale" priority="2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87">
    <cfRule type="colorScale" priority="1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87">
    <cfRule type="colorScale" priority="1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87">
    <cfRule type="colorScale" priority="2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287">
    <cfRule type="colorScale" priority="2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87">
    <cfRule type="colorScale" priority="3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87">
    <cfRule type="colorScale" priority="3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87">
    <cfRule type="colorScale" priority="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87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87">
    <cfRule type="colorScale" priority="1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87">
    <cfRule type="colorScale" priority="1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87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287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87">
    <cfRule type="colorScale" priority="12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87">
    <cfRule type="colorScale" priority="13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96">
    <cfRule type="colorScale" priority="8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96">
    <cfRule type="colorScale" priority="8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96">
    <cfRule type="colorScale" priority="9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96">
    <cfRule type="colorScale" priority="9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96">
    <cfRule type="colorScale" priority="9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96">
    <cfRule type="colorScale" priority="9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96">
    <cfRule type="colorScale" priority="7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96">
    <cfRule type="colorScale" priority="7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96">
    <cfRule type="colorScale" priority="8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96">
    <cfRule type="colorScale" priority="8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96">
    <cfRule type="colorScale" priority="5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96">
    <cfRule type="colorScale" priority="5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96">
    <cfRule type="colorScale" priority="5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96">
    <cfRule type="colorScale" priority="5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96">
    <cfRule type="colorScale" priority="6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96">
    <cfRule type="colorScale" priority="6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96">
    <cfRule type="colorScale" priority="6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96">
    <cfRule type="colorScale" priority="6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96">
    <cfRule type="colorScale" priority="7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96">
    <cfRule type="colorScale" priority="7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96">
    <cfRule type="colorScale" priority="3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96">
    <cfRule type="colorScale" priority="4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96">
    <cfRule type="colorScale" priority="4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96">
    <cfRule type="colorScale" priority="4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96">
    <cfRule type="colorScale" priority="3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296">
    <cfRule type="colorScale" priority="3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96">
    <cfRule type="colorScale" priority="26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296">
    <cfRule type="colorScale" priority="2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96">
    <cfRule type="colorScale" priority="1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96">
    <cfRule type="colorScale" priority="1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96">
    <cfRule type="colorScale" priority="2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296">
    <cfRule type="colorScale" priority="2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96">
    <cfRule type="colorScale" priority="3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96">
    <cfRule type="colorScale" priority="3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96">
    <cfRule type="colorScale" priority="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96">
    <cfRule type="colorScale" priority="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96"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96">
    <cfRule type="colorScale" priority="1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96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296"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96">
    <cfRule type="colorScale" priority="12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96">
    <cfRule type="colorScale" priority="13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99">
    <cfRule type="colorScale" priority="8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99">
    <cfRule type="colorScale" priority="8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99">
    <cfRule type="colorScale" priority="9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99">
    <cfRule type="colorScale" priority="9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99">
    <cfRule type="colorScale" priority="9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99">
    <cfRule type="colorScale" priority="9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99">
    <cfRule type="colorScale" priority="7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99">
    <cfRule type="colorScale" priority="7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99">
    <cfRule type="colorScale" priority="8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99">
    <cfRule type="colorScale" priority="8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99">
    <cfRule type="colorScale" priority="5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99">
    <cfRule type="colorScale" priority="5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99">
    <cfRule type="colorScale" priority="5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99">
    <cfRule type="colorScale" priority="5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99">
    <cfRule type="colorScale" priority="6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99">
    <cfRule type="colorScale" priority="6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99">
    <cfRule type="colorScale" priority="6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99">
    <cfRule type="colorScale" priority="6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299">
    <cfRule type="colorScale" priority="7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99">
    <cfRule type="colorScale" priority="7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299">
    <cfRule type="colorScale" priority="4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299">
    <cfRule type="colorScale" priority="4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99">
    <cfRule type="colorScale" priority="4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99">
    <cfRule type="colorScale" priority="4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99">
    <cfRule type="colorScale" priority="3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299">
    <cfRule type="colorScale" priority="3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299">
    <cfRule type="colorScale" priority="2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299">
    <cfRule type="colorScale" priority="2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99">
    <cfRule type="colorScale" priority="1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99">
    <cfRule type="colorScale" priority="1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99">
    <cfRule type="colorScale" priority="2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299">
    <cfRule type="colorScale" priority="2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99">
    <cfRule type="colorScale" priority="3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299">
    <cfRule type="colorScale" priority="3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99"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99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99">
    <cfRule type="colorScale" priority="1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99">
    <cfRule type="colorScale" priority="1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99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299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99">
    <cfRule type="colorScale" priority="13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99">
    <cfRule type="colorScale" priority="13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310">
    <cfRule type="colorScale" priority="8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310">
    <cfRule type="colorScale" priority="8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10">
    <cfRule type="colorScale" priority="9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10">
    <cfRule type="colorScale" priority="9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10">
    <cfRule type="colorScale" priority="9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310">
    <cfRule type="colorScale" priority="9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10">
    <cfRule type="colorScale" priority="7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310">
    <cfRule type="colorScale" priority="7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10">
    <cfRule type="colorScale" priority="8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310">
    <cfRule type="colorScale" priority="8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10">
    <cfRule type="colorScale" priority="5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310">
    <cfRule type="colorScale" priority="5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10">
    <cfRule type="colorScale" priority="5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310">
    <cfRule type="colorScale" priority="5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10">
    <cfRule type="colorScale" priority="6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10">
    <cfRule type="colorScale" priority="6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10">
    <cfRule type="colorScale" priority="6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310">
    <cfRule type="colorScale" priority="6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10">
    <cfRule type="colorScale" priority="7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310">
    <cfRule type="colorScale" priority="7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10">
    <cfRule type="colorScale" priority="4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310">
    <cfRule type="colorScale" priority="4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10">
    <cfRule type="colorScale" priority="4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310">
    <cfRule type="colorScale" priority="4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10">
    <cfRule type="colorScale" priority="3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310">
    <cfRule type="colorScale" priority="3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10">
    <cfRule type="colorScale" priority="2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310">
    <cfRule type="colorScale" priority="2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10">
    <cfRule type="colorScale" priority="1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310">
    <cfRule type="colorScale" priority="1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10">
    <cfRule type="colorScale" priority="2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310">
    <cfRule type="colorScale" priority="2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10">
    <cfRule type="colorScale" priority="3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310">
    <cfRule type="colorScale" priority="3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10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310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10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310"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10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310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10">
    <cfRule type="colorScale" priority="12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310">
    <cfRule type="colorScale" priority="12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315">
    <cfRule type="colorScale" priority="8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315">
    <cfRule type="colorScale" priority="8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15">
    <cfRule type="colorScale" priority="9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15">
    <cfRule type="colorScale" priority="9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15">
    <cfRule type="colorScale" priority="9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315">
    <cfRule type="colorScale" priority="9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15">
    <cfRule type="colorScale" priority="7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315">
    <cfRule type="colorScale" priority="7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15">
    <cfRule type="colorScale" priority="8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315">
    <cfRule type="colorScale" priority="8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15">
    <cfRule type="colorScale" priority="5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315">
    <cfRule type="colorScale" priority="5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15">
    <cfRule type="colorScale" priority="5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315">
    <cfRule type="colorScale" priority="5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15">
    <cfRule type="colorScale" priority="6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15">
    <cfRule type="colorScale" priority="6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15">
    <cfRule type="colorScale" priority="6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315">
    <cfRule type="colorScale" priority="6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15">
    <cfRule type="colorScale" priority="7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315">
    <cfRule type="colorScale" priority="7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15">
    <cfRule type="colorScale" priority="4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315">
    <cfRule type="colorScale" priority="4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15">
    <cfRule type="colorScale" priority="4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315">
    <cfRule type="colorScale" priority="4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15">
    <cfRule type="colorScale" priority="3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315">
    <cfRule type="colorScale" priority="3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15">
    <cfRule type="colorScale" priority="2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315">
    <cfRule type="colorScale" priority="2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15">
    <cfRule type="colorScale" priority="1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315">
    <cfRule type="colorScale" priority="1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15">
    <cfRule type="colorScale" priority="2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315">
    <cfRule type="colorScale" priority="2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15">
    <cfRule type="colorScale" priority="3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315">
    <cfRule type="colorScale" priority="3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15">
    <cfRule type="colorScale" priority="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315">
    <cfRule type="colorScale" priority="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15">
    <cfRule type="colorScale" priority="1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315">
    <cfRule type="colorScale" priority="1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15">
    <cfRule type="colorScale" priority="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315"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15">
    <cfRule type="colorScale" priority="13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315">
    <cfRule type="colorScale" priority="13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326">
    <cfRule type="colorScale" priority="8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326">
    <cfRule type="colorScale" priority="8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26">
    <cfRule type="colorScale" priority="9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26">
    <cfRule type="colorScale" priority="9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26">
    <cfRule type="colorScale" priority="9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326">
    <cfRule type="colorScale" priority="9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26">
    <cfRule type="colorScale" priority="7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326">
    <cfRule type="colorScale" priority="7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26">
    <cfRule type="colorScale" priority="8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326">
    <cfRule type="colorScale" priority="8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26">
    <cfRule type="colorScale" priority="5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326">
    <cfRule type="colorScale" priority="5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26">
    <cfRule type="colorScale" priority="5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326">
    <cfRule type="colorScale" priority="5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26">
    <cfRule type="colorScale" priority="6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26">
    <cfRule type="colorScale" priority="6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26">
    <cfRule type="colorScale" priority="6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326">
    <cfRule type="colorScale" priority="6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26">
    <cfRule type="colorScale" priority="7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326">
    <cfRule type="colorScale" priority="7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26">
    <cfRule type="colorScale" priority="4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326">
    <cfRule type="colorScale" priority="4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26">
    <cfRule type="colorScale" priority="4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326">
    <cfRule type="colorScale" priority="4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26">
    <cfRule type="colorScale" priority="3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326">
    <cfRule type="colorScale" priority="3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26">
    <cfRule type="colorScale" priority="2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326">
    <cfRule type="colorScale" priority="2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26">
    <cfRule type="colorScale" priority="1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326">
    <cfRule type="colorScale" priority="1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26">
    <cfRule type="colorScale" priority="2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326">
    <cfRule type="colorScale" priority="2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26">
    <cfRule type="colorScale" priority="3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326">
    <cfRule type="colorScale" priority="3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26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326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26"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326">
    <cfRule type="colorScale" priority="1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2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32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26">
    <cfRule type="colorScale" priority="10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326">
    <cfRule type="colorScale" priority="10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57">
    <cfRule type="duplicateValues" dxfId="1" priority="12423"/>
  </conditionalFormatting>
  <conditionalFormatting sqref="Q1357">
    <cfRule type="colorScale" priority="8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357">
    <cfRule type="colorScale" priority="8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57">
    <cfRule type="colorScale" priority="9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57">
    <cfRule type="colorScale" priority="9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57">
    <cfRule type="colorScale" priority="9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357">
    <cfRule type="colorScale" priority="9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57">
    <cfRule type="colorScale" priority="7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357">
    <cfRule type="colorScale" priority="7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57">
    <cfRule type="colorScale" priority="8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357">
    <cfRule type="colorScale" priority="8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57">
    <cfRule type="colorScale" priority="5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357">
    <cfRule type="colorScale" priority="5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57">
    <cfRule type="colorScale" priority="5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357">
    <cfRule type="colorScale" priority="5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57">
    <cfRule type="colorScale" priority="6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57">
    <cfRule type="colorScale" priority="6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57">
    <cfRule type="colorScale" priority="6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357">
    <cfRule type="colorScale" priority="6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57">
    <cfRule type="colorScale" priority="7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357">
    <cfRule type="colorScale" priority="7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57">
    <cfRule type="colorScale" priority="4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357">
    <cfRule type="colorScale" priority="4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57">
    <cfRule type="colorScale" priority="4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357">
    <cfRule type="colorScale" priority="4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57">
    <cfRule type="colorScale" priority="3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357">
    <cfRule type="colorScale" priority="3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57">
    <cfRule type="colorScale" priority="2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357">
    <cfRule type="colorScale" priority="2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57">
    <cfRule type="colorScale" priority="1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357">
    <cfRule type="colorScale" priority="1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57">
    <cfRule type="colorScale" priority="2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357">
    <cfRule type="colorScale" priority="2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57">
    <cfRule type="colorScale" priority="3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357">
    <cfRule type="colorScale" priority="3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57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357">
    <cfRule type="colorScale" priority="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57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357">
    <cfRule type="colorScale" priority="1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57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357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57">
    <cfRule type="colorScale" priority="12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357">
    <cfRule type="colorScale" priority="12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357:BP1357">
    <cfRule type="cellIs" dxfId="0" priority="12418" operator="greaterThan">
      <formula>1</formula>
    </cfRule>
  </conditionalFormatting>
  <conditionalFormatting sqref="BU1357:BV1357">
    <cfRule type="cellIs" dxfId="0" priority="12421" operator="greaterThan">
      <formula>1</formula>
    </cfRule>
  </conditionalFormatting>
  <conditionalFormatting sqref="E1363">
    <cfRule type="duplicateValues" dxfId="1" priority="14127"/>
  </conditionalFormatting>
  <conditionalFormatting sqref="E1365">
    <cfRule type="duplicateValues" dxfId="1" priority="14129"/>
  </conditionalFormatting>
  <conditionalFormatting sqref="E1372">
    <cfRule type="duplicateValues" dxfId="1" priority="13801"/>
  </conditionalFormatting>
  <conditionalFormatting sqref="Q1372:R1372">
    <cfRule type="colorScale" priority="8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72:T1372">
    <cfRule type="colorScale" priority="9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72:V1372">
    <cfRule type="colorScale" priority="9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72:X1372">
    <cfRule type="colorScale" priority="7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72:Z1372">
    <cfRule type="colorScale" priority="8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72:AB1372">
    <cfRule type="colorScale" priority="5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72:AD1372">
    <cfRule type="colorScale" priority="5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72:AF1372">
    <cfRule type="colorScale" priority="6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72:AH1372">
    <cfRule type="colorScale" priority="6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72:AJ1372">
    <cfRule type="colorScale" priority="7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72:AL1372">
    <cfRule type="colorScale" priority="4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72:AN1372">
    <cfRule type="colorScale" priority="4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72:AP1372">
    <cfRule type="colorScale" priority="3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72:AR1372">
    <cfRule type="colorScale" priority="2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72:AT1372">
    <cfRule type="colorScale" priority="1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72:AV1372">
    <cfRule type="colorScale" priority="2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72:AX1372">
    <cfRule type="colorScale" priority="3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72:AZ1372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72:BB1372">
    <cfRule type="colorScale" priority="1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72:BD1372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72:BF1372">
    <cfRule type="colorScale" priority="12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372:BV1372">
    <cfRule type="cellIs" dxfId="0" priority="13799" operator="greaterThan">
      <formula>1</formula>
    </cfRule>
  </conditionalFormatting>
  <conditionalFormatting sqref="E1377">
    <cfRule type="duplicateValues" dxfId="1" priority="12107"/>
  </conditionalFormatting>
  <conditionalFormatting sqref="Q1377:R1377">
    <cfRule type="colorScale" priority="8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77:T1377">
    <cfRule type="colorScale" priority="9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77:V1377">
    <cfRule type="colorScale" priority="9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77:X1377">
    <cfRule type="colorScale" priority="7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77:Z1377">
    <cfRule type="colorScale" priority="8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77:AB1377">
    <cfRule type="colorScale" priority="5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77:AD1377">
    <cfRule type="colorScale" priority="5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77:AF1377">
    <cfRule type="colorScale" priority="6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77:AH1377">
    <cfRule type="colorScale" priority="6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77:AJ1377">
    <cfRule type="colorScale" priority="7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77:AL1377">
    <cfRule type="colorScale" priority="4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77:AN1377">
    <cfRule type="colorScale" priority="4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77:AP1377">
    <cfRule type="colorScale" priority="3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77:AR1377">
    <cfRule type="colorScale" priority="2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77:AT1377">
    <cfRule type="colorScale" priority="1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77:AV1377">
    <cfRule type="colorScale" priority="2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77:AX1377">
    <cfRule type="colorScale" priority="3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77:AZ1377">
    <cfRule type="colorScale" priority="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77:BB1377">
    <cfRule type="colorScale" priority="1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77:BD137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77:BF1377">
    <cfRule type="colorScale" priority="12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377:BV1377">
    <cfRule type="cellIs" dxfId="0" priority="12105" operator="greaterThan">
      <formula>1</formula>
    </cfRule>
  </conditionalFormatting>
  <conditionalFormatting sqref="E1380">
    <cfRule type="duplicateValues" dxfId="1" priority="11186"/>
  </conditionalFormatting>
  <conditionalFormatting sqref="Q1380:R1380">
    <cfRule type="colorScale" priority="8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80:T1380">
    <cfRule type="colorScale" priority="9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80:V1380">
    <cfRule type="colorScale" priority="9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80:X1380">
    <cfRule type="colorScale" priority="7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80:Z1380">
    <cfRule type="colorScale" priority="8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80:AB1380">
    <cfRule type="colorScale" priority="5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80:AD1380">
    <cfRule type="colorScale" priority="5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80:AF1380">
    <cfRule type="colorScale" priority="6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80:AH1380">
    <cfRule type="colorScale" priority="6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80:AJ1380">
    <cfRule type="colorScale" priority="7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80:AL1380">
    <cfRule type="colorScale" priority="4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80:AN1380">
    <cfRule type="colorScale" priority="4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80:AP1380">
    <cfRule type="colorScale" priority="3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80:AR1380">
    <cfRule type="colorScale" priority="2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80:AT1380">
    <cfRule type="colorScale" priority="1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80:AV1380">
    <cfRule type="colorScale" priority="2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80:AX1380">
    <cfRule type="colorScale" priority="3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80:AZ1380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80:BB1380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80:BD1380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80:BF1380">
    <cfRule type="colorScale" priority="11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380:BV1380">
    <cfRule type="cellIs" dxfId="0" priority="11184" operator="greaterThan">
      <formula>1</formula>
    </cfRule>
  </conditionalFormatting>
  <conditionalFormatting sqref="E1387">
    <cfRule type="duplicateValues" dxfId="1" priority="12332"/>
  </conditionalFormatting>
  <conditionalFormatting sqref="Q1387:R1387">
    <cfRule type="colorScale" priority="8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87:T1387">
    <cfRule type="colorScale" priority="9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87:V1387">
    <cfRule type="colorScale" priority="9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87:X1387">
    <cfRule type="colorScale" priority="7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87:Z1387">
    <cfRule type="colorScale" priority="8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87:AB1387">
    <cfRule type="colorScale" priority="5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87:AD1387">
    <cfRule type="colorScale" priority="5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87:AF1387">
    <cfRule type="colorScale" priority="6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87:AH1387">
    <cfRule type="colorScale" priority="6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87:AJ1387">
    <cfRule type="colorScale" priority="7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87:AL1387">
    <cfRule type="colorScale" priority="4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87:AN1387">
    <cfRule type="colorScale" priority="4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87:AP1387">
    <cfRule type="colorScale" priority="3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87:AR1387">
    <cfRule type="colorScale" priority="2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87:AT1387">
    <cfRule type="colorScale" priority="1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87:AV1387">
    <cfRule type="colorScale" priority="2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87:AX1387">
    <cfRule type="colorScale" priority="3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87:AZ1387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87:BB1387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87:BD1387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87:BF1387">
    <cfRule type="colorScale" priority="12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387:BV1387">
    <cfRule type="cellIs" dxfId="0" priority="12330" operator="greaterThan">
      <formula>1</formula>
    </cfRule>
  </conditionalFormatting>
  <conditionalFormatting sqref="E1412">
    <cfRule type="duplicateValues" dxfId="1" priority="13958"/>
  </conditionalFormatting>
  <conditionalFormatting sqref="Q1412:R1412">
    <cfRule type="colorScale" priority="8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12:T1412">
    <cfRule type="colorScale" priority="9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12:V1412">
    <cfRule type="colorScale" priority="9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412:X1412">
    <cfRule type="colorScale" priority="7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412:Z1412">
    <cfRule type="colorScale" priority="8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12:AB1412">
    <cfRule type="colorScale" priority="5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412:AD1412">
    <cfRule type="colorScale" priority="5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412:AF1412">
    <cfRule type="colorScale" priority="6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12:AH1412">
    <cfRule type="colorScale" priority="6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412:AJ1412">
    <cfRule type="colorScale" priority="7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412:AL1412">
    <cfRule type="colorScale" priority="4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412:AN1412">
    <cfRule type="colorScale" priority="4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412:AP1412">
    <cfRule type="colorScale" priority="3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412:AR1412">
    <cfRule type="colorScale" priority="2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12:AT1412">
    <cfRule type="colorScale" priority="1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12:AV1412">
    <cfRule type="colorScale" priority="2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12:AX1412">
    <cfRule type="colorScale" priority="3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12:AZ1412">
    <cfRule type="colorScale" priority="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412:BB1412">
    <cfRule type="colorScale" priority="1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412:BD1412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412:BF1412">
    <cfRule type="colorScale" priority="12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25">
    <cfRule type="duplicateValues" dxfId="1" priority="13339"/>
  </conditionalFormatting>
  <conditionalFormatting sqref="Q1425:R1425">
    <cfRule type="colorScale" priority="8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25:T1425">
    <cfRule type="colorScale" priority="9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25:V1425">
    <cfRule type="colorScale" priority="9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425:X1425">
    <cfRule type="colorScale" priority="7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425:Z1425">
    <cfRule type="colorScale" priority="8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25:AB1425">
    <cfRule type="colorScale" priority="5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425:AD1425">
    <cfRule type="colorScale" priority="5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425:AF1425">
    <cfRule type="colorScale" priority="6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25:AH1425">
    <cfRule type="colorScale" priority="6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425:AJ1425">
    <cfRule type="colorScale" priority="7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425:AL1425">
    <cfRule type="colorScale" priority="4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425:AN1425">
    <cfRule type="colorScale" priority="4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425:AP1425">
    <cfRule type="colorScale" priority="3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425:AR1425">
    <cfRule type="colorScale" priority="2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25:AT1425">
    <cfRule type="colorScale" priority="1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25:AV1425">
    <cfRule type="colorScale" priority="2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25:AX1425">
    <cfRule type="colorScale" priority="3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25:AZ1425">
    <cfRule type="colorScale" priority="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425:BB1425">
    <cfRule type="colorScale" priority="1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425:BD1425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425:BF1425">
    <cfRule type="colorScale" priority="12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425:BP1425">
    <cfRule type="cellIs" dxfId="0" priority="13334" operator="greaterThan">
      <formula>1</formula>
    </cfRule>
  </conditionalFormatting>
  <conditionalFormatting sqref="BU1425:BV1425">
    <cfRule type="cellIs" dxfId="0" priority="13337" operator="greaterThan">
      <formula>1</formula>
    </cfRule>
  </conditionalFormatting>
  <conditionalFormatting sqref="E1436">
    <cfRule type="duplicateValues" dxfId="1" priority="13307"/>
  </conditionalFormatting>
  <conditionalFormatting sqref="Q1436:R1436">
    <cfRule type="colorScale" priority="8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36:T1436">
    <cfRule type="colorScale" priority="9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36:V1436">
    <cfRule type="colorScale" priority="9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436:X1436">
    <cfRule type="colorScale" priority="76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436:Z1436">
    <cfRule type="colorScale" priority="8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36:AB1436">
    <cfRule type="colorScale" priority="5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436:AD1436">
    <cfRule type="colorScale" priority="5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436:AF1436">
    <cfRule type="colorScale" priority="6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36:AH1436">
    <cfRule type="colorScale" priority="6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436:AJ1436">
    <cfRule type="colorScale" priority="7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436:AL1436">
    <cfRule type="colorScale" priority="4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436:AN1436">
    <cfRule type="colorScale" priority="4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436:AP1436">
    <cfRule type="colorScale" priority="3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436:AR1436">
    <cfRule type="colorScale" priority="2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36:AT1436">
    <cfRule type="colorScale" priority="1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36:AV1436">
    <cfRule type="colorScale" priority="2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36:AX1436">
    <cfRule type="colorScale" priority="3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36:AZ1436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436:BB1436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436:BD1436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436:BF1436">
    <cfRule type="colorScale" priority="12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436:BP1436">
    <cfRule type="cellIs" dxfId="0" priority="13302" operator="greaterThan">
      <formula>1</formula>
    </cfRule>
  </conditionalFormatting>
  <conditionalFormatting sqref="BU1436:BV1436">
    <cfRule type="cellIs" dxfId="0" priority="13305" operator="greaterThan">
      <formula>1</formula>
    </cfRule>
  </conditionalFormatting>
  <conditionalFormatting sqref="E1441">
    <cfRule type="duplicateValues" dxfId="1" priority="13233"/>
  </conditionalFormatting>
  <conditionalFormatting sqref="Q1441:R1441">
    <cfRule type="colorScale" priority="8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41:T1441">
    <cfRule type="colorScale" priority="9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41:V1441">
    <cfRule type="colorScale" priority="9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441:X1441">
    <cfRule type="colorScale" priority="7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441:Z1441">
    <cfRule type="colorScale" priority="8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41:AB1441">
    <cfRule type="colorScale" priority="5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441:AD1441">
    <cfRule type="colorScale" priority="5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441:AF1441">
    <cfRule type="colorScale" priority="60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41:AH1441">
    <cfRule type="colorScale" priority="6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441:AJ1441">
    <cfRule type="colorScale" priority="7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441:AL1441">
    <cfRule type="colorScale" priority="4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441:AN1441">
    <cfRule type="colorScale" priority="4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441:AP1441">
    <cfRule type="colorScale" priority="3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441:AR1441">
    <cfRule type="colorScale" priority="2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41:AT1441">
    <cfRule type="colorScale" priority="1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41:AV1441">
    <cfRule type="colorScale" priority="2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41:AX1441">
    <cfRule type="colorScale" priority="3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41:AZ1441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441:BB1441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441:BD144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441:BF1441">
    <cfRule type="colorScale" priority="12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441:BV1441">
    <cfRule type="cellIs" dxfId="0" priority="13231" operator="greaterThan">
      <formula>1</formula>
    </cfRule>
  </conditionalFormatting>
  <conditionalFormatting sqref="E1452">
    <cfRule type="duplicateValues" dxfId="1" priority="14119"/>
  </conditionalFormatting>
  <conditionalFormatting sqref="Q1452:R1452">
    <cfRule type="colorScale" priority="8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52:T1452">
    <cfRule type="colorScale" priority="9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52:V1452">
    <cfRule type="colorScale" priority="9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452:X1452">
    <cfRule type="colorScale" priority="7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452:Z1452">
    <cfRule type="colorScale" priority="8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52:AB1452">
    <cfRule type="colorScale" priority="5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452:AD1452">
    <cfRule type="colorScale" priority="5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452:AF1452">
    <cfRule type="colorScale" priority="6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52:AH1452">
    <cfRule type="colorScale" priority="6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452:AJ1452">
    <cfRule type="colorScale" priority="7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452:AL1452">
    <cfRule type="colorScale" priority="4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452:AN1452">
    <cfRule type="colorScale" priority="4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452:AP1452">
    <cfRule type="colorScale" priority="3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452:AR1452">
    <cfRule type="colorScale" priority="2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52:AT1452">
    <cfRule type="colorScale" priority="1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52:AV1452">
    <cfRule type="colorScale" priority="2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52:AX1452">
    <cfRule type="colorScale" priority="3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52:AZ1452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452:BB1452">
    <cfRule type="colorScale" priority="1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452:BD1452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452:BF1452">
    <cfRule type="colorScale" priority="12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71">
    <cfRule type="duplicateValues" dxfId="1" priority="14105"/>
  </conditionalFormatting>
  <conditionalFormatting sqref="Q1471">
    <cfRule type="colorScale" priority="8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471">
    <cfRule type="colorScale" priority="8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71">
    <cfRule type="colorScale" priority="9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471">
    <cfRule type="colorScale" priority="9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71">
    <cfRule type="colorScale" priority="9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471">
    <cfRule type="colorScale" priority="9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471">
    <cfRule type="colorScale" priority="7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471">
    <cfRule type="colorScale" priority="7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471">
    <cfRule type="colorScale" priority="8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471">
    <cfRule type="colorScale" priority="8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71">
    <cfRule type="colorScale" priority="5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471">
    <cfRule type="colorScale" priority="5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471">
    <cfRule type="colorScale" priority="5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471">
    <cfRule type="colorScale" priority="5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471">
    <cfRule type="colorScale" priority="6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471">
    <cfRule type="colorScale" priority="6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71">
    <cfRule type="colorScale" priority="6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471">
    <cfRule type="colorScale" priority="6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471">
    <cfRule type="colorScale" priority="7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471">
    <cfRule type="colorScale" priority="7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471">
    <cfRule type="colorScale" priority="4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471">
    <cfRule type="colorScale" priority="4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471">
    <cfRule type="colorScale" priority="4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471">
    <cfRule type="colorScale" priority="4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471">
    <cfRule type="colorScale" priority="3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471">
    <cfRule type="colorScale" priority="3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471">
    <cfRule type="colorScale" priority="2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471">
    <cfRule type="colorScale" priority="2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71">
    <cfRule type="colorScale" priority="1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471">
    <cfRule type="colorScale" priority="1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71">
    <cfRule type="colorScale" priority="2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471">
    <cfRule type="colorScale" priority="2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71">
    <cfRule type="colorScale" priority="3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471">
    <cfRule type="colorScale" priority="3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71">
    <cfRule type="colorScale" priority="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471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471">
    <cfRule type="colorScale" priority="1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471">
    <cfRule type="colorScale" priority="1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471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471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471">
    <cfRule type="colorScale" priority="13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471">
    <cfRule type="colorScale" priority="13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00">
    <cfRule type="duplicateValues" dxfId="1" priority="14095"/>
  </conditionalFormatting>
  <conditionalFormatting sqref="Q1500">
    <cfRule type="colorScale" priority="8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00">
    <cfRule type="colorScale" priority="8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00">
    <cfRule type="colorScale" priority="9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00">
    <cfRule type="colorScale" priority="9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00">
    <cfRule type="colorScale" priority="9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00">
    <cfRule type="colorScale" priority="9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00">
    <cfRule type="colorScale" priority="7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00">
    <cfRule type="colorScale" priority="7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00">
    <cfRule type="colorScale" priority="8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00">
    <cfRule type="colorScale" priority="8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00">
    <cfRule type="colorScale" priority="5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00">
    <cfRule type="colorScale" priority="5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00">
    <cfRule type="colorScale" priority="5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00">
    <cfRule type="colorScale" priority="5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00">
    <cfRule type="colorScale" priority="6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00">
    <cfRule type="colorScale" priority="6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00">
    <cfRule type="colorScale" priority="6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00">
    <cfRule type="colorScale" priority="6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00">
    <cfRule type="colorScale" priority="7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00">
    <cfRule type="colorScale" priority="7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00">
    <cfRule type="colorScale" priority="4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00">
    <cfRule type="colorScale" priority="4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00">
    <cfRule type="colorScale" priority="4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00">
    <cfRule type="colorScale" priority="4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00">
    <cfRule type="colorScale" priority="3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00">
    <cfRule type="colorScale" priority="3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00">
    <cfRule type="colorScale" priority="2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00">
    <cfRule type="colorScale" priority="2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00">
    <cfRule type="colorScale" priority="1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00">
    <cfRule type="colorScale" priority="1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00">
    <cfRule type="colorScale" priority="2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00">
    <cfRule type="colorScale" priority="2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00">
    <cfRule type="colorScale" priority="3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00">
    <cfRule type="colorScale" priority="3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00">
    <cfRule type="colorScale" priority="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00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00">
    <cfRule type="colorScale" priority="1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00">
    <cfRule type="colorScale" priority="1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00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00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00">
    <cfRule type="colorScale" priority="13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00">
    <cfRule type="colorScale" priority="13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21">
    <cfRule type="duplicateValues" dxfId="1" priority="14004"/>
  </conditionalFormatting>
  <conditionalFormatting sqref="Q1521">
    <cfRule type="colorScale" priority="86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21">
    <cfRule type="colorScale" priority="8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21">
    <cfRule type="colorScale" priority="9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21">
    <cfRule type="colorScale" priority="9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21">
    <cfRule type="colorScale" priority="9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21">
    <cfRule type="colorScale" priority="9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21">
    <cfRule type="colorScale" priority="7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21">
    <cfRule type="colorScale" priority="7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21">
    <cfRule type="colorScale" priority="8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21">
    <cfRule type="colorScale" priority="8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21">
    <cfRule type="colorScale" priority="5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21">
    <cfRule type="colorScale" priority="5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21">
    <cfRule type="colorScale" priority="5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21">
    <cfRule type="colorScale" priority="5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21">
    <cfRule type="colorScale" priority="6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21">
    <cfRule type="colorScale" priority="6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21">
    <cfRule type="colorScale" priority="6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21">
    <cfRule type="colorScale" priority="6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21">
    <cfRule type="colorScale" priority="7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21">
    <cfRule type="colorScale" priority="7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21">
    <cfRule type="colorScale" priority="4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21">
    <cfRule type="colorScale" priority="4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21">
    <cfRule type="colorScale" priority="4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21">
    <cfRule type="colorScale" priority="4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21">
    <cfRule type="colorScale" priority="3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21">
    <cfRule type="colorScale" priority="3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21">
    <cfRule type="colorScale" priority="2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21">
    <cfRule type="colorScale" priority="2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21">
    <cfRule type="colorScale" priority="1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21">
    <cfRule type="colorScale" priority="1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21">
    <cfRule type="colorScale" priority="2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21">
    <cfRule type="colorScale" priority="2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21">
    <cfRule type="colorScale" priority="3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21">
    <cfRule type="colorScale" priority="3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21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21">
    <cfRule type="colorScale" priority="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21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21">
    <cfRule type="colorScale" priority="1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21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21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21">
    <cfRule type="colorScale" priority="12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21">
    <cfRule type="colorScale" priority="12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22">
    <cfRule type="duplicateValues" dxfId="1" priority="13502"/>
  </conditionalFormatting>
  <conditionalFormatting sqref="E1523">
    <cfRule type="duplicateValues" dxfId="1" priority="13500"/>
  </conditionalFormatting>
  <conditionalFormatting sqref="E1524">
    <cfRule type="duplicateValues" dxfId="1" priority="13507"/>
  </conditionalFormatting>
  <conditionalFormatting sqref="E1525">
    <cfRule type="duplicateValues" dxfId="1" priority="13505"/>
  </conditionalFormatting>
  <conditionalFormatting sqref="E1526">
    <cfRule type="duplicateValues" dxfId="1" priority="13774"/>
  </conditionalFormatting>
  <conditionalFormatting sqref="Q1526">
    <cfRule type="colorScale" priority="8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26">
    <cfRule type="colorScale" priority="8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26">
    <cfRule type="colorScale" priority="9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26">
    <cfRule type="colorScale" priority="9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26">
    <cfRule type="colorScale" priority="9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26">
    <cfRule type="colorScale" priority="9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26">
    <cfRule type="colorScale" priority="7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26">
    <cfRule type="colorScale" priority="7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26">
    <cfRule type="colorScale" priority="8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26">
    <cfRule type="colorScale" priority="8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26">
    <cfRule type="colorScale" priority="5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26">
    <cfRule type="colorScale" priority="5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26">
    <cfRule type="colorScale" priority="5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26">
    <cfRule type="colorScale" priority="5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26">
    <cfRule type="colorScale" priority="6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26">
    <cfRule type="colorScale" priority="6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26">
    <cfRule type="colorScale" priority="6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26">
    <cfRule type="colorScale" priority="6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26">
    <cfRule type="colorScale" priority="7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26">
    <cfRule type="colorScale" priority="7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26">
    <cfRule type="colorScale" priority="4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26">
    <cfRule type="colorScale" priority="4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26">
    <cfRule type="colorScale" priority="4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26">
    <cfRule type="colorScale" priority="4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26">
    <cfRule type="colorScale" priority="3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26">
    <cfRule type="colorScale" priority="3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26">
    <cfRule type="colorScale" priority="2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26">
    <cfRule type="colorScale" priority="2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26">
    <cfRule type="colorScale" priority="1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26">
    <cfRule type="colorScale" priority="1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26">
    <cfRule type="colorScale" priority="2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26">
    <cfRule type="colorScale" priority="2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26">
    <cfRule type="colorScale" priority="3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26">
    <cfRule type="colorScale" priority="3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26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26">
    <cfRule type="colorScale" priority="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26">
    <cfRule type="colorScale" priority="1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26">
    <cfRule type="colorScale" priority="1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26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26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26">
    <cfRule type="colorScale" priority="12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26">
    <cfRule type="colorScale" priority="12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526:BV1526">
    <cfRule type="cellIs" dxfId="0" priority="13772" operator="greaterThan">
      <formula>1</formula>
    </cfRule>
  </conditionalFormatting>
  <conditionalFormatting sqref="E1527">
    <cfRule type="duplicateValues" dxfId="1" priority="13565"/>
  </conditionalFormatting>
  <conditionalFormatting sqref="E1529">
    <cfRule type="duplicateValues" dxfId="1" priority="13563"/>
  </conditionalFormatting>
  <conditionalFormatting sqref="E1531">
    <cfRule type="duplicateValues" dxfId="1" priority="13776"/>
  </conditionalFormatting>
  <conditionalFormatting sqref="E1533">
    <cfRule type="duplicateValues" dxfId="1" priority="13779"/>
  </conditionalFormatting>
  <conditionalFormatting sqref="E1535">
    <cfRule type="duplicateValues" dxfId="1" priority="13676"/>
  </conditionalFormatting>
  <conditionalFormatting sqref="E1537">
    <cfRule type="duplicateValues" dxfId="1" priority="13544"/>
  </conditionalFormatting>
  <conditionalFormatting sqref="E1539">
    <cfRule type="duplicateValues" dxfId="1" priority="13598"/>
  </conditionalFormatting>
  <conditionalFormatting sqref="E1541">
    <cfRule type="duplicateValues" dxfId="1" priority="13601"/>
  </conditionalFormatting>
  <conditionalFormatting sqref="E1543">
    <cfRule type="duplicateValues" dxfId="1" priority="14061"/>
  </conditionalFormatting>
  <conditionalFormatting sqref="Q1543">
    <cfRule type="colorScale" priority="8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43">
    <cfRule type="colorScale" priority="8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43">
    <cfRule type="colorScale" priority="9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43">
    <cfRule type="colorScale" priority="9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43">
    <cfRule type="colorScale" priority="9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43">
    <cfRule type="colorScale" priority="9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43">
    <cfRule type="colorScale" priority="7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43">
    <cfRule type="colorScale" priority="7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43">
    <cfRule type="colorScale" priority="8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43">
    <cfRule type="colorScale" priority="8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43">
    <cfRule type="colorScale" priority="5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43">
    <cfRule type="colorScale" priority="5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43">
    <cfRule type="colorScale" priority="5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43">
    <cfRule type="colorScale" priority="5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43">
    <cfRule type="colorScale" priority="6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43">
    <cfRule type="colorScale" priority="6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43">
    <cfRule type="colorScale" priority="6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43">
    <cfRule type="colorScale" priority="6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43">
    <cfRule type="colorScale" priority="7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43">
    <cfRule type="colorScale" priority="7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43">
    <cfRule type="colorScale" priority="4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43">
    <cfRule type="colorScale" priority="4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43">
    <cfRule type="colorScale" priority="4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43">
    <cfRule type="colorScale" priority="4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43">
    <cfRule type="colorScale" priority="3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43">
    <cfRule type="colorScale" priority="3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43">
    <cfRule type="colorScale" priority="2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43">
    <cfRule type="colorScale" priority="2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43">
    <cfRule type="colorScale" priority="1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43">
    <cfRule type="colorScale" priority="1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43">
    <cfRule type="colorScale" priority="2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43">
    <cfRule type="colorScale" priority="2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43">
    <cfRule type="colorScale" priority="3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43">
    <cfRule type="colorScale" priority="3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43">
    <cfRule type="colorScale" priority="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43">
    <cfRule type="colorScale" priority="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43">
    <cfRule type="colorScale" priority="1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43">
    <cfRule type="colorScale" priority="1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43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43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43">
    <cfRule type="colorScale" priority="12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43">
    <cfRule type="colorScale" priority="12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44">
    <cfRule type="duplicateValues" dxfId="1" priority="11747"/>
  </conditionalFormatting>
  <conditionalFormatting sqref="E1545">
    <cfRule type="duplicateValues" dxfId="1" priority="11745"/>
  </conditionalFormatting>
  <conditionalFormatting sqref="E1546">
    <cfRule type="duplicateValues" dxfId="1" priority="11739"/>
  </conditionalFormatting>
  <conditionalFormatting sqref="E1547">
    <cfRule type="duplicateValues" dxfId="1" priority="11737"/>
  </conditionalFormatting>
  <conditionalFormatting sqref="E1548">
    <cfRule type="duplicateValues" dxfId="1" priority="12235"/>
  </conditionalFormatting>
  <conditionalFormatting sqref="E1549">
    <cfRule type="duplicateValues" dxfId="1" priority="12233"/>
  </conditionalFormatting>
  <conditionalFormatting sqref="E1550">
    <cfRule type="duplicateValues" dxfId="1" priority="13708"/>
  </conditionalFormatting>
  <conditionalFormatting sqref="Q1550">
    <cfRule type="colorScale" priority="8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50">
    <cfRule type="colorScale" priority="8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50">
    <cfRule type="colorScale" priority="9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50">
    <cfRule type="colorScale" priority="9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50">
    <cfRule type="colorScale" priority="9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50">
    <cfRule type="colorScale" priority="9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50">
    <cfRule type="colorScale" priority="7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50">
    <cfRule type="colorScale" priority="7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50">
    <cfRule type="colorScale" priority="8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50">
    <cfRule type="colorScale" priority="8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50">
    <cfRule type="colorScale" priority="5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50">
    <cfRule type="colorScale" priority="5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50">
    <cfRule type="colorScale" priority="5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50">
    <cfRule type="colorScale" priority="5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50">
    <cfRule type="colorScale" priority="6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50">
    <cfRule type="colorScale" priority="6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50">
    <cfRule type="colorScale" priority="6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50">
    <cfRule type="colorScale" priority="6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50">
    <cfRule type="colorScale" priority="7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50">
    <cfRule type="colorScale" priority="7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50">
    <cfRule type="colorScale" priority="4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50">
    <cfRule type="colorScale" priority="4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50">
    <cfRule type="colorScale" priority="4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50">
    <cfRule type="colorScale" priority="4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50">
    <cfRule type="colorScale" priority="3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50">
    <cfRule type="colorScale" priority="3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50">
    <cfRule type="colorScale" priority="2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50">
    <cfRule type="colorScale" priority="2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50">
    <cfRule type="colorScale" priority="1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50">
    <cfRule type="colorScale" priority="1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50">
    <cfRule type="colorScale" priority="2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50">
    <cfRule type="colorScale" priority="2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50">
    <cfRule type="colorScale" priority="3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50">
    <cfRule type="colorScale" priority="3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50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50"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50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50">
    <cfRule type="colorScale" priority="1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50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50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50">
    <cfRule type="colorScale" priority="12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50">
    <cfRule type="colorScale" priority="12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550:BV1550">
    <cfRule type="cellIs" dxfId="0" priority="13706" operator="greaterThan">
      <formula>1</formula>
    </cfRule>
  </conditionalFormatting>
  <conditionalFormatting sqref="E1551">
    <cfRule type="duplicateValues" dxfId="1" priority="11159"/>
  </conditionalFormatting>
  <conditionalFormatting sqref="E1552">
    <cfRule type="duplicateValues" dxfId="1" priority="11157"/>
  </conditionalFormatting>
  <conditionalFormatting sqref="E1553">
    <cfRule type="duplicateValues" dxfId="1" priority="12635"/>
  </conditionalFormatting>
  <conditionalFormatting sqref="E1554">
    <cfRule type="duplicateValues" dxfId="1" priority="12633"/>
  </conditionalFormatting>
  <conditionalFormatting sqref="E1555">
    <cfRule type="duplicateValues" dxfId="1" priority="10592"/>
  </conditionalFormatting>
  <conditionalFormatting sqref="E1556">
    <cfRule type="duplicateValues" dxfId="1" priority="10590"/>
  </conditionalFormatting>
  <conditionalFormatting sqref="E1557">
    <cfRule type="duplicateValues" dxfId="1" priority="10399"/>
  </conditionalFormatting>
  <conditionalFormatting sqref="E1558">
    <cfRule type="duplicateValues" dxfId="1" priority="10397"/>
  </conditionalFormatting>
  <conditionalFormatting sqref="E1559">
    <cfRule type="duplicateValues" dxfId="1" priority="11416"/>
  </conditionalFormatting>
  <conditionalFormatting sqref="E1560">
    <cfRule type="duplicateValues" dxfId="1" priority="11414"/>
  </conditionalFormatting>
  <conditionalFormatting sqref="E1561">
    <cfRule type="duplicateValues" dxfId="1" priority="13406"/>
  </conditionalFormatting>
  <conditionalFormatting sqref="E1562">
    <cfRule type="duplicateValues" dxfId="1" priority="13404"/>
  </conditionalFormatting>
  <conditionalFormatting sqref="E1563">
    <cfRule type="duplicateValues" dxfId="1" priority="13689"/>
  </conditionalFormatting>
  <conditionalFormatting sqref="Q1563">
    <cfRule type="colorScale" priority="8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63">
    <cfRule type="colorScale" priority="8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63">
    <cfRule type="colorScale" priority="9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63">
    <cfRule type="colorScale" priority="9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63">
    <cfRule type="colorScale" priority="9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63">
    <cfRule type="colorScale" priority="9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63">
    <cfRule type="colorScale" priority="7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63">
    <cfRule type="colorScale" priority="7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63">
    <cfRule type="colorScale" priority="8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63">
    <cfRule type="colorScale" priority="8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63">
    <cfRule type="colorScale" priority="5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63">
    <cfRule type="colorScale" priority="5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63">
    <cfRule type="colorScale" priority="5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63">
    <cfRule type="colorScale" priority="5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63">
    <cfRule type="colorScale" priority="6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63">
    <cfRule type="colorScale" priority="6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63">
    <cfRule type="colorScale" priority="6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63">
    <cfRule type="colorScale" priority="6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63">
    <cfRule type="colorScale" priority="7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63">
    <cfRule type="colorScale" priority="7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63">
    <cfRule type="colorScale" priority="4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63">
    <cfRule type="colorScale" priority="4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63">
    <cfRule type="colorScale" priority="4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63">
    <cfRule type="colorScale" priority="4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63">
    <cfRule type="colorScale" priority="3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63">
    <cfRule type="colorScale" priority="3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63">
    <cfRule type="colorScale" priority="2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63">
    <cfRule type="colorScale" priority="2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63">
    <cfRule type="colorScale" priority="1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63">
    <cfRule type="colorScale" priority="1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63">
    <cfRule type="colorScale" priority="2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63">
    <cfRule type="colorScale" priority="2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63">
    <cfRule type="colorScale" priority="3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63">
    <cfRule type="colorScale" priority="3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63">
    <cfRule type="colorScale" priority="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63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63">
    <cfRule type="colorScale" priority="1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63"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63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63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63">
    <cfRule type="colorScale" priority="12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63">
    <cfRule type="colorScale" priority="12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563:BV1563">
    <cfRule type="cellIs" dxfId="0" priority="13687" operator="greaterThan">
      <formula>1</formula>
    </cfRule>
  </conditionalFormatting>
  <conditionalFormatting sqref="E1564">
    <cfRule type="duplicateValues" dxfId="1" priority="11801"/>
  </conditionalFormatting>
  <conditionalFormatting sqref="E1565">
    <cfRule type="duplicateValues" dxfId="1" priority="11799"/>
  </conditionalFormatting>
  <conditionalFormatting sqref="E1566">
    <cfRule type="duplicateValues" dxfId="1" priority="11810"/>
  </conditionalFormatting>
  <conditionalFormatting sqref="Q1566">
    <cfRule type="colorScale" priority="8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66">
    <cfRule type="colorScale" priority="8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66">
    <cfRule type="colorScale" priority="9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66">
    <cfRule type="colorScale" priority="9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66">
    <cfRule type="colorScale" priority="9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66">
    <cfRule type="colorScale" priority="9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66">
    <cfRule type="colorScale" priority="7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66">
    <cfRule type="colorScale" priority="7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66">
    <cfRule type="colorScale" priority="8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66">
    <cfRule type="colorScale" priority="8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66">
    <cfRule type="colorScale" priority="5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66">
    <cfRule type="colorScale" priority="5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66">
    <cfRule type="colorScale" priority="5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66">
    <cfRule type="colorScale" priority="5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66">
    <cfRule type="colorScale" priority="6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66">
    <cfRule type="colorScale" priority="6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66">
    <cfRule type="colorScale" priority="6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66">
    <cfRule type="colorScale" priority="6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66">
    <cfRule type="colorScale" priority="7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66">
    <cfRule type="colorScale" priority="7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66">
    <cfRule type="colorScale" priority="4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66">
    <cfRule type="colorScale" priority="4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66">
    <cfRule type="colorScale" priority="4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66">
    <cfRule type="colorScale" priority="4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66">
    <cfRule type="colorScale" priority="3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66">
    <cfRule type="colorScale" priority="3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66">
    <cfRule type="colorScale" priority="2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66">
    <cfRule type="colorScale" priority="2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66">
    <cfRule type="colorScale" priority="1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66">
    <cfRule type="colorScale" priority="1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66">
    <cfRule type="colorScale" priority="2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66">
    <cfRule type="colorScale" priority="2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66">
    <cfRule type="colorScale" priority="3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66">
    <cfRule type="colorScale" priority="3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66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66">
    <cfRule type="colorScale" priority="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66"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66">
    <cfRule type="colorScale" priority="1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6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6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66">
    <cfRule type="colorScale" priority="11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66">
    <cfRule type="colorScale" priority="11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566:BP1566">
    <cfRule type="cellIs" dxfId="0" priority="11805" operator="greaterThan">
      <formula>1</formula>
    </cfRule>
  </conditionalFormatting>
  <conditionalFormatting sqref="BU1566:BV1566">
    <cfRule type="cellIs" dxfId="0" priority="11808" operator="greaterThan">
      <formula>1</formula>
    </cfRule>
  </conditionalFormatting>
  <conditionalFormatting sqref="E1571">
    <cfRule type="duplicateValues" dxfId="1" priority="14113"/>
  </conditionalFormatting>
  <conditionalFormatting sqref="Q1571">
    <cfRule type="colorScale" priority="8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71">
    <cfRule type="colorScale" priority="8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71">
    <cfRule type="colorScale" priority="9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71">
    <cfRule type="colorScale" priority="9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71">
    <cfRule type="colorScale" priority="9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71">
    <cfRule type="colorScale" priority="9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71">
    <cfRule type="colorScale" priority="7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71">
    <cfRule type="colorScale" priority="7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71">
    <cfRule type="colorScale" priority="8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71">
    <cfRule type="colorScale" priority="8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71">
    <cfRule type="colorScale" priority="5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71">
    <cfRule type="colorScale" priority="5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71">
    <cfRule type="colorScale" priority="5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71">
    <cfRule type="colorScale" priority="5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71">
    <cfRule type="colorScale" priority="6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71">
    <cfRule type="colorScale" priority="6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71">
    <cfRule type="colorScale" priority="6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71">
    <cfRule type="colorScale" priority="6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71">
    <cfRule type="colorScale" priority="7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71">
    <cfRule type="colorScale" priority="7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71">
    <cfRule type="colorScale" priority="4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71">
    <cfRule type="colorScale" priority="4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71">
    <cfRule type="colorScale" priority="4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71">
    <cfRule type="colorScale" priority="4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71">
    <cfRule type="colorScale" priority="3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71">
    <cfRule type="colorScale" priority="3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71">
    <cfRule type="colorScale" priority="2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71">
    <cfRule type="colorScale" priority="2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71">
    <cfRule type="colorScale" priority="1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71">
    <cfRule type="colorScale" priority="1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71">
    <cfRule type="colorScale" priority="2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71">
    <cfRule type="colorScale" priority="2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71">
    <cfRule type="colorScale" priority="3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71">
    <cfRule type="colorScale" priority="3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71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71">
    <cfRule type="colorScale" priority="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71">
    <cfRule type="colorScale" priority="1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71">
    <cfRule type="colorScale" priority="1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71">
    <cfRule type="colorScale" priority="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71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71">
    <cfRule type="colorScale" priority="13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71">
    <cfRule type="colorScale" priority="13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84">
    <cfRule type="duplicateValues" dxfId="1" priority="14149"/>
  </conditionalFormatting>
  <conditionalFormatting sqref="Q1584">
    <cfRule type="colorScale" priority="8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84">
    <cfRule type="colorScale" priority="8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84">
    <cfRule type="colorScale" priority="9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84">
    <cfRule type="colorScale" priority="9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84">
    <cfRule type="colorScale" priority="9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84">
    <cfRule type="colorScale" priority="9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84">
    <cfRule type="colorScale" priority="7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84">
    <cfRule type="colorScale" priority="7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84">
    <cfRule type="colorScale" priority="8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84">
    <cfRule type="colorScale" priority="8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84">
    <cfRule type="colorScale" priority="5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84">
    <cfRule type="colorScale" priority="5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84">
    <cfRule type="colorScale" priority="5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84">
    <cfRule type="colorScale" priority="5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84">
    <cfRule type="colorScale" priority="6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84">
    <cfRule type="colorScale" priority="6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84">
    <cfRule type="colorScale" priority="6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84">
    <cfRule type="colorScale" priority="6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84">
    <cfRule type="colorScale" priority="7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84">
    <cfRule type="colorScale" priority="7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84">
    <cfRule type="colorScale" priority="4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84">
    <cfRule type="colorScale" priority="4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84">
    <cfRule type="colorScale" priority="4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584">
    <cfRule type="colorScale" priority="4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84">
    <cfRule type="colorScale" priority="3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584">
    <cfRule type="colorScale" priority="3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84">
    <cfRule type="colorScale" priority="2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584">
    <cfRule type="colorScale" priority="2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84">
    <cfRule type="colorScale" priority="1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84">
    <cfRule type="colorScale" priority="1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84">
    <cfRule type="colorScale" priority="2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584">
    <cfRule type="colorScale" priority="2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84">
    <cfRule type="colorScale" priority="3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84">
    <cfRule type="colorScale" priority="3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84">
    <cfRule type="colorScale" priority="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84"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584">
    <cfRule type="colorScale" priority="1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584">
    <cfRule type="colorScale" priority="1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584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84"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584">
    <cfRule type="colorScale" priority="13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584">
    <cfRule type="colorScale" priority="13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01">
    <cfRule type="duplicateValues" dxfId="1" priority="14143"/>
  </conditionalFormatting>
  <conditionalFormatting sqref="Q1601">
    <cfRule type="colorScale" priority="8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01">
    <cfRule type="colorScale" priority="8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01">
    <cfRule type="colorScale" priority="9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01">
    <cfRule type="colorScale" priority="9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01">
    <cfRule type="colorScale" priority="9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01">
    <cfRule type="colorScale" priority="9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01">
    <cfRule type="colorScale" priority="7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01">
    <cfRule type="colorScale" priority="7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01">
    <cfRule type="colorScale" priority="8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01">
    <cfRule type="colorScale" priority="8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01">
    <cfRule type="colorScale" priority="5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601">
    <cfRule type="colorScale" priority="5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01">
    <cfRule type="colorScale" priority="5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601">
    <cfRule type="colorScale" priority="5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01">
    <cfRule type="colorScale" priority="6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601">
    <cfRule type="colorScale" priority="6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01">
    <cfRule type="colorScale" priority="6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601">
    <cfRule type="colorScale" priority="6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01">
    <cfRule type="colorScale" priority="7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01">
    <cfRule type="colorScale" priority="7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01">
    <cfRule type="colorScale" priority="4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601">
    <cfRule type="colorScale" priority="4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01">
    <cfRule type="colorScale" priority="4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601">
    <cfRule type="colorScale" priority="4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01">
    <cfRule type="colorScale" priority="3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601">
    <cfRule type="colorScale" priority="3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01">
    <cfRule type="colorScale" priority="2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601">
    <cfRule type="colorScale" priority="2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01">
    <cfRule type="colorScale" priority="1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601">
    <cfRule type="colorScale" priority="1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01">
    <cfRule type="colorScale" priority="2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01">
    <cfRule type="colorScale" priority="2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01">
    <cfRule type="colorScale" priority="3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601">
    <cfRule type="colorScale" priority="3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01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601">
    <cfRule type="colorScale" priority="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01">
    <cfRule type="colorScale" priority="1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601">
    <cfRule type="colorScale" priority="1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01">
    <cfRule type="colorScale" priority="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601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01">
    <cfRule type="colorScale" priority="13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601">
    <cfRule type="colorScale" priority="13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18">
    <cfRule type="duplicateValues" dxfId="1" priority="14082"/>
  </conditionalFormatting>
  <conditionalFormatting sqref="Q1618">
    <cfRule type="colorScale" priority="8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18">
    <cfRule type="colorScale" priority="8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18">
    <cfRule type="colorScale" priority="9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18">
    <cfRule type="colorScale" priority="9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18">
    <cfRule type="colorScale" priority="9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18">
    <cfRule type="colorScale" priority="9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18">
    <cfRule type="colorScale" priority="7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18">
    <cfRule type="colorScale" priority="7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18">
    <cfRule type="colorScale" priority="8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18">
    <cfRule type="colorScale" priority="8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18">
    <cfRule type="colorScale" priority="5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618">
    <cfRule type="colorScale" priority="5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18">
    <cfRule type="colorScale" priority="5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618">
    <cfRule type="colorScale" priority="5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18">
    <cfRule type="colorScale" priority="6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618">
    <cfRule type="colorScale" priority="6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18">
    <cfRule type="colorScale" priority="6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618">
    <cfRule type="colorScale" priority="6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18">
    <cfRule type="colorScale" priority="7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18">
    <cfRule type="colorScale" priority="7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18">
    <cfRule type="colorScale" priority="4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618">
    <cfRule type="colorScale" priority="4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18">
    <cfRule type="colorScale" priority="4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618">
    <cfRule type="colorScale" priority="4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18">
    <cfRule type="colorScale" priority="3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618">
    <cfRule type="colorScale" priority="3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18">
    <cfRule type="colorScale" priority="2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618">
    <cfRule type="colorScale" priority="2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18">
    <cfRule type="colorScale" priority="1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618">
    <cfRule type="colorScale" priority="1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18">
    <cfRule type="colorScale" priority="2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18">
    <cfRule type="colorScale" priority="2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18">
    <cfRule type="colorScale" priority="3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618">
    <cfRule type="colorScale" priority="3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18">
    <cfRule type="colorScale" priority="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618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18">
    <cfRule type="colorScale" priority="1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618">
    <cfRule type="colorScale" priority="1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18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618"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18">
    <cfRule type="colorScale" priority="13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618">
    <cfRule type="colorScale" priority="13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47">
    <cfRule type="duplicateValues" dxfId="1" priority="13853"/>
  </conditionalFormatting>
  <conditionalFormatting sqref="Q1647">
    <cfRule type="colorScale" priority="8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47">
    <cfRule type="colorScale" priority="8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47">
    <cfRule type="colorScale" priority="9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47">
    <cfRule type="colorScale" priority="9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47">
    <cfRule type="colorScale" priority="9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47">
    <cfRule type="colorScale" priority="9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47">
    <cfRule type="colorScale" priority="7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47">
    <cfRule type="colorScale" priority="7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47">
    <cfRule type="colorScale" priority="8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47">
    <cfRule type="colorScale" priority="8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47">
    <cfRule type="colorScale" priority="5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647">
    <cfRule type="colorScale" priority="5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47">
    <cfRule type="colorScale" priority="5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647">
    <cfRule type="colorScale" priority="5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47">
    <cfRule type="colorScale" priority="6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647">
    <cfRule type="colorScale" priority="6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47">
    <cfRule type="colorScale" priority="6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647">
    <cfRule type="colorScale" priority="6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47">
    <cfRule type="colorScale" priority="7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47">
    <cfRule type="colorScale" priority="7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47">
    <cfRule type="colorScale" priority="4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647">
    <cfRule type="colorScale" priority="4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47">
    <cfRule type="colorScale" priority="4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647">
    <cfRule type="colorScale" priority="4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47">
    <cfRule type="colorScale" priority="3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647">
    <cfRule type="colorScale" priority="3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47">
    <cfRule type="colorScale" priority="2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647">
    <cfRule type="colorScale" priority="2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47">
    <cfRule type="colorScale" priority="1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647">
    <cfRule type="colorScale" priority="1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47">
    <cfRule type="colorScale" priority="2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47">
    <cfRule type="colorScale" priority="2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47">
    <cfRule type="colorScale" priority="3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647">
    <cfRule type="colorScale" priority="3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47">
    <cfRule type="colorScale" priority="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647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47">
    <cfRule type="colorScale" priority="1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647"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47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647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47">
    <cfRule type="colorScale" priority="12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647">
    <cfRule type="colorScale" priority="12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60">
    <cfRule type="duplicateValues" dxfId="1" priority="13770"/>
  </conditionalFormatting>
  <conditionalFormatting sqref="Q1660">
    <cfRule type="colorScale" priority="8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60">
    <cfRule type="colorScale" priority="8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60">
    <cfRule type="colorScale" priority="9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60">
    <cfRule type="colorScale" priority="9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60">
    <cfRule type="colorScale" priority="9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60">
    <cfRule type="colorScale" priority="9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60">
    <cfRule type="colorScale" priority="7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60">
    <cfRule type="colorScale" priority="7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60">
    <cfRule type="colorScale" priority="8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60">
    <cfRule type="colorScale" priority="8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60">
    <cfRule type="colorScale" priority="5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660">
    <cfRule type="colorScale" priority="5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60">
    <cfRule type="colorScale" priority="5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660">
    <cfRule type="colorScale" priority="5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60">
    <cfRule type="colorScale" priority="6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660">
    <cfRule type="colorScale" priority="6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60">
    <cfRule type="colorScale" priority="6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660">
    <cfRule type="colorScale" priority="6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60">
    <cfRule type="colorScale" priority="7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60">
    <cfRule type="colorScale" priority="7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60">
    <cfRule type="colorScale" priority="4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660">
    <cfRule type="colorScale" priority="4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60">
    <cfRule type="colorScale" priority="4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660">
    <cfRule type="colorScale" priority="4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60">
    <cfRule type="colorScale" priority="3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660">
    <cfRule type="colorScale" priority="3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60">
    <cfRule type="colorScale" priority="2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660">
    <cfRule type="colorScale" priority="2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60">
    <cfRule type="colorScale" priority="1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660">
    <cfRule type="colorScale" priority="1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60">
    <cfRule type="colorScale" priority="2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60">
    <cfRule type="colorScale" priority="2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60">
    <cfRule type="colorScale" priority="3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660">
    <cfRule type="colorScale" priority="3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60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660"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60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660">
    <cfRule type="colorScale" priority="1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60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660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60">
    <cfRule type="colorScale" priority="12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660">
    <cfRule type="colorScale" priority="12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660:BV1660">
    <cfRule type="cellIs" dxfId="0" priority="13771" operator="greaterThan">
      <formula>1</formula>
    </cfRule>
  </conditionalFormatting>
  <conditionalFormatting sqref="E1677">
    <cfRule type="duplicateValues" dxfId="1" priority="14037"/>
  </conditionalFormatting>
  <conditionalFormatting sqref="Q1677:R1677">
    <cfRule type="colorScale" priority="8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77:T1677">
    <cfRule type="colorScale" priority="9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77:V1677">
    <cfRule type="colorScale" priority="9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77:X1677">
    <cfRule type="colorScale" priority="7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77:Z1677">
    <cfRule type="colorScale" priority="8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77:AB1677">
    <cfRule type="colorScale" priority="5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77:AD1677">
    <cfRule type="colorScale" priority="5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77:AF1677">
    <cfRule type="colorScale" priority="6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77:AH1677">
    <cfRule type="colorScale" priority="6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77:AJ1677">
    <cfRule type="colorScale" priority="7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77:AL1677">
    <cfRule type="colorScale" priority="4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77:AN1677">
    <cfRule type="colorScale" priority="4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77:AP1677">
    <cfRule type="colorScale" priority="3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77:AR1677">
    <cfRule type="colorScale" priority="2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77:AT1677">
    <cfRule type="colorScale" priority="1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77:AV1677">
    <cfRule type="colorScale" priority="2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77:AX1677">
    <cfRule type="colorScale" priority="3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77:AZ1677">
    <cfRule type="colorScale" priority="7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77:BB1677">
    <cfRule type="colorScale" priority="1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77:BD1677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77:BF1677">
    <cfRule type="colorScale" priority="12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86">
    <cfRule type="duplicateValues" dxfId="1" priority="13974"/>
  </conditionalFormatting>
  <conditionalFormatting sqref="Q1686">
    <cfRule type="colorScale" priority="8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86">
    <cfRule type="colorScale" priority="8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86">
    <cfRule type="colorScale" priority="9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86">
    <cfRule type="colorScale" priority="9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86">
    <cfRule type="colorScale" priority="9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86">
    <cfRule type="colorScale" priority="9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86">
    <cfRule type="colorScale" priority="7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86">
    <cfRule type="colorScale" priority="7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86">
    <cfRule type="colorScale" priority="8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86">
    <cfRule type="colorScale" priority="8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86">
    <cfRule type="colorScale" priority="5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686">
    <cfRule type="colorScale" priority="5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86">
    <cfRule type="colorScale" priority="57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686">
    <cfRule type="colorScale" priority="5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86">
    <cfRule type="colorScale" priority="6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686">
    <cfRule type="colorScale" priority="6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86">
    <cfRule type="colorScale" priority="6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686">
    <cfRule type="colorScale" priority="6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86">
    <cfRule type="colorScale" priority="7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86">
    <cfRule type="colorScale" priority="7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86">
    <cfRule type="colorScale" priority="4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686">
    <cfRule type="colorScale" priority="4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86">
    <cfRule type="colorScale" priority="4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686">
    <cfRule type="colorScale" priority="4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86">
    <cfRule type="colorScale" priority="3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686">
    <cfRule type="colorScale" priority="3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86">
    <cfRule type="colorScale" priority="2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686">
    <cfRule type="colorScale" priority="2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86">
    <cfRule type="colorScale" priority="1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686">
    <cfRule type="colorScale" priority="1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86">
    <cfRule type="colorScale" priority="2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86">
    <cfRule type="colorScale" priority="2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86">
    <cfRule type="colorScale" priority="3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686">
    <cfRule type="colorScale" priority="3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86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686">
    <cfRule type="colorScale" priority="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86"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686">
    <cfRule type="colorScale" priority="1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86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686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86">
    <cfRule type="colorScale" priority="12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686">
    <cfRule type="colorScale" priority="12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97">
    <cfRule type="duplicateValues" dxfId="1" priority="13936"/>
  </conditionalFormatting>
  <conditionalFormatting sqref="Q1697">
    <cfRule type="colorScale" priority="8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97">
    <cfRule type="colorScale" priority="8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97">
    <cfRule type="colorScale" priority="9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97">
    <cfRule type="colorScale" priority="9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97">
    <cfRule type="colorScale" priority="9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97">
    <cfRule type="colorScale" priority="9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97">
    <cfRule type="colorScale" priority="7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97">
    <cfRule type="colorScale" priority="7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97">
    <cfRule type="colorScale" priority="8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97">
    <cfRule type="colorScale" priority="8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97">
    <cfRule type="colorScale" priority="5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697">
    <cfRule type="colorScale" priority="5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97">
    <cfRule type="colorScale" priority="5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697">
    <cfRule type="colorScale" priority="5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97">
    <cfRule type="colorScale" priority="6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697">
    <cfRule type="colorScale" priority="6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97">
    <cfRule type="colorScale" priority="6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697">
    <cfRule type="colorScale" priority="6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97">
    <cfRule type="colorScale" priority="7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97">
    <cfRule type="colorScale" priority="7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97">
    <cfRule type="colorScale" priority="4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697">
    <cfRule type="colorScale" priority="4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97">
    <cfRule type="colorScale" priority="4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697">
    <cfRule type="colorScale" priority="4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97">
    <cfRule type="colorScale" priority="3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697">
    <cfRule type="colorScale" priority="3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97">
    <cfRule type="colorScale" priority="2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697">
    <cfRule type="colorScale" priority="2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97">
    <cfRule type="colorScale" priority="1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697">
    <cfRule type="colorScale" priority="1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97">
    <cfRule type="colorScale" priority="2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97">
    <cfRule type="colorScale" priority="2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97">
    <cfRule type="colorScale" priority="3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697">
    <cfRule type="colorScale" priority="3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97">
    <cfRule type="colorScale" priority="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697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97">
    <cfRule type="colorScale" priority="1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697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97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697"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97">
    <cfRule type="colorScale" priority="12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697">
    <cfRule type="colorScale" priority="12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02">
    <cfRule type="duplicateValues" dxfId="1" priority="13751"/>
  </conditionalFormatting>
  <conditionalFormatting sqref="Q1702">
    <cfRule type="colorScale" priority="8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02">
    <cfRule type="colorScale" priority="8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02">
    <cfRule type="colorScale" priority="9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02">
    <cfRule type="colorScale" priority="9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02">
    <cfRule type="colorScale" priority="9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02">
    <cfRule type="colorScale" priority="9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02">
    <cfRule type="colorScale" priority="7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02">
    <cfRule type="colorScale" priority="7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02">
    <cfRule type="colorScale" priority="8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02">
    <cfRule type="colorScale" priority="8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02">
    <cfRule type="colorScale" priority="5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02">
    <cfRule type="colorScale" priority="5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02">
    <cfRule type="colorScale" priority="5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02">
    <cfRule type="colorScale" priority="5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02">
    <cfRule type="colorScale" priority="6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02">
    <cfRule type="colorScale" priority="6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02">
    <cfRule type="colorScale" priority="6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02">
    <cfRule type="colorScale" priority="6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02">
    <cfRule type="colorScale" priority="7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02">
    <cfRule type="colorScale" priority="7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02">
    <cfRule type="colorScale" priority="4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02">
    <cfRule type="colorScale" priority="4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02">
    <cfRule type="colorScale" priority="4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02">
    <cfRule type="colorScale" priority="4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02">
    <cfRule type="colorScale" priority="3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02">
    <cfRule type="colorScale" priority="3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02">
    <cfRule type="colorScale" priority="2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02">
    <cfRule type="colorScale" priority="2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02">
    <cfRule type="colorScale" priority="16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02">
    <cfRule type="colorScale" priority="1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02">
    <cfRule type="colorScale" priority="2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02">
    <cfRule type="colorScale" priority="2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02">
    <cfRule type="colorScale" priority="3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02">
    <cfRule type="colorScale" priority="3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02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02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02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02">
    <cfRule type="colorScale" priority="1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02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02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02">
    <cfRule type="colorScale" priority="12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02">
    <cfRule type="colorScale" priority="12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19">
    <cfRule type="duplicateValues" dxfId="1" priority="13430"/>
  </conditionalFormatting>
  <conditionalFormatting sqref="Q1719">
    <cfRule type="colorScale" priority="8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19">
    <cfRule type="colorScale" priority="8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19">
    <cfRule type="colorScale" priority="9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19">
    <cfRule type="colorScale" priority="9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19">
    <cfRule type="colorScale" priority="9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19">
    <cfRule type="colorScale" priority="9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19">
    <cfRule type="colorScale" priority="7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19">
    <cfRule type="colorScale" priority="7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19">
    <cfRule type="colorScale" priority="8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19">
    <cfRule type="colorScale" priority="8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19">
    <cfRule type="colorScale" priority="5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19">
    <cfRule type="colorScale" priority="5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19">
    <cfRule type="colorScale" priority="5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19">
    <cfRule type="colorScale" priority="5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19">
    <cfRule type="colorScale" priority="6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19">
    <cfRule type="colorScale" priority="6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19">
    <cfRule type="colorScale" priority="6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19">
    <cfRule type="colorScale" priority="6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19">
    <cfRule type="colorScale" priority="7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19">
    <cfRule type="colorScale" priority="7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19">
    <cfRule type="colorScale" priority="4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19">
    <cfRule type="colorScale" priority="4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19">
    <cfRule type="colorScale" priority="4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19">
    <cfRule type="colorScale" priority="4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19">
    <cfRule type="colorScale" priority="3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19">
    <cfRule type="colorScale" priority="3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19">
    <cfRule type="colorScale" priority="2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19">
    <cfRule type="colorScale" priority="2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19">
    <cfRule type="colorScale" priority="1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19">
    <cfRule type="colorScale" priority="1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19">
    <cfRule type="colorScale" priority="2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19">
    <cfRule type="colorScale" priority="2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19">
    <cfRule type="colorScale" priority="36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19">
    <cfRule type="colorScale" priority="3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19">
    <cfRule type="colorScale" priority="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19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19">
    <cfRule type="colorScale" priority="1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19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1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19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19">
    <cfRule type="colorScale" priority="12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19">
    <cfRule type="colorScale" priority="12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719:BP1719">
    <cfRule type="cellIs" dxfId="0" priority="13426" operator="greaterThan">
      <formula>1</formula>
    </cfRule>
  </conditionalFormatting>
  <conditionalFormatting sqref="BU1719:BV1719">
    <cfRule type="cellIs" dxfId="0" priority="13431" operator="greaterThan">
      <formula>1</formula>
    </cfRule>
  </conditionalFormatting>
  <conditionalFormatting sqref="E1736">
    <cfRule type="duplicateValues" dxfId="1" priority="13268"/>
  </conditionalFormatting>
  <conditionalFormatting sqref="Q1736">
    <cfRule type="colorScale" priority="8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36">
    <cfRule type="colorScale" priority="8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36">
    <cfRule type="colorScale" priority="9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36">
    <cfRule type="colorScale" priority="9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36">
    <cfRule type="colorScale" priority="9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36">
    <cfRule type="colorScale" priority="9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36">
    <cfRule type="colorScale" priority="7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36">
    <cfRule type="colorScale" priority="7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36">
    <cfRule type="colorScale" priority="8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36">
    <cfRule type="colorScale" priority="8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36">
    <cfRule type="colorScale" priority="5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36">
    <cfRule type="colorScale" priority="5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36">
    <cfRule type="colorScale" priority="5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36">
    <cfRule type="colorScale" priority="5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36">
    <cfRule type="colorScale" priority="6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36">
    <cfRule type="colorScale" priority="6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36">
    <cfRule type="colorScale" priority="6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36">
    <cfRule type="colorScale" priority="6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36">
    <cfRule type="colorScale" priority="7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36">
    <cfRule type="colorScale" priority="7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36">
    <cfRule type="colorScale" priority="4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36">
    <cfRule type="colorScale" priority="4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36">
    <cfRule type="colorScale" priority="4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36">
    <cfRule type="colorScale" priority="46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36">
    <cfRule type="colorScale" priority="3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36">
    <cfRule type="colorScale" priority="3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36">
    <cfRule type="colorScale" priority="2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36">
    <cfRule type="colorScale" priority="2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36">
    <cfRule type="colorScale" priority="1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36">
    <cfRule type="colorScale" priority="1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36">
    <cfRule type="colorScale" priority="2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36">
    <cfRule type="colorScale" priority="2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36">
    <cfRule type="colorScale" priority="3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36">
    <cfRule type="colorScale" priority="3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36">
    <cfRule type="colorScale" priority="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36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36">
    <cfRule type="colorScale" priority="1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36"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3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36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36">
    <cfRule type="colorScale" priority="12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36">
    <cfRule type="colorScale" priority="12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736:BP1736">
    <cfRule type="cellIs" dxfId="0" priority="13264" operator="greaterThan">
      <formula>1</formula>
    </cfRule>
  </conditionalFormatting>
  <conditionalFormatting sqref="BU1736:BV1736">
    <cfRule type="cellIs" dxfId="0" priority="13269" operator="greaterThan">
      <formula>1</formula>
    </cfRule>
  </conditionalFormatting>
  <conditionalFormatting sqref="E1751">
    <cfRule type="duplicateValues" dxfId="1" priority="14049"/>
  </conditionalFormatting>
  <conditionalFormatting sqref="Q1751">
    <cfRule type="colorScale" priority="8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51">
    <cfRule type="colorScale" priority="8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51">
    <cfRule type="colorScale" priority="9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51">
    <cfRule type="colorScale" priority="9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51">
    <cfRule type="colorScale" priority="9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51">
    <cfRule type="colorScale" priority="9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51">
    <cfRule type="colorScale" priority="7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51">
    <cfRule type="colorScale" priority="7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51">
    <cfRule type="colorScale" priority="8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51">
    <cfRule type="colorScale" priority="8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51">
    <cfRule type="colorScale" priority="5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51">
    <cfRule type="colorScale" priority="5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51">
    <cfRule type="colorScale" priority="5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51">
    <cfRule type="colorScale" priority="5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51">
    <cfRule type="colorScale" priority="6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51">
    <cfRule type="colorScale" priority="6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51">
    <cfRule type="colorScale" priority="6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51">
    <cfRule type="colorScale" priority="6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51">
    <cfRule type="colorScale" priority="7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51">
    <cfRule type="colorScale" priority="7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51">
    <cfRule type="colorScale" priority="4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51">
    <cfRule type="colorScale" priority="4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51">
    <cfRule type="colorScale" priority="4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51">
    <cfRule type="colorScale" priority="4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51">
    <cfRule type="colorScale" priority="3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51">
    <cfRule type="colorScale" priority="3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51">
    <cfRule type="colorScale" priority="2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51">
    <cfRule type="colorScale" priority="2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51">
    <cfRule type="colorScale" priority="1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51">
    <cfRule type="colorScale" priority="1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51">
    <cfRule type="colorScale" priority="2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51">
    <cfRule type="colorScale" priority="2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51">
    <cfRule type="colorScale" priority="3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51">
    <cfRule type="colorScale" priority="3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51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51">
    <cfRule type="colorScale" priority="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51"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51">
    <cfRule type="colorScale" priority="1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51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51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51">
    <cfRule type="colorScale" priority="12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51">
    <cfRule type="colorScale" priority="12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72">
    <cfRule type="duplicateValues" dxfId="1" priority="14063"/>
  </conditionalFormatting>
  <conditionalFormatting sqref="Q1772">
    <cfRule type="colorScale" priority="8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72">
    <cfRule type="colorScale" priority="8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72">
    <cfRule type="colorScale" priority="9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72">
    <cfRule type="colorScale" priority="9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72">
    <cfRule type="colorScale" priority="9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72">
    <cfRule type="colorScale" priority="9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72">
    <cfRule type="colorScale" priority="7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72">
    <cfRule type="colorScale" priority="7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72">
    <cfRule type="colorScale" priority="8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72">
    <cfRule type="colorScale" priority="8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72">
    <cfRule type="colorScale" priority="5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72">
    <cfRule type="colorScale" priority="5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72">
    <cfRule type="colorScale" priority="5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72">
    <cfRule type="colorScale" priority="5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72">
    <cfRule type="colorScale" priority="6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72">
    <cfRule type="colorScale" priority="6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72">
    <cfRule type="colorScale" priority="6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72">
    <cfRule type="colorScale" priority="6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72">
    <cfRule type="colorScale" priority="7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72">
    <cfRule type="colorScale" priority="7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72">
    <cfRule type="colorScale" priority="4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72">
    <cfRule type="colorScale" priority="4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72">
    <cfRule type="colorScale" priority="4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72">
    <cfRule type="colorScale" priority="4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72">
    <cfRule type="colorScale" priority="3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72">
    <cfRule type="colorScale" priority="3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72">
    <cfRule type="colorScale" priority="2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72">
    <cfRule type="colorScale" priority="2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72">
    <cfRule type="colorScale" priority="1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72">
    <cfRule type="colorScale" priority="1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72">
    <cfRule type="colorScale" priority="2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72">
    <cfRule type="colorScale" priority="2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72">
    <cfRule type="colorScale" priority="3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72">
    <cfRule type="colorScale" priority="3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72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72">
    <cfRule type="colorScale" priority="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72"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72">
    <cfRule type="colorScale" priority="1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72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72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72">
    <cfRule type="colorScale" priority="12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72">
    <cfRule type="colorScale" priority="12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73">
    <cfRule type="duplicateValues" dxfId="1" priority="13990"/>
  </conditionalFormatting>
  <conditionalFormatting sqref="E1775">
    <cfRule type="duplicateValues" dxfId="1" priority="13992"/>
  </conditionalFormatting>
  <conditionalFormatting sqref="Q1775">
    <cfRule type="colorScale" priority="8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75">
    <cfRule type="colorScale" priority="8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75">
    <cfRule type="colorScale" priority="9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75">
    <cfRule type="colorScale" priority="9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75">
    <cfRule type="colorScale" priority="9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75">
    <cfRule type="colorScale" priority="9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75">
    <cfRule type="colorScale" priority="7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75">
    <cfRule type="colorScale" priority="7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75">
    <cfRule type="colorScale" priority="8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75">
    <cfRule type="colorScale" priority="8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75">
    <cfRule type="colorScale" priority="5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75">
    <cfRule type="colorScale" priority="5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75">
    <cfRule type="colorScale" priority="5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75">
    <cfRule type="colorScale" priority="5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75">
    <cfRule type="colorScale" priority="6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75">
    <cfRule type="colorScale" priority="6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75">
    <cfRule type="colorScale" priority="67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75">
    <cfRule type="colorScale" priority="6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75">
    <cfRule type="colorScale" priority="7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75">
    <cfRule type="colorScale" priority="7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75">
    <cfRule type="colorScale" priority="4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75">
    <cfRule type="colorScale" priority="4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75">
    <cfRule type="colorScale" priority="4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75">
    <cfRule type="colorScale" priority="4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75">
    <cfRule type="colorScale" priority="3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75">
    <cfRule type="colorScale" priority="3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75">
    <cfRule type="colorScale" priority="2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75">
    <cfRule type="colorScale" priority="2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75">
    <cfRule type="colorScale" priority="1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75">
    <cfRule type="colorScale" priority="1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75">
    <cfRule type="colorScale" priority="2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75">
    <cfRule type="colorScale" priority="2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75">
    <cfRule type="colorScale" priority="3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75">
    <cfRule type="colorScale" priority="3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75">
    <cfRule type="colorScale" priority="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75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75">
    <cfRule type="colorScale" priority="1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75"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75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75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75">
    <cfRule type="colorScale" priority="12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75">
    <cfRule type="colorScale" priority="12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84">
    <cfRule type="duplicateValues" dxfId="1" priority="13815"/>
  </conditionalFormatting>
  <conditionalFormatting sqref="Q1784">
    <cfRule type="colorScale" priority="8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84">
    <cfRule type="colorScale" priority="8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84">
    <cfRule type="colorScale" priority="9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84">
    <cfRule type="colorScale" priority="9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84">
    <cfRule type="colorScale" priority="9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84">
    <cfRule type="colorScale" priority="9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84">
    <cfRule type="colorScale" priority="7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84">
    <cfRule type="colorScale" priority="7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84">
    <cfRule type="colorScale" priority="8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84">
    <cfRule type="colorScale" priority="8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84">
    <cfRule type="colorScale" priority="5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84">
    <cfRule type="colorScale" priority="5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84">
    <cfRule type="colorScale" priority="5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84">
    <cfRule type="colorScale" priority="5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84">
    <cfRule type="colorScale" priority="6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84">
    <cfRule type="colorScale" priority="6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84">
    <cfRule type="colorScale" priority="6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84">
    <cfRule type="colorScale" priority="6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84">
    <cfRule type="colorScale" priority="7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84">
    <cfRule type="colorScale" priority="7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84">
    <cfRule type="colorScale" priority="4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84">
    <cfRule type="colorScale" priority="4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84">
    <cfRule type="colorScale" priority="4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84">
    <cfRule type="colorScale" priority="4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84">
    <cfRule type="colorScale" priority="3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84">
    <cfRule type="colorScale" priority="3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84">
    <cfRule type="colorScale" priority="2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84">
    <cfRule type="colorScale" priority="2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84">
    <cfRule type="colorScale" priority="1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84">
    <cfRule type="colorScale" priority="1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84">
    <cfRule type="colorScale" priority="2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84">
    <cfRule type="colorScale" priority="2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84">
    <cfRule type="colorScale" priority="3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84">
    <cfRule type="colorScale" priority="3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84">
    <cfRule type="colorScale" priority="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84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84">
    <cfRule type="colorScale" priority="1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84"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84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84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84">
    <cfRule type="colorScale" priority="12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84">
    <cfRule type="colorScale" priority="12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89">
    <cfRule type="duplicateValues" dxfId="1" priority="13458"/>
  </conditionalFormatting>
  <conditionalFormatting sqref="Q1789">
    <cfRule type="colorScale" priority="8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89">
    <cfRule type="colorScale" priority="8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89">
    <cfRule type="colorScale" priority="9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89">
    <cfRule type="colorScale" priority="9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89">
    <cfRule type="colorScale" priority="9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89">
    <cfRule type="colorScale" priority="9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89">
    <cfRule type="colorScale" priority="7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89">
    <cfRule type="colorScale" priority="7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89">
    <cfRule type="colorScale" priority="8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89">
    <cfRule type="colorScale" priority="8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89">
    <cfRule type="colorScale" priority="5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89">
    <cfRule type="colorScale" priority="5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89">
    <cfRule type="colorScale" priority="5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89">
    <cfRule type="colorScale" priority="5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89">
    <cfRule type="colorScale" priority="6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89">
    <cfRule type="colorScale" priority="6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89">
    <cfRule type="colorScale" priority="6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89">
    <cfRule type="colorScale" priority="6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89">
    <cfRule type="colorScale" priority="7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89">
    <cfRule type="colorScale" priority="7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789">
    <cfRule type="colorScale" priority="4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789">
    <cfRule type="colorScale" priority="4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89">
    <cfRule type="colorScale" priority="4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789">
    <cfRule type="colorScale" priority="4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789">
    <cfRule type="colorScale" priority="3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789">
    <cfRule type="colorScale" priority="3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789">
    <cfRule type="colorScale" priority="2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789">
    <cfRule type="colorScale" priority="2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89">
    <cfRule type="colorScale" priority="1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789">
    <cfRule type="colorScale" priority="1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789">
    <cfRule type="colorScale" priority="2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89">
    <cfRule type="colorScale" priority="2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789">
    <cfRule type="colorScale" priority="3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789">
    <cfRule type="colorScale" priority="3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89">
    <cfRule type="colorScale" priority="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789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89">
    <cfRule type="colorScale" priority="1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789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78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789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789">
    <cfRule type="colorScale" priority="12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89">
    <cfRule type="colorScale" priority="12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789:BP1789">
    <cfRule type="cellIs" dxfId="0" priority="13454" operator="greaterThan">
      <formula>1</formula>
    </cfRule>
  </conditionalFormatting>
  <conditionalFormatting sqref="BU1789:BV1789">
    <cfRule type="cellIs" dxfId="0" priority="13459" operator="greaterThan">
      <formula>1</formula>
    </cfRule>
  </conditionalFormatting>
  <conditionalFormatting sqref="E1806">
    <cfRule type="duplicateValues" dxfId="1" priority="14006"/>
  </conditionalFormatting>
  <conditionalFormatting sqref="Q1806">
    <cfRule type="colorScale" priority="8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06">
    <cfRule type="colorScale" priority="8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06">
    <cfRule type="colorScale" priority="9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806">
    <cfRule type="colorScale" priority="9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06">
    <cfRule type="colorScale" priority="9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806">
    <cfRule type="colorScale" priority="9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06">
    <cfRule type="colorScale" priority="7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806">
    <cfRule type="colorScale" priority="7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06">
    <cfRule type="colorScale" priority="8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806">
    <cfRule type="colorScale" priority="8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06">
    <cfRule type="colorScale" priority="5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806">
    <cfRule type="colorScale" priority="5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806">
    <cfRule type="colorScale" priority="5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806">
    <cfRule type="colorScale" priority="5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06">
    <cfRule type="colorScale" priority="6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806">
    <cfRule type="colorScale" priority="6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06">
    <cfRule type="colorScale" priority="66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806">
    <cfRule type="colorScale" priority="6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806">
    <cfRule type="colorScale" priority="7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806">
    <cfRule type="colorScale" priority="7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06">
    <cfRule type="colorScale" priority="4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806">
    <cfRule type="colorScale" priority="4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806">
    <cfRule type="colorScale" priority="4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806">
    <cfRule type="colorScale" priority="4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806">
    <cfRule type="colorScale" priority="3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806">
    <cfRule type="colorScale" priority="3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806">
    <cfRule type="colorScale" priority="2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806">
    <cfRule type="colorScale" priority="2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806">
    <cfRule type="colorScale" priority="1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806">
    <cfRule type="colorScale" priority="1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806">
    <cfRule type="colorScale" priority="2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806">
    <cfRule type="colorScale" priority="2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806">
    <cfRule type="colorScale" priority="3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806">
    <cfRule type="colorScale" priority="3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806">
    <cfRule type="colorScale" priority="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806">
    <cfRule type="colorScale" priority="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806">
    <cfRule type="colorScale" priority="1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806">
    <cfRule type="colorScale" priority="1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806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806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806">
    <cfRule type="colorScale" priority="12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806">
    <cfRule type="colorScale" priority="12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15">
    <cfRule type="duplicateValues" dxfId="1" priority="13960"/>
  </conditionalFormatting>
  <conditionalFormatting sqref="Q1815">
    <cfRule type="colorScale" priority="8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15">
    <cfRule type="colorScale" priority="8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15">
    <cfRule type="colorScale" priority="9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815">
    <cfRule type="colorScale" priority="9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15">
    <cfRule type="colorScale" priority="9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815">
    <cfRule type="colorScale" priority="9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15">
    <cfRule type="colorScale" priority="7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815">
    <cfRule type="colorScale" priority="7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15">
    <cfRule type="colorScale" priority="8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815">
    <cfRule type="colorScale" priority="8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15">
    <cfRule type="colorScale" priority="5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815">
    <cfRule type="colorScale" priority="5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815">
    <cfRule type="colorScale" priority="5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815">
    <cfRule type="colorScale" priority="5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15">
    <cfRule type="colorScale" priority="6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815">
    <cfRule type="colorScale" priority="6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15">
    <cfRule type="colorScale" priority="6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815">
    <cfRule type="colorScale" priority="6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815">
    <cfRule type="colorScale" priority="7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815">
    <cfRule type="colorScale" priority="7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15">
    <cfRule type="colorScale" priority="4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815">
    <cfRule type="colorScale" priority="4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815">
    <cfRule type="colorScale" priority="4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815">
    <cfRule type="colorScale" priority="4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815">
    <cfRule type="colorScale" priority="3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815">
    <cfRule type="colorScale" priority="3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815">
    <cfRule type="colorScale" priority="2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815">
    <cfRule type="colorScale" priority="2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815">
    <cfRule type="colorScale" priority="1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815">
    <cfRule type="colorScale" priority="1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815">
    <cfRule type="colorScale" priority="2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815">
    <cfRule type="colorScale" priority="2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815">
    <cfRule type="colorScale" priority="3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815">
    <cfRule type="colorScale" priority="3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815">
    <cfRule type="colorScale" priority="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815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815">
    <cfRule type="colorScale" priority="1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815"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815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815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815">
    <cfRule type="colorScale" priority="12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815">
    <cfRule type="colorScale" priority="12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26">
    <cfRule type="duplicateValues" dxfId="1" priority="13919"/>
  </conditionalFormatting>
  <conditionalFormatting sqref="Q1826:R1826">
    <cfRule type="colorScale" priority="8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26:T1826">
    <cfRule type="colorScale" priority="9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26:V1826">
    <cfRule type="colorScale" priority="9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26:X1826">
    <cfRule type="colorScale" priority="7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26:Z1826">
    <cfRule type="colorScale" priority="8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26:AB1826">
    <cfRule type="colorScale" priority="5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826:AD1826">
    <cfRule type="colorScale" priority="5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26:AF1826">
    <cfRule type="colorScale" priority="6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26:AH1826">
    <cfRule type="colorScale" priority="6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826:AJ1826">
    <cfRule type="colorScale" priority="7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26:AL1826">
    <cfRule type="colorScale" priority="4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826:AN1826">
    <cfRule type="colorScale" priority="4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826:AP1826">
    <cfRule type="colorScale" priority="3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826:AR1826">
    <cfRule type="colorScale" priority="2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826:AT1826">
    <cfRule type="colorScale" priority="1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826:AV1826">
    <cfRule type="colorScale" priority="2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826:AX1826">
    <cfRule type="colorScale" priority="3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826:AZ1826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826:BB1826"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826:BD1826"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826:BF1826">
    <cfRule type="colorScale" priority="12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47">
    <cfRule type="duplicateValues" dxfId="1" priority="13911"/>
  </conditionalFormatting>
  <conditionalFormatting sqref="Q1847:R1847">
    <cfRule type="colorScale" priority="8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47:T1847">
    <cfRule type="colorScale" priority="9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47:V1847">
    <cfRule type="colorScale" priority="9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47:X1847">
    <cfRule type="colorScale" priority="7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47:Z1847">
    <cfRule type="colorScale" priority="8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47:AB1847">
    <cfRule type="colorScale" priority="5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847:AD1847">
    <cfRule type="colorScale" priority="5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47:AF1847">
    <cfRule type="colorScale" priority="6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47:AH1847">
    <cfRule type="colorScale" priority="6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847:AJ1847">
    <cfRule type="colorScale" priority="7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47:AL1847">
    <cfRule type="colorScale" priority="4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847:AN1847">
    <cfRule type="colorScale" priority="4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847:AP1847">
    <cfRule type="colorScale" priority="3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847:AR1847">
    <cfRule type="colorScale" priority="2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847:AT1847">
    <cfRule type="colorScale" priority="1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847:AV1847">
    <cfRule type="colorScale" priority="2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847:AX1847">
    <cfRule type="colorScale" priority="3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847:AZ1847">
    <cfRule type="colorScale" priority="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847:BB1847">
    <cfRule type="colorScale" priority="1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847:BD1847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847:BF1847">
    <cfRule type="colorScale" priority="12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80">
    <cfRule type="duplicateValues" dxfId="1" priority="13896"/>
  </conditionalFormatting>
  <conditionalFormatting sqref="Q1880:R1880">
    <cfRule type="colorScale" priority="8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80:T1880">
    <cfRule type="colorScale" priority="9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80:V1880">
    <cfRule type="colorScale" priority="97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80:X1880">
    <cfRule type="colorScale" priority="7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80:Z1880">
    <cfRule type="colorScale" priority="8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80:AB1880">
    <cfRule type="colorScale" priority="5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880:AD1880">
    <cfRule type="colorScale" priority="5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80:AF1880">
    <cfRule type="colorScale" priority="6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80:AH1880">
    <cfRule type="colorScale" priority="6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880:AJ1880">
    <cfRule type="colorScale" priority="7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80:AL1880">
    <cfRule type="colorScale" priority="4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880:AN1880">
    <cfRule type="colorScale" priority="4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880:AP1880">
    <cfRule type="colorScale" priority="3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880:AR1880">
    <cfRule type="colorScale" priority="2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880:AT1880">
    <cfRule type="colorScale" priority="1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880:AV1880">
    <cfRule type="colorScale" priority="2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880:AX1880">
    <cfRule type="colorScale" priority="3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880:AZ1880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880:BB1880"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880:BD1880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880:BF1880">
    <cfRule type="colorScale" priority="12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97">
    <cfRule type="duplicateValues" dxfId="1" priority="13680"/>
  </conditionalFormatting>
  <conditionalFormatting sqref="Q1897:R1897">
    <cfRule type="colorScale" priority="8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97:T1897">
    <cfRule type="colorScale" priority="9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97:V1897">
    <cfRule type="colorScale" priority="9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97:X1897">
    <cfRule type="colorScale" priority="7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97:Z1897">
    <cfRule type="colorScale" priority="8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97:AB1897">
    <cfRule type="colorScale" priority="5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897:AD1897">
    <cfRule type="colorScale" priority="5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97:AF1897">
    <cfRule type="colorScale" priority="6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97:AH1897">
    <cfRule type="colorScale" priority="6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897:AJ1897">
    <cfRule type="colorScale" priority="7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97:AL1897">
    <cfRule type="colorScale" priority="4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897:AN1897">
    <cfRule type="colorScale" priority="4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897:AP1897">
    <cfRule type="colorScale" priority="3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897:AR1897">
    <cfRule type="colorScale" priority="2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897:AT1897">
    <cfRule type="colorScale" priority="1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897:AV1897">
    <cfRule type="colorScale" priority="2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897:AX1897">
    <cfRule type="colorScale" priority="3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897:AZ1897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897:BB1897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897:BD1897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897:BF1897">
    <cfRule type="colorScale" priority="12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897:BV1897">
    <cfRule type="cellIs" dxfId="0" priority="13681" operator="greaterThan">
      <formula>1</formula>
    </cfRule>
  </conditionalFormatting>
  <conditionalFormatting sqref="E1904">
    <cfRule type="duplicateValues" dxfId="1" priority="13811"/>
  </conditionalFormatting>
  <conditionalFormatting sqref="Q1904:R1904">
    <cfRule type="colorScale" priority="8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04:T1904">
    <cfRule type="colorScale" priority="9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04:V1904">
    <cfRule type="colorScale" priority="9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04:X1904">
    <cfRule type="colorScale" priority="7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04:Z1904">
    <cfRule type="colorScale" priority="8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04:AB1904">
    <cfRule type="colorScale" priority="5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04:AD1904">
    <cfRule type="colorScale" priority="5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04:AF1904">
    <cfRule type="colorScale" priority="6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04:AH1904">
    <cfRule type="colorScale" priority="6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04:AJ1904">
    <cfRule type="colorScale" priority="7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04:AL1904">
    <cfRule type="colorScale" priority="4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04:AN1904">
    <cfRule type="colorScale" priority="4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04:AP1904">
    <cfRule type="colorScale" priority="3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04:AR1904">
    <cfRule type="colorScale" priority="2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04:AT1904">
    <cfRule type="colorScale" priority="1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04:AV1904">
    <cfRule type="colorScale" priority="2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04:AX1904">
    <cfRule type="colorScale" priority="3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04:AZ1904">
    <cfRule type="colorScale" priority="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04:BB1904">
    <cfRule type="colorScale" priority="1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04:BD1904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04:BF1904">
    <cfRule type="colorScale" priority="12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09">
    <cfRule type="duplicateValues" dxfId="1" priority="14022"/>
  </conditionalFormatting>
  <conditionalFormatting sqref="Q1909">
    <cfRule type="colorScale" priority="8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909">
    <cfRule type="colorScale" priority="8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09">
    <cfRule type="colorScale" priority="8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909">
    <cfRule type="colorScale" priority="9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09">
    <cfRule type="colorScale" priority="9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909">
    <cfRule type="colorScale" priority="9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09">
    <cfRule type="colorScale" priority="7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909">
    <cfRule type="colorScale" priority="7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09">
    <cfRule type="colorScale" priority="8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909">
    <cfRule type="colorScale" priority="8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09">
    <cfRule type="colorScale" priority="4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909">
    <cfRule type="colorScale" priority="5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09">
    <cfRule type="colorScale" priority="5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09">
    <cfRule type="colorScale" priority="5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09">
    <cfRule type="colorScale" priority="5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909">
    <cfRule type="colorScale" priority="6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09">
    <cfRule type="colorScale" priority="6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909">
    <cfRule type="colorScale" priority="6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09">
    <cfRule type="colorScale" priority="7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909">
    <cfRule type="colorScale" priority="7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09">
    <cfRule type="colorScale" priority="4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909">
    <cfRule type="colorScale" priority="4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09">
    <cfRule type="colorScale" priority="4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909">
    <cfRule type="colorScale" priority="4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09">
    <cfRule type="colorScale" priority="2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909">
    <cfRule type="colorScale" priority="3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09">
    <cfRule type="colorScale" priority="2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909">
    <cfRule type="colorScale" priority="2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09">
    <cfRule type="colorScale" priority="1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909">
    <cfRule type="colorScale" priority="1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09">
    <cfRule type="colorScale" priority="1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909">
    <cfRule type="colorScale" priority="2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09">
    <cfRule type="colorScale" priority="3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909">
    <cfRule type="colorScale" priority="3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09"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909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09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909"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0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909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09">
    <cfRule type="colorScale" priority="12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909">
    <cfRule type="colorScale" priority="12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10">
    <cfRule type="duplicateValues" dxfId="1" priority="13962"/>
  </conditionalFormatting>
  <conditionalFormatting sqref="E1912">
    <cfRule type="duplicateValues" dxfId="1" priority="13964"/>
  </conditionalFormatting>
  <conditionalFormatting sqref="Q1912">
    <cfRule type="colorScale" priority="8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912">
    <cfRule type="colorScale" priority="8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12">
    <cfRule type="colorScale" priority="8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912">
    <cfRule type="colorScale" priority="9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12">
    <cfRule type="colorScale" priority="9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912">
    <cfRule type="colorScale" priority="9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12">
    <cfRule type="colorScale" priority="7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912">
    <cfRule type="colorScale" priority="7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12">
    <cfRule type="colorScale" priority="8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912">
    <cfRule type="colorScale" priority="8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12">
    <cfRule type="colorScale" priority="4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912">
    <cfRule type="colorScale" priority="5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12">
    <cfRule type="colorScale" priority="5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12">
    <cfRule type="colorScale" priority="5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12">
    <cfRule type="colorScale" priority="5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912">
    <cfRule type="colorScale" priority="6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12">
    <cfRule type="colorScale" priority="6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912">
    <cfRule type="colorScale" priority="6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12">
    <cfRule type="colorScale" priority="7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912">
    <cfRule type="colorScale" priority="7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12">
    <cfRule type="colorScale" priority="4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912">
    <cfRule type="colorScale" priority="4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12">
    <cfRule type="colorScale" priority="4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912">
    <cfRule type="colorScale" priority="4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12">
    <cfRule type="colorScale" priority="2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912">
    <cfRule type="colorScale" priority="3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12">
    <cfRule type="colorScale" priority="2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912">
    <cfRule type="colorScale" priority="2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12">
    <cfRule type="colorScale" priority="1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912">
    <cfRule type="colorScale" priority="1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12">
    <cfRule type="colorScale" priority="1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912">
    <cfRule type="colorScale" priority="2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12">
    <cfRule type="colorScale" priority="3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912">
    <cfRule type="colorScale" priority="3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12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912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12">
    <cfRule type="colorScale" priority="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912"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912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12">
    <cfRule type="colorScale" priority="12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912">
    <cfRule type="colorScale" priority="12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13">
    <cfRule type="duplicateValues" dxfId="1" priority="13996"/>
  </conditionalFormatting>
  <conditionalFormatting sqref="E1915">
    <cfRule type="duplicateValues" dxfId="1" priority="13998"/>
  </conditionalFormatting>
  <conditionalFormatting sqref="Q1915">
    <cfRule type="colorScale" priority="8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915">
    <cfRule type="colorScale" priority="8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15">
    <cfRule type="colorScale" priority="9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915">
    <cfRule type="colorScale" priority="9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15">
    <cfRule type="colorScale" priority="9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915">
    <cfRule type="colorScale" priority="9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15">
    <cfRule type="colorScale" priority="7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915">
    <cfRule type="colorScale" priority="7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15">
    <cfRule type="colorScale" priority="8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915">
    <cfRule type="colorScale" priority="8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15">
    <cfRule type="colorScale" priority="5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915">
    <cfRule type="colorScale" priority="5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15">
    <cfRule type="colorScale" priority="5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15">
    <cfRule type="colorScale" priority="5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15">
    <cfRule type="colorScale" priority="6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915">
    <cfRule type="colorScale" priority="6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15">
    <cfRule type="colorScale" priority="6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915">
    <cfRule type="colorScale" priority="6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15">
    <cfRule type="colorScale" priority="7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915">
    <cfRule type="colorScale" priority="7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15">
    <cfRule type="colorScale" priority="4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915">
    <cfRule type="colorScale" priority="4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15">
    <cfRule type="colorScale" priority="4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915">
    <cfRule type="colorScale" priority="4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15">
    <cfRule type="colorScale" priority="3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915">
    <cfRule type="colorScale" priority="3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15">
    <cfRule type="colorScale" priority="2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915">
    <cfRule type="colorScale" priority="2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15">
    <cfRule type="colorScale" priority="1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915">
    <cfRule type="colorScale" priority="1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15">
    <cfRule type="colorScale" priority="2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915">
    <cfRule type="colorScale" priority="2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15">
    <cfRule type="colorScale" priority="3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915">
    <cfRule type="colorScale" priority="3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15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915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15">
    <cfRule type="colorScale" priority="1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915">
    <cfRule type="colorScale" priority="1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15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915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15">
    <cfRule type="colorScale" priority="12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915">
    <cfRule type="colorScale" priority="12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16">
    <cfRule type="duplicateValues" dxfId="1" priority="13673"/>
  </conditionalFormatting>
  <conditionalFormatting sqref="E1918">
    <cfRule type="duplicateValues" dxfId="1" priority="12599"/>
  </conditionalFormatting>
  <conditionalFormatting sqref="E1920">
    <cfRule type="duplicateValues" dxfId="1" priority="12662"/>
  </conditionalFormatting>
  <conditionalFormatting sqref="E1923">
    <cfRule type="duplicateValues" dxfId="1" priority="12772"/>
  </conditionalFormatting>
  <conditionalFormatting sqref="E1925">
    <cfRule type="duplicateValues" dxfId="1" priority="12706"/>
  </conditionalFormatting>
  <conditionalFormatting sqref="E1927">
    <cfRule type="duplicateValues" dxfId="1" priority="13694"/>
  </conditionalFormatting>
  <conditionalFormatting sqref="E1929">
    <cfRule type="duplicateValues" dxfId="1" priority="13201"/>
  </conditionalFormatting>
  <conditionalFormatting sqref="E1931">
    <cfRule type="duplicateValues" dxfId="1" priority="13670"/>
  </conditionalFormatting>
  <conditionalFormatting sqref="E1933">
    <cfRule type="duplicateValues" dxfId="1" priority="13470"/>
  </conditionalFormatting>
  <conditionalFormatting sqref="E1935">
    <cfRule type="duplicateValues" dxfId="1" priority="12565"/>
  </conditionalFormatting>
  <conditionalFormatting sqref="E1937">
    <cfRule type="duplicateValues" dxfId="1" priority="9509"/>
  </conditionalFormatting>
  <conditionalFormatting sqref="E1939">
    <cfRule type="duplicateValues" dxfId="1" priority="13696"/>
  </conditionalFormatting>
  <conditionalFormatting sqref="Q1939:R1939">
    <cfRule type="colorScale" priority="8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39:T1939">
    <cfRule type="colorScale" priority="9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39:V1939">
    <cfRule type="colorScale" priority="9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39:X1939">
    <cfRule type="colorScale" priority="7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39:Z1939">
    <cfRule type="colorScale" priority="8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39:AB1939">
    <cfRule type="colorScale" priority="5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39:AD1939">
    <cfRule type="colorScale" priority="5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39:AF1939">
    <cfRule type="colorScale" priority="6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39:AH1939">
    <cfRule type="colorScale" priority="6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39:AJ1939">
    <cfRule type="colorScale" priority="7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39:AL1939">
    <cfRule type="colorScale" priority="4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39:AN1939">
    <cfRule type="colorScale" priority="4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39:AP1939">
    <cfRule type="colorScale" priority="3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39:AR1939">
    <cfRule type="colorScale" priority="2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39:AT1939">
    <cfRule type="colorScale" priority="1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39:AV1939">
    <cfRule type="colorScale" priority="2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39:AX1939">
    <cfRule type="colorScale" priority="3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39:AZ1939">
    <cfRule type="colorScale" priority="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39:BB1939">
    <cfRule type="colorScale" priority="1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39:BD1939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39:BF1939">
    <cfRule type="colorScale" priority="12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40">
    <cfRule type="duplicateValues" dxfId="1" priority="11838"/>
  </conditionalFormatting>
  <conditionalFormatting sqref="E1942">
    <cfRule type="duplicateValues" dxfId="1" priority="11832"/>
  </conditionalFormatting>
  <conditionalFormatting sqref="E1944">
    <cfRule type="duplicateValues" dxfId="1" priority="11826"/>
  </conditionalFormatting>
  <conditionalFormatting sqref="Q1944:R1944">
    <cfRule type="colorScale" priority="8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44:T1944">
    <cfRule type="colorScale" priority="9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44:V1944">
    <cfRule type="colorScale" priority="9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44:X1944">
    <cfRule type="colorScale" priority="7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44:Z1944">
    <cfRule type="colorScale" priority="8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44:AB1944">
    <cfRule type="colorScale" priority="5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44:AD1944">
    <cfRule type="colorScale" priority="5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44:AF1944">
    <cfRule type="colorScale" priority="6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44:AH1944">
    <cfRule type="colorScale" priority="6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44:AJ1944">
    <cfRule type="colorScale" priority="7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44:AL1944">
    <cfRule type="colorScale" priority="4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44:AN1944">
    <cfRule type="colorScale" priority="4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44:AP1944">
    <cfRule type="colorScale" priority="3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44:AR1944">
    <cfRule type="colorScale" priority="2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44:AT1944">
    <cfRule type="colorScale" priority="1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44:AV1944">
    <cfRule type="colorScale" priority="2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44:AX1944">
    <cfRule type="colorScale" priority="3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44:AZ1944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44:BB1944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44:BD1944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44:BF1944">
    <cfRule type="colorScale" priority="11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944:BP1944">
    <cfRule type="cellIs" dxfId="0" priority="11822" operator="greaterThan">
      <formula>1</formula>
    </cfRule>
  </conditionalFormatting>
  <conditionalFormatting sqref="BU1944:BV1944">
    <cfRule type="cellIs" dxfId="0" priority="11827" operator="greaterThan">
      <formula>1</formula>
    </cfRule>
  </conditionalFormatting>
  <conditionalFormatting sqref="E1945">
    <cfRule type="duplicateValues" dxfId="1" priority="10367"/>
  </conditionalFormatting>
  <conditionalFormatting sqref="E1947">
    <cfRule type="duplicateValues" dxfId="1" priority="10362"/>
  </conditionalFormatting>
  <conditionalFormatting sqref="E1949">
    <cfRule type="duplicateValues" dxfId="1" priority="10184"/>
  </conditionalFormatting>
  <conditionalFormatting sqref="E1951">
    <cfRule type="duplicateValues" dxfId="1" priority="10179"/>
  </conditionalFormatting>
  <conditionalFormatting sqref="E1953">
    <cfRule type="duplicateValues" dxfId="1" priority="11487"/>
  </conditionalFormatting>
  <conditionalFormatting sqref="E1955">
    <cfRule type="duplicateValues" dxfId="1" priority="11482"/>
  </conditionalFormatting>
  <conditionalFormatting sqref="E1957">
    <cfRule type="duplicateValues" dxfId="1" priority="10379"/>
  </conditionalFormatting>
  <conditionalFormatting sqref="E1959">
    <cfRule type="duplicateValues" dxfId="1" priority="10374"/>
  </conditionalFormatting>
  <conditionalFormatting sqref="E1961">
    <cfRule type="duplicateValues" dxfId="1" priority="11695"/>
  </conditionalFormatting>
  <conditionalFormatting sqref="E1963">
    <cfRule type="duplicateValues" dxfId="1" priority="11690"/>
  </conditionalFormatting>
  <conditionalFormatting sqref="E1965">
    <cfRule type="duplicateValues" dxfId="1" priority="6983"/>
  </conditionalFormatting>
  <conditionalFormatting sqref="E1967">
    <cfRule type="duplicateValues" dxfId="1" priority="6978"/>
  </conditionalFormatting>
  <conditionalFormatting sqref="E1969">
    <cfRule type="duplicateValues" dxfId="1" priority="11707"/>
  </conditionalFormatting>
  <conditionalFormatting sqref="E1971">
    <cfRule type="duplicateValues" dxfId="1" priority="11702"/>
  </conditionalFormatting>
  <conditionalFormatting sqref="E1973">
    <cfRule type="duplicateValues" dxfId="1" priority="6971"/>
  </conditionalFormatting>
  <conditionalFormatting sqref="E1975">
    <cfRule type="duplicateValues" dxfId="1" priority="6966"/>
  </conditionalFormatting>
  <conditionalFormatting sqref="E1977">
    <cfRule type="duplicateValues" dxfId="1" priority="12055"/>
  </conditionalFormatting>
  <conditionalFormatting sqref="Q1977:R1977">
    <cfRule type="colorScale" priority="8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77:T1977">
    <cfRule type="colorScale" priority="8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77:V1977">
    <cfRule type="colorScale" priority="9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77:X1977">
    <cfRule type="colorScale" priority="7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77:Z1977">
    <cfRule type="colorScale" priority="8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77:AB1977">
    <cfRule type="colorScale" priority="4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77:AD1977">
    <cfRule type="colorScale" priority="5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77:AF1977">
    <cfRule type="colorScale" priority="5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77:AH1977">
    <cfRule type="colorScale" priority="6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77:AJ1977">
    <cfRule type="colorScale" priority="7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77:AL1977">
    <cfRule type="colorScale" priority="4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77:AN1977">
    <cfRule type="colorScale" priority="4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77:AP1977">
    <cfRule type="colorScale" priority="2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77:AR1977">
    <cfRule type="colorScale" priority="2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77:AT1977">
    <cfRule type="colorScale" priority="1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77:AV1977">
    <cfRule type="colorScale" priority="1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77:AX1977">
    <cfRule type="colorScale" priority="3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77:AZ1977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77:BB1977">
    <cfRule type="colorScale" priority="1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77:BD197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77:BF1977">
    <cfRule type="colorScale" priority="12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977:BP1977">
    <cfRule type="cellIs" dxfId="0" priority="12051" operator="greaterThan">
      <formula>1</formula>
    </cfRule>
  </conditionalFormatting>
  <conditionalFormatting sqref="BU1977:BV1977">
    <cfRule type="cellIs" dxfId="0" priority="12056" operator="greaterThan">
      <formula>1</formula>
    </cfRule>
  </conditionalFormatting>
  <conditionalFormatting sqref="E1978">
    <cfRule type="duplicateValues" dxfId="1" priority="10303"/>
  </conditionalFormatting>
  <conditionalFormatting sqref="E1980">
    <cfRule type="duplicateValues" dxfId="1" priority="10298"/>
  </conditionalFormatting>
  <conditionalFormatting sqref="E1982">
    <cfRule type="duplicateValues" dxfId="1" priority="11250"/>
  </conditionalFormatting>
  <conditionalFormatting sqref="E1984">
    <cfRule type="duplicateValues" dxfId="1" priority="11245"/>
  </conditionalFormatting>
  <conditionalFormatting sqref="E1986">
    <cfRule type="duplicateValues" dxfId="1" priority="11468"/>
  </conditionalFormatting>
  <conditionalFormatting sqref="E1988">
    <cfRule type="duplicateValues" dxfId="1" priority="11463"/>
  </conditionalFormatting>
  <conditionalFormatting sqref="E1990">
    <cfRule type="duplicateValues" dxfId="1" priority="11331"/>
  </conditionalFormatting>
  <conditionalFormatting sqref="E1992">
    <cfRule type="duplicateValues" dxfId="1" priority="11326"/>
  </conditionalFormatting>
  <conditionalFormatting sqref="E1994">
    <cfRule type="duplicateValues" dxfId="1" priority="11477"/>
  </conditionalFormatting>
  <conditionalFormatting sqref="Q1994:R1994">
    <cfRule type="colorScale" priority="8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94:T1994">
    <cfRule type="colorScale" priority="9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94:V1994">
    <cfRule type="colorScale" priority="9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94:X1994">
    <cfRule type="colorScale" priority="7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94:Z1994">
    <cfRule type="colorScale" priority="8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94:AB1994">
    <cfRule type="colorScale" priority="5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94:AD1994">
    <cfRule type="colorScale" priority="5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94:AF1994">
    <cfRule type="colorScale" priority="6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94:AH1994">
    <cfRule type="colorScale" priority="6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94:AJ1994">
    <cfRule type="colorScale" priority="7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94:AL1994">
    <cfRule type="colorScale" priority="4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94:AN1994">
    <cfRule type="colorScale" priority="4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94:AP1994">
    <cfRule type="colorScale" priority="3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94:AR1994">
    <cfRule type="colorScale" priority="2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94:AT1994">
    <cfRule type="colorScale" priority="1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94:AV1994">
    <cfRule type="colorScale" priority="2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94:AX1994">
    <cfRule type="colorScale" priority="3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94:AZ1994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94:BB1994"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94:BD199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94:BF1994">
    <cfRule type="colorScale" priority="11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994:BP1994">
    <cfRule type="cellIs" dxfId="0" priority="11473" operator="greaterThan">
      <formula>1</formula>
    </cfRule>
  </conditionalFormatting>
  <conditionalFormatting sqref="BU1994:BV1994">
    <cfRule type="cellIs" dxfId="0" priority="11478" operator="greaterThan">
      <formula>1</formula>
    </cfRule>
  </conditionalFormatting>
  <conditionalFormatting sqref="E1995">
    <cfRule type="duplicateValues" dxfId="1" priority="10981"/>
  </conditionalFormatting>
  <conditionalFormatting sqref="E1997">
    <cfRule type="duplicateValues" dxfId="1" priority="10976"/>
  </conditionalFormatting>
  <conditionalFormatting sqref="E1999">
    <cfRule type="duplicateValues" dxfId="1" priority="10969"/>
  </conditionalFormatting>
  <conditionalFormatting sqref="E2001">
    <cfRule type="duplicateValues" dxfId="1" priority="10964"/>
  </conditionalFormatting>
  <conditionalFormatting sqref="E2003">
    <cfRule type="duplicateValues" dxfId="1" priority="11552"/>
  </conditionalFormatting>
  <conditionalFormatting sqref="Q2003:R2003">
    <cfRule type="colorScale" priority="8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03:T2003">
    <cfRule type="colorScale" priority="9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03:V2003">
    <cfRule type="colorScale" priority="9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03:X2003">
    <cfRule type="colorScale" priority="7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03:Z2003">
    <cfRule type="colorScale" priority="8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03:AB2003">
    <cfRule type="colorScale" priority="5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03:AD2003">
    <cfRule type="colorScale" priority="5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03:AF2003">
    <cfRule type="colorScale" priority="6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03:AH2003">
    <cfRule type="colorScale" priority="6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03:AJ2003">
    <cfRule type="colorScale" priority="7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03:AL2003">
    <cfRule type="colorScale" priority="4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03:AN2003">
    <cfRule type="colorScale" priority="4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03:AP2003">
    <cfRule type="colorScale" priority="3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03:AR2003">
    <cfRule type="colorScale" priority="2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03:AT2003">
    <cfRule type="colorScale" priority="1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03:AV2003">
    <cfRule type="colorScale" priority="2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03:AX2003">
    <cfRule type="colorScale" priority="3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03:AZ2003"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03:BB2003">
    <cfRule type="colorScale" priority="1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03:BD200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03:BF2003">
    <cfRule type="colorScale" priority="11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03:BP2003">
    <cfRule type="cellIs" dxfId="0" priority="11548" operator="greaterThan">
      <formula>1</formula>
    </cfRule>
  </conditionalFormatting>
  <conditionalFormatting sqref="BU2003:BV2003">
    <cfRule type="cellIs" dxfId="0" priority="11553" operator="greaterThan">
      <formula>1</formula>
    </cfRule>
  </conditionalFormatting>
  <conditionalFormatting sqref="E2004">
    <cfRule type="duplicateValues" dxfId="1" priority="11093"/>
  </conditionalFormatting>
  <conditionalFormatting sqref="E2006">
    <cfRule type="duplicateValues" dxfId="1" priority="11087"/>
  </conditionalFormatting>
  <conditionalFormatting sqref="E2008">
    <cfRule type="duplicateValues" dxfId="1" priority="11527"/>
  </conditionalFormatting>
  <conditionalFormatting sqref="E2010">
    <cfRule type="duplicateValues" dxfId="1" priority="12138"/>
  </conditionalFormatting>
  <conditionalFormatting sqref="Q2010:R2010">
    <cfRule type="colorScale" priority="8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10:T2010">
    <cfRule type="colorScale" priority="9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10:V2010">
    <cfRule type="colorScale" priority="9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10:X2010">
    <cfRule type="colorScale" priority="7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10:Z2010">
    <cfRule type="colorScale" priority="8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10:AB2010">
    <cfRule type="colorScale" priority="5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10:AD2010">
    <cfRule type="colorScale" priority="5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10:AF2010">
    <cfRule type="colorScale" priority="6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10:AH2010">
    <cfRule type="colorScale" priority="6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10:AJ2010">
    <cfRule type="colorScale" priority="7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10:AL2010">
    <cfRule type="colorScale" priority="4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10:AN2010">
    <cfRule type="colorScale" priority="4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10:AP2010">
    <cfRule type="colorScale" priority="3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10:AR2010">
    <cfRule type="colorScale" priority="2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10:AT2010">
    <cfRule type="colorScale" priority="1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10:AV2010">
    <cfRule type="colorScale" priority="2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10:AX2010">
    <cfRule type="colorScale" priority="3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10:AZ2010">
    <cfRule type="colorScale" priority="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10:BB2010">
    <cfRule type="colorScale" priority="1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10:BD2010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10:BF2010">
    <cfRule type="colorScale" priority="12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10:BP2010">
    <cfRule type="cellIs" dxfId="0" priority="12134" operator="greaterThan">
      <formula>1</formula>
    </cfRule>
  </conditionalFormatting>
  <conditionalFormatting sqref="BU2010:BV2010">
    <cfRule type="cellIs" dxfId="0" priority="12139" operator="greaterThan">
      <formula>1</formula>
    </cfRule>
  </conditionalFormatting>
  <conditionalFormatting sqref="E2011">
    <cfRule type="duplicateValues" dxfId="1" priority="12019"/>
  </conditionalFormatting>
  <conditionalFormatting sqref="E2013">
    <cfRule type="duplicateValues" dxfId="1" priority="12026"/>
  </conditionalFormatting>
  <conditionalFormatting sqref="Q2013:R2013">
    <cfRule type="colorScale" priority="8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13:T2013">
    <cfRule type="colorScale" priority="9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13:V2013">
    <cfRule type="colorScale" priority="9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13:X2013">
    <cfRule type="colorScale" priority="7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13:Z2013">
    <cfRule type="colorScale" priority="8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13:AB2013">
    <cfRule type="colorScale" priority="5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13:AD2013">
    <cfRule type="colorScale" priority="5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13:AF2013">
    <cfRule type="colorScale" priority="6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13:AH2013">
    <cfRule type="colorScale" priority="6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13:AJ2013">
    <cfRule type="colorScale" priority="7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13:AL2013">
    <cfRule type="colorScale" priority="4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13:AN2013">
    <cfRule type="colorScale" priority="4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13:AP2013">
    <cfRule type="colorScale" priority="3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13:AR2013">
    <cfRule type="colorScale" priority="2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13:AT2013">
    <cfRule type="colorScale" priority="1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13:AV2013">
    <cfRule type="colorScale" priority="2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13:AX2013">
    <cfRule type="colorScale" priority="3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13:AZ2013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13:BB2013">
    <cfRule type="colorScale" priority="1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13:BD201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13:BF2013">
    <cfRule type="colorScale" priority="12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13:BP2013">
    <cfRule type="cellIs" dxfId="0" priority="12022" operator="greaterThan">
      <formula>1</formula>
    </cfRule>
  </conditionalFormatting>
  <conditionalFormatting sqref="BU2013:BV2013">
    <cfRule type="cellIs" dxfId="0" priority="12027" operator="greaterThan">
      <formula>1</formula>
    </cfRule>
  </conditionalFormatting>
  <conditionalFormatting sqref="E2022">
    <cfRule type="duplicateValues" dxfId="1" priority="10520"/>
  </conditionalFormatting>
  <conditionalFormatting sqref="Q2022">
    <cfRule type="colorScale" priority="8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22">
    <cfRule type="colorScale" priority="8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22">
    <cfRule type="colorScale" priority="8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22">
    <cfRule type="colorScale" priority="9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22">
    <cfRule type="colorScale" priority="9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22">
    <cfRule type="colorScale" priority="9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22">
    <cfRule type="colorScale" priority="7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22">
    <cfRule type="colorScale" priority="7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22">
    <cfRule type="colorScale" priority="8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22">
    <cfRule type="colorScale" priority="8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22">
    <cfRule type="colorScale" priority="4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22">
    <cfRule type="colorScale" priority="4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22">
    <cfRule type="colorScale" priority="5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22">
    <cfRule type="colorScale" priority="5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22">
    <cfRule type="colorScale" priority="5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22">
    <cfRule type="colorScale" priority="5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22">
    <cfRule type="colorScale" priority="6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22">
    <cfRule type="colorScale" priority="6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22">
    <cfRule type="colorScale" priority="7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22">
    <cfRule type="colorScale" priority="7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22">
    <cfRule type="colorScale" priority="4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22">
    <cfRule type="colorScale" priority="4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22">
    <cfRule type="colorScale" priority="4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22">
    <cfRule type="colorScale" priority="4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22">
    <cfRule type="colorScale" priority="2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22">
    <cfRule type="colorScale" priority="2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22">
    <cfRule type="colorScale" priority="2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22">
    <cfRule type="colorScale" priority="2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22">
    <cfRule type="colorScale" priority="1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22">
    <cfRule type="colorScale" priority="1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22">
    <cfRule type="colorScale" priority="1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22">
    <cfRule type="colorScale" priority="1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22">
    <cfRule type="colorScale" priority="3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22">
    <cfRule type="colorScale" priority="3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22">
    <cfRule type="colorScale" priority="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22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22"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22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2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22:BF2022">
    <cfRule type="colorScale" priority="10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22:BP2022">
    <cfRule type="cellIs" dxfId="0" priority="10516" operator="greaterThan">
      <formula>1</formula>
    </cfRule>
  </conditionalFormatting>
  <conditionalFormatting sqref="BU2022:BV2022">
    <cfRule type="cellIs" dxfId="0" priority="10521" operator="greaterThan">
      <formula>1</formula>
    </cfRule>
  </conditionalFormatting>
  <conditionalFormatting sqref="E2023">
    <cfRule type="duplicateValues" dxfId="1" priority="11980"/>
  </conditionalFormatting>
  <conditionalFormatting sqref="R2023">
    <cfRule type="colorScale" priority="8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23">
    <cfRule type="colorScale" priority="9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23">
    <cfRule type="colorScale" priority="9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23">
    <cfRule type="colorScale" priority="7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23">
    <cfRule type="colorScale" priority="8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23">
    <cfRule type="colorScale" priority="4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23">
    <cfRule type="colorScale" priority="5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23">
    <cfRule type="colorScale" priority="5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23">
    <cfRule type="colorScale" priority="6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23">
    <cfRule type="colorScale" priority="7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23">
    <cfRule type="colorScale" priority="4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23">
    <cfRule type="colorScale" priority="4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23">
    <cfRule type="colorScale" priority="2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23">
    <cfRule type="colorScale" priority="2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23">
    <cfRule type="colorScale" priority="1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23">
    <cfRule type="colorScale" priority="1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23">
    <cfRule type="colorScale" priority="3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23"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23">
    <cfRule type="colorScale" priority="1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2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23:BF2023">
    <cfRule type="colorScale" priority="11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23:BP2023">
    <cfRule type="cellIs" dxfId="0" priority="11976" operator="greaterThan">
      <formula>1</formula>
    </cfRule>
  </conditionalFormatting>
  <conditionalFormatting sqref="BU2023:BV2023">
    <cfRule type="cellIs" dxfId="0" priority="11981" operator="greaterThan">
      <formula>1</formula>
    </cfRule>
  </conditionalFormatting>
  <conditionalFormatting sqref="E2050">
    <cfRule type="duplicateValues" dxfId="1" priority="10711"/>
  </conditionalFormatting>
  <conditionalFormatting sqref="Q2050">
    <cfRule type="colorScale" priority="8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50">
    <cfRule type="colorScale" priority="8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50">
    <cfRule type="colorScale" priority="8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50">
    <cfRule type="colorScale" priority="8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50">
    <cfRule type="colorScale" priority="9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50">
    <cfRule type="colorScale" priority="9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50">
    <cfRule type="colorScale" priority="7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50">
    <cfRule type="colorScale" priority="7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50">
    <cfRule type="colorScale" priority="7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50">
    <cfRule type="colorScale" priority="8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50">
    <cfRule type="colorScale" priority="4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50">
    <cfRule type="colorScale" priority="4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50">
    <cfRule type="colorScale" priority="5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50">
    <cfRule type="colorScale" priority="5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50">
    <cfRule type="colorScale" priority="5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50">
    <cfRule type="colorScale" priority="5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50">
    <cfRule type="colorScale" priority="6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50">
    <cfRule type="colorScale" priority="6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50">
    <cfRule type="colorScale" priority="7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50">
    <cfRule type="colorScale" priority="7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50">
    <cfRule type="colorScale" priority="4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50">
    <cfRule type="colorScale" priority="4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50">
    <cfRule type="colorScale" priority="4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50">
    <cfRule type="colorScale" priority="4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50">
    <cfRule type="colorScale" priority="2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50">
    <cfRule type="colorScale" priority="2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50">
    <cfRule type="colorScale" priority="2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50">
    <cfRule type="colorScale" priority="2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50">
    <cfRule type="colorScale" priority="1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50">
    <cfRule type="colorScale" priority="1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50">
    <cfRule type="colorScale" priority="1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50">
    <cfRule type="colorScale" priority="1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50">
    <cfRule type="colorScale" priority="3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50">
    <cfRule type="colorScale" priority="3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50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50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50">
    <cfRule type="colorScale" priority="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50">
    <cfRule type="colorScale" priority="1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5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50:BF2050">
    <cfRule type="colorScale" priority="10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50:BP2050">
    <cfRule type="cellIs" dxfId="0" priority="10707" operator="greaterThan">
      <formula>1</formula>
    </cfRule>
  </conditionalFormatting>
  <conditionalFormatting sqref="BU2050:BV2050">
    <cfRule type="cellIs" dxfId="0" priority="10712" operator="greaterThan">
      <formula>1</formula>
    </cfRule>
  </conditionalFormatting>
  <conditionalFormatting sqref="Q2055">
    <cfRule type="colorScale" priority="8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55">
    <cfRule type="colorScale" priority="8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55">
    <cfRule type="colorScale" priority="8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55">
    <cfRule type="colorScale" priority="9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55">
    <cfRule type="colorScale" priority="9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55">
    <cfRule type="colorScale" priority="9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55">
    <cfRule type="colorScale" priority="7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55">
    <cfRule type="colorScale" priority="7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55">
    <cfRule type="colorScale" priority="7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55">
    <cfRule type="colorScale" priority="8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55">
    <cfRule type="colorScale" priority="4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55">
    <cfRule type="colorScale" priority="4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55">
    <cfRule type="colorScale" priority="5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55">
    <cfRule type="colorScale" priority="5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55">
    <cfRule type="colorScale" priority="5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55">
    <cfRule type="colorScale" priority="59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55">
    <cfRule type="colorScale" priority="6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55">
    <cfRule type="colorScale" priority="6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55">
    <cfRule type="colorScale" priority="7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55">
    <cfRule type="colorScale" priority="7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55">
    <cfRule type="colorScale" priority="4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55">
    <cfRule type="colorScale" priority="4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55">
    <cfRule type="colorScale" priority="4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55">
    <cfRule type="colorScale" priority="4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55">
    <cfRule type="colorScale" priority="2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55">
    <cfRule type="colorScale" priority="2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55">
    <cfRule type="colorScale" priority="2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55">
    <cfRule type="colorScale" priority="2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55">
    <cfRule type="colorScale" priority="1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55">
    <cfRule type="colorScale" priority="1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55">
    <cfRule type="colorScale" priority="1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55">
    <cfRule type="colorScale" priority="1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55">
    <cfRule type="colorScale" priority="3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55">
    <cfRule type="colorScale" priority="3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55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55">
    <cfRule type="colorScale" priority="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55">
    <cfRule type="colorScale" priority="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55">
    <cfRule type="colorScale" priority="1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5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55">
    <cfRule type="colorScale" priority="12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055">
    <cfRule type="colorScale" priority="13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72">
    <cfRule type="duplicateValues" dxfId="1" priority="10537"/>
  </conditionalFormatting>
  <conditionalFormatting sqref="Q2072">
    <cfRule type="colorScale" priority="8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72">
    <cfRule type="colorScale" priority="8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72">
    <cfRule type="colorScale" priority="89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72">
    <cfRule type="colorScale" priority="8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72">
    <cfRule type="colorScale" priority="9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72">
    <cfRule type="colorScale" priority="9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72">
    <cfRule type="colorScale" priority="7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72">
    <cfRule type="colorScale" priority="7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72">
    <cfRule type="colorScale" priority="7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72">
    <cfRule type="colorScale" priority="8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72">
    <cfRule type="colorScale" priority="4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72">
    <cfRule type="colorScale" priority="4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72">
    <cfRule type="colorScale" priority="5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72">
    <cfRule type="colorScale" priority="5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72">
    <cfRule type="colorScale" priority="5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72">
    <cfRule type="colorScale" priority="5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72">
    <cfRule type="colorScale" priority="6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72">
    <cfRule type="colorScale" priority="6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72">
    <cfRule type="colorScale" priority="7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72">
    <cfRule type="colorScale" priority="7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72">
    <cfRule type="colorScale" priority="4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72">
    <cfRule type="colorScale" priority="4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72">
    <cfRule type="colorScale" priority="4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72">
    <cfRule type="colorScale" priority="4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72">
    <cfRule type="colorScale" priority="2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72">
    <cfRule type="colorScale" priority="2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72">
    <cfRule type="colorScale" priority="2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72">
    <cfRule type="colorScale" priority="2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72">
    <cfRule type="colorScale" priority="1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72">
    <cfRule type="colorScale" priority="1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72">
    <cfRule type="colorScale" priority="1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72">
    <cfRule type="colorScale" priority="1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72">
    <cfRule type="colorScale" priority="3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72">
    <cfRule type="colorScale" priority="3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72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72">
    <cfRule type="colorScale" priority="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72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72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72:BF2072">
    <cfRule type="colorScale" priority="10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72:BP2072">
    <cfRule type="cellIs" dxfId="0" priority="10533" operator="greaterThan">
      <formula>1</formula>
    </cfRule>
  </conditionalFormatting>
  <conditionalFormatting sqref="BU2072:BV2072">
    <cfRule type="cellIs" dxfId="0" priority="10538" operator="greaterThan">
      <formula>1</formula>
    </cfRule>
  </conditionalFormatting>
  <conditionalFormatting sqref="E2077">
    <cfRule type="duplicateValues" dxfId="1" priority="10531"/>
  </conditionalFormatting>
  <conditionalFormatting sqref="Q2077">
    <cfRule type="colorScale" priority="8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77">
    <cfRule type="colorScale" priority="8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77">
    <cfRule type="colorScale" priority="8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77">
    <cfRule type="colorScale" priority="8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77">
    <cfRule type="colorScale" priority="9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77">
    <cfRule type="colorScale" priority="9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77">
    <cfRule type="colorScale" priority="7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77">
    <cfRule type="colorScale" priority="7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77">
    <cfRule type="colorScale" priority="8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77">
    <cfRule type="colorScale" priority="8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77">
    <cfRule type="colorScale" priority="49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77">
    <cfRule type="colorScale" priority="4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77">
    <cfRule type="colorScale" priority="5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77">
    <cfRule type="colorScale" priority="5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77">
    <cfRule type="colorScale" priority="5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77">
    <cfRule type="colorScale" priority="5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77">
    <cfRule type="colorScale" priority="6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77">
    <cfRule type="colorScale" priority="6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77">
    <cfRule type="colorScale" priority="7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77">
    <cfRule type="colorScale" priority="7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77">
    <cfRule type="colorScale" priority="4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77">
    <cfRule type="colorScale" priority="4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77">
    <cfRule type="colorScale" priority="4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77">
    <cfRule type="colorScale" priority="4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77">
    <cfRule type="colorScale" priority="2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77">
    <cfRule type="colorScale" priority="2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77">
    <cfRule type="colorScale" priority="2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77">
    <cfRule type="colorScale" priority="2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77">
    <cfRule type="colorScale" priority="1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77">
    <cfRule type="colorScale" priority="1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77">
    <cfRule type="colorScale" priority="1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77">
    <cfRule type="colorScale" priority="1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77">
    <cfRule type="colorScale" priority="3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77">
    <cfRule type="colorScale" priority="3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77"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77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77">
    <cfRule type="colorScale" priority="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77">
    <cfRule type="colorScale" priority="1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7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7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77">
    <cfRule type="colorScale" priority="10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077">
    <cfRule type="colorScale" priority="10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77:BP2077">
    <cfRule type="cellIs" dxfId="0" priority="10526" operator="greaterThan">
      <formula>1</formula>
    </cfRule>
  </conditionalFormatting>
  <conditionalFormatting sqref="BU2077:BV2077">
    <cfRule type="cellIs" dxfId="0" priority="10529" operator="greaterThan">
      <formula>1</formula>
    </cfRule>
  </conditionalFormatting>
  <conditionalFormatting sqref="R2082">
    <cfRule type="colorScale" priority="8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82">
    <cfRule type="colorScale" priority="8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82">
    <cfRule type="colorScale" priority="9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82">
    <cfRule type="colorScale" priority="7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82">
    <cfRule type="colorScale" priority="8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82">
    <cfRule type="colorScale" priority="4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82">
    <cfRule type="colorScale" priority="5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82">
    <cfRule type="colorScale" priority="5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82">
    <cfRule type="colorScale" priority="6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82">
    <cfRule type="colorScale" priority="7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82">
    <cfRule type="colorScale" priority="4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82">
    <cfRule type="colorScale" priority="4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82">
    <cfRule type="colorScale" priority="2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82">
    <cfRule type="colorScale" priority="2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82">
    <cfRule type="colorScale" priority="1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82">
    <cfRule type="colorScale" priority="1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82">
    <cfRule type="colorScale" priority="3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82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82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8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82">
    <cfRule type="colorScale" priority="12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082">
    <cfRule type="colorScale" priority="13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87">
    <cfRule type="duplicateValues" dxfId="1" priority="10484"/>
  </conditionalFormatting>
  <conditionalFormatting sqref="Q2087">
    <cfRule type="colorScale" priority="8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87">
    <cfRule type="colorScale" priority="8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87">
    <cfRule type="colorScale" priority="9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87">
    <cfRule type="colorScale" priority="9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87">
    <cfRule type="colorScale" priority="9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87">
    <cfRule type="colorScale" priority="9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87">
    <cfRule type="colorScale" priority="7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87">
    <cfRule type="colorScale" priority="7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87">
    <cfRule type="colorScale" priority="8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87">
    <cfRule type="colorScale" priority="8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87">
    <cfRule type="colorScale" priority="5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87">
    <cfRule type="colorScale" priority="5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87">
    <cfRule type="colorScale" priority="5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87">
    <cfRule type="colorScale" priority="5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87">
    <cfRule type="colorScale" priority="5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87">
    <cfRule type="colorScale" priority="5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87">
    <cfRule type="colorScale" priority="6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87">
    <cfRule type="colorScale" priority="6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87">
    <cfRule type="colorScale" priority="7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87">
    <cfRule type="colorScale" priority="7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87">
    <cfRule type="colorScale" priority="4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87">
    <cfRule type="colorScale" priority="4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87">
    <cfRule type="colorScale" priority="4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87">
    <cfRule type="colorScale" priority="4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87">
    <cfRule type="colorScale" priority="2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87">
    <cfRule type="colorScale" priority="2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87">
    <cfRule type="colorScale" priority="2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87">
    <cfRule type="colorScale" priority="2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87">
    <cfRule type="colorScale" priority="1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87">
    <cfRule type="colorScale" priority="1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87">
    <cfRule type="colorScale" priority="1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87">
    <cfRule type="colorScale" priority="2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87">
    <cfRule type="colorScale" priority="3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87">
    <cfRule type="colorScale" priority="3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87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87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87">
    <cfRule type="colorScale" priority="1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87">
    <cfRule type="colorScale" priority="1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8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8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87">
    <cfRule type="colorScale" priority="10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087">
    <cfRule type="colorScale" priority="10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87:BP2087">
    <cfRule type="cellIs" dxfId="0" priority="10479" operator="greaterThan">
      <formula>1</formula>
    </cfRule>
  </conditionalFormatting>
  <conditionalFormatting sqref="BU2087:BV2087">
    <cfRule type="cellIs" dxfId="0" priority="10482" operator="greaterThan">
      <formula>1</formula>
    </cfRule>
  </conditionalFormatting>
  <conditionalFormatting sqref="Q2088">
    <cfRule type="colorScale" priority="8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88">
    <cfRule type="colorScale" priority="8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88">
    <cfRule type="colorScale" priority="9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88">
    <cfRule type="colorScale" priority="9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88">
    <cfRule type="colorScale" priority="9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88">
    <cfRule type="colorScale" priority="9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88">
    <cfRule type="colorScale" priority="7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88">
    <cfRule type="colorScale" priority="7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88">
    <cfRule type="colorScale" priority="8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88">
    <cfRule type="colorScale" priority="8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88">
    <cfRule type="colorScale" priority="5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88">
    <cfRule type="colorScale" priority="5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88">
    <cfRule type="colorScale" priority="5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88">
    <cfRule type="colorScale" priority="5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88">
    <cfRule type="colorScale" priority="6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88">
    <cfRule type="colorScale" priority="6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88">
    <cfRule type="colorScale" priority="6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88">
    <cfRule type="colorScale" priority="6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88">
    <cfRule type="colorScale" priority="7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88">
    <cfRule type="colorScale" priority="7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88">
    <cfRule type="colorScale" priority="4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88">
    <cfRule type="colorScale" priority="4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88">
    <cfRule type="colorScale" priority="4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88">
    <cfRule type="colorScale" priority="4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88">
    <cfRule type="colorScale" priority="3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88">
    <cfRule type="colorScale" priority="3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88">
    <cfRule type="colorScale" priority="2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88">
    <cfRule type="colorScale" priority="2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88">
    <cfRule type="colorScale" priority="1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88">
    <cfRule type="colorScale" priority="1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88">
    <cfRule type="colorScale" priority="2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88">
    <cfRule type="colorScale" priority="2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88">
    <cfRule type="colorScale" priority="3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88">
    <cfRule type="colorScale" priority="3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88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88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88">
    <cfRule type="colorScale" priority="1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88">
    <cfRule type="colorScale" priority="1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88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88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88">
    <cfRule type="colorScale" priority="13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088">
    <cfRule type="colorScale" priority="13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90">
    <cfRule type="duplicateValues" dxfId="1" priority="10598"/>
  </conditionalFormatting>
  <conditionalFormatting sqref="E2092">
    <cfRule type="duplicateValues" dxfId="1" priority="10607"/>
  </conditionalFormatting>
  <conditionalFormatting sqref="Q2092">
    <cfRule type="colorScale" priority="8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92">
    <cfRule type="colorScale" priority="8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92">
    <cfRule type="colorScale" priority="9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92">
    <cfRule type="colorScale" priority="9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92">
    <cfRule type="colorScale" priority="9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92">
    <cfRule type="colorScale" priority="9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92">
    <cfRule type="colorScale" priority="7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92">
    <cfRule type="colorScale" priority="7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92">
    <cfRule type="colorScale" priority="8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92">
    <cfRule type="colorScale" priority="8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92">
    <cfRule type="colorScale" priority="5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92">
    <cfRule type="colorScale" priority="5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92">
    <cfRule type="colorScale" priority="5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92">
    <cfRule type="colorScale" priority="5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92">
    <cfRule type="colorScale" priority="5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92">
    <cfRule type="colorScale" priority="5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92">
    <cfRule type="colorScale" priority="6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92">
    <cfRule type="colorScale" priority="6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92">
    <cfRule type="colorScale" priority="7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92">
    <cfRule type="colorScale" priority="7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092">
    <cfRule type="colorScale" priority="4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092">
    <cfRule type="colorScale" priority="4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92">
    <cfRule type="colorScale" priority="4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092">
    <cfRule type="colorScale" priority="4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092">
    <cfRule type="colorScale" priority="2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092">
    <cfRule type="colorScale" priority="2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092">
    <cfRule type="colorScale" priority="2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92">
    <cfRule type="colorScale" priority="2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92">
    <cfRule type="colorScale" priority="1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92">
    <cfRule type="colorScale" priority="1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092">
    <cfRule type="colorScale" priority="2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092">
    <cfRule type="colorScale" priority="2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092">
    <cfRule type="colorScale" priority="3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092">
    <cfRule type="colorScale" priority="3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92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92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092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92">
    <cfRule type="colorScale" priority="1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09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09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92">
    <cfRule type="colorScale" priority="10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092">
    <cfRule type="colorScale" priority="10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92:BP2092">
    <cfRule type="cellIs" dxfId="0" priority="10602" operator="greaterThan">
      <formula>1</formula>
    </cfRule>
  </conditionalFormatting>
  <conditionalFormatting sqref="BU2092:BV2092">
    <cfRule type="cellIs" dxfId="0" priority="10605" operator="greaterThan">
      <formula>1</formula>
    </cfRule>
  </conditionalFormatting>
  <conditionalFormatting sqref="E2093">
    <cfRule type="duplicateValues" dxfId="1" priority="10897"/>
  </conditionalFormatting>
  <conditionalFormatting sqref="E2095">
    <cfRule type="duplicateValues" dxfId="1" priority="10513"/>
  </conditionalFormatting>
  <conditionalFormatting sqref="E2097">
    <cfRule type="duplicateValues" dxfId="1" priority="10174"/>
  </conditionalFormatting>
  <conditionalFormatting sqref="E2099">
    <cfRule type="duplicateValues" dxfId="1" priority="10227"/>
  </conditionalFormatting>
  <conditionalFormatting sqref="E2101">
    <cfRule type="duplicateValues" dxfId="1" priority="10906"/>
  </conditionalFormatting>
  <conditionalFormatting sqref="Q2101">
    <cfRule type="colorScale" priority="8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01">
    <cfRule type="colorScale" priority="8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01">
    <cfRule type="colorScale" priority="9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01">
    <cfRule type="colorScale" priority="9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01">
    <cfRule type="colorScale" priority="9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01">
    <cfRule type="colorScale" priority="9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01">
    <cfRule type="colorScale" priority="7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01">
    <cfRule type="colorScale" priority="7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01">
    <cfRule type="colorScale" priority="8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01">
    <cfRule type="colorScale" priority="8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01">
    <cfRule type="colorScale" priority="5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01">
    <cfRule type="colorScale" priority="5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01">
    <cfRule type="colorScale" priority="5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01">
    <cfRule type="colorScale" priority="5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01">
    <cfRule type="colorScale" priority="6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01">
    <cfRule type="colorScale" priority="6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01">
    <cfRule type="colorScale" priority="6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01">
    <cfRule type="colorScale" priority="6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01">
    <cfRule type="colorScale" priority="7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01">
    <cfRule type="colorScale" priority="7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01">
    <cfRule type="colorScale" priority="4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01">
    <cfRule type="colorScale" priority="4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01">
    <cfRule type="colorScale" priority="4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01">
    <cfRule type="colorScale" priority="4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01">
    <cfRule type="colorScale" priority="2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01">
    <cfRule type="colorScale" priority="3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01">
    <cfRule type="colorScale" priority="2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01">
    <cfRule type="colorScale" priority="2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01">
    <cfRule type="colorScale" priority="1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01">
    <cfRule type="colorScale" priority="1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01">
    <cfRule type="colorScale" priority="2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01">
    <cfRule type="colorScale" priority="2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01">
    <cfRule type="colorScale" priority="3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01">
    <cfRule type="colorScale" priority="3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01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01"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01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01">
    <cfRule type="colorScale" priority="1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01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0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01">
    <cfRule type="colorScale" priority="10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01">
    <cfRule type="colorScale" priority="10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101:BP2101">
    <cfRule type="cellIs" dxfId="0" priority="10901" operator="greaterThan">
      <formula>1</formula>
    </cfRule>
  </conditionalFormatting>
  <conditionalFormatting sqref="BU2101:BV2101">
    <cfRule type="cellIs" dxfId="0" priority="10904" operator="greaterThan">
      <formula>1</formula>
    </cfRule>
  </conditionalFormatting>
  <conditionalFormatting sqref="E2102">
    <cfRule type="duplicateValues" dxfId="1" priority="10995"/>
  </conditionalFormatting>
  <conditionalFormatting sqref="E2104">
    <cfRule type="duplicateValues" dxfId="1" priority="10648"/>
  </conditionalFormatting>
  <conditionalFormatting sqref="E2106">
    <cfRule type="duplicateValues" dxfId="1" priority="10630"/>
  </conditionalFormatting>
  <conditionalFormatting sqref="E2108">
    <cfRule type="duplicateValues" dxfId="1" priority="11004"/>
  </conditionalFormatting>
  <conditionalFormatting sqref="Q2108">
    <cfRule type="colorScale" priority="8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08">
    <cfRule type="colorScale" priority="8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08">
    <cfRule type="colorScale" priority="9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08">
    <cfRule type="colorScale" priority="9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08">
    <cfRule type="colorScale" priority="9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08">
    <cfRule type="colorScale" priority="9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08">
    <cfRule type="colorScale" priority="7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08">
    <cfRule type="colorScale" priority="7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08">
    <cfRule type="colorScale" priority="8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08">
    <cfRule type="colorScale" priority="8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08">
    <cfRule type="colorScale" priority="5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08">
    <cfRule type="colorScale" priority="5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08">
    <cfRule type="colorScale" priority="5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08">
    <cfRule type="colorScale" priority="5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08">
    <cfRule type="colorScale" priority="6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08">
    <cfRule type="colorScale" priority="6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08">
    <cfRule type="colorScale" priority="6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08">
    <cfRule type="colorScale" priority="6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08">
    <cfRule type="colorScale" priority="7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08">
    <cfRule type="colorScale" priority="7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08">
    <cfRule type="colorScale" priority="4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08">
    <cfRule type="colorScale" priority="4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08">
    <cfRule type="colorScale" priority="4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08">
    <cfRule type="colorScale" priority="4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08">
    <cfRule type="colorScale" priority="3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08">
    <cfRule type="colorScale" priority="3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08">
    <cfRule type="colorScale" priority="2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08">
    <cfRule type="colorScale" priority="2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08">
    <cfRule type="colorScale" priority="1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08">
    <cfRule type="colorScale" priority="1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08">
    <cfRule type="colorScale" priority="2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08">
    <cfRule type="colorScale" priority="2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08">
    <cfRule type="colorScale" priority="3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08">
    <cfRule type="colorScale" priority="3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08"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08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08">
    <cfRule type="colorScale" priority="1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08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0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0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08">
    <cfRule type="colorScale" priority="10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08">
    <cfRule type="colorScale" priority="10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108:BP2108">
    <cfRule type="cellIs" dxfId="0" priority="10999" operator="greaterThan">
      <formula>1</formula>
    </cfRule>
  </conditionalFormatting>
  <conditionalFormatting sqref="BU2108:BV2108">
    <cfRule type="cellIs" dxfId="0" priority="11002" operator="greaterThan">
      <formula>1</formula>
    </cfRule>
  </conditionalFormatting>
  <conditionalFormatting sqref="E2117">
    <cfRule type="duplicateValues" dxfId="1" priority="11932"/>
  </conditionalFormatting>
  <conditionalFormatting sqref="Q2117">
    <cfRule type="colorScale" priority="8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17">
    <cfRule type="colorScale" priority="8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17">
    <cfRule type="colorScale" priority="9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17">
    <cfRule type="colorScale" priority="9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17">
    <cfRule type="colorScale" priority="9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17">
    <cfRule type="colorScale" priority="9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17">
    <cfRule type="colorScale" priority="7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17">
    <cfRule type="colorScale" priority="7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17">
    <cfRule type="colorScale" priority="80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17">
    <cfRule type="colorScale" priority="8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17">
    <cfRule type="colorScale" priority="5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17">
    <cfRule type="colorScale" priority="5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17">
    <cfRule type="colorScale" priority="5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17">
    <cfRule type="colorScale" priority="5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17">
    <cfRule type="colorScale" priority="6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17">
    <cfRule type="colorScale" priority="6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17">
    <cfRule type="colorScale" priority="6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17">
    <cfRule type="colorScale" priority="6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17">
    <cfRule type="colorScale" priority="7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17">
    <cfRule type="colorScale" priority="7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17">
    <cfRule type="colorScale" priority="4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17">
    <cfRule type="colorScale" priority="4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17">
    <cfRule type="colorScale" priority="4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17">
    <cfRule type="colorScale" priority="4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17">
    <cfRule type="colorScale" priority="3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17">
    <cfRule type="colorScale" priority="3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17">
    <cfRule type="colorScale" priority="2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17">
    <cfRule type="colorScale" priority="2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17">
    <cfRule type="colorScale" priority="1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17">
    <cfRule type="colorScale" priority="1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17">
    <cfRule type="colorScale" priority="2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17">
    <cfRule type="colorScale" priority="2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17">
    <cfRule type="colorScale" priority="3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17">
    <cfRule type="colorScale" priority="3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17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17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17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17">
    <cfRule type="colorScale" priority="1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1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1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17">
    <cfRule type="colorScale" priority="11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17">
    <cfRule type="colorScale" priority="11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2117:BV2117">
    <cfRule type="cellIs" dxfId="0" priority="11930" operator="greaterThan">
      <formula>1</formula>
    </cfRule>
  </conditionalFormatting>
  <conditionalFormatting sqref="E2118">
    <cfRule type="duplicateValues" dxfId="1" priority="10656"/>
  </conditionalFormatting>
  <conditionalFormatting sqref="E2120">
    <cfRule type="duplicateValues" dxfId="1" priority="9493"/>
  </conditionalFormatting>
  <conditionalFormatting sqref="E2124">
    <cfRule type="duplicateValues" dxfId="1" priority="10662"/>
  </conditionalFormatting>
  <conditionalFormatting sqref="E2126">
    <cfRule type="duplicateValues" dxfId="1" priority="11584"/>
  </conditionalFormatting>
  <conditionalFormatting sqref="E2128">
    <cfRule type="duplicateValues" dxfId="1" priority="10495"/>
  </conditionalFormatting>
  <conditionalFormatting sqref="E2130">
    <cfRule type="duplicateValues" dxfId="1" priority="10335"/>
  </conditionalFormatting>
  <conditionalFormatting sqref="E2132">
    <cfRule type="duplicateValues" dxfId="1" priority="11608"/>
  </conditionalFormatting>
  <conditionalFormatting sqref="Q2132">
    <cfRule type="colorScale" priority="8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32">
    <cfRule type="colorScale" priority="8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32">
    <cfRule type="colorScale" priority="9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32">
    <cfRule type="colorScale" priority="9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32">
    <cfRule type="colorScale" priority="9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32">
    <cfRule type="colorScale" priority="9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32">
    <cfRule type="colorScale" priority="7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32">
    <cfRule type="colorScale" priority="7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32">
    <cfRule type="colorScale" priority="8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32">
    <cfRule type="colorScale" priority="8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32">
    <cfRule type="colorScale" priority="5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32">
    <cfRule type="colorScale" priority="5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32">
    <cfRule type="colorScale" priority="5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32">
    <cfRule type="colorScale" priority="5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32">
    <cfRule type="colorScale" priority="6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32">
    <cfRule type="colorScale" priority="6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32">
    <cfRule type="colorScale" priority="6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32">
    <cfRule type="colorScale" priority="6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32">
    <cfRule type="colorScale" priority="7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32">
    <cfRule type="colorScale" priority="7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32">
    <cfRule type="colorScale" priority="4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32">
    <cfRule type="colorScale" priority="4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32">
    <cfRule type="colorScale" priority="4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32">
    <cfRule type="colorScale" priority="4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32">
    <cfRule type="colorScale" priority="3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32">
    <cfRule type="colorScale" priority="3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32">
    <cfRule type="colorScale" priority="2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32">
    <cfRule type="colorScale" priority="2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32">
    <cfRule type="colorScale" priority="1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32">
    <cfRule type="colorScale" priority="1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32">
    <cfRule type="colorScale" priority="2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32">
    <cfRule type="colorScale" priority="2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32">
    <cfRule type="colorScale" priority="3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32">
    <cfRule type="colorScale" priority="3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32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32"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32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32">
    <cfRule type="colorScale" priority="1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32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3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32">
    <cfRule type="colorScale" priority="11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32">
    <cfRule type="colorScale" priority="11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2132:BV2132">
    <cfRule type="cellIs" dxfId="0" priority="11606" operator="greaterThan">
      <formula>1</formula>
    </cfRule>
  </conditionalFormatting>
  <conditionalFormatting sqref="E2145">
    <cfRule type="duplicateValues" dxfId="1" priority="14325"/>
  </conditionalFormatting>
  <conditionalFormatting sqref="Q2145">
    <cfRule type="colorScale" priority="8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45">
    <cfRule type="colorScale" priority="8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45">
    <cfRule type="colorScale" priority="9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45">
    <cfRule type="colorScale" priority="9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45">
    <cfRule type="colorScale" priority="9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45">
    <cfRule type="colorScale" priority="9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45">
    <cfRule type="colorScale" priority="7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45">
    <cfRule type="colorScale" priority="7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45">
    <cfRule type="colorScale" priority="8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45">
    <cfRule type="colorScale" priority="8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45">
    <cfRule type="colorScale" priority="5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45">
    <cfRule type="colorScale" priority="5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45">
    <cfRule type="colorScale" priority="5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45">
    <cfRule type="colorScale" priority="5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45">
    <cfRule type="colorScale" priority="6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45">
    <cfRule type="colorScale" priority="6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45">
    <cfRule type="colorScale" priority="6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45">
    <cfRule type="colorScale" priority="6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45">
    <cfRule type="colorScale" priority="7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45">
    <cfRule type="colorScale" priority="7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45">
    <cfRule type="colorScale" priority="4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45">
    <cfRule type="colorScale" priority="4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45">
    <cfRule type="colorScale" priority="4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45">
    <cfRule type="colorScale" priority="4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45">
    <cfRule type="colorScale" priority="3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45">
    <cfRule type="colorScale" priority="3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45">
    <cfRule type="colorScale" priority="2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45">
    <cfRule type="colorScale" priority="2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45">
    <cfRule type="colorScale" priority="1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45">
    <cfRule type="colorScale" priority="1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45">
    <cfRule type="colorScale" priority="2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45">
    <cfRule type="colorScale" priority="2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45">
    <cfRule type="colorScale" priority="3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45">
    <cfRule type="colorScale" priority="3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45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45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45"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45">
    <cfRule type="colorScale" priority="1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45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45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45">
    <cfRule type="colorScale" priority="12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45">
    <cfRule type="colorScale" priority="13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52">
    <cfRule type="duplicateValues" dxfId="1" priority="10685"/>
  </conditionalFormatting>
  <conditionalFormatting sqref="Q2152">
    <cfRule type="colorScale" priority="8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52">
    <cfRule type="colorScale" priority="8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52">
    <cfRule type="colorScale" priority="9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52">
    <cfRule type="colorScale" priority="9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52">
    <cfRule type="colorScale" priority="9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52">
    <cfRule type="colorScale" priority="9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52">
    <cfRule type="colorScale" priority="7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52">
    <cfRule type="colorScale" priority="7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52">
    <cfRule type="colorScale" priority="8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52">
    <cfRule type="colorScale" priority="8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52">
    <cfRule type="colorScale" priority="5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52">
    <cfRule type="colorScale" priority="5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52">
    <cfRule type="colorScale" priority="5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52">
    <cfRule type="colorScale" priority="5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52">
    <cfRule type="colorScale" priority="5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52">
    <cfRule type="colorScale" priority="5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52">
    <cfRule type="colorScale" priority="6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52">
    <cfRule type="colorScale" priority="6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52">
    <cfRule type="colorScale" priority="7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52">
    <cfRule type="colorScale" priority="7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52">
    <cfRule type="colorScale" priority="4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52">
    <cfRule type="colorScale" priority="4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52">
    <cfRule type="colorScale" priority="4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52">
    <cfRule type="colorScale" priority="4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52">
    <cfRule type="colorScale" priority="2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52">
    <cfRule type="colorScale" priority="2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52">
    <cfRule type="colorScale" priority="2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52">
    <cfRule type="colorScale" priority="2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52">
    <cfRule type="colorScale" priority="1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52">
    <cfRule type="colorScale" priority="1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52">
    <cfRule type="colorScale" priority="2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52">
    <cfRule type="colorScale" priority="2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52">
    <cfRule type="colorScale" priority="3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52">
    <cfRule type="colorScale" priority="3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52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52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52"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52">
    <cfRule type="colorScale" priority="1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5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5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52">
    <cfRule type="colorScale" priority="10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52">
    <cfRule type="colorScale" priority="10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152:BP2152">
    <cfRule type="cellIs" dxfId="0" priority="10680" operator="greaterThan">
      <formula>1</formula>
    </cfRule>
  </conditionalFormatting>
  <conditionalFormatting sqref="BU2152:BV2152">
    <cfRule type="cellIs" dxfId="0" priority="10683" operator="greaterThan">
      <formula>1</formula>
    </cfRule>
  </conditionalFormatting>
  <conditionalFormatting sqref="E2167">
    <cfRule type="duplicateValues" dxfId="1" priority="14230"/>
  </conditionalFormatting>
  <conditionalFormatting sqref="Q2167">
    <cfRule type="colorScale" priority="8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67">
    <cfRule type="colorScale" priority="8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67">
    <cfRule type="colorScale" priority="9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67">
    <cfRule type="colorScale" priority="9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67">
    <cfRule type="colorScale" priority="9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67">
    <cfRule type="colorScale" priority="9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67">
    <cfRule type="colorScale" priority="7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67">
    <cfRule type="colorScale" priority="7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67">
    <cfRule type="colorScale" priority="8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67">
    <cfRule type="colorScale" priority="8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67">
    <cfRule type="colorScale" priority="5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67">
    <cfRule type="colorScale" priority="5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67">
    <cfRule type="colorScale" priority="5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67">
    <cfRule type="colorScale" priority="5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67">
    <cfRule type="colorScale" priority="6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67">
    <cfRule type="colorScale" priority="6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67">
    <cfRule type="colorScale" priority="6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67">
    <cfRule type="colorScale" priority="6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67">
    <cfRule type="colorScale" priority="7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67">
    <cfRule type="colorScale" priority="7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67">
    <cfRule type="colorScale" priority="4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67">
    <cfRule type="colorScale" priority="4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67">
    <cfRule type="colorScale" priority="4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67">
    <cfRule type="colorScale" priority="4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67">
    <cfRule type="colorScale" priority="3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67">
    <cfRule type="colorScale" priority="3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67">
    <cfRule type="colorScale" priority="2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67">
    <cfRule type="colorScale" priority="2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67">
    <cfRule type="colorScale" priority="1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67">
    <cfRule type="colorScale" priority="1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67">
    <cfRule type="colorScale" priority="2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67">
    <cfRule type="colorScale" priority="2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67">
    <cfRule type="colorScale" priority="3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67">
    <cfRule type="colorScale" priority="3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67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67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67">
    <cfRule type="colorScale" priority="1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67">
    <cfRule type="colorScale" priority="1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67"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67"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67">
    <cfRule type="colorScale" priority="13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67">
    <cfRule type="colorScale" priority="13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80">
    <cfRule type="duplicateValues" dxfId="1" priority="14244"/>
  </conditionalFormatting>
  <conditionalFormatting sqref="Q2180:R2180">
    <cfRule type="colorScale" priority="8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80:T2180">
    <cfRule type="colorScale" priority="9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80:V2180">
    <cfRule type="colorScale" priority="9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80:X2180">
    <cfRule type="colorScale" priority="7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80:Z2180">
    <cfRule type="colorScale" priority="8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80:AB2180">
    <cfRule type="colorScale" priority="5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80:AD2180">
    <cfRule type="colorScale" priority="5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80:AF2180">
    <cfRule type="colorScale" priority="6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80:AH2180">
    <cfRule type="colorScale" priority="6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80:AJ2180">
    <cfRule type="colorScale" priority="7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80:AL2180">
    <cfRule type="colorScale" priority="4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80:AN2180">
    <cfRule type="colorScale" priority="4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80:AP2180">
    <cfRule type="colorScale" priority="3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80:AR2180">
    <cfRule type="colorScale" priority="2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80:AT2180">
    <cfRule type="colorScale" priority="1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80:AV2180">
    <cfRule type="colorScale" priority="2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80:AX2180">
    <cfRule type="colorScale" priority="3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80:AZ2180">
    <cfRule type="colorScale" priority="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80:BB2180">
    <cfRule type="colorScale" priority="1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80:BD2180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80:BF2180">
    <cfRule type="colorScale" priority="13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85">
    <cfRule type="duplicateValues" dxfId="1" priority="14153"/>
  </conditionalFormatting>
  <conditionalFormatting sqref="Q2185">
    <cfRule type="colorScale" priority="8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85">
    <cfRule type="colorScale" priority="8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85">
    <cfRule type="colorScale" priority="9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85">
    <cfRule type="colorScale" priority="9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85">
    <cfRule type="colorScale" priority="9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85">
    <cfRule type="colorScale" priority="9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85">
    <cfRule type="colorScale" priority="7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85">
    <cfRule type="colorScale" priority="7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85">
    <cfRule type="colorScale" priority="8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85">
    <cfRule type="colorScale" priority="8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85">
    <cfRule type="colorScale" priority="5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85">
    <cfRule type="colorScale" priority="5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85">
    <cfRule type="colorScale" priority="5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185">
    <cfRule type="colorScale" priority="5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85">
    <cfRule type="colorScale" priority="6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85">
    <cfRule type="colorScale" priority="6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85">
    <cfRule type="colorScale" priority="6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185">
    <cfRule type="colorScale" priority="6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85">
    <cfRule type="colorScale" priority="7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85">
    <cfRule type="colorScale" priority="7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85">
    <cfRule type="colorScale" priority="4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185">
    <cfRule type="colorScale" priority="4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85">
    <cfRule type="colorScale" priority="4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185">
    <cfRule type="colorScale" priority="4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85">
    <cfRule type="colorScale" priority="3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185">
    <cfRule type="colorScale" priority="3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85">
    <cfRule type="colorScale" priority="2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185">
    <cfRule type="colorScale" priority="2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85">
    <cfRule type="colorScale" priority="1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185">
    <cfRule type="colorScale" priority="1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85">
    <cfRule type="colorScale" priority="2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185">
    <cfRule type="colorScale" priority="2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85">
    <cfRule type="colorScale" priority="3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185">
    <cfRule type="colorScale" priority="3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85">
    <cfRule type="colorScale" priority="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185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85">
    <cfRule type="colorScale" priority="1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185">
    <cfRule type="colorScale" priority="1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85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185">
    <cfRule type="colorScale" priority="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85">
    <cfRule type="colorScale" priority="12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185">
    <cfRule type="colorScale" priority="13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88">
    <cfRule type="duplicateValues" dxfId="1" priority="14184"/>
  </conditionalFormatting>
  <conditionalFormatting sqref="Q2188:R2188">
    <cfRule type="colorScale" priority="8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88:T2188">
    <cfRule type="colorScale" priority="9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88:V2188">
    <cfRule type="colorScale" priority="9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88:X2188">
    <cfRule type="colorScale" priority="7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88:Z2188">
    <cfRule type="colorScale" priority="8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88:AB2188">
    <cfRule type="colorScale" priority="5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188:AD2188">
    <cfRule type="colorScale" priority="5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188:AF2188">
    <cfRule type="colorScale" priority="6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88:AH2188">
    <cfRule type="colorScale" priority="6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188:AJ2188">
    <cfRule type="colorScale" priority="7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188:AL2188">
    <cfRule type="colorScale" priority="4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88:AN2188">
    <cfRule type="colorScale" priority="4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188:AP2188">
    <cfRule type="colorScale" priority="3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188:AR2188">
    <cfRule type="colorScale" priority="2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88:AT2188">
    <cfRule type="colorScale" priority="1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188:AV2188">
    <cfRule type="colorScale" priority="2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188:AX2188">
    <cfRule type="colorScale" priority="3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88:AZ2188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188:BB2188">
    <cfRule type="colorScale" priority="1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188:BD2188"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188:BF2188">
    <cfRule type="colorScale" priority="13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97">
    <cfRule type="duplicateValues" dxfId="1" priority="14175"/>
  </conditionalFormatting>
  <conditionalFormatting sqref="E2198">
    <cfRule type="duplicateValues" dxfId="1" priority="14137"/>
  </conditionalFormatting>
  <conditionalFormatting sqref="E2199">
    <cfRule type="duplicateValues" dxfId="1" priority="14173"/>
  </conditionalFormatting>
  <conditionalFormatting sqref="E2200">
    <cfRule type="duplicateValues" dxfId="1" priority="14139"/>
  </conditionalFormatting>
  <conditionalFormatting sqref="E2213">
    <cfRule type="duplicateValues" dxfId="1" priority="14177"/>
  </conditionalFormatting>
  <conditionalFormatting sqref="Q2213">
    <cfRule type="colorScale" priority="8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213">
    <cfRule type="colorScale" priority="8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13">
    <cfRule type="colorScale" priority="9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13">
    <cfRule type="colorScale" priority="9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13">
    <cfRule type="colorScale" priority="9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13">
    <cfRule type="colorScale" priority="9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13">
    <cfRule type="colorScale" priority="7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213">
    <cfRule type="colorScale" priority="7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13">
    <cfRule type="colorScale" priority="8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213">
    <cfRule type="colorScale" priority="8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13">
    <cfRule type="colorScale" priority="5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213">
    <cfRule type="colorScale" priority="5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213">
    <cfRule type="colorScale" priority="5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213">
    <cfRule type="colorScale" priority="5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213">
    <cfRule type="colorScale" priority="6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213">
    <cfRule type="colorScale" priority="6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213">
    <cfRule type="colorScale" priority="6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213">
    <cfRule type="colorScale" priority="6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213">
    <cfRule type="colorScale" priority="7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213">
    <cfRule type="colorScale" priority="7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213">
    <cfRule type="colorScale" priority="4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213">
    <cfRule type="colorScale" priority="4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213">
    <cfRule type="colorScale" priority="4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213">
    <cfRule type="colorScale" priority="4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213">
    <cfRule type="colorScale" priority="3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213">
    <cfRule type="colorScale" priority="3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213">
    <cfRule type="colorScale" priority="2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213">
    <cfRule type="colorScale" priority="2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213">
    <cfRule type="colorScale" priority="1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213">
    <cfRule type="colorScale" priority="1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213">
    <cfRule type="colorScale" priority="2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213">
    <cfRule type="colorScale" priority="2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213">
    <cfRule type="colorScale" priority="3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213">
    <cfRule type="colorScale" priority="3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213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213">
    <cfRule type="colorScale" priority="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213"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213">
    <cfRule type="colorScale" priority="1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213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213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213">
    <cfRule type="colorScale" priority="12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213">
    <cfRule type="colorScale" priority="13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14">
    <cfRule type="duplicateValues" dxfId="1" priority="10282"/>
  </conditionalFormatting>
  <conditionalFormatting sqref="E2215">
    <cfRule type="duplicateValues" dxfId="1" priority="10278"/>
  </conditionalFormatting>
  <conditionalFormatting sqref="E2216">
    <cfRule type="duplicateValues" dxfId="1" priority="10280"/>
  </conditionalFormatting>
  <conditionalFormatting sqref="E2217">
    <cfRule type="duplicateValues" dxfId="1" priority="10276"/>
  </conditionalFormatting>
  <conditionalFormatting sqref="E2218">
    <cfRule type="duplicateValues" dxfId="1" priority="11401"/>
  </conditionalFormatting>
  <conditionalFormatting sqref="E2219">
    <cfRule type="duplicateValues" dxfId="1" priority="11397"/>
  </conditionalFormatting>
  <conditionalFormatting sqref="E2220">
    <cfRule type="duplicateValues" dxfId="1" priority="11399"/>
  </conditionalFormatting>
  <conditionalFormatting sqref="E2221">
    <cfRule type="duplicateValues" dxfId="1" priority="11395"/>
  </conditionalFormatting>
  <conditionalFormatting sqref="E2222">
    <cfRule type="duplicateValues" dxfId="1" priority="10294"/>
  </conditionalFormatting>
  <conditionalFormatting sqref="E2223">
    <cfRule type="duplicateValues" dxfId="1" priority="10290"/>
  </conditionalFormatting>
  <conditionalFormatting sqref="E2224">
    <cfRule type="duplicateValues" dxfId="1" priority="10292"/>
  </conditionalFormatting>
  <conditionalFormatting sqref="E2225">
    <cfRule type="duplicateValues" dxfId="1" priority="10288"/>
  </conditionalFormatting>
  <conditionalFormatting sqref="E2226">
    <cfRule type="duplicateValues" dxfId="1" priority="12695"/>
  </conditionalFormatting>
  <conditionalFormatting sqref="E2228">
    <cfRule type="duplicateValues" dxfId="1" priority="12692"/>
  </conditionalFormatting>
  <conditionalFormatting sqref="E2230">
    <cfRule type="duplicateValues" dxfId="1" priority="14167"/>
  </conditionalFormatting>
  <conditionalFormatting sqref="Q2230:R2230">
    <cfRule type="colorScale" priority="8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30:T2230">
    <cfRule type="colorScale" priority="9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30:V2230">
    <cfRule type="colorScale" priority="9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30:X2230">
    <cfRule type="colorScale" priority="7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30:Z2230">
    <cfRule type="colorScale" priority="8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30:AB2230">
    <cfRule type="colorScale" priority="5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230:AD2230">
    <cfRule type="colorScale" priority="5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230:AF2230">
    <cfRule type="colorScale" priority="6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230:AH2230">
    <cfRule type="colorScale" priority="6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230:AJ2230">
    <cfRule type="colorScale" priority="7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230:AL2230">
    <cfRule type="colorScale" priority="4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230:AN2230">
    <cfRule type="colorScale" priority="4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230:AP2230">
    <cfRule type="colorScale" priority="3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230:AR2230">
    <cfRule type="colorScale" priority="2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230:AT2230">
    <cfRule type="colorScale" priority="1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230:AV2230">
    <cfRule type="colorScale" priority="2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230:AX2230">
    <cfRule type="colorScale" priority="3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230:AZ2230">
    <cfRule type="colorScale" priority="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230:BB2230">
    <cfRule type="colorScale" priority="1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230:BD2230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230:BF2230">
    <cfRule type="colorScale" priority="13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35">
    <cfRule type="duplicateValues" dxfId="1" priority="14093"/>
  </conditionalFormatting>
  <conditionalFormatting sqref="Q2235:R2235">
    <cfRule type="colorScale" priority="8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35:T2235">
    <cfRule type="colorScale" priority="9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35:V2235">
    <cfRule type="colorScale" priority="9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35:X2235">
    <cfRule type="colorScale" priority="7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35:Z2235">
    <cfRule type="colorScale" priority="8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35:AB2235">
    <cfRule type="colorScale" priority="5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235:AD2235">
    <cfRule type="colorScale" priority="5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235:AF2235">
    <cfRule type="colorScale" priority="6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235:AH2235">
    <cfRule type="colorScale" priority="6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235:AJ2235">
    <cfRule type="colorScale" priority="7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235:AL2235">
    <cfRule type="colorScale" priority="4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235:AN2235">
    <cfRule type="colorScale" priority="4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235:AP2235">
    <cfRule type="colorScale" priority="3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235:AR2235">
    <cfRule type="colorScale" priority="2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235:AT2235">
    <cfRule type="colorScale" priority="1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235:AV2235">
    <cfRule type="colorScale" priority="2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235:AX2235">
    <cfRule type="colorScale" priority="3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235:AZ2235">
    <cfRule type="colorScale" priority="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235:BB2235">
    <cfRule type="colorScale" priority="1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235:BD2235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235:BF2235">
    <cfRule type="colorScale" priority="13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48">
    <cfRule type="duplicateValues" dxfId="1" priority="14282"/>
  </conditionalFormatting>
  <conditionalFormatting sqref="Q2248:R2248">
    <cfRule type="colorScale" priority="8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48:T2248">
    <cfRule type="colorScale" priority="9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48:V2248">
    <cfRule type="colorScale" priority="9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48:X2248">
    <cfRule type="colorScale" priority="7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48:Z2248">
    <cfRule type="colorScale" priority="8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48:AB2248">
    <cfRule type="colorScale" priority="5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248:AD2248">
    <cfRule type="colorScale" priority="5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248:AF2248">
    <cfRule type="colorScale" priority="6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248:AH2248">
    <cfRule type="colorScale" priority="6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248:AJ2248">
    <cfRule type="colorScale" priority="7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248:AL2248">
    <cfRule type="colorScale" priority="4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248:AN2248">
    <cfRule type="colorScale" priority="4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248:AP2248">
    <cfRule type="colorScale" priority="3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248:AR2248">
    <cfRule type="colorScale" priority="2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248:AT2248">
    <cfRule type="colorScale" priority="1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248:AV2248">
    <cfRule type="colorScale" priority="2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248:AX2248">
    <cfRule type="colorScale" priority="3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248:AZ2248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248:BB2248">
    <cfRule type="colorScale" priority="1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248:BD2248"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248:BF2248">
    <cfRule type="colorScale" priority="13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53">
    <cfRule type="duplicateValues" dxfId="1" priority="14141"/>
  </conditionalFormatting>
  <conditionalFormatting sqref="Q2253">
    <cfRule type="colorScale" priority="8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253">
    <cfRule type="colorScale" priority="8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53">
    <cfRule type="colorScale" priority="9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53">
    <cfRule type="colorScale" priority="9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53">
    <cfRule type="colorScale" priority="9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53">
    <cfRule type="colorScale" priority="9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53">
    <cfRule type="colorScale" priority="7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253">
    <cfRule type="colorScale" priority="7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53">
    <cfRule type="colorScale" priority="8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253">
    <cfRule type="colorScale" priority="8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53">
    <cfRule type="colorScale" priority="5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253">
    <cfRule type="colorScale" priority="5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253">
    <cfRule type="colorScale" priority="5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253">
    <cfRule type="colorScale" priority="5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253">
    <cfRule type="colorScale" priority="6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253">
    <cfRule type="colorScale" priority="6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253">
    <cfRule type="colorScale" priority="6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253">
    <cfRule type="colorScale" priority="6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253">
    <cfRule type="colorScale" priority="7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253">
    <cfRule type="colorScale" priority="7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253">
    <cfRule type="colorScale" priority="4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253">
    <cfRule type="colorScale" priority="4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253">
    <cfRule type="colorScale" priority="4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253">
    <cfRule type="colorScale" priority="4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253">
    <cfRule type="colorScale" priority="3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253">
    <cfRule type="colorScale" priority="3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253">
    <cfRule type="colorScale" priority="2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253">
    <cfRule type="colorScale" priority="2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253">
    <cfRule type="colorScale" priority="1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253">
    <cfRule type="colorScale" priority="1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253">
    <cfRule type="colorScale" priority="2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253">
    <cfRule type="colorScale" priority="2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253">
    <cfRule type="colorScale" priority="3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253">
    <cfRule type="colorScale" priority="3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253">
    <cfRule type="colorScale" priority="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253">
    <cfRule type="colorScale" priority="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253">
    <cfRule type="colorScale" priority="1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253">
    <cfRule type="colorScale" priority="1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253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253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253">
    <cfRule type="colorScale" priority="12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253">
    <cfRule type="colorScale" priority="12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55">
    <cfRule type="duplicateValues" dxfId="1" priority="12360"/>
  </conditionalFormatting>
  <conditionalFormatting sqref="E2257">
    <cfRule type="duplicateValues" dxfId="1" priority="12358"/>
  </conditionalFormatting>
  <conditionalFormatting sqref="E2262">
    <cfRule type="duplicateValues" dxfId="1" priority="14286"/>
  </conditionalFormatting>
  <conditionalFormatting sqref="E2263">
    <cfRule type="duplicateValues" dxfId="1" priority="14135"/>
  </conditionalFormatting>
  <conditionalFormatting sqref="E2264">
    <cfRule type="duplicateValues" dxfId="1" priority="14218"/>
  </conditionalFormatting>
  <conditionalFormatting sqref="E2265">
    <cfRule type="duplicateValues" dxfId="1" priority="14133"/>
  </conditionalFormatting>
  <conditionalFormatting sqref="E2266">
    <cfRule type="duplicateValues" dxfId="1" priority="13489"/>
  </conditionalFormatting>
  <conditionalFormatting sqref="E2267">
    <cfRule type="duplicateValues" dxfId="1" priority="13485"/>
  </conditionalFormatting>
  <conditionalFormatting sqref="E2268">
    <cfRule type="duplicateValues" dxfId="1" priority="13487"/>
  </conditionalFormatting>
  <conditionalFormatting sqref="E2269">
    <cfRule type="duplicateValues" dxfId="1" priority="13483"/>
  </conditionalFormatting>
  <conditionalFormatting sqref="E2271">
    <cfRule type="duplicateValues" dxfId="1" priority="14031"/>
  </conditionalFormatting>
  <conditionalFormatting sqref="E2273">
    <cfRule type="duplicateValues" dxfId="1" priority="14029"/>
  </conditionalFormatting>
  <conditionalFormatting sqref="E2275">
    <cfRule type="duplicateValues" dxfId="1" priority="13760"/>
  </conditionalFormatting>
  <conditionalFormatting sqref="E2277">
    <cfRule type="duplicateValues" dxfId="1" priority="13758"/>
  </conditionalFormatting>
  <conditionalFormatting sqref="E2279">
    <cfRule type="duplicateValues" dxfId="1" priority="13609"/>
  </conditionalFormatting>
  <conditionalFormatting sqref="E2281">
    <cfRule type="duplicateValues" dxfId="1" priority="13607"/>
  </conditionalFormatting>
  <conditionalFormatting sqref="E2283">
    <cfRule type="duplicateValues" dxfId="1" priority="14099"/>
  </conditionalFormatting>
  <conditionalFormatting sqref="E2285">
    <cfRule type="duplicateValues" dxfId="1" priority="14101"/>
  </conditionalFormatting>
  <conditionalFormatting sqref="E2287">
    <cfRule type="duplicateValues" dxfId="1" priority="13940"/>
  </conditionalFormatting>
  <conditionalFormatting sqref="E2289">
    <cfRule type="duplicateValues" dxfId="1" priority="13942"/>
  </conditionalFormatting>
  <conditionalFormatting sqref="E2290">
    <cfRule type="duplicateValues" dxfId="1" priority="14314"/>
  </conditionalFormatting>
  <conditionalFormatting sqref="R2290">
    <cfRule type="colorScale" priority="8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90">
    <cfRule type="colorScale" priority="9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90">
    <cfRule type="colorScale" priority="10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290">
    <cfRule type="colorScale" priority="7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290">
    <cfRule type="colorScale" priority="8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290">
    <cfRule type="colorScale" priority="5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290">
    <cfRule type="colorScale" priority="5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290">
    <cfRule type="colorScale" priority="6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290">
    <cfRule type="colorScale" priority="6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290">
    <cfRule type="colorScale" priority="7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290">
    <cfRule type="colorScale" priority="4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290">
    <cfRule type="colorScale" priority="4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290">
    <cfRule type="colorScale" priority="3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290">
    <cfRule type="colorScale" priority="2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290">
    <cfRule type="colorScale" priority="1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290">
    <cfRule type="colorScale" priority="2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290">
    <cfRule type="colorScale" priority="3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290"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290">
    <cfRule type="colorScale" priority="1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290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290:BF2290">
    <cfRule type="colorScale" priority="13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07">
    <cfRule type="duplicateValues" dxfId="1" priority="14329"/>
  </conditionalFormatting>
  <conditionalFormatting sqref="Q2307:R2307">
    <cfRule type="colorScale" priority="8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07:T2307">
    <cfRule type="colorScale" priority="9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307:V2307">
    <cfRule type="colorScale" priority="9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307:X2307">
    <cfRule type="colorScale" priority="7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307:Z2307">
    <cfRule type="colorScale" priority="8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07:AB2307">
    <cfRule type="colorScale" priority="5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307:AD2307">
    <cfRule type="colorScale" priority="5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307:AF2307">
    <cfRule type="colorScale" priority="6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307:AH2307">
    <cfRule type="colorScale" priority="6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307:AJ2307">
    <cfRule type="colorScale" priority="7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307:AL2307">
    <cfRule type="colorScale" priority="4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307:AN2307">
    <cfRule type="colorScale" priority="4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307:AP2307">
    <cfRule type="colorScale" priority="3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307:AR2307">
    <cfRule type="colorScale" priority="2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307:AT2307">
    <cfRule type="colorScale" priority="1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307:AV2307">
    <cfRule type="colorScale" priority="2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307:AX2307">
    <cfRule type="colorScale" priority="3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307:AZ2307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307:BB2307">
    <cfRule type="colorScale" priority="1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307:BD2307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307:BF2307">
    <cfRule type="colorScale" priority="13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36">
    <cfRule type="duplicateValues" dxfId="1" priority="14109"/>
  </conditionalFormatting>
  <conditionalFormatting sqref="Q2336">
    <cfRule type="colorScale" priority="8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36">
    <cfRule type="colorScale" priority="8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36">
    <cfRule type="colorScale" priority="9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336">
    <cfRule type="colorScale" priority="9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336">
    <cfRule type="colorScale" priority="9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36">
    <cfRule type="colorScale" priority="9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336">
    <cfRule type="colorScale" priority="7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336">
    <cfRule type="colorScale" priority="7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336">
    <cfRule type="colorScale" priority="8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336">
    <cfRule type="colorScale" priority="8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36">
    <cfRule type="colorScale" priority="5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336">
    <cfRule type="colorScale" priority="5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336">
    <cfRule type="colorScale" priority="5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336">
    <cfRule type="colorScale" priority="5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336">
    <cfRule type="colorScale" priority="6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336">
    <cfRule type="colorScale" priority="6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336">
    <cfRule type="colorScale" priority="6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336">
    <cfRule type="colorScale" priority="6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336">
    <cfRule type="colorScale" priority="7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336">
    <cfRule type="colorScale" priority="7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336">
    <cfRule type="colorScale" priority="4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336">
    <cfRule type="colorScale" priority="4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336">
    <cfRule type="colorScale" priority="4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336">
    <cfRule type="colorScale" priority="4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336">
    <cfRule type="colorScale" priority="3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336">
    <cfRule type="colorScale" priority="3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336">
    <cfRule type="colorScale" priority="2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336">
    <cfRule type="colorScale" priority="2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336">
    <cfRule type="colorScale" priority="1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336">
    <cfRule type="colorScale" priority="1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336">
    <cfRule type="colorScale" priority="2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336">
    <cfRule type="colorScale" priority="2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336">
    <cfRule type="colorScale" priority="3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336">
    <cfRule type="colorScale" priority="3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336">
    <cfRule type="colorScale" priority="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336">
    <cfRule type="colorScale" priority="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336">
    <cfRule type="colorScale" priority="1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336">
    <cfRule type="colorScale" priority="1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336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336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336">
    <cfRule type="colorScale" priority="12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336">
    <cfRule type="colorScale" priority="12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53">
    <cfRule type="duplicateValues" dxfId="1" priority="14238"/>
  </conditionalFormatting>
  <conditionalFormatting sqref="Q2353">
    <cfRule type="colorScale" priority="8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53">
    <cfRule type="colorScale" priority="8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53">
    <cfRule type="colorScale" priority="9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353">
    <cfRule type="colorScale" priority="9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353">
    <cfRule type="colorScale" priority="9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53">
    <cfRule type="colorScale" priority="9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353">
    <cfRule type="colorScale" priority="7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353">
    <cfRule type="colorScale" priority="76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353">
    <cfRule type="colorScale" priority="8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353">
    <cfRule type="colorScale" priority="8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53">
    <cfRule type="colorScale" priority="5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353">
    <cfRule type="colorScale" priority="5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353">
    <cfRule type="colorScale" priority="5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353">
    <cfRule type="colorScale" priority="5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353">
    <cfRule type="colorScale" priority="6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353">
    <cfRule type="colorScale" priority="6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353">
    <cfRule type="colorScale" priority="6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353">
    <cfRule type="colorScale" priority="6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353">
    <cfRule type="colorScale" priority="7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353">
    <cfRule type="colorScale" priority="7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353">
    <cfRule type="colorScale" priority="4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353">
    <cfRule type="colorScale" priority="4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353">
    <cfRule type="colorScale" priority="4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353">
    <cfRule type="colorScale" priority="4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353">
    <cfRule type="colorScale" priority="3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353">
    <cfRule type="colorScale" priority="3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353">
    <cfRule type="colorScale" priority="2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353">
    <cfRule type="colorScale" priority="2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353">
    <cfRule type="colorScale" priority="1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353">
    <cfRule type="colorScale" priority="1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353">
    <cfRule type="colorScale" priority="2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353">
    <cfRule type="colorScale" priority="2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353">
    <cfRule type="colorScale" priority="3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353">
    <cfRule type="colorScale" priority="3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353">
    <cfRule type="colorScale" priority="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353">
    <cfRule type="colorScale" priority="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353">
    <cfRule type="colorScale" priority="1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353">
    <cfRule type="colorScale" priority="1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353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353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353">
    <cfRule type="colorScale" priority="12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353">
    <cfRule type="colorScale" priority="12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58">
    <cfRule type="duplicateValues" dxfId="1" priority="14151"/>
  </conditionalFormatting>
  <conditionalFormatting sqref="Q2358">
    <cfRule type="colorScale" priority="8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58">
    <cfRule type="colorScale" priority="8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58">
    <cfRule type="colorScale" priority="9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358">
    <cfRule type="colorScale" priority="9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358">
    <cfRule type="colorScale" priority="9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58">
    <cfRule type="colorScale" priority="9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358">
    <cfRule type="colorScale" priority="7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358">
    <cfRule type="colorScale" priority="7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358">
    <cfRule type="colorScale" priority="8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358">
    <cfRule type="colorScale" priority="8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58">
    <cfRule type="colorScale" priority="5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358">
    <cfRule type="colorScale" priority="5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358">
    <cfRule type="colorScale" priority="5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358">
    <cfRule type="colorScale" priority="5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358">
    <cfRule type="colorScale" priority="6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358">
    <cfRule type="colorScale" priority="6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358">
    <cfRule type="colorScale" priority="6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358">
    <cfRule type="colorScale" priority="6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358">
    <cfRule type="colorScale" priority="7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358">
    <cfRule type="colorScale" priority="7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358">
    <cfRule type="colorScale" priority="4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358">
    <cfRule type="colorScale" priority="4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358">
    <cfRule type="colorScale" priority="4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358">
    <cfRule type="colorScale" priority="4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358">
    <cfRule type="colorScale" priority="3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358">
    <cfRule type="colorScale" priority="3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358">
    <cfRule type="colorScale" priority="2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358">
    <cfRule type="colorScale" priority="2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358">
    <cfRule type="colorScale" priority="1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358">
    <cfRule type="colorScale" priority="1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358">
    <cfRule type="colorScale" priority="2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358">
    <cfRule type="colorScale" priority="2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358">
    <cfRule type="colorScale" priority="3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358">
    <cfRule type="colorScale" priority="3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358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358">
    <cfRule type="colorScale" priority="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358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358">
    <cfRule type="colorScale" priority="1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358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358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358">
    <cfRule type="colorScale" priority="12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358">
    <cfRule type="colorScale" priority="13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05:R2405">
    <cfRule type="colorScale" priority="8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05:T2405">
    <cfRule type="colorScale" priority="9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05:V2405">
    <cfRule type="colorScale" priority="9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05:X2405">
    <cfRule type="colorScale" priority="7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405:Z2405">
    <cfRule type="colorScale" priority="8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405:AB2405">
    <cfRule type="colorScale" priority="5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405:AD2405">
    <cfRule type="colorScale" priority="5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405:AF2405">
    <cfRule type="colorScale" priority="6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405:AH2405">
    <cfRule type="colorScale" priority="6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405:AJ2405">
    <cfRule type="colorScale" priority="7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405:AL2405">
    <cfRule type="colorScale" priority="4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405:AN2405">
    <cfRule type="colorScale" priority="4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405:AP2405">
    <cfRule type="colorScale" priority="3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405:AR2405">
    <cfRule type="colorScale" priority="2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405:AT2405">
    <cfRule type="colorScale" priority="1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405:AV2405">
    <cfRule type="colorScale" priority="2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405:AX2405">
    <cfRule type="colorScale" priority="3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405:AZ2405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405:BB2405">
    <cfRule type="colorScale" priority="1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405:BD2405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405:BF2405">
    <cfRule type="colorScale" priority="12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60">
    <cfRule type="colorScale" priority="8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60">
    <cfRule type="colorScale" priority="8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60">
    <cfRule type="colorScale" priority="9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460">
    <cfRule type="colorScale" priority="9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60">
    <cfRule type="colorScale" priority="9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460">
    <cfRule type="colorScale" priority="9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60">
    <cfRule type="colorScale" priority="7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460">
    <cfRule type="colorScale" priority="7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460">
    <cfRule type="colorScale" priority="8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460">
    <cfRule type="colorScale" priority="8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460">
    <cfRule type="colorScale" priority="5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460">
    <cfRule type="colorScale" priority="5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460">
    <cfRule type="colorScale" priority="5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460">
    <cfRule type="colorScale" priority="5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460">
    <cfRule type="colorScale" priority="6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460">
    <cfRule type="colorScale" priority="6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460">
    <cfRule type="colorScale" priority="6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460">
    <cfRule type="colorScale" priority="6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460">
    <cfRule type="colorScale" priority="7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460">
    <cfRule type="colorScale" priority="7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460">
    <cfRule type="colorScale" priority="4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460">
    <cfRule type="colorScale" priority="4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460">
    <cfRule type="colorScale" priority="4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460">
    <cfRule type="colorScale" priority="4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460">
    <cfRule type="colorScale" priority="3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460">
    <cfRule type="colorScale" priority="3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460">
    <cfRule type="colorScale" priority="2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460">
    <cfRule type="colorScale" priority="2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460">
    <cfRule type="colorScale" priority="1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460">
    <cfRule type="colorScale" priority="1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460">
    <cfRule type="colorScale" priority="2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460">
    <cfRule type="colorScale" priority="2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460">
    <cfRule type="colorScale" priority="3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460">
    <cfRule type="colorScale" priority="3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460"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460">
    <cfRule type="colorScale" priority="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460"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460">
    <cfRule type="colorScale" priority="1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460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460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460">
    <cfRule type="colorScale" priority="12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460">
    <cfRule type="colorScale" priority="12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91">
    <cfRule type="colorScale" priority="8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91">
    <cfRule type="colorScale" priority="8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91">
    <cfRule type="colorScale" priority="9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491">
    <cfRule type="colorScale" priority="9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91">
    <cfRule type="colorScale" priority="9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491">
    <cfRule type="colorScale" priority="9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91">
    <cfRule type="colorScale" priority="7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491">
    <cfRule type="colorScale" priority="7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491">
    <cfRule type="colorScale" priority="8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491">
    <cfRule type="colorScale" priority="8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491">
    <cfRule type="colorScale" priority="5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491">
    <cfRule type="colorScale" priority="5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491">
    <cfRule type="colorScale" priority="5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491">
    <cfRule type="colorScale" priority="5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491">
    <cfRule type="colorScale" priority="6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491">
    <cfRule type="colorScale" priority="6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491">
    <cfRule type="colorScale" priority="6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491">
    <cfRule type="colorScale" priority="6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491">
    <cfRule type="colorScale" priority="7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491">
    <cfRule type="colorScale" priority="7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491">
    <cfRule type="colorScale" priority="4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491">
    <cfRule type="colorScale" priority="4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491">
    <cfRule type="colorScale" priority="4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491">
    <cfRule type="colorScale" priority="4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491">
    <cfRule type="colorScale" priority="3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491">
    <cfRule type="colorScale" priority="3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491">
    <cfRule type="colorScale" priority="2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491">
    <cfRule type="colorScale" priority="2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491">
    <cfRule type="colorScale" priority="1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491">
    <cfRule type="colorScale" priority="1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491">
    <cfRule type="colorScale" priority="2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491">
    <cfRule type="colorScale" priority="2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491">
    <cfRule type="colorScale" priority="3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491">
    <cfRule type="colorScale" priority="3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491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491">
    <cfRule type="colorScale" priority="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491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491">
    <cfRule type="colorScale" priority="1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491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49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491">
    <cfRule type="colorScale" priority="12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491">
    <cfRule type="colorScale" priority="12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540:R2540">
    <cfRule type="colorScale" priority="8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40:T2540">
    <cfRule type="colorScale" priority="9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540:V2540">
    <cfRule type="colorScale" priority="9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540:X2540">
    <cfRule type="colorScale" priority="7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40:Z2540">
    <cfRule type="colorScale" priority="8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540:AB2540">
    <cfRule type="colorScale" priority="5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540:AD2540">
    <cfRule type="colorScale" priority="5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540:AF2540">
    <cfRule type="colorScale" priority="6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540:AH2540">
    <cfRule type="colorScale" priority="6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540:AJ2540">
    <cfRule type="colorScale" priority="7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540:AL2540">
    <cfRule type="colorScale" priority="4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540:AN2540">
    <cfRule type="colorScale" priority="4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540:AP2540">
    <cfRule type="colorScale" priority="3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540:AR2540">
    <cfRule type="colorScale" priority="2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540:AT2540">
    <cfRule type="colorScale" priority="1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540:AV2540">
    <cfRule type="colorScale" priority="2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540:AX2540">
    <cfRule type="colorScale" priority="3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540:AZ2540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540:BB2540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540:BD2540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540:BF2540">
    <cfRule type="colorScale" priority="12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585">
    <cfRule type="colorScale" priority="8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585">
    <cfRule type="colorScale" priority="8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85">
    <cfRule type="colorScale" priority="9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85">
    <cfRule type="colorScale" priority="9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585">
    <cfRule type="colorScale" priority="9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585">
    <cfRule type="colorScale" priority="9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585">
    <cfRule type="colorScale" priority="7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585">
    <cfRule type="colorScale" priority="7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85">
    <cfRule type="colorScale" priority="8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585">
    <cfRule type="colorScale" priority="8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585">
    <cfRule type="colorScale" priority="5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585">
    <cfRule type="colorScale" priority="5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585">
    <cfRule type="colorScale" priority="5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585">
    <cfRule type="colorScale" priority="5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585">
    <cfRule type="colorScale" priority="6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585">
    <cfRule type="colorScale" priority="6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585">
    <cfRule type="colorScale" priority="6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585">
    <cfRule type="colorScale" priority="6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585">
    <cfRule type="colorScale" priority="7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85">
    <cfRule type="colorScale" priority="7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585">
    <cfRule type="colorScale" priority="4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585">
    <cfRule type="colorScale" priority="4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585">
    <cfRule type="colorScale" priority="4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585">
    <cfRule type="colorScale" priority="4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585">
    <cfRule type="colorScale" priority="3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585">
    <cfRule type="colorScale" priority="3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585">
    <cfRule type="colorScale" priority="2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585">
    <cfRule type="colorScale" priority="2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585">
    <cfRule type="colorScale" priority="1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585">
    <cfRule type="colorScale" priority="1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585">
    <cfRule type="colorScale" priority="2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585">
    <cfRule type="colorScale" priority="2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585">
    <cfRule type="colorScale" priority="3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585">
    <cfRule type="colorScale" priority="3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585">
    <cfRule type="colorScale" priority="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585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585">
    <cfRule type="colorScale" priority="1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585">
    <cfRule type="colorScale" priority="1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585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585">
    <cfRule type="colorScale" priority="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585">
    <cfRule type="colorScale" priority="13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585">
    <cfRule type="colorScale" priority="13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24">
    <cfRule type="duplicateValues" dxfId="1" priority="14380"/>
  </conditionalFormatting>
  <conditionalFormatting sqref="Q2624:R2624">
    <cfRule type="colorScale" priority="8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24:T2624">
    <cfRule type="colorScale" priority="9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24:V2624">
    <cfRule type="colorScale" priority="9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624:X2624">
    <cfRule type="colorScale" priority="7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24:Z2624">
    <cfRule type="colorScale" priority="8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24:AB2624">
    <cfRule type="colorScale" priority="5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624:AD2624">
    <cfRule type="colorScale" priority="5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24:AF2624">
    <cfRule type="colorScale" priority="6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24:AH2624">
    <cfRule type="colorScale" priority="6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24:AJ2624">
    <cfRule type="colorScale" priority="7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624:AL2624">
    <cfRule type="colorScale" priority="4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24:AN2624">
    <cfRule type="colorScale" priority="4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624:AP2624">
    <cfRule type="colorScale" priority="3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624:AR2624">
    <cfRule type="colorScale" priority="2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24:AT2624">
    <cfRule type="colorScale" priority="1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24:AV2624">
    <cfRule type="colorScale" priority="2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624:AX2624">
    <cfRule type="colorScale" priority="3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24:AZ2624">
    <cfRule type="colorScale" priority="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624:BB2624">
    <cfRule type="colorScale" priority="1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624:BD2624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624:BF2624">
    <cfRule type="colorScale" priority="12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33">
    <cfRule type="duplicateValues" dxfId="1" priority="13637"/>
  </conditionalFormatting>
  <conditionalFormatting sqref="Q2633:R2633">
    <cfRule type="colorScale" priority="8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33:T2633">
    <cfRule type="colorScale" priority="9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33:V2633">
    <cfRule type="colorScale" priority="9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633:X2633">
    <cfRule type="colorScale" priority="7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33:Z2633">
    <cfRule type="colorScale" priority="8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33:AB2633">
    <cfRule type="colorScale" priority="5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633:AD2633">
    <cfRule type="colorScale" priority="5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33:AF2633">
    <cfRule type="colorScale" priority="6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33:AH2633">
    <cfRule type="colorScale" priority="6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33:AJ2633">
    <cfRule type="colorScale" priority="7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633:AL2633">
    <cfRule type="colorScale" priority="4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33:AN2633">
    <cfRule type="colorScale" priority="4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633:AP2633">
    <cfRule type="colorScale" priority="3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633:AR2633">
    <cfRule type="colorScale" priority="2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33:AT2633">
    <cfRule type="colorScale" priority="1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33:AV2633">
    <cfRule type="colorScale" priority="2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633:AX2633">
    <cfRule type="colorScale" priority="3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33:AZ2633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633:BB2633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633:BD2633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633:BF2633">
    <cfRule type="colorScale" priority="12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2633:BV2633">
    <cfRule type="cellIs" dxfId="0" priority="13636" operator="greaterThan">
      <formula>1</formula>
    </cfRule>
  </conditionalFormatting>
  <conditionalFormatting sqref="Q2640">
    <cfRule type="colorScale" priority="8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40">
    <cfRule type="colorScale" priority="8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40">
    <cfRule type="colorScale" priority="9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640">
    <cfRule type="colorScale" priority="9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40">
    <cfRule type="colorScale" priority="9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640">
    <cfRule type="colorScale" priority="9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640">
    <cfRule type="colorScale" priority="7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640">
    <cfRule type="colorScale" priority="7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40">
    <cfRule type="colorScale" priority="8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640">
    <cfRule type="colorScale" priority="8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40">
    <cfRule type="colorScale" priority="5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640">
    <cfRule type="colorScale" priority="5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640">
    <cfRule type="colorScale" priority="5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640">
    <cfRule type="colorScale" priority="5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40">
    <cfRule type="colorScale" priority="6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640">
    <cfRule type="colorScale" priority="6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40">
    <cfRule type="colorScale" priority="6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640">
    <cfRule type="colorScale" priority="6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40">
    <cfRule type="colorScale" priority="7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640">
    <cfRule type="colorScale" priority="7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640">
    <cfRule type="colorScale" priority="4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640">
    <cfRule type="colorScale" priority="4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40">
    <cfRule type="colorScale" priority="4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640">
    <cfRule type="colorScale" priority="4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640">
    <cfRule type="colorScale" priority="3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640">
    <cfRule type="colorScale" priority="3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640">
    <cfRule type="colorScale" priority="2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640">
    <cfRule type="colorScale" priority="2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40">
    <cfRule type="colorScale" priority="1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640">
    <cfRule type="colorScale" priority="1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40">
    <cfRule type="colorScale" priority="2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640">
    <cfRule type="colorScale" priority="2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640">
    <cfRule type="colorScale" priority="3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640">
    <cfRule type="colorScale" priority="3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40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640">
    <cfRule type="colorScale" priority="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640">
    <cfRule type="colorScale" priority="1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640">
    <cfRule type="colorScale" priority="1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640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640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640">
    <cfRule type="colorScale" priority="13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640">
    <cfRule type="colorScale" priority="13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655">
    <cfRule type="colorScale" priority="8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55">
    <cfRule type="colorScale" priority="8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55">
    <cfRule type="colorScale" priority="8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655">
    <cfRule type="colorScale" priority="9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55">
    <cfRule type="colorScale" priority="9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655">
    <cfRule type="colorScale" priority="9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655">
    <cfRule type="colorScale" priority="7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655">
    <cfRule type="colorScale" priority="7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55">
    <cfRule type="colorScale" priority="8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655">
    <cfRule type="colorScale" priority="8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55">
    <cfRule type="colorScale" priority="4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655">
    <cfRule type="colorScale" priority="5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655">
    <cfRule type="colorScale" priority="5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655">
    <cfRule type="colorScale" priority="5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55">
    <cfRule type="colorScale" priority="5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655">
    <cfRule type="colorScale" priority="6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55">
    <cfRule type="colorScale" priority="6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655">
    <cfRule type="colorScale" priority="6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55">
    <cfRule type="colorScale" priority="7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655">
    <cfRule type="colorScale" priority="7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655">
    <cfRule type="colorScale" priority="4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655">
    <cfRule type="colorScale" priority="4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55">
    <cfRule type="colorScale" priority="4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655">
    <cfRule type="colorScale" priority="4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655">
    <cfRule type="colorScale" priority="2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655">
    <cfRule type="colorScale" priority="3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655">
    <cfRule type="colorScale" priority="2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655">
    <cfRule type="colorScale" priority="2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55">
    <cfRule type="colorScale" priority="1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655">
    <cfRule type="colorScale" priority="1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55">
    <cfRule type="colorScale" priority="1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655">
    <cfRule type="colorScale" priority="2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655">
    <cfRule type="colorScale" priority="3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655">
    <cfRule type="colorScale" priority="3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55">
    <cfRule type="colorScale" priority="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655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655">
    <cfRule type="colorScale" priority="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655">
    <cfRule type="colorScale" priority="1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65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655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655:BF2655">
    <cfRule type="colorScale" priority="13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64">
    <cfRule type="duplicateValues" dxfId="1" priority="13630"/>
  </conditionalFormatting>
  <conditionalFormatting sqref="Q2664:R2664">
    <cfRule type="colorScale" priority="8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64:T2664">
    <cfRule type="colorScale" priority="9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64:V2664">
    <cfRule type="colorScale" priority="9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664:X2664">
    <cfRule type="colorScale" priority="7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64:Z2664">
    <cfRule type="colorScale" priority="8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64:AB2664">
    <cfRule type="colorScale" priority="5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664:AD2664">
    <cfRule type="colorScale" priority="5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64:AF2664">
    <cfRule type="colorScale" priority="6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64:AH2664">
    <cfRule type="colorScale" priority="66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64:AJ2664">
    <cfRule type="colorScale" priority="7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664:AL2664">
    <cfRule type="colorScale" priority="4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64:AN2664">
    <cfRule type="colorScale" priority="46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664:AP2664">
    <cfRule type="colorScale" priority="3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664:AR2664">
    <cfRule type="colorScale" priority="2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64:AT2664">
    <cfRule type="colorScale" priority="1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64:AV2664">
    <cfRule type="colorScale" priority="2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664:AX2664">
    <cfRule type="colorScale" priority="3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64:AZ2664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664:BB2664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664:BD2664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664:BF2664">
    <cfRule type="colorScale" priority="12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2664:BV2664">
    <cfRule type="cellIs" dxfId="0" priority="13626" operator="greaterThan">
      <formula>1</formula>
    </cfRule>
  </conditionalFormatting>
  <conditionalFormatting sqref="E2665">
    <cfRule type="duplicateValues" dxfId="1" priority="11351"/>
  </conditionalFormatting>
  <conditionalFormatting sqref="Q2665:R2665">
    <cfRule type="colorScale" priority="8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65:T2665">
    <cfRule type="colorScale" priority="9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65:V2665">
    <cfRule type="colorScale" priority="9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665:X2665">
    <cfRule type="colorScale" priority="7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65:Z2665">
    <cfRule type="colorScale" priority="8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65:AB2665">
    <cfRule type="colorScale" priority="5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665:AD2665">
    <cfRule type="colorScale" priority="5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65:AF2665">
    <cfRule type="colorScale" priority="6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65:AH2665">
    <cfRule type="colorScale" priority="6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65:AJ2665">
    <cfRule type="colorScale" priority="7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665:AL2665">
    <cfRule type="colorScale" priority="4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65:AN2665">
    <cfRule type="colorScale" priority="4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665:AP2665">
    <cfRule type="colorScale" priority="3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665:AR2665">
    <cfRule type="colorScale" priority="2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65:AT2665">
    <cfRule type="colorScale" priority="1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65:AV2665">
    <cfRule type="colorScale" priority="2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665:AX2665">
    <cfRule type="colorScale" priority="3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65:AZ2665"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665:BB2665">
    <cfRule type="colorScale" priority="1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665:BD266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665:BF2665">
    <cfRule type="colorScale" priority="11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2665:BV2665">
    <cfRule type="cellIs" dxfId="0" priority="11347" operator="greaterThan">
      <formula>1</formula>
    </cfRule>
  </conditionalFormatting>
  <conditionalFormatting sqref="F2681">
    <cfRule type="duplicateValues" dxfId="1" priority="10422"/>
  </conditionalFormatting>
  <conditionalFormatting sqref="F2682">
    <cfRule type="duplicateValues" dxfId="1" priority="10420"/>
  </conditionalFormatting>
  <conditionalFormatting sqref="F2683">
    <cfRule type="duplicateValues" dxfId="1" priority="10418"/>
  </conditionalFormatting>
  <conditionalFormatting sqref="F2684">
    <cfRule type="duplicateValues" dxfId="1" priority="10416"/>
  </conditionalFormatting>
  <conditionalFormatting sqref="H2689">
    <cfRule type="duplicateValues" dxfId="1" priority="10414"/>
  </conditionalFormatting>
  <conditionalFormatting sqref="E6:E9">
    <cfRule type="duplicateValues" dxfId="1" priority="14268"/>
  </conditionalFormatting>
  <conditionalFormatting sqref="E33:E36">
    <cfRule type="duplicateValues" dxfId="1" priority="10669"/>
  </conditionalFormatting>
  <conditionalFormatting sqref="E37:E40">
    <cfRule type="duplicateValues" dxfId="1" priority="10563"/>
  </conditionalFormatting>
  <conditionalFormatting sqref="E41:E44">
    <cfRule type="duplicateValues" dxfId="1" priority="14379"/>
  </conditionalFormatting>
  <conditionalFormatting sqref="E45:E48">
    <cfRule type="duplicateValues" dxfId="1" priority="14220"/>
  </conditionalFormatting>
  <conditionalFormatting sqref="E49:E52">
    <cfRule type="duplicateValues" dxfId="1" priority="13934"/>
  </conditionalFormatting>
  <conditionalFormatting sqref="E54:E55">
    <cfRule type="duplicateValues" dxfId="1" priority="14300"/>
  </conditionalFormatting>
  <conditionalFormatting sqref="E73:E74">
    <cfRule type="duplicateValues" dxfId="1" priority="12226"/>
  </conditionalFormatting>
  <conditionalFormatting sqref="E75:E76">
    <cfRule type="duplicateValues" dxfId="1" priority="11589"/>
  </conditionalFormatting>
  <conditionalFormatting sqref="E77:E78">
    <cfRule type="duplicateValues" dxfId="1" priority="11952"/>
  </conditionalFormatting>
  <conditionalFormatting sqref="E79:E80">
    <cfRule type="duplicateValues" dxfId="1" priority="11958"/>
  </conditionalFormatting>
  <conditionalFormatting sqref="E81:E82">
    <cfRule type="duplicateValues" dxfId="1" priority="13365"/>
  </conditionalFormatting>
  <conditionalFormatting sqref="E83:E84">
    <cfRule type="duplicateValues" dxfId="1" priority="13371"/>
  </conditionalFormatting>
  <conditionalFormatting sqref="E85:E86">
    <cfRule type="duplicateValues" dxfId="1" priority="12338"/>
  </conditionalFormatting>
  <conditionalFormatting sqref="E87:E88">
    <cfRule type="duplicateValues" dxfId="1" priority="12344"/>
  </conditionalFormatting>
  <conditionalFormatting sqref="E91:E92">
    <cfRule type="duplicateValues" dxfId="1" priority="14043"/>
  </conditionalFormatting>
  <conditionalFormatting sqref="E97:E98">
    <cfRule type="duplicateValues" dxfId="1" priority="14226"/>
  </conditionalFormatting>
  <conditionalFormatting sqref="E99:E100">
    <cfRule type="duplicateValues" dxfId="1" priority="14349"/>
  </conditionalFormatting>
  <conditionalFormatting sqref="E102:E103">
    <cfRule type="duplicateValues" dxfId="1" priority="10782"/>
  </conditionalFormatting>
  <conditionalFormatting sqref="E104:E105">
    <cfRule type="duplicateValues" dxfId="1" priority="10838"/>
  </conditionalFormatting>
  <conditionalFormatting sqref="E106:E107">
    <cfRule type="duplicateValues" dxfId="1" priority="10788"/>
  </conditionalFormatting>
  <conditionalFormatting sqref="E108:E109">
    <cfRule type="duplicateValues" dxfId="1" priority="13291"/>
  </conditionalFormatting>
  <conditionalFormatting sqref="E110:E111">
    <cfRule type="duplicateValues" dxfId="1" priority="11152"/>
  </conditionalFormatting>
  <conditionalFormatting sqref="E113:E114">
    <cfRule type="duplicateValues" dxfId="1" priority="13194"/>
  </conditionalFormatting>
  <conditionalFormatting sqref="E113:E116">
    <cfRule type="duplicateValues" dxfId="1" priority="13192"/>
  </conditionalFormatting>
  <conditionalFormatting sqref="E115:E116">
    <cfRule type="duplicateValues" dxfId="1" priority="13196"/>
  </conditionalFormatting>
  <conditionalFormatting sqref="E117:E118">
    <cfRule type="duplicateValues" dxfId="1" priority="13208"/>
  </conditionalFormatting>
  <conditionalFormatting sqref="E117:E120">
    <cfRule type="duplicateValues" dxfId="1" priority="13205"/>
  </conditionalFormatting>
  <conditionalFormatting sqref="E119:E120">
    <cfRule type="duplicateValues" dxfId="1" priority="13210"/>
  </conditionalFormatting>
  <conditionalFormatting sqref="E121:E122">
    <cfRule type="duplicateValues" dxfId="1" priority="13345"/>
  </conditionalFormatting>
  <conditionalFormatting sqref="E121:E124">
    <cfRule type="duplicateValues" dxfId="1" priority="13342"/>
  </conditionalFormatting>
  <conditionalFormatting sqref="E123:E124">
    <cfRule type="duplicateValues" dxfId="1" priority="13347"/>
  </conditionalFormatting>
  <conditionalFormatting sqref="E125:E126">
    <cfRule type="duplicateValues" dxfId="1" priority="14295"/>
  </conditionalFormatting>
  <conditionalFormatting sqref="E127:E128">
    <cfRule type="duplicateValues" dxfId="1" priority="14400"/>
  </conditionalFormatting>
  <conditionalFormatting sqref="E130:E133">
    <cfRule type="duplicateValues" dxfId="1" priority="11678"/>
  </conditionalFormatting>
  <conditionalFormatting sqref="E145:E146">
    <cfRule type="duplicateValues" dxfId="1" priority="14232"/>
  </conditionalFormatting>
  <conditionalFormatting sqref="E148:E149">
    <cfRule type="duplicateValues" dxfId="1" priority="11546"/>
  </conditionalFormatting>
  <conditionalFormatting sqref="E150:E151">
    <cfRule type="duplicateValues" dxfId="1" priority="11540"/>
  </conditionalFormatting>
  <conditionalFormatting sqref="E152:E153">
    <cfRule type="duplicateValues" dxfId="1" priority="11024"/>
  </conditionalFormatting>
  <conditionalFormatting sqref="E154:E155">
    <cfRule type="duplicateValues" dxfId="1" priority="11018"/>
  </conditionalFormatting>
  <conditionalFormatting sqref="E185:E186">
    <cfRule type="duplicateValues" dxfId="1" priority="11012"/>
  </conditionalFormatting>
  <conditionalFormatting sqref="E201:E202">
    <cfRule type="duplicateValues" dxfId="1" priority="14424"/>
  </conditionalFormatting>
  <conditionalFormatting sqref="E203:E204">
    <cfRule type="duplicateValues" dxfId="1" priority="14018"/>
  </conditionalFormatting>
  <conditionalFormatting sqref="E209:E210">
    <cfRule type="duplicateValues" dxfId="1" priority="11353"/>
  </conditionalFormatting>
  <conditionalFormatting sqref="E211:E212">
    <cfRule type="duplicateValues" dxfId="1" priority="11310"/>
  </conditionalFormatting>
  <conditionalFormatting sqref="E213:E214">
    <cfRule type="duplicateValues" dxfId="1" priority="11191"/>
  </conditionalFormatting>
  <conditionalFormatting sqref="E218:E219">
    <cfRule type="duplicateValues" dxfId="1" priority="11669"/>
  </conditionalFormatting>
  <conditionalFormatting sqref="E221:E222">
    <cfRule type="duplicateValues" dxfId="1" priority="14337"/>
  </conditionalFormatting>
  <conditionalFormatting sqref="E223:E224">
    <cfRule type="duplicateValues" dxfId="1" priority="14331"/>
  </conditionalFormatting>
  <conditionalFormatting sqref="E225:E226">
    <cfRule type="duplicateValues" dxfId="1" priority="12113"/>
  </conditionalFormatting>
  <conditionalFormatting sqref="E227:E228">
    <cfRule type="duplicateValues" dxfId="1" priority="13837"/>
  </conditionalFormatting>
  <conditionalFormatting sqref="E229:E230">
    <cfRule type="duplicateValues" dxfId="1" priority="11340"/>
  </conditionalFormatting>
  <conditionalFormatting sqref="E231:E232">
    <cfRule type="duplicateValues" dxfId="1" priority="14316"/>
  </conditionalFormatting>
  <conditionalFormatting sqref="E235:E236">
    <cfRule type="duplicateValues" dxfId="1" priority="11876"/>
  </conditionalFormatting>
  <conditionalFormatting sqref="E243:E246">
    <cfRule type="duplicateValues" dxfId="1" priority="14250"/>
  </conditionalFormatting>
  <conditionalFormatting sqref="E247:E250">
    <cfRule type="duplicateValues" dxfId="1" priority="11559"/>
  </conditionalFormatting>
  <conditionalFormatting sqref="E258:E259">
    <cfRule type="duplicateValues" dxfId="1" priority="10736"/>
  </conditionalFormatting>
  <conditionalFormatting sqref="E260:E261">
    <cfRule type="duplicateValues" dxfId="1" priority="10730"/>
  </conditionalFormatting>
  <conditionalFormatting sqref="E264:E265">
    <cfRule type="duplicateValues" dxfId="1" priority="12068"/>
  </conditionalFormatting>
  <conditionalFormatting sqref="E267:E268">
    <cfRule type="duplicateValues" dxfId="1" priority="12168"/>
  </conditionalFormatting>
  <conditionalFormatting sqref="E269:E270">
    <cfRule type="duplicateValues" dxfId="1" priority="12162"/>
  </conditionalFormatting>
  <conditionalFormatting sqref="E274:E277">
    <cfRule type="duplicateValues" dxfId="1" priority="12718"/>
  </conditionalFormatting>
  <conditionalFormatting sqref="E278:E279">
    <cfRule type="duplicateValues" dxfId="1" priority="13413"/>
  </conditionalFormatting>
  <conditionalFormatting sqref="E280:E281">
    <cfRule type="duplicateValues" dxfId="1" priority="14339"/>
  </conditionalFormatting>
  <conditionalFormatting sqref="E283:E284">
    <cfRule type="duplicateValues" dxfId="1" priority="13377"/>
  </conditionalFormatting>
  <conditionalFormatting sqref="E283:E286">
    <cfRule type="duplicateValues" dxfId="1" priority="13374"/>
  </conditionalFormatting>
  <conditionalFormatting sqref="E285:E286">
    <cfRule type="duplicateValues" dxfId="1" priority="12753"/>
  </conditionalFormatting>
  <conditionalFormatting sqref="E287:E288">
    <cfRule type="duplicateValues" dxfId="1" priority="12405"/>
  </conditionalFormatting>
  <conditionalFormatting sqref="E287:E290">
    <cfRule type="duplicateValues" dxfId="1" priority="12400"/>
  </conditionalFormatting>
  <conditionalFormatting sqref="E289:E290">
    <cfRule type="duplicateValues" dxfId="1" priority="12403"/>
  </conditionalFormatting>
  <conditionalFormatting sqref="E291:E292">
    <cfRule type="duplicateValues" dxfId="1" priority="12677"/>
  </conditionalFormatting>
  <conditionalFormatting sqref="E291:E294">
    <cfRule type="duplicateValues" dxfId="1" priority="12672"/>
  </conditionalFormatting>
  <conditionalFormatting sqref="E293:E294">
    <cfRule type="duplicateValues" dxfId="1" priority="12675"/>
  </conditionalFormatting>
  <conditionalFormatting sqref="E309:E312">
    <cfRule type="duplicateValues" dxfId="1" priority="11056"/>
  </conditionalFormatting>
  <conditionalFormatting sqref="E313:E316">
    <cfRule type="duplicateValues" dxfId="1" priority="3498"/>
  </conditionalFormatting>
  <conditionalFormatting sqref="E320:E321">
    <cfRule type="duplicateValues" dxfId="1" priority="13654"/>
  </conditionalFormatting>
  <conditionalFormatting sqref="E322:E323">
    <cfRule type="duplicateValues" dxfId="1" priority="14422"/>
  </conditionalFormatting>
  <conditionalFormatting sqref="E337:E338">
    <cfRule type="duplicateValues" dxfId="1" priority="14240"/>
  </conditionalFormatting>
  <conditionalFormatting sqref="E345:E346">
    <cfRule type="duplicateValues" dxfId="1" priority="13768"/>
  </conditionalFormatting>
  <conditionalFormatting sqref="E348:E349">
    <cfRule type="duplicateValues" dxfId="1" priority="10200"/>
  </conditionalFormatting>
  <conditionalFormatting sqref="E348:E351">
    <cfRule type="duplicateValues" dxfId="1" priority="10197"/>
  </conditionalFormatting>
  <conditionalFormatting sqref="E350:E351">
    <cfRule type="duplicateValues" dxfId="1" priority="10203"/>
  </conditionalFormatting>
  <conditionalFormatting sqref="E352:E353">
    <cfRule type="duplicateValues" dxfId="1" priority="9501"/>
  </conditionalFormatting>
  <conditionalFormatting sqref="E352:E355">
    <cfRule type="duplicateValues" dxfId="1" priority="9498"/>
  </conditionalFormatting>
  <conditionalFormatting sqref="E354:E355">
    <cfRule type="duplicateValues" dxfId="1" priority="9504"/>
  </conditionalFormatting>
  <conditionalFormatting sqref="E356:E357">
    <cfRule type="duplicateValues" dxfId="1" priority="13533"/>
  </conditionalFormatting>
  <conditionalFormatting sqref="E356:E359">
    <cfRule type="duplicateValues" dxfId="1" priority="13530"/>
  </conditionalFormatting>
  <conditionalFormatting sqref="E358:E359">
    <cfRule type="duplicateValues" dxfId="1" priority="13536"/>
  </conditionalFormatting>
  <conditionalFormatting sqref="E360:E361">
    <cfRule type="duplicateValues" dxfId="1" priority="13515"/>
  </conditionalFormatting>
  <conditionalFormatting sqref="E360:E363">
    <cfRule type="duplicateValues" dxfId="1" priority="13512"/>
  </conditionalFormatting>
  <conditionalFormatting sqref="E362:E363">
    <cfRule type="duplicateValues" dxfId="1" priority="13518"/>
  </conditionalFormatting>
  <conditionalFormatting sqref="E364:E365">
    <cfRule type="duplicateValues" dxfId="1" priority="13298"/>
  </conditionalFormatting>
  <conditionalFormatting sqref="E364:E367">
    <cfRule type="duplicateValues" dxfId="1" priority="13295"/>
  </conditionalFormatting>
  <conditionalFormatting sqref="E366:E367">
    <cfRule type="duplicateValues" dxfId="1" priority="13301"/>
  </conditionalFormatting>
  <conditionalFormatting sqref="E368:E369">
    <cfRule type="duplicateValues" dxfId="1" priority="12591"/>
  </conditionalFormatting>
  <conditionalFormatting sqref="E368:E371">
    <cfRule type="duplicateValues" dxfId="1" priority="12588"/>
  </conditionalFormatting>
  <conditionalFormatting sqref="E370:E371">
    <cfRule type="duplicateValues" dxfId="1" priority="12594"/>
  </conditionalFormatting>
  <conditionalFormatting sqref="E373:E376">
    <cfRule type="duplicateValues" dxfId="1" priority="14343"/>
  </conditionalFormatting>
  <conditionalFormatting sqref="E381:E384">
    <cfRule type="duplicateValues" dxfId="1" priority="14345"/>
  </conditionalFormatting>
  <conditionalFormatting sqref="E385:E388">
    <cfRule type="duplicateValues" dxfId="1" priority="10270"/>
  </conditionalFormatting>
  <conditionalFormatting sqref="E389:E392">
    <cfRule type="duplicateValues" dxfId="1" priority="14272"/>
  </conditionalFormatting>
  <conditionalFormatting sqref="E397:E400">
    <cfRule type="duplicateValues" dxfId="1" priority="14248"/>
  </conditionalFormatting>
  <conditionalFormatting sqref="E402:E405">
    <cfRule type="duplicateValues" dxfId="1" priority="13648"/>
  </conditionalFormatting>
  <conditionalFormatting sqref="E416:E419">
    <cfRule type="duplicateValues" dxfId="1" priority="14274"/>
  </conditionalFormatting>
  <conditionalFormatting sqref="E435:E438">
    <cfRule type="duplicateValues" dxfId="1" priority="11813"/>
  </conditionalFormatting>
  <conditionalFormatting sqref="E440:E441">
    <cfRule type="duplicateValues" dxfId="1" priority="10389"/>
  </conditionalFormatting>
  <conditionalFormatting sqref="E440:E443">
    <cfRule type="duplicateValues" dxfId="1" priority="10386"/>
  </conditionalFormatting>
  <conditionalFormatting sqref="E442:E443">
    <cfRule type="duplicateValues" dxfId="1" priority="10392"/>
  </conditionalFormatting>
  <conditionalFormatting sqref="E444:E445">
    <cfRule type="duplicateValues" dxfId="1" priority="12625"/>
  </conditionalFormatting>
  <conditionalFormatting sqref="E444:E447">
    <cfRule type="duplicateValues" dxfId="1" priority="12622"/>
  </conditionalFormatting>
  <conditionalFormatting sqref="E446:E447">
    <cfRule type="duplicateValues" dxfId="1" priority="12628"/>
  </conditionalFormatting>
  <conditionalFormatting sqref="E448:E449">
    <cfRule type="duplicateValues" dxfId="1" priority="11378"/>
  </conditionalFormatting>
  <conditionalFormatting sqref="E448:E451">
    <cfRule type="duplicateValues" dxfId="1" priority="11375"/>
  </conditionalFormatting>
  <conditionalFormatting sqref="E450:E451">
    <cfRule type="duplicateValues" dxfId="1" priority="11381"/>
  </conditionalFormatting>
  <conditionalFormatting sqref="E453:E454">
    <cfRule type="duplicateValues" dxfId="1" priority="11143"/>
  </conditionalFormatting>
  <conditionalFormatting sqref="E453:E456">
    <cfRule type="duplicateValues" dxfId="1" priority="11140"/>
  </conditionalFormatting>
  <conditionalFormatting sqref="E455:E456">
    <cfRule type="duplicateValues" dxfId="1" priority="11146"/>
  </conditionalFormatting>
  <conditionalFormatting sqref="E457:E458">
    <cfRule type="duplicateValues" dxfId="1" priority="11041"/>
  </conditionalFormatting>
  <conditionalFormatting sqref="E457:E460">
    <cfRule type="duplicateValues" dxfId="1" priority="11038"/>
  </conditionalFormatting>
  <conditionalFormatting sqref="E459:E460">
    <cfRule type="duplicateValues" dxfId="1" priority="11044"/>
  </conditionalFormatting>
  <conditionalFormatting sqref="E461:E462">
    <cfRule type="duplicateValues" dxfId="1" priority="12430"/>
  </conditionalFormatting>
  <conditionalFormatting sqref="E461:E464">
    <cfRule type="duplicateValues" dxfId="1" priority="12427"/>
  </conditionalFormatting>
  <conditionalFormatting sqref="E463:E464">
    <cfRule type="duplicateValues" dxfId="1" priority="12433"/>
  </conditionalFormatting>
  <conditionalFormatting sqref="E470:E473">
    <cfRule type="duplicateValues" dxfId="1" priority="14389"/>
  </conditionalFormatting>
  <conditionalFormatting sqref="E475:E476">
    <cfRule type="duplicateValues" dxfId="1" priority="10166"/>
  </conditionalFormatting>
  <conditionalFormatting sqref="E475:E478">
    <cfRule type="duplicateValues" dxfId="1" priority="10163"/>
  </conditionalFormatting>
  <conditionalFormatting sqref="E477:E478">
    <cfRule type="duplicateValues" dxfId="1" priority="10169"/>
  </conditionalFormatting>
  <conditionalFormatting sqref="E479:E480">
    <cfRule type="duplicateValues" dxfId="1" priority="12684"/>
  </conditionalFormatting>
  <conditionalFormatting sqref="E479:E482">
    <cfRule type="duplicateValues" dxfId="1" priority="12681"/>
  </conditionalFormatting>
  <conditionalFormatting sqref="E481:E482">
    <cfRule type="duplicateValues" dxfId="1" priority="12687"/>
  </conditionalFormatting>
  <conditionalFormatting sqref="E483:E484">
    <cfRule type="duplicateValues" dxfId="1" priority="11290"/>
  </conditionalFormatting>
  <conditionalFormatting sqref="E483:E486">
    <cfRule type="duplicateValues" dxfId="1" priority="11287"/>
  </conditionalFormatting>
  <conditionalFormatting sqref="E485:E486">
    <cfRule type="duplicateValues" dxfId="1" priority="11293"/>
  </conditionalFormatting>
  <conditionalFormatting sqref="E487:E488">
    <cfRule type="duplicateValues" dxfId="1" priority="12726"/>
  </conditionalFormatting>
  <conditionalFormatting sqref="E487:E490">
    <cfRule type="duplicateValues" dxfId="1" priority="12723"/>
  </conditionalFormatting>
  <conditionalFormatting sqref="E489:E490">
    <cfRule type="duplicateValues" dxfId="1" priority="12729"/>
  </conditionalFormatting>
  <conditionalFormatting sqref="E491:E492">
    <cfRule type="duplicateValues" dxfId="1" priority="13179"/>
  </conditionalFormatting>
  <conditionalFormatting sqref="E491:E494">
    <cfRule type="duplicateValues" dxfId="1" priority="13176"/>
  </conditionalFormatting>
  <conditionalFormatting sqref="E493:E494">
    <cfRule type="duplicateValues" dxfId="1" priority="13182"/>
  </conditionalFormatting>
  <conditionalFormatting sqref="E495:E496">
    <cfRule type="duplicateValues" dxfId="1" priority="12269"/>
  </conditionalFormatting>
  <conditionalFormatting sqref="E495:E498">
    <cfRule type="duplicateValues" dxfId="1" priority="12266"/>
  </conditionalFormatting>
  <conditionalFormatting sqref="E497:E498">
    <cfRule type="duplicateValues" dxfId="1" priority="12272"/>
  </conditionalFormatting>
  <conditionalFormatting sqref="E500:E503">
    <cfRule type="duplicateValues" dxfId="1" priority="11886"/>
  </conditionalFormatting>
  <conditionalFormatting sqref="E504:E505">
    <cfRule type="duplicateValues" dxfId="1" priority="10912"/>
  </conditionalFormatting>
  <conditionalFormatting sqref="E507:E510">
    <cfRule type="duplicateValues" dxfId="1" priority="10222"/>
  </conditionalFormatting>
  <conditionalFormatting sqref="E511:E512">
    <cfRule type="duplicateValues" dxfId="1" priority="11071"/>
  </conditionalFormatting>
  <conditionalFormatting sqref="E511:E514">
    <cfRule type="duplicateValues" dxfId="1" priority="11068"/>
  </conditionalFormatting>
  <conditionalFormatting sqref="E513:E514">
    <cfRule type="duplicateValues" dxfId="1" priority="11074"/>
  </conditionalFormatting>
  <conditionalFormatting sqref="E515:E516">
    <cfRule type="duplicateValues" dxfId="1" priority="11663"/>
  </conditionalFormatting>
  <conditionalFormatting sqref="E515:E518">
    <cfRule type="duplicateValues" dxfId="1" priority="11660"/>
  </conditionalFormatting>
  <conditionalFormatting sqref="E517:E518">
    <cfRule type="duplicateValues" dxfId="1" priority="11666"/>
  </conditionalFormatting>
  <conditionalFormatting sqref="E520:E521">
    <cfRule type="duplicateValues" dxfId="1" priority="14070"/>
  </conditionalFormatting>
  <conditionalFormatting sqref="E522:E523">
    <cfRule type="duplicateValues" dxfId="1" priority="14072"/>
  </conditionalFormatting>
  <conditionalFormatting sqref="E524:E525">
    <cfRule type="duplicateValues" dxfId="1" priority="14074"/>
  </conditionalFormatting>
  <conditionalFormatting sqref="E526:E527">
    <cfRule type="duplicateValues" dxfId="1" priority="14076"/>
  </conditionalFormatting>
  <conditionalFormatting sqref="E528:E529">
    <cfRule type="duplicateValues" dxfId="1" priority="7008"/>
  </conditionalFormatting>
  <conditionalFormatting sqref="E528:E531">
    <cfRule type="duplicateValues" dxfId="1" priority="7005"/>
  </conditionalFormatting>
  <conditionalFormatting sqref="E530:E531">
    <cfRule type="duplicateValues" dxfId="1" priority="7010"/>
  </conditionalFormatting>
  <conditionalFormatting sqref="E532:E533">
    <cfRule type="duplicateValues" dxfId="1" priority="12546"/>
  </conditionalFormatting>
  <conditionalFormatting sqref="E532:E535">
    <cfRule type="duplicateValues" dxfId="1" priority="12543"/>
  </conditionalFormatting>
  <conditionalFormatting sqref="E534:E535">
    <cfRule type="duplicateValues" dxfId="1" priority="12548"/>
  </conditionalFormatting>
  <conditionalFormatting sqref="E537:E538">
    <cfRule type="duplicateValues" dxfId="1" priority="11209"/>
  </conditionalFormatting>
  <conditionalFormatting sqref="E537:E540">
    <cfRule type="duplicateValues" dxfId="1" priority="11206"/>
  </conditionalFormatting>
  <conditionalFormatting sqref="E539:E540">
    <cfRule type="duplicateValues" dxfId="1" priority="11211"/>
  </conditionalFormatting>
  <conditionalFormatting sqref="E541:E542">
    <cfRule type="duplicateValues" dxfId="1" priority="11684"/>
  </conditionalFormatting>
  <conditionalFormatting sqref="E541:E544">
    <cfRule type="duplicateValues" dxfId="1" priority="11681"/>
  </conditionalFormatting>
  <conditionalFormatting sqref="E543:E544">
    <cfRule type="duplicateValues" dxfId="1" priority="11686"/>
  </conditionalFormatting>
  <conditionalFormatting sqref="E545:E546">
    <cfRule type="duplicateValues" dxfId="1" priority="11760"/>
  </conditionalFormatting>
  <conditionalFormatting sqref="E545:E548">
    <cfRule type="duplicateValues" dxfId="1" priority="11757"/>
  </conditionalFormatting>
  <conditionalFormatting sqref="E547:E548">
    <cfRule type="duplicateValues" dxfId="1" priority="11762"/>
  </conditionalFormatting>
  <conditionalFormatting sqref="E549:E550">
    <cfRule type="duplicateValues" dxfId="1" priority="11577"/>
  </conditionalFormatting>
  <conditionalFormatting sqref="E549:E552">
    <cfRule type="duplicateValues" dxfId="1" priority="11574"/>
  </conditionalFormatting>
  <conditionalFormatting sqref="E551:E552">
    <cfRule type="duplicateValues" dxfId="1" priority="11579"/>
  </conditionalFormatting>
  <conditionalFormatting sqref="E553:E554">
    <cfRule type="duplicateValues" dxfId="1" priority="10356"/>
  </conditionalFormatting>
  <conditionalFormatting sqref="E553:E556">
    <cfRule type="duplicateValues" dxfId="1" priority="10353"/>
  </conditionalFormatting>
  <conditionalFormatting sqref="E555:E556">
    <cfRule type="duplicateValues" dxfId="1" priority="10358"/>
  </conditionalFormatting>
  <conditionalFormatting sqref="E558:E559">
    <cfRule type="duplicateValues" dxfId="1" priority="12154"/>
  </conditionalFormatting>
  <conditionalFormatting sqref="E561:E562">
    <cfRule type="duplicateValues" dxfId="1" priority="13557"/>
  </conditionalFormatting>
  <conditionalFormatting sqref="E564:E565">
    <cfRule type="duplicateValues" dxfId="1" priority="12194"/>
  </conditionalFormatting>
  <conditionalFormatting sqref="E566:E567">
    <cfRule type="duplicateValues" dxfId="1" priority="12200"/>
  </conditionalFormatting>
  <conditionalFormatting sqref="E568:E569">
    <cfRule type="duplicateValues" dxfId="1" priority="12182"/>
  </conditionalFormatting>
  <conditionalFormatting sqref="E570:E571">
    <cfRule type="duplicateValues" dxfId="1" priority="12188"/>
  </conditionalFormatting>
  <conditionalFormatting sqref="E572:E573">
    <cfRule type="duplicateValues" dxfId="1" priority="12206"/>
  </conditionalFormatting>
  <conditionalFormatting sqref="E574:E575">
    <cfRule type="duplicateValues" dxfId="1" priority="12213"/>
  </conditionalFormatting>
  <conditionalFormatting sqref="E577:E578">
    <cfRule type="duplicateValues" dxfId="1" priority="12308"/>
  </conditionalFormatting>
  <conditionalFormatting sqref="E579:E580">
    <cfRule type="duplicateValues" dxfId="1" priority="12315"/>
  </conditionalFormatting>
  <conditionalFormatting sqref="E582:E583">
    <cfRule type="duplicateValues" dxfId="1" priority="12118"/>
  </conditionalFormatting>
  <conditionalFormatting sqref="E584:E585">
    <cfRule type="duplicateValues" dxfId="1" priority="12125"/>
  </conditionalFormatting>
  <conditionalFormatting sqref="E586:E587">
    <cfRule type="duplicateValues" dxfId="1" priority="11631"/>
  </conditionalFormatting>
  <conditionalFormatting sqref="E588:E589">
    <cfRule type="duplicateValues" dxfId="1" priority="11637"/>
  </conditionalFormatting>
  <conditionalFormatting sqref="E590:E591">
    <cfRule type="duplicateValues" dxfId="1" priority="11643"/>
  </conditionalFormatting>
  <conditionalFormatting sqref="E592:E593">
    <cfRule type="duplicateValues" dxfId="1" priority="11649"/>
  </conditionalFormatting>
  <conditionalFormatting sqref="E595:E596">
    <cfRule type="duplicateValues" dxfId="1" priority="10152"/>
  </conditionalFormatting>
  <conditionalFormatting sqref="E597:E598">
    <cfRule type="duplicateValues" dxfId="1" priority="10158"/>
  </conditionalFormatting>
  <conditionalFormatting sqref="E599:E600">
    <cfRule type="duplicateValues" dxfId="1" priority="11856"/>
  </conditionalFormatting>
  <conditionalFormatting sqref="E601:E602">
    <cfRule type="duplicateValues" dxfId="1" priority="11863"/>
  </conditionalFormatting>
  <conditionalFormatting sqref="E604:E605">
    <cfRule type="duplicateValues" dxfId="1" priority="11992"/>
  </conditionalFormatting>
  <conditionalFormatting sqref="E606:E607">
    <cfRule type="duplicateValues" dxfId="1" priority="11999"/>
  </conditionalFormatting>
  <conditionalFormatting sqref="E608:E609">
    <cfRule type="duplicateValues" dxfId="1" priority="10642"/>
  </conditionalFormatting>
  <conditionalFormatting sqref="E610:E611">
    <cfRule type="duplicateValues" dxfId="1" priority="10501"/>
  </conditionalFormatting>
  <conditionalFormatting sqref="E614:E617">
    <cfRule type="duplicateValues" dxfId="1" priority="14252"/>
  </conditionalFormatting>
  <conditionalFormatting sqref="E623:E624">
    <cfRule type="duplicateValues" dxfId="1" priority="14208"/>
  </conditionalFormatting>
  <conditionalFormatting sqref="E625:E626">
    <cfRule type="duplicateValues" dxfId="1" priority="14206"/>
  </conditionalFormatting>
  <conditionalFormatting sqref="E627:E628">
    <cfRule type="duplicateValues" dxfId="1" priority="14204"/>
  </conditionalFormatting>
  <conditionalFormatting sqref="E629:E630">
    <cfRule type="duplicateValues" dxfId="1" priority="13714"/>
  </conditionalFormatting>
  <conditionalFormatting sqref="E632:E635">
    <cfRule type="duplicateValues" dxfId="1" priority="14254"/>
  </conditionalFormatting>
  <conditionalFormatting sqref="E637:E638">
    <cfRule type="duplicateValues" dxfId="1" priority="14200"/>
  </conditionalFormatting>
  <conditionalFormatting sqref="E639:E640">
    <cfRule type="duplicateValues" dxfId="1" priority="14421"/>
  </conditionalFormatting>
  <conditionalFormatting sqref="E641:E642">
    <cfRule type="duplicateValues" dxfId="1" priority="14212"/>
  </conditionalFormatting>
  <conditionalFormatting sqref="E643:E644">
    <cfRule type="duplicateValues" dxfId="1" priority="14357"/>
  </conditionalFormatting>
  <conditionalFormatting sqref="E645:E646">
    <cfRule type="duplicateValues" dxfId="1" priority="14214"/>
  </conditionalFormatting>
  <conditionalFormatting sqref="E647:E648">
    <cfRule type="duplicateValues" dxfId="1" priority="14341"/>
  </conditionalFormatting>
  <conditionalFormatting sqref="E650:E651">
    <cfRule type="duplicateValues" dxfId="1" priority="14321"/>
  </conditionalFormatting>
  <conditionalFormatting sqref="E652:E653">
    <cfRule type="duplicateValues" dxfId="1" priority="12669"/>
  </conditionalFormatting>
  <conditionalFormatting sqref="E656:E657">
    <cfRule type="duplicateValues" dxfId="1" priority="14355"/>
  </conditionalFormatting>
  <conditionalFormatting sqref="E659:E660">
    <cfRule type="duplicateValues" dxfId="1" priority="14351"/>
  </conditionalFormatting>
  <conditionalFormatting sqref="E661:E662">
    <cfRule type="duplicateValues" dxfId="1" priority="14352"/>
  </conditionalFormatting>
  <conditionalFormatting sqref="E663:E664">
    <cfRule type="duplicateValues" dxfId="1" priority="14189"/>
  </conditionalFormatting>
  <conditionalFormatting sqref="E665:E666">
    <cfRule type="duplicateValues" dxfId="1" priority="14308"/>
  </conditionalFormatting>
  <conditionalFormatting sqref="E668:E669">
    <cfRule type="duplicateValues" dxfId="1" priority="13383"/>
  </conditionalFormatting>
  <conditionalFormatting sqref="E673:E674">
    <cfRule type="duplicateValues" dxfId="1" priority="14373"/>
  </conditionalFormatting>
  <conditionalFormatting sqref="E676:E677">
    <cfRule type="duplicateValues" dxfId="1" priority="10455"/>
  </conditionalFormatting>
  <conditionalFormatting sqref="E678:E679">
    <cfRule type="duplicateValues" dxfId="1" priority="10447"/>
  </conditionalFormatting>
  <conditionalFormatting sqref="E680:E683">
    <cfRule type="duplicateValues" dxfId="1" priority="10206"/>
  </conditionalFormatting>
  <conditionalFormatting sqref="E684:E685">
    <cfRule type="duplicateValues" dxfId="1" priority="10433"/>
  </conditionalFormatting>
  <conditionalFormatting sqref="E686:E687">
    <cfRule type="duplicateValues" dxfId="1" priority="10425"/>
  </conditionalFormatting>
  <conditionalFormatting sqref="E688:E689">
    <cfRule type="duplicateValues" dxfId="1" priority="10807"/>
  </conditionalFormatting>
  <conditionalFormatting sqref="E690:E691">
    <cfRule type="duplicateValues" dxfId="1" priority="10815"/>
  </conditionalFormatting>
  <conditionalFormatting sqref="E692:E693">
    <cfRule type="duplicateValues" dxfId="1" priority="10791"/>
  </conditionalFormatting>
  <conditionalFormatting sqref="E694:E695">
    <cfRule type="duplicateValues" dxfId="1" priority="10799"/>
  </conditionalFormatting>
  <conditionalFormatting sqref="E696:E697">
    <cfRule type="duplicateValues" dxfId="1" priority="6989"/>
  </conditionalFormatting>
  <conditionalFormatting sqref="E698:E699">
    <cfRule type="duplicateValues" dxfId="1" priority="6997"/>
  </conditionalFormatting>
  <conditionalFormatting sqref="E700:E701">
    <cfRule type="duplicateValues" dxfId="1" priority="10134"/>
  </conditionalFormatting>
  <conditionalFormatting sqref="E702:E703">
    <cfRule type="duplicateValues" dxfId="1" priority="10126"/>
  </conditionalFormatting>
  <conditionalFormatting sqref="E704:E705">
    <cfRule type="duplicateValues" dxfId="1" priority="12036"/>
  </conditionalFormatting>
  <conditionalFormatting sqref="E706:E707">
    <cfRule type="duplicateValues" dxfId="1" priority="12044"/>
  </conditionalFormatting>
  <conditionalFormatting sqref="E711:E712">
    <cfRule type="duplicateValues" dxfId="1" priority="10330"/>
  </conditionalFormatting>
  <conditionalFormatting sqref="E715:E716">
    <cfRule type="duplicateValues" dxfId="1" priority="11459"/>
  </conditionalFormatting>
  <conditionalFormatting sqref="E717:E718">
    <cfRule type="duplicateValues" dxfId="1" priority="10067"/>
  </conditionalFormatting>
  <conditionalFormatting sqref="E720:E723">
    <cfRule type="duplicateValues" dxfId="1" priority="10254"/>
  </conditionalFormatting>
  <conditionalFormatting sqref="E720:E727">
    <cfRule type="duplicateValues" dxfId="1" priority="10251"/>
  </conditionalFormatting>
  <conditionalFormatting sqref="E724:E727">
    <cfRule type="duplicateValues" dxfId="1" priority="10256"/>
  </conditionalFormatting>
  <conditionalFormatting sqref="E732:E735">
    <cfRule type="duplicateValues" dxfId="1" priority="14169"/>
  </conditionalFormatting>
  <conditionalFormatting sqref="E736:E739">
    <cfRule type="duplicateValues" dxfId="1" priority="14171"/>
  </conditionalFormatting>
  <conditionalFormatting sqref="E740:E741">
    <cfRule type="duplicateValues" dxfId="1" priority="10047"/>
  </conditionalFormatting>
  <conditionalFormatting sqref="E740:E743">
    <cfRule type="duplicateValues" dxfId="1" priority="10044"/>
  </conditionalFormatting>
  <conditionalFormatting sqref="E742:E743">
    <cfRule type="duplicateValues" dxfId="1" priority="10049"/>
  </conditionalFormatting>
  <conditionalFormatting sqref="E745:E746">
    <cfRule type="duplicateValues" dxfId="1" priority="13251"/>
  </conditionalFormatting>
  <conditionalFormatting sqref="E749:E750">
    <cfRule type="duplicateValues" dxfId="1" priority="11365"/>
  </conditionalFormatting>
  <conditionalFormatting sqref="E751:E752">
    <cfRule type="duplicateValues" dxfId="1" priority="12411"/>
  </conditionalFormatting>
  <conditionalFormatting sqref="E753:E754">
    <cfRule type="duplicateValues" dxfId="1" priority="12033"/>
  </conditionalFormatting>
  <conditionalFormatting sqref="E755:E756">
    <cfRule type="duplicateValues" dxfId="1" priority="12303"/>
  </conditionalFormatting>
  <conditionalFormatting sqref="E757:E758">
    <cfRule type="duplicateValues" dxfId="1" priority="10061"/>
  </conditionalFormatting>
  <conditionalFormatting sqref="E759:E760">
    <cfRule type="duplicateValues" dxfId="1" priority="11656"/>
  </conditionalFormatting>
  <conditionalFormatting sqref="E762:E763">
    <cfRule type="duplicateValues" dxfId="1" priority="11217"/>
  </conditionalFormatting>
  <conditionalFormatting sqref="E762:E765">
    <cfRule type="duplicateValues" dxfId="1" priority="11214"/>
  </conditionalFormatting>
  <conditionalFormatting sqref="E764:E765">
    <cfRule type="duplicateValues" dxfId="1" priority="11197"/>
  </conditionalFormatting>
  <conditionalFormatting sqref="E766:E769">
    <cfRule type="duplicateValues" dxfId="1" priority="13616"/>
  </conditionalFormatting>
  <conditionalFormatting sqref="E770:E771">
    <cfRule type="duplicateValues" dxfId="1" priority="13705"/>
  </conditionalFormatting>
  <conditionalFormatting sqref="E772:E773">
    <cfRule type="duplicateValues" dxfId="1" priority="13703"/>
  </conditionalFormatting>
  <conditionalFormatting sqref="E779:E782">
    <cfRule type="duplicateValues" dxfId="1" priority="12455"/>
  </conditionalFormatting>
  <conditionalFormatting sqref="E783:E786">
    <cfRule type="duplicateValues" dxfId="1" priority="12576"/>
  </conditionalFormatting>
  <conditionalFormatting sqref="E787:E790">
    <cfRule type="duplicateValues" dxfId="1" priority="11283"/>
  </conditionalFormatting>
  <conditionalFormatting sqref="E803:E806">
    <cfRule type="duplicateValues" dxfId="1" priority="14311"/>
  </conditionalFormatting>
  <conditionalFormatting sqref="E807:E810">
    <cfRule type="duplicateValues" dxfId="1" priority="14256"/>
  </conditionalFormatting>
  <conditionalFormatting sqref="E823:E826">
    <cfRule type="duplicateValues" dxfId="1" priority="14188"/>
  </conditionalFormatting>
  <conditionalFormatting sqref="E827:E830">
    <cfRule type="duplicateValues" dxfId="1" priority="14224"/>
  </conditionalFormatting>
  <conditionalFormatting sqref="E832:E833">
    <cfRule type="duplicateValues" dxfId="1" priority="10348"/>
  </conditionalFormatting>
  <conditionalFormatting sqref="E832:E835">
    <cfRule type="duplicateValues" dxfId="1" priority="10345"/>
  </conditionalFormatting>
  <conditionalFormatting sqref="E834:E835">
    <cfRule type="duplicateValues" dxfId="1" priority="10350"/>
  </conditionalFormatting>
  <conditionalFormatting sqref="E836:E839">
    <cfRule type="duplicateValues" dxfId="1" priority="10029"/>
  </conditionalFormatting>
  <conditionalFormatting sqref="E840:E843">
    <cfRule type="duplicateValues" dxfId="1" priority="10342"/>
  </conditionalFormatting>
  <conditionalFormatting sqref="E844:E845">
    <cfRule type="duplicateValues" dxfId="1" priority="10944"/>
  </conditionalFormatting>
  <conditionalFormatting sqref="E847:E850">
    <cfRule type="duplicateValues" dxfId="1" priority="10312"/>
  </conditionalFormatting>
  <conditionalFormatting sqref="E851:E854">
    <cfRule type="duplicateValues" dxfId="1" priority="10892"/>
  </conditionalFormatting>
  <conditionalFormatting sqref="E855:E858">
    <cfRule type="duplicateValues" dxfId="1" priority="10637"/>
  </conditionalFormatting>
  <conditionalFormatting sqref="E860:E861">
    <cfRule type="duplicateValues" dxfId="1" priority="14258"/>
  </conditionalFormatting>
  <conditionalFormatting sqref="E862:E863">
    <cfRule type="duplicateValues" dxfId="1" priority="14222"/>
  </conditionalFormatting>
  <conditionalFormatting sqref="E864:E865">
    <cfRule type="duplicateValues" dxfId="1" priority="14260"/>
  </conditionalFormatting>
  <conditionalFormatting sqref="E875:E876">
    <cfRule type="duplicateValues" dxfId="1" priority="14417"/>
  </conditionalFormatting>
  <conditionalFormatting sqref="E886:E887">
    <cfRule type="duplicateValues" dxfId="1" priority="14306"/>
  </conditionalFormatting>
  <conditionalFormatting sqref="E890:E891">
    <cfRule type="duplicateValues" dxfId="1" priority="14423"/>
  </conditionalFormatting>
  <conditionalFormatting sqref="E892:E893">
    <cfRule type="duplicateValues" dxfId="1" priority="10474"/>
  </conditionalFormatting>
  <conditionalFormatting sqref="E899:E901">
    <cfRule type="duplicateValues" dxfId="1" priority="14429"/>
  </conditionalFormatting>
  <conditionalFormatting sqref="E905:E906">
    <cfRule type="duplicateValues" dxfId="1" priority="14412"/>
  </conditionalFormatting>
  <conditionalFormatting sqref="E910:E911">
    <cfRule type="duplicateValues" dxfId="1" priority="10625"/>
  </conditionalFormatting>
  <conditionalFormatting sqref="E912:E913">
    <cfRule type="duplicateValues" dxfId="1" priority="10619"/>
  </conditionalFormatting>
  <conditionalFormatting sqref="E914:E915">
    <cfRule type="duplicateValues" dxfId="1" priority="14097"/>
  </conditionalFormatting>
  <conditionalFormatting sqref="E916:E917">
    <cfRule type="duplicateValues" dxfId="1" priority="13717"/>
  </conditionalFormatting>
  <conditionalFormatting sqref="E918:E919">
    <cfRule type="duplicateValues" dxfId="1" priority="14202"/>
  </conditionalFormatting>
  <conditionalFormatting sqref="E920:E921">
    <cfRule type="duplicateValues" dxfId="1" priority="11120"/>
  </conditionalFormatting>
  <conditionalFormatting sqref="E923:E924">
    <cfRule type="duplicateValues" dxfId="1" priority="10613"/>
  </conditionalFormatting>
  <conditionalFormatting sqref="E925:E926">
    <cfRule type="duplicateValues" dxfId="1" priority="14419"/>
  </conditionalFormatting>
  <conditionalFormatting sqref="E930:E931">
    <cfRule type="duplicateValues" dxfId="1" priority="14426"/>
  </conditionalFormatting>
  <conditionalFormatting sqref="E934:E935">
    <cfRule type="duplicateValues" dxfId="1" priority="14415"/>
  </conditionalFormatting>
  <conditionalFormatting sqref="E937:E938">
    <cfRule type="duplicateValues" dxfId="1" priority="10826"/>
  </conditionalFormatting>
  <conditionalFormatting sqref="E939:E940">
    <cfRule type="duplicateValues" dxfId="1" priority="14327"/>
  </conditionalFormatting>
  <conditionalFormatting sqref="E941:E942">
    <cfRule type="duplicateValues" dxfId="1" priority="14086"/>
  </conditionalFormatting>
  <conditionalFormatting sqref="E943:E944">
    <cfRule type="duplicateValues" dxfId="1" priority="14365"/>
  </conditionalFormatting>
  <conditionalFormatting sqref="E945:E946">
    <cfRule type="duplicateValues" dxfId="1" priority="14276"/>
  </conditionalFormatting>
  <conditionalFormatting sqref="E952:E955">
    <cfRule type="duplicateValues" dxfId="1" priority="11426"/>
  </conditionalFormatting>
  <conditionalFormatting sqref="E956:E959">
    <cfRule type="duplicateValues" dxfId="1" priority="11713"/>
  </conditionalFormatting>
  <conditionalFormatting sqref="E961:E962">
    <cfRule type="duplicateValues" dxfId="1" priority="13651"/>
  </conditionalFormatting>
  <conditionalFormatting sqref="E963:E964">
    <cfRule type="duplicateValues" dxfId="1" priority="13222"/>
  </conditionalFormatting>
  <conditionalFormatting sqref="E965:E966">
    <cfRule type="duplicateValues" dxfId="1" priority="13327"/>
  </conditionalFormatting>
  <conditionalFormatting sqref="E967:E968">
    <cfRule type="duplicateValues" dxfId="1" priority="13834"/>
  </conditionalFormatting>
  <conditionalFormatting sqref="E969:E970">
    <cfRule type="duplicateValues" dxfId="1" priority="13902"/>
  </conditionalFormatting>
  <conditionalFormatting sqref="E972:E975">
    <cfRule type="duplicateValues" dxfId="1" priority="14084"/>
  </conditionalFormatting>
  <conditionalFormatting sqref="E976:E979">
    <cfRule type="duplicateValues" dxfId="1" priority="14398"/>
  </conditionalFormatting>
  <conditionalFormatting sqref="E984:E987">
    <cfRule type="duplicateValues" dxfId="1" priority="14420"/>
  </conditionalFormatting>
  <conditionalFormatting sqref="E993:E996">
    <cfRule type="duplicateValues" dxfId="1" priority="14414"/>
  </conditionalFormatting>
  <conditionalFormatting sqref="E998:E1001">
    <cfRule type="duplicateValues" dxfId="1" priority="12767"/>
  </conditionalFormatting>
  <conditionalFormatting sqref="E1002:E1005">
    <cfRule type="duplicateValues" dxfId="1" priority="11453"/>
  </conditionalFormatting>
  <conditionalFormatting sqref="E1006:E1009">
    <cfRule type="duplicateValues" dxfId="1" priority="10766"/>
  </conditionalFormatting>
  <conditionalFormatting sqref="E1010:E1013">
    <cfRule type="duplicateValues" dxfId="1" priority="10742"/>
  </conditionalFormatting>
  <conditionalFormatting sqref="E1014:E1015">
    <cfRule type="duplicateValues" dxfId="1" priority="11775"/>
  </conditionalFormatting>
  <conditionalFormatting sqref="E1014:E1017">
    <cfRule type="duplicateValues" dxfId="1" priority="11773"/>
  </conditionalFormatting>
  <conditionalFormatting sqref="E1016:E1017">
    <cfRule type="duplicateValues" dxfId="1" priority="11777"/>
  </conditionalFormatting>
  <conditionalFormatting sqref="E1018:E1021">
    <cfRule type="duplicateValues" dxfId="1" priority="11788"/>
  </conditionalFormatting>
  <conditionalFormatting sqref="E1022:E1025">
    <cfRule type="duplicateValues" dxfId="1" priority="12497"/>
  </conditionalFormatting>
  <conditionalFormatting sqref="E1027:E1030">
    <cfRule type="duplicateValues" dxfId="1" priority="14157"/>
  </conditionalFormatting>
  <conditionalFormatting sqref="E1032:E1035">
    <cfRule type="duplicateValues" dxfId="1" priority="14413"/>
  </conditionalFormatting>
  <conditionalFormatting sqref="E1036:E1039">
    <cfRule type="duplicateValues" dxfId="1" priority="14196"/>
  </conditionalFormatting>
  <conditionalFormatting sqref="E1040:E1043">
    <cfRule type="duplicateValues" dxfId="1" priority="14198"/>
  </conditionalFormatting>
  <conditionalFormatting sqref="E1061:E1062">
    <cfRule type="duplicateValues" dxfId="1" priority="13660"/>
  </conditionalFormatting>
  <conditionalFormatting sqref="E1063:E1064">
    <cfRule type="duplicateValues" dxfId="1" priority="13662"/>
  </conditionalFormatting>
  <conditionalFormatting sqref="E1066:E1067">
    <cfRule type="duplicateValues" dxfId="1" priority="11966"/>
  </conditionalFormatting>
  <conditionalFormatting sqref="E1066:E1069">
    <cfRule type="duplicateValues" dxfId="1" priority="11961"/>
  </conditionalFormatting>
  <conditionalFormatting sqref="E1068:E1069">
    <cfRule type="duplicateValues" dxfId="1" priority="11964"/>
  </conditionalFormatting>
  <conditionalFormatting sqref="E1070:E1071">
    <cfRule type="duplicateValues" dxfId="1" priority="11387"/>
  </conditionalFormatting>
  <conditionalFormatting sqref="E1070:E1073">
    <cfRule type="duplicateValues" dxfId="1" priority="11384"/>
  </conditionalFormatting>
  <conditionalFormatting sqref="E1072:E1073">
    <cfRule type="duplicateValues" dxfId="1" priority="11389"/>
  </conditionalFormatting>
  <conditionalFormatting sqref="E1074:E1075">
    <cfRule type="duplicateValues" dxfId="1" priority="14396"/>
  </conditionalFormatting>
  <conditionalFormatting sqref="E1078:E1081">
    <cfRule type="duplicateValues" dxfId="1" priority="14318"/>
  </conditionalFormatting>
  <conditionalFormatting sqref="E1082:E1083">
    <cfRule type="duplicateValues" dxfId="1" priority="14159"/>
  </conditionalFormatting>
  <conditionalFormatting sqref="E1084:E1085">
    <cfRule type="duplicateValues" dxfId="1" priority="14161"/>
  </conditionalFormatting>
  <conditionalFormatting sqref="E1086:E1087">
    <cfRule type="duplicateValues" dxfId="1" priority="14375"/>
  </conditionalFormatting>
  <conditionalFormatting sqref="E1088:E1089">
    <cfRule type="duplicateValues" dxfId="1" priority="14302"/>
  </conditionalFormatting>
  <conditionalFormatting sqref="E1095:E1096">
    <cfRule type="duplicateValues" dxfId="1" priority="12710"/>
  </conditionalFormatting>
  <conditionalFormatting sqref="E1097:E1100">
    <cfRule type="duplicateValues" dxfId="1" priority="14310"/>
  </conditionalFormatting>
  <conditionalFormatting sqref="E1101:E1104">
    <cfRule type="duplicateValues" dxfId="1" priority="13542"/>
  </conditionalFormatting>
  <conditionalFormatting sqref="E1105:E1108">
    <cfRule type="duplicateValues" dxfId="1" priority="14359"/>
  </conditionalFormatting>
  <conditionalFormatting sqref="E1109:E1112">
    <cfRule type="duplicateValues" dxfId="1" priority="14035"/>
  </conditionalFormatting>
  <conditionalFormatting sqref="E1118:E1119">
    <cfRule type="duplicateValues" dxfId="1" priority="11423"/>
  </conditionalFormatting>
  <conditionalFormatting sqref="E1120:E1121">
    <cfRule type="duplicateValues" dxfId="1" priority="11371"/>
  </conditionalFormatting>
  <conditionalFormatting sqref="E1122:E1123">
    <cfRule type="duplicateValues" dxfId="1" priority="14335"/>
  </conditionalFormatting>
  <conditionalFormatting sqref="E1124:E1125">
    <cfRule type="duplicateValues" dxfId="1" priority="11050"/>
  </conditionalFormatting>
  <conditionalFormatting sqref="E1126:E1127">
    <cfRule type="duplicateValues" dxfId="1" priority="13844"/>
  </conditionalFormatting>
  <conditionalFormatting sqref="E1128:E1129">
    <cfRule type="duplicateValues" dxfId="1" priority="14288"/>
  </conditionalFormatting>
  <conditionalFormatting sqref="E1130:E1131">
    <cfRule type="duplicateValues" dxfId="1" priority="14418"/>
  </conditionalFormatting>
  <conditionalFormatting sqref="E1132:E1133">
    <cfRule type="duplicateValues" dxfId="1" priority="10055"/>
  </conditionalFormatting>
  <conditionalFormatting sqref="E1140:E1141">
    <cfRule type="duplicateValues" dxfId="1" priority="14055"/>
  </conditionalFormatting>
  <conditionalFormatting sqref="E1142:E1143">
    <cfRule type="duplicateValues" dxfId="1" priority="10886"/>
  </conditionalFormatting>
  <conditionalFormatting sqref="E1145:E1146">
    <cfRule type="duplicateValues" dxfId="1" priority="12294"/>
  </conditionalFormatting>
  <conditionalFormatting sqref="E1145:E1147">
    <cfRule type="duplicateValues" dxfId="1" priority="12291"/>
  </conditionalFormatting>
  <conditionalFormatting sqref="E1148:E1149">
    <cfRule type="duplicateValues" dxfId="1" priority="11794"/>
  </conditionalFormatting>
  <conditionalFormatting sqref="E1150:E1151">
    <cfRule type="duplicateValues" dxfId="1" priority="11904"/>
  </conditionalFormatting>
  <conditionalFormatting sqref="E1152:E1153">
    <cfRule type="duplicateValues" dxfId="1" priority="11534"/>
  </conditionalFormatting>
  <conditionalFormatting sqref="E1154:E1155">
    <cfRule type="duplicateValues" dxfId="1" priority="10023"/>
  </conditionalFormatting>
  <conditionalFormatting sqref="E1156:E1157">
    <cfRule type="duplicateValues" dxfId="1" priority="10193"/>
  </conditionalFormatting>
  <conditionalFormatting sqref="E1158:E1159">
    <cfRule type="duplicateValues" dxfId="1" priority="6956"/>
  </conditionalFormatting>
  <conditionalFormatting sqref="E1160:E1161">
    <cfRule type="duplicateValues" dxfId="1" priority="6962"/>
  </conditionalFormatting>
  <conditionalFormatting sqref="E1162:E1163">
    <cfRule type="duplicateValues" dxfId="1" priority="10073"/>
  </conditionalFormatting>
  <conditionalFormatting sqref="E1169:E1170">
    <cfRule type="duplicateValues" dxfId="1" priority="13765"/>
  </conditionalFormatting>
  <conditionalFormatting sqref="E1171:E1172">
    <cfRule type="duplicateValues" dxfId="1" priority="13755"/>
  </conditionalFormatting>
  <conditionalFormatting sqref="E1174:E1177">
    <cfRule type="duplicateValues" dxfId="1" priority="11409"/>
  </conditionalFormatting>
  <conditionalFormatting sqref="E1178:E1179">
    <cfRule type="duplicateValues" dxfId="1" priority="11727"/>
  </conditionalFormatting>
  <conditionalFormatting sqref="E1183:E1184">
    <cfRule type="duplicateValues" dxfId="1" priority="11754"/>
  </conditionalFormatting>
  <conditionalFormatting sqref="E1185:E1186">
    <cfRule type="duplicateValues" dxfId="1" priority="11508"/>
  </conditionalFormatting>
  <conditionalFormatting sqref="E1187:E1188">
    <cfRule type="duplicateValues" dxfId="1" priority="11502"/>
  </conditionalFormatting>
  <conditionalFormatting sqref="E1190:E1191">
    <cfRule type="duplicateValues" dxfId="1" priority="11514"/>
  </conditionalFormatting>
  <conditionalFormatting sqref="E1193:E1196">
    <cfRule type="duplicateValues" dxfId="1" priority="11273"/>
  </conditionalFormatting>
  <conditionalFormatting sqref="E1197:E1200">
    <cfRule type="duplicateValues" dxfId="1" priority="10718"/>
  </conditionalFormatting>
  <conditionalFormatting sqref="E1201:E1204">
    <cfRule type="duplicateValues" dxfId="1" priority="10697"/>
  </conditionalFormatting>
  <conditionalFormatting sqref="E1205:E1208">
    <cfRule type="duplicateValues" dxfId="1" priority="10990"/>
  </conditionalFormatting>
  <conditionalFormatting sqref="E1209:E1212">
    <cfRule type="duplicateValues" dxfId="1" priority="11241"/>
  </conditionalFormatting>
  <conditionalFormatting sqref="E1213:E1216">
    <cfRule type="duplicateValues" dxfId="1" priority="10099"/>
  </conditionalFormatting>
  <conditionalFormatting sqref="E1222:E1225">
    <cfRule type="duplicateValues" dxfId="1" priority="14270"/>
  </conditionalFormatting>
  <conditionalFormatting sqref="E1227:E1230">
    <cfRule type="duplicateValues" dxfId="1" priority="14246"/>
  </conditionalFormatting>
  <conditionalFormatting sqref="E1231:E1234">
    <cfRule type="duplicateValues" dxfId="1" priority="13786"/>
  </conditionalFormatting>
  <conditionalFormatting sqref="E1235:E1238">
    <cfRule type="duplicateValues" dxfId="1" priority="14242"/>
  </conditionalFormatting>
  <conditionalFormatting sqref="E1240:E1243">
    <cfRule type="duplicateValues" dxfId="1" priority="14216"/>
  </conditionalFormatting>
  <conditionalFormatting sqref="E1244:E1247">
    <cfRule type="duplicateValues" dxfId="1" priority="14304"/>
  </conditionalFormatting>
  <conditionalFormatting sqref="E1248:E1249">
    <cfRule type="duplicateValues" dxfId="1" priority="11972"/>
  </conditionalFormatting>
  <conditionalFormatting sqref="E1250:E1251">
    <cfRule type="duplicateValues" dxfId="1" priority="14194"/>
  </conditionalFormatting>
  <conditionalFormatting sqref="E1257:E1260">
    <cfRule type="duplicateValues" dxfId="1" priority="14404"/>
  </conditionalFormatting>
  <conditionalFormatting sqref="E1262:E1265">
    <cfRule type="duplicateValues" dxfId="1" priority="13856"/>
  </conditionalFormatting>
  <conditionalFormatting sqref="E1266:E1269">
    <cfRule type="duplicateValues" dxfId="1" priority="12278"/>
  </conditionalFormatting>
  <conditionalFormatting sqref="E1270:E1273">
    <cfRule type="duplicateValues" dxfId="1" priority="11938"/>
  </conditionalFormatting>
  <conditionalFormatting sqref="E1274:E1277">
    <cfRule type="duplicateValues" dxfId="1" priority="12368"/>
  </conditionalFormatting>
  <conditionalFormatting sqref="E1278:E1281">
    <cfRule type="duplicateValues" dxfId="1" priority="11299"/>
  </conditionalFormatting>
  <conditionalFormatting sqref="E1300:E1301">
    <cfRule type="duplicateValues" dxfId="1" priority="10549"/>
  </conditionalFormatting>
  <conditionalFormatting sqref="E1302:E1303">
    <cfRule type="duplicateValues" dxfId="1" priority="14408"/>
  </conditionalFormatting>
  <conditionalFormatting sqref="E1304:E1305">
    <cfRule type="duplicateValues" dxfId="1" priority="14410"/>
  </conditionalFormatting>
  <conditionalFormatting sqref="E1306:E1307">
    <cfRule type="duplicateValues" dxfId="1" priority="14406"/>
  </conditionalFormatting>
  <conditionalFormatting sqref="E1311:E1312">
    <cfRule type="duplicateValues" dxfId="1" priority="14066"/>
  </conditionalFormatting>
  <conditionalFormatting sqref="E1316:E1317">
    <cfRule type="duplicateValues" dxfId="1" priority="10958"/>
  </conditionalFormatting>
  <conditionalFormatting sqref="E1320:E1321">
    <cfRule type="duplicateValues" dxfId="1" priority="10758"/>
  </conditionalFormatting>
  <conditionalFormatting sqref="E1320:E1323">
    <cfRule type="duplicateValues" dxfId="1" priority="10755"/>
  </conditionalFormatting>
  <conditionalFormatting sqref="E1322:E1323">
    <cfRule type="duplicateValues" dxfId="1" priority="10760"/>
  </conditionalFormatting>
  <conditionalFormatting sqref="E1324:E1325">
    <cfRule type="duplicateValues" dxfId="1" priority="10950"/>
  </conditionalFormatting>
  <conditionalFormatting sqref="E1327:E1328">
    <cfRule type="duplicateValues" dxfId="1" priority="10406"/>
  </conditionalFormatting>
  <conditionalFormatting sqref="E1329:E1330">
    <cfRule type="duplicateValues" dxfId="1" priority="10412"/>
  </conditionalFormatting>
  <conditionalFormatting sqref="E1331:E1332">
    <cfRule type="duplicateValues" dxfId="1" priority="10844"/>
  </conditionalFormatting>
  <conditionalFormatting sqref="E1333:E1334">
    <cfRule type="duplicateValues" dxfId="1" priority="10850"/>
  </conditionalFormatting>
  <conditionalFormatting sqref="E1335:E1336">
    <cfRule type="duplicateValues" dxfId="1" priority="10093"/>
  </conditionalFormatting>
  <conditionalFormatting sqref="E1337:E1338">
    <cfRule type="duplicateValues" dxfId="1" priority="10087"/>
  </conditionalFormatting>
  <conditionalFormatting sqref="E1339:E1340">
    <cfRule type="duplicateValues" dxfId="1" priority="10868"/>
  </conditionalFormatting>
  <conditionalFormatting sqref="E1341:E1342">
    <cfRule type="duplicateValues" dxfId="1" priority="10874"/>
  </conditionalFormatting>
  <conditionalFormatting sqref="E1343:E1344">
    <cfRule type="duplicateValues" dxfId="1" priority="12284"/>
  </conditionalFormatting>
  <conditionalFormatting sqref="E1345:E1346">
    <cfRule type="duplicateValues" dxfId="1" priority="9488"/>
  </conditionalFormatting>
  <conditionalFormatting sqref="E1347:E1348">
    <cfRule type="duplicateValues" dxfId="1" priority="12377"/>
  </conditionalFormatting>
  <conditionalFormatting sqref="E1349:E1350">
    <cfRule type="duplicateValues" dxfId="1" priority="11316"/>
  </conditionalFormatting>
  <conditionalFormatting sqref="E1351:E1352">
    <cfRule type="duplicateValues" dxfId="1" priority="11322"/>
  </conditionalFormatting>
  <conditionalFormatting sqref="E1353:E1354">
    <cfRule type="duplicateValues" dxfId="1" priority="10856"/>
  </conditionalFormatting>
  <conditionalFormatting sqref="E1355:E1356">
    <cfRule type="duplicateValues" dxfId="1" priority="10862"/>
  </conditionalFormatting>
  <conditionalFormatting sqref="E1358:E1361">
    <cfRule type="duplicateValues" dxfId="1" priority="14402"/>
  </conditionalFormatting>
  <conditionalFormatting sqref="E1373:E1374">
    <cfRule type="duplicateValues" dxfId="1" priority="12102"/>
  </conditionalFormatting>
  <conditionalFormatting sqref="E1373:E1377">
    <cfRule type="duplicateValues" dxfId="1" priority="12099"/>
  </conditionalFormatting>
  <conditionalFormatting sqref="E1375:E1376">
    <cfRule type="duplicateValues" dxfId="1" priority="12104"/>
  </conditionalFormatting>
  <conditionalFormatting sqref="E1378:E1379">
    <cfRule type="duplicateValues" dxfId="1" priority="11183"/>
  </conditionalFormatting>
  <conditionalFormatting sqref="E1378:E1380">
    <cfRule type="duplicateValues" dxfId="1" priority="11180"/>
  </conditionalFormatting>
  <conditionalFormatting sqref="E1381:E1382">
    <cfRule type="duplicateValues" dxfId="1" priority="11170"/>
  </conditionalFormatting>
  <conditionalFormatting sqref="E1383:E1384">
    <cfRule type="duplicateValues" dxfId="1" priority="11176"/>
  </conditionalFormatting>
  <conditionalFormatting sqref="E1385:E1386">
    <cfRule type="duplicateValues" dxfId="1" priority="12329"/>
  </conditionalFormatting>
  <conditionalFormatting sqref="E1385:E1387">
    <cfRule type="duplicateValues" dxfId="1" priority="12326"/>
  </conditionalFormatting>
  <conditionalFormatting sqref="E1388:E1389">
    <cfRule type="duplicateValues" dxfId="1" priority="13949"/>
  </conditionalFormatting>
  <conditionalFormatting sqref="E1390:E1391">
    <cfRule type="duplicateValues" dxfId="1" priority="13951"/>
  </conditionalFormatting>
  <conditionalFormatting sqref="E1392:E1393">
    <cfRule type="duplicateValues" dxfId="1" priority="13954"/>
  </conditionalFormatting>
  <conditionalFormatting sqref="E1394:E1395">
    <cfRule type="duplicateValues" dxfId="1" priority="13956"/>
  </conditionalFormatting>
  <conditionalFormatting sqref="E1396:E1397">
    <cfRule type="duplicateValues" dxfId="1" priority="13851"/>
  </conditionalFormatting>
  <conditionalFormatting sqref="E1398:E1399">
    <cfRule type="duplicateValues" dxfId="1" priority="13890"/>
  </conditionalFormatting>
  <conditionalFormatting sqref="E1400:E1401">
    <cfRule type="duplicateValues" dxfId="1" priority="13924"/>
  </conditionalFormatting>
  <conditionalFormatting sqref="E1402:E1403">
    <cfRule type="duplicateValues" dxfId="1" priority="13926"/>
  </conditionalFormatting>
  <conditionalFormatting sqref="E1404:E1405">
    <cfRule type="duplicateValues" dxfId="1" priority="13929"/>
  </conditionalFormatting>
  <conditionalFormatting sqref="E1406:E1407">
    <cfRule type="duplicateValues" dxfId="1" priority="13931"/>
  </conditionalFormatting>
  <conditionalFormatting sqref="E1408:E1409">
    <cfRule type="duplicateValues" dxfId="1" priority="13723"/>
  </conditionalFormatting>
  <conditionalFormatting sqref="E1410:E1411">
    <cfRule type="duplicateValues" dxfId="1" priority="13725"/>
  </conditionalFormatting>
  <conditionalFormatting sqref="E1413:E1414">
    <cfRule type="duplicateValues" dxfId="1" priority="10240"/>
  </conditionalFormatting>
  <conditionalFormatting sqref="E1415:E1416">
    <cfRule type="duplicateValues" dxfId="1" priority="11987"/>
  </conditionalFormatting>
  <conditionalFormatting sqref="E1417:E1418">
    <cfRule type="duplicateValues" dxfId="1" priority="12606"/>
  </conditionalFormatting>
  <conditionalFormatting sqref="E1419:E1420">
    <cfRule type="duplicateValues" dxfId="1" priority="11305"/>
  </conditionalFormatting>
  <conditionalFormatting sqref="E1421:E1422">
    <cfRule type="duplicateValues" dxfId="1" priority="12751"/>
  </conditionalFormatting>
  <conditionalFormatting sqref="E1423:E1424">
    <cfRule type="duplicateValues" dxfId="1" priority="14210"/>
  </conditionalFormatting>
  <conditionalFormatting sqref="E1426:E1427">
    <cfRule type="duplicateValues" dxfId="1" priority="10938"/>
  </conditionalFormatting>
  <conditionalFormatting sqref="E1428:E1431">
    <cfRule type="duplicateValues" dxfId="1" priority="10930"/>
  </conditionalFormatting>
  <conditionalFormatting sqref="E1432:E1433">
    <cfRule type="duplicateValues" dxfId="1" priority="11201"/>
  </conditionalFormatting>
  <conditionalFormatting sqref="E1434:E1435">
    <cfRule type="duplicateValues" dxfId="1" priority="10039"/>
  </conditionalFormatting>
  <conditionalFormatting sqref="E1437:E1438">
    <cfRule type="duplicateValues" dxfId="1" priority="13230"/>
  </conditionalFormatting>
  <conditionalFormatting sqref="E1439:E1440">
    <cfRule type="duplicateValues" dxfId="1" priority="11108"/>
  </conditionalFormatting>
  <conditionalFormatting sqref="E1442:E1443">
    <cfRule type="duplicateValues" dxfId="1" priority="13353"/>
  </conditionalFormatting>
  <conditionalFormatting sqref="E1444:E1445">
    <cfRule type="duplicateValues" dxfId="1" priority="13665"/>
  </conditionalFormatting>
  <conditionalFormatting sqref="E1446:E1447">
    <cfRule type="duplicateValues" dxfId="1" priority="14117"/>
  </conditionalFormatting>
  <conditionalFormatting sqref="E1448:E1449">
    <cfRule type="duplicateValues" dxfId="1" priority="14088"/>
  </conditionalFormatting>
  <conditionalFormatting sqref="E1450:E1451">
    <cfRule type="duplicateValues" dxfId="1" priority="13692"/>
  </conditionalFormatting>
  <conditionalFormatting sqref="E1453:E1454">
    <cfRule type="duplicateValues" dxfId="1" priority="13982"/>
  </conditionalFormatting>
  <conditionalFormatting sqref="E1455:E1456">
    <cfRule type="duplicateValues" dxfId="1" priority="13979"/>
  </conditionalFormatting>
  <conditionalFormatting sqref="E1457:E1458">
    <cfRule type="duplicateValues" dxfId="1" priority="14013"/>
  </conditionalFormatting>
  <conditionalFormatting sqref="E1459:E1460">
    <cfRule type="duplicateValues" dxfId="1" priority="14008"/>
  </conditionalFormatting>
  <conditionalFormatting sqref="E1461:E1462">
    <cfRule type="duplicateValues" dxfId="1" priority="13972"/>
  </conditionalFormatting>
  <conditionalFormatting sqref="E1463:E1464">
    <cfRule type="duplicateValues" dxfId="1" priority="14011"/>
  </conditionalFormatting>
  <conditionalFormatting sqref="E1465:E1466">
    <cfRule type="duplicateValues" dxfId="1" priority="13921"/>
  </conditionalFormatting>
  <conditionalFormatting sqref="E1467:E1468">
    <cfRule type="duplicateValues" dxfId="1" priority="14045"/>
  </conditionalFormatting>
  <conditionalFormatting sqref="E1469:E1470">
    <cfRule type="duplicateValues" dxfId="1" priority="14047"/>
  </conditionalFormatting>
  <conditionalFormatting sqref="E1472:E1473">
    <cfRule type="duplicateValues" dxfId="1" priority="12735"/>
  </conditionalFormatting>
  <conditionalFormatting sqref="E1472:E1475">
    <cfRule type="duplicateValues" dxfId="1" priority="12731"/>
  </conditionalFormatting>
  <conditionalFormatting sqref="E1474:E1475">
    <cfRule type="duplicateValues" dxfId="1" priority="12733"/>
  </conditionalFormatting>
  <conditionalFormatting sqref="E1476:E1477">
    <cfRule type="duplicateValues" dxfId="1" priority="11081"/>
  </conditionalFormatting>
  <conditionalFormatting sqref="E1476:E1479">
    <cfRule type="duplicateValues" dxfId="1" priority="11077"/>
  </conditionalFormatting>
  <conditionalFormatting sqref="E1478:E1479">
    <cfRule type="duplicateValues" dxfId="1" priority="11079"/>
  </conditionalFormatting>
  <conditionalFormatting sqref="E1480:E1481">
    <cfRule type="duplicateValues" dxfId="1" priority="11446"/>
  </conditionalFormatting>
  <conditionalFormatting sqref="E1480:E1483">
    <cfRule type="duplicateValues" dxfId="1" priority="11442"/>
  </conditionalFormatting>
  <conditionalFormatting sqref="E1482:E1483">
    <cfRule type="duplicateValues" dxfId="1" priority="11444"/>
  </conditionalFormatting>
  <conditionalFormatting sqref="E1484:E1485">
    <cfRule type="duplicateValues" dxfId="1" priority="13644"/>
  </conditionalFormatting>
  <conditionalFormatting sqref="E1486:E1487">
    <cfRule type="duplicateValues" dxfId="1" priority="13642"/>
  </conditionalFormatting>
  <conditionalFormatting sqref="E1488:E1489">
    <cfRule type="duplicateValues" dxfId="1" priority="11063"/>
  </conditionalFormatting>
  <conditionalFormatting sqref="E1488:E1491">
    <cfRule type="duplicateValues" dxfId="1" priority="11061"/>
  </conditionalFormatting>
  <conditionalFormatting sqref="E1490:E1491">
    <cfRule type="duplicateValues" dxfId="1" priority="11058"/>
  </conditionalFormatting>
  <conditionalFormatting sqref="E1492:E1493">
    <cfRule type="duplicateValues" dxfId="1" priority="13452"/>
  </conditionalFormatting>
  <conditionalFormatting sqref="E1492:E1495">
    <cfRule type="duplicateValues" dxfId="1" priority="13448"/>
  </conditionalFormatting>
  <conditionalFormatting sqref="E1494:E1495">
    <cfRule type="duplicateValues" dxfId="1" priority="13450"/>
  </conditionalFormatting>
  <conditionalFormatting sqref="E1496:E1497">
    <cfRule type="duplicateValues" dxfId="1" priority="13874"/>
  </conditionalFormatting>
  <conditionalFormatting sqref="E1498:E1499">
    <cfRule type="duplicateValues" dxfId="1" priority="13872"/>
  </conditionalFormatting>
  <conditionalFormatting sqref="E1501:E1502">
    <cfRule type="duplicateValues" dxfId="1" priority="11135"/>
  </conditionalFormatting>
  <conditionalFormatting sqref="E1501:E1504">
    <cfRule type="duplicateValues" dxfId="1" priority="11131"/>
  </conditionalFormatting>
  <conditionalFormatting sqref="E1503:E1504">
    <cfRule type="duplicateValues" dxfId="1" priority="11133"/>
  </conditionalFormatting>
  <conditionalFormatting sqref="E1505:E1506">
    <cfRule type="duplicateValues" dxfId="1" priority="13318"/>
  </conditionalFormatting>
  <conditionalFormatting sqref="E1505:E1508">
    <cfRule type="duplicateValues" dxfId="1" priority="13316"/>
  </conditionalFormatting>
  <conditionalFormatting sqref="E1507:E1508">
    <cfRule type="duplicateValues" dxfId="1" priority="13320"/>
  </conditionalFormatting>
  <conditionalFormatting sqref="E1509:E1510">
    <cfRule type="duplicateValues" dxfId="1" priority="14000"/>
  </conditionalFormatting>
  <conditionalFormatting sqref="E1511:E1512">
    <cfRule type="duplicateValues" dxfId="1" priority="14002"/>
  </conditionalFormatting>
  <conditionalFormatting sqref="E1513:E1514">
    <cfRule type="duplicateValues" dxfId="1" priority="13187"/>
  </conditionalFormatting>
  <conditionalFormatting sqref="E1513:E1516">
    <cfRule type="duplicateValues" dxfId="1" priority="13185"/>
  </conditionalFormatting>
  <conditionalFormatting sqref="E1515:E1516">
    <cfRule type="duplicateValues" dxfId="1" priority="13189"/>
  </conditionalFormatting>
  <conditionalFormatting sqref="E1517:E1518">
    <cfRule type="duplicateValues" dxfId="1" priority="13436"/>
  </conditionalFormatting>
  <conditionalFormatting sqref="E1517:E1520">
    <cfRule type="duplicateValues" dxfId="1" priority="13434"/>
  </conditionalFormatting>
  <conditionalFormatting sqref="E1519:E1520">
    <cfRule type="duplicateValues" dxfId="1" priority="13438"/>
  </conditionalFormatting>
  <conditionalFormatting sqref="E1522:E1525">
    <cfRule type="duplicateValues" dxfId="1" priority="13498"/>
  </conditionalFormatting>
  <conditionalFormatting sqref="E1527:E1530">
    <cfRule type="duplicateValues" dxfId="1" priority="13561"/>
  </conditionalFormatting>
  <conditionalFormatting sqref="E1539:E1542">
    <cfRule type="duplicateValues" dxfId="1" priority="13596"/>
  </conditionalFormatting>
  <conditionalFormatting sqref="E1544:E1545">
    <cfRule type="duplicateValues" dxfId="1" priority="11743"/>
  </conditionalFormatting>
  <conditionalFormatting sqref="E1546:E1547">
    <cfRule type="duplicateValues" dxfId="1" priority="11735"/>
  </conditionalFormatting>
  <conditionalFormatting sqref="E1548:E1549">
    <cfRule type="duplicateValues" dxfId="1" priority="12231"/>
  </conditionalFormatting>
  <conditionalFormatting sqref="E1551:E1552">
    <cfRule type="duplicateValues" dxfId="1" priority="11155"/>
  </conditionalFormatting>
  <conditionalFormatting sqref="E1553:E1554">
    <cfRule type="duplicateValues" dxfId="1" priority="12631"/>
  </conditionalFormatting>
  <conditionalFormatting sqref="E1555:E1556">
    <cfRule type="duplicateValues" dxfId="1" priority="10588"/>
  </conditionalFormatting>
  <conditionalFormatting sqref="E1557:E1558">
    <cfRule type="duplicateValues" dxfId="1" priority="10395"/>
  </conditionalFormatting>
  <conditionalFormatting sqref="E1559:E1560">
    <cfRule type="duplicateValues" dxfId="1" priority="11412"/>
  </conditionalFormatting>
  <conditionalFormatting sqref="E1561:E1562">
    <cfRule type="duplicateValues" dxfId="1" priority="13402"/>
  </conditionalFormatting>
  <conditionalFormatting sqref="E1564:E1565">
    <cfRule type="duplicateValues" dxfId="1" priority="11797"/>
  </conditionalFormatting>
  <conditionalFormatting sqref="E1567:E1568">
    <cfRule type="duplicateValues" dxfId="1" priority="13699"/>
  </conditionalFormatting>
  <conditionalFormatting sqref="E1569:E1570">
    <cfRule type="duplicateValues" dxfId="1" priority="14111"/>
  </conditionalFormatting>
  <conditionalFormatting sqref="E1572:E1575">
    <cfRule type="duplicateValues" dxfId="1" priority="12177"/>
  </conditionalFormatting>
  <conditionalFormatting sqref="E1576:E1579">
    <cfRule type="duplicateValues" dxfId="1" priority="13625"/>
  </conditionalFormatting>
  <conditionalFormatting sqref="E1580:E1583">
    <cfRule type="duplicateValues" dxfId="1" priority="14147"/>
  </conditionalFormatting>
  <conditionalFormatting sqref="E1585:E1588">
    <cfRule type="duplicateValues" dxfId="1" priority="10323"/>
  </conditionalFormatting>
  <conditionalFormatting sqref="E1589:E1592">
    <cfRule type="duplicateValues" dxfId="1" priority="13909"/>
  </conditionalFormatting>
  <conditionalFormatting sqref="E1593:E1596">
    <cfRule type="duplicateValues" dxfId="1" priority="13819"/>
  </conditionalFormatting>
  <conditionalFormatting sqref="E1597:E1600">
    <cfRule type="duplicateValues" dxfId="1" priority="13809"/>
  </conditionalFormatting>
  <conditionalFormatting sqref="E1602:E1605">
    <cfRule type="duplicateValues" dxfId="1" priority="14080"/>
  </conditionalFormatting>
  <conditionalFormatting sqref="E1606:E1609">
    <cfRule type="duplicateValues" dxfId="1" priority="14053"/>
  </conditionalFormatting>
  <conditionalFormatting sqref="E1610:E1613">
    <cfRule type="duplicateValues" dxfId="1" priority="13831"/>
  </conditionalFormatting>
  <conditionalFormatting sqref="E1614:E1617">
    <cfRule type="duplicateValues" dxfId="1" priority="13782"/>
  </conditionalFormatting>
  <conditionalFormatting sqref="E1619:E1622">
    <cfRule type="duplicateValues" dxfId="1" priority="12642"/>
  </conditionalFormatting>
  <conditionalFormatting sqref="E1623:E1624">
    <cfRule type="duplicateValues" dxfId="1" priority="11234"/>
  </conditionalFormatting>
  <conditionalFormatting sqref="E1625:E1626">
    <cfRule type="duplicateValues" dxfId="1" priority="11227"/>
  </conditionalFormatting>
  <conditionalFormatting sqref="E1627:E1630">
    <cfRule type="duplicateValues" dxfId="1" priority="12553"/>
  </conditionalFormatting>
  <conditionalFormatting sqref="E1631:E1634">
    <cfRule type="duplicateValues" dxfId="1" priority="13803"/>
  </conditionalFormatting>
  <conditionalFormatting sqref="E1635:E1638">
    <cfRule type="duplicateValues" dxfId="1" priority="13494"/>
  </conditionalFormatting>
  <conditionalFormatting sqref="E1639:E1642">
    <cfRule type="duplicateValues" dxfId="1" priority="12778"/>
  </conditionalFormatting>
  <conditionalFormatting sqref="E1643:E1646">
    <cfRule type="duplicateValues" dxfId="1" priority="13358"/>
  </conditionalFormatting>
  <conditionalFormatting sqref="E1648:E1651">
    <cfRule type="duplicateValues" dxfId="1" priority="13444"/>
  </conditionalFormatting>
  <conditionalFormatting sqref="E1652:E1655">
    <cfRule type="duplicateValues" dxfId="1" priority="9479"/>
  </conditionalFormatting>
  <conditionalFormatting sqref="E1656:E1657">
    <cfRule type="duplicateValues" dxfId="1" priority="10016"/>
  </conditionalFormatting>
  <conditionalFormatting sqref="E1658:E1659">
    <cfRule type="duplicateValues" dxfId="1" priority="10010"/>
  </conditionalFormatting>
  <conditionalFormatting sqref="E1665:E1666">
    <cfRule type="duplicateValues" dxfId="1" priority="10923"/>
  </conditionalFormatting>
  <conditionalFormatting sqref="E1667:E1668">
    <cfRule type="duplicateValues" dxfId="1" priority="10917"/>
  </conditionalFormatting>
  <conditionalFormatting sqref="E1669:E1672">
    <cfRule type="duplicateValues" dxfId="1" priority="13789"/>
  </conditionalFormatting>
  <conditionalFormatting sqref="E1678:E1679">
    <cfRule type="duplicateValues" dxfId="1" priority="13284"/>
  </conditionalFormatting>
  <conditionalFormatting sqref="E1680:E1681">
    <cfRule type="duplicateValues" dxfId="1" priority="13938"/>
  </conditionalFormatting>
  <conditionalFormatting sqref="E1682:E1683">
    <cfRule type="duplicateValues" dxfId="1" priority="13860"/>
  </conditionalFormatting>
  <conditionalFormatting sqref="E1684:E1685">
    <cfRule type="duplicateValues" dxfId="1" priority="13730"/>
  </conditionalFormatting>
  <conditionalFormatting sqref="E1687:E1688">
    <cfRule type="duplicateValues" dxfId="1" priority="13733"/>
  </conditionalFormatting>
  <conditionalFormatting sqref="E1689:E1690">
    <cfRule type="duplicateValues" dxfId="1" priority="13876"/>
  </conditionalFormatting>
  <conditionalFormatting sqref="E1691:E1692">
    <cfRule type="duplicateValues" dxfId="1" priority="13904"/>
  </conditionalFormatting>
  <conditionalFormatting sqref="E1693:E1694">
    <cfRule type="duplicateValues" dxfId="1" priority="14068"/>
  </conditionalFormatting>
  <conditionalFormatting sqref="E1695:E1696">
    <cfRule type="duplicateValues" dxfId="1" priority="13274"/>
  </conditionalFormatting>
  <conditionalFormatting sqref="E1698:E1699">
    <cfRule type="duplicateValues" dxfId="1" priority="13749"/>
  </conditionalFormatting>
  <conditionalFormatting sqref="E1700:E1701">
    <cfRule type="duplicateValues" dxfId="1" priority="13476"/>
  </conditionalFormatting>
  <conditionalFormatting sqref="E1703:E1704">
    <cfRule type="duplicateValues" dxfId="1" priority="13424"/>
  </conditionalFormatting>
  <conditionalFormatting sqref="E1705:E1706">
    <cfRule type="duplicateValues" dxfId="1" priority="13418"/>
  </conditionalFormatting>
  <conditionalFormatting sqref="E1707:E1708">
    <cfRule type="duplicateValues" dxfId="1" priority="12466"/>
  </conditionalFormatting>
  <conditionalFormatting sqref="E1709:E1710">
    <cfRule type="duplicateValues" dxfId="1" priority="12460"/>
  </conditionalFormatting>
  <conditionalFormatting sqref="E1711:E1712">
    <cfRule type="duplicateValues" dxfId="1" priority="13244"/>
  </conditionalFormatting>
  <conditionalFormatting sqref="E1713:E1714">
    <cfRule type="duplicateValues" dxfId="1" priority="13238"/>
  </conditionalFormatting>
  <conditionalFormatting sqref="E1715:E1716">
    <cfRule type="duplicateValues" dxfId="1" priority="11570"/>
  </conditionalFormatting>
  <conditionalFormatting sqref="E1717:E1718">
    <cfRule type="duplicateValues" dxfId="1" priority="11564"/>
  </conditionalFormatting>
  <conditionalFormatting sqref="E1720:E1721">
    <cfRule type="duplicateValues" dxfId="1" priority="13262"/>
  </conditionalFormatting>
  <conditionalFormatting sqref="E1722:E1723">
    <cfRule type="duplicateValues" dxfId="1" priority="13256"/>
  </conditionalFormatting>
  <conditionalFormatting sqref="E1724:E1725">
    <cfRule type="duplicateValues" dxfId="1" priority="12760"/>
  </conditionalFormatting>
  <conditionalFormatting sqref="E1726:E1727">
    <cfRule type="duplicateValues" dxfId="1" priority="12415"/>
  </conditionalFormatting>
  <conditionalFormatting sqref="E1728:E1729">
    <cfRule type="duplicateValues" dxfId="1" priority="12478"/>
  </conditionalFormatting>
  <conditionalFormatting sqref="E1730:E1731">
    <cfRule type="duplicateValues" dxfId="1" priority="12472"/>
  </conditionalFormatting>
  <conditionalFormatting sqref="E1732:E1733">
    <cfRule type="duplicateValues" dxfId="1" priority="12390"/>
  </conditionalFormatting>
  <conditionalFormatting sqref="E1734:E1735">
    <cfRule type="duplicateValues" dxfId="1" priority="12384"/>
  </conditionalFormatting>
  <conditionalFormatting sqref="E1737:E1738">
    <cfRule type="duplicateValues" dxfId="1" priority="13744"/>
  </conditionalFormatting>
  <conditionalFormatting sqref="E1739:E1740">
    <cfRule type="duplicateValues" dxfId="1" priority="13747"/>
  </conditionalFormatting>
  <conditionalFormatting sqref="E1741:E1742">
    <cfRule type="duplicateValues" dxfId="1" priority="13907"/>
  </conditionalFormatting>
  <conditionalFormatting sqref="E1743:E1744">
    <cfRule type="duplicateValues" dxfId="1" priority="14033"/>
  </conditionalFormatting>
  <conditionalFormatting sqref="E1745:E1746">
    <cfRule type="duplicateValues" dxfId="1" priority="11222"/>
  </conditionalFormatting>
  <conditionalFormatting sqref="E1747:E1748">
    <cfRule type="duplicateValues" dxfId="1" priority="14051"/>
  </conditionalFormatting>
  <conditionalFormatting sqref="E1749:E1750">
    <cfRule type="duplicateValues" dxfId="1" priority="13915"/>
  </conditionalFormatting>
  <conditionalFormatting sqref="E1752:E1755">
    <cfRule type="duplicateValues" dxfId="1" priority="13823"/>
  </conditionalFormatting>
  <conditionalFormatting sqref="E1756:E1759">
    <cfRule type="duplicateValues" dxfId="1" priority="14027"/>
  </conditionalFormatting>
  <conditionalFormatting sqref="E1760:E1763">
    <cfRule type="duplicateValues" dxfId="1" priority="13817"/>
  </conditionalFormatting>
  <conditionalFormatting sqref="E1764:E1767">
    <cfRule type="duplicateValues" dxfId="1" priority="11195"/>
  </conditionalFormatting>
  <conditionalFormatting sqref="E1768:E1771">
    <cfRule type="duplicateValues" dxfId="1" priority="10746"/>
  </conditionalFormatting>
  <conditionalFormatting sqref="E1776:E1777">
    <cfRule type="duplicateValues" dxfId="1" priority="13332"/>
  </conditionalFormatting>
  <conditionalFormatting sqref="E1778:E1779">
    <cfRule type="duplicateValues" dxfId="1" priority="10034"/>
  </conditionalFormatting>
  <conditionalFormatting sqref="E1780:E1781">
    <cfRule type="duplicateValues" dxfId="1" priority="13791"/>
  </conditionalFormatting>
  <conditionalFormatting sqref="E1782:E1783">
    <cfRule type="duplicateValues" dxfId="1" priority="13813"/>
  </conditionalFormatting>
  <conditionalFormatting sqref="E1785:E1788">
    <cfRule type="duplicateValues" dxfId="1" priority="13462"/>
  </conditionalFormatting>
  <conditionalFormatting sqref="E1790:E1791">
    <cfRule type="duplicateValues" dxfId="1" priority="11031"/>
  </conditionalFormatting>
  <conditionalFormatting sqref="E1790:E1793">
    <cfRule type="duplicateValues" dxfId="1" priority="11028"/>
  </conditionalFormatting>
  <conditionalFormatting sqref="E1792:E1793">
    <cfRule type="duplicateValues" dxfId="1" priority="11034"/>
  </conditionalFormatting>
  <conditionalFormatting sqref="E1794:E1795">
    <cfRule type="duplicateValues" dxfId="1" priority="11101"/>
  </conditionalFormatting>
  <conditionalFormatting sqref="E1794:E1797">
    <cfRule type="duplicateValues" dxfId="1" priority="11097"/>
  </conditionalFormatting>
  <conditionalFormatting sqref="E1796:E1797">
    <cfRule type="duplicateValues" dxfId="1" priority="11099"/>
  </conditionalFormatting>
  <conditionalFormatting sqref="E1798:E1801">
    <cfRule type="duplicateValues" dxfId="1" priority="13829"/>
  </conditionalFormatting>
  <conditionalFormatting sqref="E1802:E1805">
    <cfRule type="duplicateValues" dxfId="1" priority="12539"/>
  </conditionalFormatting>
  <conditionalFormatting sqref="E1807:E1808">
    <cfRule type="duplicateValues" dxfId="1" priority="11127"/>
  </conditionalFormatting>
  <conditionalFormatting sqref="E1807:E1810">
    <cfRule type="duplicateValues" dxfId="1" priority="11123"/>
  </conditionalFormatting>
  <conditionalFormatting sqref="E1809:E1810">
    <cfRule type="duplicateValues" dxfId="1" priority="11125"/>
  </conditionalFormatting>
  <conditionalFormatting sqref="E1811:E1812">
    <cfRule type="duplicateValues" dxfId="1" priority="12531"/>
  </conditionalFormatting>
  <conditionalFormatting sqref="E1811:E1814">
    <cfRule type="duplicateValues" dxfId="1" priority="12527"/>
  </conditionalFormatting>
  <conditionalFormatting sqref="E1813:E1814">
    <cfRule type="duplicateValues" dxfId="1" priority="12529"/>
  </conditionalFormatting>
  <conditionalFormatting sqref="E1816:E1817">
    <cfRule type="duplicateValues" dxfId="1" priority="13572"/>
  </conditionalFormatting>
  <conditionalFormatting sqref="E1818:E1819">
    <cfRule type="duplicateValues" dxfId="1" priority="11495"/>
  </conditionalFormatting>
  <conditionalFormatting sqref="E1820:E1821">
    <cfRule type="duplicateValues" dxfId="1" priority="13917"/>
  </conditionalFormatting>
  <conditionalFormatting sqref="E1822:E1823">
    <cfRule type="duplicateValues" dxfId="1" priority="10775"/>
  </conditionalFormatting>
  <conditionalFormatting sqref="E1824:E1825">
    <cfRule type="duplicateValues" dxfId="1" priority="10233"/>
  </conditionalFormatting>
  <conditionalFormatting sqref="E1827:E1828">
    <cfRule type="duplicateValues" dxfId="1" priority="13398"/>
  </conditionalFormatting>
  <conditionalFormatting sqref="E1827:E1830">
    <cfRule type="duplicateValues" dxfId="1" priority="13394"/>
  </conditionalFormatting>
  <conditionalFormatting sqref="E1829:E1830">
    <cfRule type="duplicateValues" dxfId="1" priority="13396"/>
  </conditionalFormatting>
  <conditionalFormatting sqref="E1831:E1832">
    <cfRule type="duplicateValues" dxfId="1" priority="10264"/>
  </conditionalFormatting>
  <conditionalFormatting sqref="E1831:E1834">
    <cfRule type="duplicateValues" dxfId="1" priority="10259"/>
  </conditionalFormatting>
  <conditionalFormatting sqref="E1833:E1834">
    <cfRule type="duplicateValues" dxfId="1" priority="10262"/>
  </conditionalFormatting>
  <conditionalFormatting sqref="E1835:E1836">
    <cfRule type="duplicateValues" dxfId="1" priority="13841"/>
  </conditionalFormatting>
  <conditionalFormatting sqref="E1837:E1838">
    <cfRule type="duplicateValues" dxfId="1" priority="13839"/>
  </conditionalFormatting>
  <conditionalFormatting sqref="E1839:E1840">
    <cfRule type="duplicateValues" dxfId="1" priority="13390"/>
  </conditionalFormatting>
  <conditionalFormatting sqref="E1839:E1842">
    <cfRule type="duplicateValues" dxfId="1" priority="13388"/>
  </conditionalFormatting>
  <conditionalFormatting sqref="E1841:E1842">
    <cfRule type="duplicateValues" dxfId="1" priority="13386"/>
  </conditionalFormatting>
  <conditionalFormatting sqref="E1848:E1849">
    <cfRule type="duplicateValues" dxfId="1" priority="10676"/>
  </conditionalFormatting>
  <conditionalFormatting sqref="E1848:E1851">
    <cfRule type="duplicateValues" dxfId="1" priority="10674"/>
  </conditionalFormatting>
  <conditionalFormatting sqref="E1850:E1851">
    <cfRule type="duplicateValues" dxfId="1" priority="10671"/>
  </conditionalFormatting>
  <conditionalFormatting sqref="E1852:E1853">
    <cfRule type="duplicateValues" dxfId="1" priority="12583"/>
  </conditionalFormatting>
  <conditionalFormatting sqref="E1852:E1855">
    <cfRule type="duplicateValues" dxfId="1" priority="12581"/>
  </conditionalFormatting>
  <conditionalFormatting sqref="E1854:E1855">
    <cfRule type="duplicateValues" dxfId="1" priority="12578"/>
  </conditionalFormatting>
  <conditionalFormatting sqref="E1856:E1857">
    <cfRule type="duplicateValues" dxfId="1" priority="13805"/>
  </conditionalFormatting>
  <conditionalFormatting sqref="E1858:E1859">
    <cfRule type="duplicateValues" dxfId="1" priority="13807"/>
  </conditionalFormatting>
  <conditionalFormatting sqref="E1860:E1861">
    <cfRule type="duplicateValues" dxfId="1" priority="10317"/>
  </conditionalFormatting>
  <conditionalFormatting sqref="E1862:E1863">
    <cfRule type="duplicateValues" dxfId="1" priority="3492"/>
  </conditionalFormatting>
  <conditionalFormatting sqref="E1864:E1865">
    <cfRule type="duplicateValues" dxfId="1" priority="13892"/>
  </conditionalFormatting>
  <conditionalFormatting sqref="E1866:E1867">
    <cfRule type="duplicateValues" dxfId="1" priority="13894"/>
  </conditionalFormatting>
  <conditionalFormatting sqref="E1868:E1869">
    <cfRule type="duplicateValues" dxfId="1" priority="13312"/>
  </conditionalFormatting>
  <conditionalFormatting sqref="E1868:E1871">
    <cfRule type="duplicateValues" dxfId="1" priority="13310"/>
  </conditionalFormatting>
  <conditionalFormatting sqref="E1870:E1871">
    <cfRule type="duplicateValues" dxfId="1" priority="12781"/>
  </conditionalFormatting>
  <conditionalFormatting sqref="E1872:E1873">
    <cfRule type="duplicateValues" dxfId="1" priority="12744"/>
  </conditionalFormatting>
  <conditionalFormatting sqref="E1872:E1875">
    <cfRule type="duplicateValues" dxfId="1" priority="12742"/>
  </conditionalFormatting>
  <conditionalFormatting sqref="E1874:E1875">
    <cfRule type="duplicateValues" dxfId="1" priority="12739"/>
  </conditionalFormatting>
  <conditionalFormatting sqref="E1876:E1877">
    <cfRule type="duplicateValues" dxfId="1" priority="10467"/>
  </conditionalFormatting>
  <conditionalFormatting sqref="E1876:E1879">
    <cfRule type="duplicateValues" dxfId="1" priority="10465"/>
  </conditionalFormatting>
  <conditionalFormatting sqref="E1878:E1879">
    <cfRule type="duplicateValues" dxfId="1" priority="10462"/>
  </conditionalFormatting>
  <conditionalFormatting sqref="E1881:E1882">
    <cfRule type="duplicateValues" dxfId="1" priority="10144"/>
  </conditionalFormatting>
  <conditionalFormatting sqref="E1881:E1884">
    <cfRule type="duplicateValues" dxfId="1" priority="10142"/>
  </conditionalFormatting>
  <conditionalFormatting sqref="E1883:E1884">
    <cfRule type="duplicateValues" dxfId="1" priority="10146"/>
  </conditionalFormatting>
  <conditionalFormatting sqref="E1885:E1886">
    <cfRule type="duplicateValues" dxfId="1" priority="11943"/>
  </conditionalFormatting>
  <conditionalFormatting sqref="E1885:E1888">
    <cfRule type="duplicateValues" dxfId="1" priority="11941"/>
  </conditionalFormatting>
  <conditionalFormatting sqref="E1887:E1888">
    <cfRule type="duplicateValues" dxfId="1" priority="11945"/>
  </conditionalFormatting>
  <conditionalFormatting sqref="E1889:E1890">
    <cfRule type="duplicateValues" dxfId="1" priority="10116"/>
  </conditionalFormatting>
  <conditionalFormatting sqref="E1889:E1892">
    <cfRule type="duplicateValues" dxfId="1" priority="10114"/>
  </conditionalFormatting>
  <conditionalFormatting sqref="E1891:E1892">
    <cfRule type="duplicateValues" dxfId="1" priority="10118"/>
  </conditionalFormatting>
  <conditionalFormatting sqref="E1893:E1894">
    <cfRule type="duplicateValues" dxfId="1" priority="13683"/>
  </conditionalFormatting>
  <conditionalFormatting sqref="E1895:E1896">
    <cfRule type="duplicateValues" dxfId="1" priority="13685"/>
  </conditionalFormatting>
  <conditionalFormatting sqref="E1898:E1899">
    <cfRule type="duplicateValues" dxfId="1" priority="13593"/>
  </conditionalFormatting>
  <conditionalFormatting sqref="E1900:E1901">
    <cfRule type="duplicateValues" dxfId="1" priority="13794"/>
  </conditionalFormatting>
  <conditionalFormatting sqref="E1902:E1903">
    <cfRule type="duplicateValues" dxfId="1" priority="10831"/>
  </conditionalFormatting>
  <conditionalFormatting sqref="E1905:E1906">
    <cfRule type="duplicateValues" dxfId="1" priority="14024"/>
  </conditionalFormatting>
  <conditionalFormatting sqref="E1907:E1908">
    <cfRule type="duplicateValues" dxfId="1" priority="14020"/>
  </conditionalFormatting>
  <conditionalFormatting sqref="E1918:E1919">
    <cfRule type="duplicateValues" dxfId="1" priority="12597"/>
  </conditionalFormatting>
  <conditionalFormatting sqref="E1920:E1921">
    <cfRule type="duplicateValues" dxfId="1" priority="12660"/>
  </conditionalFormatting>
  <conditionalFormatting sqref="E1923:E1924">
    <cfRule type="duplicateValues" dxfId="1" priority="12770"/>
  </conditionalFormatting>
  <conditionalFormatting sqref="E1925:E1926">
    <cfRule type="duplicateValues" dxfId="1" priority="12704"/>
  </conditionalFormatting>
  <conditionalFormatting sqref="E1929:E1930">
    <cfRule type="duplicateValues" dxfId="1" priority="13199"/>
  </conditionalFormatting>
  <conditionalFormatting sqref="E1933:E1934">
    <cfRule type="duplicateValues" dxfId="1" priority="13468"/>
  </conditionalFormatting>
  <conditionalFormatting sqref="E1935:E1936">
    <cfRule type="duplicateValues" dxfId="1" priority="12563"/>
  </conditionalFormatting>
  <conditionalFormatting sqref="E1937:E1938">
    <cfRule type="duplicateValues" dxfId="1" priority="9507"/>
  </conditionalFormatting>
  <conditionalFormatting sqref="E1940:E1941">
    <cfRule type="duplicateValues" dxfId="1" priority="11836"/>
  </conditionalFormatting>
  <conditionalFormatting sqref="E1942:E1943">
    <cfRule type="duplicateValues" dxfId="1" priority="11830"/>
  </conditionalFormatting>
  <conditionalFormatting sqref="E1945:E1946">
    <cfRule type="duplicateValues" dxfId="1" priority="10365"/>
  </conditionalFormatting>
  <conditionalFormatting sqref="E1947:E1948">
    <cfRule type="duplicateValues" dxfId="1" priority="10360"/>
  </conditionalFormatting>
  <conditionalFormatting sqref="E1949:E1950">
    <cfRule type="duplicateValues" dxfId="1" priority="10182"/>
  </conditionalFormatting>
  <conditionalFormatting sqref="E1951:E1952">
    <cfRule type="duplicateValues" dxfId="1" priority="10177"/>
  </conditionalFormatting>
  <conditionalFormatting sqref="E1953:E1954">
    <cfRule type="duplicateValues" dxfId="1" priority="11485"/>
  </conditionalFormatting>
  <conditionalFormatting sqref="E1955:E1956">
    <cfRule type="duplicateValues" dxfId="1" priority="11480"/>
  </conditionalFormatting>
  <conditionalFormatting sqref="E1957:E1958">
    <cfRule type="duplicateValues" dxfId="1" priority="10377"/>
  </conditionalFormatting>
  <conditionalFormatting sqref="E1959:E1960">
    <cfRule type="duplicateValues" dxfId="1" priority="10372"/>
  </conditionalFormatting>
  <conditionalFormatting sqref="E1961:E1962">
    <cfRule type="duplicateValues" dxfId="1" priority="11693"/>
  </conditionalFormatting>
  <conditionalFormatting sqref="E1963:E1964">
    <cfRule type="duplicateValues" dxfId="1" priority="11688"/>
  </conditionalFormatting>
  <conditionalFormatting sqref="E1965:E1966">
    <cfRule type="duplicateValues" dxfId="1" priority="6981"/>
  </conditionalFormatting>
  <conditionalFormatting sqref="E1967:E1968">
    <cfRule type="duplicateValues" dxfId="1" priority="6976"/>
  </conditionalFormatting>
  <conditionalFormatting sqref="E1969:E1970">
    <cfRule type="duplicateValues" dxfId="1" priority="11705"/>
  </conditionalFormatting>
  <conditionalFormatting sqref="E1971:E1972">
    <cfRule type="duplicateValues" dxfId="1" priority="11700"/>
  </conditionalFormatting>
  <conditionalFormatting sqref="E1973:E1974">
    <cfRule type="duplicateValues" dxfId="1" priority="6969"/>
  </conditionalFormatting>
  <conditionalFormatting sqref="E1975:E1976">
    <cfRule type="duplicateValues" dxfId="1" priority="6964"/>
  </conditionalFormatting>
  <conditionalFormatting sqref="E1978:E1979">
    <cfRule type="duplicateValues" dxfId="1" priority="10301"/>
  </conditionalFormatting>
  <conditionalFormatting sqref="E1980:E1981">
    <cfRule type="duplicateValues" dxfId="1" priority="10296"/>
  </conditionalFormatting>
  <conditionalFormatting sqref="E1982:E1983">
    <cfRule type="duplicateValues" dxfId="1" priority="11248"/>
  </conditionalFormatting>
  <conditionalFormatting sqref="E1984:E1985">
    <cfRule type="duplicateValues" dxfId="1" priority="11243"/>
  </conditionalFormatting>
  <conditionalFormatting sqref="E1986:E1987">
    <cfRule type="duplicateValues" dxfId="1" priority="11466"/>
  </conditionalFormatting>
  <conditionalFormatting sqref="E1988:E1989">
    <cfRule type="duplicateValues" dxfId="1" priority="11461"/>
  </conditionalFormatting>
  <conditionalFormatting sqref="E1990:E1991">
    <cfRule type="duplicateValues" dxfId="1" priority="11329"/>
  </conditionalFormatting>
  <conditionalFormatting sqref="E1992:E1993">
    <cfRule type="duplicateValues" dxfId="1" priority="11324"/>
  </conditionalFormatting>
  <conditionalFormatting sqref="E1995:E1996">
    <cfRule type="duplicateValues" dxfId="1" priority="10979"/>
  </conditionalFormatting>
  <conditionalFormatting sqref="E1997:E1998">
    <cfRule type="duplicateValues" dxfId="1" priority="10974"/>
  </conditionalFormatting>
  <conditionalFormatting sqref="E1999:E2000">
    <cfRule type="duplicateValues" dxfId="1" priority="10967"/>
  </conditionalFormatting>
  <conditionalFormatting sqref="E2001:E2002">
    <cfRule type="duplicateValues" dxfId="1" priority="10962"/>
  </conditionalFormatting>
  <conditionalFormatting sqref="E2004:E2005">
    <cfRule type="duplicateValues" dxfId="1" priority="11091"/>
  </conditionalFormatting>
  <conditionalFormatting sqref="E2006:E2007">
    <cfRule type="duplicateValues" dxfId="1" priority="11085"/>
  </conditionalFormatting>
  <conditionalFormatting sqref="E2008:E2009">
    <cfRule type="duplicateValues" dxfId="1" priority="11525"/>
  </conditionalFormatting>
  <conditionalFormatting sqref="E2011:E2012">
    <cfRule type="duplicateValues" dxfId="1" priority="12017"/>
  </conditionalFormatting>
  <conditionalFormatting sqref="E2014:E2017">
    <cfRule type="duplicateValues" dxfId="1" priority="10123"/>
  </conditionalFormatting>
  <conditionalFormatting sqref="E2018:E2021">
    <cfRule type="duplicateValues" dxfId="1" priority="10077"/>
  </conditionalFormatting>
  <conditionalFormatting sqref="E2024:E2027">
    <cfRule type="duplicateValues" dxfId="1" priority="10703"/>
  </conditionalFormatting>
  <conditionalFormatting sqref="E2024:E2049">
    <cfRule type="duplicateValues" dxfId="1" priority="10700"/>
  </conditionalFormatting>
  <conditionalFormatting sqref="E2028:E2049">
    <cfRule type="duplicateValues" dxfId="1" priority="10705"/>
  </conditionalFormatting>
  <conditionalFormatting sqref="E2090:E2091">
    <cfRule type="duplicateValues" dxfId="1" priority="10596"/>
  </conditionalFormatting>
  <conditionalFormatting sqref="E2093:E2094">
    <cfRule type="duplicateValues" dxfId="1" priority="10895"/>
  </conditionalFormatting>
  <conditionalFormatting sqref="E2095:E2096">
    <cfRule type="duplicateValues" dxfId="1" priority="10511"/>
  </conditionalFormatting>
  <conditionalFormatting sqref="E2097:E2098">
    <cfRule type="duplicateValues" dxfId="1" priority="10172"/>
  </conditionalFormatting>
  <conditionalFormatting sqref="E2099:E2100">
    <cfRule type="duplicateValues" dxfId="1" priority="10225"/>
  </conditionalFormatting>
  <conditionalFormatting sqref="E2102:E2103">
    <cfRule type="duplicateValues" dxfId="1" priority="10993"/>
  </conditionalFormatting>
  <conditionalFormatting sqref="E2104:E2105">
    <cfRule type="duplicateValues" dxfId="1" priority="10646"/>
  </conditionalFormatting>
  <conditionalFormatting sqref="E2106:E2107">
    <cfRule type="duplicateValues" dxfId="1" priority="10628"/>
  </conditionalFormatting>
  <conditionalFormatting sqref="E2109:E2110">
    <cfRule type="duplicateValues" dxfId="1" priority="11921"/>
  </conditionalFormatting>
  <conditionalFormatting sqref="E2111:E2112">
    <cfRule type="duplicateValues" dxfId="1" priority="11929"/>
  </conditionalFormatting>
  <conditionalFormatting sqref="E2113:E2114">
    <cfRule type="duplicateValues" dxfId="1" priority="11620"/>
  </conditionalFormatting>
  <conditionalFormatting sqref="E2115:E2116">
    <cfRule type="duplicateValues" dxfId="1" priority="11626"/>
  </conditionalFormatting>
  <conditionalFormatting sqref="E2118:E2119">
    <cfRule type="duplicateValues" dxfId="1" priority="10654"/>
  </conditionalFormatting>
  <conditionalFormatting sqref="E2120:E2121">
    <cfRule type="duplicateValues" dxfId="1" priority="9491"/>
  </conditionalFormatting>
  <conditionalFormatting sqref="E2122:E2123">
    <cfRule type="duplicateValues" dxfId="1" priority="11605"/>
  </conditionalFormatting>
  <conditionalFormatting sqref="E2124:E2125">
    <cfRule type="duplicateValues" dxfId="1" priority="10660"/>
  </conditionalFormatting>
  <conditionalFormatting sqref="E2126:E2127">
    <cfRule type="duplicateValues" dxfId="1" priority="11582"/>
  </conditionalFormatting>
  <conditionalFormatting sqref="E2128:E2129">
    <cfRule type="duplicateValues" dxfId="1" priority="10493"/>
  </conditionalFormatting>
  <conditionalFormatting sqref="E2130:E2131">
    <cfRule type="duplicateValues" dxfId="1" priority="10333"/>
  </conditionalFormatting>
  <conditionalFormatting sqref="E2133:E2134">
    <cfRule type="duplicateValues" dxfId="1" priority="14323"/>
  </conditionalFormatting>
  <conditionalFormatting sqref="E2135:E2136">
    <cfRule type="duplicateValues" dxfId="1" priority="13668"/>
  </conditionalFormatting>
  <conditionalFormatting sqref="E2137:E2138">
    <cfRule type="duplicateValues" dxfId="1" priority="11114"/>
  </conditionalFormatting>
  <conditionalFormatting sqref="E2139:E2140">
    <cfRule type="duplicateValues" dxfId="1" priority="13969"/>
  </conditionalFormatting>
  <conditionalFormatting sqref="E2141:E2142">
    <cfRule type="duplicateValues" dxfId="1" priority="14263"/>
  </conditionalFormatting>
  <conditionalFormatting sqref="E2143:E2144">
    <cfRule type="duplicateValues" dxfId="1" priority="13742"/>
  </conditionalFormatting>
  <conditionalFormatting sqref="E2146:E2147">
    <cfRule type="duplicateValues" dxfId="1" priority="14228"/>
  </conditionalFormatting>
  <conditionalFormatting sqref="E2148:E2149">
    <cfRule type="duplicateValues" dxfId="1" priority="14186"/>
  </conditionalFormatting>
  <conditionalFormatting sqref="E2150:E2151">
    <cfRule type="duplicateValues" dxfId="1" priority="13946"/>
  </conditionalFormatting>
  <conditionalFormatting sqref="E2153:E2156">
    <cfRule type="duplicateValues" dxfId="1" priority="10444"/>
  </conditionalFormatting>
  <conditionalFormatting sqref="E2157:E2158">
    <cfRule type="duplicateValues" dxfId="1" priority="10246"/>
  </conditionalFormatting>
  <conditionalFormatting sqref="E2159:E2162">
    <cfRule type="duplicateValues" dxfId="1" priority="3488"/>
  </conditionalFormatting>
  <conditionalFormatting sqref="E2163:E2166">
    <cfRule type="duplicateValues" dxfId="1" priority="10691"/>
  </conditionalFormatting>
  <conditionalFormatting sqref="E2168:E2171">
    <cfRule type="duplicateValues" dxfId="1" priority="12701"/>
  </conditionalFormatting>
  <conditionalFormatting sqref="E2172:E2175">
    <cfRule type="duplicateValues" dxfId="1" priority="11259"/>
  </conditionalFormatting>
  <conditionalFormatting sqref="E2176:E2179">
    <cfRule type="duplicateValues" dxfId="1" priority="10880"/>
  </conditionalFormatting>
  <conditionalFormatting sqref="E2181:E2182">
    <cfRule type="duplicateValues" dxfId="1" priority="12657"/>
  </conditionalFormatting>
  <conditionalFormatting sqref="E2183:E2184">
    <cfRule type="duplicateValues" dxfId="1" priority="13720"/>
  </conditionalFormatting>
  <conditionalFormatting sqref="E2186:E2187">
    <cfRule type="duplicateValues" dxfId="1" priority="14182"/>
  </conditionalFormatting>
  <conditionalFormatting sqref="E2189:E2190">
    <cfRule type="duplicateValues" dxfId="1" priority="13865"/>
  </conditionalFormatting>
  <conditionalFormatting sqref="E2191:E2192">
    <cfRule type="duplicateValues" dxfId="1" priority="13863"/>
  </conditionalFormatting>
  <conditionalFormatting sqref="E2193:E2194">
    <cfRule type="duplicateValues" dxfId="1" priority="12013"/>
  </conditionalFormatting>
  <conditionalFormatting sqref="E2193:E2196">
    <cfRule type="duplicateValues" dxfId="1" priority="12009"/>
  </conditionalFormatting>
  <conditionalFormatting sqref="E2195:E2196">
    <cfRule type="duplicateValues" dxfId="1" priority="12011"/>
  </conditionalFormatting>
  <conditionalFormatting sqref="E2201:E2202">
    <cfRule type="duplicateValues" dxfId="1" priority="12351"/>
  </conditionalFormatting>
  <conditionalFormatting sqref="E2201:E2204">
    <cfRule type="duplicateValues" dxfId="1" priority="12347"/>
  </conditionalFormatting>
  <conditionalFormatting sqref="E2203:E2204">
    <cfRule type="duplicateValues" dxfId="1" priority="12349"/>
  </conditionalFormatting>
  <conditionalFormatting sqref="E2205:E2206">
    <cfRule type="duplicateValues" dxfId="1" priority="13551"/>
  </conditionalFormatting>
  <conditionalFormatting sqref="E2205:E2208">
    <cfRule type="duplicateValues" dxfId="1" priority="13547"/>
  </conditionalFormatting>
  <conditionalFormatting sqref="E2207:E2208">
    <cfRule type="duplicateValues" dxfId="1" priority="13549"/>
  </conditionalFormatting>
  <conditionalFormatting sqref="E2209:E2210">
    <cfRule type="duplicateValues" dxfId="1" priority="14059"/>
  </conditionalFormatting>
  <conditionalFormatting sqref="E2211:E2212">
    <cfRule type="duplicateValues" dxfId="1" priority="14057"/>
  </conditionalFormatting>
  <conditionalFormatting sqref="E2214:E2217">
    <cfRule type="duplicateValues" dxfId="1" priority="10273"/>
  </conditionalFormatting>
  <conditionalFormatting sqref="E2218:E2221">
    <cfRule type="duplicateValues" dxfId="1" priority="11392"/>
  </conditionalFormatting>
  <conditionalFormatting sqref="E2222:E2225">
    <cfRule type="duplicateValues" dxfId="1" priority="10285"/>
  </conditionalFormatting>
  <conditionalFormatting sqref="E2226:E2229">
    <cfRule type="duplicateValues" dxfId="1" priority="12690"/>
  </conditionalFormatting>
  <conditionalFormatting sqref="E2236:E2237">
    <cfRule type="duplicateValues" dxfId="1" priority="14293"/>
  </conditionalFormatting>
  <conditionalFormatting sqref="E2238:E2239">
    <cfRule type="duplicateValues" dxfId="1" priority="12261"/>
  </conditionalFormatting>
  <conditionalFormatting sqref="E2240:E2241">
    <cfRule type="duplicateValues" dxfId="1" priority="14280"/>
  </conditionalFormatting>
  <conditionalFormatting sqref="E2242:E2243">
    <cfRule type="duplicateValues" dxfId="1" priority="13821"/>
  </conditionalFormatting>
  <conditionalFormatting sqref="E2244:E2245">
    <cfRule type="duplicateValues" dxfId="1" priority="11613"/>
  </conditionalFormatting>
  <conditionalFormatting sqref="E2246:E2247">
    <cfRule type="duplicateValues" dxfId="1" priority="13848"/>
  </conditionalFormatting>
  <conditionalFormatting sqref="E2249:E2250">
    <cfRule type="duplicateValues" dxfId="1" priority="13739"/>
  </conditionalFormatting>
  <conditionalFormatting sqref="E2251:E2252">
    <cfRule type="duplicateValues" dxfId="1" priority="13737"/>
  </conditionalFormatting>
  <conditionalFormatting sqref="E2254:E2257">
    <cfRule type="duplicateValues" dxfId="1" priority="12355"/>
  </conditionalFormatting>
  <conditionalFormatting sqref="E2258:E2261">
    <cfRule type="duplicateValues" dxfId="1" priority="11359"/>
  </conditionalFormatting>
  <conditionalFormatting sqref="E2266:E2269">
    <cfRule type="duplicateValues" dxfId="1" priority="13480"/>
  </conditionalFormatting>
  <conditionalFormatting sqref="E2278:E2281">
    <cfRule type="duplicateValues" dxfId="1" priority="13604"/>
  </conditionalFormatting>
  <conditionalFormatting sqref="E2291:E2294">
    <cfRule type="duplicateValues" dxfId="1" priority="13976"/>
  </conditionalFormatting>
  <conditionalFormatting sqref="E2299:E2300">
    <cfRule type="duplicateValues" dxfId="1" priority="13825"/>
  </conditionalFormatting>
  <conditionalFormatting sqref="E2301:E2302">
    <cfRule type="duplicateValues" dxfId="1" priority="13827"/>
  </conditionalFormatting>
  <conditionalFormatting sqref="E2303:E2304">
    <cfRule type="duplicateValues" dxfId="1" priority="13858"/>
  </conditionalFormatting>
  <conditionalFormatting sqref="E2305:E2306">
    <cfRule type="duplicateValues" dxfId="1" priority="13994"/>
  </conditionalFormatting>
  <conditionalFormatting sqref="E2320:E2323">
    <cfRule type="duplicateValues" dxfId="1" priority="14107"/>
  </conditionalFormatting>
  <conditionalFormatting sqref="E2324:E2327">
    <cfRule type="duplicateValues" dxfId="1" priority="13984"/>
  </conditionalFormatting>
  <conditionalFormatting sqref="E2328:E2331">
    <cfRule type="duplicateValues" dxfId="1" priority="13913"/>
  </conditionalFormatting>
  <conditionalFormatting sqref="E2332:E2335">
    <cfRule type="duplicateValues" dxfId="1" priority="13215"/>
  </conditionalFormatting>
  <conditionalFormatting sqref="E2337:E2338">
    <cfRule type="duplicateValues" dxfId="1" priority="14041"/>
  </conditionalFormatting>
  <conditionalFormatting sqref="E2339:E2340">
    <cfRule type="duplicateValues" dxfId="1" priority="14039"/>
  </conditionalFormatting>
  <conditionalFormatting sqref="E2341:E2342">
    <cfRule type="duplicateValues" dxfId="1" priority="14236"/>
  </conditionalFormatting>
  <conditionalFormatting sqref="E2343:E2344">
    <cfRule type="duplicateValues" dxfId="1" priority="14234"/>
  </conditionalFormatting>
  <conditionalFormatting sqref="E2345:E2346">
    <cfRule type="duplicateValues" dxfId="1" priority="13988"/>
  </conditionalFormatting>
  <conditionalFormatting sqref="E2347:E2348">
    <cfRule type="duplicateValues" dxfId="1" priority="13986"/>
  </conditionalFormatting>
  <conditionalFormatting sqref="E2349:E2350">
    <cfRule type="duplicateValues" dxfId="1" priority="14165"/>
  </conditionalFormatting>
  <conditionalFormatting sqref="E2351:E2352">
    <cfRule type="duplicateValues" dxfId="1" priority="14163"/>
  </conditionalFormatting>
  <conditionalFormatting sqref="E2354:E2355">
    <cfRule type="duplicateValues" dxfId="1" priority="13526"/>
  </conditionalFormatting>
  <conditionalFormatting sqref="E2354:E2357">
    <cfRule type="duplicateValues" dxfId="1" priority="13521"/>
  </conditionalFormatting>
  <conditionalFormatting sqref="E2356:E2357">
    <cfRule type="duplicateValues" dxfId="1" priority="13524"/>
  </conditionalFormatting>
  <conditionalFormatting sqref="E2359:E2360">
    <cfRule type="duplicateValues" dxfId="1" priority="3460"/>
  </conditionalFormatting>
  <conditionalFormatting sqref="E2361:E2362">
    <cfRule type="duplicateValues" dxfId="1" priority="3466"/>
  </conditionalFormatting>
  <conditionalFormatting sqref="E2363:E2364">
    <cfRule type="duplicateValues" dxfId="1" priority="3472"/>
  </conditionalFormatting>
  <conditionalFormatting sqref="E2365:E2366">
    <cfRule type="duplicateValues" dxfId="1" priority="3478"/>
  </conditionalFormatting>
  <conditionalFormatting sqref="E2375:E2376">
    <cfRule type="duplicateValues" dxfId="1" priority="14363"/>
  </conditionalFormatting>
  <conditionalFormatting sqref="E2391:E2394">
    <cfRule type="duplicateValues" dxfId="1" priority="14347"/>
  </conditionalFormatting>
  <conditionalFormatting sqref="E2395:E2396">
    <cfRule type="duplicateValues" dxfId="1" priority="12242"/>
  </conditionalFormatting>
  <conditionalFormatting sqref="E2446:E2449">
    <cfRule type="duplicateValues" dxfId="1" priority="14278"/>
  </conditionalFormatting>
  <conditionalFormatting sqref="E2450:E2451">
    <cfRule type="duplicateValues" dxfId="1" priority="14284"/>
  </conditionalFormatting>
  <conditionalFormatting sqref="E2452:E2459">
    <cfRule type="duplicateValues" dxfId="1" priority="10724"/>
  </conditionalFormatting>
  <conditionalFormatting sqref="E2461:E2464">
    <cfRule type="duplicateValues" dxfId="1" priority="12524"/>
  </conditionalFormatting>
  <conditionalFormatting sqref="E2465:E2466">
    <cfRule type="duplicateValues" dxfId="1" priority="12516"/>
  </conditionalFormatting>
  <conditionalFormatting sqref="E2467:E2468">
    <cfRule type="duplicateValues" dxfId="1" priority="12522"/>
  </conditionalFormatting>
  <conditionalFormatting sqref="E2469:E2472">
    <cfRule type="duplicateValues" dxfId="1" priority="14377"/>
  </conditionalFormatting>
  <conditionalFormatting sqref="E2473:E2474">
    <cfRule type="duplicateValues" dxfId="1" priority="14369"/>
  </conditionalFormatting>
  <conditionalFormatting sqref="E2489:E2490">
    <cfRule type="duplicateValues" dxfId="1" priority="14078"/>
  </conditionalFormatting>
  <conditionalFormatting sqref="E2492:E2495">
    <cfRule type="duplicateValues" dxfId="1" priority="12491"/>
  </conditionalFormatting>
  <conditionalFormatting sqref="E2498:E2499">
    <cfRule type="duplicateValues" dxfId="1" priority="12485"/>
  </conditionalFormatting>
  <conditionalFormatting sqref="E2502:E2505">
    <cfRule type="duplicateValues" dxfId="1" priority="10508"/>
  </conditionalFormatting>
  <conditionalFormatting sqref="E2512:E2515">
    <cfRule type="duplicateValues" dxfId="1" priority="12062"/>
  </conditionalFormatting>
  <conditionalFormatting sqref="E2520:E2523">
    <cfRule type="duplicateValues" dxfId="1" priority="10577"/>
  </conditionalFormatting>
  <conditionalFormatting sqref="E2524:E2527">
    <cfRule type="duplicateValues" dxfId="1" priority="10583"/>
  </conditionalFormatting>
  <conditionalFormatting sqref="E2561:E2564">
    <cfRule type="duplicateValues" dxfId="1" priority="14180"/>
  </conditionalFormatting>
  <conditionalFormatting sqref="E2569:E2572">
    <cfRule type="duplicateValues" dxfId="1" priority="10105"/>
  </conditionalFormatting>
  <conditionalFormatting sqref="E2573:E2576">
    <cfRule type="duplicateValues" dxfId="1" priority="10111"/>
  </conditionalFormatting>
  <conditionalFormatting sqref="E2577:E2578">
    <cfRule type="duplicateValues" dxfId="1" priority="11845"/>
  </conditionalFormatting>
  <conditionalFormatting sqref="E2579:E2580">
    <cfRule type="duplicateValues" dxfId="1" priority="11851"/>
  </conditionalFormatting>
  <conditionalFormatting sqref="E2581:E2582">
    <cfRule type="duplicateValues" dxfId="1" priority="12145"/>
  </conditionalFormatting>
  <conditionalFormatting sqref="E2583:E2584">
    <cfRule type="duplicateValues" dxfId="1" priority="12151"/>
  </conditionalFormatting>
  <conditionalFormatting sqref="E2586:E2589">
    <cfRule type="duplicateValues" dxfId="1" priority="12510"/>
  </conditionalFormatting>
  <conditionalFormatting sqref="E2625:E2630">
    <cfRule type="duplicateValues" dxfId="1" priority="14428"/>
  </conditionalFormatting>
  <conditionalFormatting sqref="E2634:E2640">
    <cfRule type="duplicateValues" dxfId="1" priority="14178"/>
  </conditionalFormatting>
  <conditionalFormatting sqref="E2641:E2642">
    <cfRule type="duplicateValues" dxfId="1" priority="14319"/>
  </conditionalFormatting>
  <conditionalFormatting sqref="E2643:E2644">
    <cfRule type="duplicateValues" dxfId="1" priority="14089"/>
  </conditionalFormatting>
  <conditionalFormatting sqref="E2645:E2646">
    <cfRule type="duplicateValues" dxfId="1" priority="14387"/>
  </conditionalFormatting>
  <conditionalFormatting sqref="E2649:E2650">
    <cfRule type="duplicateValues" dxfId="1" priority="14264"/>
  </conditionalFormatting>
  <conditionalFormatting sqref="E2651:E2652">
    <cfRule type="duplicateValues" dxfId="1" priority="14296"/>
  </conditionalFormatting>
  <conditionalFormatting sqref="E2653:E2654">
    <cfRule type="duplicateValues" dxfId="1" priority="10543"/>
  </conditionalFormatting>
  <conditionalFormatting sqref="E2656:E2657">
    <cfRule type="duplicateValues" dxfId="1" priority="14261"/>
  </conditionalFormatting>
  <conditionalFormatting sqref="E2658:E2659">
    <cfRule type="duplicateValues" dxfId="1" priority="13846"/>
  </conditionalFormatting>
  <conditionalFormatting sqref="E2660:E2661">
    <cfRule type="duplicateValues" dxfId="1" priority="12373"/>
  </conditionalFormatting>
  <conditionalFormatting sqref="E2662:E2663">
    <cfRule type="duplicateValues" dxfId="1" priority="14064"/>
  </conditionalFormatting>
  <conditionalFormatting sqref="H185:H186">
    <cfRule type="duplicateValues" dxfId="1" priority="11010"/>
  </conditionalFormatting>
  <conditionalFormatting sqref="H187:H190">
    <cfRule type="duplicateValues" dxfId="1" priority="14392"/>
  </conditionalFormatting>
  <conditionalFormatting sqref="H191:H194">
    <cfRule type="duplicateValues" dxfId="1" priority="14394"/>
  </conditionalFormatting>
  <conditionalFormatting sqref="H203:H204">
    <cfRule type="duplicateValues" dxfId="1" priority="14016"/>
  </conditionalFormatting>
  <conditionalFormatting sqref="H779:H782">
    <cfRule type="duplicateValues" dxfId="1" priority="12449"/>
  </conditionalFormatting>
  <conditionalFormatting sqref="H783:H786">
    <cfRule type="duplicateValues" dxfId="1" priority="12570"/>
  </conditionalFormatting>
  <conditionalFormatting sqref="H787:H790">
    <cfRule type="duplicateValues" dxfId="1" priority="11277"/>
  </conditionalFormatting>
  <conditionalFormatting sqref="H1764:H1767">
    <cfRule type="duplicateValues" dxfId="1" priority="12558"/>
  </conditionalFormatting>
  <conditionalFormatting sqref="H1768:H1771">
    <cfRule type="duplicateValues" dxfId="1" priority="10750"/>
  </conditionalFormatting>
  <conditionalFormatting sqref="I2159:I2162">
    <cfRule type="duplicateValues" dxfId="1" priority="3482"/>
  </conditionalFormatting>
  <conditionalFormatting sqref="J132:J133">
    <cfRule type="duplicateValues" dxfId="1" priority="10770"/>
  </conditionalFormatting>
  <conditionalFormatting sqref="Q1370:Q1371">
    <cfRule type="colorScale" priority="8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370:R1371">
    <cfRule type="colorScale" priority="8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70:S1371">
    <cfRule type="colorScale" priority="9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70:T1371">
    <cfRule type="colorScale" priority="9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70:U1371">
    <cfRule type="colorScale" priority="9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370:V1371">
    <cfRule type="colorScale" priority="9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370:W1371">
    <cfRule type="colorScale" priority="7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370:X1371">
    <cfRule type="colorScale" priority="7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70:Y1371">
    <cfRule type="colorScale" priority="8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370:Z1371">
    <cfRule type="colorScale" priority="8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70:AA1371">
    <cfRule type="colorScale" priority="5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370:AB1371">
    <cfRule type="colorScale" priority="5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70:AC1371">
    <cfRule type="colorScale" priority="5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370:AD1371">
    <cfRule type="colorScale" priority="5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70:AE1371">
    <cfRule type="colorScale" priority="6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70:AF1371">
    <cfRule type="colorScale" priority="6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70:AG1371">
    <cfRule type="colorScale" priority="6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370:AH1371">
    <cfRule type="colorScale" priority="6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70:AI1371">
    <cfRule type="colorScale" priority="7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370:AJ1371">
    <cfRule type="colorScale" priority="7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370:AK1371">
    <cfRule type="colorScale" priority="4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370:AL1371">
    <cfRule type="colorScale" priority="4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70:AM1371">
    <cfRule type="colorScale" priority="4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370:AN1371">
    <cfRule type="colorScale" priority="4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370:AO1371">
    <cfRule type="colorScale" priority="3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370:AP1371">
    <cfRule type="colorScale" priority="3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370:AQ1371">
    <cfRule type="colorScale" priority="2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370:AR1371">
    <cfRule type="colorScale" priority="2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70:AS1371">
    <cfRule type="colorScale" priority="1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370:AT1371">
    <cfRule type="colorScale" priority="1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70:AU1371">
    <cfRule type="colorScale" priority="2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370:AV1371">
    <cfRule type="colorScale" priority="2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70:AW1371">
    <cfRule type="colorScale" priority="3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370:AX1371">
    <cfRule type="colorScale" priority="3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70:AY1371">
    <cfRule type="colorScale" priority="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370:AZ1371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70:BA1371">
    <cfRule type="colorScale" priority="1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370:BB1371">
    <cfRule type="colorScale" priority="1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70:BC1371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370:BD1371">
    <cfRule type="colorScale" priority="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70:BE1371">
    <cfRule type="colorScale" priority="12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370:BF1371">
    <cfRule type="colorScale" priority="13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 E10:E32 E184 E53 E101 E93:E96 E60:E72 E56:E58 E89:E90 E205:E208 E237 E129 E112 E134:E141 E147 E143:E144 E295:E308 E157:E180 E252:E257 E242 E199:E200 E197 E187:E195 E233:E234 E317:E319 E377:E380 E372 E393:E396 E406 E420:E430 E411:E415 E401 E466:E469 E474 E347 E324:E334 E339:E344 E336 E499 E519 E1308:E1310 E1226 E1366:E1371 E1189 E1218:E1221 E1261 E1313:E1315 E1239 E1282:E1299 E2377:E2390 E675 E2367:E2374 E667 E658 E2397:E2445 E631 E654:E655 E2088 E2080:E2082 E2078 E2073:E2076 E2051:E2071 E636 E536 E670:E672 E618:E622 E792:E802 E708:E710 E747:E748 E761 E728:E731 E744 E817 E811:E815 E774 E831 E1134:E1139 E1144 E1065 E846 E932:E933 E1044 E997 E1090 E1076:E1077 E983 E907:E909 E980:E981 E902:E904 E947 E1026 E988:E992 E922 E927:E929 E877:E885 E888:E889 E871:E874 E1031 E894:E898 E936 E866:E869 E1252:E1256 E649 E2475:E2488 E2506:E2511 E2496:E2497 E2500:E2501 E2460 E2516:E2519 E2528:E2560 E2565:E2568 E2598:E2623 E2631:E2632 E2491 E2585">
    <cfRule type="duplicateValues" dxfId="1" priority="14432"/>
  </conditionalFormatting>
  <conditionalFormatting sqref="E3:E5 E10:E32 E233:E234 E53 E101 E56:E58 E60:E72 E89:E90 E93:E96 E242 E129 E112 E134:E144 E147 E295:E308 E157:E180 E184 E237 E187:E195 E199:E202 E197 E252:E257 E205:E208 E317:E319 E372 E377:E380 E401 E406 E420:E430 E393:E396 E411:E415 E474 E466:E469 E519 E499 E322:E334 E336 E347 E339:E344 E1261 E1362 E1282:E1299 E1252:E1256 E1189 E1366:E1371 E2367:E2374 E1226 E1218:E1221 E1313:E1315 E1308:E1310 E1239 E2397:E2445 E2377:E2390 E675 E639:E640 E658 E2078 E2051:E2071 E2073:E2076 E2088 E2080:E2082 E536 E670:E672 E636 E654:E655 E667 E811:E818 E708:E710 E728:E731 E744 E761 E747:E748 E792:E802 E774 E831 E960 E1144 E1026 E1090 E846 E1044 E871:E885 E888:E891 E947 E1065 E980:E981 E1076:E1077 E922 E925:E936 E866:E869 E983:E997 E1130:E1131 E894:E909 E1031:E1035 E1134:E1139 E971 E1364 E618:E622 E631 E649 E2565:E2568 E2528:E2560 E2506:E2511 E2475:E2488 E2625:E2632 E2516:E2519 E2500:E2501 E2460 E2590:E2623 E2491 E2496:E2497 E2585">
    <cfRule type="duplicateValues" dxfId="1" priority="14411"/>
  </conditionalFormatting>
  <conditionalFormatting sqref="E3:E32 E295:E308 E187:E208 E41:E72 E89:E101 E125:E129 E280:E282 E271:E273 E157:E184 E134:E147 E237:E246 E221:E224 E215 E112 E227:E228 E231:E234 E251:E257 E317:E347 E466:E474 E372:E384 E519:E527 E389:E406 E439 E411:E434 E499 E1282:E1299 E1218:E1247 E1835:E1838 E1815 E1826 E1856:E1859 E1864:E1867 E1847 E1302:E1315 E1165:E1173 E2397:E2451 E1806 E1423:E1424 E1550 E1358:E1372 E1496:E1500 E1388:E1412 E2230:E2237 E2270:E2277 E2282:E2307 E2262:E2265 E2246:E2253 E2240:E2243 E2367:E2394 E2358 E2336:E2353 E2183:E2192 E2180 E2320:E2331 E2167 E2197:E2200 E2209:E2213 E2078 E2139:E2151 E2080:E2082 E2088:E2089 E2133:E2136 E2051:E2071 E2073:E2076 E1927:E1928 E1931:E1932 E1900:E1901 E1939 E1904:E1917 E1893:E1897 E1922 E1780:E1784 E846 E1144 E922 E914:E919 E960:E962 E860:E869 E1026:E1044 E1074:E1094 E939:E951 E925:E936 E1105:E1117 E1061:E1065 E1122:E1123 E894:E909 E1097:E1100 E1134:E1141 E967:E997 E1126:E1131 E871:E891 E823:E831 E744 E728:E739 E747:E748 E761 E792:E818 E766:E774 E708:E710 E613:E651 E536 E563 E670:E675 E560 E654:E667 E1880 E1189 E1250:E1265 E1820:E1821 E1798:E1801 E1697:E1699 E1680:E1694 E1772:E1775 E1747:E1763 E1677 E1669:E1672 E1660 E1702 E1737:E1744 E1631:E1634 E1543 E1531:E1538 E1567:E1571 E1180:E1182 E1509:E1512 E1576:E1584 E1589:E1618 E1526 E1444:E1471 E1521 E1563 E1647 E1484:E1487 E2684:E1048576 E2662:E2664 E2460 E2506:E2511 E2585 E2655:E2659 E2528:E2568 E2500:E2501 E2666:E2680 E2590:E2652 E2516:E2519 E2496:E2497 E2469:E2491">
    <cfRule type="duplicateValues" dxfId="1" priority="13613"/>
  </conditionalFormatting>
  <conditionalFormatting sqref="BO6:BP32 BO536:BP536 BO89:BP101 BO221:BP224 BO231:BP234 BO134:BP147 BO53:BP72 BO112:BP112 BO125:BP129 BO252:BP257 BO41:BP48 BO273:BP273 BO295:BP308 BO157:BP181 BO280:BP281 BO184:BP184 BO205:BP208 BO187:BP202 BO317:BP319 BO237:BP246 BO322:BP344 BO406:BP406 BO439:BP439 BO466:BP474 BO372:BP384 BO519:BP527 BO389:BP401 BO499:BP499 BO411:BP434 BO347:BP347 BO2666:BP1048576">
    <cfRule type="cellIs" dxfId="0" priority="13589" operator="greaterThan">
      <formula>1</formula>
    </cfRule>
  </conditionalFormatting>
  <conditionalFormatting sqref="BU6:BV32 BU2299:BV2307 BU2320:BV2331 BU2282:BV2294 BU1922:BV1922 BU2133:BV2134 BU2088:BV2089 BU2078:BV2082 BU2073:BV2076 BU2145:BV2151 BU2139:BV2142 BU2051:BV2071 BU1904:BV1915 BU1686:BV1686 BU1747:BV1763 BU1772:BV1775 BU1218:BV1230 BU1618:BV1618 BU1543:BV1543 BU1647:BV1647 BU1631:BV1634 BU1569:BV1571 BU1521:BV1521 BU1847:BV1847 BU1880:BV1880 BU1465:BV1471 BU1509:BV1512 BU1358:BV1371 BU1589:BV1613 BU1580:BV1584 BU1782:BV1784 BU1835:BV1838 BU1864:BV1867 BU1856:BV1859 BU1798:BV1801 BU1820:BV1821 BU1457:BV1460 BU1423:BV1424 BU1826:BV1826 BU1144:BV1144 BU1117:BV1117 BU1122:BV1123 BU1097:BV1100 BU960:BV960 BU914:BV915 BU918:BV919 BU922:BV922 BU925:BV936 BU1026:BV1044 BU894:BV909 BU846:BV846 BU860:BV869 BU939:BV947 BU971:BV997 BU1134:BV1141 BU1128:BV1131 BU1065:BV1065 BU1074:BV1090 BU871:BV891 BU1105:BV1112 BU823:BV831 BU774:BV774 BU761:BV761 BU792:BV818 BU744:BV744 BU728:BV739 BU708:BV710 BU747:BV748 BU614:BV628 BU536:BV536 BU670:BV675 BU654:BV667 BU631:BV651 BU1452:BV1452 BU2230:BV2237 BU1282:BV1299 BU1806:BV1806 BU1741:BV1744 BU1446:BV1449 BU2270:BV2273 BU2246:BV2248 BU1496:BV1500 BU1680:BV1683 BU1189:BV1189 BU1165:BV1168 BU1180:BV1182 BU1173:BV1173 BU2262:BV2265 BU2185:BV2192 BU2358:BV2358 BU1250:BV1261 BU2367:BV2394 BU2209:BV2213 BU2336:BV2353 BU1697:BV1697 BU2180:BV2180 BU1815:BV1815 BU1677:BV1677 BU2253:BV2253 BU1302:BV1315 BU1235:BV1247 BU1689:BV1694 BU2167:BV2167 BU2197:BV2200 BU2240:BV2243 BU231:BV234 BU221:BV224 BU295:BV308 BU125:BV129 BU205:BV208 BU187:BV202 BU53:BV72 BU2397:BV2451 BU41:BV48 BU273:BV273 BU112:BV112 BU184:BV184 BU237:BV246 BU157:BV181 BU280:BV281 BU252:BV257 BU317:BV319 BU322:BV344 BU347:BV347 BU499:BV499 BU372:BV384 BU389:BV401 BU439:BV439 BU411:BV434 BU406:BV406 BU466:BV474 BU519:BV527 BU89:BV101 BU134:BV147 BU2655:BV2657 BU2516:BV2519 BU2469:BV2491 BU2500:BV2501 BU2496:BV2497 BU2634:BV2652 BU2460:BV2460 BU2506:BV2511 BU2666:BV1048576 BU2590:BV2632 BU2662:BV2663 BU2585:BV2585 BU2528:BV2568">
    <cfRule type="cellIs" dxfId="0" priority="14025" operator="greaterThan">
      <formula>1</formula>
    </cfRule>
  </conditionalFormatting>
  <conditionalFormatting sqref="BO33:BP36">
    <cfRule type="cellIs" dxfId="0" priority="10664" operator="greaterThan">
      <formula>1</formula>
    </cfRule>
  </conditionalFormatting>
  <conditionalFormatting sqref="BU33:BV36">
    <cfRule type="cellIs" dxfId="0" priority="10667" operator="greaterThan">
      <formula>1</formula>
    </cfRule>
  </conditionalFormatting>
  <conditionalFormatting sqref="BO37:BP40">
    <cfRule type="cellIs" dxfId="0" priority="10650" operator="greaterThan">
      <formula>1</formula>
    </cfRule>
  </conditionalFormatting>
  <conditionalFormatting sqref="BU37:BV40">
    <cfRule type="cellIs" dxfId="0" priority="10651" operator="greaterThan">
      <formula>1</formula>
    </cfRule>
  </conditionalFormatting>
  <conditionalFormatting sqref="BO49:BP52">
    <cfRule type="cellIs" dxfId="0" priority="13586" operator="greaterThan">
      <formula>1</formula>
    </cfRule>
  </conditionalFormatting>
  <conditionalFormatting sqref="BU49:BV52">
    <cfRule type="cellIs" dxfId="0" priority="13932" operator="greaterThan">
      <formula>1</formula>
    </cfRule>
  </conditionalFormatting>
  <conditionalFormatting sqref="BO73:BP74">
    <cfRule type="cellIs" dxfId="0" priority="12221" operator="greaterThan">
      <formula>1</formula>
    </cfRule>
  </conditionalFormatting>
  <conditionalFormatting sqref="BU73:BV74">
    <cfRule type="cellIs" dxfId="0" priority="12224" operator="greaterThan">
      <formula>1</formula>
    </cfRule>
  </conditionalFormatting>
  <conditionalFormatting sqref="BO75:BP76">
    <cfRule type="cellIs" dxfId="0" priority="12227" operator="greaterThan">
      <formula>1</formula>
    </cfRule>
  </conditionalFormatting>
  <conditionalFormatting sqref="BU75:BV76">
    <cfRule type="cellIs" dxfId="0" priority="12228" operator="greaterThan">
      <formula>1</formula>
    </cfRule>
  </conditionalFormatting>
  <conditionalFormatting sqref="BO77:BP78">
    <cfRule type="cellIs" dxfId="0" priority="11947" operator="greaterThan">
      <formula>1</formula>
    </cfRule>
  </conditionalFormatting>
  <conditionalFormatting sqref="BU77:BV78">
    <cfRule type="cellIs" dxfId="0" priority="11950" operator="greaterThan">
      <formula>1</formula>
    </cfRule>
  </conditionalFormatting>
  <conditionalFormatting sqref="BO79:BP80">
    <cfRule type="cellIs" dxfId="0" priority="11953" operator="greaterThan">
      <formula>1</formula>
    </cfRule>
  </conditionalFormatting>
  <conditionalFormatting sqref="BU79:BV80">
    <cfRule type="cellIs" dxfId="0" priority="11956" operator="greaterThan">
      <formula>1</formula>
    </cfRule>
  </conditionalFormatting>
  <conditionalFormatting sqref="BO81:BP82">
    <cfRule type="cellIs" dxfId="0" priority="13360" operator="greaterThan">
      <formula>1</formula>
    </cfRule>
  </conditionalFormatting>
  <conditionalFormatting sqref="BU81:BV82">
    <cfRule type="cellIs" dxfId="0" priority="13363" operator="greaterThan">
      <formula>1</formula>
    </cfRule>
  </conditionalFormatting>
  <conditionalFormatting sqref="BO83:BP84">
    <cfRule type="cellIs" dxfId="0" priority="13366" operator="greaterThan">
      <formula>1</formula>
    </cfRule>
  </conditionalFormatting>
  <conditionalFormatting sqref="BU83:BV84">
    <cfRule type="cellIs" dxfId="0" priority="13369" operator="greaterThan">
      <formula>1</formula>
    </cfRule>
  </conditionalFormatting>
  <conditionalFormatting sqref="BO85:BP86">
    <cfRule type="cellIs" dxfId="0" priority="12333" operator="greaterThan">
      <formula>1</formula>
    </cfRule>
  </conditionalFormatting>
  <conditionalFormatting sqref="BU85:BV86">
    <cfRule type="cellIs" dxfId="0" priority="12336" operator="greaterThan">
      <formula>1</formula>
    </cfRule>
  </conditionalFormatting>
  <conditionalFormatting sqref="BO87:BP88">
    <cfRule type="cellIs" dxfId="0" priority="12339" operator="greaterThan">
      <formula>1</formula>
    </cfRule>
  </conditionalFormatting>
  <conditionalFormatting sqref="BU87:BV88">
    <cfRule type="cellIs" dxfId="0" priority="12342" operator="greaterThan">
      <formula>1</formula>
    </cfRule>
  </conditionalFormatting>
  <conditionalFormatting sqref="BO102:BP103">
    <cfRule type="cellIs" dxfId="0" priority="10777" operator="greaterThan">
      <formula>1</formula>
    </cfRule>
  </conditionalFormatting>
  <conditionalFormatting sqref="BU102:BV103">
    <cfRule type="cellIs" dxfId="0" priority="10780" operator="greaterThan">
      <formula>1</formula>
    </cfRule>
  </conditionalFormatting>
  <conditionalFormatting sqref="BO104:BP105">
    <cfRule type="cellIs" dxfId="0" priority="10833" operator="greaterThan">
      <formula>1</formula>
    </cfRule>
  </conditionalFormatting>
  <conditionalFormatting sqref="BU104:BV105">
    <cfRule type="cellIs" dxfId="0" priority="10836" operator="greaterThan">
      <formula>1</formula>
    </cfRule>
  </conditionalFormatting>
  <conditionalFormatting sqref="BO106:BP107">
    <cfRule type="cellIs" dxfId="0" priority="10783" operator="greaterThan">
      <formula>1</formula>
    </cfRule>
  </conditionalFormatting>
  <conditionalFormatting sqref="BU106:BV107">
    <cfRule type="cellIs" dxfId="0" priority="10786" operator="greaterThan">
      <formula>1</formula>
    </cfRule>
  </conditionalFormatting>
  <conditionalFormatting sqref="BO108:BP109">
    <cfRule type="cellIs" dxfId="0" priority="13286" operator="greaterThan">
      <formula>1</formula>
    </cfRule>
  </conditionalFormatting>
  <conditionalFormatting sqref="BU108:BV109">
    <cfRule type="cellIs" dxfId="0" priority="13289" operator="greaterThan">
      <formula>1</formula>
    </cfRule>
  </conditionalFormatting>
  <conditionalFormatting sqref="BO110:BP111">
    <cfRule type="cellIs" dxfId="0" priority="11147" operator="greaterThan">
      <formula>1</formula>
    </cfRule>
  </conditionalFormatting>
  <conditionalFormatting sqref="BU110:BV111">
    <cfRule type="cellIs" dxfId="0" priority="11150" operator="greaterThan">
      <formula>1</formula>
    </cfRule>
  </conditionalFormatting>
  <conditionalFormatting sqref="BO113:BP114">
    <cfRule type="cellIs" dxfId="0" priority="13276" operator="greaterThan">
      <formula>1</formula>
    </cfRule>
  </conditionalFormatting>
  <conditionalFormatting sqref="BU113:BV114">
    <cfRule type="cellIs" dxfId="0" priority="13278" operator="greaterThan">
      <formula>1</formula>
    </cfRule>
  </conditionalFormatting>
  <conditionalFormatting sqref="BO115:BP116">
    <cfRule type="cellIs" dxfId="0" priority="13277" operator="greaterThan">
      <formula>1</formula>
    </cfRule>
  </conditionalFormatting>
  <conditionalFormatting sqref="BU115:BV116">
    <cfRule type="cellIs" dxfId="0" priority="13279" operator="greaterThan">
      <formula>1</formula>
    </cfRule>
  </conditionalFormatting>
  <conditionalFormatting sqref="BO117:BP120">
    <cfRule type="cellIs" dxfId="0" priority="13203" operator="greaterThan">
      <formula>1</formula>
    </cfRule>
  </conditionalFormatting>
  <conditionalFormatting sqref="BU117:BV120">
    <cfRule type="cellIs" dxfId="0" priority="13206" operator="greaterThan">
      <formula>1</formula>
    </cfRule>
  </conditionalFormatting>
  <conditionalFormatting sqref="BO121:BP124">
    <cfRule type="cellIs" dxfId="0" priority="13340" operator="greaterThan">
      <formula>1</formula>
    </cfRule>
  </conditionalFormatting>
  <conditionalFormatting sqref="BU121:BV124">
    <cfRule type="cellIs" dxfId="0" priority="13343" operator="greaterThan">
      <formula>1</formula>
    </cfRule>
  </conditionalFormatting>
  <conditionalFormatting sqref="BO130:BP133">
    <cfRule type="cellIs" dxfId="0" priority="11673" operator="greaterThan">
      <formula>1</formula>
    </cfRule>
  </conditionalFormatting>
  <conditionalFormatting sqref="BU130:BV133">
    <cfRule type="cellIs" dxfId="0" priority="11676" operator="greaterThan">
      <formula>1</formula>
    </cfRule>
  </conditionalFormatting>
  <conditionalFormatting sqref="BO148:BP149">
    <cfRule type="cellIs" dxfId="0" priority="11541" operator="greaterThan">
      <formula>1</formula>
    </cfRule>
  </conditionalFormatting>
  <conditionalFormatting sqref="BU148:BV149">
    <cfRule type="cellIs" dxfId="0" priority="11544" operator="greaterThan">
      <formula>1</formula>
    </cfRule>
  </conditionalFormatting>
  <conditionalFormatting sqref="BO150:BP151">
    <cfRule type="cellIs" dxfId="0" priority="11535" operator="greaterThan">
      <formula>1</formula>
    </cfRule>
  </conditionalFormatting>
  <conditionalFormatting sqref="BU150:BV151">
    <cfRule type="cellIs" dxfId="0" priority="11538" operator="greaterThan">
      <formula>1</formula>
    </cfRule>
  </conditionalFormatting>
  <conditionalFormatting sqref="BO152:BP153">
    <cfRule type="cellIs" dxfId="0" priority="11019" operator="greaterThan">
      <formula>1</formula>
    </cfRule>
  </conditionalFormatting>
  <conditionalFormatting sqref="BU152:BV153">
    <cfRule type="cellIs" dxfId="0" priority="11022" operator="greaterThan">
      <formula>1</formula>
    </cfRule>
  </conditionalFormatting>
  <conditionalFormatting sqref="BO154:BP155">
    <cfRule type="cellIs" dxfId="0" priority="11013" operator="greaterThan">
      <formula>1</formula>
    </cfRule>
  </conditionalFormatting>
  <conditionalFormatting sqref="BU154:BV155">
    <cfRule type="cellIs" dxfId="0" priority="11016" operator="greaterThan">
      <formula>1</formula>
    </cfRule>
  </conditionalFormatting>
  <conditionalFormatting sqref="BO182:BP183">
    <cfRule type="cellIs" dxfId="0" priority="13574" operator="greaterThan">
      <formula>1</formula>
    </cfRule>
  </conditionalFormatting>
  <conditionalFormatting sqref="BU182:BV183">
    <cfRule type="cellIs" dxfId="0" priority="13620" operator="greaterThan">
      <formula>1</formula>
    </cfRule>
  </conditionalFormatting>
  <conditionalFormatting sqref="BO185:BP186">
    <cfRule type="cellIs" dxfId="0" priority="11005" operator="greaterThan">
      <formula>1</formula>
    </cfRule>
  </conditionalFormatting>
  <conditionalFormatting sqref="BU185:BV186">
    <cfRule type="cellIs" dxfId="0" priority="11008" operator="greaterThan">
      <formula>1</formula>
    </cfRule>
  </conditionalFormatting>
  <conditionalFormatting sqref="BO203:BP204">
    <cfRule type="cellIs" dxfId="0" priority="13588" operator="greaterThan">
      <formula>1</formula>
    </cfRule>
  </conditionalFormatting>
  <conditionalFormatting sqref="BU203:BV204">
    <cfRule type="cellIs" dxfId="0" priority="14014" operator="greaterThan">
      <formula>1</formula>
    </cfRule>
  </conditionalFormatting>
  <conditionalFormatting sqref="E209:E210 E2665">
    <cfRule type="duplicateValues" dxfId="1" priority="11346"/>
  </conditionalFormatting>
  <conditionalFormatting sqref="BO209:BP210 BO2665:BP2665">
    <cfRule type="cellIs" dxfId="0" priority="11344" operator="greaterThan">
      <formula>1</formula>
    </cfRule>
  </conditionalFormatting>
  <conditionalFormatting sqref="BU209:BV210">
    <cfRule type="cellIs" dxfId="0" priority="11352" operator="greaterThan">
      <formula>1</formula>
    </cfRule>
  </conditionalFormatting>
  <conditionalFormatting sqref="BO211:BP212">
    <cfRule type="cellIs" dxfId="0" priority="11306" operator="greaterThan">
      <formula>1</formula>
    </cfRule>
  </conditionalFormatting>
  <conditionalFormatting sqref="BU211:BV212">
    <cfRule type="cellIs" dxfId="0" priority="11309" operator="greaterThan">
      <formula>1</formula>
    </cfRule>
  </conditionalFormatting>
  <conditionalFormatting sqref="BO213:BP214">
    <cfRule type="cellIs" dxfId="0" priority="11187" operator="greaterThan">
      <formula>1</formula>
    </cfRule>
  </conditionalFormatting>
  <conditionalFormatting sqref="BU213:BV214">
    <cfRule type="cellIs" dxfId="0" priority="11190" operator="greaterThan">
      <formula>1</formula>
    </cfRule>
  </conditionalFormatting>
  <conditionalFormatting sqref="E216:E217 E220">
    <cfRule type="duplicateValues" dxfId="1" priority="12090"/>
  </conditionalFormatting>
  <conditionalFormatting sqref="BO216:BP217 BO220:BP220">
    <cfRule type="cellIs" dxfId="0" priority="12088" operator="greaterThan">
      <formula>1</formula>
    </cfRule>
  </conditionalFormatting>
  <conditionalFormatting sqref="BU216:BV217 BU220:BV220">
    <cfRule type="cellIs" dxfId="0" priority="12091" operator="greaterThan">
      <formula>1</formula>
    </cfRule>
  </conditionalFormatting>
  <conditionalFormatting sqref="BO218:BP219">
    <cfRule type="cellIs" dxfId="0" priority="11667" operator="greaterThan">
      <formula>1</formula>
    </cfRule>
  </conditionalFormatting>
  <conditionalFormatting sqref="BU218:BV219">
    <cfRule type="cellIs" dxfId="0" priority="11670" operator="greaterThan">
      <formula>1</formula>
    </cfRule>
  </conditionalFormatting>
  <conditionalFormatting sqref="BO225:BP226">
    <cfRule type="cellIs" dxfId="0" priority="12108" operator="greaterThan">
      <formula>1</formula>
    </cfRule>
  </conditionalFormatting>
  <conditionalFormatting sqref="BU225:BV226">
    <cfRule type="cellIs" dxfId="0" priority="12111" operator="greaterThan">
      <formula>1</formula>
    </cfRule>
  </conditionalFormatting>
  <conditionalFormatting sqref="BO227:BP228">
    <cfRule type="cellIs" dxfId="0" priority="13582" operator="greaterThan">
      <formula>1</formula>
    </cfRule>
  </conditionalFormatting>
  <conditionalFormatting sqref="BU227:BV228">
    <cfRule type="cellIs" dxfId="0" priority="13835" operator="greaterThan">
      <formula>1</formula>
    </cfRule>
  </conditionalFormatting>
  <conditionalFormatting sqref="BO229:BP230">
    <cfRule type="cellIs" dxfId="0" priority="11335" operator="greaterThan">
      <formula>1</formula>
    </cfRule>
  </conditionalFormatting>
  <conditionalFormatting sqref="BU229:BV230">
    <cfRule type="cellIs" dxfId="0" priority="11338" operator="greaterThan">
      <formula>1</formula>
    </cfRule>
  </conditionalFormatting>
  <conditionalFormatting sqref="BO235:BP236">
    <cfRule type="cellIs" dxfId="0" priority="11871" operator="greaterThan">
      <formula>1</formula>
    </cfRule>
  </conditionalFormatting>
  <conditionalFormatting sqref="BU235:BV236">
    <cfRule type="cellIs" dxfId="0" priority="11874" operator="greaterThan">
      <formula>1</formula>
    </cfRule>
  </conditionalFormatting>
  <conditionalFormatting sqref="BO247:BP250">
    <cfRule type="cellIs" dxfId="0" priority="11554" operator="greaterThan">
      <formula>1</formula>
    </cfRule>
  </conditionalFormatting>
  <conditionalFormatting sqref="BU247:BV250">
    <cfRule type="cellIs" dxfId="0" priority="11557" operator="greaterThan">
      <formula>1</formula>
    </cfRule>
  </conditionalFormatting>
  <conditionalFormatting sqref="BO258:BP259">
    <cfRule type="cellIs" dxfId="0" priority="10731" operator="greaterThan">
      <formula>1</formula>
    </cfRule>
  </conditionalFormatting>
  <conditionalFormatting sqref="BU258:BV259">
    <cfRule type="cellIs" dxfId="0" priority="10734" operator="greaterThan">
      <formula>1</formula>
    </cfRule>
  </conditionalFormatting>
  <conditionalFormatting sqref="BO260:BP261">
    <cfRule type="cellIs" dxfId="0" priority="10725" operator="greaterThan">
      <formula>1</formula>
    </cfRule>
  </conditionalFormatting>
  <conditionalFormatting sqref="BU260:BV261">
    <cfRule type="cellIs" dxfId="0" priority="10728" operator="greaterThan">
      <formula>1</formula>
    </cfRule>
  </conditionalFormatting>
  <conditionalFormatting sqref="E266 E262:E263">
    <cfRule type="duplicateValues" dxfId="1" priority="12076"/>
  </conditionalFormatting>
  <conditionalFormatting sqref="BO266:BP266 BO262:BP263">
    <cfRule type="cellIs" dxfId="0" priority="12071" operator="greaterThan">
      <formula>1</formula>
    </cfRule>
  </conditionalFormatting>
  <conditionalFormatting sqref="BU266:BV266 BU262:BV263">
    <cfRule type="cellIs" dxfId="0" priority="12074" operator="greaterThan">
      <formula>1</formula>
    </cfRule>
  </conditionalFormatting>
  <conditionalFormatting sqref="BO264:BP265">
    <cfRule type="cellIs" dxfId="0" priority="12063" operator="greaterThan">
      <formula>1</formula>
    </cfRule>
  </conditionalFormatting>
  <conditionalFormatting sqref="BU264:BV265">
    <cfRule type="cellIs" dxfId="0" priority="12066" operator="greaterThan">
      <formula>1</formula>
    </cfRule>
  </conditionalFormatting>
  <conditionalFormatting sqref="BO267:BP268">
    <cfRule type="cellIs" dxfId="0" priority="12166" operator="greaterThan">
      <formula>1</formula>
    </cfRule>
  </conditionalFormatting>
  <conditionalFormatting sqref="BU267:BV268">
    <cfRule type="cellIs" dxfId="0" priority="12169" operator="greaterThan">
      <formula>1</formula>
    </cfRule>
  </conditionalFormatting>
  <conditionalFormatting sqref="BO269:BP270">
    <cfRule type="cellIs" dxfId="0" priority="12160" operator="greaterThan">
      <formula>1</formula>
    </cfRule>
  </conditionalFormatting>
  <conditionalFormatting sqref="BU269:BV270">
    <cfRule type="cellIs" dxfId="0" priority="12163" operator="greaterThan">
      <formula>1</formula>
    </cfRule>
  </conditionalFormatting>
  <conditionalFormatting sqref="BO271:BP272">
    <cfRule type="cellIs" dxfId="0" priority="13584" operator="greaterThan">
      <formula>1</formula>
    </cfRule>
  </conditionalFormatting>
  <conditionalFormatting sqref="BU271:BV272">
    <cfRule type="cellIs" dxfId="0" priority="13866" operator="greaterThan">
      <formula>1</formula>
    </cfRule>
  </conditionalFormatting>
  <conditionalFormatting sqref="BO274:BP277">
    <cfRule type="cellIs" dxfId="0" priority="12714" operator="greaterThan">
      <formula>1</formula>
    </cfRule>
  </conditionalFormatting>
  <conditionalFormatting sqref="BU274:BV277">
    <cfRule type="cellIs" dxfId="0" priority="12719" operator="greaterThan">
      <formula>1</formula>
    </cfRule>
  </conditionalFormatting>
  <conditionalFormatting sqref="BO278:BP279">
    <cfRule type="cellIs" dxfId="0" priority="13408" operator="greaterThan">
      <formula>1</formula>
    </cfRule>
  </conditionalFormatting>
  <conditionalFormatting sqref="BU278:BV279">
    <cfRule type="cellIs" dxfId="0" priority="13411" operator="greaterThan">
      <formula>1</formula>
    </cfRule>
  </conditionalFormatting>
  <conditionalFormatting sqref="BO283:BP286">
    <cfRule type="cellIs" dxfId="0" priority="13372" operator="greaterThan">
      <formula>1</formula>
    </cfRule>
  </conditionalFormatting>
  <conditionalFormatting sqref="BU283:BV286">
    <cfRule type="cellIs" dxfId="0" priority="13375" operator="greaterThan">
      <formula>1</formula>
    </cfRule>
  </conditionalFormatting>
  <conditionalFormatting sqref="BO287:BP290">
    <cfRule type="cellIs" dxfId="0" priority="12398" operator="greaterThan">
      <formula>1</formula>
    </cfRule>
  </conditionalFormatting>
  <conditionalFormatting sqref="BU287:BV290">
    <cfRule type="cellIs" dxfId="0" priority="12401" operator="greaterThan">
      <formula>1</formula>
    </cfRule>
  </conditionalFormatting>
  <conditionalFormatting sqref="BO291:BP294">
    <cfRule type="cellIs" dxfId="0" priority="12670" operator="greaterThan">
      <formula>1</formula>
    </cfRule>
  </conditionalFormatting>
  <conditionalFormatting sqref="BU291:BV294">
    <cfRule type="cellIs" dxfId="0" priority="12673" operator="greaterThan">
      <formula>1</formula>
    </cfRule>
  </conditionalFormatting>
  <conditionalFormatting sqref="BO309:BP312">
    <cfRule type="cellIs" dxfId="0" priority="11051" operator="greaterThan">
      <formula>1</formula>
    </cfRule>
  </conditionalFormatting>
  <conditionalFormatting sqref="BU309:BV312">
    <cfRule type="cellIs" dxfId="0" priority="11054" operator="greaterThan">
      <formula>1</formula>
    </cfRule>
  </conditionalFormatting>
  <conditionalFormatting sqref="BO313:BP316">
    <cfRule type="cellIs" dxfId="0" priority="3493" operator="greaterThan">
      <formula>1</formula>
    </cfRule>
  </conditionalFormatting>
  <conditionalFormatting sqref="BU313:BV316">
    <cfRule type="cellIs" dxfId="0" priority="3496" operator="greaterThan">
      <formula>1</formula>
    </cfRule>
  </conditionalFormatting>
  <conditionalFormatting sqref="BO320:BP321">
    <cfRule type="cellIs" dxfId="0" priority="13579" operator="greaterThan">
      <formula>1</formula>
    </cfRule>
  </conditionalFormatting>
  <conditionalFormatting sqref="BU320:BV321">
    <cfRule type="cellIs" dxfId="0" priority="13652" operator="greaterThan">
      <formula>1</formula>
    </cfRule>
  </conditionalFormatting>
  <conditionalFormatting sqref="BO345:BP346">
    <cfRule type="cellIs" dxfId="0" priority="13581" operator="greaterThan">
      <formula>1</formula>
    </cfRule>
  </conditionalFormatting>
  <conditionalFormatting sqref="BU345:BV346">
    <cfRule type="cellIs" dxfId="0" priority="13766" operator="greaterThan">
      <formula>1</formula>
    </cfRule>
  </conditionalFormatting>
  <conditionalFormatting sqref="BO348:BP349">
    <cfRule type="cellIs" dxfId="0" priority="10194" operator="greaterThan">
      <formula>1</formula>
    </cfRule>
  </conditionalFormatting>
  <conditionalFormatting sqref="BU348:BV349">
    <cfRule type="cellIs" dxfId="0" priority="10198" operator="greaterThan">
      <formula>1</formula>
    </cfRule>
  </conditionalFormatting>
  <conditionalFormatting sqref="BO350:BP351">
    <cfRule type="cellIs" dxfId="0" priority="10195" operator="greaterThan">
      <formula>1</formula>
    </cfRule>
  </conditionalFormatting>
  <conditionalFormatting sqref="BU350:BV351">
    <cfRule type="cellIs" dxfId="0" priority="10201" operator="greaterThan">
      <formula>1</formula>
    </cfRule>
  </conditionalFormatting>
  <conditionalFormatting sqref="BO352:BP353">
    <cfRule type="cellIs" dxfId="0" priority="9495" operator="greaterThan">
      <formula>1</formula>
    </cfRule>
  </conditionalFormatting>
  <conditionalFormatting sqref="BU352:BV353">
    <cfRule type="cellIs" dxfId="0" priority="9499" operator="greaterThan">
      <formula>1</formula>
    </cfRule>
  </conditionalFormatting>
  <conditionalFormatting sqref="BO354:BP355">
    <cfRule type="cellIs" dxfId="0" priority="9496" operator="greaterThan">
      <formula>1</formula>
    </cfRule>
  </conditionalFormatting>
  <conditionalFormatting sqref="BU354:BV355">
    <cfRule type="cellIs" dxfId="0" priority="9502" operator="greaterThan">
      <formula>1</formula>
    </cfRule>
  </conditionalFormatting>
  <conditionalFormatting sqref="BO356:BP357">
    <cfRule type="cellIs" dxfId="0" priority="13527" operator="greaterThan">
      <formula>1</formula>
    </cfRule>
  </conditionalFormatting>
  <conditionalFormatting sqref="BU356:BV357">
    <cfRule type="cellIs" dxfId="0" priority="13531" operator="greaterThan">
      <formula>1</formula>
    </cfRule>
  </conditionalFormatting>
  <conditionalFormatting sqref="BO358:BP359">
    <cfRule type="cellIs" dxfId="0" priority="13528" operator="greaterThan">
      <formula>1</formula>
    </cfRule>
  </conditionalFormatting>
  <conditionalFormatting sqref="BU358:BV359">
    <cfRule type="cellIs" dxfId="0" priority="13534" operator="greaterThan">
      <formula>1</formula>
    </cfRule>
  </conditionalFormatting>
  <conditionalFormatting sqref="BO360:BP361">
    <cfRule type="cellIs" dxfId="0" priority="13509" operator="greaterThan">
      <formula>1</formula>
    </cfRule>
  </conditionalFormatting>
  <conditionalFormatting sqref="BU360:BV361">
    <cfRule type="cellIs" dxfId="0" priority="13513" operator="greaterThan">
      <formula>1</formula>
    </cfRule>
  </conditionalFormatting>
  <conditionalFormatting sqref="BO362:BP363">
    <cfRule type="cellIs" dxfId="0" priority="13510" operator="greaterThan">
      <formula>1</formula>
    </cfRule>
  </conditionalFormatting>
  <conditionalFormatting sqref="BU362:BV363">
    <cfRule type="cellIs" dxfId="0" priority="13516" operator="greaterThan">
      <formula>1</formula>
    </cfRule>
  </conditionalFormatting>
  <conditionalFormatting sqref="BO364:BP365">
    <cfRule type="cellIs" dxfId="0" priority="13292" operator="greaterThan">
      <formula>1</formula>
    </cfRule>
  </conditionalFormatting>
  <conditionalFormatting sqref="BU364:BV365">
    <cfRule type="cellIs" dxfId="0" priority="13296" operator="greaterThan">
      <formula>1</formula>
    </cfRule>
  </conditionalFormatting>
  <conditionalFormatting sqref="BO366:BP367">
    <cfRule type="cellIs" dxfId="0" priority="13293" operator="greaterThan">
      <formula>1</formula>
    </cfRule>
  </conditionalFormatting>
  <conditionalFormatting sqref="BU366:BV367">
    <cfRule type="cellIs" dxfId="0" priority="13299" operator="greaterThan">
      <formula>1</formula>
    </cfRule>
  </conditionalFormatting>
  <conditionalFormatting sqref="BO368:BP369">
    <cfRule type="cellIs" dxfId="0" priority="12585" operator="greaterThan">
      <formula>1</formula>
    </cfRule>
  </conditionalFormatting>
  <conditionalFormatting sqref="BU368:BV369">
    <cfRule type="cellIs" dxfId="0" priority="12589" operator="greaterThan">
      <formula>1</formula>
    </cfRule>
  </conditionalFormatting>
  <conditionalFormatting sqref="BO370:BP371">
    <cfRule type="cellIs" dxfId="0" priority="12586" operator="greaterThan">
      <formula>1</formula>
    </cfRule>
  </conditionalFormatting>
  <conditionalFormatting sqref="BU370:BV371">
    <cfRule type="cellIs" dxfId="0" priority="12592" operator="greaterThan">
      <formula>1</formula>
    </cfRule>
  </conditionalFormatting>
  <conditionalFormatting sqref="BO385:BP388">
    <cfRule type="cellIs" dxfId="0" priority="10265" operator="greaterThan">
      <formula>1</formula>
    </cfRule>
  </conditionalFormatting>
  <conditionalFormatting sqref="BU385:BV388">
    <cfRule type="cellIs" dxfId="0" priority="10268" operator="greaterThan">
      <formula>1</formula>
    </cfRule>
  </conditionalFormatting>
  <conditionalFormatting sqref="BO402:BP405">
    <cfRule type="cellIs" dxfId="0" priority="13578" operator="greaterThan">
      <formula>1</formula>
    </cfRule>
  </conditionalFormatting>
  <conditionalFormatting sqref="BU402:BV405">
    <cfRule type="cellIs" dxfId="0" priority="13646" operator="greaterThan">
      <formula>1</formula>
    </cfRule>
  </conditionalFormatting>
  <conditionalFormatting sqref="BO407:BP408">
    <cfRule type="cellIs" dxfId="0" priority="11779" operator="greaterThan">
      <formula>1</formula>
    </cfRule>
  </conditionalFormatting>
  <conditionalFormatting sqref="BU407:BV408">
    <cfRule type="cellIs" dxfId="0" priority="11781" operator="greaterThan">
      <formula>1</formula>
    </cfRule>
  </conditionalFormatting>
  <conditionalFormatting sqref="BO409:BP410">
    <cfRule type="cellIs" dxfId="0" priority="11780" operator="greaterThan">
      <formula>1</formula>
    </cfRule>
  </conditionalFormatting>
  <conditionalFormatting sqref="BU409:BV410">
    <cfRule type="cellIs" dxfId="0" priority="11782" operator="greaterThan">
      <formula>1</formula>
    </cfRule>
  </conditionalFormatting>
  <conditionalFormatting sqref="E431 E433">
    <cfRule type="duplicateValues" dxfId="1" priority="14125"/>
  </conditionalFormatting>
  <conditionalFormatting sqref="E435 E437">
    <cfRule type="duplicateValues" dxfId="1" priority="11820"/>
  </conditionalFormatting>
  <conditionalFormatting sqref="BO435:BP438">
    <cfRule type="cellIs" dxfId="0" priority="11811" operator="greaterThan">
      <formula>1</formula>
    </cfRule>
  </conditionalFormatting>
  <conditionalFormatting sqref="BU435:BV438">
    <cfRule type="cellIs" dxfId="0" priority="11814" operator="greaterThan">
      <formula>1</formula>
    </cfRule>
  </conditionalFormatting>
  <conditionalFormatting sqref="BO440:BP441">
    <cfRule type="cellIs" dxfId="0" priority="10383" operator="greaterThan">
      <formula>1</formula>
    </cfRule>
  </conditionalFormatting>
  <conditionalFormatting sqref="BU440:BV441">
    <cfRule type="cellIs" dxfId="0" priority="10387" operator="greaterThan">
      <formula>1</formula>
    </cfRule>
  </conditionalFormatting>
  <conditionalFormatting sqref="BO442:BP443">
    <cfRule type="cellIs" dxfId="0" priority="10384" operator="greaterThan">
      <formula>1</formula>
    </cfRule>
  </conditionalFormatting>
  <conditionalFormatting sqref="BU442:BV443">
    <cfRule type="cellIs" dxfId="0" priority="10390" operator="greaterThan">
      <formula>1</formula>
    </cfRule>
  </conditionalFormatting>
  <conditionalFormatting sqref="BO444:BP445">
    <cfRule type="cellIs" dxfId="0" priority="12619" operator="greaterThan">
      <formula>1</formula>
    </cfRule>
  </conditionalFormatting>
  <conditionalFormatting sqref="BU444:BV445">
    <cfRule type="cellIs" dxfId="0" priority="12623" operator="greaterThan">
      <formula>1</formula>
    </cfRule>
  </conditionalFormatting>
  <conditionalFormatting sqref="BO446:BP447">
    <cfRule type="cellIs" dxfId="0" priority="12620" operator="greaterThan">
      <formula>1</formula>
    </cfRule>
  </conditionalFormatting>
  <conditionalFormatting sqref="BU446:BV447">
    <cfRule type="cellIs" dxfId="0" priority="12626" operator="greaterThan">
      <formula>1</formula>
    </cfRule>
  </conditionalFormatting>
  <conditionalFormatting sqref="BO448:BP449">
    <cfRule type="cellIs" dxfId="0" priority="11372" operator="greaterThan">
      <formula>1</formula>
    </cfRule>
  </conditionalFormatting>
  <conditionalFormatting sqref="BU448:BV449">
    <cfRule type="cellIs" dxfId="0" priority="11376" operator="greaterThan">
      <formula>1</formula>
    </cfRule>
  </conditionalFormatting>
  <conditionalFormatting sqref="BO450:BP451">
    <cfRule type="cellIs" dxfId="0" priority="11373" operator="greaterThan">
      <formula>1</formula>
    </cfRule>
  </conditionalFormatting>
  <conditionalFormatting sqref="BU450:BV451">
    <cfRule type="cellIs" dxfId="0" priority="11379" operator="greaterThan">
      <formula>1</formula>
    </cfRule>
  </conditionalFormatting>
  <conditionalFormatting sqref="BO453:BP454">
    <cfRule type="cellIs" dxfId="0" priority="11137" operator="greaterThan">
      <formula>1</formula>
    </cfRule>
  </conditionalFormatting>
  <conditionalFormatting sqref="BU453:BV454">
    <cfRule type="cellIs" dxfId="0" priority="11141" operator="greaterThan">
      <formula>1</formula>
    </cfRule>
  </conditionalFormatting>
  <conditionalFormatting sqref="BO455:BP456">
    <cfRule type="cellIs" dxfId="0" priority="11138" operator="greaterThan">
      <formula>1</formula>
    </cfRule>
  </conditionalFormatting>
  <conditionalFormatting sqref="BU455:BV456">
    <cfRule type="cellIs" dxfId="0" priority="11144" operator="greaterThan">
      <formula>1</formula>
    </cfRule>
  </conditionalFormatting>
  <conditionalFormatting sqref="BO457:BP458">
    <cfRule type="cellIs" dxfId="0" priority="11035" operator="greaterThan">
      <formula>1</formula>
    </cfRule>
  </conditionalFormatting>
  <conditionalFormatting sqref="BU457:BV458">
    <cfRule type="cellIs" dxfId="0" priority="11039" operator="greaterThan">
      <formula>1</formula>
    </cfRule>
  </conditionalFormatting>
  <conditionalFormatting sqref="BO459:BP460">
    <cfRule type="cellIs" dxfId="0" priority="11036" operator="greaterThan">
      <formula>1</formula>
    </cfRule>
  </conditionalFormatting>
  <conditionalFormatting sqref="BU459:BV460">
    <cfRule type="cellIs" dxfId="0" priority="11042" operator="greaterThan">
      <formula>1</formula>
    </cfRule>
  </conditionalFormatting>
  <conditionalFormatting sqref="BO461:BP462">
    <cfRule type="cellIs" dxfId="0" priority="12424" operator="greaterThan">
      <formula>1</formula>
    </cfRule>
  </conditionalFormatting>
  <conditionalFormatting sqref="BU461:BV462">
    <cfRule type="cellIs" dxfId="0" priority="12428" operator="greaterThan">
      <formula>1</formula>
    </cfRule>
  </conditionalFormatting>
  <conditionalFormatting sqref="BO463:BP464">
    <cfRule type="cellIs" dxfId="0" priority="12425" operator="greaterThan">
      <formula>1</formula>
    </cfRule>
  </conditionalFormatting>
  <conditionalFormatting sqref="BU463:BV464">
    <cfRule type="cellIs" dxfId="0" priority="12431" operator="greaterThan">
      <formula>1</formula>
    </cfRule>
  </conditionalFormatting>
  <conditionalFormatting sqref="BO475:BP476">
    <cfRule type="cellIs" dxfId="0" priority="10160" operator="greaterThan">
      <formula>1</formula>
    </cfRule>
  </conditionalFormatting>
  <conditionalFormatting sqref="BU475:BV476">
    <cfRule type="cellIs" dxfId="0" priority="10164" operator="greaterThan">
      <formula>1</formula>
    </cfRule>
  </conditionalFormatting>
  <conditionalFormatting sqref="BO477:BP478">
    <cfRule type="cellIs" dxfId="0" priority="10161" operator="greaterThan">
      <formula>1</formula>
    </cfRule>
  </conditionalFormatting>
  <conditionalFormatting sqref="BU477:BV478">
    <cfRule type="cellIs" dxfId="0" priority="10167" operator="greaterThan">
      <formula>1</formula>
    </cfRule>
  </conditionalFormatting>
  <conditionalFormatting sqref="BO479:BP480">
    <cfRule type="cellIs" dxfId="0" priority="12678" operator="greaterThan">
      <formula>1</formula>
    </cfRule>
  </conditionalFormatting>
  <conditionalFormatting sqref="BU479:BV480">
    <cfRule type="cellIs" dxfId="0" priority="12682" operator="greaterThan">
      <formula>1</formula>
    </cfRule>
  </conditionalFormatting>
  <conditionalFormatting sqref="BO481:BP482">
    <cfRule type="cellIs" dxfId="0" priority="12679" operator="greaterThan">
      <formula>1</formula>
    </cfRule>
  </conditionalFormatting>
  <conditionalFormatting sqref="BU481:BV482">
    <cfRule type="cellIs" dxfId="0" priority="12685" operator="greaterThan">
      <formula>1</formula>
    </cfRule>
  </conditionalFormatting>
  <conditionalFormatting sqref="BO483:BP484">
    <cfRule type="cellIs" dxfId="0" priority="11284" operator="greaterThan">
      <formula>1</formula>
    </cfRule>
  </conditionalFormatting>
  <conditionalFormatting sqref="BU483:BV484">
    <cfRule type="cellIs" dxfId="0" priority="11288" operator="greaterThan">
      <formula>1</formula>
    </cfRule>
  </conditionalFormatting>
  <conditionalFormatting sqref="BO485:BP486">
    <cfRule type="cellIs" dxfId="0" priority="11285" operator="greaterThan">
      <formula>1</formula>
    </cfRule>
  </conditionalFormatting>
  <conditionalFormatting sqref="BU485:BV486">
    <cfRule type="cellIs" dxfId="0" priority="11291" operator="greaterThan">
      <formula>1</formula>
    </cfRule>
  </conditionalFormatting>
  <conditionalFormatting sqref="BO487:BP488">
    <cfRule type="cellIs" dxfId="0" priority="12720" operator="greaterThan">
      <formula>1</formula>
    </cfRule>
  </conditionalFormatting>
  <conditionalFormatting sqref="BU487:BV488">
    <cfRule type="cellIs" dxfId="0" priority="12724" operator="greaterThan">
      <formula>1</formula>
    </cfRule>
  </conditionalFormatting>
  <conditionalFormatting sqref="BO489:BP490">
    <cfRule type="cellIs" dxfId="0" priority="12721" operator="greaterThan">
      <formula>1</formula>
    </cfRule>
  </conditionalFormatting>
  <conditionalFormatting sqref="BU489:BV490">
    <cfRule type="cellIs" dxfId="0" priority="12727" operator="greaterThan">
      <formula>1</formula>
    </cfRule>
  </conditionalFormatting>
  <conditionalFormatting sqref="BO491:BP492">
    <cfRule type="cellIs" dxfId="0" priority="13173" operator="greaterThan">
      <formula>1</formula>
    </cfRule>
  </conditionalFormatting>
  <conditionalFormatting sqref="BU491:BV492">
    <cfRule type="cellIs" dxfId="0" priority="13177" operator="greaterThan">
      <formula>1</formula>
    </cfRule>
  </conditionalFormatting>
  <conditionalFormatting sqref="BO493:BP494">
    <cfRule type="cellIs" dxfId="0" priority="13174" operator="greaterThan">
      <formula>1</formula>
    </cfRule>
  </conditionalFormatting>
  <conditionalFormatting sqref="BU493:BV494">
    <cfRule type="cellIs" dxfId="0" priority="13180" operator="greaterThan">
      <formula>1</formula>
    </cfRule>
  </conditionalFormatting>
  <conditionalFormatting sqref="BO495:BP496">
    <cfRule type="cellIs" dxfId="0" priority="12263" operator="greaterThan">
      <formula>1</formula>
    </cfRule>
  </conditionalFormatting>
  <conditionalFormatting sqref="BU495:BV496">
    <cfRule type="cellIs" dxfId="0" priority="12267" operator="greaterThan">
      <formula>1</formula>
    </cfRule>
  </conditionalFormatting>
  <conditionalFormatting sqref="BO497:BP498">
    <cfRule type="cellIs" dxfId="0" priority="12264" operator="greaterThan">
      <formula>1</formula>
    </cfRule>
  </conditionalFormatting>
  <conditionalFormatting sqref="BU497:BV498">
    <cfRule type="cellIs" dxfId="0" priority="12270" operator="greaterThan">
      <formula>1</formula>
    </cfRule>
  </conditionalFormatting>
  <conditionalFormatting sqref="E500:E503 E506">
    <cfRule type="duplicateValues" dxfId="1" priority="11883"/>
  </conditionalFormatting>
  <conditionalFormatting sqref="BO500:BP503 BO506:BP506">
    <cfRule type="cellIs" dxfId="0" priority="11881" operator="greaterThan">
      <formula>1</formula>
    </cfRule>
  </conditionalFormatting>
  <conditionalFormatting sqref="BU500:BV503 BU506:BV506">
    <cfRule type="cellIs" dxfId="0" priority="11884" operator="greaterThan">
      <formula>1</formula>
    </cfRule>
  </conditionalFormatting>
  <conditionalFormatting sqref="BO504:BP505">
    <cfRule type="cellIs" dxfId="0" priority="10907" operator="greaterThan">
      <formula>1</formula>
    </cfRule>
  </conditionalFormatting>
  <conditionalFormatting sqref="BU504:BV505">
    <cfRule type="cellIs" dxfId="0" priority="10910" operator="greaterThan">
      <formula>1</formula>
    </cfRule>
  </conditionalFormatting>
  <conditionalFormatting sqref="BO507:BP510">
    <cfRule type="cellIs" dxfId="0" priority="10217" operator="greaterThan">
      <formula>1</formula>
    </cfRule>
  </conditionalFormatting>
  <conditionalFormatting sqref="BU507:BV510">
    <cfRule type="cellIs" dxfId="0" priority="10220" operator="greaterThan">
      <formula>1</formula>
    </cfRule>
  </conditionalFormatting>
  <conditionalFormatting sqref="BO511:BP512">
    <cfRule type="cellIs" dxfId="0" priority="11065" operator="greaterThan">
      <formula>1</formula>
    </cfRule>
  </conditionalFormatting>
  <conditionalFormatting sqref="BU511:BV512">
    <cfRule type="cellIs" dxfId="0" priority="11069" operator="greaterThan">
      <formula>1</formula>
    </cfRule>
  </conditionalFormatting>
  <conditionalFormatting sqref="BO513:BP514">
    <cfRule type="cellIs" dxfId="0" priority="11066" operator="greaterThan">
      <formula>1</formula>
    </cfRule>
  </conditionalFormatting>
  <conditionalFormatting sqref="BU513:BV514">
    <cfRule type="cellIs" dxfId="0" priority="11072" operator="greaterThan">
      <formula>1</formula>
    </cfRule>
  </conditionalFormatting>
  <conditionalFormatting sqref="BO515:BP516">
    <cfRule type="cellIs" dxfId="0" priority="11657" operator="greaterThan">
      <formula>1</formula>
    </cfRule>
  </conditionalFormatting>
  <conditionalFormatting sqref="BU515:BV516">
    <cfRule type="cellIs" dxfId="0" priority="11661" operator="greaterThan">
      <formula>1</formula>
    </cfRule>
  </conditionalFormatting>
  <conditionalFormatting sqref="BO517:BP518">
    <cfRule type="cellIs" dxfId="0" priority="11658" operator="greaterThan">
      <formula>1</formula>
    </cfRule>
  </conditionalFormatting>
  <conditionalFormatting sqref="BU517:BV518">
    <cfRule type="cellIs" dxfId="0" priority="11664" operator="greaterThan">
      <formula>1</formula>
    </cfRule>
  </conditionalFormatting>
  <conditionalFormatting sqref="BO528:BP531">
    <cfRule type="cellIs" dxfId="0" priority="7003" operator="greaterThan">
      <formula>1</formula>
    </cfRule>
  </conditionalFormatting>
  <conditionalFormatting sqref="BU528:BV531">
    <cfRule type="cellIs" dxfId="0" priority="7006" operator="greaterThan">
      <formula>1</formula>
    </cfRule>
  </conditionalFormatting>
  <conditionalFormatting sqref="BO532:BP535">
    <cfRule type="cellIs" dxfId="0" priority="12541" operator="greaterThan">
      <formula>1</formula>
    </cfRule>
  </conditionalFormatting>
  <conditionalFormatting sqref="BU532:BV535">
    <cfRule type="cellIs" dxfId="0" priority="12544" operator="greaterThan">
      <formula>1</formula>
    </cfRule>
  </conditionalFormatting>
  <conditionalFormatting sqref="BO537:BP540">
    <cfRule type="cellIs" dxfId="0" priority="11204" operator="greaterThan">
      <formula>1</formula>
    </cfRule>
  </conditionalFormatting>
  <conditionalFormatting sqref="BU537:BV540">
    <cfRule type="cellIs" dxfId="0" priority="11207" operator="greaterThan">
      <formula>1</formula>
    </cfRule>
  </conditionalFormatting>
  <conditionalFormatting sqref="BO541:BP544">
    <cfRule type="cellIs" dxfId="0" priority="11679" operator="greaterThan">
      <formula>1</formula>
    </cfRule>
  </conditionalFormatting>
  <conditionalFormatting sqref="BU541:BV544">
    <cfRule type="cellIs" dxfId="0" priority="11682" operator="greaterThan">
      <formula>1</formula>
    </cfRule>
  </conditionalFormatting>
  <conditionalFormatting sqref="BO545:BP548">
    <cfRule type="cellIs" dxfId="0" priority="11755" operator="greaterThan">
      <formula>1</formula>
    </cfRule>
  </conditionalFormatting>
  <conditionalFormatting sqref="BU545:BV548">
    <cfRule type="cellIs" dxfId="0" priority="11758" operator="greaterThan">
      <formula>1</formula>
    </cfRule>
  </conditionalFormatting>
  <conditionalFormatting sqref="BO549:BP552">
    <cfRule type="cellIs" dxfId="0" priority="11572" operator="greaterThan">
      <formula>1</formula>
    </cfRule>
  </conditionalFormatting>
  <conditionalFormatting sqref="BU549:BV552">
    <cfRule type="cellIs" dxfId="0" priority="11575" operator="greaterThan">
      <formula>1</formula>
    </cfRule>
  </conditionalFormatting>
  <conditionalFormatting sqref="BO553:BP556">
    <cfRule type="cellIs" dxfId="0" priority="10351" operator="greaterThan">
      <formula>1</formula>
    </cfRule>
  </conditionalFormatting>
  <conditionalFormatting sqref="BU553:BV556">
    <cfRule type="cellIs" dxfId="0" priority="10354" operator="greaterThan">
      <formula>1</formula>
    </cfRule>
  </conditionalFormatting>
  <conditionalFormatting sqref="BO558:BP559">
    <cfRule type="cellIs" dxfId="0" priority="12152" operator="greaterThan">
      <formula>1</formula>
    </cfRule>
  </conditionalFormatting>
  <conditionalFormatting sqref="BU558:BV559">
    <cfRule type="cellIs" dxfId="0" priority="12155" operator="greaterThan">
      <formula>1</formula>
    </cfRule>
  </conditionalFormatting>
  <conditionalFormatting sqref="BO561:BP562">
    <cfRule type="cellIs" dxfId="0" priority="13553" operator="greaterThan">
      <formula>1</formula>
    </cfRule>
  </conditionalFormatting>
  <conditionalFormatting sqref="BU561:BV562">
    <cfRule type="cellIs" dxfId="0" priority="13558" operator="greaterThan">
      <formula>1</formula>
    </cfRule>
  </conditionalFormatting>
  <conditionalFormatting sqref="BO564:BP565">
    <cfRule type="cellIs" dxfId="0" priority="12190" operator="greaterThan">
      <formula>1</formula>
    </cfRule>
  </conditionalFormatting>
  <conditionalFormatting sqref="BU564:BV565">
    <cfRule type="cellIs" dxfId="0" priority="12195" operator="greaterThan">
      <formula>1</formula>
    </cfRule>
  </conditionalFormatting>
  <conditionalFormatting sqref="BO566:BP567">
    <cfRule type="cellIs" dxfId="0" priority="12196" operator="greaterThan">
      <formula>1</formula>
    </cfRule>
  </conditionalFormatting>
  <conditionalFormatting sqref="BU566:BV567">
    <cfRule type="cellIs" dxfId="0" priority="12201" operator="greaterThan">
      <formula>1</formula>
    </cfRule>
  </conditionalFormatting>
  <conditionalFormatting sqref="BO568:BP569">
    <cfRule type="cellIs" dxfId="0" priority="12178" operator="greaterThan">
      <formula>1</formula>
    </cfRule>
  </conditionalFormatting>
  <conditionalFormatting sqref="BU568:BV569">
    <cfRule type="cellIs" dxfId="0" priority="12183" operator="greaterThan">
      <formula>1</formula>
    </cfRule>
  </conditionalFormatting>
  <conditionalFormatting sqref="BO570:BP571">
    <cfRule type="cellIs" dxfId="0" priority="12184" operator="greaterThan">
      <formula>1</formula>
    </cfRule>
  </conditionalFormatting>
  <conditionalFormatting sqref="BU570:BV571">
    <cfRule type="cellIs" dxfId="0" priority="12189" operator="greaterThan">
      <formula>1</formula>
    </cfRule>
  </conditionalFormatting>
  <conditionalFormatting sqref="BO572:BP573">
    <cfRule type="cellIs" dxfId="0" priority="12202" operator="greaterThan">
      <formula>1</formula>
    </cfRule>
  </conditionalFormatting>
  <conditionalFormatting sqref="BU572:BV573">
    <cfRule type="cellIs" dxfId="0" priority="12207" operator="greaterThan">
      <formula>1</formula>
    </cfRule>
  </conditionalFormatting>
  <conditionalFormatting sqref="BO574:BP575">
    <cfRule type="cellIs" dxfId="0" priority="12209" operator="greaterThan">
      <formula>1</formula>
    </cfRule>
  </conditionalFormatting>
  <conditionalFormatting sqref="BU574:BV575">
    <cfRule type="cellIs" dxfId="0" priority="12214" operator="greaterThan">
      <formula>1</formula>
    </cfRule>
  </conditionalFormatting>
  <conditionalFormatting sqref="BO577:BP578">
    <cfRule type="cellIs" dxfId="0" priority="12304" operator="greaterThan">
      <formula>1</formula>
    </cfRule>
  </conditionalFormatting>
  <conditionalFormatting sqref="BU577:BV578">
    <cfRule type="cellIs" dxfId="0" priority="12309" operator="greaterThan">
      <formula>1</formula>
    </cfRule>
  </conditionalFormatting>
  <conditionalFormatting sqref="BO579:BP580">
    <cfRule type="cellIs" dxfId="0" priority="12311" operator="greaterThan">
      <formula>1</formula>
    </cfRule>
  </conditionalFormatting>
  <conditionalFormatting sqref="BU579:BV580">
    <cfRule type="cellIs" dxfId="0" priority="12316" operator="greaterThan">
      <formula>1</formula>
    </cfRule>
  </conditionalFormatting>
  <conditionalFormatting sqref="BO582:BP583">
    <cfRule type="cellIs" dxfId="0" priority="12114" operator="greaterThan">
      <formula>1</formula>
    </cfRule>
  </conditionalFormatting>
  <conditionalFormatting sqref="BU582:BV583">
    <cfRule type="cellIs" dxfId="0" priority="12119" operator="greaterThan">
      <formula>1</formula>
    </cfRule>
  </conditionalFormatting>
  <conditionalFormatting sqref="BO584:BP585">
    <cfRule type="cellIs" dxfId="0" priority="12121" operator="greaterThan">
      <formula>1</formula>
    </cfRule>
  </conditionalFormatting>
  <conditionalFormatting sqref="BU584:BV585">
    <cfRule type="cellIs" dxfId="0" priority="12126" operator="greaterThan">
      <formula>1</formula>
    </cfRule>
  </conditionalFormatting>
  <conditionalFormatting sqref="BO586:BP587">
    <cfRule type="cellIs" dxfId="0" priority="11627" operator="greaterThan">
      <formula>1</formula>
    </cfRule>
  </conditionalFormatting>
  <conditionalFormatting sqref="BU586:BV587">
    <cfRule type="cellIs" dxfId="0" priority="11632" operator="greaterThan">
      <formula>1</formula>
    </cfRule>
  </conditionalFormatting>
  <conditionalFormatting sqref="BO588:BP589">
    <cfRule type="cellIs" dxfId="0" priority="11633" operator="greaterThan">
      <formula>1</formula>
    </cfRule>
  </conditionalFormatting>
  <conditionalFormatting sqref="BU588:BV589">
    <cfRule type="cellIs" dxfId="0" priority="11638" operator="greaterThan">
      <formula>1</formula>
    </cfRule>
  </conditionalFormatting>
  <conditionalFormatting sqref="BO590:BP591">
    <cfRule type="cellIs" dxfId="0" priority="11639" operator="greaterThan">
      <formula>1</formula>
    </cfRule>
  </conditionalFormatting>
  <conditionalFormatting sqref="BU590:BV591">
    <cfRule type="cellIs" dxfId="0" priority="11644" operator="greaterThan">
      <formula>1</formula>
    </cfRule>
  </conditionalFormatting>
  <conditionalFormatting sqref="BO592:BP593">
    <cfRule type="cellIs" dxfId="0" priority="11645" operator="greaterThan">
      <formula>1</formula>
    </cfRule>
  </conditionalFormatting>
  <conditionalFormatting sqref="BU592:BV593">
    <cfRule type="cellIs" dxfId="0" priority="11650" operator="greaterThan">
      <formula>1</formula>
    </cfRule>
  </conditionalFormatting>
  <conditionalFormatting sqref="BO595:BP596">
    <cfRule type="cellIs" dxfId="0" priority="10148" operator="greaterThan">
      <formula>1</formula>
    </cfRule>
  </conditionalFormatting>
  <conditionalFormatting sqref="BU595:BV596">
    <cfRule type="cellIs" dxfId="0" priority="10153" operator="greaterThan">
      <formula>1</formula>
    </cfRule>
  </conditionalFormatting>
  <conditionalFormatting sqref="BO597:BP598">
    <cfRule type="cellIs" dxfId="0" priority="10154" operator="greaterThan">
      <formula>1</formula>
    </cfRule>
  </conditionalFormatting>
  <conditionalFormatting sqref="BU597:BV598">
    <cfRule type="cellIs" dxfId="0" priority="10159" operator="greaterThan">
      <formula>1</formula>
    </cfRule>
  </conditionalFormatting>
  <conditionalFormatting sqref="BO599:BP600">
    <cfRule type="cellIs" dxfId="0" priority="11852" operator="greaterThan">
      <formula>1</formula>
    </cfRule>
  </conditionalFormatting>
  <conditionalFormatting sqref="BU599:BV600">
    <cfRule type="cellIs" dxfId="0" priority="11857" operator="greaterThan">
      <formula>1</formula>
    </cfRule>
  </conditionalFormatting>
  <conditionalFormatting sqref="BO601:BP602">
    <cfRule type="cellIs" dxfId="0" priority="11859" operator="greaterThan">
      <formula>1</formula>
    </cfRule>
  </conditionalFormatting>
  <conditionalFormatting sqref="BU601:BV602">
    <cfRule type="cellIs" dxfId="0" priority="11864" operator="greaterThan">
      <formula>1</formula>
    </cfRule>
  </conditionalFormatting>
  <conditionalFormatting sqref="BO604:BP605">
    <cfRule type="cellIs" dxfId="0" priority="11988" operator="greaterThan">
      <formula>1</formula>
    </cfRule>
  </conditionalFormatting>
  <conditionalFormatting sqref="BU604:BV605">
    <cfRule type="cellIs" dxfId="0" priority="11993" operator="greaterThan">
      <formula>1</formula>
    </cfRule>
  </conditionalFormatting>
  <conditionalFormatting sqref="BO606:BP607">
    <cfRule type="cellIs" dxfId="0" priority="11995" operator="greaterThan">
      <formula>1</formula>
    </cfRule>
  </conditionalFormatting>
  <conditionalFormatting sqref="BU606:BV607">
    <cfRule type="cellIs" dxfId="0" priority="12000" operator="greaterThan">
      <formula>1</formula>
    </cfRule>
  </conditionalFormatting>
  <conditionalFormatting sqref="BO608:BP609">
    <cfRule type="cellIs" dxfId="0" priority="10638" operator="greaterThan">
      <formula>1</formula>
    </cfRule>
  </conditionalFormatting>
  <conditionalFormatting sqref="BU608:BV609">
    <cfRule type="cellIs" dxfId="0" priority="10643" operator="greaterThan">
      <formula>1</formula>
    </cfRule>
  </conditionalFormatting>
  <conditionalFormatting sqref="BO610:BP611">
    <cfRule type="cellIs" dxfId="0" priority="10497" operator="greaterThan">
      <formula>1</formula>
    </cfRule>
  </conditionalFormatting>
  <conditionalFormatting sqref="BU610:BV611">
    <cfRule type="cellIs" dxfId="0" priority="10502" operator="greaterThan">
      <formula>1</formula>
    </cfRule>
  </conditionalFormatting>
  <conditionalFormatting sqref="BO613:BP651 BO654:BP667 BO670:BP675 BO728:BP739 BO708:BP710 BO761:BP761 BO744:BP744 BO792:BP818 BO766:BP774 BO2397:BP2451 BO747:BP748 BO823:BP831 BO846:BP846 BO860:BP869 BO1026:BP1044 BO2183:BP2192 BO2246:BP2253 BO2230:BP2237 BO2180:BP2180 BO2167:BP2167 BO2320:BP2331 BO2336:BP2353 BO2209:BP2213 BO2197:BP2200 BO2262:BP2265 BO2367:BP2394 BO2358:BP2358 BO2270:BP2307 BO2240:BP2243 BO2051:BP2071 BO2073:BP2076 BO2088:BP2089 BO2078:BP2082 BO2139:BP2151 BO1893:BP1901 BO1922:BP1922 BO1939:BP1939 BO2133:BP2136 BO1904:BP1917 BO1864:BP1867 BO1931:BP1932 BO1218:BP1247 BO1302:BP1315 BO1798:BP1801 BO1847:BP1847 BO1250:BP1265 BO1815:BP1815 BO1780:BP1784 BO1820:BP1821 BO1282:BP1299 BO1835:BP1838 BO1772:BP1775 BO1677:BP1677 BO1660:BP1660 BO1680:BP1694 BO1702:BP1702 BO1826:BP1826 BO1165:BP1173 BO1180:BP1182 BO1521:BP1521 BO1189:BP1189 BO1806:BP1806 BO1737:BP1744 BO1444:BP1471 BO1531:BP1543 BO1747:BP1763 BO1927:BP1928 BO1856:BP1859 BO1697:BP1699 BO1880:BP1880 BO1669:BP1672 BO1423:BP1424 BO1358:BP1372 BO1496:BP1500 BO1526:BP1526 BO1550:BP1550 BO1567:BP1571 BO1509:BP1512 BO1563:BP1563 BO1388:BP1412 BO1576:BP1584 BO1647:BP1647 BO1484:BP1487 BO1631:BP1634 BO1589:BP1618 BO939:BP951 BO1126:BP1131 BO1134:BP1141 BO1074:BP1094 BO1061:BP1065 BO1122:BP1123 BO1097:BP1100 BO967:BP997 BO894:BP909 BO922:BP922 BO960:BP962 BO925:BP936 BO914:BP919 BO1105:BP1117 BO1144:BP1144 BO871:BP891 BO2662:BP2664 BO2460:BP2460 BO2590:BP2652 BO2528:BP2568 BO2655:BP2659 BO2496:BP2497 BO2500:BP2501 BO2469:BP2491 BO2516:BP2519 BO2506:BP2511 BO2585:BP2585">
    <cfRule type="cellIs" dxfId="0" priority="13575" operator="greaterThan">
      <formula>1</formula>
    </cfRule>
  </conditionalFormatting>
  <conditionalFormatting sqref="BU629:BV630">
    <cfRule type="cellIs" dxfId="0" priority="13712" operator="greaterThan">
      <formula>1</formula>
    </cfRule>
  </conditionalFormatting>
  <conditionalFormatting sqref="BO652:BP653">
    <cfRule type="cellIs" dxfId="0" priority="12664" operator="greaterThan">
      <formula>1</formula>
    </cfRule>
  </conditionalFormatting>
  <conditionalFormatting sqref="BU652:BV653">
    <cfRule type="cellIs" dxfId="0" priority="12667" operator="greaterThan">
      <formula>1</formula>
    </cfRule>
  </conditionalFormatting>
  <conditionalFormatting sqref="BO668:BP669">
    <cfRule type="cellIs" dxfId="0" priority="13378" operator="greaterThan">
      <formula>1</formula>
    </cfRule>
  </conditionalFormatting>
  <conditionalFormatting sqref="BU668:BV669">
    <cfRule type="cellIs" dxfId="0" priority="13381" operator="greaterThan">
      <formula>1</formula>
    </cfRule>
  </conditionalFormatting>
  <conditionalFormatting sqref="BO676:BP677">
    <cfRule type="cellIs" dxfId="0" priority="10453" operator="greaterThan">
      <formula>1</formula>
    </cfRule>
  </conditionalFormatting>
  <conditionalFormatting sqref="BU676:BV677">
    <cfRule type="cellIs" dxfId="0" priority="10460" operator="greaterThan">
      <formula>1</formula>
    </cfRule>
  </conditionalFormatting>
  <conditionalFormatting sqref="BO678:BP679">
    <cfRule type="cellIs" dxfId="0" priority="10445" operator="greaterThan">
      <formula>1</formula>
    </cfRule>
  </conditionalFormatting>
  <conditionalFormatting sqref="BU678:BV679">
    <cfRule type="cellIs" dxfId="0" priority="10452" operator="greaterThan">
      <formula>1</formula>
    </cfRule>
  </conditionalFormatting>
  <conditionalFormatting sqref="BO680:BP683">
    <cfRule type="cellIs" dxfId="0" priority="10204" operator="greaterThan">
      <formula>1</formula>
    </cfRule>
  </conditionalFormatting>
  <conditionalFormatting sqref="BU680:BV681">
    <cfRule type="cellIs" dxfId="0" priority="10211" operator="greaterThan">
      <formula>1</formula>
    </cfRule>
  </conditionalFormatting>
  <conditionalFormatting sqref="BU682:BV683">
    <cfRule type="cellIs" dxfId="0" priority="10216" operator="greaterThan">
      <formula>1</formula>
    </cfRule>
  </conditionalFormatting>
  <conditionalFormatting sqref="BO684:BP685">
    <cfRule type="cellIs" dxfId="0" priority="10431" operator="greaterThan">
      <formula>1</formula>
    </cfRule>
  </conditionalFormatting>
  <conditionalFormatting sqref="BU684:BV685">
    <cfRule type="cellIs" dxfId="0" priority="10438" operator="greaterThan">
      <formula>1</formula>
    </cfRule>
  </conditionalFormatting>
  <conditionalFormatting sqref="BO686:BP687">
    <cfRule type="cellIs" dxfId="0" priority="10423" operator="greaterThan">
      <formula>1</formula>
    </cfRule>
  </conditionalFormatting>
  <conditionalFormatting sqref="BU686:BV687">
    <cfRule type="cellIs" dxfId="0" priority="10430" operator="greaterThan">
      <formula>1</formula>
    </cfRule>
  </conditionalFormatting>
  <conditionalFormatting sqref="BO688:BP689">
    <cfRule type="cellIs" dxfId="0" priority="10805" operator="greaterThan">
      <formula>1</formula>
    </cfRule>
  </conditionalFormatting>
  <conditionalFormatting sqref="BU688:BV689">
    <cfRule type="cellIs" dxfId="0" priority="10812" operator="greaterThan">
      <formula>1</formula>
    </cfRule>
  </conditionalFormatting>
  <conditionalFormatting sqref="BO690:BP691">
    <cfRule type="cellIs" dxfId="0" priority="10813" operator="greaterThan">
      <formula>1</formula>
    </cfRule>
  </conditionalFormatting>
  <conditionalFormatting sqref="BU690:BV691">
    <cfRule type="cellIs" dxfId="0" priority="10820" operator="greaterThan">
      <formula>1</formula>
    </cfRule>
  </conditionalFormatting>
  <conditionalFormatting sqref="BO692:BP693">
    <cfRule type="cellIs" dxfId="0" priority="10789" operator="greaterThan">
      <formula>1</formula>
    </cfRule>
  </conditionalFormatting>
  <conditionalFormatting sqref="BU692:BV693">
    <cfRule type="cellIs" dxfId="0" priority="10796" operator="greaterThan">
      <formula>1</formula>
    </cfRule>
  </conditionalFormatting>
  <conditionalFormatting sqref="BO694:BP695">
    <cfRule type="cellIs" dxfId="0" priority="10797" operator="greaterThan">
      <formula>1</formula>
    </cfRule>
  </conditionalFormatting>
  <conditionalFormatting sqref="BU694:BV695">
    <cfRule type="cellIs" dxfId="0" priority="10804" operator="greaterThan">
      <formula>1</formula>
    </cfRule>
  </conditionalFormatting>
  <conditionalFormatting sqref="BO696:BP697">
    <cfRule type="cellIs" dxfId="0" priority="6987" operator="greaterThan">
      <formula>1</formula>
    </cfRule>
  </conditionalFormatting>
  <conditionalFormatting sqref="BU696:BV697">
    <cfRule type="cellIs" dxfId="0" priority="6994" operator="greaterThan">
      <formula>1</formula>
    </cfRule>
  </conditionalFormatting>
  <conditionalFormatting sqref="BO698:BP699">
    <cfRule type="cellIs" dxfId="0" priority="6995" operator="greaterThan">
      <formula>1</formula>
    </cfRule>
  </conditionalFormatting>
  <conditionalFormatting sqref="BU698:BV699">
    <cfRule type="cellIs" dxfId="0" priority="7002" operator="greaterThan">
      <formula>1</formula>
    </cfRule>
  </conditionalFormatting>
  <conditionalFormatting sqref="BO700:BP701">
    <cfRule type="cellIs" dxfId="0" priority="10132" operator="greaterThan">
      <formula>1</formula>
    </cfRule>
  </conditionalFormatting>
  <conditionalFormatting sqref="BU700:BV701">
    <cfRule type="cellIs" dxfId="0" priority="10139" operator="greaterThan">
      <formula>1</formula>
    </cfRule>
  </conditionalFormatting>
  <conditionalFormatting sqref="BO702:BP703">
    <cfRule type="cellIs" dxfId="0" priority="10124" operator="greaterThan">
      <formula>1</formula>
    </cfRule>
  </conditionalFormatting>
  <conditionalFormatting sqref="BU702:BV703">
    <cfRule type="cellIs" dxfId="0" priority="10131" operator="greaterThan">
      <formula>1</formula>
    </cfRule>
  </conditionalFormatting>
  <conditionalFormatting sqref="BO704:BP705">
    <cfRule type="cellIs" dxfId="0" priority="12034" operator="greaterThan">
      <formula>1</formula>
    </cfRule>
  </conditionalFormatting>
  <conditionalFormatting sqref="BU704:BV705">
    <cfRule type="cellIs" dxfId="0" priority="12041" operator="greaterThan">
      <formula>1</formula>
    </cfRule>
  </conditionalFormatting>
  <conditionalFormatting sqref="BO706:BP707">
    <cfRule type="cellIs" dxfId="0" priority="12042" operator="greaterThan">
      <formula>1</formula>
    </cfRule>
  </conditionalFormatting>
  <conditionalFormatting sqref="BU706:BV707">
    <cfRule type="cellIs" dxfId="0" priority="12049" operator="greaterThan">
      <formula>1</formula>
    </cfRule>
  </conditionalFormatting>
  <conditionalFormatting sqref="BO711:BP712">
    <cfRule type="cellIs" dxfId="0" priority="10325" operator="greaterThan">
      <formula>1</formula>
    </cfRule>
  </conditionalFormatting>
  <conditionalFormatting sqref="BU711:BV712">
    <cfRule type="cellIs" dxfId="0" priority="10328" operator="greaterThan">
      <formula>1</formula>
    </cfRule>
  </conditionalFormatting>
  <conditionalFormatting sqref="E719 E713:E714">
    <cfRule type="duplicateValues" dxfId="1" priority="12505"/>
  </conditionalFormatting>
  <conditionalFormatting sqref="BO719:BP719 BO713:BP714">
    <cfRule type="cellIs" dxfId="0" priority="12500" operator="greaterThan">
      <formula>1</formula>
    </cfRule>
  </conditionalFormatting>
  <conditionalFormatting sqref="BU719:BV719 BU713:BV714">
    <cfRule type="cellIs" dxfId="0" priority="12503" operator="greaterThan">
      <formula>1</formula>
    </cfRule>
  </conditionalFormatting>
  <conditionalFormatting sqref="BO715:BP716">
    <cfRule type="cellIs" dxfId="0" priority="11454" operator="greaterThan">
      <formula>1</formula>
    </cfRule>
  </conditionalFormatting>
  <conditionalFormatting sqref="BU715:BV716">
    <cfRule type="cellIs" dxfId="0" priority="11457" operator="greaterThan">
      <formula>1</formula>
    </cfRule>
  </conditionalFormatting>
  <conditionalFormatting sqref="BO717:BP718">
    <cfRule type="cellIs" dxfId="0" priority="10062" operator="greaterThan">
      <formula>1</formula>
    </cfRule>
  </conditionalFormatting>
  <conditionalFormatting sqref="BU717:BV718">
    <cfRule type="cellIs" dxfId="0" priority="10065" operator="greaterThan">
      <formula>1</formula>
    </cfRule>
  </conditionalFormatting>
  <conditionalFormatting sqref="BO720:BP727">
    <cfRule type="cellIs" dxfId="0" priority="10249" operator="greaterThan">
      <formula>1</formula>
    </cfRule>
  </conditionalFormatting>
  <conditionalFormatting sqref="BU720:BV727">
    <cfRule type="cellIs" dxfId="0" priority="10252" operator="greaterThan">
      <formula>1</formula>
    </cfRule>
  </conditionalFormatting>
  <conditionalFormatting sqref="BO740:BP743">
    <cfRule type="cellIs" dxfId="0" priority="10042" operator="greaterThan">
      <formula>1</formula>
    </cfRule>
  </conditionalFormatting>
  <conditionalFormatting sqref="BU740:BV743">
    <cfRule type="cellIs" dxfId="0" priority="10045" operator="greaterThan">
      <formula>1</formula>
    </cfRule>
  </conditionalFormatting>
  <conditionalFormatting sqref="BO745:BP746">
    <cfRule type="cellIs" dxfId="0" priority="13246" operator="greaterThan">
      <formula>1</formula>
    </cfRule>
  </conditionalFormatting>
  <conditionalFormatting sqref="BU745:BV746">
    <cfRule type="cellIs" dxfId="0" priority="13249" operator="greaterThan">
      <formula>1</formula>
    </cfRule>
  </conditionalFormatting>
  <conditionalFormatting sqref="BO749:BP750">
    <cfRule type="cellIs" dxfId="0" priority="11360" operator="greaterThan">
      <formula>1</formula>
    </cfRule>
  </conditionalFormatting>
  <conditionalFormatting sqref="BU749:BV750">
    <cfRule type="cellIs" dxfId="0" priority="11363" operator="greaterThan">
      <formula>1</formula>
    </cfRule>
  </conditionalFormatting>
  <conditionalFormatting sqref="BO751:BP752">
    <cfRule type="cellIs" dxfId="0" priority="12406" operator="greaterThan">
      <formula>1</formula>
    </cfRule>
  </conditionalFormatting>
  <conditionalFormatting sqref="BU751:BV752">
    <cfRule type="cellIs" dxfId="0" priority="12409" operator="greaterThan">
      <formula>1</formula>
    </cfRule>
  </conditionalFormatting>
  <conditionalFormatting sqref="BO753:BP754">
    <cfRule type="cellIs" dxfId="0" priority="12028" operator="greaterThan">
      <formula>1</formula>
    </cfRule>
  </conditionalFormatting>
  <conditionalFormatting sqref="BU753:BV754">
    <cfRule type="cellIs" dxfId="0" priority="12031" operator="greaterThan">
      <formula>1</formula>
    </cfRule>
  </conditionalFormatting>
  <conditionalFormatting sqref="BO755:BP756">
    <cfRule type="cellIs" dxfId="0" priority="12298" operator="greaterThan">
      <formula>1</formula>
    </cfRule>
  </conditionalFormatting>
  <conditionalFormatting sqref="BU755:BV756">
    <cfRule type="cellIs" dxfId="0" priority="12301" operator="greaterThan">
      <formula>1</formula>
    </cfRule>
  </conditionalFormatting>
  <conditionalFormatting sqref="BO757:BP758">
    <cfRule type="cellIs" dxfId="0" priority="10056" operator="greaterThan">
      <formula>1</formula>
    </cfRule>
  </conditionalFormatting>
  <conditionalFormatting sqref="BU757:BV758">
    <cfRule type="cellIs" dxfId="0" priority="10059" operator="greaterThan">
      <formula>1</formula>
    </cfRule>
  </conditionalFormatting>
  <conditionalFormatting sqref="BO759:BP760">
    <cfRule type="cellIs" dxfId="0" priority="11651" operator="greaterThan">
      <formula>1</formula>
    </cfRule>
  </conditionalFormatting>
  <conditionalFormatting sqref="BU759:BV760">
    <cfRule type="cellIs" dxfId="0" priority="11654" operator="greaterThan">
      <formula>1</formula>
    </cfRule>
  </conditionalFormatting>
  <conditionalFormatting sqref="BO762:BP765">
    <cfRule type="cellIs" dxfId="0" priority="11212" operator="greaterThan">
      <formula>1</formula>
    </cfRule>
  </conditionalFormatting>
  <conditionalFormatting sqref="BU762:BV765">
    <cfRule type="cellIs" dxfId="0" priority="11215" operator="greaterThan">
      <formula>1</formula>
    </cfRule>
  </conditionalFormatting>
  <conditionalFormatting sqref="BU766:BV769">
    <cfRule type="cellIs" dxfId="0" priority="13614" operator="greaterThan">
      <formula>1</formula>
    </cfRule>
  </conditionalFormatting>
  <conditionalFormatting sqref="BU770:BV773">
    <cfRule type="cellIs" dxfId="0" priority="13701" operator="greaterThan">
      <formula>1</formula>
    </cfRule>
  </conditionalFormatting>
  <conditionalFormatting sqref="E775:E778 E791">
    <cfRule type="duplicateValues" dxfId="1" priority="12651"/>
  </conditionalFormatting>
  <conditionalFormatting sqref="BO775:BP778 BO791:BP791">
    <cfRule type="cellIs" dxfId="0" priority="12646" operator="greaterThan">
      <formula>1</formula>
    </cfRule>
  </conditionalFormatting>
  <conditionalFormatting sqref="BU775:BV778 BU791:BV791">
    <cfRule type="cellIs" dxfId="0" priority="12649" operator="greaterThan">
      <formula>1</formula>
    </cfRule>
  </conditionalFormatting>
  <conditionalFormatting sqref="BO779:BP782">
    <cfRule type="cellIs" dxfId="0" priority="12450" operator="greaterThan">
      <formula>1</formula>
    </cfRule>
  </conditionalFormatting>
  <conditionalFormatting sqref="BU779:BV782">
    <cfRule type="cellIs" dxfId="0" priority="12453" operator="greaterThan">
      <formula>1</formula>
    </cfRule>
  </conditionalFormatting>
  <conditionalFormatting sqref="BO783:BP786">
    <cfRule type="cellIs" dxfId="0" priority="12571" operator="greaterThan">
      <formula>1</formula>
    </cfRule>
  </conditionalFormatting>
  <conditionalFormatting sqref="BU783:BV786">
    <cfRule type="cellIs" dxfId="0" priority="12574" operator="greaterThan">
      <formula>1</formula>
    </cfRule>
  </conditionalFormatting>
  <conditionalFormatting sqref="BO787:BP790">
    <cfRule type="cellIs" dxfId="0" priority="11278" operator="greaterThan">
      <formula>1</formula>
    </cfRule>
  </conditionalFormatting>
  <conditionalFormatting sqref="BU787:BV790">
    <cfRule type="cellIs" dxfId="0" priority="11281" operator="greaterThan">
      <formula>1</formula>
    </cfRule>
  </conditionalFormatting>
  <conditionalFormatting sqref="E803 E805">
    <cfRule type="duplicateValues" dxfId="1" priority="14312"/>
  </conditionalFormatting>
  <conditionalFormatting sqref="BO819:BP822">
    <cfRule type="cellIs" dxfId="0" priority="10584" operator="greaterThan">
      <formula>1</formula>
    </cfRule>
  </conditionalFormatting>
  <conditionalFormatting sqref="BU819:BV822">
    <cfRule type="cellIs" dxfId="0" priority="10585" operator="greaterThan">
      <formula>1</formula>
    </cfRule>
  </conditionalFormatting>
  <conditionalFormatting sqref="BO832:BP835">
    <cfRule type="cellIs" dxfId="0" priority="10343" operator="greaterThan">
      <formula>1</formula>
    </cfRule>
  </conditionalFormatting>
  <conditionalFormatting sqref="BU832:BV835">
    <cfRule type="cellIs" dxfId="0" priority="10346" operator="greaterThan">
      <formula>1</formula>
    </cfRule>
  </conditionalFormatting>
  <conditionalFormatting sqref="BO836:BP839">
    <cfRule type="cellIs" dxfId="0" priority="10024" operator="greaterThan">
      <formula>1</formula>
    </cfRule>
  </conditionalFormatting>
  <conditionalFormatting sqref="BU836:BV839">
    <cfRule type="cellIs" dxfId="0" priority="10027" operator="greaterThan">
      <formula>1</formula>
    </cfRule>
  </conditionalFormatting>
  <conditionalFormatting sqref="BO840:BP843">
    <cfRule type="cellIs" dxfId="0" priority="10337" operator="greaterThan">
      <formula>1</formula>
    </cfRule>
  </conditionalFormatting>
  <conditionalFormatting sqref="BU840:BV843">
    <cfRule type="cellIs" dxfId="0" priority="10340" operator="greaterThan">
      <formula>1</formula>
    </cfRule>
  </conditionalFormatting>
  <conditionalFormatting sqref="BO844:BP845">
    <cfRule type="cellIs" dxfId="0" priority="10939" operator="greaterThan">
      <formula>1</formula>
    </cfRule>
  </conditionalFormatting>
  <conditionalFormatting sqref="BU844:BV845">
    <cfRule type="cellIs" dxfId="0" priority="10942" operator="greaterThan">
      <formula>1</formula>
    </cfRule>
  </conditionalFormatting>
  <conditionalFormatting sqref="BO847:BP850">
    <cfRule type="cellIs" dxfId="0" priority="10307" operator="greaterThan">
      <formula>1</formula>
    </cfRule>
  </conditionalFormatting>
  <conditionalFormatting sqref="BU847:BV850">
    <cfRule type="cellIs" dxfId="0" priority="10310" operator="greaterThan">
      <formula>1</formula>
    </cfRule>
  </conditionalFormatting>
  <conditionalFormatting sqref="BO851:BP854">
    <cfRule type="cellIs" dxfId="0" priority="10887" operator="greaterThan">
      <formula>1</formula>
    </cfRule>
  </conditionalFormatting>
  <conditionalFormatting sqref="BU851:BV854">
    <cfRule type="cellIs" dxfId="0" priority="10890" operator="greaterThan">
      <formula>1</formula>
    </cfRule>
  </conditionalFormatting>
  <conditionalFormatting sqref="BO855:BP858">
    <cfRule type="cellIs" dxfId="0" priority="10632" operator="greaterThan">
      <formula>1</formula>
    </cfRule>
  </conditionalFormatting>
  <conditionalFormatting sqref="BU855:BV858">
    <cfRule type="cellIs" dxfId="0" priority="10635" operator="greaterThan">
      <formula>1</formula>
    </cfRule>
  </conditionalFormatting>
  <conditionalFormatting sqref="BO892:BP893">
    <cfRule type="cellIs" dxfId="0" priority="10469" operator="greaterThan">
      <formula>1</formula>
    </cfRule>
  </conditionalFormatting>
  <conditionalFormatting sqref="BU892:BV893">
    <cfRule type="cellIs" dxfId="0" priority="10472" operator="greaterThan">
      <formula>1</formula>
    </cfRule>
  </conditionalFormatting>
  <conditionalFormatting sqref="BO910:BP911">
    <cfRule type="cellIs" dxfId="0" priority="10620" operator="greaterThan">
      <formula>1</formula>
    </cfRule>
  </conditionalFormatting>
  <conditionalFormatting sqref="BU910:BV911">
    <cfRule type="cellIs" dxfId="0" priority="10623" operator="greaterThan">
      <formula>1</formula>
    </cfRule>
  </conditionalFormatting>
  <conditionalFormatting sqref="BO912:BP913">
    <cfRule type="cellIs" dxfId="0" priority="10614" operator="greaterThan">
      <formula>1</formula>
    </cfRule>
  </conditionalFormatting>
  <conditionalFormatting sqref="BU912:BV913">
    <cfRule type="cellIs" dxfId="0" priority="10617" operator="greaterThan">
      <formula>1</formula>
    </cfRule>
  </conditionalFormatting>
  <conditionalFormatting sqref="BU916:BV917">
    <cfRule type="cellIs" dxfId="0" priority="13715" operator="greaterThan">
      <formula>1</formula>
    </cfRule>
  </conditionalFormatting>
  <conditionalFormatting sqref="BO920:BP921">
    <cfRule type="cellIs" dxfId="0" priority="11115" operator="greaterThan">
      <formula>1</formula>
    </cfRule>
  </conditionalFormatting>
  <conditionalFormatting sqref="BU920:BV921">
    <cfRule type="cellIs" dxfId="0" priority="11118" operator="greaterThan">
      <formula>1</formula>
    </cfRule>
  </conditionalFormatting>
  <conditionalFormatting sqref="BO923:BP924">
    <cfRule type="cellIs" dxfId="0" priority="10608" operator="greaterThan">
      <formula>1</formula>
    </cfRule>
  </conditionalFormatting>
  <conditionalFormatting sqref="BU923:BV924">
    <cfRule type="cellIs" dxfId="0" priority="10611" operator="greaterThan">
      <formula>1</formula>
    </cfRule>
  </conditionalFormatting>
  <conditionalFormatting sqref="BO937:BP938">
    <cfRule type="cellIs" dxfId="0" priority="10821" operator="greaterThan">
      <formula>1</formula>
    </cfRule>
  </conditionalFormatting>
  <conditionalFormatting sqref="BU937:BV938">
    <cfRule type="cellIs" dxfId="0" priority="10824" operator="greaterThan">
      <formula>1</formula>
    </cfRule>
  </conditionalFormatting>
  <conditionalFormatting sqref="BU948:BV948 BU950:BV950">
    <cfRule type="cellIs" dxfId="0" priority="13883" operator="greaterThan">
      <formula>1</formula>
    </cfRule>
  </conditionalFormatting>
  <conditionalFormatting sqref="BO952:BP955">
    <cfRule type="cellIs" dxfId="0" priority="11424" operator="greaterThan">
      <formula>1</formula>
    </cfRule>
  </conditionalFormatting>
  <conditionalFormatting sqref="BU952:BV952 BU954:BV954">
    <cfRule type="cellIs" dxfId="0" priority="11433" operator="greaterThan">
      <formula>1</formula>
    </cfRule>
  </conditionalFormatting>
  <conditionalFormatting sqref="BO956:BP959">
    <cfRule type="cellIs" dxfId="0" priority="11711" operator="greaterThan">
      <formula>1</formula>
    </cfRule>
  </conditionalFormatting>
  <conditionalFormatting sqref="BU956:BV956 BU958:BV958">
    <cfRule type="cellIs" dxfId="0" priority="11720" operator="greaterThan">
      <formula>1</formula>
    </cfRule>
  </conditionalFormatting>
  <conditionalFormatting sqref="BU961:BV962">
    <cfRule type="cellIs" dxfId="0" priority="13649" operator="greaterThan">
      <formula>1</formula>
    </cfRule>
  </conditionalFormatting>
  <conditionalFormatting sqref="BO963:BP964">
    <cfRule type="cellIs" dxfId="0" priority="13217" operator="greaterThan">
      <formula>1</formula>
    </cfRule>
  </conditionalFormatting>
  <conditionalFormatting sqref="BU963:BV964">
    <cfRule type="cellIs" dxfId="0" priority="13220" operator="greaterThan">
      <formula>1</formula>
    </cfRule>
  </conditionalFormatting>
  <conditionalFormatting sqref="BO965:BP966">
    <cfRule type="cellIs" dxfId="0" priority="13322" operator="greaterThan">
      <formula>1</formula>
    </cfRule>
  </conditionalFormatting>
  <conditionalFormatting sqref="BU965:BV966">
    <cfRule type="cellIs" dxfId="0" priority="13325" operator="greaterThan">
      <formula>1</formula>
    </cfRule>
  </conditionalFormatting>
  <conditionalFormatting sqref="BU967:BV968">
    <cfRule type="cellIs" dxfId="0" priority="13832" operator="greaterThan">
      <formula>1</formula>
    </cfRule>
  </conditionalFormatting>
  <conditionalFormatting sqref="BU969:BV970">
    <cfRule type="cellIs" dxfId="0" priority="13900" operator="greaterThan">
      <formula>1</formula>
    </cfRule>
  </conditionalFormatting>
  <conditionalFormatting sqref="BO998:BP1001">
    <cfRule type="cellIs" dxfId="0" priority="12762" operator="greaterThan">
      <formula>1</formula>
    </cfRule>
  </conditionalFormatting>
  <conditionalFormatting sqref="BU998:BV1001">
    <cfRule type="cellIs" dxfId="0" priority="12765" operator="greaterThan">
      <formula>1</formula>
    </cfRule>
  </conditionalFormatting>
  <conditionalFormatting sqref="BO1002:BP1005">
    <cfRule type="cellIs" dxfId="0" priority="11448" operator="greaterThan">
      <formula>1</formula>
    </cfRule>
  </conditionalFormatting>
  <conditionalFormatting sqref="BU1002:BV1005">
    <cfRule type="cellIs" dxfId="0" priority="11451" operator="greaterThan">
      <formula>1</formula>
    </cfRule>
  </conditionalFormatting>
  <conditionalFormatting sqref="BO1006:BP1009">
    <cfRule type="cellIs" dxfId="0" priority="10761" operator="greaterThan">
      <formula>1</formula>
    </cfRule>
  </conditionalFormatting>
  <conditionalFormatting sqref="BU1006:BV1009">
    <cfRule type="cellIs" dxfId="0" priority="10764" operator="greaterThan">
      <formula>1</formula>
    </cfRule>
  </conditionalFormatting>
  <conditionalFormatting sqref="BO1010:BP1013">
    <cfRule type="cellIs" dxfId="0" priority="10737" operator="greaterThan">
      <formula>1</formula>
    </cfRule>
  </conditionalFormatting>
  <conditionalFormatting sqref="BU1010:BV1013">
    <cfRule type="cellIs" dxfId="0" priority="10740" operator="greaterThan">
      <formula>1</formula>
    </cfRule>
  </conditionalFormatting>
  <conditionalFormatting sqref="BO1014:BP1017">
    <cfRule type="cellIs" dxfId="0" priority="11771" operator="greaterThan">
      <formula>1</formula>
    </cfRule>
  </conditionalFormatting>
  <conditionalFormatting sqref="BU1014:BV1017">
    <cfRule type="cellIs" dxfId="0" priority="11778" operator="greaterThan">
      <formula>1</formula>
    </cfRule>
  </conditionalFormatting>
  <conditionalFormatting sqref="BO1018:BP1021">
    <cfRule type="cellIs" dxfId="0" priority="11783" operator="greaterThan">
      <formula>1</formula>
    </cfRule>
  </conditionalFormatting>
  <conditionalFormatting sqref="BU1018:BV1021">
    <cfRule type="cellIs" dxfId="0" priority="11786" operator="greaterThan">
      <formula>1</formula>
    </cfRule>
  </conditionalFormatting>
  <conditionalFormatting sqref="BO1022:BP1025">
    <cfRule type="cellIs" dxfId="0" priority="12492" operator="greaterThan">
      <formula>1</formula>
    </cfRule>
  </conditionalFormatting>
  <conditionalFormatting sqref="BU1022:BV1025">
    <cfRule type="cellIs" dxfId="0" priority="12495" operator="greaterThan">
      <formula>1</formula>
    </cfRule>
  </conditionalFormatting>
  <conditionalFormatting sqref="E1045 E1047">
    <cfRule type="duplicateValues" dxfId="1" priority="11891"/>
  </conditionalFormatting>
  <conditionalFormatting sqref="BO1045:BP1048">
    <cfRule type="cellIs" dxfId="0" priority="11889" operator="greaterThan">
      <formula>1</formula>
    </cfRule>
  </conditionalFormatting>
  <conditionalFormatting sqref="BU1045:BV1048">
    <cfRule type="cellIs" dxfId="0" priority="11892" operator="greaterThan">
      <formula>1</formula>
    </cfRule>
  </conditionalFormatting>
  <conditionalFormatting sqref="BO1049:BP1052">
    <cfRule type="cellIs" dxfId="0" priority="10554" operator="greaterThan">
      <formula>1</formula>
    </cfRule>
  </conditionalFormatting>
  <conditionalFormatting sqref="BU1049:BV1052">
    <cfRule type="cellIs" dxfId="0" priority="10557" operator="greaterThan">
      <formula>1</formula>
    </cfRule>
  </conditionalFormatting>
  <conditionalFormatting sqref="E1053 E1055">
    <cfRule type="duplicateValues" dxfId="1" priority="11910"/>
  </conditionalFormatting>
  <conditionalFormatting sqref="BO1053:BP1056">
    <cfRule type="cellIs" dxfId="0" priority="11908" operator="greaterThan">
      <formula>1</formula>
    </cfRule>
  </conditionalFormatting>
  <conditionalFormatting sqref="BU1053:BV1056">
    <cfRule type="cellIs" dxfId="0" priority="11911" operator="greaterThan">
      <formula>1</formula>
    </cfRule>
  </conditionalFormatting>
  <conditionalFormatting sqref="E1057 E1059">
    <cfRule type="duplicateValues" dxfId="1" priority="10566"/>
  </conditionalFormatting>
  <conditionalFormatting sqref="BO1057:BP1060">
    <cfRule type="cellIs" dxfId="0" priority="10564" operator="greaterThan">
      <formula>1</formula>
    </cfRule>
  </conditionalFormatting>
  <conditionalFormatting sqref="BU1057:BV1060">
    <cfRule type="cellIs" dxfId="0" priority="10567" operator="greaterThan">
      <formula>1</formula>
    </cfRule>
  </conditionalFormatting>
  <conditionalFormatting sqref="BU1061:BV1064">
    <cfRule type="cellIs" dxfId="0" priority="13658" operator="greaterThan">
      <formula>1</formula>
    </cfRule>
  </conditionalFormatting>
  <conditionalFormatting sqref="BO1066:BP1069">
    <cfRule type="cellIs" dxfId="0" priority="11959" operator="greaterThan">
      <formula>1</formula>
    </cfRule>
  </conditionalFormatting>
  <conditionalFormatting sqref="BU1066:BV1069">
    <cfRule type="cellIs" dxfId="0" priority="11962" operator="greaterThan">
      <formula>1</formula>
    </cfRule>
  </conditionalFormatting>
  <conditionalFormatting sqref="BO1070:BP1073">
    <cfRule type="cellIs" dxfId="0" priority="11382" operator="greaterThan">
      <formula>1</formula>
    </cfRule>
  </conditionalFormatting>
  <conditionalFormatting sqref="BU1070:BV1073">
    <cfRule type="cellIs" dxfId="0" priority="11385" operator="greaterThan">
      <formula>1</formula>
    </cfRule>
  </conditionalFormatting>
  <conditionalFormatting sqref="E1091 E1093">
    <cfRule type="duplicateValues" dxfId="1" priority="13899"/>
  </conditionalFormatting>
  <conditionalFormatting sqref="BU1091:BV1094">
    <cfRule type="cellIs" dxfId="0" priority="13897" operator="greaterThan">
      <formula>1</formula>
    </cfRule>
  </conditionalFormatting>
  <conditionalFormatting sqref="BO1095:BP1096">
    <cfRule type="cellIs" dxfId="0" priority="12708" operator="greaterThan">
      <formula>1</formula>
    </cfRule>
  </conditionalFormatting>
  <conditionalFormatting sqref="BU1095:BV1096">
    <cfRule type="cellIs" dxfId="0" priority="12711" operator="greaterThan">
      <formula>1</formula>
    </cfRule>
  </conditionalFormatting>
  <conditionalFormatting sqref="BO1101:BP1104">
    <cfRule type="cellIs" dxfId="0" priority="13537" operator="greaterThan">
      <formula>1</formula>
    </cfRule>
  </conditionalFormatting>
  <conditionalFormatting sqref="BU1101:BV1104">
    <cfRule type="cellIs" dxfId="0" priority="13540" operator="greaterThan">
      <formula>1</formula>
    </cfRule>
  </conditionalFormatting>
  <conditionalFormatting sqref="E1113 E1115">
    <cfRule type="duplicateValues" dxfId="1" priority="13657"/>
  </conditionalFormatting>
  <conditionalFormatting sqref="BU1113:BV1116">
    <cfRule type="cellIs" dxfId="0" priority="13655" operator="greaterThan">
      <formula>1</formula>
    </cfRule>
  </conditionalFormatting>
  <conditionalFormatting sqref="BO1118:BP1119">
    <cfRule type="cellIs" dxfId="0" priority="11418" operator="greaterThan">
      <formula>1</formula>
    </cfRule>
  </conditionalFormatting>
  <conditionalFormatting sqref="BU1118:BV1119">
    <cfRule type="cellIs" dxfId="0" priority="11421" operator="greaterThan">
      <formula>1</formula>
    </cfRule>
  </conditionalFormatting>
  <conditionalFormatting sqref="BO1120:BP1121">
    <cfRule type="cellIs" dxfId="0" priority="11366" operator="greaterThan">
      <formula>1</formula>
    </cfRule>
  </conditionalFormatting>
  <conditionalFormatting sqref="BU1120:BV1121">
    <cfRule type="cellIs" dxfId="0" priority="11369" operator="greaterThan">
      <formula>1</formula>
    </cfRule>
  </conditionalFormatting>
  <conditionalFormatting sqref="BO1124:BP1125">
    <cfRule type="cellIs" dxfId="0" priority="11045" operator="greaterThan">
      <formula>1</formula>
    </cfRule>
  </conditionalFormatting>
  <conditionalFormatting sqref="BU1124:BV1125">
    <cfRule type="cellIs" dxfId="0" priority="11048" operator="greaterThan">
      <formula>1</formula>
    </cfRule>
  </conditionalFormatting>
  <conditionalFormatting sqref="BU1126:BV1127">
    <cfRule type="cellIs" dxfId="0" priority="13842" operator="greaterThan">
      <formula>1</formula>
    </cfRule>
  </conditionalFormatting>
  <conditionalFormatting sqref="BO1132:BP1133">
    <cfRule type="cellIs" dxfId="0" priority="10050" operator="greaterThan">
      <formula>1</formula>
    </cfRule>
  </conditionalFormatting>
  <conditionalFormatting sqref="BU1132:BV1133">
    <cfRule type="cellIs" dxfId="0" priority="10053" operator="greaterThan">
      <formula>1</formula>
    </cfRule>
  </conditionalFormatting>
  <conditionalFormatting sqref="BO1142:BP1143">
    <cfRule type="cellIs" dxfId="0" priority="10881" operator="greaterThan">
      <formula>1</formula>
    </cfRule>
  </conditionalFormatting>
  <conditionalFormatting sqref="BU1142:BV1143">
    <cfRule type="cellIs" dxfId="0" priority="10884" operator="greaterThan">
      <formula>1</formula>
    </cfRule>
  </conditionalFormatting>
  <conditionalFormatting sqref="BO1145:BP1147">
    <cfRule type="cellIs" dxfId="0" priority="12289" operator="greaterThan">
      <formula>1</formula>
    </cfRule>
  </conditionalFormatting>
  <conditionalFormatting sqref="BU1145:BV1146">
    <cfRule type="cellIs" dxfId="0" priority="12292" operator="greaterThan">
      <formula>1</formula>
    </cfRule>
  </conditionalFormatting>
  <conditionalFormatting sqref="BO1148:BP1149">
    <cfRule type="cellIs" dxfId="0" priority="11789" operator="greaterThan">
      <formula>1</formula>
    </cfRule>
  </conditionalFormatting>
  <conditionalFormatting sqref="BU1148:BV1149">
    <cfRule type="cellIs" dxfId="0" priority="11792" operator="greaterThan">
      <formula>1</formula>
    </cfRule>
  </conditionalFormatting>
  <conditionalFormatting sqref="E1150:E1151 E1164">
    <cfRule type="duplicateValues" dxfId="1" priority="11901"/>
  </conditionalFormatting>
  <conditionalFormatting sqref="BO1150:BP1151 BO1164:BP1164">
    <cfRule type="cellIs" dxfId="0" priority="11899" operator="greaterThan">
      <formula>1</formula>
    </cfRule>
  </conditionalFormatting>
  <conditionalFormatting sqref="BU1150:BV1151">
    <cfRule type="cellIs" dxfId="0" priority="11902" operator="greaterThan">
      <formula>1</formula>
    </cfRule>
  </conditionalFormatting>
  <conditionalFormatting sqref="BO1152:BP1153">
    <cfRule type="cellIs" dxfId="0" priority="11529" operator="greaterThan">
      <formula>1</formula>
    </cfRule>
  </conditionalFormatting>
  <conditionalFormatting sqref="BU1152:BV1153">
    <cfRule type="cellIs" dxfId="0" priority="11532" operator="greaterThan">
      <formula>1</formula>
    </cfRule>
  </conditionalFormatting>
  <conditionalFormatting sqref="BO1154:BP1155">
    <cfRule type="cellIs" dxfId="0" priority="10018" operator="greaterThan">
      <formula>1</formula>
    </cfRule>
  </conditionalFormatting>
  <conditionalFormatting sqref="BU1154:BV1155">
    <cfRule type="cellIs" dxfId="0" priority="10021" operator="greaterThan">
      <formula>1</formula>
    </cfRule>
  </conditionalFormatting>
  <conditionalFormatting sqref="BO1156:BP1157">
    <cfRule type="cellIs" dxfId="0" priority="10188" operator="greaterThan">
      <formula>1</formula>
    </cfRule>
  </conditionalFormatting>
  <conditionalFormatting sqref="BU1156:BV1157">
    <cfRule type="cellIs" dxfId="0" priority="10191" operator="greaterThan">
      <formula>1</formula>
    </cfRule>
  </conditionalFormatting>
  <conditionalFormatting sqref="BO1158:BP1159">
    <cfRule type="cellIs" dxfId="0" priority="6951" operator="greaterThan">
      <formula>1</formula>
    </cfRule>
  </conditionalFormatting>
  <conditionalFormatting sqref="BU1158:BV1159">
    <cfRule type="cellIs" dxfId="0" priority="6954" operator="greaterThan">
      <formula>1</formula>
    </cfRule>
  </conditionalFormatting>
  <conditionalFormatting sqref="BO1160:BP1161">
    <cfRule type="cellIs" dxfId="0" priority="6957" operator="greaterThan">
      <formula>1</formula>
    </cfRule>
  </conditionalFormatting>
  <conditionalFormatting sqref="BU1160:BV1161">
    <cfRule type="cellIs" dxfId="0" priority="6960" operator="greaterThan">
      <formula>1</formula>
    </cfRule>
  </conditionalFormatting>
  <conditionalFormatting sqref="BO1162:BP1163">
    <cfRule type="cellIs" dxfId="0" priority="10068" operator="greaterThan">
      <formula>1</formula>
    </cfRule>
  </conditionalFormatting>
  <conditionalFormatting sqref="BU1162:BV1163">
    <cfRule type="cellIs" dxfId="0" priority="10071" operator="greaterThan">
      <formula>1</formula>
    </cfRule>
  </conditionalFormatting>
  <conditionalFormatting sqref="BU1169:BV1170">
    <cfRule type="cellIs" dxfId="0" priority="13763" operator="greaterThan">
      <formula>1</formula>
    </cfRule>
  </conditionalFormatting>
  <conditionalFormatting sqref="BU1171:BV1172">
    <cfRule type="cellIs" dxfId="0" priority="13753" operator="greaterThan">
      <formula>1</formula>
    </cfRule>
  </conditionalFormatting>
  <conditionalFormatting sqref="BO1174:BP1177">
    <cfRule type="cellIs" dxfId="0" priority="11404" operator="greaterThan">
      <formula>1</formula>
    </cfRule>
  </conditionalFormatting>
  <conditionalFormatting sqref="BU1174:BV1177">
    <cfRule type="cellIs" dxfId="0" priority="11407" operator="greaterThan">
      <formula>1</formula>
    </cfRule>
  </conditionalFormatting>
  <conditionalFormatting sqref="BO1178:BP1179">
    <cfRule type="cellIs" dxfId="0" priority="11725" operator="greaterThan">
      <formula>1</formula>
    </cfRule>
  </conditionalFormatting>
  <conditionalFormatting sqref="BU1178:BV1179">
    <cfRule type="cellIs" dxfId="0" priority="11728" operator="greaterThan">
      <formula>1</formula>
    </cfRule>
  </conditionalFormatting>
  <conditionalFormatting sqref="BO1183:BP1184">
    <cfRule type="cellIs" dxfId="0" priority="11749" operator="greaterThan">
      <formula>1</formula>
    </cfRule>
  </conditionalFormatting>
  <conditionalFormatting sqref="BU1183:BV1184">
    <cfRule type="cellIs" dxfId="0" priority="11752" operator="greaterThan">
      <formula>1</formula>
    </cfRule>
  </conditionalFormatting>
  <conditionalFormatting sqref="BO1185:BP1186">
    <cfRule type="cellIs" dxfId="0" priority="11503" operator="greaterThan">
      <formula>1</formula>
    </cfRule>
  </conditionalFormatting>
  <conditionalFormatting sqref="BU1185:BV1186">
    <cfRule type="cellIs" dxfId="0" priority="11506" operator="greaterThan">
      <formula>1</formula>
    </cfRule>
  </conditionalFormatting>
  <conditionalFormatting sqref="BO1187:BP1188">
    <cfRule type="cellIs" dxfId="0" priority="11497" operator="greaterThan">
      <formula>1</formula>
    </cfRule>
  </conditionalFormatting>
  <conditionalFormatting sqref="BU1187:BV1188">
    <cfRule type="cellIs" dxfId="0" priority="11500" operator="greaterThan">
      <formula>1</formula>
    </cfRule>
  </conditionalFormatting>
  <conditionalFormatting sqref="BO1190:BP1191">
    <cfRule type="cellIs" dxfId="0" priority="11509" operator="greaterThan">
      <formula>1</formula>
    </cfRule>
  </conditionalFormatting>
  <conditionalFormatting sqref="BU1190:BV1191">
    <cfRule type="cellIs" dxfId="0" priority="11512" operator="greaterThan">
      <formula>1</formula>
    </cfRule>
  </conditionalFormatting>
  <conditionalFormatting sqref="BO1193:BP1196">
    <cfRule type="cellIs" dxfId="0" priority="11268" operator="greaterThan">
      <formula>1</formula>
    </cfRule>
  </conditionalFormatting>
  <conditionalFormatting sqref="BU1193:BV1196">
    <cfRule type="cellIs" dxfId="0" priority="11271" operator="greaterThan">
      <formula>1</formula>
    </cfRule>
  </conditionalFormatting>
  <conditionalFormatting sqref="BO1197:BP1200">
    <cfRule type="cellIs" dxfId="0" priority="10713" operator="greaterThan">
      <formula>1</formula>
    </cfRule>
  </conditionalFormatting>
  <conditionalFormatting sqref="BU1197:BV1200">
    <cfRule type="cellIs" dxfId="0" priority="10716" operator="greaterThan">
      <formula>1</formula>
    </cfRule>
  </conditionalFormatting>
  <conditionalFormatting sqref="BO1201:BP1204">
    <cfRule type="cellIs" dxfId="0" priority="10692" operator="greaterThan">
      <formula>1</formula>
    </cfRule>
  </conditionalFormatting>
  <conditionalFormatting sqref="BU1201:BV1204">
    <cfRule type="cellIs" dxfId="0" priority="10695" operator="greaterThan">
      <formula>1</formula>
    </cfRule>
  </conditionalFormatting>
  <conditionalFormatting sqref="BO1205:BP1208">
    <cfRule type="cellIs" dxfId="0" priority="10985" operator="greaterThan">
      <formula>1</formula>
    </cfRule>
  </conditionalFormatting>
  <conditionalFormatting sqref="BU1205:BV1208">
    <cfRule type="cellIs" dxfId="0" priority="10988" operator="greaterThan">
      <formula>1</formula>
    </cfRule>
  </conditionalFormatting>
  <conditionalFormatting sqref="BO1209:BP1212">
    <cfRule type="cellIs" dxfId="0" priority="11236" operator="greaterThan">
      <formula>1</formula>
    </cfRule>
  </conditionalFormatting>
  <conditionalFormatting sqref="BU1209:BV1212">
    <cfRule type="cellIs" dxfId="0" priority="11239" operator="greaterThan">
      <formula>1</formula>
    </cfRule>
  </conditionalFormatting>
  <conditionalFormatting sqref="BO1213:BP1216">
    <cfRule type="cellIs" dxfId="0" priority="10094" operator="greaterThan">
      <formula>1</formula>
    </cfRule>
  </conditionalFormatting>
  <conditionalFormatting sqref="BU1213:BV1216">
    <cfRule type="cellIs" dxfId="0" priority="10097" operator="greaterThan">
      <formula>1</formula>
    </cfRule>
  </conditionalFormatting>
  <conditionalFormatting sqref="BU1231:BV1234">
    <cfRule type="cellIs" dxfId="0" priority="13784" operator="greaterThan">
      <formula>1</formula>
    </cfRule>
  </conditionalFormatting>
  <conditionalFormatting sqref="BO1248:BP1249">
    <cfRule type="cellIs" dxfId="0" priority="11967" operator="greaterThan">
      <formula>1</formula>
    </cfRule>
  </conditionalFormatting>
  <conditionalFormatting sqref="BU1248:BV1249">
    <cfRule type="cellIs" dxfId="0" priority="11970" operator="greaterThan">
      <formula>1</formula>
    </cfRule>
  </conditionalFormatting>
  <conditionalFormatting sqref="BU1262:BV1265">
    <cfRule type="cellIs" dxfId="0" priority="13854" operator="greaterThan">
      <formula>1</formula>
    </cfRule>
  </conditionalFormatting>
  <conditionalFormatting sqref="BO1266:BP1269">
    <cfRule type="cellIs" dxfId="0" priority="12273" operator="greaterThan">
      <formula>1</formula>
    </cfRule>
  </conditionalFormatting>
  <conditionalFormatting sqref="BU1266:BV1269">
    <cfRule type="cellIs" dxfId="0" priority="12276" operator="greaterThan">
      <formula>1</formula>
    </cfRule>
  </conditionalFormatting>
  <conditionalFormatting sqref="BO1270:BP1273">
    <cfRule type="cellIs" dxfId="0" priority="11933" operator="greaterThan">
      <formula>1</formula>
    </cfRule>
  </conditionalFormatting>
  <conditionalFormatting sqref="BU1270:BV1273">
    <cfRule type="cellIs" dxfId="0" priority="11936" operator="greaterThan">
      <formula>1</formula>
    </cfRule>
  </conditionalFormatting>
  <conditionalFormatting sqref="BO1274:BP1277">
    <cfRule type="cellIs" dxfId="0" priority="12363" operator="greaterThan">
      <formula>1</formula>
    </cfRule>
  </conditionalFormatting>
  <conditionalFormatting sqref="BU1274:BV1277">
    <cfRule type="cellIs" dxfId="0" priority="12366" operator="greaterThan">
      <formula>1</formula>
    </cfRule>
  </conditionalFormatting>
  <conditionalFormatting sqref="BO1278:BP1281">
    <cfRule type="cellIs" dxfId="0" priority="11294" operator="greaterThan">
      <formula>1</formula>
    </cfRule>
  </conditionalFormatting>
  <conditionalFormatting sqref="BU1278:BV1281">
    <cfRule type="cellIs" dxfId="0" priority="11297" operator="greaterThan">
      <formula>1</formula>
    </cfRule>
  </conditionalFormatting>
  <conditionalFormatting sqref="BO1300:BP1301">
    <cfRule type="cellIs" dxfId="0" priority="10544" operator="greaterThan">
      <formula>1</formula>
    </cfRule>
  </conditionalFormatting>
  <conditionalFormatting sqref="BU1300:BV1301">
    <cfRule type="cellIs" dxfId="0" priority="10547" operator="greaterThan">
      <formula>1</formula>
    </cfRule>
  </conditionalFormatting>
  <conditionalFormatting sqref="E1316:E1319 E1326">
    <cfRule type="duplicateValues" dxfId="1" priority="10955"/>
  </conditionalFormatting>
  <conditionalFormatting sqref="BO1316:BP1319 BO1326:BP1326">
    <cfRule type="cellIs" dxfId="0" priority="10953" operator="greaterThan">
      <formula>1</formula>
    </cfRule>
  </conditionalFormatting>
  <conditionalFormatting sqref="BU1316:BV1319 BU1326:BV1326">
    <cfRule type="cellIs" dxfId="0" priority="10956" operator="greaterThan">
      <formula>1</formula>
    </cfRule>
  </conditionalFormatting>
  <conditionalFormatting sqref="E1318:E1319 E1326">
    <cfRule type="duplicateValues" dxfId="1" priority="10960"/>
  </conditionalFormatting>
  <conditionalFormatting sqref="BO1320:BP1323">
    <cfRule type="cellIs" dxfId="0" priority="10753" operator="greaterThan">
      <formula>1</formula>
    </cfRule>
  </conditionalFormatting>
  <conditionalFormatting sqref="BU1320:BV1323">
    <cfRule type="cellIs" dxfId="0" priority="10756" operator="greaterThan">
      <formula>1</formula>
    </cfRule>
  </conditionalFormatting>
  <conditionalFormatting sqref="BO1324:BP1325">
    <cfRule type="cellIs" dxfId="0" priority="10945" operator="greaterThan">
      <formula>1</formula>
    </cfRule>
  </conditionalFormatting>
  <conditionalFormatting sqref="BU1324:BV1325">
    <cfRule type="cellIs" dxfId="0" priority="10948" operator="greaterThan">
      <formula>1</formula>
    </cfRule>
  </conditionalFormatting>
  <conditionalFormatting sqref="BO1327:BP1328">
    <cfRule type="cellIs" dxfId="0" priority="10401" operator="greaterThan">
      <formula>1</formula>
    </cfRule>
  </conditionalFormatting>
  <conditionalFormatting sqref="BU1327:BV1328">
    <cfRule type="cellIs" dxfId="0" priority="10404" operator="greaterThan">
      <formula>1</formula>
    </cfRule>
  </conditionalFormatting>
  <conditionalFormatting sqref="BO1329:BP1330">
    <cfRule type="cellIs" dxfId="0" priority="10407" operator="greaterThan">
      <formula>1</formula>
    </cfRule>
  </conditionalFormatting>
  <conditionalFormatting sqref="BU1329:BV1330">
    <cfRule type="cellIs" dxfId="0" priority="10410" operator="greaterThan">
      <formula>1</formula>
    </cfRule>
  </conditionalFormatting>
  <conditionalFormatting sqref="BO1331:BP1332">
    <cfRule type="cellIs" dxfId="0" priority="10839" operator="greaterThan">
      <formula>1</formula>
    </cfRule>
  </conditionalFormatting>
  <conditionalFormatting sqref="BU1331:BV1332">
    <cfRule type="cellIs" dxfId="0" priority="10842" operator="greaterThan">
      <formula>1</formula>
    </cfRule>
  </conditionalFormatting>
  <conditionalFormatting sqref="BO1333:BP1334">
    <cfRule type="cellIs" dxfId="0" priority="10845" operator="greaterThan">
      <formula>1</formula>
    </cfRule>
  </conditionalFormatting>
  <conditionalFormatting sqref="BU1333:BV1334">
    <cfRule type="cellIs" dxfId="0" priority="10848" operator="greaterThan">
      <formula>1</formula>
    </cfRule>
  </conditionalFormatting>
  <conditionalFormatting sqref="BO1335:BP1336">
    <cfRule type="cellIs" dxfId="0" priority="10088" operator="greaterThan">
      <formula>1</formula>
    </cfRule>
  </conditionalFormatting>
  <conditionalFormatting sqref="BU1335:BV1336">
    <cfRule type="cellIs" dxfId="0" priority="10091" operator="greaterThan">
      <formula>1</formula>
    </cfRule>
  </conditionalFormatting>
  <conditionalFormatting sqref="BO1337:BP1338">
    <cfRule type="cellIs" dxfId="0" priority="10082" operator="greaterThan">
      <formula>1</formula>
    </cfRule>
  </conditionalFormatting>
  <conditionalFormatting sqref="BU1337:BV1338">
    <cfRule type="cellIs" dxfId="0" priority="10085" operator="greaterThan">
      <formula>1</formula>
    </cfRule>
  </conditionalFormatting>
  <conditionalFormatting sqref="BO1339:BP1340">
    <cfRule type="cellIs" dxfId="0" priority="10863" operator="greaterThan">
      <formula>1</formula>
    </cfRule>
  </conditionalFormatting>
  <conditionalFormatting sqref="BU1339:BV1340">
    <cfRule type="cellIs" dxfId="0" priority="10866" operator="greaterThan">
      <formula>1</formula>
    </cfRule>
  </conditionalFormatting>
  <conditionalFormatting sqref="BO1341:BP1342">
    <cfRule type="cellIs" dxfId="0" priority="10869" operator="greaterThan">
      <formula>1</formula>
    </cfRule>
  </conditionalFormatting>
  <conditionalFormatting sqref="BU1341:BV1342">
    <cfRule type="cellIs" dxfId="0" priority="10872" operator="greaterThan">
      <formula>1</formula>
    </cfRule>
  </conditionalFormatting>
  <conditionalFormatting sqref="BO1343:BP1344">
    <cfRule type="cellIs" dxfId="0" priority="12279" operator="greaterThan">
      <formula>1</formula>
    </cfRule>
  </conditionalFormatting>
  <conditionalFormatting sqref="BU1343:BV1344">
    <cfRule type="cellIs" dxfId="0" priority="12282" operator="greaterThan">
      <formula>1</formula>
    </cfRule>
  </conditionalFormatting>
  <conditionalFormatting sqref="BO1345:BP1346">
    <cfRule type="cellIs" dxfId="0" priority="9483" operator="greaterThan">
      <formula>1</formula>
    </cfRule>
  </conditionalFormatting>
  <conditionalFormatting sqref="BU1345:BV1346">
    <cfRule type="cellIs" dxfId="0" priority="9486" operator="greaterThan">
      <formula>1</formula>
    </cfRule>
  </conditionalFormatting>
  <conditionalFormatting sqref="BO1347:BP1348">
    <cfRule type="cellIs" dxfId="0" priority="12378" operator="greaterThan">
      <formula>1</formula>
    </cfRule>
  </conditionalFormatting>
  <conditionalFormatting sqref="BU1347:BV1348">
    <cfRule type="cellIs" dxfId="0" priority="12379" operator="greaterThan">
      <formula>1</formula>
    </cfRule>
  </conditionalFormatting>
  <conditionalFormatting sqref="BO1349:BP1350">
    <cfRule type="cellIs" dxfId="0" priority="11311" operator="greaterThan">
      <formula>1</formula>
    </cfRule>
  </conditionalFormatting>
  <conditionalFormatting sqref="BU1349:BV1350">
    <cfRule type="cellIs" dxfId="0" priority="11314" operator="greaterThan">
      <formula>1</formula>
    </cfRule>
  </conditionalFormatting>
  <conditionalFormatting sqref="BO1351:BP1352">
    <cfRule type="cellIs" dxfId="0" priority="11317" operator="greaterThan">
      <formula>1</formula>
    </cfRule>
  </conditionalFormatting>
  <conditionalFormatting sqref="BU1351:BV1352">
    <cfRule type="cellIs" dxfId="0" priority="11320" operator="greaterThan">
      <formula>1</formula>
    </cfRule>
  </conditionalFormatting>
  <conditionalFormatting sqref="BO1353:BP1354">
    <cfRule type="cellIs" dxfId="0" priority="10851" operator="greaterThan">
      <formula>1</formula>
    </cfRule>
  </conditionalFormatting>
  <conditionalFormatting sqref="BU1353:BV1354">
    <cfRule type="cellIs" dxfId="0" priority="10854" operator="greaterThan">
      <formula>1</formula>
    </cfRule>
  </conditionalFormatting>
  <conditionalFormatting sqref="BO1355:BP1356">
    <cfRule type="cellIs" dxfId="0" priority="10857" operator="greaterThan">
      <formula>1</formula>
    </cfRule>
  </conditionalFormatting>
  <conditionalFormatting sqref="BU1355:BV1356">
    <cfRule type="cellIs" dxfId="0" priority="10860" operator="greaterThan">
      <formula>1</formula>
    </cfRule>
  </conditionalFormatting>
  <conditionalFormatting sqref="E1362 E1364">
    <cfRule type="duplicateValues" dxfId="1" priority="14425"/>
  </conditionalFormatting>
  <conditionalFormatting sqref="BO1373:BP1377">
    <cfRule type="cellIs" dxfId="0" priority="12097" operator="greaterThan">
      <formula>1</formula>
    </cfRule>
  </conditionalFormatting>
  <conditionalFormatting sqref="BU1373:BV1376">
    <cfRule type="cellIs" dxfId="0" priority="12100" operator="greaterThan">
      <formula>1</formula>
    </cfRule>
  </conditionalFormatting>
  <conditionalFormatting sqref="BO1378:BP1380">
    <cfRule type="cellIs" dxfId="0" priority="11178" operator="greaterThan">
      <formula>1</formula>
    </cfRule>
  </conditionalFormatting>
  <conditionalFormatting sqref="BU1378:BV1379">
    <cfRule type="cellIs" dxfId="0" priority="11181" operator="greaterThan">
      <formula>1</formula>
    </cfRule>
  </conditionalFormatting>
  <conditionalFormatting sqref="BO1381:BP1382">
    <cfRule type="cellIs" dxfId="0" priority="11165" operator="greaterThan">
      <formula>1</formula>
    </cfRule>
  </conditionalFormatting>
  <conditionalFormatting sqref="BU1381:BV1382">
    <cfRule type="cellIs" dxfId="0" priority="11168" operator="greaterThan">
      <formula>1</formula>
    </cfRule>
  </conditionalFormatting>
  <conditionalFormatting sqref="BO1383:BP1384">
    <cfRule type="cellIs" dxfId="0" priority="11171" operator="greaterThan">
      <formula>1</formula>
    </cfRule>
  </conditionalFormatting>
  <conditionalFormatting sqref="BU1383:BV1384">
    <cfRule type="cellIs" dxfId="0" priority="11174" operator="greaterThan">
      <formula>1</formula>
    </cfRule>
  </conditionalFormatting>
  <conditionalFormatting sqref="BO1385:BP1387">
    <cfRule type="cellIs" dxfId="0" priority="12324" operator="greaterThan">
      <formula>1</formula>
    </cfRule>
  </conditionalFormatting>
  <conditionalFormatting sqref="BU1385:BV1386">
    <cfRule type="cellIs" dxfId="0" priority="12327" operator="greaterThan">
      <formula>1</formula>
    </cfRule>
  </conditionalFormatting>
  <conditionalFormatting sqref="BU1388:BV1391">
    <cfRule type="cellIs" dxfId="0" priority="13947" operator="greaterThan">
      <formula>1</formula>
    </cfRule>
  </conditionalFormatting>
  <conditionalFormatting sqref="BU1392:BV1395 BU1412:BV1412">
    <cfRule type="cellIs" dxfId="0" priority="13952" operator="greaterThan">
      <formula>1</formula>
    </cfRule>
  </conditionalFormatting>
  <conditionalFormatting sqref="BU1396:BV1397">
    <cfRule type="cellIs" dxfId="0" priority="13849" operator="greaterThan">
      <formula>1</formula>
    </cfRule>
  </conditionalFormatting>
  <conditionalFormatting sqref="BU1398:BV1399">
    <cfRule type="cellIs" dxfId="0" priority="13888" operator="greaterThan">
      <formula>1</formula>
    </cfRule>
  </conditionalFormatting>
  <conditionalFormatting sqref="BU1400:BV1403">
    <cfRule type="cellIs" dxfId="0" priority="13922" operator="greaterThan">
      <formula>1</formula>
    </cfRule>
  </conditionalFormatting>
  <conditionalFormatting sqref="BU1404:BV1407">
    <cfRule type="cellIs" dxfId="0" priority="13927" operator="greaterThan">
      <formula>1</formula>
    </cfRule>
  </conditionalFormatting>
  <conditionalFormatting sqref="BU1408:BV1411">
    <cfRule type="cellIs" dxfId="0" priority="13721" operator="greaterThan">
      <formula>1</formula>
    </cfRule>
  </conditionalFormatting>
  <conditionalFormatting sqref="BO1413:BP1414">
    <cfRule type="cellIs" dxfId="0" priority="10235" operator="greaterThan">
      <formula>1</formula>
    </cfRule>
  </conditionalFormatting>
  <conditionalFormatting sqref="BU1413:BV1414">
    <cfRule type="cellIs" dxfId="0" priority="10238" operator="greaterThan">
      <formula>1</formula>
    </cfRule>
  </conditionalFormatting>
  <conditionalFormatting sqref="BO1415:BP1416">
    <cfRule type="cellIs" dxfId="0" priority="11982" operator="greaterThan">
      <formula>1</formula>
    </cfRule>
  </conditionalFormatting>
  <conditionalFormatting sqref="BU1415:BV1416">
    <cfRule type="cellIs" dxfId="0" priority="11985" operator="greaterThan">
      <formula>1</formula>
    </cfRule>
  </conditionalFormatting>
  <conditionalFormatting sqref="BO1417:BP1418">
    <cfRule type="cellIs" dxfId="0" priority="12601" operator="greaterThan">
      <formula>1</formula>
    </cfRule>
  </conditionalFormatting>
  <conditionalFormatting sqref="BU1417:BV1418">
    <cfRule type="cellIs" dxfId="0" priority="12604" operator="greaterThan">
      <formula>1</formula>
    </cfRule>
  </conditionalFormatting>
  <conditionalFormatting sqref="BO1419:BP1420">
    <cfRule type="cellIs" dxfId="0" priority="11300" operator="greaterThan">
      <formula>1</formula>
    </cfRule>
  </conditionalFormatting>
  <conditionalFormatting sqref="BU1419:BV1420">
    <cfRule type="cellIs" dxfId="0" priority="11303" operator="greaterThan">
      <formula>1</formula>
    </cfRule>
  </conditionalFormatting>
  <conditionalFormatting sqref="BO1421:BP1422">
    <cfRule type="cellIs" dxfId="0" priority="12746" operator="greaterThan">
      <formula>1</formula>
    </cfRule>
  </conditionalFormatting>
  <conditionalFormatting sqref="BU1421:BV1422">
    <cfRule type="cellIs" dxfId="0" priority="12749" operator="greaterThan">
      <formula>1</formula>
    </cfRule>
  </conditionalFormatting>
  <conditionalFormatting sqref="BO1426:BP1427">
    <cfRule type="cellIs" dxfId="0" priority="10933" operator="greaterThan">
      <formula>1</formula>
    </cfRule>
  </conditionalFormatting>
  <conditionalFormatting sqref="BU1426:BV1427">
    <cfRule type="cellIs" dxfId="0" priority="10936" operator="greaterThan">
      <formula>1</formula>
    </cfRule>
  </conditionalFormatting>
  <conditionalFormatting sqref="BO1428:BP1429">
    <cfRule type="cellIs" dxfId="0" priority="10925" operator="greaterThan">
      <formula>1</formula>
    </cfRule>
  </conditionalFormatting>
  <conditionalFormatting sqref="BU1428:BV1429">
    <cfRule type="cellIs" dxfId="0" priority="10928" operator="greaterThan">
      <formula>1</formula>
    </cfRule>
  </conditionalFormatting>
  <conditionalFormatting sqref="BO1430:BP1431">
    <cfRule type="cellIs" dxfId="0" priority="10931" operator="greaterThan">
      <formula>1</formula>
    </cfRule>
  </conditionalFormatting>
  <conditionalFormatting sqref="BU1430:BV1431">
    <cfRule type="cellIs" dxfId="0" priority="10932" operator="greaterThan">
      <formula>1</formula>
    </cfRule>
  </conditionalFormatting>
  <conditionalFormatting sqref="BO1432:BP1433">
    <cfRule type="cellIs" dxfId="0" priority="11202" operator="greaterThan">
      <formula>1</formula>
    </cfRule>
  </conditionalFormatting>
  <conditionalFormatting sqref="BU1432:BV1433">
    <cfRule type="cellIs" dxfId="0" priority="11203" operator="greaterThan">
      <formula>1</formula>
    </cfRule>
  </conditionalFormatting>
  <conditionalFormatting sqref="BO1434:BP1435">
    <cfRule type="cellIs" dxfId="0" priority="10040" operator="greaterThan">
      <formula>1</formula>
    </cfRule>
  </conditionalFormatting>
  <conditionalFormatting sqref="BU1434:BV1435">
    <cfRule type="cellIs" dxfId="0" priority="10041" operator="greaterThan">
      <formula>1</formula>
    </cfRule>
  </conditionalFormatting>
  <conditionalFormatting sqref="E1437:E1438 E1441">
    <cfRule type="duplicateValues" dxfId="1" priority="13227"/>
  </conditionalFormatting>
  <conditionalFormatting sqref="BO1437:BP1438 BO1441:BP1441">
    <cfRule type="cellIs" dxfId="0" priority="13225" operator="greaterThan">
      <formula>1</formula>
    </cfRule>
  </conditionalFormatting>
  <conditionalFormatting sqref="BU1437:BV1438">
    <cfRule type="cellIs" dxfId="0" priority="13228" operator="greaterThan">
      <formula>1</formula>
    </cfRule>
  </conditionalFormatting>
  <conditionalFormatting sqref="BO1439:BP1440">
    <cfRule type="cellIs" dxfId="0" priority="11103" operator="greaterThan">
      <formula>1</formula>
    </cfRule>
  </conditionalFormatting>
  <conditionalFormatting sqref="BU1439:BV1440">
    <cfRule type="cellIs" dxfId="0" priority="11106" operator="greaterThan">
      <formula>1</formula>
    </cfRule>
  </conditionalFormatting>
  <conditionalFormatting sqref="BO1442:BP1443">
    <cfRule type="cellIs" dxfId="0" priority="13348" operator="greaterThan">
      <formula>1</formula>
    </cfRule>
  </conditionalFormatting>
  <conditionalFormatting sqref="BU1442:BV1443">
    <cfRule type="cellIs" dxfId="0" priority="13351" operator="greaterThan">
      <formula>1</formula>
    </cfRule>
  </conditionalFormatting>
  <conditionalFormatting sqref="BU1444:BV1445">
    <cfRule type="cellIs" dxfId="0" priority="13663" operator="greaterThan">
      <formula>1</formula>
    </cfRule>
  </conditionalFormatting>
  <conditionalFormatting sqref="BU1450:BV1451">
    <cfRule type="cellIs" dxfId="0" priority="13690" operator="greaterThan">
      <formula>1</formula>
    </cfRule>
  </conditionalFormatting>
  <conditionalFormatting sqref="BU1453:BV1454">
    <cfRule type="cellIs" dxfId="0" priority="13980" operator="greaterThan">
      <formula>1</formula>
    </cfRule>
  </conditionalFormatting>
  <conditionalFormatting sqref="BU1455:BV1456">
    <cfRule type="cellIs" dxfId="0" priority="13977" operator="greaterThan">
      <formula>1</formula>
    </cfRule>
  </conditionalFormatting>
  <conditionalFormatting sqref="BU1461:BV1462">
    <cfRule type="cellIs" dxfId="0" priority="13970" operator="greaterThan">
      <formula>1</formula>
    </cfRule>
  </conditionalFormatting>
  <conditionalFormatting sqref="BU1463:BV1464">
    <cfRule type="cellIs" dxfId="0" priority="14009" operator="greaterThan">
      <formula>1</formula>
    </cfRule>
  </conditionalFormatting>
  <conditionalFormatting sqref="BO1472:BP1475">
    <cfRule type="cellIs" dxfId="0" priority="12736" operator="greaterThan">
      <formula>1</formula>
    </cfRule>
  </conditionalFormatting>
  <conditionalFormatting sqref="BU1472:BV1475">
    <cfRule type="cellIs" dxfId="0" priority="12737" operator="greaterThan">
      <formula>1</formula>
    </cfRule>
  </conditionalFormatting>
  <conditionalFormatting sqref="BO1476:BP1479">
    <cfRule type="cellIs" dxfId="0" priority="11075" operator="greaterThan">
      <formula>1</formula>
    </cfRule>
  </conditionalFormatting>
  <conditionalFormatting sqref="BU1476:BV1479">
    <cfRule type="cellIs" dxfId="0" priority="11082" operator="greaterThan">
      <formula>1</formula>
    </cfRule>
  </conditionalFormatting>
  <conditionalFormatting sqref="BO1480:BP1483">
    <cfRule type="cellIs" dxfId="0" priority="11440" operator="greaterThan">
      <formula>1</formula>
    </cfRule>
  </conditionalFormatting>
  <conditionalFormatting sqref="BU1480:BV1483">
    <cfRule type="cellIs" dxfId="0" priority="11447" operator="greaterThan">
      <formula>1</formula>
    </cfRule>
  </conditionalFormatting>
  <conditionalFormatting sqref="BU1484:BV1487">
    <cfRule type="cellIs" dxfId="0" priority="13645" operator="greaterThan">
      <formula>1</formula>
    </cfRule>
  </conditionalFormatting>
  <conditionalFormatting sqref="BO1488:BP1491">
    <cfRule type="cellIs" dxfId="0" priority="11059" operator="greaterThan">
      <formula>1</formula>
    </cfRule>
  </conditionalFormatting>
  <conditionalFormatting sqref="BU1488:BV1491">
    <cfRule type="cellIs" dxfId="0" priority="11064" operator="greaterThan">
      <formula>1</formula>
    </cfRule>
  </conditionalFormatting>
  <conditionalFormatting sqref="BO1492:BP1495">
    <cfRule type="cellIs" dxfId="0" priority="13446" operator="greaterThan">
      <formula>1</formula>
    </cfRule>
  </conditionalFormatting>
  <conditionalFormatting sqref="BU1492:BV1495">
    <cfRule type="cellIs" dxfId="0" priority="13453" operator="greaterThan">
      <formula>1</formula>
    </cfRule>
  </conditionalFormatting>
  <conditionalFormatting sqref="BO1501:BP1504">
    <cfRule type="cellIs" dxfId="0" priority="11129" operator="greaterThan">
      <formula>1</formula>
    </cfRule>
  </conditionalFormatting>
  <conditionalFormatting sqref="BU1501:BV1504">
    <cfRule type="cellIs" dxfId="0" priority="11136" operator="greaterThan">
      <formula>1</formula>
    </cfRule>
  </conditionalFormatting>
  <conditionalFormatting sqref="BO1505:BP1508">
    <cfRule type="cellIs" dxfId="0" priority="13314" operator="greaterThan">
      <formula>1</formula>
    </cfRule>
  </conditionalFormatting>
  <conditionalFormatting sqref="BU1505:BV1508">
    <cfRule type="cellIs" dxfId="0" priority="13321" operator="greaterThan">
      <formula>1</formula>
    </cfRule>
  </conditionalFormatting>
  <conditionalFormatting sqref="BO1513:BP1516">
    <cfRule type="cellIs" dxfId="0" priority="13183" operator="greaterThan">
      <formula>1</formula>
    </cfRule>
  </conditionalFormatting>
  <conditionalFormatting sqref="BU1513:BV1516">
    <cfRule type="cellIs" dxfId="0" priority="13190" operator="greaterThan">
      <formula>1</formula>
    </cfRule>
  </conditionalFormatting>
  <conditionalFormatting sqref="BO1517:BP1520">
    <cfRule type="cellIs" dxfId="0" priority="13432" operator="greaterThan">
      <formula>1</formula>
    </cfRule>
  </conditionalFormatting>
  <conditionalFormatting sqref="BU1517:BV1520">
    <cfRule type="cellIs" dxfId="0" priority="13439" operator="greaterThan">
      <formula>1</formula>
    </cfRule>
  </conditionalFormatting>
  <conditionalFormatting sqref="BO1522:BP1525">
    <cfRule type="cellIs" dxfId="0" priority="13496" operator="greaterThan">
      <formula>1</formula>
    </cfRule>
  </conditionalFormatting>
  <conditionalFormatting sqref="BU1522:BV1523">
    <cfRule type="cellIs" dxfId="0" priority="13503" operator="greaterThan">
      <formula>1</formula>
    </cfRule>
  </conditionalFormatting>
  <conditionalFormatting sqref="BU1524:BV1525">
    <cfRule type="cellIs" dxfId="0" priority="13508" operator="greaterThan">
      <formula>1</formula>
    </cfRule>
  </conditionalFormatting>
  <conditionalFormatting sqref="BO1527:BP1530">
    <cfRule type="cellIs" dxfId="0" priority="13559" operator="greaterThan">
      <formula>1</formula>
    </cfRule>
  </conditionalFormatting>
  <conditionalFormatting sqref="BU1527:BV1528">
    <cfRule type="cellIs" dxfId="0" priority="13566" operator="greaterThan">
      <formula>1</formula>
    </cfRule>
  </conditionalFormatting>
  <conditionalFormatting sqref="BU1529:BV1530">
    <cfRule type="cellIs" dxfId="0" priority="13567" operator="greaterThan">
      <formula>1</formula>
    </cfRule>
  </conditionalFormatting>
  <conditionalFormatting sqref="BU1531:BV1532">
    <cfRule type="cellIs" dxfId="0" priority="13777" operator="greaterThan">
      <formula>1</formula>
    </cfRule>
  </conditionalFormatting>
  <conditionalFormatting sqref="BU1533:BV1534">
    <cfRule type="cellIs" dxfId="0" priority="13780" operator="greaterThan">
      <formula>1</formula>
    </cfRule>
  </conditionalFormatting>
  <conditionalFormatting sqref="BU1535:BV1536">
    <cfRule type="cellIs" dxfId="0" priority="13677" operator="greaterThan">
      <formula>1</formula>
    </cfRule>
  </conditionalFormatting>
  <conditionalFormatting sqref="BU1537:BV1538">
    <cfRule type="cellIs" dxfId="0" priority="13678" operator="greaterThan">
      <formula>1</formula>
    </cfRule>
  </conditionalFormatting>
  <conditionalFormatting sqref="BU1539:BV1540">
    <cfRule type="cellIs" dxfId="0" priority="13599" operator="greaterThan">
      <formula>1</formula>
    </cfRule>
  </conditionalFormatting>
  <conditionalFormatting sqref="BU1541:BV1542">
    <cfRule type="cellIs" dxfId="0" priority="13602" operator="greaterThan">
      <formula>1</formula>
    </cfRule>
  </conditionalFormatting>
  <conditionalFormatting sqref="BO1544:BP1545">
    <cfRule type="cellIs" dxfId="0" priority="11741" operator="greaterThan">
      <formula>1</formula>
    </cfRule>
  </conditionalFormatting>
  <conditionalFormatting sqref="BU1544:BV1545">
    <cfRule type="cellIs" dxfId="0" priority="11748" operator="greaterThan">
      <formula>1</formula>
    </cfRule>
  </conditionalFormatting>
  <conditionalFormatting sqref="BO1546:BP1547">
    <cfRule type="cellIs" dxfId="0" priority="11733" operator="greaterThan">
      <formula>1</formula>
    </cfRule>
  </conditionalFormatting>
  <conditionalFormatting sqref="BU1546:BV1547">
    <cfRule type="cellIs" dxfId="0" priority="11740" operator="greaterThan">
      <formula>1</formula>
    </cfRule>
  </conditionalFormatting>
  <conditionalFormatting sqref="BO1548:BP1549">
    <cfRule type="cellIs" dxfId="0" priority="12229" operator="greaterThan">
      <formula>1</formula>
    </cfRule>
  </conditionalFormatting>
  <conditionalFormatting sqref="BU1548:BV1549">
    <cfRule type="cellIs" dxfId="0" priority="12236" operator="greaterThan">
      <formula>1</formula>
    </cfRule>
  </conditionalFormatting>
  <conditionalFormatting sqref="BO1551:BP1552">
    <cfRule type="cellIs" dxfId="0" priority="11153" operator="greaterThan">
      <formula>1</formula>
    </cfRule>
  </conditionalFormatting>
  <conditionalFormatting sqref="BU1551:BV1552">
    <cfRule type="cellIs" dxfId="0" priority="11160" operator="greaterThan">
      <formula>1</formula>
    </cfRule>
  </conditionalFormatting>
  <conditionalFormatting sqref="BO1553:BP1554">
    <cfRule type="cellIs" dxfId="0" priority="12629" operator="greaterThan">
      <formula>1</formula>
    </cfRule>
  </conditionalFormatting>
  <conditionalFormatting sqref="BU1553:BV1554">
    <cfRule type="cellIs" dxfId="0" priority="12636" operator="greaterThan">
      <formula>1</formula>
    </cfRule>
  </conditionalFormatting>
  <conditionalFormatting sqref="BO1555:BP1556">
    <cfRule type="cellIs" dxfId="0" priority="10586" operator="greaterThan">
      <formula>1</formula>
    </cfRule>
  </conditionalFormatting>
  <conditionalFormatting sqref="BU1555:BV1556">
    <cfRule type="cellIs" dxfId="0" priority="10593" operator="greaterThan">
      <formula>1</formula>
    </cfRule>
  </conditionalFormatting>
  <conditionalFormatting sqref="BO1557:BP1558">
    <cfRule type="cellIs" dxfId="0" priority="10393" operator="greaterThan">
      <formula>1</formula>
    </cfRule>
  </conditionalFormatting>
  <conditionalFormatting sqref="BU1557:BV1558">
    <cfRule type="cellIs" dxfId="0" priority="10400" operator="greaterThan">
      <formula>1</formula>
    </cfRule>
  </conditionalFormatting>
  <conditionalFormatting sqref="BO1559:BP1560">
    <cfRule type="cellIs" dxfId="0" priority="11410" operator="greaterThan">
      <formula>1</formula>
    </cfRule>
  </conditionalFormatting>
  <conditionalFormatting sqref="BU1559:BV1560">
    <cfRule type="cellIs" dxfId="0" priority="11417" operator="greaterThan">
      <formula>1</formula>
    </cfRule>
  </conditionalFormatting>
  <conditionalFormatting sqref="BO1561:BP1562">
    <cfRule type="cellIs" dxfId="0" priority="13400" operator="greaterThan">
      <formula>1</formula>
    </cfRule>
  </conditionalFormatting>
  <conditionalFormatting sqref="BU1561:BV1562">
    <cfRule type="cellIs" dxfId="0" priority="13407" operator="greaterThan">
      <formula>1</formula>
    </cfRule>
  </conditionalFormatting>
  <conditionalFormatting sqref="BO1564:BP1565">
    <cfRule type="cellIs" dxfId="0" priority="11795" operator="greaterThan">
      <formula>1</formula>
    </cfRule>
  </conditionalFormatting>
  <conditionalFormatting sqref="BU1564:BV1565">
    <cfRule type="cellIs" dxfId="0" priority="11802" operator="greaterThan">
      <formula>1</formula>
    </cfRule>
  </conditionalFormatting>
  <conditionalFormatting sqref="BU1567:BV1568">
    <cfRule type="cellIs" dxfId="0" priority="13700" operator="greaterThan">
      <formula>1</formula>
    </cfRule>
  </conditionalFormatting>
  <conditionalFormatting sqref="BO1572:BP1575">
    <cfRule type="cellIs" dxfId="0" priority="12172" operator="greaterThan">
      <formula>1</formula>
    </cfRule>
  </conditionalFormatting>
  <conditionalFormatting sqref="BU1572:BV1575">
    <cfRule type="cellIs" dxfId="0" priority="12175" operator="greaterThan">
      <formula>1</formula>
    </cfRule>
  </conditionalFormatting>
  <conditionalFormatting sqref="BU1576:BV1579">
    <cfRule type="cellIs" dxfId="0" priority="13623" operator="greaterThan">
      <formula>1</formula>
    </cfRule>
  </conditionalFormatting>
  <conditionalFormatting sqref="BO1585:BP1588">
    <cfRule type="cellIs" dxfId="0" priority="10319" operator="greaterThan">
      <formula>1</formula>
    </cfRule>
  </conditionalFormatting>
  <conditionalFormatting sqref="BU1585:BV1588">
    <cfRule type="cellIs" dxfId="0" priority="10324" operator="greaterThan">
      <formula>1</formula>
    </cfRule>
  </conditionalFormatting>
  <conditionalFormatting sqref="BU1614:BV1617">
    <cfRule type="cellIs" dxfId="0" priority="13783" operator="greaterThan">
      <formula>1</formula>
    </cfRule>
  </conditionalFormatting>
  <conditionalFormatting sqref="BO1619:BP1622">
    <cfRule type="cellIs" dxfId="0" priority="12638" operator="greaterThan">
      <formula>1</formula>
    </cfRule>
  </conditionalFormatting>
  <conditionalFormatting sqref="BU1619:BV1622">
    <cfRule type="cellIs" dxfId="0" priority="12643" operator="greaterThan">
      <formula>1</formula>
    </cfRule>
  </conditionalFormatting>
  <conditionalFormatting sqref="BO1623:BP1624">
    <cfRule type="cellIs" dxfId="0" priority="11230" operator="greaterThan">
      <formula>1</formula>
    </cfRule>
  </conditionalFormatting>
  <conditionalFormatting sqref="BU1623:BV1624">
    <cfRule type="cellIs" dxfId="0" priority="11235" operator="greaterThan">
      <formula>1</formula>
    </cfRule>
  </conditionalFormatting>
  <conditionalFormatting sqref="BO1625:BP1626">
    <cfRule type="cellIs" dxfId="0" priority="11228" operator="greaterThan">
      <formula>1</formula>
    </cfRule>
  </conditionalFormatting>
  <conditionalFormatting sqref="BU1625:BV1626">
    <cfRule type="cellIs" dxfId="0" priority="11229" operator="greaterThan">
      <formula>1</formula>
    </cfRule>
  </conditionalFormatting>
  <conditionalFormatting sqref="BO1627:BP1630">
    <cfRule type="cellIs" dxfId="0" priority="12549" operator="greaterThan">
      <formula>1</formula>
    </cfRule>
  </conditionalFormatting>
  <conditionalFormatting sqref="BU1627:BV1630">
    <cfRule type="cellIs" dxfId="0" priority="12554" operator="greaterThan">
      <formula>1</formula>
    </cfRule>
  </conditionalFormatting>
  <conditionalFormatting sqref="BO1635:BP1638">
    <cfRule type="cellIs" dxfId="0" priority="13490" operator="greaterThan">
      <formula>1</formula>
    </cfRule>
  </conditionalFormatting>
  <conditionalFormatting sqref="BU1635:BV1638">
    <cfRule type="cellIs" dxfId="0" priority="13495" operator="greaterThan">
      <formula>1</formula>
    </cfRule>
  </conditionalFormatting>
  <conditionalFormatting sqref="BO1639:BP1642">
    <cfRule type="cellIs" dxfId="0" priority="12774" operator="greaterThan">
      <formula>1</formula>
    </cfRule>
  </conditionalFormatting>
  <conditionalFormatting sqref="BU1639:BV1642">
    <cfRule type="cellIs" dxfId="0" priority="12779" operator="greaterThan">
      <formula>1</formula>
    </cfRule>
  </conditionalFormatting>
  <conditionalFormatting sqref="BO1643:BP1646">
    <cfRule type="cellIs" dxfId="0" priority="13354" operator="greaterThan">
      <formula>1</formula>
    </cfRule>
  </conditionalFormatting>
  <conditionalFormatting sqref="BU1643:BV1646">
    <cfRule type="cellIs" dxfId="0" priority="13359" operator="greaterThan">
      <formula>1</formula>
    </cfRule>
  </conditionalFormatting>
  <conditionalFormatting sqref="BO1648:BP1651">
    <cfRule type="cellIs" dxfId="0" priority="13440" operator="greaterThan">
      <formula>1</formula>
    </cfRule>
  </conditionalFormatting>
  <conditionalFormatting sqref="BU1648:BV1651">
    <cfRule type="cellIs" dxfId="0" priority="13445" operator="greaterThan">
      <formula>1</formula>
    </cfRule>
  </conditionalFormatting>
  <conditionalFormatting sqref="BO1652:BP1655">
    <cfRule type="cellIs" dxfId="0" priority="9475" operator="greaterThan">
      <formula>1</formula>
    </cfRule>
  </conditionalFormatting>
  <conditionalFormatting sqref="BU1652:BV1655">
    <cfRule type="cellIs" dxfId="0" priority="9480" operator="greaterThan">
      <formula>1</formula>
    </cfRule>
  </conditionalFormatting>
  <conditionalFormatting sqref="BO1656:BP1657">
    <cfRule type="cellIs" dxfId="0" priority="10012" operator="greaterThan">
      <formula>1</formula>
    </cfRule>
  </conditionalFormatting>
  <conditionalFormatting sqref="BU1656:BV1657">
    <cfRule type="cellIs" dxfId="0" priority="10017" operator="greaterThan">
      <formula>1</formula>
    </cfRule>
  </conditionalFormatting>
  <conditionalFormatting sqref="BO1658:BP1659">
    <cfRule type="cellIs" dxfId="0" priority="10006" operator="greaterThan">
      <formula>1</formula>
    </cfRule>
  </conditionalFormatting>
  <conditionalFormatting sqref="BU1658:BV1659">
    <cfRule type="cellIs" dxfId="0" priority="10011" operator="greaterThan">
      <formula>1</formula>
    </cfRule>
  </conditionalFormatting>
  <conditionalFormatting sqref="E1661 E1663">
    <cfRule type="duplicateValues" dxfId="1" priority="11164"/>
  </conditionalFormatting>
  <conditionalFormatting sqref="BO1661:BP1664">
    <cfRule type="cellIs" dxfId="0" priority="11438" operator="greaterThan">
      <formula>1</formula>
    </cfRule>
  </conditionalFormatting>
  <conditionalFormatting sqref="BU1661:BV1664">
    <cfRule type="cellIs" dxfId="0" priority="11439" operator="greaterThan">
      <formula>1</formula>
    </cfRule>
  </conditionalFormatting>
  <conditionalFormatting sqref="BO1665:BP1666">
    <cfRule type="cellIs" dxfId="0" priority="10919" operator="greaterThan">
      <formula>1</formula>
    </cfRule>
  </conditionalFormatting>
  <conditionalFormatting sqref="BU1665:BV1666">
    <cfRule type="cellIs" dxfId="0" priority="10924" operator="greaterThan">
      <formula>1</formula>
    </cfRule>
  </conditionalFormatting>
  <conditionalFormatting sqref="BO1667:BP1668">
    <cfRule type="cellIs" dxfId="0" priority="10913" operator="greaterThan">
      <formula>1</formula>
    </cfRule>
  </conditionalFormatting>
  <conditionalFormatting sqref="BU1667:BV1668">
    <cfRule type="cellIs" dxfId="0" priority="10918" operator="greaterThan">
      <formula>1</formula>
    </cfRule>
  </conditionalFormatting>
  <conditionalFormatting sqref="BU1669:BV1672">
    <cfRule type="cellIs" dxfId="0" priority="13787" operator="greaterThan">
      <formula>1</formula>
    </cfRule>
  </conditionalFormatting>
  <conditionalFormatting sqref="E1673 E1675">
    <cfRule type="duplicateValues" dxfId="1" priority="12397"/>
  </conditionalFormatting>
  <conditionalFormatting sqref="BO1673:BP1676">
    <cfRule type="cellIs" dxfId="0" priority="12392" operator="greaterThan">
      <formula>1</formula>
    </cfRule>
  </conditionalFormatting>
  <conditionalFormatting sqref="BU1673:BV1676">
    <cfRule type="cellIs" dxfId="0" priority="12395" operator="greaterThan">
      <formula>1</formula>
    </cfRule>
  </conditionalFormatting>
  <conditionalFormatting sqref="BO1678:BP1679">
    <cfRule type="cellIs" dxfId="0" priority="13280" operator="greaterThan">
      <formula>1</formula>
    </cfRule>
  </conditionalFormatting>
  <conditionalFormatting sqref="BU1678:BV1679">
    <cfRule type="cellIs" dxfId="0" priority="13285" operator="greaterThan">
      <formula>1</formula>
    </cfRule>
  </conditionalFormatting>
  <conditionalFormatting sqref="BU1684:BV1685">
    <cfRule type="cellIs" dxfId="0" priority="13731" operator="greaterThan">
      <formula>1</formula>
    </cfRule>
  </conditionalFormatting>
  <conditionalFormatting sqref="BU1687:BV1688">
    <cfRule type="cellIs" dxfId="0" priority="13734" operator="greaterThan">
      <formula>1</formula>
    </cfRule>
  </conditionalFormatting>
  <conditionalFormatting sqref="BO1695:BP1696">
    <cfRule type="cellIs" dxfId="0" priority="13270" operator="greaterThan">
      <formula>1</formula>
    </cfRule>
  </conditionalFormatting>
  <conditionalFormatting sqref="BU1695:BV1696">
    <cfRule type="cellIs" dxfId="0" priority="13275" operator="greaterThan">
      <formula>1</formula>
    </cfRule>
  </conditionalFormatting>
  <conditionalFormatting sqref="BU1698:BV1699 BU1702:BV1702">
    <cfRule type="cellIs" dxfId="0" priority="13752" operator="greaterThan">
      <formula>1</formula>
    </cfRule>
  </conditionalFormatting>
  <conditionalFormatting sqref="BO1700:BP1701">
    <cfRule type="cellIs" dxfId="0" priority="13472" operator="greaterThan">
      <formula>1</formula>
    </cfRule>
  </conditionalFormatting>
  <conditionalFormatting sqref="BU1700:BV1701">
    <cfRule type="cellIs" dxfId="0" priority="13477" operator="greaterThan">
      <formula>1</formula>
    </cfRule>
  </conditionalFormatting>
  <conditionalFormatting sqref="BO1703:BP1704">
    <cfRule type="cellIs" dxfId="0" priority="13420" operator="greaterThan">
      <formula>1</formula>
    </cfRule>
  </conditionalFormatting>
  <conditionalFormatting sqref="BU1703:BV1704">
    <cfRule type="cellIs" dxfId="0" priority="13425" operator="greaterThan">
      <formula>1</formula>
    </cfRule>
  </conditionalFormatting>
  <conditionalFormatting sqref="BO1705:BP1706">
    <cfRule type="cellIs" dxfId="0" priority="13414" operator="greaterThan">
      <formula>1</formula>
    </cfRule>
  </conditionalFormatting>
  <conditionalFormatting sqref="BU1705:BV1706">
    <cfRule type="cellIs" dxfId="0" priority="13419" operator="greaterThan">
      <formula>1</formula>
    </cfRule>
  </conditionalFormatting>
  <conditionalFormatting sqref="BO1707:BP1708">
    <cfRule type="cellIs" dxfId="0" priority="12462" operator="greaterThan">
      <formula>1</formula>
    </cfRule>
  </conditionalFormatting>
  <conditionalFormatting sqref="BU1707:BV1708">
    <cfRule type="cellIs" dxfId="0" priority="12467" operator="greaterThan">
      <formula>1</formula>
    </cfRule>
  </conditionalFormatting>
  <conditionalFormatting sqref="BO1709:BP1710">
    <cfRule type="cellIs" dxfId="0" priority="12456" operator="greaterThan">
      <formula>1</formula>
    </cfRule>
  </conditionalFormatting>
  <conditionalFormatting sqref="BU1709:BV1710">
    <cfRule type="cellIs" dxfId="0" priority="12461" operator="greaterThan">
      <formula>1</formula>
    </cfRule>
  </conditionalFormatting>
  <conditionalFormatting sqref="BO1711:BP1712">
    <cfRule type="cellIs" dxfId="0" priority="13240" operator="greaterThan">
      <formula>1</formula>
    </cfRule>
  </conditionalFormatting>
  <conditionalFormatting sqref="BU1711:BV1712">
    <cfRule type="cellIs" dxfId="0" priority="13245" operator="greaterThan">
      <formula>1</formula>
    </cfRule>
  </conditionalFormatting>
  <conditionalFormatting sqref="BO1713:BP1714">
    <cfRule type="cellIs" dxfId="0" priority="13234" operator="greaterThan">
      <formula>1</formula>
    </cfRule>
  </conditionalFormatting>
  <conditionalFormatting sqref="BU1713:BV1714">
    <cfRule type="cellIs" dxfId="0" priority="13239" operator="greaterThan">
      <formula>1</formula>
    </cfRule>
  </conditionalFormatting>
  <conditionalFormatting sqref="BO1715:BP1716">
    <cfRule type="cellIs" dxfId="0" priority="11566" operator="greaterThan">
      <formula>1</formula>
    </cfRule>
  </conditionalFormatting>
  <conditionalFormatting sqref="BU1715:BV1716">
    <cfRule type="cellIs" dxfId="0" priority="11571" operator="greaterThan">
      <formula>1</formula>
    </cfRule>
  </conditionalFormatting>
  <conditionalFormatting sqref="BO1717:BP1718">
    <cfRule type="cellIs" dxfId="0" priority="11560" operator="greaterThan">
      <formula>1</formula>
    </cfRule>
  </conditionalFormatting>
  <conditionalFormatting sqref="BU1717:BV1718">
    <cfRule type="cellIs" dxfId="0" priority="11565" operator="greaterThan">
      <formula>1</formula>
    </cfRule>
  </conditionalFormatting>
  <conditionalFormatting sqref="BO1720:BP1721">
    <cfRule type="cellIs" dxfId="0" priority="13258" operator="greaterThan">
      <formula>1</formula>
    </cfRule>
  </conditionalFormatting>
  <conditionalFormatting sqref="BU1720:BV1721">
    <cfRule type="cellIs" dxfId="0" priority="13263" operator="greaterThan">
      <formula>1</formula>
    </cfRule>
  </conditionalFormatting>
  <conditionalFormatting sqref="BO1722:BP1723">
    <cfRule type="cellIs" dxfId="0" priority="13252" operator="greaterThan">
      <formula>1</formula>
    </cfRule>
  </conditionalFormatting>
  <conditionalFormatting sqref="BU1722:BV1723">
    <cfRule type="cellIs" dxfId="0" priority="13257" operator="greaterThan">
      <formula>1</formula>
    </cfRule>
  </conditionalFormatting>
  <conditionalFormatting sqref="BO1724:BP1725">
    <cfRule type="cellIs" dxfId="0" priority="12756" operator="greaterThan">
      <formula>1</formula>
    </cfRule>
  </conditionalFormatting>
  <conditionalFormatting sqref="BU1724:BV1725">
    <cfRule type="cellIs" dxfId="0" priority="12761" operator="greaterThan">
      <formula>1</formula>
    </cfRule>
  </conditionalFormatting>
  <conditionalFormatting sqref="BO1726:BP1727">
    <cfRule type="cellIs" dxfId="0" priority="12754" operator="greaterThan">
      <formula>1</formula>
    </cfRule>
  </conditionalFormatting>
  <conditionalFormatting sqref="BU1726:BV1727">
    <cfRule type="cellIs" dxfId="0" priority="12755" operator="greaterThan">
      <formula>1</formula>
    </cfRule>
  </conditionalFormatting>
  <conditionalFormatting sqref="BO1728:BP1729">
    <cfRule type="cellIs" dxfId="0" priority="12474" operator="greaterThan">
      <formula>1</formula>
    </cfRule>
  </conditionalFormatting>
  <conditionalFormatting sqref="BU1728:BV1729">
    <cfRule type="cellIs" dxfId="0" priority="12479" operator="greaterThan">
      <formula>1</formula>
    </cfRule>
  </conditionalFormatting>
  <conditionalFormatting sqref="BO1730:BP1731">
    <cfRule type="cellIs" dxfId="0" priority="12468" operator="greaterThan">
      <formula>1</formula>
    </cfRule>
  </conditionalFormatting>
  <conditionalFormatting sqref="BU1730:BV1731">
    <cfRule type="cellIs" dxfId="0" priority="12473" operator="greaterThan">
      <formula>1</formula>
    </cfRule>
  </conditionalFormatting>
  <conditionalFormatting sqref="BO1732:BP1733">
    <cfRule type="cellIs" dxfId="0" priority="12386" operator="greaterThan">
      <formula>1</formula>
    </cfRule>
  </conditionalFormatting>
  <conditionalFormatting sqref="BU1732:BV1733">
    <cfRule type="cellIs" dxfId="0" priority="12391" operator="greaterThan">
      <formula>1</formula>
    </cfRule>
  </conditionalFormatting>
  <conditionalFormatting sqref="BO1734:BP1735">
    <cfRule type="cellIs" dxfId="0" priority="12380" operator="greaterThan">
      <formula>1</formula>
    </cfRule>
  </conditionalFormatting>
  <conditionalFormatting sqref="BU1734:BV1735">
    <cfRule type="cellIs" dxfId="0" priority="12385" operator="greaterThan">
      <formula>1</formula>
    </cfRule>
  </conditionalFormatting>
  <conditionalFormatting sqref="BU1737:BV1740">
    <cfRule type="cellIs" dxfId="0" priority="13745" operator="greaterThan">
      <formula>1</formula>
    </cfRule>
  </conditionalFormatting>
  <conditionalFormatting sqref="BO1745:BP1746">
    <cfRule type="cellIs" dxfId="0" priority="11218" operator="greaterThan">
      <formula>1</formula>
    </cfRule>
  </conditionalFormatting>
  <conditionalFormatting sqref="BU1745:BV1746">
    <cfRule type="cellIs" dxfId="0" priority="11223" operator="greaterThan">
      <formula>1</formula>
    </cfRule>
  </conditionalFormatting>
  <conditionalFormatting sqref="BO1764:BP1767">
    <cfRule type="cellIs" dxfId="0" priority="12559" operator="greaterThan">
      <formula>1</formula>
    </cfRule>
  </conditionalFormatting>
  <conditionalFormatting sqref="BU1764:BV1767">
    <cfRule type="cellIs" dxfId="0" priority="12560" operator="greaterThan">
      <formula>1</formula>
    </cfRule>
  </conditionalFormatting>
  <conditionalFormatting sqref="BO1768:BP1771">
    <cfRule type="cellIs" dxfId="0" priority="10751" operator="greaterThan">
      <formula>1</formula>
    </cfRule>
  </conditionalFormatting>
  <conditionalFormatting sqref="BU1768:BV1771">
    <cfRule type="cellIs" dxfId="0" priority="10752" operator="greaterThan">
      <formula>1</formula>
    </cfRule>
  </conditionalFormatting>
  <conditionalFormatting sqref="BO1776:BP1777">
    <cfRule type="cellIs" dxfId="0" priority="13328" operator="greaterThan">
      <formula>1</formula>
    </cfRule>
  </conditionalFormatting>
  <conditionalFormatting sqref="BU1776:BV1777">
    <cfRule type="cellIs" dxfId="0" priority="13333" operator="greaterThan">
      <formula>1</formula>
    </cfRule>
  </conditionalFormatting>
  <conditionalFormatting sqref="BO1778:BP1779">
    <cfRule type="cellIs" dxfId="0" priority="10030" operator="greaterThan">
      <formula>1</formula>
    </cfRule>
  </conditionalFormatting>
  <conditionalFormatting sqref="BU1778:BV1779">
    <cfRule type="cellIs" dxfId="0" priority="10035" operator="greaterThan">
      <formula>1</formula>
    </cfRule>
  </conditionalFormatting>
  <conditionalFormatting sqref="BU1780:BV1781">
    <cfRule type="cellIs" dxfId="0" priority="13792" operator="greaterThan">
      <formula>1</formula>
    </cfRule>
  </conditionalFormatting>
  <conditionalFormatting sqref="E1785 E1787">
    <cfRule type="duplicateValues" dxfId="1" priority="13465"/>
  </conditionalFormatting>
  <conditionalFormatting sqref="BO1785:BP1788">
    <cfRule type="cellIs" dxfId="0" priority="13460" operator="greaterThan">
      <formula>1</formula>
    </cfRule>
  </conditionalFormatting>
  <conditionalFormatting sqref="BU1785:BV1788">
    <cfRule type="cellIs" dxfId="0" priority="13463" operator="greaterThan">
      <formula>1</formula>
    </cfRule>
  </conditionalFormatting>
  <conditionalFormatting sqref="BO1790:BP1791">
    <cfRule type="cellIs" dxfId="0" priority="11025" operator="greaterThan">
      <formula>1</formula>
    </cfRule>
  </conditionalFormatting>
  <conditionalFormatting sqref="BU1790:BV1791">
    <cfRule type="cellIs" dxfId="0" priority="11029" operator="greaterThan">
      <formula>1</formula>
    </cfRule>
  </conditionalFormatting>
  <conditionalFormatting sqref="BO1792:BP1793">
    <cfRule type="cellIs" dxfId="0" priority="11026" operator="greaterThan">
      <formula>1</formula>
    </cfRule>
  </conditionalFormatting>
  <conditionalFormatting sqref="BU1792:BV1793">
    <cfRule type="cellIs" dxfId="0" priority="11032" operator="greaterThan">
      <formula>1</formula>
    </cfRule>
  </conditionalFormatting>
  <conditionalFormatting sqref="BO1794:BP1797">
    <cfRule type="cellIs" dxfId="0" priority="11095" operator="greaterThan">
      <formula>1</formula>
    </cfRule>
  </conditionalFormatting>
  <conditionalFormatting sqref="BU1794:BV1797">
    <cfRule type="cellIs" dxfId="0" priority="11102" operator="greaterThan">
      <formula>1</formula>
    </cfRule>
  </conditionalFormatting>
  <conditionalFormatting sqref="BO1802:BP1805">
    <cfRule type="cellIs" dxfId="0" priority="12535" operator="greaterThan">
      <formula>1</formula>
    </cfRule>
  </conditionalFormatting>
  <conditionalFormatting sqref="BU1802:BV1805">
    <cfRule type="cellIs" dxfId="0" priority="12540" operator="greaterThan">
      <formula>1</formula>
    </cfRule>
  </conditionalFormatting>
  <conditionalFormatting sqref="BO1807:BP1810">
    <cfRule type="cellIs" dxfId="0" priority="11121" operator="greaterThan">
      <formula>1</formula>
    </cfRule>
  </conditionalFormatting>
  <conditionalFormatting sqref="BU1807:BV1810">
    <cfRule type="cellIs" dxfId="0" priority="11128" operator="greaterThan">
      <formula>1</formula>
    </cfRule>
  </conditionalFormatting>
  <conditionalFormatting sqref="BO1811:BP1814">
    <cfRule type="cellIs" dxfId="0" priority="12525" operator="greaterThan">
      <formula>1</formula>
    </cfRule>
  </conditionalFormatting>
  <conditionalFormatting sqref="BU1811:BV1814">
    <cfRule type="cellIs" dxfId="0" priority="12532" operator="greaterThan">
      <formula>1</formula>
    </cfRule>
  </conditionalFormatting>
  <conditionalFormatting sqref="BO1816:BP1817">
    <cfRule type="cellIs" dxfId="0" priority="13568" operator="greaterThan">
      <formula>1</formula>
    </cfRule>
  </conditionalFormatting>
  <conditionalFormatting sqref="BU1816:BV1817">
    <cfRule type="cellIs" dxfId="0" priority="13573" operator="greaterThan">
      <formula>1</formula>
    </cfRule>
  </conditionalFormatting>
  <conditionalFormatting sqref="BO1818:BP1819">
    <cfRule type="cellIs" dxfId="0" priority="11491" operator="greaterThan">
      <formula>1</formula>
    </cfRule>
  </conditionalFormatting>
  <conditionalFormatting sqref="BU1818:BV1819">
    <cfRule type="cellIs" dxfId="0" priority="11496" operator="greaterThan">
      <formula>1</formula>
    </cfRule>
  </conditionalFormatting>
  <conditionalFormatting sqref="BO1822:BP1823">
    <cfRule type="cellIs" dxfId="0" priority="10771" operator="greaterThan">
      <formula>1</formula>
    </cfRule>
  </conditionalFormatting>
  <conditionalFormatting sqref="BU1822:BV1823">
    <cfRule type="cellIs" dxfId="0" priority="10776" operator="greaterThan">
      <formula>1</formula>
    </cfRule>
  </conditionalFormatting>
  <conditionalFormatting sqref="BO1824:BP1825">
    <cfRule type="cellIs" dxfId="0" priority="10229" operator="greaterThan">
      <formula>1</formula>
    </cfRule>
  </conditionalFormatting>
  <conditionalFormatting sqref="BU1824:BV1825">
    <cfRule type="cellIs" dxfId="0" priority="10234" operator="greaterThan">
      <formula>1</formula>
    </cfRule>
  </conditionalFormatting>
  <conditionalFormatting sqref="BO1827:BP1830">
    <cfRule type="cellIs" dxfId="0" priority="13392" operator="greaterThan">
      <formula>1</formula>
    </cfRule>
  </conditionalFormatting>
  <conditionalFormatting sqref="BU1827:BV1830">
    <cfRule type="cellIs" dxfId="0" priority="13399" operator="greaterThan">
      <formula>1</formula>
    </cfRule>
  </conditionalFormatting>
  <conditionalFormatting sqref="BO1831:BP1834">
    <cfRule type="cellIs" dxfId="0" priority="10257" operator="greaterThan">
      <formula>1</formula>
    </cfRule>
  </conditionalFormatting>
  <conditionalFormatting sqref="BU1831:BV1834">
    <cfRule type="cellIs" dxfId="0" priority="10260" operator="greaterThan">
      <formula>1</formula>
    </cfRule>
  </conditionalFormatting>
  <conditionalFormatting sqref="BO1839:BP1842">
    <cfRule type="cellIs" dxfId="0" priority="13384" operator="greaterThan">
      <formula>1</formula>
    </cfRule>
  </conditionalFormatting>
  <conditionalFormatting sqref="BU1839:BV1842">
    <cfRule type="cellIs" dxfId="0" priority="13391" operator="greaterThan">
      <formula>1</formula>
    </cfRule>
  </conditionalFormatting>
  <conditionalFormatting sqref="BO1843:BP1846">
    <cfRule type="cellIs" dxfId="0" priority="13223" operator="greaterThan">
      <formula>1</formula>
    </cfRule>
  </conditionalFormatting>
  <conditionalFormatting sqref="BU1843:BV1846">
    <cfRule type="cellIs" dxfId="0" priority="13224" operator="greaterThan">
      <formula>1</formula>
    </cfRule>
  </conditionalFormatting>
  <conditionalFormatting sqref="BO1848:BP1851">
    <cfRule type="cellIs" dxfId="0" priority="10672" operator="greaterThan">
      <formula>1</formula>
    </cfRule>
  </conditionalFormatting>
  <conditionalFormatting sqref="BU1848:BV1851">
    <cfRule type="cellIs" dxfId="0" priority="10677" operator="greaterThan">
      <formula>1</formula>
    </cfRule>
  </conditionalFormatting>
  <conditionalFormatting sqref="BO1852:BP1855">
    <cfRule type="cellIs" dxfId="0" priority="12579" operator="greaterThan">
      <formula>1</formula>
    </cfRule>
  </conditionalFormatting>
  <conditionalFormatting sqref="BU1852:BV1855">
    <cfRule type="cellIs" dxfId="0" priority="12584" operator="greaterThan">
      <formula>1</formula>
    </cfRule>
  </conditionalFormatting>
  <conditionalFormatting sqref="BO1860:BP1861">
    <cfRule type="cellIs" dxfId="0" priority="10315" operator="greaterThan">
      <formula>1</formula>
    </cfRule>
  </conditionalFormatting>
  <conditionalFormatting sqref="BU1860:BV1861">
    <cfRule type="cellIs" dxfId="0" priority="10318" operator="greaterThan">
      <formula>1</formula>
    </cfRule>
  </conditionalFormatting>
  <conditionalFormatting sqref="BO1862:BP1863">
    <cfRule type="cellIs" dxfId="0" priority="10247" operator="greaterThan">
      <formula>1</formula>
    </cfRule>
  </conditionalFormatting>
  <conditionalFormatting sqref="BU1862:BV1863">
    <cfRule type="cellIs" dxfId="0" priority="10248" operator="greaterThan">
      <formula>1</formula>
    </cfRule>
  </conditionalFormatting>
  <conditionalFormatting sqref="BO1868:BP1871">
    <cfRule type="cellIs" dxfId="0" priority="13308" operator="greaterThan">
      <formula>1</formula>
    </cfRule>
  </conditionalFormatting>
  <conditionalFormatting sqref="BU1868:BV1871">
    <cfRule type="cellIs" dxfId="0" priority="13313" operator="greaterThan">
      <formula>1</formula>
    </cfRule>
  </conditionalFormatting>
  <conditionalFormatting sqref="BO1872:BP1875">
    <cfRule type="cellIs" dxfId="0" priority="12740" operator="greaterThan">
      <formula>1</formula>
    </cfRule>
  </conditionalFormatting>
  <conditionalFormatting sqref="BU1872:BV1875">
    <cfRule type="cellIs" dxfId="0" priority="12745" operator="greaterThan">
      <formula>1</formula>
    </cfRule>
  </conditionalFormatting>
  <conditionalFormatting sqref="BO1876:BP1879">
    <cfRule type="cellIs" dxfId="0" priority="10463" operator="greaterThan">
      <formula>1</formula>
    </cfRule>
  </conditionalFormatting>
  <conditionalFormatting sqref="BU1876:BV1879">
    <cfRule type="cellIs" dxfId="0" priority="10468" operator="greaterThan">
      <formula>1</formula>
    </cfRule>
  </conditionalFormatting>
  <conditionalFormatting sqref="BO1881:BP1884">
    <cfRule type="cellIs" dxfId="0" priority="10140" operator="greaterThan">
      <formula>1</formula>
    </cfRule>
  </conditionalFormatting>
  <conditionalFormatting sqref="BU1881:BV1884">
    <cfRule type="cellIs" dxfId="0" priority="10147" operator="greaterThan">
      <formula>1</formula>
    </cfRule>
  </conditionalFormatting>
  <conditionalFormatting sqref="BO1885:BP1888">
    <cfRule type="cellIs" dxfId="0" priority="11939" operator="greaterThan">
      <formula>1</formula>
    </cfRule>
  </conditionalFormatting>
  <conditionalFormatting sqref="BU1885:BV1888">
    <cfRule type="cellIs" dxfId="0" priority="11946" operator="greaterThan">
      <formula>1</formula>
    </cfRule>
  </conditionalFormatting>
  <conditionalFormatting sqref="BO1889:BP1892">
    <cfRule type="cellIs" dxfId="0" priority="10112" operator="greaterThan">
      <formula>1</formula>
    </cfRule>
  </conditionalFormatting>
  <conditionalFormatting sqref="BU1889:BV1892">
    <cfRule type="cellIs" dxfId="0" priority="10119" operator="greaterThan">
      <formula>1</formula>
    </cfRule>
  </conditionalFormatting>
  <conditionalFormatting sqref="BU1893:BV1896">
    <cfRule type="cellIs" dxfId="0" priority="13686" operator="greaterThan">
      <formula>1</formula>
    </cfRule>
  </conditionalFormatting>
  <conditionalFormatting sqref="BU1898:BV1899">
    <cfRule type="cellIs" dxfId="0" priority="13594" operator="greaterThan">
      <formula>1</formula>
    </cfRule>
  </conditionalFormatting>
  <conditionalFormatting sqref="BU1900:BV1901">
    <cfRule type="cellIs" dxfId="0" priority="13795" operator="greaterThan">
      <formula>1</formula>
    </cfRule>
  </conditionalFormatting>
  <conditionalFormatting sqref="BO1902:BP1903">
    <cfRule type="cellIs" dxfId="0" priority="10827" operator="greaterThan">
      <formula>1</formula>
    </cfRule>
  </conditionalFormatting>
  <conditionalFormatting sqref="BU1902:BV1903">
    <cfRule type="cellIs" dxfId="0" priority="10832" operator="greaterThan">
      <formula>1</formula>
    </cfRule>
  </conditionalFormatting>
  <conditionalFormatting sqref="BU1916:BV1917">
    <cfRule type="cellIs" dxfId="0" priority="13674" operator="greaterThan">
      <formula>1</formula>
    </cfRule>
  </conditionalFormatting>
  <conditionalFormatting sqref="BO1918:BP1919">
    <cfRule type="cellIs" dxfId="0" priority="12595" operator="greaterThan">
      <formula>1</formula>
    </cfRule>
  </conditionalFormatting>
  <conditionalFormatting sqref="BU1918:BV1919">
    <cfRule type="cellIs" dxfId="0" priority="12600" operator="greaterThan">
      <formula>1</formula>
    </cfRule>
  </conditionalFormatting>
  <conditionalFormatting sqref="BO1920:BP1921">
    <cfRule type="cellIs" dxfId="0" priority="12658" operator="greaterThan">
      <formula>1</formula>
    </cfRule>
  </conditionalFormatting>
  <conditionalFormatting sqref="BU1920:BV1921">
    <cfRule type="cellIs" dxfId="0" priority="12663" operator="greaterThan">
      <formula>1</formula>
    </cfRule>
  </conditionalFormatting>
  <conditionalFormatting sqref="E1922 E2089">
    <cfRule type="duplicateValues" dxfId="1" priority="13870"/>
  </conditionalFormatting>
  <conditionalFormatting sqref="Q1922:R1922 Q2089:R2089">
    <cfRule type="colorScale" priority="8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22:T1922 S2089:T2089">
    <cfRule type="colorScale" priority="9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22:V1922 U2089:V2089">
    <cfRule type="colorScale" priority="9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922:X1922 W2089:X2089">
    <cfRule type="colorScale" priority="7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22:Z1922 Y2089:Z2089">
    <cfRule type="colorScale" priority="8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22:AB1922 AA2089:AB2089">
    <cfRule type="colorScale" priority="5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22:AD1922 AC2089:AD2089">
    <cfRule type="colorScale" priority="5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22:AF1922 AE2089:AF2089">
    <cfRule type="colorScale" priority="6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22:AH1922 AG2089:AH2089">
    <cfRule type="colorScale" priority="6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922:AJ1922 AI2089:AJ2089">
    <cfRule type="colorScale" priority="7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922:AL1922 AK2089:AL2089">
    <cfRule type="colorScale" priority="4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22:AN1922 AM2089:AN2089">
    <cfRule type="colorScale" priority="4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922:AP1922 AO2089:AP2089">
    <cfRule type="colorScale" priority="3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922:AR1922 AQ2089:AR2089">
    <cfRule type="colorScale" priority="2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22:AT1922 AS2089:AT2089">
    <cfRule type="colorScale" priority="1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922:AV1922 AU2089:AV2089">
    <cfRule type="colorScale" priority="2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922:AX1922 AW2089:AX2089">
    <cfRule type="colorScale" priority="3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22:AZ1922 AY2089:AZ2089">
    <cfRule type="colorScale" priority="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922:BB1922 BA2089:BB2089">
    <cfRule type="colorScale" priority="1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22:BD1922 BC2089:BD2089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922:BF1922 BE2089:BF2089">
    <cfRule type="colorScale" priority="12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923:BP1924">
    <cfRule type="cellIs" dxfId="0" priority="12768" operator="greaterThan">
      <formula>1</formula>
    </cfRule>
  </conditionalFormatting>
  <conditionalFormatting sqref="BU1923:BV1924">
    <cfRule type="cellIs" dxfId="0" priority="12773" operator="greaterThan">
      <formula>1</formula>
    </cfRule>
  </conditionalFormatting>
  <conditionalFormatting sqref="BO1925:BP1926">
    <cfRule type="cellIs" dxfId="0" priority="12702" operator="greaterThan">
      <formula>1</formula>
    </cfRule>
  </conditionalFormatting>
  <conditionalFormatting sqref="BU1925:BV1926">
    <cfRule type="cellIs" dxfId="0" priority="12707" operator="greaterThan">
      <formula>1</formula>
    </cfRule>
  </conditionalFormatting>
  <conditionalFormatting sqref="BU1927:BV1928 BU1939:BV1939">
    <cfRule type="cellIs" dxfId="0" priority="13697" operator="greaterThan">
      <formula>1</formula>
    </cfRule>
  </conditionalFormatting>
  <conditionalFormatting sqref="BO1929:BP1930">
    <cfRule type="cellIs" dxfId="0" priority="13197" operator="greaterThan">
      <formula>1</formula>
    </cfRule>
  </conditionalFormatting>
  <conditionalFormatting sqref="BU1929:BV1930">
    <cfRule type="cellIs" dxfId="0" priority="13202" operator="greaterThan">
      <formula>1</formula>
    </cfRule>
  </conditionalFormatting>
  <conditionalFormatting sqref="BU1931:BV1932">
    <cfRule type="cellIs" dxfId="0" priority="13671" operator="greaterThan">
      <formula>1</formula>
    </cfRule>
  </conditionalFormatting>
  <conditionalFormatting sqref="BO1933:BP1934">
    <cfRule type="cellIs" dxfId="0" priority="13466" operator="greaterThan">
      <formula>1</formula>
    </cfRule>
  </conditionalFormatting>
  <conditionalFormatting sqref="BU1933:BV1934">
    <cfRule type="cellIs" dxfId="0" priority="13471" operator="greaterThan">
      <formula>1</formula>
    </cfRule>
  </conditionalFormatting>
  <conditionalFormatting sqref="BO1935:BP1936">
    <cfRule type="cellIs" dxfId="0" priority="12561" operator="greaterThan">
      <formula>1</formula>
    </cfRule>
  </conditionalFormatting>
  <conditionalFormatting sqref="BU1935:BV1936">
    <cfRule type="cellIs" dxfId="0" priority="12566" operator="greaterThan">
      <formula>1</formula>
    </cfRule>
  </conditionalFormatting>
  <conditionalFormatting sqref="BO1937:BP1938">
    <cfRule type="cellIs" dxfId="0" priority="9505" operator="greaterThan">
      <formula>1</formula>
    </cfRule>
  </conditionalFormatting>
  <conditionalFormatting sqref="BU1937:BV1938">
    <cfRule type="cellIs" dxfId="0" priority="9510" operator="greaterThan">
      <formula>1</formula>
    </cfRule>
  </conditionalFormatting>
  <conditionalFormatting sqref="BO1940:BP1941">
    <cfRule type="cellIs" dxfId="0" priority="11834" operator="greaterThan">
      <formula>1</formula>
    </cfRule>
  </conditionalFormatting>
  <conditionalFormatting sqref="BU1940:BV1941">
    <cfRule type="cellIs" dxfId="0" priority="11839" operator="greaterThan">
      <formula>1</formula>
    </cfRule>
  </conditionalFormatting>
  <conditionalFormatting sqref="BO1942:BP1943">
    <cfRule type="cellIs" dxfId="0" priority="11828" operator="greaterThan">
      <formula>1</formula>
    </cfRule>
  </conditionalFormatting>
  <conditionalFormatting sqref="BU1942:BV1943">
    <cfRule type="cellIs" dxfId="0" priority="11833" operator="greaterThan">
      <formula>1</formula>
    </cfRule>
  </conditionalFormatting>
  <conditionalFormatting sqref="BO1945:BP1946">
    <cfRule type="cellIs" dxfId="0" priority="10363" operator="greaterThan">
      <formula>1</formula>
    </cfRule>
  </conditionalFormatting>
  <conditionalFormatting sqref="BU1945:BV1946">
    <cfRule type="cellIs" dxfId="0" priority="10368" operator="greaterThan">
      <formula>1</formula>
    </cfRule>
  </conditionalFormatting>
  <conditionalFormatting sqref="BO1947:BP1948">
    <cfRule type="cellIs" dxfId="0" priority="10369" operator="greaterThan">
      <formula>1</formula>
    </cfRule>
  </conditionalFormatting>
  <conditionalFormatting sqref="BU1947:BV1948">
    <cfRule type="cellIs" dxfId="0" priority="10370" operator="greaterThan">
      <formula>1</formula>
    </cfRule>
  </conditionalFormatting>
  <conditionalFormatting sqref="BO1949:BP1950">
    <cfRule type="cellIs" dxfId="0" priority="10180" operator="greaterThan">
      <formula>1</formula>
    </cfRule>
  </conditionalFormatting>
  <conditionalFormatting sqref="BU1949:BV1950">
    <cfRule type="cellIs" dxfId="0" priority="10185" operator="greaterThan">
      <formula>1</formula>
    </cfRule>
  </conditionalFormatting>
  <conditionalFormatting sqref="BO1951:BP1952">
    <cfRule type="cellIs" dxfId="0" priority="10186" operator="greaterThan">
      <formula>1</formula>
    </cfRule>
  </conditionalFormatting>
  <conditionalFormatting sqref="BU1951:BV1952">
    <cfRule type="cellIs" dxfId="0" priority="10187" operator="greaterThan">
      <formula>1</formula>
    </cfRule>
  </conditionalFormatting>
  <conditionalFormatting sqref="BO1953:BP1954">
    <cfRule type="cellIs" dxfId="0" priority="11483" operator="greaterThan">
      <formula>1</formula>
    </cfRule>
  </conditionalFormatting>
  <conditionalFormatting sqref="BU1953:BV1954">
    <cfRule type="cellIs" dxfId="0" priority="11488" operator="greaterThan">
      <formula>1</formula>
    </cfRule>
  </conditionalFormatting>
  <conditionalFormatting sqref="BO1955:BP1956">
    <cfRule type="cellIs" dxfId="0" priority="11489" operator="greaterThan">
      <formula>1</formula>
    </cfRule>
  </conditionalFormatting>
  <conditionalFormatting sqref="BU1955:BV1956">
    <cfRule type="cellIs" dxfId="0" priority="11490" operator="greaterThan">
      <formula>1</formula>
    </cfRule>
  </conditionalFormatting>
  <conditionalFormatting sqref="BO1957:BP1958">
    <cfRule type="cellIs" dxfId="0" priority="10375" operator="greaterThan">
      <formula>1</formula>
    </cfRule>
  </conditionalFormatting>
  <conditionalFormatting sqref="BU1957:BV1958">
    <cfRule type="cellIs" dxfId="0" priority="10380" operator="greaterThan">
      <formula>1</formula>
    </cfRule>
  </conditionalFormatting>
  <conditionalFormatting sqref="BO1959:BP1960">
    <cfRule type="cellIs" dxfId="0" priority="10381" operator="greaterThan">
      <formula>1</formula>
    </cfRule>
  </conditionalFormatting>
  <conditionalFormatting sqref="BU1959:BV1960">
    <cfRule type="cellIs" dxfId="0" priority="10382" operator="greaterThan">
      <formula>1</formula>
    </cfRule>
  </conditionalFormatting>
  <conditionalFormatting sqref="BO1961:BP1962">
    <cfRule type="cellIs" dxfId="0" priority="11691" operator="greaterThan">
      <formula>1</formula>
    </cfRule>
  </conditionalFormatting>
  <conditionalFormatting sqref="BU1961:BV1962">
    <cfRule type="cellIs" dxfId="0" priority="11696" operator="greaterThan">
      <formula>1</formula>
    </cfRule>
  </conditionalFormatting>
  <conditionalFormatting sqref="BO1963:BP1964">
    <cfRule type="cellIs" dxfId="0" priority="11697" operator="greaterThan">
      <formula>1</formula>
    </cfRule>
  </conditionalFormatting>
  <conditionalFormatting sqref="BU1963:BV1964">
    <cfRule type="cellIs" dxfId="0" priority="11698" operator="greaterThan">
      <formula>1</formula>
    </cfRule>
  </conditionalFormatting>
  <conditionalFormatting sqref="BO1965:BP1966">
    <cfRule type="cellIs" dxfId="0" priority="6979" operator="greaterThan">
      <formula>1</formula>
    </cfRule>
  </conditionalFormatting>
  <conditionalFormatting sqref="BU1965:BV1966">
    <cfRule type="cellIs" dxfId="0" priority="6984" operator="greaterThan">
      <formula>1</formula>
    </cfRule>
  </conditionalFormatting>
  <conditionalFormatting sqref="BO1967:BP1968">
    <cfRule type="cellIs" dxfId="0" priority="6985" operator="greaterThan">
      <formula>1</formula>
    </cfRule>
  </conditionalFormatting>
  <conditionalFormatting sqref="BU1967:BV1968">
    <cfRule type="cellIs" dxfId="0" priority="6986" operator="greaterThan">
      <formula>1</formula>
    </cfRule>
  </conditionalFormatting>
  <conditionalFormatting sqref="BO1969:BP1970">
    <cfRule type="cellIs" dxfId="0" priority="11703" operator="greaterThan">
      <formula>1</formula>
    </cfRule>
  </conditionalFormatting>
  <conditionalFormatting sqref="BU1969:BV1970">
    <cfRule type="cellIs" dxfId="0" priority="11708" operator="greaterThan">
      <formula>1</formula>
    </cfRule>
  </conditionalFormatting>
  <conditionalFormatting sqref="BO1971:BP1972">
    <cfRule type="cellIs" dxfId="0" priority="11709" operator="greaterThan">
      <formula>1</formula>
    </cfRule>
  </conditionalFormatting>
  <conditionalFormatting sqref="BU1971:BV1972">
    <cfRule type="cellIs" dxfId="0" priority="11710" operator="greaterThan">
      <formula>1</formula>
    </cfRule>
  </conditionalFormatting>
  <conditionalFormatting sqref="BO1973:BP1974">
    <cfRule type="cellIs" dxfId="0" priority="6967" operator="greaterThan">
      <formula>1</formula>
    </cfRule>
  </conditionalFormatting>
  <conditionalFormatting sqref="BU1973:BV1974">
    <cfRule type="cellIs" dxfId="0" priority="6972" operator="greaterThan">
      <formula>1</formula>
    </cfRule>
  </conditionalFormatting>
  <conditionalFormatting sqref="BO1975:BP1976">
    <cfRule type="cellIs" dxfId="0" priority="6973" operator="greaterThan">
      <formula>1</formula>
    </cfRule>
  </conditionalFormatting>
  <conditionalFormatting sqref="BU1975:BV1976">
    <cfRule type="cellIs" dxfId="0" priority="6974" operator="greaterThan">
      <formula>1</formula>
    </cfRule>
  </conditionalFormatting>
  <conditionalFormatting sqref="BO1978:BP1979">
    <cfRule type="cellIs" dxfId="0" priority="10299" operator="greaterThan">
      <formula>1</formula>
    </cfRule>
  </conditionalFormatting>
  <conditionalFormatting sqref="BU1978:BV1979">
    <cfRule type="cellIs" dxfId="0" priority="10304" operator="greaterThan">
      <formula>1</formula>
    </cfRule>
  </conditionalFormatting>
  <conditionalFormatting sqref="BO1980:BP1981">
    <cfRule type="cellIs" dxfId="0" priority="10305" operator="greaterThan">
      <formula>1</formula>
    </cfRule>
  </conditionalFormatting>
  <conditionalFormatting sqref="BU1980:BV1981">
    <cfRule type="cellIs" dxfId="0" priority="10306" operator="greaterThan">
      <formula>1</formula>
    </cfRule>
  </conditionalFormatting>
  <conditionalFormatting sqref="BO1982:BP1983">
    <cfRule type="cellIs" dxfId="0" priority="11246" operator="greaterThan">
      <formula>1</formula>
    </cfRule>
  </conditionalFormatting>
  <conditionalFormatting sqref="BU1982:BV1983">
    <cfRule type="cellIs" dxfId="0" priority="11251" operator="greaterThan">
      <formula>1</formula>
    </cfRule>
  </conditionalFormatting>
  <conditionalFormatting sqref="BO1984:BP1985">
    <cfRule type="cellIs" dxfId="0" priority="11252" operator="greaterThan">
      <formula>1</formula>
    </cfRule>
  </conditionalFormatting>
  <conditionalFormatting sqref="BU1984:BV1985">
    <cfRule type="cellIs" dxfId="0" priority="11253" operator="greaterThan">
      <formula>1</formula>
    </cfRule>
  </conditionalFormatting>
  <conditionalFormatting sqref="BO1986:BP1987">
    <cfRule type="cellIs" dxfId="0" priority="11464" operator="greaterThan">
      <formula>1</formula>
    </cfRule>
  </conditionalFormatting>
  <conditionalFormatting sqref="BU1986:BV1987">
    <cfRule type="cellIs" dxfId="0" priority="11469" operator="greaterThan">
      <formula>1</formula>
    </cfRule>
  </conditionalFormatting>
  <conditionalFormatting sqref="BO1988:BP1989">
    <cfRule type="cellIs" dxfId="0" priority="11470" operator="greaterThan">
      <formula>1</formula>
    </cfRule>
  </conditionalFormatting>
  <conditionalFormatting sqref="BU1988:BV1989">
    <cfRule type="cellIs" dxfId="0" priority="11471" operator="greaterThan">
      <formula>1</formula>
    </cfRule>
  </conditionalFormatting>
  <conditionalFormatting sqref="BO1990:BP1991">
    <cfRule type="cellIs" dxfId="0" priority="11327" operator="greaterThan">
      <formula>1</formula>
    </cfRule>
  </conditionalFormatting>
  <conditionalFormatting sqref="BU1990:BV1991">
    <cfRule type="cellIs" dxfId="0" priority="11332" operator="greaterThan">
      <formula>1</formula>
    </cfRule>
  </conditionalFormatting>
  <conditionalFormatting sqref="BO1992:BP1993">
    <cfRule type="cellIs" dxfId="0" priority="11333" operator="greaterThan">
      <formula>1</formula>
    </cfRule>
  </conditionalFormatting>
  <conditionalFormatting sqref="BU1992:BV1993">
    <cfRule type="cellIs" dxfId="0" priority="11334" operator="greaterThan">
      <formula>1</formula>
    </cfRule>
  </conditionalFormatting>
  <conditionalFormatting sqref="BO1995:BP1996">
    <cfRule type="cellIs" dxfId="0" priority="10977" operator="greaterThan">
      <formula>1</formula>
    </cfRule>
  </conditionalFormatting>
  <conditionalFormatting sqref="BU1995:BV1996">
    <cfRule type="cellIs" dxfId="0" priority="10982" operator="greaterThan">
      <formula>1</formula>
    </cfRule>
  </conditionalFormatting>
  <conditionalFormatting sqref="BO1997:BP1998">
    <cfRule type="cellIs" dxfId="0" priority="10983" operator="greaterThan">
      <formula>1</formula>
    </cfRule>
  </conditionalFormatting>
  <conditionalFormatting sqref="BU1997:BV1998">
    <cfRule type="cellIs" dxfId="0" priority="10984" operator="greaterThan">
      <formula>1</formula>
    </cfRule>
  </conditionalFormatting>
  <conditionalFormatting sqref="BO1999:BP2000">
    <cfRule type="cellIs" dxfId="0" priority="10965" operator="greaterThan">
      <formula>1</formula>
    </cfRule>
  </conditionalFormatting>
  <conditionalFormatting sqref="BU1999:BV2000">
    <cfRule type="cellIs" dxfId="0" priority="10970" operator="greaterThan">
      <formula>1</formula>
    </cfRule>
  </conditionalFormatting>
  <conditionalFormatting sqref="BO2001:BP2002">
    <cfRule type="cellIs" dxfId="0" priority="10971" operator="greaterThan">
      <formula>1</formula>
    </cfRule>
  </conditionalFormatting>
  <conditionalFormatting sqref="BU2001:BV2002">
    <cfRule type="cellIs" dxfId="0" priority="10972" operator="greaterThan">
      <formula>1</formula>
    </cfRule>
  </conditionalFormatting>
  <conditionalFormatting sqref="BO2004:BP2005">
    <cfRule type="cellIs" dxfId="0" priority="11089" operator="greaterThan">
      <formula>1</formula>
    </cfRule>
  </conditionalFormatting>
  <conditionalFormatting sqref="BU2004:BV2005">
    <cfRule type="cellIs" dxfId="0" priority="11094" operator="greaterThan">
      <formula>1</formula>
    </cfRule>
  </conditionalFormatting>
  <conditionalFormatting sqref="BO2006:BP2007">
    <cfRule type="cellIs" dxfId="0" priority="11083" operator="greaterThan">
      <formula>1</formula>
    </cfRule>
  </conditionalFormatting>
  <conditionalFormatting sqref="BU2006:BV2007">
    <cfRule type="cellIs" dxfId="0" priority="11088" operator="greaterThan">
      <formula>1</formula>
    </cfRule>
  </conditionalFormatting>
  <conditionalFormatting sqref="BO2008:BP2009">
    <cfRule type="cellIs" dxfId="0" priority="11523" operator="greaterThan">
      <formula>1</formula>
    </cfRule>
  </conditionalFormatting>
  <conditionalFormatting sqref="BU2008:BV2009">
    <cfRule type="cellIs" dxfId="0" priority="11528" operator="greaterThan">
      <formula>1</formula>
    </cfRule>
  </conditionalFormatting>
  <conditionalFormatting sqref="BO2011:BP2012">
    <cfRule type="cellIs" dxfId="0" priority="12015" operator="greaterThan">
      <formula>1</formula>
    </cfRule>
  </conditionalFormatting>
  <conditionalFormatting sqref="BU2011:BV2012">
    <cfRule type="cellIs" dxfId="0" priority="12020" operator="greaterThan">
      <formula>1</formula>
    </cfRule>
  </conditionalFormatting>
  <conditionalFormatting sqref="BO2014:BP2015">
    <cfRule type="cellIs" dxfId="0" priority="11402" operator="greaterThan">
      <formula>1</formula>
    </cfRule>
  </conditionalFormatting>
  <conditionalFormatting sqref="BU2014:BV2015">
    <cfRule type="cellIs" dxfId="0" priority="11403" operator="greaterThan">
      <formula>1</formula>
    </cfRule>
  </conditionalFormatting>
  <conditionalFormatting sqref="BO2016:BP2017">
    <cfRule type="cellIs" dxfId="0" priority="11973" operator="greaterThan">
      <formula>1</formula>
    </cfRule>
  </conditionalFormatting>
  <conditionalFormatting sqref="BU2016:BV2017">
    <cfRule type="cellIs" dxfId="0" priority="11974" operator="greaterThan">
      <formula>1</formula>
    </cfRule>
  </conditionalFormatting>
  <conditionalFormatting sqref="BO2018:BP2019">
    <cfRule type="cellIs" dxfId="0" priority="10078" operator="greaterThan">
      <formula>1</formula>
    </cfRule>
  </conditionalFormatting>
  <conditionalFormatting sqref="BU2018:BV2019">
    <cfRule type="cellIs" dxfId="0" priority="10079" operator="greaterThan">
      <formula>1</formula>
    </cfRule>
  </conditionalFormatting>
  <conditionalFormatting sqref="BO2020:BP2021">
    <cfRule type="cellIs" dxfId="0" priority="10080" operator="greaterThan">
      <formula>1</formula>
    </cfRule>
  </conditionalFormatting>
  <conditionalFormatting sqref="BU2020:BV2021">
    <cfRule type="cellIs" dxfId="0" priority="10081" operator="greaterThan">
      <formula>1</formula>
    </cfRule>
  </conditionalFormatting>
  <conditionalFormatting sqref="BO2024:BP2049">
    <cfRule type="cellIs" dxfId="0" priority="10698" operator="greaterThan">
      <formula>1</formula>
    </cfRule>
  </conditionalFormatting>
  <conditionalFormatting sqref="BU2024:BV2049">
    <cfRule type="cellIs" dxfId="0" priority="10701" operator="greaterThan">
      <formula>1</formula>
    </cfRule>
  </conditionalFormatting>
  <conditionalFormatting sqref="E2083 E2085:E2086">
    <cfRule type="duplicateValues" dxfId="1" priority="10490"/>
  </conditionalFormatting>
  <conditionalFormatting sqref="BO2083:BP2086">
    <cfRule type="cellIs" dxfId="0" priority="10485" operator="greaterThan">
      <formula>1</formula>
    </cfRule>
  </conditionalFormatting>
  <conditionalFormatting sqref="BU2083:BV2086">
    <cfRule type="cellIs" dxfId="0" priority="10488" operator="greaterThan">
      <formula>1</formula>
    </cfRule>
  </conditionalFormatting>
  <conditionalFormatting sqref="BO2090:BP2091">
    <cfRule type="cellIs" dxfId="0" priority="10594" operator="greaterThan">
      <formula>1</formula>
    </cfRule>
  </conditionalFormatting>
  <conditionalFormatting sqref="BU2090:BV2091">
    <cfRule type="cellIs" dxfId="0" priority="10599" operator="greaterThan">
      <formula>1</formula>
    </cfRule>
  </conditionalFormatting>
  <conditionalFormatting sqref="BO2093:BP2094">
    <cfRule type="cellIs" dxfId="0" priority="10893" operator="greaterThan">
      <formula>1</formula>
    </cfRule>
  </conditionalFormatting>
  <conditionalFormatting sqref="BU2093:BV2094">
    <cfRule type="cellIs" dxfId="0" priority="10898" operator="greaterThan">
      <formula>1</formula>
    </cfRule>
  </conditionalFormatting>
  <conditionalFormatting sqref="BO2095:BP2096">
    <cfRule type="cellIs" dxfId="0" priority="10509" operator="greaterThan">
      <formula>1</formula>
    </cfRule>
  </conditionalFormatting>
  <conditionalFormatting sqref="BU2095:BV2096">
    <cfRule type="cellIs" dxfId="0" priority="10514" operator="greaterThan">
      <formula>1</formula>
    </cfRule>
  </conditionalFormatting>
  <conditionalFormatting sqref="BO2097:BP2098">
    <cfRule type="cellIs" dxfId="0" priority="10170" operator="greaterThan">
      <formula>1</formula>
    </cfRule>
  </conditionalFormatting>
  <conditionalFormatting sqref="BU2097:BV2098">
    <cfRule type="cellIs" dxfId="0" priority="10175" operator="greaterThan">
      <formula>1</formula>
    </cfRule>
  </conditionalFormatting>
  <conditionalFormatting sqref="BO2099:BP2100">
    <cfRule type="cellIs" dxfId="0" priority="10223" operator="greaterThan">
      <formula>1</formula>
    </cfRule>
  </conditionalFormatting>
  <conditionalFormatting sqref="BU2099:BV2100">
    <cfRule type="cellIs" dxfId="0" priority="10228" operator="greaterThan">
      <formula>1</formula>
    </cfRule>
  </conditionalFormatting>
  <conditionalFormatting sqref="BO2102:BP2103">
    <cfRule type="cellIs" dxfId="0" priority="10991" operator="greaterThan">
      <formula>1</formula>
    </cfRule>
  </conditionalFormatting>
  <conditionalFormatting sqref="BU2102:BV2103">
    <cfRule type="cellIs" dxfId="0" priority="10996" operator="greaterThan">
      <formula>1</formula>
    </cfRule>
  </conditionalFormatting>
  <conditionalFormatting sqref="BO2104:BP2105">
    <cfRule type="cellIs" dxfId="0" priority="10644" operator="greaterThan">
      <formula>1</formula>
    </cfRule>
  </conditionalFormatting>
  <conditionalFormatting sqref="BU2104:BV2105">
    <cfRule type="cellIs" dxfId="0" priority="10649" operator="greaterThan">
      <formula>1</formula>
    </cfRule>
  </conditionalFormatting>
  <conditionalFormatting sqref="BO2106:BP2107">
    <cfRule type="cellIs" dxfId="0" priority="10626" operator="greaterThan">
      <formula>1</formula>
    </cfRule>
  </conditionalFormatting>
  <conditionalFormatting sqref="BU2106:BV2107">
    <cfRule type="cellIs" dxfId="0" priority="10631" operator="greaterThan">
      <formula>1</formula>
    </cfRule>
  </conditionalFormatting>
  <conditionalFormatting sqref="BO2109:BP2110">
    <cfRule type="cellIs" dxfId="0" priority="11916" operator="greaterThan">
      <formula>1</formula>
    </cfRule>
  </conditionalFormatting>
  <conditionalFormatting sqref="BU2109:BV2110">
    <cfRule type="cellIs" dxfId="0" priority="11919" operator="greaterThan">
      <formula>1</formula>
    </cfRule>
  </conditionalFormatting>
  <conditionalFormatting sqref="E2111:E2112 E2117">
    <cfRule type="duplicateValues" dxfId="1" priority="11926"/>
  </conditionalFormatting>
  <conditionalFormatting sqref="BO2111:BP2112 BO2117:BP2117">
    <cfRule type="cellIs" dxfId="0" priority="11924" operator="greaterThan">
      <formula>1</formula>
    </cfRule>
  </conditionalFormatting>
  <conditionalFormatting sqref="BU2111:BV2112">
    <cfRule type="cellIs" dxfId="0" priority="11927" operator="greaterThan">
      <formula>1</formula>
    </cfRule>
  </conditionalFormatting>
  <conditionalFormatting sqref="BO2113:BP2114">
    <cfRule type="cellIs" dxfId="0" priority="11615" operator="greaterThan">
      <formula>1</formula>
    </cfRule>
  </conditionalFormatting>
  <conditionalFormatting sqref="BU2113:BV2114">
    <cfRule type="cellIs" dxfId="0" priority="11618" operator="greaterThan">
      <formula>1</formula>
    </cfRule>
  </conditionalFormatting>
  <conditionalFormatting sqref="BO2115:BP2116">
    <cfRule type="cellIs" dxfId="0" priority="11621" operator="greaterThan">
      <formula>1</formula>
    </cfRule>
  </conditionalFormatting>
  <conditionalFormatting sqref="BU2115:BV2116">
    <cfRule type="cellIs" dxfId="0" priority="11624" operator="greaterThan">
      <formula>1</formula>
    </cfRule>
  </conditionalFormatting>
  <conditionalFormatting sqref="BO2118:BP2119">
    <cfRule type="cellIs" dxfId="0" priority="10652" operator="greaterThan">
      <formula>1</formula>
    </cfRule>
  </conditionalFormatting>
  <conditionalFormatting sqref="BU2118:BV2119">
    <cfRule type="cellIs" dxfId="0" priority="10657" operator="greaterThan">
      <formula>1</formula>
    </cfRule>
  </conditionalFormatting>
  <conditionalFormatting sqref="BO2120:BP2121">
    <cfRule type="cellIs" dxfId="0" priority="9489" operator="greaterThan">
      <formula>1</formula>
    </cfRule>
  </conditionalFormatting>
  <conditionalFormatting sqref="BU2120:BV2121">
    <cfRule type="cellIs" dxfId="0" priority="9494" operator="greaterThan">
      <formula>1</formula>
    </cfRule>
  </conditionalFormatting>
  <conditionalFormatting sqref="E2122:E2123 E2132">
    <cfRule type="duplicateValues" dxfId="1" priority="11602"/>
  </conditionalFormatting>
  <conditionalFormatting sqref="BO2122:BP2123 BO2132:BP2132">
    <cfRule type="cellIs" dxfId="0" priority="11600" operator="greaterThan">
      <formula>1</formula>
    </cfRule>
  </conditionalFormatting>
  <conditionalFormatting sqref="BU2122:BV2123">
    <cfRule type="cellIs" dxfId="0" priority="11603" operator="greaterThan">
      <formula>1</formula>
    </cfRule>
  </conditionalFormatting>
  <conditionalFormatting sqref="BO2124:BP2125">
    <cfRule type="cellIs" dxfId="0" priority="10658" operator="greaterThan">
      <formula>1</formula>
    </cfRule>
  </conditionalFormatting>
  <conditionalFormatting sqref="BU2124:BV2125">
    <cfRule type="cellIs" dxfId="0" priority="10663" operator="greaterThan">
      <formula>1</formula>
    </cfRule>
  </conditionalFormatting>
  <conditionalFormatting sqref="BO2126:BP2127">
    <cfRule type="cellIs" dxfId="0" priority="11580" operator="greaterThan">
      <formula>1</formula>
    </cfRule>
  </conditionalFormatting>
  <conditionalFormatting sqref="BU2126:BV2127">
    <cfRule type="cellIs" dxfId="0" priority="11585" operator="greaterThan">
      <formula>1</formula>
    </cfRule>
  </conditionalFormatting>
  <conditionalFormatting sqref="BO2128:BP2129">
    <cfRule type="cellIs" dxfId="0" priority="10491" operator="greaterThan">
      <formula>1</formula>
    </cfRule>
  </conditionalFormatting>
  <conditionalFormatting sqref="BU2128:BV2129">
    <cfRule type="cellIs" dxfId="0" priority="10496" operator="greaterThan">
      <formula>1</formula>
    </cfRule>
  </conditionalFormatting>
  <conditionalFormatting sqref="BO2130:BP2131">
    <cfRule type="cellIs" dxfId="0" priority="10331" operator="greaterThan">
      <formula>1</formula>
    </cfRule>
  </conditionalFormatting>
  <conditionalFormatting sqref="BU2130:BV2131">
    <cfRule type="cellIs" dxfId="0" priority="10336" operator="greaterThan">
      <formula>1</formula>
    </cfRule>
  </conditionalFormatting>
  <conditionalFormatting sqref="BU2135:BV2136">
    <cfRule type="cellIs" dxfId="0" priority="13666" operator="greaterThan">
      <formula>1</formula>
    </cfRule>
  </conditionalFormatting>
  <conditionalFormatting sqref="BO2137:BP2138">
    <cfRule type="cellIs" dxfId="0" priority="11109" operator="greaterThan">
      <formula>1</formula>
    </cfRule>
  </conditionalFormatting>
  <conditionalFormatting sqref="BU2137:BV2138">
    <cfRule type="cellIs" dxfId="0" priority="11112" operator="greaterThan">
      <formula>1</formula>
    </cfRule>
  </conditionalFormatting>
  <conditionalFormatting sqref="BU2143:BV2144">
    <cfRule type="cellIs" dxfId="0" priority="13740" operator="greaterThan">
      <formula>1</formula>
    </cfRule>
  </conditionalFormatting>
  <conditionalFormatting sqref="BO2153:BP2156">
    <cfRule type="cellIs" dxfId="0" priority="10439" operator="greaterThan">
      <formula>1</formula>
    </cfRule>
  </conditionalFormatting>
  <conditionalFormatting sqref="BU2153:BV2156">
    <cfRule type="cellIs" dxfId="0" priority="10442" operator="greaterThan">
      <formula>1</formula>
    </cfRule>
  </conditionalFormatting>
  <conditionalFormatting sqref="BO2157:BP2158">
    <cfRule type="cellIs" dxfId="0" priority="10241" operator="greaterThan">
      <formula>1</formula>
    </cfRule>
  </conditionalFormatting>
  <conditionalFormatting sqref="BU2157:BV2158">
    <cfRule type="cellIs" dxfId="0" priority="10244" operator="greaterThan">
      <formula>1</formula>
    </cfRule>
  </conditionalFormatting>
  <conditionalFormatting sqref="BO2159:BP2162">
    <cfRule type="cellIs" dxfId="0" priority="3483" operator="greaterThan">
      <formula>1</formula>
    </cfRule>
  </conditionalFormatting>
  <conditionalFormatting sqref="BU2159:BV2162">
    <cfRule type="cellIs" dxfId="0" priority="3486" operator="greaterThan">
      <formula>1</formula>
    </cfRule>
  </conditionalFormatting>
  <conditionalFormatting sqref="BO2163:BP2166">
    <cfRule type="cellIs" dxfId="0" priority="10686" operator="greaterThan">
      <formula>1</formula>
    </cfRule>
  </conditionalFormatting>
  <conditionalFormatting sqref="BU2163:BV2166">
    <cfRule type="cellIs" dxfId="0" priority="10689" operator="greaterThan">
      <formula>1</formula>
    </cfRule>
  </conditionalFormatting>
  <conditionalFormatting sqref="BO2168:BP2171">
    <cfRule type="cellIs" dxfId="0" priority="12696" operator="greaterThan">
      <formula>1</formula>
    </cfRule>
  </conditionalFormatting>
  <conditionalFormatting sqref="BU2168:BV2171">
    <cfRule type="cellIs" dxfId="0" priority="12699" operator="greaterThan">
      <formula>1</formula>
    </cfRule>
  </conditionalFormatting>
  <conditionalFormatting sqref="BO2172:BP2175">
    <cfRule type="cellIs" dxfId="0" priority="11254" operator="greaterThan">
      <formula>1</formula>
    </cfRule>
  </conditionalFormatting>
  <conditionalFormatting sqref="BU2172:BV2175">
    <cfRule type="cellIs" dxfId="0" priority="11257" operator="greaterThan">
      <formula>1</formula>
    </cfRule>
  </conditionalFormatting>
  <conditionalFormatting sqref="BO2176:BP2179">
    <cfRule type="cellIs" dxfId="0" priority="10875" operator="greaterThan">
      <formula>1</formula>
    </cfRule>
  </conditionalFormatting>
  <conditionalFormatting sqref="BU2176:BV2179">
    <cfRule type="cellIs" dxfId="0" priority="10878" operator="greaterThan">
      <formula>1</formula>
    </cfRule>
  </conditionalFormatting>
  <conditionalFormatting sqref="BO2181:BP2182">
    <cfRule type="cellIs" dxfId="0" priority="12652" operator="greaterThan">
      <formula>1</formula>
    </cfRule>
  </conditionalFormatting>
  <conditionalFormatting sqref="BU2181:BV2182">
    <cfRule type="cellIs" dxfId="0" priority="12655" operator="greaterThan">
      <formula>1</formula>
    </cfRule>
  </conditionalFormatting>
  <conditionalFormatting sqref="BU2183:BV2184">
    <cfRule type="cellIs" dxfId="0" priority="13718" operator="greaterThan">
      <formula>1</formula>
    </cfRule>
  </conditionalFormatting>
  <conditionalFormatting sqref="BO2193:BP2196">
    <cfRule type="cellIs" dxfId="0" priority="12007" operator="greaterThan">
      <formula>1</formula>
    </cfRule>
  </conditionalFormatting>
  <conditionalFormatting sqref="BU2193:BV2196">
    <cfRule type="cellIs" dxfId="0" priority="12014" operator="greaterThan">
      <formula>1</formula>
    </cfRule>
  </conditionalFormatting>
  <conditionalFormatting sqref="BO2201:BP2204">
    <cfRule type="cellIs" dxfId="0" priority="12345" operator="greaterThan">
      <formula>1</formula>
    </cfRule>
  </conditionalFormatting>
  <conditionalFormatting sqref="BU2201:BV2204">
    <cfRule type="cellIs" dxfId="0" priority="12352" operator="greaterThan">
      <formula>1</formula>
    </cfRule>
  </conditionalFormatting>
  <conditionalFormatting sqref="BO2205:BP2208">
    <cfRule type="cellIs" dxfId="0" priority="13545" operator="greaterThan">
      <formula>1</formula>
    </cfRule>
  </conditionalFormatting>
  <conditionalFormatting sqref="BU2205:BV2208">
    <cfRule type="cellIs" dxfId="0" priority="13552" operator="greaterThan">
      <formula>1</formula>
    </cfRule>
  </conditionalFormatting>
  <conditionalFormatting sqref="BO2214:BP2217">
    <cfRule type="cellIs" dxfId="0" priority="10271" operator="greaterThan">
      <formula>1</formula>
    </cfRule>
  </conditionalFormatting>
  <conditionalFormatting sqref="BU2214:BV2217">
    <cfRule type="cellIs" dxfId="0" priority="10274" operator="greaterThan">
      <formula>1</formula>
    </cfRule>
  </conditionalFormatting>
  <conditionalFormatting sqref="BO2218:BP2221">
    <cfRule type="cellIs" dxfId="0" priority="11390" operator="greaterThan">
      <formula>1</formula>
    </cfRule>
  </conditionalFormatting>
  <conditionalFormatting sqref="BU2218:BV2221">
    <cfRule type="cellIs" dxfId="0" priority="11393" operator="greaterThan">
      <formula>1</formula>
    </cfRule>
  </conditionalFormatting>
  <conditionalFormatting sqref="BO2222:BP2225">
    <cfRule type="cellIs" dxfId="0" priority="10283" operator="greaterThan">
      <formula>1</formula>
    </cfRule>
  </conditionalFormatting>
  <conditionalFormatting sqref="BU2222:BV2225">
    <cfRule type="cellIs" dxfId="0" priority="10286" operator="greaterThan">
      <formula>1</formula>
    </cfRule>
  </conditionalFormatting>
  <conditionalFormatting sqref="BO2226:BP2229">
    <cfRule type="cellIs" dxfId="0" priority="12688" operator="greaterThan">
      <formula>1</formula>
    </cfRule>
  </conditionalFormatting>
  <conditionalFormatting sqref="BU2226:BV2229">
    <cfRule type="cellIs" dxfId="0" priority="12693" operator="greaterThan">
      <formula>1</formula>
    </cfRule>
  </conditionalFormatting>
  <conditionalFormatting sqref="E2231 E2233">
    <cfRule type="duplicateValues" dxfId="1" priority="14091"/>
  </conditionalFormatting>
  <conditionalFormatting sqref="BO2238:BP2239">
    <cfRule type="cellIs" dxfId="0" priority="12257" operator="greaterThan">
      <formula>1</formula>
    </cfRule>
  </conditionalFormatting>
  <conditionalFormatting sqref="BU2238:BV2239">
    <cfRule type="cellIs" dxfId="0" priority="12262" operator="greaterThan">
      <formula>1</formula>
    </cfRule>
  </conditionalFormatting>
  <conditionalFormatting sqref="BO2244:BP2245">
    <cfRule type="cellIs" dxfId="0" priority="11609" operator="greaterThan">
      <formula>1</formula>
    </cfRule>
  </conditionalFormatting>
  <conditionalFormatting sqref="BU2244:BV2245">
    <cfRule type="cellIs" dxfId="0" priority="11614" operator="greaterThan">
      <formula>1</formula>
    </cfRule>
  </conditionalFormatting>
  <conditionalFormatting sqref="BU2249:BV2252">
    <cfRule type="cellIs" dxfId="0" priority="13735" operator="greaterThan">
      <formula>1</formula>
    </cfRule>
  </conditionalFormatting>
  <conditionalFormatting sqref="E2254 E2256">
    <cfRule type="duplicateValues" dxfId="1" priority="12362"/>
  </conditionalFormatting>
  <conditionalFormatting sqref="BO2254:BP2257">
    <cfRule type="cellIs" dxfId="0" priority="12353" operator="greaterThan">
      <formula>1</formula>
    </cfRule>
  </conditionalFormatting>
  <conditionalFormatting sqref="BU2254:BV2257">
    <cfRule type="cellIs" dxfId="0" priority="12356" operator="greaterThan">
      <formula>1</formula>
    </cfRule>
  </conditionalFormatting>
  <conditionalFormatting sqref="BO2258:BP2261">
    <cfRule type="cellIs" dxfId="0" priority="11354" operator="greaterThan">
      <formula>1</formula>
    </cfRule>
  </conditionalFormatting>
  <conditionalFormatting sqref="BU2258:BV2261">
    <cfRule type="cellIs" dxfId="0" priority="11357" operator="greaterThan">
      <formula>1</formula>
    </cfRule>
  </conditionalFormatting>
  <conditionalFormatting sqref="BO2266:BP2269">
    <cfRule type="cellIs" dxfId="0" priority="13478" operator="greaterThan">
      <formula>1</formula>
    </cfRule>
  </conditionalFormatting>
  <conditionalFormatting sqref="BU2266:BV2269">
    <cfRule type="cellIs" dxfId="0" priority="13481" operator="greaterThan">
      <formula>1</formula>
    </cfRule>
  </conditionalFormatting>
  <conditionalFormatting sqref="E2270 E2272">
    <cfRule type="duplicateValues" dxfId="1" priority="14192"/>
  </conditionalFormatting>
  <conditionalFormatting sqref="E2274 E2276">
    <cfRule type="duplicateValues" dxfId="1" priority="13762"/>
  </conditionalFormatting>
  <conditionalFormatting sqref="BU2274:BV2277">
    <cfRule type="cellIs" dxfId="0" priority="13756" operator="greaterThan">
      <formula>1</formula>
    </cfRule>
  </conditionalFormatting>
  <conditionalFormatting sqref="E2278 E2280">
    <cfRule type="duplicateValues" dxfId="1" priority="13611"/>
  </conditionalFormatting>
  <conditionalFormatting sqref="BU2278:BV2281">
    <cfRule type="cellIs" dxfId="0" priority="13605" operator="greaterThan">
      <formula>1</formula>
    </cfRule>
  </conditionalFormatting>
  <conditionalFormatting sqref="E2282 E2284">
    <cfRule type="duplicateValues" dxfId="1" priority="14103"/>
  </conditionalFormatting>
  <conditionalFormatting sqref="E2286 E2288">
    <cfRule type="duplicateValues" dxfId="1" priority="13944"/>
  </conditionalFormatting>
  <conditionalFormatting sqref="E2295 E2297">
    <cfRule type="duplicateValues" dxfId="1" priority="13710"/>
  </conditionalFormatting>
  <conditionalFormatting sqref="BU2295:BV2298">
    <cfRule type="cellIs" dxfId="0" priority="13711" operator="greaterThan">
      <formula>1</formula>
    </cfRule>
  </conditionalFormatting>
  <conditionalFormatting sqref="BO2308:BP2311">
    <cfRule type="cellIs" dxfId="0" priority="12285" operator="greaterThan">
      <formula>1</formula>
    </cfRule>
  </conditionalFormatting>
  <conditionalFormatting sqref="BU2308:BV2311">
    <cfRule type="cellIs" dxfId="0" priority="12286" operator="greaterThan">
      <formula>1</formula>
    </cfRule>
  </conditionalFormatting>
  <conditionalFormatting sqref="BO2312:BP2315">
    <cfRule type="cellIs" dxfId="0" priority="9481" operator="greaterThan">
      <formula>1</formula>
    </cfRule>
  </conditionalFormatting>
  <conditionalFormatting sqref="BU2312:BV2315">
    <cfRule type="cellIs" dxfId="0" priority="9482" operator="greaterThan">
      <formula>1</formula>
    </cfRule>
  </conditionalFormatting>
  <conditionalFormatting sqref="BO2316:BP2319">
    <cfRule type="cellIs" dxfId="0" priority="9511" operator="greaterThan">
      <formula>1</formula>
    </cfRule>
  </conditionalFormatting>
  <conditionalFormatting sqref="BU2316:BV2319">
    <cfRule type="cellIs" dxfId="0" priority="9512" operator="greaterThan">
      <formula>1</formula>
    </cfRule>
  </conditionalFormatting>
  <conditionalFormatting sqref="BO2332:BP2335">
    <cfRule type="cellIs" dxfId="0" priority="13211" operator="greaterThan">
      <formula>1</formula>
    </cfRule>
  </conditionalFormatting>
  <conditionalFormatting sqref="BU2332:BV2335">
    <cfRule type="cellIs" dxfId="0" priority="13216" operator="greaterThan">
      <formula>1</formula>
    </cfRule>
  </conditionalFormatting>
  <conditionalFormatting sqref="BO2354:BP2357">
    <cfRule type="cellIs" dxfId="0" priority="13519" operator="greaterThan">
      <formula>1</formula>
    </cfRule>
  </conditionalFormatting>
  <conditionalFormatting sqref="BU2354:BV2357">
    <cfRule type="cellIs" dxfId="0" priority="13522" operator="greaterThan">
      <formula>1</formula>
    </cfRule>
  </conditionalFormatting>
  <conditionalFormatting sqref="BO2359:BP2360">
    <cfRule type="cellIs" dxfId="0" priority="3455" operator="greaterThan">
      <formula>1</formula>
    </cfRule>
  </conditionalFormatting>
  <conditionalFormatting sqref="BU2359:BV2360">
    <cfRule type="cellIs" dxfId="0" priority="3458" operator="greaterThan">
      <formula>1</formula>
    </cfRule>
  </conditionalFormatting>
  <conditionalFormatting sqref="BO2361:BP2362">
    <cfRule type="cellIs" dxfId="0" priority="3461" operator="greaterThan">
      <formula>1</formula>
    </cfRule>
  </conditionalFormatting>
  <conditionalFormatting sqref="BU2361:BV2362">
    <cfRule type="cellIs" dxfId="0" priority="3464" operator="greaterThan">
      <formula>1</formula>
    </cfRule>
  </conditionalFormatting>
  <conditionalFormatting sqref="BO2363:BP2364">
    <cfRule type="cellIs" dxfId="0" priority="3467" operator="greaterThan">
      <formula>1</formula>
    </cfRule>
  </conditionalFormatting>
  <conditionalFormatting sqref="BU2363:BV2364">
    <cfRule type="cellIs" dxfId="0" priority="3470" operator="greaterThan">
      <formula>1</formula>
    </cfRule>
  </conditionalFormatting>
  <conditionalFormatting sqref="BO2365:BP2366">
    <cfRule type="cellIs" dxfId="0" priority="3473" operator="greaterThan">
      <formula>1</formula>
    </cfRule>
  </conditionalFormatting>
  <conditionalFormatting sqref="BU2365:BV2366">
    <cfRule type="cellIs" dxfId="0" priority="3476" operator="greaterThan">
      <formula>1</formula>
    </cfRule>
  </conditionalFormatting>
  <conditionalFormatting sqref="BO2395:BP2396">
    <cfRule type="cellIs" dxfId="0" priority="12237" operator="greaterThan">
      <formula>1</formula>
    </cfRule>
  </conditionalFormatting>
  <conditionalFormatting sqref="BU2395:BV2396">
    <cfRule type="cellIs" dxfId="0" priority="12240" operator="greaterThan">
      <formula>1</formula>
    </cfRule>
  </conditionalFormatting>
  <conditionalFormatting sqref="BO2452:BP2459">
    <cfRule type="cellIs" dxfId="0" priority="10719" operator="greaterThan">
      <formula>1</formula>
    </cfRule>
  </conditionalFormatting>
  <conditionalFormatting sqref="BU2452:BV2459">
    <cfRule type="cellIs" dxfId="0" priority="10722" operator="greaterThan">
      <formula>1</formula>
    </cfRule>
  </conditionalFormatting>
  <conditionalFormatting sqref="E2461:E2464 E2467:E2468">
    <cfRule type="duplicateValues" dxfId="1" priority="12519"/>
  </conditionalFormatting>
  <conditionalFormatting sqref="BO2461:BP2464 BO2467:BP2468">
    <cfRule type="cellIs" dxfId="0" priority="12517" operator="greaterThan">
      <formula>1</formula>
    </cfRule>
  </conditionalFormatting>
  <conditionalFormatting sqref="BU2461:BV2464 BU2467:BV2468">
    <cfRule type="cellIs" dxfId="0" priority="12520" operator="greaterThan">
      <formula>1</formula>
    </cfRule>
  </conditionalFormatting>
  <conditionalFormatting sqref="BO2465:BP2466">
    <cfRule type="cellIs" dxfId="0" priority="12511" operator="greaterThan">
      <formula>1</formula>
    </cfRule>
  </conditionalFormatting>
  <conditionalFormatting sqref="BU2465:BV2466">
    <cfRule type="cellIs" dxfId="0" priority="12514" operator="greaterThan">
      <formula>1</formula>
    </cfRule>
  </conditionalFormatting>
  <conditionalFormatting sqref="BO2492:BP2495">
    <cfRule type="cellIs" dxfId="0" priority="12486" operator="greaterThan">
      <formula>1</formula>
    </cfRule>
  </conditionalFormatting>
  <conditionalFormatting sqref="BU2492:BV2495">
    <cfRule type="cellIs" dxfId="0" priority="12489" operator="greaterThan">
      <formula>1</formula>
    </cfRule>
  </conditionalFormatting>
  <conditionalFormatting sqref="BO2498:BP2499">
    <cfRule type="cellIs" dxfId="0" priority="12480" operator="greaterThan">
      <formula>1</formula>
    </cfRule>
  </conditionalFormatting>
  <conditionalFormatting sqref="BU2498:BV2499">
    <cfRule type="cellIs" dxfId="0" priority="12483" operator="greaterThan">
      <formula>1</formula>
    </cfRule>
  </conditionalFormatting>
  <conditionalFormatting sqref="BO2502:BP2505">
    <cfRule type="cellIs" dxfId="0" priority="10503" operator="greaterThan">
      <formula>1</formula>
    </cfRule>
  </conditionalFormatting>
  <conditionalFormatting sqref="BU2502:BV2505">
    <cfRule type="cellIs" dxfId="0" priority="10506" operator="greaterThan">
      <formula>1</formula>
    </cfRule>
  </conditionalFormatting>
  <conditionalFormatting sqref="BO2512:BP2515">
    <cfRule type="cellIs" dxfId="0" priority="12057" operator="greaterThan">
      <formula>1</formula>
    </cfRule>
  </conditionalFormatting>
  <conditionalFormatting sqref="BU2512:BV2515">
    <cfRule type="cellIs" dxfId="0" priority="12060" operator="greaterThan">
      <formula>1</formula>
    </cfRule>
  </conditionalFormatting>
  <conditionalFormatting sqref="BO2520:BP2523">
    <cfRule type="cellIs" dxfId="0" priority="10572" operator="greaterThan">
      <formula>1</formula>
    </cfRule>
  </conditionalFormatting>
  <conditionalFormatting sqref="BU2520:BV2523">
    <cfRule type="cellIs" dxfId="0" priority="10575" operator="greaterThan">
      <formula>1</formula>
    </cfRule>
  </conditionalFormatting>
  <conditionalFormatting sqref="BO2524:BP2527">
    <cfRule type="cellIs" dxfId="0" priority="10578" operator="greaterThan">
      <formula>1</formula>
    </cfRule>
  </conditionalFormatting>
  <conditionalFormatting sqref="BU2524:BV2527">
    <cfRule type="cellIs" dxfId="0" priority="10581" operator="greaterThan">
      <formula>1</formula>
    </cfRule>
  </conditionalFormatting>
  <conditionalFormatting sqref="BO2569:BP2572">
    <cfRule type="cellIs" dxfId="0" priority="10100" operator="greaterThan">
      <formula>1</formula>
    </cfRule>
  </conditionalFormatting>
  <conditionalFormatting sqref="BU2569:BV2572">
    <cfRule type="cellIs" dxfId="0" priority="10103" operator="greaterThan">
      <formula>1</formula>
    </cfRule>
  </conditionalFormatting>
  <conditionalFormatting sqref="BO2573:BP2576">
    <cfRule type="cellIs" dxfId="0" priority="10106" operator="greaterThan">
      <formula>1</formula>
    </cfRule>
  </conditionalFormatting>
  <conditionalFormatting sqref="BU2573:BV2576">
    <cfRule type="cellIs" dxfId="0" priority="10109" operator="greaterThan">
      <formula>1</formula>
    </cfRule>
  </conditionalFormatting>
  <conditionalFormatting sqref="BO2577:BP2578">
    <cfRule type="cellIs" dxfId="0" priority="11840" operator="greaterThan">
      <formula>1</formula>
    </cfRule>
  </conditionalFormatting>
  <conditionalFormatting sqref="BU2577:BV2578">
    <cfRule type="cellIs" dxfId="0" priority="11843" operator="greaterThan">
      <formula>1</formula>
    </cfRule>
  </conditionalFormatting>
  <conditionalFormatting sqref="BO2579:BP2580">
    <cfRule type="cellIs" dxfId="0" priority="11846" operator="greaterThan">
      <formula>1</formula>
    </cfRule>
  </conditionalFormatting>
  <conditionalFormatting sqref="BU2579:BV2580">
    <cfRule type="cellIs" dxfId="0" priority="11849" operator="greaterThan">
      <formula>1</formula>
    </cfRule>
  </conditionalFormatting>
  <conditionalFormatting sqref="BO2581:BP2582">
    <cfRule type="cellIs" dxfId="0" priority="12140" operator="greaterThan">
      <formula>1</formula>
    </cfRule>
  </conditionalFormatting>
  <conditionalFormatting sqref="BU2581:BV2582">
    <cfRule type="cellIs" dxfId="0" priority="12143" operator="greaterThan">
      <formula>1</formula>
    </cfRule>
  </conditionalFormatting>
  <conditionalFormatting sqref="BO2583:BP2584">
    <cfRule type="cellIs" dxfId="0" priority="12146" operator="greaterThan">
      <formula>1</formula>
    </cfRule>
  </conditionalFormatting>
  <conditionalFormatting sqref="BU2583:BV2584">
    <cfRule type="cellIs" dxfId="0" priority="12149" operator="greaterThan">
      <formula>1</formula>
    </cfRule>
  </conditionalFormatting>
  <conditionalFormatting sqref="BO2586:BP2589">
    <cfRule type="cellIs" dxfId="0" priority="12506" operator="greaterThan">
      <formula>1</formula>
    </cfRule>
  </conditionalFormatting>
  <conditionalFormatting sqref="BU2586:BV2589">
    <cfRule type="cellIs" dxfId="0" priority="12509" operator="greaterThan">
      <formula>1</formula>
    </cfRule>
  </conditionalFormatting>
  <conditionalFormatting sqref="E2655 E2647:E2648">
    <cfRule type="duplicateValues" dxfId="1" priority="14390"/>
  </conditionalFormatting>
  <conditionalFormatting sqref="BO2653:BP2654">
    <cfRule type="cellIs" dxfId="0" priority="10539" operator="greaterThan">
      <formula>1</formula>
    </cfRule>
  </conditionalFormatting>
  <conditionalFormatting sqref="BU2653:BV2654">
    <cfRule type="cellIs" dxfId="0" priority="10542" operator="greaterThan">
      <formula>1</formula>
    </cfRule>
  </conditionalFormatting>
  <conditionalFormatting sqref="BU2658:BV2659">
    <cfRule type="cellIs" dxfId="0" priority="13845" operator="greaterThan">
      <formula>1</formula>
    </cfRule>
  </conditionalFormatting>
  <conditionalFormatting sqref="BO2660:BP2661">
    <cfRule type="cellIs" dxfId="0" priority="12369" operator="greaterThan">
      <formula>1</formula>
    </cfRule>
  </conditionalFormatting>
  <conditionalFormatting sqref="BU2660:BV2661">
    <cfRule type="cellIs" dxfId="0" priority="12372" operator="greaterThan">
      <formula>1</formula>
    </cfRule>
  </conditionalFormatting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</dc:creator>
  <cp:lastModifiedBy>luo</cp:lastModifiedBy>
  <dcterms:created xsi:type="dcterms:W3CDTF">2026-08-13T06:14:00Z</dcterms:created>
  <dcterms:modified xsi:type="dcterms:W3CDTF">2026-08-25T03:15:24Z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8283659E290C4D6FB0AA38D2D45AF00B_13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